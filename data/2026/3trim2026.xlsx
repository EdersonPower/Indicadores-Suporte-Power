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850" documentId="13_ncr:1_{CD7DB75D-BDE6-4CCD-A425-E7061A2FAC39}" xr6:coauthVersionLast="47" xr6:coauthVersionMax="47" xr10:uidLastSave="{4E2405F1-5417-4B18-9BA8-4A36B148FA95}"/>
  <bookViews>
    <workbookView xWindow="-108" yWindow="-108" windowWidth="23256" windowHeight="12456" tabRatio="720" activeTab="6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Avaliações Ago" sheetId="27" r:id="rId6"/>
    <sheet name="Set" sheetId="23" r:id="rId7"/>
    <sheet name="Nps Set" sheetId="25" r:id="rId8"/>
    <sheet name="Notas Trim" sheetId="13" r:id="rId9"/>
    <sheet name="NPS Trim" sheetId="12" r:id="rId10"/>
  </sheets>
  <definedNames>
    <definedName name="_xlnm._FilterDatabase" localSheetId="3" hidden="1">Ago!$A$1:$L$1</definedName>
    <definedName name="_xlnm._FilterDatabase" localSheetId="0" hidden="1">Jul!$A$1:$L$2277</definedName>
    <definedName name="_xlnm._FilterDatabase" localSheetId="8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7" hidden="1">'Nps Set'!$A$1:$G$6</definedName>
    <definedName name="_xlnm._FilterDatabase" localSheetId="9" hidden="1">'NPS Trim'!$A$1:$G$6</definedName>
    <definedName name="_xlnm._FilterDatabase" localSheetId="6" hidden="1">Set!$A$1:$L$1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2" l="1"/>
  <c r="G6" i="25"/>
  <c r="D6" i="25"/>
  <c r="C6" i="25"/>
  <c r="I6" i="25" s="1"/>
  <c r="B6" i="25"/>
  <c r="D3" i="25"/>
  <c r="D4" i="25"/>
  <c r="D5" i="25"/>
  <c r="D2" i="25"/>
  <c r="D9" i="19"/>
  <c r="D3" i="19"/>
  <c r="D4" i="19"/>
  <c r="D5" i="19"/>
  <c r="D6" i="19"/>
  <c r="D2" i="19"/>
  <c r="E3" i="22" a="1"/>
  <c r="E3" i="22" s="1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G16" i="12"/>
  <c r="G17" i="12"/>
  <c r="G18" i="12"/>
  <c r="G19" i="12"/>
  <c r="G15" i="12"/>
  <c r="F16" i="12"/>
  <c r="F17" i="12"/>
  <c r="F18" i="12"/>
  <c r="F19" i="12"/>
  <c r="F15" i="12"/>
  <c r="D19" i="19"/>
  <c r="E6" i="25" a="1"/>
  <c r="E6" i="25" s="1"/>
  <c r="E5" i="25" a="1"/>
  <c r="E5" i="25" s="1"/>
  <c r="E4" i="25" a="1"/>
  <c r="E4" i="25" s="1"/>
  <c r="E3" i="25" a="1"/>
  <c r="E3" i="25" s="1"/>
  <c r="E2" i="25" a="1"/>
  <c r="E2" i="25" s="1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5" i="19" l="1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C6" i="12" l="1"/>
  <c r="B6" i="12"/>
  <c r="C6" i="22"/>
  <c r="D6" i="12" l="1"/>
  <c r="C3" i="25"/>
  <c r="C2" i="25"/>
  <c r="C5" i="25"/>
  <c r="C4" i="25"/>
  <c r="C4" i="22"/>
  <c r="C5" i="22"/>
  <c r="C3" i="22"/>
  <c r="C6" i="19"/>
  <c r="E6" i="12" s="1"/>
  <c r="G6" i="12" s="1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5" i="12" l="1"/>
  <c r="G5" i="12" s="1"/>
  <c r="E2" i="12"/>
  <c r="E3" i="12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I2" i="22" s="1"/>
  <c r="B6" i="22"/>
  <c r="D6" i="22" s="1"/>
  <c r="B4" i="22"/>
  <c r="D4" i="22" s="1"/>
  <c r="I3" i="22"/>
  <c r="I5" i="22"/>
  <c r="B2" i="22"/>
  <c r="D2" i="22" s="1"/>
  <c r="B3" i="22"/>
  <c r="D3" i="22" s="1"/>
  <c r="B5" i="22"/>
  <c r="D5" i="22" s="1"/>
  <c r="E9" i="19"/>
  <c r="G9" i="19" s="1"/>
  <c r="I5" i="19"/>
  <c r="I3" i="19"/>
  <c r="B6" i="19"/>
  <c r="B5" i="19"/>
  <c r="B3" i="19"/>
  <c r="B2" i="19"/>
  <c r="B4" i="19"/>
  <c r="G2" i="19"/>
  <c r="C3" i="12" l="1"/>
  <c r="C4" i="12"/>
  <c r="C5" i="12"/>
  <c r="C2" i="12"/>
  <c r="I4" i="25"/>
  <c r="I2" i="25"/>
  <c r="C9" i="25"/>
  <c r="B9" i="25"/>
  <c r="D9" i="25" s="1"/>
  <c r="I3" i="25"/>
  <c r="I4" i="22"/>
  <c r="C9" i="22"/>
  <c r="B9" i="22"/>
  <c r="I6" i="22"/>
  <c r="I2" i="19"/>
  <c r="C9" i="19"/>
  <c r="B9" i="19"/>
  <c r="I6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9" i="22" l="1"/>
  <c r="D5" i="12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<sst xmlns="http://schemas.openxmlformats.org/spreadsheetml/2006/main" count="16002" uniqueCount="2239">
  <si>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</si>
  <si>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</si>
  <si>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</si>
  <si>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</si>
  <si>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</si>
  <si>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</si>
  <si>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</si>
  <si>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</si>
  <si>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</si>
  <si>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</si>
  <si>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</si>
  <si>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</si>
  <si>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</si>
  <si>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</si>
  <si>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</si>
  <si>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</si>
  <si>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</si>
  <si>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</si>
  <si>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</si>
  <si>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</si>
  <si>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</si>
  <si>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</si>
  <si>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</si>
  <si>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</si>
  <si>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</si>
  <si>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</si>
  <si>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</si>
  <si>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</si>
  <si>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</si>
  <si>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</si>
  <si>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</si>
  <si>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</si>
  <si>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</si>
  <si>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</si>
  <si>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</si>
  <si>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</si>
  <si>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</si>
  <si>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</si>
  <si>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</si>
  <si>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</si>
  <si>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</si>
  <si>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</si>
  <si>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</si>
  <si>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</si>
  <si>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</si>
  <si>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</si>
  <si>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</si>
  <si>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</si>
  <si>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</si>
  <si>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</si>
  <si>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</si>
  <si>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</si>
  <si>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</si>
  <si>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</si>
  <si>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</si>
  <si>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</si>
  <si>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</si>
  <si>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</si>
  <si>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</si>
  <si>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</si>
  <si>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</si>
  <si>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</si>
  <si>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</si>
  <si>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</si>
  <si>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</si>
  <si>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</si>
  <si>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</si>
  <si>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</si>
  <si>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</si>
  <si>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</si>
  <si>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</si>
  <si>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</si>
  <si>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</si>
  <si>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</si>
  <si>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</si>
  <si>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</si>
  <si>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</si>
  <si>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</si>
  <si>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</si>
  <si>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</si>
  <si>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</si>
  <si>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</si>
  <si>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</si>
  <si>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</si>
  <si>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</si>
  <si>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</si>
  <si>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</si>
  <si>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</si>
  <si>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</si>
  <si>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</si>
  <si>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</si>
  <si>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</si>
  <si>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</si>
  <si>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</si>
  <si>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</si>
  <si>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</si>
  <si>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</si>
  <si>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</si>
  <si>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</si>
  <si>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</si>
  <si>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</si>
  <si>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</si>
  <si>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</si>
  <si>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</si>
  <si>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</si>
  <si>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</si>
  <si>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</si>
  <si>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</si>
  <si>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</si>
  <si>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</si>
  <si>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</si>
  <si>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</si>
  <si>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</si>
  <si>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</si>
  <si>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</si>
  <si>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</si>
  <si>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</si>
  <si>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</si>
  <si>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</si>
  <si>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</si>
  <si>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</si>
  <si>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</si>
  <si>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</si>
  <si>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</si>
  <si>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</si>
  <si>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</si>
  <si>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</si>
  <si>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</si>
  <si>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</si>
  <si>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</si>
  <si>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</si>
  <si>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</si>
  <si>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</si>
  <si>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</si>
  <si>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</si>
  <si>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</si>
  <si>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</si>
  <si>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</si>
  <si>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</si>
  <si>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</si>
  <si>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</si>
  <si>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</si>
  <si>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</si>
  <si>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</si>
  <si>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</si>
  <si>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</si>
  <si>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</si>
  <si>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</si>
  <si>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</si>
  <si>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</si>
  <si>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</si>
  <si>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</si>
  <si>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</si>
  <si>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</si>
  <si>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</si>
  <si>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</si>
  <si>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</si>
  <si>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</si>
  <si>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</si>
  <si>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</si>
  <si>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</si>
  <si>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</si>
  <si>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</si>
  <si>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</si>
  <si>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</si>
  <si>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</si>
  <si>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</si>
  <si>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</si>
  <si>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</si>
  <si>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</si>
  <si>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</si>
  <si>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</si>
  <si>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</si>
  <si>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</si>
  <si>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</si>
  <si>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</si>
  <si>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</si>
  <si>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</si>
  <si>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</si>
  <si>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</si>
  <si>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</si>
  <si>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</si>
  <si>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</si>
  <si>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</si>
  <si>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</si>
  <si>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</si>
  <si>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</si>
  <si>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</si>
  <si>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</si>
  <si>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</si>
  <si>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</si>
  <si>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</si>
  <si>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</si>
  <si>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</si>
  <si>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</si>
  <si>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</si>
  <si>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</si>
  <si>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</si>
  <si>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</si>
  <si>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</si>
  <si>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</si>
  <si>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</si>
  <si>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</si>
  <si>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</si>
  <si>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</si>
  <si>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</si>
  <si>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</si>
  <si>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</si>
  <si>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</si>
  <si>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</si>
  <si>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</si>
  <si>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</si>
  <si>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</si>
  <si>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</si>
  <si>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</si>
  <si>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</si>
  <si>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</si>
  <si>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</si>
  <si>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</si>
  <si>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</si>
  <si>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</si>
  <si>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</si>
  <si>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</si>
  <si>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</si>
  <si>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</si>
  <si>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</si>
  <si>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</si>
  <si>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</si>
  <si>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</si>
  <si>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</si>
  <si>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</si>
  <si>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</si>
  <si>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</si>
  <si>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</si>
  <si>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</si>
  <si>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</si>
  <si>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</si>
  <si>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</si>
  <si>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</si>
  <si>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</si>
  <si>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</si>
  <si>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</si>
  <si>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</si>
  <si>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</si>
  <si>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</si>
  <si>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</si>
  <si>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</si>
  <si>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</si>
  <si>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</si>
  <si>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</si>
  <si>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</si>
  <si>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</si>
  <si>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</si>
  <si>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</si>
  <si>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</si>
  <si>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</si>
  <si>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</si>
  <si>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</si>
  <si>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</si>
  <si>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</si>
  <si>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</si>
  <si>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</si>
  <si>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</si>
  <si>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</si>
  <si>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</si>
  <si>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</si>
  <si>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</si>
  <si>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</si>
  <si>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</si>
  <si>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</si>
  <si>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</si>
  <si>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</si>
  <si>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</si>
  <si>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</si>
  <si>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</si>
  <si>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</si>
  <si>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</si>
  <si>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</si>
  <si>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</si>
  <si>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</si>
  <si>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</si>
  <si>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</si>
  <si>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</si>
  <si>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</si>
  <si>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</si>
  <si>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</si>
  <si>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</si>
  <si>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</si>
  <si>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</si>
  <si>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</si>
  <si>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</si>
  <si>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</si>
  <si>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</si>
  <si>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</si>
  <si>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</si>
  <si>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</si>
  <si>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</si>
  <si>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</si>
  <si>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</si>
  <si>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</si>
  <si>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</si>
  <si>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</si>
  <si>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</si>
  <si>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</si>
  <si>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</si>
  <si>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</si>
  <si>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</si>
  <si>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</si>
  <si>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</si>
  <si>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</si>
  <si>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</si>
  <si>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</si>
  <si>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</si>
  <si>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</si>
  <si>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</si>
  <si>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</si>
  <si>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</si>
  <si>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</si>
  <si>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</si>
  <si>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</si>
  <si>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</si>
  <si>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</si>
  <si>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</si>
  <si>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</si>
  <si>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</si>
  <si>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</si>
  <si>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</si>
  <si>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</si>
  <si>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</si>
  <si>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</si>
  <si>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</si>
  <si>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</si>
  <si>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</si>
  <si>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</si>
  <si>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</si>
  <si>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</si>
  <si>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</si>
  <si>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</si>
  <si>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</si>
  <si>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</si>
  <si>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</si>
  <si>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</si>
  <si>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</si>
  <si>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</si>
  <si>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</si>
  <si>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</si>
  <si>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</si>
  <si>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</si>
  <si>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</si>
  <si>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</si>
  <si>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</si>
  <si>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</si>
  <si>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</si>
  <si>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</si>
  <si>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</si>
  <si>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</si>
  <si>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</si>
  <si>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</si>
  <si>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</si>
  <si>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</si>
  <si>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</si>
  <si>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</si>
  <si>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</si>
  <si>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</si>
  <si>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</si>
  <si>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</si>
  <si>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</si>
  <si>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</si>
  <si>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</si>
  <si>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</si>
  <si>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</si>
  <si>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</si>
  <si>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</si>
  <si>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</si>
  <si>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</si>
  <si>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</si>
  <si>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</si>
  <si>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</si>
  <si>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</si>
  <si>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</si>
  <si>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</si>
  <si>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</si>
  <si>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</si>
  <si>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</si>
  <si>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</si>
  <si>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</si>
  <si>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</si>
  <si>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</si>
  <si>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</si>
  <si>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</si>
  <si>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</si>
  <si>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</si>
  <si>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</si>
  <si>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</si>
  <si>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</si>
  <si>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</si>
  <si>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</si>
  <si>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</si>
  <si>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</si>
  <si>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</si>
  <si>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</si>
  <si>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</si>
  <si>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</si>
  <si>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</si>
  <si>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</si>
  <si>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</si>
  <si>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</si>
  <si>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</si>
  <si>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</si>
  <si>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</si>
  <si>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</si>
  <si>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</si>
  <si>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</si>
  <si>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</si>
  <si>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</si>
  <si>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</si>
  <si>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</si>
  <si>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</si>
  <si>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</si>
  <si>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</si>
  <si>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</si>
  <si>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</si>
  <si>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</si>
  <si>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</si>
  <si>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</si>
  <si>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</si>
  <si>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</si>
  <si>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</si>
  <si>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</si>
  <si>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</si>
  <si>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</si>
  <si>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</si>
  <si>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</si>
  <si>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</si>
  <si>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</si>
  <si>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</si>
  <si>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</si>
  <si>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</si>
  <si>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</si>
  <si>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</si>
  <si>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</si>
  <si>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</si>
  <si>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</si>
  <si>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</si>
  <si>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</si>
  <si>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</si>
  <si>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</si>
  <si>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</si>
  <si>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</si>
  <si>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</si>
  <si>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</si>
  <si>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</si>
  <si>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</si>
  <si>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</si>
  <si>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</si>
  <si>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</si>
  <si>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</si>
  <si>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</si>
  <si>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</si>
  <si>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</si>
  <si>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</si>
  <si>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</si>
  <si>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</si>
  <si>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</si>
  <si>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</si>
  <si>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</si>
  <si>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</si>
  <si>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</si>
  <si>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</si>
  <si>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</si>
  <si>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</si>
  <si>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</si>
  <si>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</si>
  <si>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</si>
  <si>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</si>
  <si>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</si>
  <si>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</si>
  <si>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</si>
  <si>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</si>
  <si>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</si>
  <si>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</si>
  <si>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</si>
  <si>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</si>
  <si>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</si>
  <si>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</si>
  <si>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</si>
  <si>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</si>
  <si>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</si>
  <si>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</si>
  <si>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</si>
  <si>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</si>
  <si>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</si>
  <si>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</si>
  <si>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</si>
  <si>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</si>
  <si>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</si>
  <si>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</si>
  <si>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</si>
  <si>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</si>
  <si>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</si>
  <si>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</si>
  <si>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</si>
  <si>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</si>
  <si>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</si>
  <si>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</si>
  <si>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</si>
  <si>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</si>
  <si>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</si>
  <si>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</si>
  <si>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</si>
  <si>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</si>
  <si>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</si>
  <si>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</si>
  <si>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</si>
  <si>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</si>
  <si>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</si>
  <si>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</si>
  <si>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</si>
  <si>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</si>
  <si>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</si>
  <si>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</si>
  <si>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</si>
  <si>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</si>
  <si>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</si>
  <si>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</si>
  <si>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</si>
  <si>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</si>
  <si>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</si>
  <si>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</si>
  <si>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</si>
  <si>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</si>
  <si>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</si>
  <si>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</si>
  <si>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</si>
  <si>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</si>
  <si>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</si>
  <si>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</si>
  <si>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</si>
  <si>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</si>
  <si>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</si>
  <si>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</si>
  <si>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</si>
  <si>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</si>
  <si>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</si>
  <si>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</si>
  <si>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</si>
  <si>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</si>
  <si>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</si>
  <si>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</si>
  <si>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</si>
  <si>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</si>
  <si>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</si>
  <si>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</si>
  <si>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</si>
  <si>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</si>
  <si>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</si>
  <si>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</si>
  <si>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</si>
  <si>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</si>
  <si>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</si>
  <si>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</si>
  <si>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</si>
  <si>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</si>
  <si>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</si>
  <si>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</si>
  <si>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</si>
  <si>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</si>
  <si>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</si>
  <si>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</si>
  <si>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</si>
  <si>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</si>
  <si>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</si>
  <si>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</si>
  <si>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</si>
  <si>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</si>
  <si>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</si>
  <si>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</si>
  <si>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</si>
  <si>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</si>
  <si>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</si>
  <si>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</si>
  <si>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</si>
  <si>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</si>
  <si>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</si>
  <si>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</si>
  <si>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</si>
  <si>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</si>
  <si>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</si>
  <si>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</si>
  <si>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</si>
  <si>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</si>
  <si>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</si>
  <si>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</si>
  <si>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</si>
  <si>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</si>
  <si>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</si>
  <si>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</si>
  <si>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</si>
  <si>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</si>
  <si>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</si>
  <si>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</si>
  <si>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</si>
  <si>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</si>
  <si>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</si>
  <si>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</si>
  <si>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</si>
  <si>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</si>
  <si>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</si>
  <si>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</si>
  <si>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</si>
  <si>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</si>
  <si>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</si>
  <si>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</si>
  <si>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</si>
  <si>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</si>
  <si>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</si>
  <si>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</si>
  <si>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</si>
  <si>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</si>
  <si>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</si>
  <si>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</si>
  <si>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</si>
  <si>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</si>
  <si>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</si>
  <si>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</si>
  <si>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</si>
  <si>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</si>
  <si>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</si>
  <si>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</si>
  <si>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</si>
  <si>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</si>
  <si>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</si>
  <si>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</si>
  <si>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</si>
  <si>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</si>
  <si>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</si>
  <si>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</si>
  <si>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</si>
  <si>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</si>
  <si>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</si>
  <si>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</si>
  <si>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</si>
  <si>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</si>
  <si>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</si>
  <si>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</si>
  <si>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</si>
  <si>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</si>
  <si>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</si>
  <si>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</si>
  <si>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</si>
  <si>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</si>
  <si>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</si>
  <si>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</si>
  <si>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</si>
  <si>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</si>
  <si>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</si>
  <si>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</si>
  <si>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</si>
  <si>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</si>
  <si>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</si>
  <si>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</si>
  <si>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</si>
  <si>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</si>
  <si>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</si>
  <si>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</si>
  <si>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</si>
  <si>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</si>
  <si>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</si>
  <si>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</si>
  <si>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</si>
  <si>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</si>
  <si>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</si>
  <si>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</si>
  <si>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</si>
  <si>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</si>
  <si>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</si>
  <si>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</si>
  <si>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</si>
  <si>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</si>
  <si>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</si>
  <si>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</si>
  <si>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</si>
  <si>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</si>
  <si>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</si>
  <si>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</si>
  <si>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</si>
  <si>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</si>
  <si>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</si>
  <si>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</si>
  <si>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</si>
  <si>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</si>
  <si>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</si>
  <si>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</si>
  <si>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</si>
  <si>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</si>
  <si>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</si>
  <si>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</si>
  <si>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</si>
  <si>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</si>
  <si>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</si>
  <si>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</si>
  <si>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</si>
  <si>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</si>
  <si>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</si>
  <si>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</si>
  <si>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</si>
  <si>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</si>
  <si>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</si>
  <si>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</si>
  <si>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</si>
  <si>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</si>
  <si>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</si>
  <si>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</si>
  <si>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</si>
  <si>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</si>
  <si>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</si>
  <si>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</si>
  <si>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</si>
  <si>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</si>
  <si>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</si>
  <si>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</si>
  <si>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</si>
  <si>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</si>
  <si>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</si>
  <si>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</si>
  <si>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</si>
  <si>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</si>
  <si>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</si>
  <si>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</si>
  <si>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</si>
  <si>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</si>
  <si>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</si>
  <si>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</si>
  <si>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</si>
  <si>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</si>
  <si>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</si>
  <si>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</si>
  <si>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</si>
  <si>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</si>
  <si>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</si>
  <si>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</si>
  <si>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</si>
  <si>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</si>
  <si>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</si>
  <si>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</si>
  <si>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</si>
  <si>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</si>
  <si>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</si>
  <si>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</si>
  <si>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</si>
  <si>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</si>
  <si>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</si>
  <si>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</si>
  <si>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</si>
  <si>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</si>
  <si>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</si>
  <si>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</si>
  <si>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</si>
  <si>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</si>
  <si>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</si>
  <si>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</si>
  <si>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</si>
  <si>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</si>
  <si>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</si>
  <si>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</si>
  <si>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</si>
  <si>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</si>
  <si>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</si>
  <si>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</si>
  <si>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</si>
  <si>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</si>
  <si>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</si>
  <si>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</si>
  <si>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</si>
  <si>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</si>
  <si>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</si>
  <si>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</si>
  <si>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</si>
  <si>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</si>
  <si>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</si>
  <si>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</si>
  <si>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</si>
  <si>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</si>
  <si>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</si>
  <si>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</si>
  <si>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</si>
  <si>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</si>
  <si>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</si>
  <si>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</si>
  <si>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</si>
  <si>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</si>
  <si>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</si>
  <si>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</si>
  <si>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</si>
  <si>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</si>
  <si>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</si>
  <si>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</si>
  <si>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</si>
  <si>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</si>
  <si>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</si>
  <si>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</si>
  <si>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</si>
  <si>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</si>
  <si>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</si>
  <si>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</si>
  <si>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</si>
  <si>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</si>
  <si>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</si>
  <si>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</si>
  <si>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</si>
  <si>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</si>
  <si>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</si>
  <si>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</si>
  <si>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</si>
  <si>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</si>
  <si>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</si>
  <si>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</si>
  <si>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</si>
  <si>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</si>
  <si>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</si>
  <si>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</si>
  <si>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</si>
  <si>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</si>
  <si>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</si>
  <si>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</si>
  <si>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</si>
  <si>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</si>
  <si>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</si>
  <si>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</si>
  <si>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</si>
  <si>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</si>
  <si>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</si>
  <si>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</si>
  <si>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</si>
  <si>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</si>
  <si>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</si>
  <si>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</si>
  <si>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</si>
  <si>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</si>
  <si>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</si>
  <si>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</si>
  <si>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</si>
  <si>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</si>
  <si>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</si>
  <si>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</si>
  <si>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</si>
  <si>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</si>
  <si>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</si>
  <si>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</si>
  <si>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</si>
  <si>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</si>
  <si>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</si>
  <si>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</si>
  <si>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</si>
  <si>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</si>
  <si>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</si>
  <si>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</si>
  <si>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</si>
  <si>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</si>
  <si>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</si>
  <si>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</si>
  <si>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</si>
  <si>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</si>
  <si>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</si>
  <si>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</si>
  <si>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</si>
  <si>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</si>
  <si>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</si>
  <si>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</si>
  <si>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</si>
  <si>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</si>
  <si>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</si>
  <si>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</si>
  <si>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</si>
  <si>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</si>
  <si>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</si>
  <si>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</si>
  <si>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</si>
  <si>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</si>
  <si>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</si>
  <si>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</si>
  <si>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</si>
  <si>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</si>
  <si>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</si>
  <si>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</si>
  <si>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</si>
  <si>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</si>
  <si>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</si>
  <si>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</si>
  <si>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</si>
  <si>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</si>
  <si>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</si>
  <si>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</si>
  <si>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</si>
  <si>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</si>
  <si>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</si>
  <si>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</si>
  <si>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</si>
  <si>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</si>
  <si>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</si>
  <si>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</si>
  <si>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</si>
  <si>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</si>
  <si>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</si>
  <si>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</si>
  <si>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</si>
  <si>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</si>
  <si>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</si>
  <si>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</si>
  <si>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</si>
  <si>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</si>
  <si>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</si>
  <si>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</si>
  <si>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</si>
  <si>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</si>
  <si>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</si>
  <si>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</si>
  <si>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</si>
  <si>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</si>
  <si>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</si>
  <si>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</si>
  <si>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</si>
  <si>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</si>
  <si>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</si>
  <si>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</si>
  <si>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</si>
  <si>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</si>
  <si>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</si>
  <si>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</si>
  <si>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</si>
  <si>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</si>
  <si>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</si>
  <si>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</si>
  <si>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</si>
  <si>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</si>
  <si>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</si>
  <si>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</si>
  <si>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</si>
  <si>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</si>
  <si>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</si>
  <si>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</si>
  <si>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</si>
  <si>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</si>
  <si>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</si>
  <si>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</si>
  <si>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</si>
  <si>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</si>
  <si>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</si>
  <si>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</si>
  <si>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</si>
  <si>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</si>
  <si>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</si>
  <si>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</si>
  <si>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</si>
  <si>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</si>
  <si>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</si>
  <si>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</si>
  <si>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</si>
  <si>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</si>
  <si>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</si>
  <si>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</si>
  <si>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</si>
  <si>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</si>
  <si>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</si>
  <si>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</si>
  <si>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</si>
  <si>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</si>
  <si>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</si>
  <si>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</si>
  <si>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</si>
  <si>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</si>
  <si>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</si>
  <si>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</si>
  <si>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</si>
  <si>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</si>
  <si>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</si>
  <si>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</si>
  <si>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</si>
  <si>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</si>
  <si>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</si>
  <si>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</si>
  <si>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</si>
  <si>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</si>
  <si>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</si>
  <si>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</si>
  <si>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</si>
  <si>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</si>
  <si>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</si>
  <si>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</si>
  <si>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</si>
  <si>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</si>
  <si>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</si>
  <si>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</si>
  <si>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</si>
  <si>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</si>
  <si>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</si>
  <si>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</si>
  <si>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</si>
  <si>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</si>
  <si>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</si>
  <si>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</si>
  <si>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</si>
  <si>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</si>
  <si>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</si>
  <si>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</si>
  <si>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</si>
  <si>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</si>
  <si>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</si>
  <si>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</si>
  <si>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</si>
  <si>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</si>
  <si>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</si>
  <si>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</si>
  <si>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</si>
  <si>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</si>
  <si>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</si>
  <si>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</si>
  <si>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</si>
  <si>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</si>
  <si>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</si>
  <si>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</si>
  <si>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</si>
  <si>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</si>
  <si>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</si>
  <si>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</si>
  <si>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</si>
  <si>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</si>
  <si>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</si>
  <si>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</si>
  <si>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</si>
  <si>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</si>
  <si>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</si>
  <si>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</si>
  <si>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</si>
  <si>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</si>
  <si>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</si>
  <si>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</si>
  <si>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</si>
  <si>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</si>
  <si>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</si>
  <si>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</si>
  <si>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</si>
  <si>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</si>
  <si>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</si>
  <si>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</si>
  <si>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</si>
  <si>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</si>
  <si>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</si>
  <si>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</si>
  <si>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</si>
  <si>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</si>
  <si>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</si>
  <si>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</si>
  <si>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</si>
  <si>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</si>
  <si>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</si>
  <si>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</si>
  <si>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</si>
  <si>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</si>
  <si>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</si>
  <si>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</si>
  <si>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</si>
  <si>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</si>
  <si>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</si>
  <si>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</si>
  <si>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</si>
  <si>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</si>
  <si>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</si>
  <si>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</si>
  <si>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</si>
  <si>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</si>
  <si>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</si>
  <si>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</si>
  <si>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</si>
  <si>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</si>
  <si>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</si>
  <si>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</si>
  <si>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</si>
  <si>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</si>
  <si>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</si>
  <si>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</si>
  <si>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</si>
  <si>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</si>
  <si>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</si>
  <si>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</si>
  <si>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</si>
  <si>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</si>
  <si>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</si>
  <si>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</si>
  <si>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</si>
  <si>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</si>
  <si>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</si>
  <si>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</si>
  <si>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</si>
  <si>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</si>
  <si>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</si>
  <si>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</si>
  <si>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</si>
  <si>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</si>
  <si>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</si>
  <si>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</si>
  <si>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</si>
  <si>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</si>
  <si>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</si>
  <si>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</si>
  <si>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</si>
  <si>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</si>
  <si>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</si>
  <si>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</si>
  <si>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</si>
  <si>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</si>
  <si>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</si>
  <si>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</si>
  <si>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</si>
  <si>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</si>
  <si>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</si>
  <si>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</si>
  <si>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</si>
  <si>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</si>
  <si>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</si>
  <si>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</si>
  <si>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</si>
  <si>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</si>
  <si>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</si>
  <si>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</si>
  <si>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</si>
  <si>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</si>
  <si>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</si>
  <si>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</si>
  <si>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</si>
  <si>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</si>
  <si>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</si>
  <si>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</si>
  <si>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</si>
  <si>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</si>
  <si>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</si>
  <si>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</si>
  <si>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</si>
  <si>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</si>
  <si>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</si>
  <si>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</si>
  <si>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</si>
  <si>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</si>
  <si>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</si>
  <si>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</si>
  <si>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</si>
  <si>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</si>
  <si>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</si>
  <si>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</si>
  <si>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</si>
  <si>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</si>
  <si>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</si>
  <si>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</si>
  <si>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</si>
  <si>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</si>
  <si>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</si>
  <si>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</si>
  <si>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</si>
  <si>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</si>
  <si>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</si>
  <si>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</si>
  <si>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</si>
  <si>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</si>
  <si>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</si>
  <si>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</si>
  <si>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</si>
  <si>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</si>
  <si>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</si>
  <si>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</si>
  <si>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</si>
  <si>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</si>
  <si>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</si>
  <si>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</si>
  <si>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</si>
  <si>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</si>
  <si>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</si>
  <si>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</si>
  <si>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</si>
  <si>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</si>
  <si>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</si>
  <si>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</si>
  <si>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</si>
  <si>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</si>
  <si>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</si>
  <si>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</si>
  <si>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</si>
  <si>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</si>
  <si>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</si>
  <si>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</si>
  <si>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</si>
  <si>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</si>
  <si>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</si>
  <si>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</si>
  <si>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</si>
  <si>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</si>
  <si>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</si>
  <si>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</si>
  <si>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</si>
  <si>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</si>
  <si>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</si>
  <si>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</si>
  <si>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</si>
  <si>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</si>
  <si>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</si>
  <si>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</si>
  <si>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</si>
  <si>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</si>
  <si>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</si>
  <si>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</si>
  <si>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</si>
  <si>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</si>
  <si>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</si>
  <si>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</si>
  <si>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</si>
  <si>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</si>
  <si>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</si>
  <si>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</si>
  <si>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</si>
  <si>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</si>
  <si>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</si>
  <si>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</si>
  <si>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</si>
  <si>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</si>
  <si>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</si>
  <si>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</si>
  <si>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</si>
  <si>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</si>
  <si>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</si>
  <si>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</si>
  <si>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</si>
  <si>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</si>
  <si>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</si>
  <si>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</si>
  <si>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</si>
  <si>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</si>
  <si>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</si>
  <si>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</si>
  <si>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</si>
  <si>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</si>
  <si>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</si>
  <si>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</si>
  <si>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</si>
  <si>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</si>
  <si>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</si>
  <si>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</si>
  <si>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</si>
  <si>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</si>
  <si>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</si>
  <si>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</si>
  <si>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</si>
  <si>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</si>
  <si>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</si>
  <si>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</si>
  <si>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</si>
  <si>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</si>
  <si>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</si>
  <si>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</si>
  <si>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</si>
  <si>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</si>
  <si>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</si>
  <si>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</si>
  <si>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</si>
  <si>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</si>
  <si>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</si>
  <si>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</si>
  <si>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</si>
  <si>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</si>
  <si>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</si>
  <si>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</si>
  <si>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</si>
  <si>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</si>
  <si>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</si>
  <si>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</si>
  <si>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</si>
  <si>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</si>
  <si>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</si>
  <si>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</si>
  <si>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</si>
  <si>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</si>
  <si>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</si>
  <si>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</si>
  <si>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</si>
  <si>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</si>
  <si>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</si>
  <si>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</si>
  <si>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</si>
  <si>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</si>
  <si>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</si>
  <si>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</si>
  <si>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</si>
  <si>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</si>
  <si>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</si>
  <si>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</si>
  <si>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</si>
  <si>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</si>
  <si>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</si>
  <si>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</si>
  <si>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</si>
  <si>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</si>
  <si>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</si>
  <si>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</si>
  <si>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</si>
  <si>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</si>
  <si>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</si>
  <si>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</si>
  <si>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</si>
  <si>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</si>
  <si>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</si>
  <si>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</si>
  <si>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</si>
  <si>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</si>
  <si>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</si>
  <si>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</si>
  <si>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</si>
  <si>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</si>
  <si>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</si>
  <si>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</si>
  <si>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</si>
  <si>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</si>
  <si>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</si>
  <si>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</si>
  <si>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</si>
  <si>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</si>
  <si>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</si>
  <si>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</si>
  <si>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</si>
  <si>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</si>
  <si>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</si>
  <si>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</si>
  <si>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</si>
  <si>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</si>
  <si>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</si>
  <si>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</si>
  <si>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</si>
  <si>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</si>
  <si>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</si>
  <si>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</si>
  <si>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</si>
  <si>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</si>
  <si>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</si>
  <si>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</si>
  <si>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</si>
  <si>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</si>
  <si>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</si>
  <si>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</si>
  <si>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</si>
  <si>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</si>
  <si>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</si>
  <si>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</si>
  <si>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</si>
  <si>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</si>
  <si>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</si>
  <si>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</si>
  <si>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</si>
  <si>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</si>
  <si>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</si>
  <si>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</si>
  <si>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</si>
  <si>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</si>
  <si>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</si>
  <si>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</si>
  <si>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</si>
  <si>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</si>
  <si>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</si>
  <si>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</si>
  <si>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</si>
  <si>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</si>
  <si>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</si>
  <si>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</si>
  <si>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</si>
  <si>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</si>
  <si>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</si>
  <si>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</si>
  <si>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</si>
  <si>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</si>
  <si>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</si>
  <si>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</si>
  <si>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</si>
  <si>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</si>
  <si>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</si>
  <si>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</si>
  <si>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</si>
  <si>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</si>
  <si>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</si>
  <si>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</si>
  <si>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</si>
  <si>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</si>
  <si>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</si>
  <si>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</si>
  <si>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</si>
  <si>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</si>
  <si>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</si>
  <si>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</si>
  <si>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</si>
  <si>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</si>
  <si>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</si>
  <si>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</si>
  <si>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</si>
  <si>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</si>
  <si>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</si>
  <si>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</si>
  <si>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</si>
  <si>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</si>
  <si>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</si>
  <si>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</si>
  <si>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</si>
  <si>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</si>
  <si>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</si>
  <si>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</si>
  <si>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</si>
  <si>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</si>
  <si>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</si>
  <si>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</si>
  <si>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</si>
  <si>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</si>
  <si>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</si>
  <si>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</si>
  <si>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</si>
  <si>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</si>
  <si>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</si>
  <si>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</si>
  <si>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</si>
  <si>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</si>
  <si>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</si>
  <si>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</si>
  <si>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</si>
  <si>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</si>
  <si>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</si>
  <si>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</si>
  <si>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</si>
  <si>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</si>
  <si>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</si>
  <si>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</si>
  <si>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</si>
  <si>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</si>
  <si>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</si>
  <si>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</si>
  <si>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</si>
  <si>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</si>
  <si>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</si>
  <si>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</si>
  <si>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</si>
  <si>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</si>
  <si>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</si>
  <si>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</si>
  <si>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</si>
  <si>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</si>
  <si>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</si>
  <si>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</si>
  <si>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</si>
  <si>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</si>
  <si>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</si>
  <si>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</si>
  <si>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</si>
  <si>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</si>
  <si>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</si>
  <si>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</si>
  <si>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</si>
  <si>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</si>
  <si>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</si>
  <si>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</si>
  <si>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</si>
  <si>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</si>
  <si>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</si>
  <si>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</si>
  <si>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</si>
  <si>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</si>
  <si>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</si>
  <si>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</si>
  <si>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</si>
  <si>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</si>
  <si>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</si>
  <si>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</si>
  <si>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</si>
  <si>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</si>
  <si>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</si>
  <si>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</si>
  <si>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</si>
  <si>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</si>
  <si>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</si>
  <si>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</si>
  <si>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</si>
  <si>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</si>
  <si>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</si>
  <si>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</si>
  <si>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</si>
  <si>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</si>
  <si>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</si>
  <si>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</si>
  <si>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</si>
  <si>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</si>
  <si>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</si>
  <si>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</si>
  <si>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</si>
  <si>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</si>
  <si>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</si>
  <si>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</si>
  <si>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</si>
  <si>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</si>
  <si>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</si>
  <si>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</si>
  <si>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</si>
  <si>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</si>
  <si>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</si>
  <si>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</si>
  <si>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</si>
  <si>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</si>
  <si>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</si>
  <si>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</si>
  <si>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</si>
  <si>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</si>
  <si>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</si>
  <si>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</si>
  <si>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</si>
  <si>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</si>
  <si>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</si>
  <si>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</si>
  <si>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</si>
  <si>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</si>
  <si>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</si>
  <si>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</si>
  <si>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</si>
  <si>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</si>
  <si>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</si>
  <si>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</si>
  <si>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</si>
  <si>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</si>
  <si>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</si>
  <si>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</si>
  <si>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</si>
  <si>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</si>
  <si>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</si>
  <si>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</si>
  <si>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</si>
  <si>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</si>
  <si>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</si>
  <si>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</si>
  <si>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</si>
  <si>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</si>
  <si>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</si>
  <si>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</si>
  <si>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</si>
  <si>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</si>
  <si>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</si>
  <si>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</si>
  <si>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</si>
  <si>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</si>
  <si>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</si>
  <si>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</si>
  <si>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</si>
  <si>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</si>
  <si>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</si>
  <si>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</si>
  <si>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</si>
  <si>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</si>
  <si>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</si>
  <si>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</si>
  <si>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</si>
  <si>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</si>
  <si>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</si>
  <si>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</si>
  <si>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</si>
  <si>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</si>
  <si>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</si>
  <si>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</si>
  <si>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</si>
  <si>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</si>
  <si>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</si>
  <si>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</si>
  <si>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</si>
  <si>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</si>
  <si>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</si>
  <si>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</si>
  <si>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</si>
  <si>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</si>
  <si>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</si>
  <si>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</si>
  <si>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</si>
  <si>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</si>
  <si>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</si>
  <si>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</si>
  <si>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</si>
  <si>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</si>
  <si>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</si>
  <si>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</si>
  <si>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</si>
  <si>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</si>
  <si>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</si>
  <si>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</si>
  <si>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</si>
  <si>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</si>
  <si>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</si>
  <si>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</si>
  <si>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</si>
  <si>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</si>
  <si>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</si>
  <si>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</si>
  <si>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</si>
  <si>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</si>
  <si>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</si>
  <si>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</si>
  <si>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</si>
  <si>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</si>
  <si>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</si>
  <si>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</si>
  <si>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</si>
  <si>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</si>
  <si>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</si>
  <si>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</si>
  <si>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</si>
  <si>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</si>
  <si>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</si>
  <si>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</si>
  <si>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</si>
  <si>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</si>
  <si>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</si>
  <si>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</si>
  <si>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</si>
  <si>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</si>
  <si>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</si>
  <si>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</si>
  <si>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</si>
  <si>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</si>
  <si>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</si>
  <si>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</si>
  <si>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</si>
  <si>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</si>
  <si>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</si>
  <si>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</si>
  <si>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</si>
  <si>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</si>
  <si>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</si>
  <si>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</si>
  <si>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</si>
  <si>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</si>
  <si>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</si>
  <si>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</si>
  <si>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</si>
  <si>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</si>
  <si>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</si>
  <si>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</si>
  <si>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</si>
  <si>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</si>
  <si>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</si>
  <si>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</si>
  <si>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</si>
  <si>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</si>
  <si>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</si>
  <si>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</si>
  <si>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</si>
  <si>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</si>
  <si>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</si>
  <si>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</si>
  <si>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</si>
  <si>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</si>
  <si>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</si>
  <si>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</si>
  <si>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</si>
  <si>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</si>
  <si>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</si>
  <si>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</si>
  <si>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</si>
  <si>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</si>
  <si>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</si>
  <si>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</si>
  <si>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</si>
  <si>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</si>
  <si>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</si>
  <si>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</si>
  <si>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</si>
  <si>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</si>
  <si>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</si>
  <si>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</si>
  <si>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</si>
  <si>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</si>
  <si>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</si>
  <si>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</si>
  <si>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</si>
  <si>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</si>
  <si>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</si>
  <si>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</si>
  <si>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</si>
  <si>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</si>
  <si>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</si>
  <si>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</si>
  <si>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</si>
  <si>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</si>
  <si>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</si>
  <si>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</si>
  <si>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</si>
  <si>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</si>
  <si>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</si>
  <si>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</si>
  <si>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</si>
  <si>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</si>
  <si>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</si>
  <si>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</si>
  <si>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</si>
  <si>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</si>
  <si>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</si>
  <si>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</si>
  <si>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</si>
  <si>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</si>
  <si>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</si>
  <si>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</si>
  <si>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</si>
  <si>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</si>
  <si>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</si>
  <si>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</si>
  <si>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</si>
  <si>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</si>
  <si>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</si>
  <si>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</si>
  <si>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</si>
  <si>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</si>
  <si>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</si>
  <si>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</si>
  <si>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</si>
  <si>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</si>
  <si>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</si>
  <si>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</si>
  <si>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</si>
  <si>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</si>
  <si>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</si>
  <si>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</si>
  <si>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</si>
  <si>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</si>
  <si>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</si>
  <si>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</si>
  <si>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</si>
  <si>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</si>
  <si>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</si>
  <si>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</si>
  <si>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</si>
  <si>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</si>
  <si>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</si>
  <si>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</si>
  <si>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</si>
  <si>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</si>
  <si>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</si>
  <si>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</si>
  <si>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</si>
  <si>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</si>
  <si>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</si>
  <si>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</si>
  <si>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</si>
  <si>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</si>
  <si>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</si>
  <si>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</si>
  <si>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</si>
  <si>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</si>
  <si>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</si>
  <si>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</si>
  <si>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</si>
  <si>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</si>
  <si>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</si>
  <si>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</si>
  <si>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</si>
  <si>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</si>
  <si>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</si>
  <si>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</si>
  <si>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</si>
  <si>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</si>
  <si>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</si>
  <si>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</si>
  <si>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</si>
  <si>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</si>
  <si>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</si>
  <si>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</si>
  <si>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</si>
  <si>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</si>
  <si>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</si>
  <si>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</si>
  <si>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</si>
  <si>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</si>
  <si>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</si>
  <si>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</si>
  <si>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</si>
  <si>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</si>
  <si>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</si>
  <si>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</si>
  <si>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</si>
  <si>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</si>
  <si>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</si>
  <si>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</si>
  <si>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</si>
  <si>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</si>
  <si>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</si>
  <si>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</si>
  <si>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</si>
  <si>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</si>
  <si>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</si>
  <si>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</si>
  <si>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</si>
  <si>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</si>
  <si>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</si>
  <si>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</si>
  <si>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</si>
  <si>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</si>
  <si>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</si>
  <si>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</si>
  <si>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</si>
  <si>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</si>
  <si>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</si>
  <si>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</si>
  <si>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</si>
  <si>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</si>
  <si>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</si>
  <si>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</si>
  <si>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</si>
  <si>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</si>
  <si>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</si>
  <si>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</si>
  <si>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</si>
  <si>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</si>
  <si>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</si>
  <si>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</si>
  <si>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</si>
  <si>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</si>
  <si>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</si>
  <si>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</si>
  <si>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</si>
  <si>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</si>
  <si>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</si>
  <si>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</si>
  <si>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</si>
  <si>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</si>
  <si>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</si>
  <si>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</si>
  <si>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</si>
  <si>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</si>
  <si>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</si>
  <si>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</si>
  <si>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</si>
  <si>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</si>
  <si>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</si>
  <si>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</si>
  <si>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</si>
  <si>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</si>
  <si>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</si>
  <si>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</si>
  <si>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</si>
  <si>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</si>
  <si>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</si>
  <si>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</si>
  <si>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</si>
  <si>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</si>
  <si>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</si>
  <si>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</si>
  <si>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</si>
  <si>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</si>
  <si>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</si>
  <si>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</si>
  <si>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</si>
  <si>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</si>
  <si>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</si>
  <si>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</si>
  <si>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</si>
  <si>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</si>
  <si>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</si>
  <si>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</si>
  <si>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</si>
  <si>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</si>
  <si>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</si>
  <si>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</si>
  <si>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</si>
  <si>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</si>
  <si>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</si>
  <si>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</si>
  <si>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</si>
  <si>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</si>
  <si>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</si>
  <si>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</si>
  <si>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</si>
  <si>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</si>
  <si>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</si>
  <si>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</si>
  <si>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</si>
  <si>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</si>
  <si>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</si>
  <si>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</si>
  <si>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</si>
  <si>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</si>
  <si>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</si>
  <si>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</si>
  <si>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</si>
  <si>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</si>
  <si>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</si>
  <si>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</si>
  <si>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</si>
  <si>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</si>
  <si>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</si>
  <si>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</si>
  <si>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</si>
  <si>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</si>
  <si>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</si>
  <si>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</si>
  <si>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</si>
  <si>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</si>
  <si>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</si>
  <si>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</si>
  <si>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</si>
  <si>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</si>
  <si>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</si>
  <si>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</si>
  <si>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</si>
  <si>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</si>
  <si>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</si>
  <si>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</si>
  <si>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</si>
  <si>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</si>
  <si>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</si>
  <si>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</si>
  <si>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</si>
  <si>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</si>
  <si>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</si>
  <si>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</si>
  <si>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</si>
  <si>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</si>
  <si>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</si>
  <si>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</si>
  <si>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</si>
  <si>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</si>
  <si>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</si>
  <si>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</si>
  <si>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</si>
  <si>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</si>
  <si>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</si>
  <si>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</si>
  <si>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</si>
  <si>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</si>
  <si>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</si>
  <si>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</si>
  <si>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</si>
  <si>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</si>
  <si>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</si>
  <si>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</si>
  <si>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</si>
  <si>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</si>
  <si>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</si>
  <si>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</si>
  <si>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</si>
  <si>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</si>
  <si>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</si>
  <si>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</si>
  <si>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</si>
  <si>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</si>
  <si>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</si>
  <si>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</si>
  <si>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</si>
  <si>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</si>
  <si>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</si>
  <si>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</si>
  <si>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</si>
  <si>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</si>
  <si>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</si>
  <si>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</si>
  <si>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</si>
  <si>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</si>
  <si>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</si>
  <si>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</si>
  <si>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</si>
  <si>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</si>
  <si>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</si>
  <si>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</si>
  <si>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</si>
  <si>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</si>
  <si>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</si>
  <si>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</si>
  <si>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</si>
  <si>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</si>
  <si>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</si>
  <si>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</si>
  <si>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</si>
  <si>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</si>
  <si>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</si>
  <si>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</si>
  <si>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</si>
  <si>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</si>
  <si>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</si>
  <si>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</si>
  <si>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</si>
  <si>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</si>
  <si>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</si>
  <si>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</si>
  <si>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</si>
  <si>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</si>
  <si>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</si>
  <si>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</si>
  <si>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</si>
  <si>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</si>
  <si>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</si>
  <si>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</si>
  <si>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</si>
  <si>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</si>
  <si>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</si>
  <si>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</si>
  <si>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</si>
  <si>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</si>
  <si>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</si>
  <si>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</si>
  <si>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</si>
  <si>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</si>
  <si>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</si>
  <si>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</si>
  <si>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</si>
  <si>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</si>
  <si>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</si>
  <si>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</si>
  <si>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</si>
  <si>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</si>
  <si>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</si>
  <si>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</si>
  <si>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</si>
  <si>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</si>
  <si>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</si>
  <si>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</si>
  <si>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</si>
  <si>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</si>
  <si>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</si>
  <si>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</si>
  <si>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</si>
  <si>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</si>
  <si>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</si>
  <si>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</si>
  <si>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</si>
  <si>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</si>
  <si>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</si>
  <si>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</si>
  <si>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</si>
  <si>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</si>
  <si>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</si>
  <si>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</si>
  <si>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</si>
  <si>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</si>
  <si>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</si>
  <si>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</si>
  <si>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</si>
  <si>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</si>
  <si>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</si>
  <si>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</si>
  <si>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</si>
  <si>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</si>
  <si>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</si>
  <si>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</si>
  <si>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</si>
  <si>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</si>
  <si>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</si>
  <si>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</si>
  <si>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</si>
  <si>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</si>
  <si>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</si>
  <si>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</si>
  <si>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</si>
  <si>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</si>
  <si>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</si>
  <si>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</si>
  <si>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</si>
  <si>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</si>
  <si>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</si>
  <si>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</si>
  <si>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</si>
  <si>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</si>
  <si>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</si>
  <si>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</si>
  <si>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</si>
  <si>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</si>
  <si>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</si>
  <si>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</si>
  <si>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</si>
  <si>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</si>
  <si>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</si>
  <si>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</si>
  <si>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</si>
  <si>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</si>
  <si>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</si>
  <si>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</si>
  <si>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</si>
  <si>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</si>
  <si>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</si>
  <si>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</si>
  <si>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</si>
  <si>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</si>
  <si>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</si>
  <si>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</si>
  <si>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</si>
  <si>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</si>
  <si>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</si>
  <si>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</si>
  <si>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</si>
  <si>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</si>
  <si>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</si>
  <si>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</si>
  <si>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</si>
  <si>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</si>
  <si>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</si>
  <si>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</si>
  <si>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</si>
  <si>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</si>
  <si>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</si>
  <si>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</si>
  <si>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</si>
  <si>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</si>
  <si>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</si>
  <si>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</si>
  <si>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</si>
  <si>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</si>
  <si>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</si>
  <si>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</si>
  <si>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</si>
  <si>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</si>
  <si>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</si>
  <si>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</si>
  <si>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</si>
  <si>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</si>
  <si>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</si>
  <si>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</si>
  <si>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</si>
  <si>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</si>
  <si>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</si>
  <si>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</si>
  <si>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</si>
  <si>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</si>
  <si>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</si>
  <si>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</si>
  <si>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</si>
  <si>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</si>
  <si>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</si>
  <si>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</si>
  <si>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</si>
  <si>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</si>
  <si>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</si>
  <si>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</si>
  <si>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</si>
  <si>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</si>
  <si>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</si>
  <si>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</si>
  <si>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</si>
  <si>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</si>
  <si>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</si>
  <si>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</si>
  <si>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</si>
  <si>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</si>
  <si>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</si>
  <si>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</si>
  <si>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</si>
  <si>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</si>
  <si>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</si>
  <si>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</si>
  <si>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</si>
  <si>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</si>
  <si>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</si>
  <si>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</si>
  <si>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</si>
  <si>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</si>
  <si>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</si>
  <si>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</si>
  <si>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</si>
  <si>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</si>
  <si>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</si>
  <si>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</si>
  <si>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</si>
  <si>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</si>
  <si>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</si>
  <si>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</si>
  <si>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</si>
  <si>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</si>
  <si>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</si>
  <si>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</si>
  <si>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</si>
  <si>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</si>
  <si>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</si>
  <si>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</si>
  <si>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</si>
  <si>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</si>
  <si>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</si>
  <si>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</si>
  <si>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</si>
  <si>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</si>
  <si>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</si>
  <si>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</si>
  <si>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</si>
  <si>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</si>
  <si>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</si>
  <si>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</si>
  <si>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</si>
  <si>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</si>
  <si>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</si>
  <si>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</si>
  <si>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</si>
  <si>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</si>
  <si>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</si>
  <si>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</si>
  <si>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</si>
  <si>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</si>
  <si>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</si>
  <si>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</si>
  <si>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</si>
  <si>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</si>
  <si>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</si>
  <si>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</si>
  <si>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</si>
  <si>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</si>
  <si>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</si>
  <si>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</si>
  <si>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</si>
  <si>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</si>
  <si>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</si>
  <si>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</si>
  <si>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</si>
  <si>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</si>
  <si>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</si>
  <si>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</si>
  <si>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</si>
  <si>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</si>
  <si>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</si>
  <si>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</si>
  <si>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</si>
  <si>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</si>
  <si>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</si>
  <si>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</si>
  <si>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</si>
  <si>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</si>
  <si>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</si>
  <si>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</si>
  <si>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</si>
  <si>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</si>
  <si>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</si>
  <si>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</si>
  <si>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</si>
  <si>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</si>
  <si>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</si>
  <si>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</si>
  <si>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</si>
  <si>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</si>
  <si>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</si>
  <si>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</si>
  <si>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</si>
  <si>
    <t>1002 -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</si>
</sst>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  <xf numFmtId="2" fontId="0" fillId="40" borderId="13" xfId="0" applyNumberFormat="1" applyFill="1" applyBorder="1" applyAlignment="1">
      <alignment horizontal="center"/>
    </xf>
    <xf numFmtId="0" fontId="16" fillId="42" borderId="13" xfId="0" applyFont="1" applyFill="1" applyBorder="1" applyAlignment="1">
      <alignment horizontal="center" vertical="center"/>
    </xf>
    <xf numFmtId="0" fontId="0" fillId="42" borderId="13" xfId="0" applyFill="1" applyBorder="1" applyAlignment="1">
      <alignment horizontal="center" vertical="center"/>
    </xf>
    <xf numFmtId="9" fontId="18" fillId="42" borderId="13" xfId="42" applyFont="1" applyFill="1" applyBorder="1" applyAlignment="1">
      <alignment horizontal="center" vertical="center"/>
    </xf>
    <xf numFmtId="2" fontId="0" fillId="42" borderId="13" xfId="0" applyNumberFormat="1" applyFill="1" applyBorder="1" applyAlignment="1">
      <alignment horizontal="center"/>
    </xf>
    <xf numFmtId="2" fontId="0" fillId="42" borderId="13" xfId="0" applyNumberFormat="1" applyFill="1" applyBorder="1" applyAlignment="1">
      <alignment horizontal="center" vertical="center"/>
    </xf>
    <xf numFmtId="2" fontId="19" fillId="42" borderId="13" xfId="0" applyNumberFormat="1" applyFont="1" applyFill="1" applyBorder="1" applyAlignment="1">
      <alignment horizontal="center" vertical="center"/>
    </xf>
    <xf numFmtId="22" fontId="0" fillId="0" borderId="0" xfId="0" applyNumberFormat="1"/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N2277"/>
  <sheetViews>
    <sheetView topLeftCell="A354" zoomScale="71" workbookViewId="0">
      <selection activeCell="L48" sqref="L48:L215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hidden="1" x14ac:dyDescent="0.3">
      <c r="A2" s="38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38</v>
      </c>
      <c r="H2" s="32" t="s">
        <v>39</v>
      </c>
      <c r="I2" s="32" t="s">
        <v>40</v>
      </c>
      <c r="J2" s="32" t="s">
        <v>41</v>
      </c>
      <c r="K2" s="32" t="s">
        <v>42</v>
      </c>
    </row>
    <row r="3" spans="1:14" s="32" customFormat="1" hidden="1" x14ac:dyDescent="0.3">
      <c r="A3" s="38">
        <v>46234.729409722226</v>
      </c>
      <c r="B3" s="32">
        <v>44999387742</v>
      </c>
      <c r="C3" s="32" t="s">
        <v>43</v>
      </c>
      <c r="D3" s="32">
        <v>4430265054</v>
      </c>
      <c r="E3" s="32">
        <v>255</v>
      </c>
      <c r="F3" s="32">
        <v>225</v>
      </c>
      <c r="G3" s="32" t="s">
        <v>44</v>
      </c>
      <c r="H3" s="32" t="s">
        <v>45</v>
      </c>
      <c r="I3" s="32" t="s">
        <v>40</v>
      </c>
      <c r="J3" s="32" t="s">
        <v>46</v>
      </c>
      <c r="K3" s="32" t="s">
        <v>42</v>
      </c>
      <c r="M3" s="32" t="s">
        <v>47</v>
      </c>
      <c r="N3" s="32" t="s">
        <v>43</v>
      </c>
    </row>
    <row r="4" spans="1:14" s="32" customFormat="1" hidden="1" x14ac:dyDescent="0.3">
      <c r="A4" s="38">
        <v>46234.726643518516</v>
      </c>
      <c r="B4" s="32">
        <v>44997561804</v>
      </c>
      <c r="C4" s="32" t="s">
        <v>43</v>
      </c>
      <c r="D4" s="32">
        <v>4430265054</v>
      </c>
      <c r="E4" s="32">
        <v>148</v>
      </c>
      <c r="F4" s="32">
        <v>112</v>
      </c>
      <c r="G4" s="32" t="s">
        <v>44</v>
      </c>
      <c r="H4" s="32" t="s">
        <v>48</v>
      </c>
      <c r="I4" s="32" t="s">
        <v>40</v>
      </c>
      <c r="J4" s="32" t="s">
        <v>46</v>
      </c>
      <c r="K4" s="32" t="s">
        <v>42</v>
      </c>
      <c r="M4" s="32" t="s">
        <v>47</v>
      </c>
      <c r="N4" s="32" t="s">
        <v>43</v>
      </c>
    </row>
    <row r="5" spans="1:14" s="32" customFormat="1" hidden="1" x14ac:dyDescent="0.3">
      <c r="A5" s="38">
        <v>46234.720775462964</v>
      </c>
      <c r="B5" s="32">
        <v>41995061279</v>
      </c>
      <c r="C5" s="32" t="s">
        <v>49</v>
      </c>
      <c r="D5" s="32">
        <v>4430265054</v>
      </c>
      <c r="E5" s="32">
        <v>486</v>
      </c>
      <c r="F5" s="32">
        <v>460</v>
      </c>
      <c r="G5" s="32" t="s">
        <v>44</v>
      </c>
      <c r="H5" s="32" t="s">
        <v>50</v>
      </c>
      <c r="I5" s="32" t="s">
        <v>40</v>
      </c>
      <c r="J5" s="32" t="s">
        <v>46</v>
      </c>
      <c r="K5" s="32" t="s">
        <v>42</v>
      </c>
      <c r="M5" s="32" t="s">
        <v>51</v>
      </c>
      <c r="N5" s="32" t="s">
        <v>49</v>
      </c>
    </row>
    <row r="6" spans="1:14" s="32" customFormat="1" hidden="1" x14ac:dyDescent="0.3">
      <c r="A6" s="38">
        <v>46234.705543981479</v>
      </c>
      <c r="B6" s="32">
        <v>44999657967</v>
      </c>
      <c r="C6" s="32" t="s">
        <v>43</v>
      </c>
      <c r="D6" s="32">
        <v>4430265054</v>
      </c>
      <c r="E6" s="32">
        <v>485</v>
      </c>
      <c r="F6" s="32">
        <v>456</v>
      </c>
      <c r="G6" s="32" t="s">
        <v>44</v>
      </c>
      <c r="H6" s="32" t="s">
        <v>52</v>
      </c>
      <c r="I6" s="32" t="s">
        <v>40</v>
      </c>
      <c r="J6" s="32" t="s">
        <v>46</v>
      </c>
      <c r="K6" s="32" t="s">
        <v>42</v>
      </c>
      <c r="L6" s="32">
        <v>5</v>
      </c>
      <c r="M6" s="32" t="s">
        <v>47</v>
      </c>
      <c r="N6" s="32" t="s">
        <v>43</v>
      </c>
    </row>
    <row r="7" spans="1:14" s="32" customFormat="1" hidden="1" x14ac:dyDescent="0.3">
      <c r="A7" s="38">
        <v>46234.693761574075</v>
      </c>
      <c r="B7" s="32" t="s">
        <v>43</v>
      </c>
      <c r="C7" s="32">
        <v>4432462382</v>
      </c>
      <c r="E7" s="32">
        <v>25</v>
      </c>
      <c r="F7" s="32">
        <v>12</v>
      </c>
      <c r="G7" s="32" t="s">
        <v>44</v>
      </c>
      <c r="H7" s="32" t="s">
        <v>53</v>
      </c>
      <c r="I7" s="32" t="s">
        <v>54</v>
      </c>
      <c r="J7" s="32" t="s">
        <v>46</v>
      </c>
      <c r="M7" s="32" t="s">
        <v>47</v>
      </c>
      <c r="N7" s="32" t="s">
        <v>43</v>
      </c>
    </row>
    <row r="8" spans="1:14" s="32" customFormat="1" hidden="1" x14ac:dyDescent="0.3">
      <c r="A8" s="38">
        <v>46234.693391203706</v>
      </c>
      <c r="B8" s="32" t="s">
        <v>43</v>
      </c>
      <c r="C8" s="32">
        <v>4432462382</v>
      </c>
      <c r="E8" s="32">
        <v>21</v>
      </c>
      <c r="F8" s="32">
        <v>8</v>
      </c>
      <c r="G8" s="32" t="s">
        <v>44</v>
      </c>
      <c r="H8" s="32" t="s">
        <v>55</v>
      </c>
      <c r="I8" s="32" t="s">
        <v>54</v>
      </c>
      <c r="J8" s="32" t="s">
        <v>46</v>
      </c>
      <c r="M8" s="32" t="s">
        <v>47</v>
      </c>
      <c r="N8" s="32" t="s">
        <v>43</v>
      </c>
    </row>
    <row r="9" spans="1:14" s="32" customFormat="1" hidden="1" x14ac:dyDescent="0.3">
      <c r="A9" s="38">
        <v>46234.693310185183</v>
      </c>
      <c r="B9" s="32" t="s">
        <v>43</v>
      </c>
      <c r="C9" s="32">
        <v>4432462382</v>
      </c>
      <c r="E9" s="32">
        <v>14</v>
      </c>
      <c r="F9" s="32">
        <v>13</v>
      </c>
      <c r="G9" s="32" t="s">
        <v>44</v>
      </c>
      <c r="H9" s="32" t="s">
        <v>56</v>
      </c>
      <c r="I9" s="32" t="s">
        <v>54</v>
      </c>
      <c r="J9" s="32" t="s">
        <v>46</v>
      </c>
      <c r="M9" s="32" t="s">
        <v>47</v>
      </c>
      <c r="N9" s="32" t="s">
        <v>43</v>
      </c>
    </row>
    <row r="10" spans="1:14" s="32" customFormat="1" hidden="1" x14ac:dyDescent="0.3">
      <c r="A10" s="38">
        <v>46234.689259259256</v>
      </c>
      <c r="B10" s="32">
        <v>4435228300</v>
      </c>
      <c r="C10" s="32" t="s">
        <v>49</v>
      </c>
      <c r="D10" s="32">
        <v>4430265054</v>
      </c>
      <c r="E10" s="32">
        <v>168</v>
      </c>
      <c r="F10" s="32">
        <v>143</v>
      </c>
      <c r="G10" s="32" t="s">
        <v>44</v>
      </c>
      <c r="H10" s="32" t="s">
        <v>57</v>
      </c>
      <c r="I10" s="32" t="s">
        <v>40</v>
      </c>
      <c r="J10" s="32" t="s">
        <v>46</v>
      </c>
      <c r="K10" s="32" t="s">
        <v>42</v>
      </c>
      <c r="M10" s="32" t="s">
        <v>51</v>
      </c>
      <c r="N10" s="32" t="s">
        <v>49</v>
      </c>
    </row>
    <row r="11" spans="1:14" s="32" customFormat="1" hidden="1" x14ac:dyDescent="0.3">
      <c r="A11" s="38">
        <v>46234.689201388886</v>
      </c>
      <c r="B11" s="32" t="s">
        <v>58</v>
      </c>
      <c r="C11" s="32">
        <v>4436196400</v>
      </c>
      <c r="E11" s="32">
        <v>119</v>
      </c>
      <c r="F11" s="32">
        <v>113</v>
      </c>
      <c r="G11" s="32" t="s">
        <v>44</v>
      </c>
      <c r="H11" s="32" t="s">
        <v>59</v>
      </c>
      <c r="I11" s="32" t="s">
        <v>54</v>
      </c>
      <c r="J11" s="32" t="s">
        <v>46</v>
      </c>
      <c r="M11" s="32" t="s">
        <v>60</v>
      </c>
      <c r="N11" s="32" t="s">
        <v>58</v>
      </c>
    </row>
    <row r="12" spans="1:14" s="32" customFormat="1" hidden="1" x14ac:dyDescent="0.3">
      <c r="A12" s="38">
        <v>46234.68409722222</v>
      </c>
      <c r="B12" s="32">
        <v>41991740047</v>
      </c>
      <c r="C12" s="32" t="s">
        <v>49</v>
      </c>
      <c r="D12" s="32">
        <v>4430265054</v>
      </c>
      <c r="E12" s="32">
        <v>95</v>
      </c>
      <c r="F12" s="32">
        <v>76</v>
      </c>
      <c r="G12" s="32" t="s">
        <v>44</v>
      </c>
      <c r="H12" s="32" t="s">
        <v>61</v>
      </c>
      <c r="I12" s="32" t="s">
        <v>40</v>
      </c>
      <c r="J12" s="32" t="s">
        <v>46</v>
      </c>
      <c r="K12" s="32" t="s">
        <v>42</v>
      </c>
      <c r="M12" s="32" t="s">
        <v>51</v>
      </c>
      <c r="N12" s="32" t="s">
        <v>49</v>
      </c>
    </row>
    <row r="13" spans="1:14" s="32" customFormat="1" hidden="1" x14ac:dyDescent="0.3">
      <c r="A13" s="38">
        <v>46234.682870370372</v>
      </c>
      <c r="B13" s="32" t="s">
        <v>49</v>
      </c>
      <c r="C13" s="32">
        <v>44998620323</v>
      </c>
      <c r="E13" s="32">
        <v>59</v>
      </c>
      <c r="F13" s="32">
        <v>53</v>
      </c>
      <c r="G13" s="32" t="s">
        <v>44</v>
      </c>
      <c r="H13" s="32" t="s">
        <v>62</v>
      </c>
      <c r="I13" s="32" t="s">
        <v>54</v>
      </c>
      <c r="J13" s="32" t="s">
        <v>46</v>
      </c>
      <c r="M13" s="32" t="s">
        <v>51</v>
      </c>
      <c r="N13" s="32" t="s">
        <v>49</v>
      </c>
    </row>
    <row r="14" spans="1:14" s="32" customFormat="1" hidden="1" x14ac:dyDescent="0.3">
      <c r="A14" s="38">
        <v>46234.682800925926</v>
      </c>
      <c r="B14" s="32" t="s">
        <v>49</v>
      </c>
      <c r="C14" s="32">
        <v>44998620323</v>
      </c>
      <c r="E14" s="32">
        <v>3</v>
      </c>
      <c r="F14" s="32">
        <v>0</v>
      </c>
      <c r="G14" s="32" t="s">
        <v>63</v>
      </c>
      <c r="H14" s="32" t="s">
        <v>64</v>
      </c>
      <c r="I14" s="32" t="s">
        <v>54</v>
      </c>
      <c r="J14" s="32" t="s">
        <v>46</v>
      </c>
      <c r="M14" s="32" t="s">
        <v>51</v>
      </c>
      <c r="N14" s="32" t="s">
        <v>49</v>
      </c>
    </row>
    <row r="15" spans="1:14" s="32" customFormat="1" hidden="1" x14ac:dyDescent="0.3">
      <c r="A15" s="38">
        <v>46234.682372685187</v>
      </c>
      <c r="B15" s="32" t="s">
        <v>49</v>
      </c>
      <c r="C15" s="32">
        <v>44997710633</v>
      </c>
      <c r="E15" s="32">
        <v>31</v>
      </c>
      <c r="F15" s="32">
        <v>19</v>
      </c>
      <c r="G15" s="32" t="s">
        <v>44</v>
      </c>
      <c r="H15" s="32" t="s">
        <v>65</v>
      </c>
      <c r="I15" s="32" t="s">
        <v>54</v>
      </c>
      <c r="J15" s="32" t="s">
        <v>46</v>
      </c>
      <c r="M15" s="32" t="s">
        <v>51</v>
      </c>
      <c r="N15" s="32" t="s">
        <v>49</v>
      </c>
    </row>
    <row r="16" spans="1:14" s="32" customFormat="1" hidden="1" x14ac:dyDescent="0.3">
      <c r="A16" s="38">
        <v>46234.678032407406</v>
      </c>
      <c r="B16" s="32" t="s">
        <v>49</v>
      </c>
      <c r="C16" s="32">
        <v>44997561804</v>
      </c>
      <c r="E16" s="32">
        <v>71</v>
      </c>
      <c r="F16" s="32">
        <v>32</v>
      </c>
      <c r="G16" s="32" t="s">
        <v>44</v>
      </c>
      <c r="H16" s="32" t="s">
        <v>66</v>
      </c>
      <c r="I16" s="32" t="s">
        <v>54</v>
      </c>
      <c r="J16" s="32" t="s">
        <v>46</v>
      </c>
      <c r="M16" s="32" t="s">
        <v>51</v>
      </c>
      <c r="N16" s="32" t="s">
        <v>49</v>
      </c>
    </row>
    <row r="17" spans="1:14" s="32" customFormat="1" hidden="1" x14ac:dyDescent="0.3">
      <c r="A17" s="38">
        <v>46234.677442129629</v>
      </c>
      <c r="B17" s="32" t="s">
        <v>49</v>
      </c>
      <c r="C17" s="32">
        <v>44997561804</v>
      </c>
      <c r="E17" s="32">
        <v>77</v>
      </c>
      <c r="F17" s="32">
        <v>74</v>
      </c>
      <c r="G17" s="32" t="s">
        <v>44</v>
      </c>
      <c r="H17" s="32" t="s">
        <v>67</v>
      </c>
      <c r="I17" s="32" t="s">
        <v>54</v>
      </c>
      <c r="J17" s="32" t="s">
        <v>46</v>
      </c>
      <c r="M17" s="32" t="s">
        <v>51</v>
      </c>
      <c r="N17" s="32" t="s">
        <v>49</v>
      </c>
    </row>
    <row r="18" spans="1:14" s="32" customFormat="1" hidden="1" x14ac:dyDescent="0.3">
      <c r="A18" s="38">
        <v>46234.676932870374</v>
      </c>
      <c r="B18" s="32" t="s">
        <v>49</v>
      </c>
      <c r="C18" s="32">
        <v>44997710633</v>
      </c>
      <c r="E18" s="32">
        <v>13</v>
      </c>
      <c r="F18" s="32">
        <v>0</v>
      </c>
      <c r="G18" s="32" t="s">
        <v>63</v>
      </c>
      <c r="H18" s="32" t="s">
        <v>68</v>
      </c>
      <c r="I18" s="32" t="s">
        <v>54</v>
      </c>
      <c r="J18" s="32" t="s">
        <v>46</v>
      </c>
      <c r="M18" s="32" t="s">
        <v>51</v>
      </c>
      <c r="N18" s="32" t="s">
        <v>49</v>
      </c>
    </row>
    <row r="19" spans="1:14" s="32" customFormat="1" hidden="1" x14ac:dyDescent="0.3">
      <c r="A19" s="38">
        <v>46234.676608796297</v>
      </c>
      <c r="B19" s="32" t="s">
        <v>49</v>
      </c>
      <c r="C19" s="32">
        <v>44997710633</v>
      </c>
      <c r="E19" s="32">
        <v>20</v>
      </c>
      <c r="F19" s="32">
        <v>3</v>
      </c>
      <c r="G19" s="32" t="s">
        <v>44</v>
      </c>
      <c r="H19" s="32" t="s">
        <v>69</v>
      </c>
      <c r="I19" s="32" t="s">
        <v>54</v>
      </c>
      <c r="J19" s="32" t="s">
        <v>46</v>
      </c>
      <c r="M19" s="32" t="s">
        <v>51</v>
      </c>
      <c r="N19" s="32" t="s">
        <v>49</v>
      </c>
    </row>
    <row r="20" spans="1:14" s="32" customFormat="1" hidden="1" x14ac:dyDescent="0.3">
      <c r="A20" s="38">
        <v>46234.676539351851</v>
      </c>
      <c r="B20" s="32" t="s">
        <v>49</v>
      </c>
      <c r="C20" s="32">
        <v>44997710633</v>
      </c>
      <c r="E20" s="32">
        <v>4</v>
      </c>
      <c r="F20" s="32">
        <v>0</v>
      </c>
      <c r="G20" s="32" t="s">
        <v>63</v>
      </c>
      <c r="H20" s="32" t="s">
        <v>70</v>
      </c>
      <c r="I20" s="32" t="s">
        <v>54</v>
      </c>
      <c r="J20" s="32" t="s">
        <v>46</v>
      </c>
      <c r="M20" s="32" t="s">
        <v>51</v>
      </c>
      <c r="N20" s="32" t="s">
        <v>49</v>
      </c>
    </row>
    <row r="21" spans="1:14" s="32" customFormat="1" hidden="1" x14ac:dyDescent="0.3">
      <c r="A21" s="38">
        <v>46234.675625000003</v>
      </c>
      <c r="B21" s="32">
        <v>4432256983</v>
      </c>
      <c r="C21" s="32" t="s">
        <v>43</v>
      </c>
      <c r="D21" s="32">
        <v>4430265054</v>
      </c>
      <c r="E21" s="32">
        <v>392</v>
      </c>
      <c r="F21" s="32">
        <v>373</v>
      </c>
      <c r="G21" s="32" t="s">
        <v>44</v>
      </c>
      <c r="H21" s="32" t="s">
        <v>71</v>
      </c>
      <c r="I21" s="32" t="s">
        <v>40</v>
      </c>
      <c r="J21" s="32" t="s">
        <v>46</v>
      </c>
      <c r="K21" s="32" t="s">
        <v>42</v>
      </c>
      <c r="L21" s="32">
        <v>5</v>
      </c>
      <c r="M21" s="32" t="s">
        <v>47</v>
      </c>
      <c r="N21" s="32" t="s">
        <v>43</v>
      </c>
    </row>
    <row r="22" spans="1:14" s="32" customFormat="1" hidden="1" x14ac:dyDescent="0.3">
      <c r="A22" s="38">
        <v>46234.671400462961</v>
      </c>
      <c r="B22" s="32">
        <v>4433543396</v>
      </c>
      <c r="C22" s="32" t="s">
        <v>43</v>
      </c>
      <c r="D22" s="32">
        <v>4430265054</v>
      </c>
      <c r="E22" s="32">
        <v>154</v>
      </c>
      <c r="F22" s="32">
        <v>138</v>
      </c>
      <c r="G22" s="32" t="s">
        <v>44</v>
      </c>
      <c r="H22" s="32" t="s">
        <v>72</v>
      </c>
      <c r="I22" s="32" t="s">
        <v>40</v>
      </c>
      <c r="J22" s="32" t="s">
        <v>46</v>
      </c>
      <c r="K22" s="32" t="s">
        <v>42</v>
      </c>
      <c r="M22" s="32" t="s">
        <v>47</v>
      </c>
      <c r="N22" s="32" t="s">
        <v>43</v>
      </c>
    </row>
    <row r="23" spans="1:14" s="32" customFormat="1" hidden="1" x14ac:dyDescent="0.3">
      <c r="A23" s="38">
        <v>46234.668611111112</v>
      </c>
      <c r="B23" s="32">
        <v>41991740047</v>
      </c>
      <c r="C23" s="32" t="s">
        <v>58</v>
      </c>
      <c r="D23" s="32">
        <v>4430265054</v>
      </c>
      <c r="E23" s="32">
        <v>521</v>
      </c>
      <c r="F23" s="32">
        <v>521</v>
      </c>
      <c r="G23" s="32" t="s">
        <v>44</v>
      </c>
      <c r="H23" s="32" t="s">
        <v>73</v>
      </c>
      <c r="I23" s="32" t="s">
        <v>40</v>
      </c>
      <c r="J23" s="32" t="s">
        <v>46</v>
      </c>
      <c r="K23" s="32" t="s">
        <v>42</v>
      </c>
      <c r="M23" s="32" t="s">
        <v>60</v>
      </c>
      <c r="N23" s="32" t="s">
        <v>58</v>
      </c>
    </row>
    <row r="24" spans="1:14" s="32" customFormat="1" hidden="1" x14ac:dyDescent="0.3">
      <c r="A24" s="38">
        <v>46234.665219907409</v>
      </c>
      <c r="B24" s="32" t="s">
        <v>58</v>
      </c>
      <c r="C24" s="32">
        <v>44997710633</v>
      </c>
      <c r="E24" s="32">
        <v>62</v>
      </c>
      <c r="F24" s="32">
        <v>0</v>
      </c>
      <c r="G24" s="32" t="s">
        <v>63</v>
      </c>
      <c r="H24" s="32" t="s">
        <v>74</v>
      </c>
      <c r="I24" s="32" t="s">
        <v>54</v>
      </c>
      <c r="J24" s="32" t="s">
        <v>46</v>
      </c>
      <c r="M24" s="32" t="s">
        <v>60</v>
      </c>
      <c r="N24" s="32" t="s">
        <v>58</v>
      </c>
    </row>
    <row r="25" spans="1:14" s="32" customFormat="1" hidden="1" x14ac:dyDescent="0.3">
      <c r="A25" s="38">
        <v>46234.656099537038</v>
      </c>
      <c r="B25" s="32">
        <v>4432272377</v>
      </c>
      <c r="C25" s="32" t="s">
        <v>43</v>
      </c>
      <c r="D25" s="32">
        <v>4430265054</v>
      </c>
      <c r="E25" s="32">
        <v>491</v>
      </c>
      <c r="F25" s="32">
        <v>457</v>
      </c>
      <c r="G25" s="32" t="s">
        <v>44</v>
      </c>
      <c r="H25" s="32" t="s">
        <v>75</v>
      </c>
      <c r="I25" s="32" t="s">
        <v>40</v>
      </c>
      <c r="J25" s="32" t="s">
        <v>46</v>
      </c>
      <c r="K25" s="32" t="s">
        <v>42</v>
      </c>
      <c r="L25" s="32">
        <v>5</v>
      </c>
      <c r="M25" s="32" t="s">
        <v>47</v>
      </c>
      <c r="N25" s="32" t="s">
        <v>43</v>
      </c>
    </row>
    <row r="26" spans="1:14" s="32" customFormat="1" hidden="1" x14ac:dyDescent="0.3">
      <c r="A26" s="38">
        <v>46234.652453703704</v>
      </c>
      <c r="B26" s="32">
        <v>4430414545</v>
      </c>
      <c r="C26" s="32" t="s">
        <v>49</v>
      </c>
      <c r="D26" s="32">
        <v>4430265054</v>
      </c>
      <c r="E26" s="32">
        <v>1910</v>
      </c>
      <c r="F26" s="32">
        <v>1830</v>
      </c>
      <c r="G26" s="32" t="s">
        <v>44</v>
      </c>
      <c r="H26" s="32" t="s">
        <v>76</v>
      </c>
      <c r="I26" s="32" t="s">
        <v>40</v>
      </c>
      <c r="J26" s="32" t="s">
        <v>46</v>
      </c>
      <c r="K26" s="32" t="s">
        <v>42</v>
      </c>
      <c r="M26" s="32" t="s">
        <v>51</v>
      </c>
      <c r="N26" s="32" t="s">
        <v>49</v>
      </c>
    </row>
    <row r="27" spans="1:14" s="32" customFormat="1" hidden="1" x14ac:dyDescent="0.3">
      <c r="A27" s="38">
        <v>46234.650590277779</v>
      </c>
      <c r="B27" s="32">
        <v>44997710633</v>
      </c>
      <c r="C27" s="32" t="s">
        <v>49</v>
      </c>
      <c r="D27" s="32">
        <v>4430265054</v>
      </c>
      <c r="E27" s="32">
        <v>128</v>
      </c>
      <c r="F27" s="32">
        <v>55</v>
      </c>
      <c r="G27" s="32" t="s">
        <v>44</v>
      </c>
      <c r="H27" s="32" t="s">
        <v>77</v>
      </c>
      <c r="I27" s="32" t="s">
        <v>40</v>
      </c>
      <c r="J27" s="32" t="s">
        <v>46</v>
      </c>
      <c r="K27" s="32" t="s">
        <v>42</v>
      </c>
      <c r="M27" s="32" t="s">
        <v>51</v>
      </c>
      <c r="N27" s="32" t="s">
        <v>49</v>
      </c>
    </row>
    <row r="28" spans="1:14" s="32" customFormat="1" hidden="1" x14ac:dyDescent="0.3">
      <c r="A28" s="38">
        <v>46234.649097222224</v>
      </c>
      <c r="B28" s="32">
        <v>44998620323</v>
      </c>
      <c r="C28" s="32" t="s">
        <v>49</v>
      </c>
      <c r="D28" s="32">
        <v>4430265054</v>
      </c>
      <c r="E28" s="32">
        <v>183</v>
      </c>
      <c r="F28" s="32">
        <v>146</v>
      </c>
      <c r="G28" s="32" t="s">
        <v>44</v>
      </c>
      <c r="H28" s="32" t="s">
        <v>78</v>
      </c>
      <c r="I28" s="32" t="s">
        <v>40</v>
      </c>
      <c r="J28" s="32" t="s">
        <v>46</v>
      </c>
      <c r="K28" s="32" t="s">
        <v>42</v>
      </c>
      <c r="M28" s="32" t="s">
        <v>51</v>
      </c>
      <c r="N28" s="32" t="s">
        <v>49</v>
      </c>
    </row>
    <row r="29" spans="1:14" s="32" customFormat="1" hidden="1" x14ac:dyDescent="0.3">
      <c r="A29" s="38">
        <v>46234.648680555554</v>
      </c>
      <c r="B29" s="32">
        <v>4330261969</v>
      </c>
      <c r="C29" s="32" t="s">
        <v>49</v>
      </c>
      <c r="D29" s="32">
        <v>4430265054</v>
      </c>
      <c r="E29" s="32">
        <v>44</v>
      </c>
      <c r="F29" s="32">
        <v>21</v>
      </c>
      <c r="G29" s="32" t="s">
        <v>44</v>
      </c>
      <c r="H29" s="32" t="s">
        <v>79</v>
      </c>
      <c r="I29" s="32" t="s">
        <v>40</v>
      </c>
      <c r="J29" s="32" t="s">
        <v>46</v>
      </c>
      <c r="K29" s="32" t="s">
        <v>42</v>
      </c>
      <c r="M29" s="32" t="s">
        <v>51</v>
      </c>
      <c r="N29" s="32" t="s">
        <v>49</v>
      </c>
    </row>
    <row r="30" spans="1:14" s="32" customFormat="1" hidden="1" x14ac:dyDescent="0.3">
      <c r="A30" s="38">
        <v>46234.647280092591</v>
      </c>
      <c r="B30" s="32">
        <v>44988067937</v>
      </c>
      <c r="C30" s="32" t="s">
        <v>43</v>
      </c>
      <c r="D30" s="32">
        <v>4430265054</v>
      </c>
      <c r="E30" s="32">
        <v>490</v>
      </c>
      <c r="F30" s="32">
        <v>435</v>
      </c>
      <c r="G30" s="32" t="s">
        <v>44</v>
      </c>
      <c r="H30" s="32" t="s">
        <v>80</v>
      </c>
      <c r="I30" s="32" t="s">
        <v>40</v>
      </c>
      <c r="J30" s="32" t="s">
        <v>46</v>
      </c>
      <c r="K30" s="32" t="s">
        <v>42</v>
      </c>
      <c r="M30" s="32" t="s">
        <v>47</v>
      </c>
      <c r="N30" s="32" t="s">
        <v>43</v>
      </c>
    </row>
    <row r="31" spans="1:14" s="32" customFormat="1" hidden="1" x14ac:dyDescent="0.3">
      <c r="A31" s="38">
        <v>46234.64434027778</v>
      </c>
      <c r="B31" s="32">
        <v>4334232912</v>
      </c>
      <c r="C31" s="32" t="s">
        <v>43</v>
      </c>
      <c r="D31" s="32">
        <v>4430265054</v>
      </c>
      <c r="E31" s="32">
        <v>290</v>
      </c>
      <c r="F31" s="32">
        <v>283</v>
      </c>
      <c r="G31" s="32" t="s">
        <v>44</v>
      </c>
      <c r="H31" s="32" t="s">
        <v>81</v>
      </c>
      <c r="I31" s="32" t="s">
        <v>40</v>
      </c>
      <c r="J31" s="32" t="s">
        <v>46</v>
      </c>
      <c r="K31" s="32" t="s">
        <v>42</v>
      </c>
      <c r="M31" s="32" t="s">
        <v>47</v>
      </c>
      <c r="N31" s="32" t="s">
        <v>43</v>
      </c>
    </row>
    <row r="32" spans="1:14" s="32" customFormat="1" hidden="1" x14ac:dyDescent="0.3">
      <c r="A32" s="38">
        <v>46234.641365740739</v>
      </c>
      <c r="B32" s="32">
        <v>44997710633</v>
      </c>
      <c r="C32" s="32" t="s">
        <v>43</v>
      </c>
      <c r="D32" s="32">
        <v>4430265054</v>
      </c>
      <c r="E32" s="32">
        <v>246</v>
      </c>
      <c r="F32" s="32">
        <v>31</v>
      </c>
      <c r="G32" s="32" t="s">
        <v>44</v>
      </c>
      <c r="H32" s="32" t="s">
        <v>82</v>
      </c>
      <c r="I32" s="32" t="s">
        <v>40</v>
      </c>
      <c r="J32" s="32" t="s">
        <v>46</v>
      </c>
      <c r="K32" s="32" t="s">
        <v>42</v>
      </c>
      <c r="M32" s="32" t="s">
        <v>47</v>
      </c>
      <c r="N32" s="32" t="s">
        <v>43</v>
      </c>
    </row>
    <row r="33" spans="1:14" s="32" customFormat="1" hidden="1" x14ac:dyDescent="0.3">
      <c r="A33" s="38">
        <v>46234.641226851854</v>
      </c>
      <c r="B33" s="32">
        <v>4432522019</v>
      </c>
      <c r="C33" s="32" t="s">
        <v>58</v>
      </c>
      <c r="D33" s="32">
        <v>4430265054</v>
      </c>
      <c r="E33" s="32">
        <v>241</v>
      </c>
      <c r="F33" s="32">
        <v>105</v>
      </c>
      <c r="G33" s="32" t="s">
        <v>44</v>
      </c>
      <c r="H33" s="32" t="s">
        <v>83</v>
      </c>
      <c r="I33" s="32" t="s">
        <v>40</v>
      </c>
      <c r="J33" s="32" t="s">
        <v>46</v>
      </c>
      <c r="K33" s="32" t="s">
        <v>42</v>
      </c>
      <c r="M33" s="32" t="s">
        <v>60</v>
      </c>
      <c r="N33" s="32" t="s">
        <v>58</v>
      </c>
    </row>
    <row r="34" spans="1:14" s="32" customFormat="1" hidden="1" x14ac:dyDescent="0.3">
      <c r="A34" s="38">
        <v>46234.63722222222</v>
      </c>
      <c r="B34" s="32">
        <v>4330261969</v>
      </c>
      <c r="C34" s="32" t="s">
        <v>43</v>
      </c>
      <c r="D34" s="32">
        <v>4430265054</v>
      </c>
      <c r="E34" s="32">
        <v>550</v>
      </c>
      <c r="F34" s="32">
        <v>448</v>
      </c>
      <c r="G34" s="32" t="s">
        <v>44</v>
      </c>
      <c r="H34" s="32" t="s">
        <v>84</v>
      </c>
      <c r="I34" s="32" t="s">
        <v>40</v>
      </c>
      <c r="J34" s="32" t="s">
        <v>46</v>
      </c>
      <c r="K34" s="32" t="s">
        <v>42</v>
      </c>
      <c r="M34" s="32" t="s">
        <v>47</v>
      </c>
      <c r="N34" s="32" t="s">
        <v>43</v>
      </c>
    </row>
    <row r="35" spans="1:14" s="32" customFormat="1" hidden="1" x14ac:dyDescent="0.3">
      <c r="A35" s="38">
        <v>46234.636944444443</v>
      </c>
      <c r="B35" s="32">
        <v>44991213399</v>
      </c>
      <c r="C35" s="32" t="s">
        <v>85</v>
      </c>
      <c r="D35" s="32">
        <v>4430265054</v>
      </c>
      <c r="E35" s="32">
        <v>942</v>
      </c>
      <c r="F35" s="32">
        <v>886</v>
      </c>
      <c r="G35" s="32" t="s">
        <v>44</v>
      </c>
      <c r="H35" s="32" t="s">
        <v>86</v>
      </c>
      <c r="I35" s="32" t="s">
        <v>40</v>
      </c>
      <c r="J35" s="32" t="s">
        <v>41</v>
      </c>
      <c r="K35" s="32" t="s">
        <v>42</v>
      </c>
      <c r="L35" s="32">
        <v>5</v>
      </c>
      <c r="M35" s="32" t="s">
        <v>87</v>
      </c>
      <c r="N35" s="32" t="s">
        <v>85</v>
      </c>
    </row>
    <row r="36" spans="1:14" s="32" customFormat="1" hidden="1" x14ac:dyDescent="0.3">
      <c r="A36" s="38">
        <v>46234.635659722226</v>
      </c>
      <c r="B36" s="32">
        <v>44991180858</v>
      </c>
      <c r="C36" s="32" t="s">
        <v>58</v>
      </c>
      <c r="D36" s="32">
        <v>4430265054</v>
      </c>
      <c r="E36" s="32">
        <v>546</v>
      </c>
      <c r="F36" s="32">
        <v>431</v>
      </c>
      <c r="G36" s="32" t="s">
        <v>44</v>
      </c>
      <c r="H36" s="32" t="s">
        <v>88</v>
      </c>
      <c r="I36" s="32" t="s">
        <v>40</v>
      </c>
      <c r="J36" s="32" t="s">
        <v>46</v>
      </c>
      <c r="K36" s="32" t="s">
        <v>42</v>
      </c>
      <c r="M36" s="32" t="s">
        <v>60</v>
      </c>
      <c r="N36" s="32" t="s">
        <v>58</v>
      </c>
    </row>
    <row r="37" spans="1:14" s="32" customFormat="1" hidden="1" x14ac:dyDescent="0.3">
      <c r="A37" s="38">
        <v>46234.634201388886</v>
      </c>
      <c r="B37" s="32">
        <v>14997225372</v>
      </c>
      <c r="C37" s="32" t="s">
        <v>58</v>
      </c>
      <c r="D37" s="32">
        <v>4430265054</v>
      </c>
      <c r="E37" s="32">
        <v>240</v>
      </c>
      <c r="F37" s="32">
        <v>155</v>
      </c>
      <c r="G37" s="32" t="s">
        <v>44</v>
      </c>
      <c r="H37" s="32" t="s">
        <v>89</v>
      </c>
      <c r="I37" s="32" t="s">
        <v>40</v>
      </c>
      <c r="J37" s="32" t="s">
        <v>46</v>
      </c>
      <c r="K37" s="32" t="s">
        <v>42</v>
      </c>
      <c r="M37" s="32" t="s">
        <v>60</v>
      </c>
      <c r="N37" s="32" t="s">
        <v>58</v>
      </c>
    </row>
    <row r="38" spans="1:14" s="32" customFormat="1" hidden="1" x14ac:dyDescent="0.3">
      <c r="A38" s="38">
        <v>46234.631608796299</v>
      </c>
      <c r="B38" s="32">
        <v>93991495484</v>
      </c>
      <c r="C38" s="32" t="s">
        <v>43</v>
      </c>
      <c r="D38" s="32">
        <v>4430265054</v>
      </c>
      <c r="E38" s="32">
        <v>572</v>
      </c>
      <c r="F38" s="32">
        <v>435</v>
      </c>
      <c r="G38" s="32" t="s">
        <v>44</v>
      </c>
      <c r="H38" s="32" t="s">
        <v>90</v>
      </c>
      <c r="I38" s="32" t="s">
        <v>40</v>
      </c>
      <c r="J38" s="32" t="s">
        <v>46</v>
      </c>
      <c r="K38" s="32" t="s">
        <v>42</v>
      </c>
      <c r="L38" s="32">
        <v>5</v>
      </c>
      <c r="M38" s="32" t="s">
        <v>47</v>
      </c>
      <c r="N38" s="32" t="s">
        <v>43</v>
      </c>
    </row>
    <row r="39" spans="1:14" s="32" customFormat="1" hidden="1" x14ac:dyDescent="0.3">
      <c r="A39" s="38">
        <v>46234.62835648148</v>
      </c>
      <c r="B39" s="32">
        <v>44997710633</v>
      </c>
      <c r="C39" s="32" t="s">
        <v>58</v>
      </c>
      <c r="D39" s="32">
        <v>4430265054</v>
      </c>
      <c r="E39" s="32">
        <v>442</v>
      </c>
      <c r="F39" s="32">
        <v>386</v>
      </c>
      <c r="G39" s="32" t="s">
        <v>44</v>
      </c>
      <c r="H39" s="32" t="s">
        <v>91</v>
      </c>
      <c r="I39" s="32" t="s">
        <v>40</v>
      </c>
      <c r="J39" s="32" t="s">
        <v>46</v>
      </c>
      <c r="K39" s="32" t="s">
        <v>42</v>
      </c>
      <c r="M39" s="32" t="s">
        <v>60</v>
      </c>
      <c r="N39" s="32" t="s">
        <v>58</v>
      </c>
    </row>
    <row r="40" spans="1:14" s="32" customFormat="1" hidden="1" x14ac:dyDescent="0.3">
      <c r="A40" s="38">
        <v>46234.628275462965</v>
      </c>
      <c r="B40" s="32">
        <v>44998761561</v>
      </c>
      <c r="C40" s="32" t="s">
        <v>43</v>
      </c>
      <c r="D40" s="32">
        <v>4431268225</v>
      </c>
      <c r="E40" s="32">
        <v>426</v>
      </c>
      <c r="F40" s="32">
        <v>388</v>
      </c>
      <c r="G40" s="32" t="s">
        <v>44</v>
      </c>
      <c r="H40" s="32" t="s">
        <v>92</v>
      </c>
      <c r="I40" s="32" t="s">
        <v>40</v>
      </c>
      <c r="J40" s="32" t="s">
        <v>46</v>
      </c>
      <c r="K40" s="32" t="s">
        <v>42</v>
      </c>
      <c r="L40" s="32">
        <v>5</v>
      </c>
      <c r="M40" s="32" t="s">
        <v>47</v>
      </c>
      <c r="N40" s="32" t="s">
        <v>43</v>
      </c>
    </row>
    <row r="41" spans="1:14" s="32" customFormat="1" hidden="1" x14ac:dyDescent="0.3">
      <c r="A41" s="38">
        <v>46234.616643518515</v>
      </c>
      <c r="B41" s="32">
        <v>4430459032</v>
      </c>
      <c r="C41" s="32" t="s">
        <v>43</v>
      </c>
      <c r="D41" s="32">
        <v>4430265054</v>
      </c>
      <c r="E41" s="32">
        <v>622</v>
      </c>
      <c r="F41" s="32">
        <v>584</v>
      </c>
      <c r="G41" s="32" t="s">
        <v>44</v>
      </c>
      <c r="H41" s="32" t="s">
        <v>93</v>
      </c>
      <c r="I41" s="32" t="s">
        <v>40</v>
      </c>
      <c r="J41" s="32" t="s">
        <v>46</v>
      </c>
      <c r="K41" s="32" t="s">
        <v>42</v>
      </c>
      <c r="M41" s="32" t="s">
        <v>47</v>
      </c>
      <c r="N41" s="32" t="s">
        <v>43</v>
      </c>
    </row>
    <row r="42" spans="1:14" s="32" customFormat="1" hidden="1" x14ac:dyDescent="0.3">
      <c r="A42" s="38">
        <v>46234.615370370368</v>
      </c>
      <c r="B42" s="32">
        <v>44991132684</v>
      </c>
      <c r="C42" s="32" t="s">
        <v>49</v>
      </c>
      <c r="D42" s="32">
        <v>4430265054</v>
      </c>
      <c r="E42" s="32">
        <v>2586</v>
      </c>
      <c r="F42" s="32">
        <v>2472</v>
      </c>
      <c r="G42" s="32" t="s">
        <v>44</v>
      </c>
      <c r="H42" s="32" t="s">
        <v>94</v>
      </c>
      <c r="I42" s="32" t="s">
        <v>40</v>
      </c>
      <c r="J42" s="32" t="s">
        <v>46</v>
      </c>
      <c r="K42" s="32" t="s">
        <v>42</v>
      </c>
      <c r="M42" s="32" t="s">
        <v>51</v>
      </c>
      <c r="N42" s="32" t="s">
        <v>49</v>
      </c>
    </row>
    <row r="43" spans="1:14" s="32" customFormat="1" hidden="1" x14ac:dyDescent="0.3">
      <c r="A43" s="38">
        <v>46234.614479166667</v>
      </c>
      <c r="B43" s="32">
        <v>44998266194</v>
      </c>
      <c r="C43" s="32" t="s">
        <v>43</v>
      </c>
      <c r="D43" s="32">
        <v>4431268225</v>
      </c>
      <c r="E43" s="32">
        <v>218</v>
      </c>
      <c r="F43" s="32">
        <v>203</v>
      </c>
      <c r="G43" s="32" t="s">
        <v>44</v>
      </c>
      <c r="H43" s="32" t="s">
        <v>95</v>
      </c>
      <c r="I43" s="32" t="s">
        <v>40</v>
      </c>
      <c r="J43" s="32" t="s">
        <v>46</v>
      </c>
      <c r="K43" s="32" t="s">
        <v>42</v>
      </c>
      <c r="M43" s="32" t="s">
        <v>47</v>
      </c>
      <c r="N43" s="32" t="s">
        <v>43</v>
      </c>
    </row>
    <row r="44" spans="1:14" s="32" customFormat="1" hidden="1" x14ac:dyDescent="0.3">
      <c r="A44" s="38">
        <v>46234.613020833334</v>
      </c>
      <c r="B44" s="32">
        <v>4430282545</v>
      </c>
      <c r="C44" s="32" t="s">
        <v>58</v>
      </c>
      <c r="D44" s="32">
        <v>4430265054</v>
      </c>
      <c r="E44" s="32">
        <v>555</v>
      </c>
      <c r="F44" s="32">
        <v>554</v>
      </c>
      <c r="G44" s="32" t="s">
        <v>44</v>
      </c>
      <c r="H44" s="32" t="s">
        <v>96</v>
      </c>
      <c r="I44" s="32" t="s">
        <v>40</v>
      </c>
      <c r="J44" s="32" t="s">
        <v>46</v>
      </c>
      <c r="K44" s="32" t="s">
        <v>42</v>
      </c>
      <c r="M44" s="32" t="s">
        <v>60</v>
      </c>
      <c r="N44" s="32" t="s">
        <v>58</v>
      </c>
    </row>
    <row r="45" spans="1:14" s="32" customFormat="1" hidden="1" x14ac:dyDescent="0.3">
      <c r="A45" s="38">
        <v>46234.604710648149</v>
      </c>
      <c r="B45" s="32">
        <v>44991381017</v>
      </c>
      <c r="C45" s="32" t="s">
        <v>49</v>
      </c>
      <c r="D45" s="32">
        <v>4430265054</v>
      </c>
      <c r="E45" s="32">
        <v>686</v>
      </c>
      <c r="F45" s="32">
        <v>631</v>
      </c>
      <c r="G45" s="32" t="s">
        <v>44</v>
      </c>
      <c r="H45" s="32" t="s">
        <v>97</v>
      </c>
      <c r="I45" s="32" t="s">
        <v>40</v>
      </c>
      <c r="J45" s="32" t="s">
        <v>46</v>
      </c>
      <c r="K45" s="32" t="s">
        <v>42</v>
      </c>
      <c r="M45" s="32" t="s">
        <v>51</v>
      </c>
      <c r="N45" s="32" t="s">
        <v>49</v>
      </c>
    </row>
    <row r="46" spans="1:14" s="32" customFormat="1" hidden="1" x14ac:dyDescent="0.3">
      <c r="A46" s="38">
        <v>46234.604618055557</v>
      </c>
      <c r="B46" s="32" t="s">
        <v>43</v>
      </c>
      <c r="C46" s="32">
        <v>4432462382</v>
      </c>
      <c r="E46" s="32">
        <v>547</v>
      </c>
      <c r="F46" s="32">
        <v>538</v>
      </c>
      <c r="G46" s="32" t="s">
        <v>44</v>
      </c>
      <c r="H46" s="32" t="s">
        <v>98</v>
      </c>
      <c r="I46" s="32" t="s">
        <v>54</v>
      </c>
      <c r="J46" s="32" t="s">
        <v>46</v>
      </c>
      <c r="M46" s="32" t="s">
        <v>47</v>
      </c>
      <c r="N46" s="32" t="s">
        <v>43</v>
      </c>
    </row>
    <row r="47" spans="1:14" s="32" customFormat="1" hidden="1" x14ac:dyDescent="0.3">
      <c r="A47" s="38">
        <v>46234.604548611111</v>
      </c>
      <c r="B47" s="32" t="s">
        <v>43</v>
      </c>
      <c r="C47" s="32">
        <v>4432462382</v>
      </c>
      <c r="E47" s="32">
        <v>14</v>
      </c>
      <c r="F47" s="32">
        <v>13</v>
      </c>
      <c r="G47" s="32" t="s">
        <v>44</v>
      </c>
      <c r="H47" s="32" t="s">
        <v>99</v>
      </c>
      <c r="I47" s="32" t="s">
        <v>54</v>
      </c>
      <c r="J47" s="32" t="s">
        <v>46</v>
      </c>
      <c r="M47" s="32" t="s">
        <v>47</v>
      </c>
      <c r="N47" s="32" t="s">
        <v>43</v>
      </c>
    </row>
    <row r="48" spans="1:14" s="32" customFormat="1" x14ac:dyDescent="0.3">
      <c r="A48" s="38">
        <v>46234.586053240739</v>
      </c>
      <c r="B48" s="32">
        <v>14997225372</v>
      </c>
      <c r="C48" s="32" t="s">
        <v>49</v>
      </c>
      <c r="D48" s="32">
        <v>4430265054</v>
      </c>
      <c r="E48" s="32">
        <v>508</v>
      </c>
      <c r="F48" s="32">
        <v>485</v>
      </c>
      <c r="G48" s="32" t="s">
        <v>44</v>
      </c>
      <c r="H48" s="32" t="s">
        <v>100</v>
      </c>
      <c r="I48" s="32" t="s">
        <v>40</v>
      </c>
      <c r="J48" s="32" t="s">
        <v>46</v>
      </c>
      <c r="K48" s="32" t="s">
        <v>42</v>
      </c>
      <c r="L48" s="32">
        <v>5</v>
      </c>
      <c r="M48" s="32" t="s">
        <v>51</v>
      </c>
      <c r="N48" s="32" t="s">
        <v>49</v>
      </c>
    </row>
    <row r="49" spans="1:14" s="32" customFormat="1" hidden="1" x14ac:dyDescent="0.3">
      <c r="A49" s="38">
        <v>46234.585740740738</v>
      </c>
      <c r="B49" s="32">
        <v>4432462382</v>
      </c>
      <c r="C49" s="32" t="s">
        <v>43</v>
      </c>
      <c r="D49" s="32">
        <v>4430265054</v>
      </c>
      <c r="E49" s="32">
        <v>521</v>
      </c>
      <c r="F49" s="32">
        <v>494</v>
      </c>
      <c r="G49" s="32" t="s">
        <v>44</v>
      </c>
      <c r="H49" s="32" t="s">
        <v>101</v>
      </c>
      <c r="I49" s="32" t="s">
        <v>40</v>
      </c>
      <c r="J49" s="32" t="s">
        <v>46</v>
      </c>
      <c r="K49" s="32" t="s">
        <v>42</v>
      </c>
      <c r="M49" s="32" t="s">
        <v>47</v>
      </c>
      <c r="N49" s="32" t="s">
        <v>43</v>
      </c>
    </row>
    <row r="50" spans="1:14" s="32" customFormat="1" x14ac:dyDescent="0.3">
      <c r="A50" s="38">
        <v>46234.583414351851</v>
      </c>
      <c r="B50" s="32">
        <v>4436281154</v>
      </c>
      <c r="C50" s="32" t="s">
        <v>49</v>
      </c>
      <c r="D50" s="32">
        <v>4430265054</v>
      </c>
      <c r="E50" s="32">
        <v>199</v>
      </c>
      <c r="F50" s="32">
        <v>178</v>
      </c>
      <c r="G50" s="32" t="s">
        <v>44</v>
      </c>
      <c r="H50" s="32" t="s">
        <v>102</v>
      </c>
      <c r="I50" s="32" t="s">
        <v>40</v>
      </c>
      <c r="J50" s="32" t="s">
        <v>46</v>
      </c>
      <c r="K50" s="32" t="s">
        <v>42</v>
      </c>
      <c r="L50" s="32">
        <v>5</v>
      </c>
      <c r="M50" s="32" t="s">
        <v>51</v>
      </c>
      <c r="N50" s="32" t="s">
        <v>49</v>
      </c>
    </row>
    <row r="51" spans="1:14" s="32" customFormat="1" hidden="1" x14ac:dyDescent="0.3">
      <c r="A51" s="38">
        <v>46234.582256944443</v>
      </c>
      <c r="B51" s="32">
        <v>41995061279</v>
      </c>
      <c r="C51" s="32" t="s">
        <v>58</v>
      </c>
      <c r="D51" s="32">
        <v>4430265054</v>
      </c>
      <c r="E51" s="32">
        <v>221</v>
      </c>
      <c r="F51" s="32">
        <v>202</v>
      </c>
      <c r="G51" s="32" t="s">
        <v>44</v>
      </c>
      <c r="H51" s="32" t="s">
        <v>103</v>
      </c>
      <c r="I51" s="32" t="s">
        <v>40</v>
      </c>
      <c r="J51" s="32" t="s">
        <v>46</v>
      </c>
      <c r="K51" s="32" t="s">
        <v>42</v>
      </c>
      <c r="M51" s="32" t="s">
        <v>60</v>
      </c>
      <c r="N51" s="32" t="s">
        <v>58</v>
      </c>
    </row>
    <row r="52" spans="1:14" s="32" customFormat="1" hidden="1" x14ac:dyDescent="0.3">
      <c r="A52" s="38">
        <v>46234.582256944443</v>
      </c>
      <c r="B52" s="32" t="s">
        <v>49</v>
      </c>
      <c r="C52" s="32">
        <v>44997561804</v>
      </c>
      <c r="E52" s="32">
        <v>65</v>
      </c>
      <c r="F52" s="32">
        <v>62</v>
      </c>
      <c r="G52" s="32" t="s">
        <v>44</v>
      </c>
      <c r="H52" s="32" t="s">
        <v>104</v>
      </c>
      <c r="I52" s="32" t="s">
        <v>54</v>
      </c>
      <c r="J52" s="32" t="s">
        <v>46</v>
      </c>
      <c r="M52" s="32" t="s">
        <v>51</v>
      </c>
      <c r="N52" s="32" t="s">
        <v>49</v>
      </c>
    </row>
    <row r="53" spans="1:14" s="32" customFormat="1" hidden="1" x14ac:dyDescent="0.3">
      <c r="A53" s="38">
        <v>46234.58221064815</v>
      </c>
      <c r="B53" s="32" t="s">
        <v>49</v>
      </c>
      <c r="C53" s="32">
        <v>44997561804</v>
      </c>
      <c r="E53" s="32">
        <v>3</v>
      </c>
      <c r="F53" s="32">
        <v>0</v>
      </c>
      <c r="G53" s="32" t="s">
        <v>63</v>
      </c>
      <c r="H53" s="32" t="s">
        <v>105</v>
      </c>
      <c r="I53" s="32" t="s">
        <v>54</v>
      </c>
      <c r="J53" s="32" t="s">
        <v>46</v>
      </c>
      <c r="M53" s="32" t="s">
        <v>51</v>
      </c>
      <c r="N53" s="32" t="s">
        <v>49</v>
      </c>
    </row>
    <row r="54" spans="1:14" s="32" customFormat="1" hidden="1" x14ac:dyDescent="0.3">
      <c r="A54" s="38">
        <v>46234.577430555553</v>
      </c>
      <c r="B54" s="32">
        <v>6234347959</v>
      </c>
      <c r="C54" s="32" t="s">
        <v>43</v>
      </c>
      <c r="D54" s="32">
        <v>4430265054</v>
      </c>
      <c r="E54" s="32">
        <v>608</v>
      </c>
      <c r="F54" s="32">
        <v>592</v>
      </c>
      <c r="G54" s="32" t="s">
        <v>44</v>
      </c>
      <c r="H54" s="32" t="s">
        <v>106</v>
      </c>
      <c r="I54" s="32" t="s">
        <v>40</v>
      </c>
      <c r="J54" s="32" t="s">
        <v>46</v>
      </c>
      <c r="K54" s="32" t="s">
        <v>42</v>
      </c>
      <c r="L54" s="32">
        <v>5</v>
      </c>
      <c r="M54" s="32" t="s">
        <v>47</v>
      </c>
      <c r="N54" s="32" t="s">
        <v>43</v>
      </c>
    </row>
    <row r="55" spans="1:14" s="32" customFormat="1" hidden="1" x14ac:dyDescent="0.3">
      <c r="A55" s="38">
        <v>46234.574074074073</v>
      </c>
      <c r="B55" s="32" t="s">
        <v>58</v>
      </c>
      <c r="C55" s="32">
        <v>44997134514</v>
      </c>
      <c r="E55" s="32">
        <v>194</v>
      </c>
      <c r="F55" s="32">
        <v>188</v>
      </c>
      <c r="G55" s="32" t="s">
        <v>44</v>
      </c>
      <c r="H55" s="32" t="s">
        <v>107</v>
      </c>
      <c r="I55" s="32" t="s">
        <v>54</v>
      </c>
      <c r="J55" s="32" t="s">
        <v>46</v>
      </c>
      <c r="M55" s="32" t="s">
        <v>60</v>
      </c>
      <c r="N55" s="32" t="s">
        <v>58</v>
      </c>
    </row>
    <row r="56" spans="1:14" s="32" customFormat="1" hidden="1" x14ac:dyDescent="0.3">
      <c r="A56" s="38">
        <v>46234.571284722224</v>
      </c>
      <c r="B56" s="32">
        <v>44999976008</v>
      </c>
      <c r="C56" s="32" t="s">
        <v>85</v>
      </c>
      <c r="D56" s="32">
        <v>4430265054</v>
      </c>
      <c r="E56" s="32">
        <v>201</v>
      </c>
      <c r="F56" s="32">
        <v>92</v>
      </c>
      <c r="G56" s="32" t="s">
        <v>44</v>
      </c>
      <c r="H56" s="32" t="s">
        <v>108</v>
      </c>
      <c r="I56" s="32" t="s">
        <v>40</v>
      </c>
      <c r="J56" s="32" t="s">
        <v>41</v>
      </c>
      <c r="K56" s="32" t="s">
        <v>42</v>
      </c>
      <c r="M56" s="32" t="s">
        <v>87</v>
      </c>
      <c r="N56" s="32" t="s">
        <v>85</v>
      </c>
    </row>
    <row r="57" spans="1:14" s="32" customFormat="1" hidden="1" x14ac:dyDescent="0.3">
      <c r="A57" s="38">
        <v>46234.569351851853</v>
      </c>
      <c r="B57" s="32">
        <v>1128787060</v>
      </c>
      <c r="C57" s="32" t="s">
        <v>109</v>
      </c>
      <c r="D57" s="32">
        <v>4430265054</v>
      </c>
      <c r="E57" s="32">
        <v>74</v>
      </c>
      <c r="F57" s="32">
        <v>50</v>
      </c>
      <c r="G57" s="32" t="s">
        <v>44</v>
      </c>
      <c r="H57" s="32" t="s">
        <v>110</v>
      </c>
      <c r="I57" s="32" t="s">
        <v>40</v>
      </c>
      <c r="J57" s="32" t="s">
        <v>111</v>
      </c>
      <c r="K57" s="32" t="s">
        <v>42</v>
      </c>
      <c r="M57" s="32" t="s">
        <v>112</v>
      </c>
      <c r="N57" s="32" t="s">
        <v>109</v>
      </c>
    </row>
    <row r="58" spans="1:14" s="32" customFormat="1" hidden="1" x14ac:dyDescent="0.3">
      <c r="A58" s="38">
        <v>46234.56758101852</v>
      </c>
      <c r="B58" s="32">
        <v>4330261969</v>
      </c>
      <c r="C58" s="32" t="s">
        <v>58</v>
      </c>
      <c r="D58" s="32">
        <v>4430265054</v>
      </c>
      <c r="E58" s="32">
        <v>501</v>
      </c>
      <c r="F58" s="32">
        <v>422</v>
      </c>
      <c r="G58" s="32" t="s">
        <v>44</v>
      </c>
      <c r="H58" s="32" t="s">
        <v>113</v>
      </c>
      <c r="I58" s="32" t="s">
        <v>40</v>
      </c>
      <c r="J58" s="32" t="s">
        <v>46</v>
      </c>
      <c r="K58" s="32" t="s">
        <v>42</v>
      </c>
      <c r="M58" s="32" t="s">
        <v>60</v>
      </c>
      <c r="N58" s="32" t="s">
        <v>58</v>
      </c>
    </row>
    <row r="59" spans="1:14" s="32" customFormat="1" hidden="1" x14ac:dyDescent="0.3">
      <c r="A59" s="38">
        <v>46234.565347222226</v>
      </c>
      <c r="B59" s="32">
        <v>44997710633</v>
      </c>
      <c r="C59" s="32" t="s">
        <v>49</v>
      </c>
      <c r="D59" s="32">
        <v>4430265054</v>
      </c>
      <c r="E59" s="32">
        <v>1070</v>
      </c>
      <c r="F59" s="32">
        <v>935</v>
      </c>
      <c r="G59" s="32" t="s">
        <v>44</v>
      </c>
      <c r="H59" s="32" t="s">
        <v>114</v>
      </c>
      <c r="I59" s="32" t="s">
        <v>40</v>
      </c>
      <c r="J59" s="32" t="s">
        <v>46</v>
      </c>
      <c r="K59" s="32" t="s">
        <v>42</v>
      </c>
      <c r="M59" s="32" t="s">
        <v>51</v>
      </c>
      <c r="N59" s="32" t="s">
        <v>49</v>
      </c>
    </row>
    <row r="60" spans="1:14" s="32" customFormat="1" hidden="1" x14ac:dyDescent="0.3">
      <c r="A60" s="38">
        <v>46234.563437500001</v>
      </c>
      <c r="B60" s="32">
        <v>4433543396</v>
      </c>
      <c r="C60" s="32" t="s">
        <v>58</v>
      </c>
      <c r="D60" s="32">
        <v>4430265054</v>
      </c>
      <c r="E60" s="32">
        <v>435</v>
      </c>
      <c r="F60" s="32">
        <v>420</v>
      </c>
      <c r="G60" s="32" t="s">
        <v>44</v>
      </c>
      <c r="H60" s="32" t="s">
        <v>115</v>
      </c>
      <c r="I60" s="32" t="s">
        <v>40</v>
      </c>
      <c r="J60" s="32" t="s">
        <v>46</v>
      </c>
      <c r="K60" s="32" t="s">
        <v>42</v>
      </c>
      <c r="M60" s="32" t="s">
        <v>60</v>
      </c>
      <c r="N60" s="32" t="s">
        <v>58</v>
      </c>
    </row>
    <row r="61" spans="1:14" s="32" customFormat="1" hidden="1" x14ac:dyDescent="0.3">
      <c r="A61" s="38">
        <v>46234.563148148147</v>
      </c>
      <c r="B61" s="32">
        <v>4430414545</v>
      </c>
      <c r="C61" s="32" t="s">
        <v>43</v>
      </c>
      <c r="D61" s="32">
        <v>4430265054</v>
      </c>
      <c r="E61" s="32">
        <v>886</v>
      </c>
      <c r="F61" s="32">
        <v>851</v>
      </c>
      <c r="G61" s="32" t="s">
        <v>44</v>
      </c>
      <c r="H61" s="32" t="s">
        <v>116</v>
      </c>
      <c r="I61" s="32" t="s">
        <v>40</v>
      </c>
      <c r="J61" s="32" t="s">
        <v>46</v>
      </c>
      <c r="K61" s="32" t="s">
        <v>42</v>
      </c>
      <c r="M61" s="32" t="s">
        <v>47</v>
      </c>
      <c r="N61" s="32" t="s">
        <v>43</v>
      </c>
    </row>
    <row r="62" spans="1:14" s="32" customFormat="1" hidden="1" x14ac:dyDescent="0.3">
      <c r="A62" s="38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38</v>
      </c>
      <c r="H62" s="32" t="s">
        <v>117</v>
      </c>
      <c r="I62" s="32" t="s">
        <v>40</v>
      </c>
      <c r="J62" s="32" t="s">
        <v>41</v>
      </c>
    </row>
    <row r="63" spans="1:14" s="32" customFormat="1" x14ac:dyDescent="0.3">
      <c r="A63" s="38">
        <v>46234.488240740742</v>
      </c>
      <c r="B63" s="32">
        <v>4430450103</v>
      </c>
      <c r="C63" s="32" t="s">
        <v>49</v>
      </c>
      <c r="D63" s="32">
        <v>4430265054</v>
      </c>
      <c r="E63" s="32">
        <v>209</v>
      </c>
      <c r="F63" s="32">
        <v>137</v>
      </c>
      <c r="G63" s="32" t="s">
        <v>44</v>
      </c>
      <c r="H63" s="32" t="s">
        <v>118</v>
      </c>
      <c r="I63" s="32" t="s">
        <v>40</v>
      </c>
      <c r="J63" s="32" t="s">
        <v>46</v>
      </c>
      <c r="K63" s="32" t="s">
        <v>42</v>
      </c>
      <c r="L63" s="32">
        <v>5</v>
      </c>
      <c r="M63" s="32" t="s">
        <v>51</v>
      </c>
      <c r="N63" s="32" t="s">
        <v>49</v>
      </c>
    </row>
    <row r="64" spans="1:14" s="32" customFormat="1" hidden="1" x14ac:dyDescent="0.3">
      <c r="A64" s="38">
        <v>46234.484270833331</v>
      </c>
      <c r="B64" s="32" t="s">
        <v>58</v>
      </c>
      <c r="C64" s="32">
        <v>4430282545</v>
      </c>
      <c r="E64" s="32">
        <v>55</v>
      </c>
      <c r="F64" s="32">
        <v>28</v>
      </c>
      <c r="G64" s="32" t="s">
        <v>44</v>
      </c>
      <c r="H64" s="32" t="s">
        <v>119</v>
      </c>
      <c r="I64" s="32" t="s">
        <v>54</v>
      </c>
      <c r="J64" s="32" t="s">
        <v>46</v>
      </c>
      <c r="M64" s="32" t="s">
        <v>60</v>
      </c>
      <c r="N64" s="32" t="s">
        <v>58</v>
      </c>
    </row>
    <row r="65" spans="1:14" s="32" customFormat="1" hidden="1" x14ac:dyDescent="0.3">
      <c r="A65" s="38">
        <v>46234.478981481479</v>
      </c>
      <c r="B65" s="32" t="s">
        <v>49</v>
      </c>
      <c r="C65" s="32">
        <v>64992243831</v>
      </c>
      <c r="E65" s="32">
        <v>301</v>
      </c>
      <c r="F65" s="32">
        <v>293</v>
      </c>
      <c r="G65" s="32" t="s">
        <v>44</v>
      </c>
      <c r="H65" s="32" t="s">
        <v>120</v>
      </c>
      <c r="I65" s="32" t="s">
        <v>54</v>
      </c>
      <c r="J65" s="32" t="s">
        <v>46</v>
      </c>
      <c r="M65" s="32" t="s">
        <v>51</v>
      </c>
      <c r="N65" s="32" t="s">
        <v>49</v>
      </c>
    </row>
    <row r="66" spans="1:14" s="32" customFormat="1" hidden="1" x14ac:dyDescent="0.3">
      <c r="A66" s="38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38</v>
      </c>
      <c r="H66" s="32" t="s">
        <v>121</v>
      </c>
      <c r="I66" s="32" t="s">
        <v>40</v>
      </c>
      <c r="J66" s="32" t="s">
        <v>41</v>
      </c>
    </row>
    <row r="67" spans="1:14" s="32" customFormat="1" hidden="1" x14ac:dyDescent="0.3">
      <c r="A67" s="38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38</v>
      </c>
      <c r="H67" s="32" t="s">
        <v>122</v>
      </c>
      <c r="I67" s="32" t="s">
        <v>40</v>
      </c>
      <c r="J67" s="32" t="s">
        <v>41</v>
      </c>
      <c r="K67" s="32" t="s">
        <v>42</v>
      </c>
    </row>
    <row r="68" spans="1:14" s="32" customFormat="1" hidden="1" x14ac:dyDescent="0.3">
      <c r="A68" s="38">
        <v>46234.476226851853</v>
      </c>
      <c r="B68" s="32">
        <v>4520313142</v>
      </c>
      <c r="C68" s="32" t="s">
        <v>43</v>
      </c>
      <c r="D68" s="32">
        <v>4430265054</v>
      </c>
      <c r="E68" s="32">
        <v>249</v>
      </c>
      <c r="F68" s="32">
        <v>232</v>
      </c>
      <c r="G68" s="32" t="s">
        <v>44</v>
      </c>
      <c r="H68" s="32" t="s">
        <v>123</v>
      </c>
      <c r="I68" s="32" t="s">
        <v>40</v>
      </c>
      <c r="J68" s="32" t="s">
        <v>46</v>
      </c>
      <c r="K68" s="32" t="s">
        <v>42</v>
      </c>
      <c r="M68" s="32" t="s">
        <v>47</v>
      </c>
      <c r="N68" s="32" t="s">
        <v>43</v>
      </c>
    </row>
    <row r="69" spans="1:14" s="32" customFormat="1" hidden="1" x14ac:dyDescent="0.3">
      <c r="A69" s="38">
        <v>46234.476006944446</v>
      </c>
      <c r="B69" s="32">
        <v>41997840159</v>
      </c>
      <c r="C69" s="32" t="s">
        <v>58</v>
      </c>
      <c r="D69" s="32">
        <v>4431268225</v>
      </c>
      <c r="E69" s="32">
        <v>235</v>
      </c>
      <c r="F69" s="32">
        <v>235</v>
      </c>
      <c r="G69" s="32" t="s">
        <v>44</v>
      </c>
      <c r="H69" s="32" t="s">
        <v>124</v>
      </c>
      <c r="I69" s="32" t="s">
        <v>40</v>
      </c>
      <c r="J69" s="32" t="s">
        <v>46</v>
      </c>
      <c r="K69" s="32" t="s">
        <v>42</v>
      </c>
      <c r="M69" s="32" t="s">
        <v>60</v>
      </c>
      <c r="N69" s="32" t="s">
        <v>58</v>
      </c>
    </row>
    <row r="70" spans="1:14" s="32" customFormat="1" hidden="1" x14ac:dyDescent="0.3">
      <c r="A70" s="38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38</v>
      </c>
      <c r="H70" s="32" t="s">
        <v>125</v>
      </c>
      <c r="I70" s="32" t="s">
        <v>40</v>
      </c>
      <c r="J70" s="32" t="s">
        <v>41</v>
      </c>
      <c r="K70" s="32" t="s">
        <v>42</v>
      </c>
    </row>
    <row r="71" spans="1:14" s="32" customFormat="1" hidden="1" x14ac:dyDescent="0.3">
      <c r="A71" s="38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38</v>
      </c>
      <c r="H71" s="32" t="s">
        <v>126</v>
      </c>
      <c r="I71" s="32" t="s">
        <v>40</v>
      </c>
      <c r="J71" s="32" t="s">
        <v>41</v>
      </c>
      <c r="K71" s="32" t="s">
        <v>42</v>
      </c>
    </row>
    <row r="72" spans="1:14" s="32" customFormat="1" hidden="1" x14ac:dyDescent="0.3">
      <c r="A72" s="38">
        <v>46234.46638888889</v>
      </c>
      <c r="B72" s="32">
        <v>1131043888</v>
      </c>
      <c r="C72" s="32" t="s">
        <v>43</v>
      </c>
      <c r="D72" s="32">
        <v>4430265054</v>
      </c>
      <c r="E72" s="32">
        <v>402</v>
      </c>
      <c r="F72" s="32">
        <v>384</v>
      </c>
      <c r="G72" s="32" t="s">
        <v>44</v>
      </c>
      <c r="H72" s="32" t="s">
        <v>127</v>
      </c>
      <c r="I72" s="32" t="s">
        <v>40</v>
      </c>
      <c r="J72" s="32" t="s">
        <v>46</v>
      </c>
      <c r="K72" s="32" t="s">
        <v>42</v>
      </c>
      <c r="M72" s="32" t="s">
        <v>47</v>
      </c>
      <c r="N72" s="32" t="s">
        <v>43</v>
      </c>
    </row>
    <row r="73" spans="1:14" s="32" customFormat="1" hidden="1" x14ac:dyDescent="0.3">
      <c r="A73" s="38">
        <v>46234.465196759258</v>
      </c>
      <c r="B73" s="32">
        <v>44999497001</v>
      </c>
      <c r="C73" s="32" t="s">
        <v>49</v>
      </c>
      <c r="D73" s="32">
        <v>4430265054</v>
      </c>
      <c r="E73" s="32">
        <v>208</v>
      </c>
      <c r="F73" s="32">
        <v>148</v>
      </c>
      <c r="G73" s="32" t="s">
        <v>44</v>
      </c>
      <c r="H73" s="32" t="s">
        <v>128</v>
      </c>
      <c r="I73" s="32" t="s">
        <v>40</v>
      </c>
      <c r="J73" s="32" t="s">
        <v>46</v>
      </c>
      <c r="K73" s="32" t="s">
        <v>42</v>
      </c>
      <c r="M73" s="32" t="s">
        <v>51</v>
      </c>
      <c r="N73" s="32" t="s">
        <v>49</v>
      </c>
    </row>
    <row r="74" spans="1:14" s="32" customFormat="1" hidden="1" x14ac:dyDescent="0.3">
      <c r="A74" s="38">
        <v>46234.458611111113</v>
      </c>
      <c r="B74" s="32" t="s">
        <v>49</v>
      </c>
      <c r="C74" s="32">
        <v>4430562296</v>
      </c>
      <c r="E74" s="32">
        <v>471</v>
      </c>
      <c r="F74" s="32">
        <v>460</v>
      </c>
      <c r="G74" s="32" t="s">
        <v>44</v>
      </c>
      <c r="H74" s="32" t="s">
        <v>129</v>
      </c>
      <c r="I74" s="32" t="s">
        <v>54</v>
      </c>
      <c r="J74" s="32" t="s">
        <v>46</v>
      </c>
      <c r="L74" s="32">
        <v>5</v>
      </c>
      <c r="M74" s="32" t="s">
        <v>51</v>
      </c>
      <c r="N74" s="32" t="s">
        <v>49</v>
      </c>
    </row>
    <row r="75" spans="1:14" s="32" customFormat="1" hidden="1" x14ac:dyDescent="0.3">
      <c r="A75" s="38">
        <v>46234.45853009259</v>
      </c>
      <c r="B75" s="32" t="s">
        <v>49</v>
      </c>
      <c r="C75" s="32">
        <v>4430562296</v>
      </c>
      <c r="E75" s="32">
        <v>14</v>
      </c>
      <c r="F75" s="32">
        <v>13</v>
      </c>
      <c r="G75" s="32" t="s">
        <v>44</v>
      </c>
      <c r="H75" s="32" t="s">
        <v>130</v>
      </c>
      <c r="I75" s="32" t="s">
        <v>54</v>
      </c>
      <c r="J75" s="32" t="s">
        <v>46</v>
      </c>
      <c r="M75" s="32" t="s">
        <v>51</v>
      </c>
      <c r="N75" s="32" t="s">
        <v>49</v>
      </c>
    </row>
    <row r="76" spans="1:14" s="32" customFormat="1" hidden="1" x14ac:dyDescent="0.3">
      <c r="A76" s="38">
        <v>46234.451122685183</v>
      </c>
      <c r="B76" s="32">
        <v>4431337559</v>
      </c>
      <c r="C76" s="32" t="s">
        <v>43</v>
      </c>
      <c r="D76" s="32">
        <v>4430265054</v>
      </c>
      <c r="E76" s="32">
        <v>831</v>
      </c>
      <c r="F76" s="32">
        <v>819</v>
      </c>
      <c r="G76" s="32" t="s">
        <v>44</v>
      </c>
      <c r="H76" s="32" t="s">
        <v>131</v>
      </c>
      <c r="I76" s="32" t="s">
        <v>40</v>
      </c>
      <c r="J76" s="32" t="s">
        <v>46</v>
      </c>
      <c r="K76" s="32" t="s">
        <v>42</v>
      </c>
      <c r="M76" s="32" t="s">
        <v>47</v>
      </c>
      <c r="N76" s="32" t="s">
        <v>43</v>
      </c>
    </row>
    <row r="77" spans="1:14" s="32" customFormat="1" hidden="1" x14ac:dyDescent="0.3">
      <c r="A77" s="38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38</v>
      </c>
      <c r="H77" s="32" t="s">
        <v>132</v>
      </c>
      <c r="I77" s="32" t="s">
        <v>40</v>
      </c>
      <c r="J77" s="32" t="s">
        <v>41</v>
      </c>
      <c r="K77" s="32" t="s">
        <v>42</v>
      </c>
    </row>
    <row r="78" spans="1:14" s="32" customFormat="1" hidden="1" x14ac:dyDescent="0.3">
      <c r="A78" s="38">
        <v>46234.445879629631</v>
      </c>
      <c r="B78" s="32">
        <v>4430286521</v>
      </c>
      <c r="C78" s="32" t="s">
        <v>58</v>
      </c>
      <c r="D78" s="32">
        <v>4430265054</v>
      </c>
      <c r="E78" s="32">
        <v>830</v>
      </c>
      <c r="F78" s="32">
        <v>829</v>
      </c>
      <c r="G78" s="32" t="s">
        <v>44</v>
      </c>
      <c r="H78" s="32" t="s">
        <v>133</v>
      </c>
      <c r="I78" s="32" t="s">
        <v>40</v>
      </c>
      <c r="J78" s="32" t="s">
        <v>46</v>
      </c>
      <c r="K78" s="32" t="s">
        <v>42</v>
      </c>
      <c r="M78" s="32" t="s">
        <v>60</v>
      </c>
      <c r="N78" s="32" t="s">
        <v>58</v>
      </c>
    </row>
    <row r="79" spans="1:14" s="32" customFormat="1" hidden="1" x14ac:dyDescent="0.3">
      <c r="A79" s="38">
        <v>46234.442141203705</v>
      </c>
      <c r="B79" s="32">
        <v>4430562296</v>
      </c>
      <c r="C79" s="32" t="s">
        <v>49</v>
      </c>
      <c r="D79" s="32">
        <v>4430265054</v>
      </c>
      <c r="E79" s="32">
        <v>772</v>
      </c>
      <c r="F79" s="32">
        <v>690</v>
      </c>
      <c r="G79" s="32" t="s">
        <v>44</v>
      </c>
      <c r="H79" s="32" t="s">
        <v>134</v>
      </c>
      <c r="I79" s="32" t="s">
        <v>40</v>
      </c>
      <c r="J79" s="32" t="s">
        <v>46</v>
      </c>
      <c r="K79" s="32" t="s">
        <v>42</v>
      </c>
      <c r="M79" s="32" t="s">
        <v>51</v>
      </c>
      <c r="N79" s="32" t="s">
        <v>49</v>
      </c>
    </row>
    <row r="80" spans="1:14" s="32" customFormat="1" hidden="1" x14ac:dyDescent="0.3">
      <c r="A80" s="38">
        <v>46234.433900462966</v>
      </c>
      <c r="B80" s="32">
        <v>6234347959</v>
      </c>
      <c r="C80" s="32" t="s">
        <v>85</v>
      </c>
      <c r="D80" s="32">
        <v>4430265054</v>
      </c>
      <c r="E80" s="32">
        <v>529</v>
      </c>
      <c r="F80" s="32">
        <v>266</v>
      </c>
      <c r="G80" s="32" t="s">
        <v>44</v>
      </c>
      <c r="H80" s="32" t="s">
        <v>135</v>
      </c>
      <c r="I80" s="32" t="s">
        <v>40</v>
      </c>
      <c r="J80" s="32" t="s">
        <v>41</v>
      </c>
      <c r="K80" s="32" t="s">
        <v>42</v>
      </c>
      <c r="M80" s="32" t="s">
        <v>87</v>
      </c>
      <c r="N80" s="32" t="s">
        <v>85</v>
      </c>
    </row>
    <row r="81" spans="1:14" s="32" customFormat="1" hidden="1" x14ac:dyDescent="0.3">
      <c r="A81" s="38">
        <v>46234.433067129627</v>
      </c>
      <c r="B81" s="32">
        <v>4435293520</v>
      </c>
      <c r="C81" s="32" t="s">
        <v>58</v>
      </c>
      <c r="D81" s="32">
        <v>4430265054</v>
      </c>
      <c r="E81" s="32">
        <v>345</v>
      </c>
      <c r="F81" s="32">
        <v>236</v>
      </c>
      <c r="G81" s="32" t="s">
        <v>44</v>
      </c>
      <c r="H81" s="32" t="s">
        <v>136</v>
      </c>
      <c r="I81" s="32" t="s">
        <v>40</v>
      </c>
      <c r="J81" s="32" t="s">
        <v>46</v>
      </c>
      <c r="K81" s="32" t="s">
        <v>42</v>
      </c>
      <c r="M81" s="32" t="s">
        <v>60</v>
      </c>
      <c r="N81" s="32" t="s">
        <v>58</v>
      </c>
    </row>
    <row r="82" spans="1:14" s="32" customFormat="1" hidden="1" x14ac:dyDescent="0.3">
      <c r="A82" s="38">
        <v>46234.430381944447</v>
      </c>
      <c r="B82" s="32">
        <v>4432525112</v>
      </c>
      <c r="C82" s="32" t="s">
        <v>85</v>
      </c>
      <c r="D82" s="32">
        <v>4430265054</v>
      </c>
      <c r="E82" s="32">
        <v>560</v>
      </c>
      <c r="F82" s="32">
        <v>472</v>
      </c>
      <c r="G82" s="32" t="s">
        <v>44</v>
      </c>
      <c r="H82" s="32" t="s">
        <v>137</v>
      </c>
      <c r="I82" s="32" t="s">
        <v>40</v>
      </c>
      <c r="J82" s="32" t="s">
        <v>41</v>
      </c>
      <c r="K82" s="32" t="s">
        <v>42</v>
      </c>
      <c r="M82" s="32" t="s">
        <v>87</v>
      </c>
      <c r="N82" s="32" t="s">
        <v>85</v>
      </c>
    </row>
    <row r="83" spans="1:14" s="32" customFormat="1" hidden="1" x14ac:dyDescent="0.3">
      <c r="A83" s="38">
        <v>46234.429895833331</v>
      </c>
      <c r="B83" s="32">
        <v>44984241715</v>
      </c>
      <c r="C83" s="32" t="s">
        <v>49</v>
      </c>
      <c r="D83" s="32">
        <v>4430265054</v>
      </c>
      <c r="E83" s="32">
        <v>640</v>
      </c>
      <c r="F83" s="32">
        <v>546</v>
      </c>
      <c r="G83" s="32" t="s">
        <v>44</v>
      </c>
      <c r="H83" s="32" t="s">
        <v>138</v>
      </c>
      <c r="I83" s="32" t="s">
        <v>40</v>
      </c>
      <c r="J83" s="32" t="s">
        <v>46</v>
      </c>
      <c r="K83" s="32" t="s">
        <v>42</v>
      </c>
      <c r="M83" s="32" t="s">
        <v>51</v>
      </c>
      <c r="N83" s="32" t="s">
        <v>49</v>
      </c>
    </row>
    <row r="84" spans="1:14" s="32" customFormat="1" hidden="1" x14ac:dyDescent="0.3">
      <c r="A84" s="38">
        <v>46234.426238425927</v>
      </c>
      <c r="B84" s="32">
        <v>91981481202</v>
      </c>
      <c r="C84" s="32" t="s">
        <v>43</v>
      </c>
      <c r="D84" s="32">
        <v>4430265054</v>
      </c>
      <c r="E84" s="32">
        <v>1616</v>
      </c>
      <c r="F84" s="32">
        <v>1606</v>
      </c>
      <c r="G84" s="32" t="s">
        <v>44</v>
      </c>
      <c r="H84" s="32" t="s">
        <v>139</v>
      </c>
      <c r="I84" s="32" t="s">
        <v>40</v>
      </c>
      <c r="J84" s="32" t="s">
        <v>46</v>
      </c>
      <c r="K84" s="32" t="s">
        <v>42</v>
      </c>
      <c r="L84" s="32">
        <v>5</v>
      </c>
      <c r="M84" s="32" t="s">
        <v>47</v>
      </c>
      <c r="N84" s="32" t="s">
        <v>43</v>
      </c>
    </row>
    <row r="85" spans="1:14" s="32" customFormat="1" hidden="1" x14ac:dyDescent="0.3">
      <c r="A85" s="38">
        <v>46234.425416666665</v>
      </c>
      <c r="B85" s="32">
        <v>44999497001</v>
      </c>
      <c r="C85" s="32" t="s">
        <v>58</v>
      </c>
      <c r="D85" s="32">
        <v>4430265054</v>
      </c>
      <c r="E85" s="32">
        <v>766</v>
      </c>
      <c r="F85" s="32">
        <v>656</v>
      </c>
      <c r="G85" s="32" t="s">
        <v>44</v>
      </c>
      <c r="H85" s="32" t="s">
        <v>140</v>
      </c>
      <c r="I85" s="32" t="s">
        <v>40</v>
      </c>
      <c r="J85" s="32" t="s">
        <v>46</v>
      </c>
      <c r="K85" s="32" t="s">
        <v>42</v>
      </c>
      <c r="M85" s="32" t="s">
        <v>60</v>
      </c>
      <c r="N85" s="32" t="s">
        <v>58</v>
      </c>
    </row>
    <row r="86" spans="1:14" s="32" customFormat="1" hidden="1" x14ac:dyDescent="0.3">
      <c r="A86" s="38">
        <v>46234.422858796293</v>
      </c>
      <c r="B86" s="32">
        <v>44997561804</v>
      </c>
      <c r="C86" s="32" t="s">
        <v>49</v>
      </c>
      <c r="D86" s="32">
        <v>4430265054</v>
      </c>
      <c r="E86" s="32">
        <v>621</v>
      </c>
      <c r="F86" s="32">
        <v>582</v>
      </c>
      <c r="G86" s="32" t="s">
        <v>44</v>
      </c>
      <c r="H86" s="32" t="s">
        <v>141</v>
      </c>
      <c r="I86" s="32" t="s">
        <v>40</v>
      </c>
      <c r="J86" s="32" t="s">
        <v>46</v>
      </c>
      <c r="K86" s="32" t="s">
        <v>42</v>
      </c>
      <c r="M86" s="32" t="s">
        <v>51</v>
      </c>
      <c r="N86" s="32" t="s">
        <v>49</v>
      </c>
    </row>
    <row r="87" spans="1:14" s="32" customFormat="1" hidden="1" x14ac:dyDescent="0.3">
      <c r="A87" s="38">
        <v>46234.417905092596</v>
      </c>
      <c r="B87" s="32">
        <v>4430289492</v>
      </c>
      <c r="C87" s="32" t="s">
        <v>43</v>
      </c>
      <c r="D87" s="32">
        <v>4430265054</v>
      </c>
      <c r="E87" s="32">
        <v>567</v>
      </c>
      <c r="F87" s="32">
        <v>543</v>
      </c>
      <c r="G87" s="32" t="s">
        <v>44</v>
      </c>
      <c r="H87" s="32" t="s">
        <v>142</v>
      </c>
      <c r="I87" s="32" t="s">
        <v>40</v>
      </c>
      <c r="J87" s="32" t="s">
        <v>46</v>
      </c>
      <c r="K87" s="32" t="s">
        <v>42</v>
      </c>
      <c r="M87" s="32" t="s">
        <v>47</v>
      </c>
      <c r="N87" s="32" t="s">
        <v>43</v>
      </c>
    </row>
    <row r="88" spans="1:14" s="32" customFormat="1" hidden="1" x14ac:dyDescent="0.3">
      <c r="A88" s="38">
        <v>46234.415914351855</v>
      </c>
      <c r="B88" s="32">
        <v>73982188717</v>
      </c>
      <c r="C88" s="32" t="s">
        <v>49</v>
      </c>
      <c r="D88" s="32">
        <v>4430265054</v>
      </c>
      <c r="E88" s="32">
        <v>369</v>
      </c>
      <c r="F88" s="32">
        <v>338</v>
      </c>
      <c r="G88" s="32" t="s">
        <v>44</v>
      </c>
      <c r="H88" s="32" t="s">
        <v>143</v>
      </c>
      <c r="I88" s="32" t="s">
        <v>40</v>
      </c>
      <c r="J88" s="32" t="s">
        <v>46</v>
      </c>
      <c r="K88" s="32" t="s">
        <v>42</v>
      </c>
      <c r="M88" s="32" t="s">
        <v>51</v>
      </c>
      <c r="N88" s="32" t="s">
        <v>49</v>
      </c>
    </row>
    <row r="89" spans="1:14" s="32" customFormat="1" hidden="1" x14ac:dyDescent="0.3">
      <c r="A89" s="38">
        <v>46234.409398148149</v>
      </c>
      <c r="B89" s="32">
        <v>4432443131</v>
      </c>
      <c r="C89" s="32" t="s">
        <v>58</v>
      </c>
      <c r="D89" s="32">
        <v>4430265054</v>
      </c>
      <c r="E89" s="32">
        <v>589</v>
      </c>
      <c r="F89" s="32">
        <v>588</v>
      </c>
      <c r="G89" s="32" t="s">
        <v>44</v>
      </c>
      <c r="H89" s="32" t="s">
        <v>144</v>
      </c>
      <c r="I89" s="32" t="s">
        <v>40</v>
      </c>
      <c r="J89" s="32" t="s">
        <v>46</v>
      </c>
      <c r="K89" s="32" t="s">
        <v>42</v>
      </c>
      <c r="M89" s="32" t="s">
        <v>60</v>
      </c>
      <c r="N89" s="32" t="s">
        <v>58</v>
      </c>
    </row>
    <row r="90" spans="1:14" s="32" customFormat="1" hidden="1" x14ac:dyDescent="0.3">
      <c r="A90" s="38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38</v>
      </c>
      <c r="H90" s="32" t="s">
        <v>145</v>
      </c>
      <c r="I90" s="32" t="s">
        <v>40</v>
      </c>
      <c r="J90" s="32" t="s">
        <v>41</v>
      </c>
    </row>
    <row r="91" spans="1:14" s="32" customFormat="1" hidden="1" x14ac:dyDescent="0.3">
      <c r="A91" s="38">
        <v>46234.40042824074</v>
      </c>
      <c r="B91" s="32" t="s">
        <v>58</v>
      </c>
      <c r="C91" s="32">
        <v>4330333542</v>
      </c>
      <c r="E91" s="32">
        <v>632</v>
      </c>
      <c r="F91" s="32">
        <v>623</v>
      </c>
      <c r="G91" s="32" t="s">
        <v>44</v>
      </c>
      <c r="H91" s="32" t="s">
        <v>146</v>
      </c>
      <c r="I91" s="32" t="s">
        <v>54</v>
      </c>
      <c r="J91" s="32" t="s">
        <v>46</v>
      </c>
      <c r="M91" s="32" t="s">
        <v>60</v>
      </c>
      <c r="N91" s="32" t="s">
        <v>58</v>
      </c>
    </row>
    <row r="92" spans="1:14" s="32" customFormat="1" hidden="1" x14ac:dyDescent="0.3">
      <c r="A92" s="38">
        <v>46234.394085648149</v>
      </c>
      <c r="B92" s="32">
        <v>4430141092</v>
      </c>
      <c r="C92" s="32" t="s">
        <v>49</v>
      </c>
      <c r="D92" s="32">
        <v>4430265054</v>
      </c>
      <c r="E92" s="32">
        <v>322</v>
      </c>
      <c r="F92" s="32">
        <v>260</v>
      </c>
      <c r="G92" s="32" t="s">
        <v>44</v>
      </c>
      <c r="H92" s="32" t="s">
        <v>147</v>
      </c>
      <c r="I92" s="32" t="s">
        <v>40</v>
      </c>
      <c r="J92" s="32" t="s">
        <v>46</v>
      </c>
      <c r="K92" s="32" t="s">
        <v>42</v>
      </c>
      <c r="M92" s="32" t="s">
        <v>51</v>
      </c>
      <c r="N92" s="32" t="s">
        <v>49</v>
      </c>
    </row>
    <row r="93" spans="1:14" s="32" customFormat="1" hidden="1" x14ac:dyDescent="0.3">
      <c r="A93" s="38">
        <v>46234.386747685188</v>
      </c>
      <c r="B93" s="32">
        <v>41999717893</v>
      </c>
      <c r="C93" s="32" t="s">
        <v>43</v>
      </c>
      <c r="D93" s="32">
        <v>4430265054</v>
      </c>
      <c r="E93" s="32">
        <v>552</v>
      </c>
      <c r="F93" s="32">
        <v>521</v>
      </c>
      <c r="G93" s="32" t="s">
        <v>44</v>
      </c>
      <c r="H93" s="32" t="s">
        <v>148</v>
      </c>
      <c r="I93" s="32" t="s">
        <v>40</v>
      </c>
      <c r="J93" s="32" t="s">
        <v>46</v>
      </c>
      <c r="K93" s="32" t="s">
        <v>42</v>
      </c>
      <c r="M93" s="32" t="s">
        <v>47</v>
      </c>
      <c r="N93" s="32" t="s">
        <v>43</v>
      </c>
    </row>
    <row r="94" spans="1:14" s="32" customFormat="1" hidden="1" x14ac:dyDescent="0.3">
      <c r="A94" s="38">
        <v>46234.385763888888</v>
      </c>
      <c r="B94" s="32">
        <v>43988030048</v>
      </c>
      <c r="C94" s="32" t="s">
        <v>58</v>
      </c>
      <c r="D94" s="32">
        <v>4430265054</v>
      </c>
      <c r="E94" s="32">
        <v>177</v>
      </c>
      <c r="F94" s="32">
        <v>176</v>
      </c>
      <c r="G94" s="32" t="s">
        <v>44</v>
      </c>
      <c r="H94" s="32" t="s">
        <v>149</v>
      </c>
      <c r="I94" s="32" t="s">
        <v>40</v>
      </c>
      <c r="J94" s="32" t="s">
        <v>46</v>
      </c>
      <c r="K94" s="32" t="s">
        <v>42</v>
      </c>
      <c r="M94" s="32" t="s">
        <v>60</v>
      </c>
      <c r="N94" s="32" t="s">
        <v>58</v>
      </c>
    </row>
    <row r="95" spans="1:14" s="32" customFormat="1" hidden="1" x14ac:dyDescent="0.3">
      <c r="A95" s="38">
        <v>46234.379201388889</v>
      </c>
      <c r="B95" s="32" t="s">
        <v>49</v>
      </c>
      <c r="C95" s="32">
        <v>4330332823</v>
      </c>
      <c r="E95" s="32">
        <v>685</v>
      </c>
      <c r="F95" s="32">
        <v>676</v>
      </c>
      <c r="G95" s="32" t="s">
        <v>44</v>
      </c>
      <c r="H95" s="32" t="s">
        <v>150</v>
      </c>
      <c r="I95" s="32" t="s">
        <v>54</v>
      </c>
      <c r="J95" s="32" t="s">
        <v>46</v>
      </c>
      <c r="M95" s="32" t="s">
        <v>51</v>
      </c>
      <c r="N95" s="32" t="s">
        <v>49</v>
      </c>
    </row>
    <row r="96" spans="1:14" s="32" customFormat="1" hidden="1" x14ac:dyDescent="0.3">
      <c r="A96" s="38">
        <v>46234.372384259259</v>
      </c>
      <c r="B96" s="32">
        <v>44988533081</v>
      </c>
      <c r="C96" s="32" t="s">
        <v>58</v>
      </c>
      <c r="D96" s="32">
        <v>4430265054</v>
      </c>
      <c r="E96" s="32">
        <v>357</v>
      </c>
      <c r="F96" s="32">
        <v>327</v>
      </c>
      <c r="G96" s="32" t="s">
        <v>44</v>
      </c>
      <c r="H96" s="32" t="s">
        <v>151</v>
      </c>
      <c r="I96" s="32" t="s">
        <v>40</v>
      </c>
      <c r="J96" s="32" t="s">
        <v>46</v>
      </c>
      <c r="K96" s="32" t="s">
        <v>42</v>
      </c>
      <c r="M96" s="32" t="s">
        <v>60</v>
      </c>
      <c r="N96" s="32" t="s">
        <v>58</v>
      </c>
    </row>
    <row r="97" spans="1:14" s="32" customFormat="1" hidden="1" x14ac:dyDescent="0.3">
      <c r="A97" s="38">
        <v>46234.372303240743</v>
      </c>
      <c r="B97" s="32" t="s">
        <v>49</v>
      </c>
      <c r="C97" s="32">
        <v>44991126458</v>
      </c>
      <c r="E97" s="32">
        <v>51</v>
      </c>
      <c r="F97" s="32">
        <v>41</v>
      </c>
      <c r="G97" s="32" t="s">
        <v>44</v>
      </c>
      <c r="H97" s="32" t="s">
        <v>152</v>
      </c>
      <c r="I97" s="32" t="s">
        <v>54</v>
      </c>
      <c r="J97" s="32" t="s">
        <v>46</v>
      </c>
      <c r="M97" s="32" t="s">
        <v>51</v>
      </c>
      <c r="N97" s="32" t="s">
        <v>49</v>
      </c>
    </row>
    <row r="98" spans="1:14" s="32" customFormat="1" hidden="1" x14ac:dyDescent="0.3">
      <c r="A98" s="38">
        <v>46234.37222222222</v>
      </c>
      <c r="B98" s="32" t="s">
        <v>49</v>
      </c>
      <c r="C98" s="32">
        <v>44991126458</v>
      </c>
      <c r="E98" s="32">
        <v>5</v>
      </c>
      <c r="F98" s="32">
        <v>0</v>
      </c>
      <c r="G98" s="32" t="s">
        <v>63</v>
      </c>
      <c r="H98" s="32" t="s">
        <v>153</v>
      </c>
      <c r="I98" s="32" t="s">
        <v>54</v>
      </c>
      <c r="J98" s="32" t="s">
        <v>46</v>
      </c>
      <c r="M98" s="32" t="s">
        <v>51</v>
      </c>
      <c r="N98" s="32" t="s">
        <v>49</v>
      </c>
    </row>
    <row r="99" spans="1:14" s="32" customFormat="1" hidden="1" x14ac:dyDescent="0.3">
      <c r="A99" s="38">
        <v>46234.371469907404</v>
      </c>
      <c r="B99" s="32">
        <v>44997134514</v>
      </c>
      <c r="C99" s="32" t="s">
        <v>43</v>
      </c>
      <c r="D99" s="32">
        <v>4430265054</v>
      </c>
      <c r="E99" s="32">
        <v>780</v>
      </c>
      <c r="F99" s="32">
        <v>722</v>
      </c>
      <c r="G99" s="32" t="s">
        <v>44</v>
      </c>
      <c r="H99" s="32" t="s">
        <v>154</v>
      </c>
      <c r="I99" s="32" t="s">
        <v>40</v>
      </c>
      <c r="J99" s="32" t="s">
        <v>46</v>
      </c>
      <c r="K99" s="32" t="s">
        <v>42</v>
      </c>
      <c r="M99" s="32" t="s">
        <v>47</v>
      </c>
      <c r="N99" s="32" t="s">
        <v>43</v>
      </c>
    </row>
    <row r="100" spans="1:14" s="32" customFormat="1" hidden="1" x14ac:dyDescent="0.3">
      <c r="A100" s="38">
        <v>46234.365347222221</v>
      </c>
      <c r="B100" s="32">
        <v>4430145172</v>
      </c>
      <c r="C100" s="32" t="s">
        <v>43</v>
      </c>
      <c r="D100" s="32">
        <v>4430265054</v>
      </c>
      <c r="E100" s="32">
        <v>395</v>
      </c>
      <c r="F100" s="32">
        <v>373</v>
      </c>
      <c r="G100" s="32" t="s">
        <v>44</v>
      </c>
      <c r="H100" s="32" t="s">
        <v>155</v>
      </c>
      <c r="I100" s="32" t="s">
        <v>40</v>
      </c>
      <c r="J100" s="32" t="s">
        <v>46</v>
      </c>
      <c r="K100" s="32" t="s">
        <v>42</v>
      </c>
      <c r="M100" s="32" t="s">
        <v>47</v>
      </c>
      <c r="N100" s="32" t="s">
        <v>43</v>
      </c>
    </row>
    <row r="101" spans="1:14" s="32" customFormat="1" hidden="1" x14ac:dyDescent="0.3">
      <c r="A101" s="38">
        <v>46234.359768518516</v>
      </c>
      <c r="B101" s="32">
        <v>4430562296</v>
      </c>
      <c r="C101" s="32" t="s">
        <v>43</v>
      </c>
      <c r="D101" s="32">
        <v>4430265054</v>
      </c>
      <c r="E101" s="32">
        <v>182</v>
      </c>
      <c r="F101" s="32">
        <v>146</v>
      </c>
      <c r="G101" s="32" t="s">
        <v>44</v>
      </c>
      <c r="H101" s="32" t="s">
        <v>156</v>
      </c>
      <c r="I101" s="32" t="s">
        <v>40</v>
      </c>
      <c r="J101" s="32" t="s">
        <v>46</v>
      </c>
      <c r="K101" s="32" t="s">
        <v>42</v>
      </c>
      <c r="M101" s="32" t="s">
        <v>47</v>
      </c>
      <c r="N101" s="32" t="s">
        <v>43</v>
      </c>
    </row>
    <row r="102" spans="1:14" s="32" customFormat="1" hidden="1" x14ac:dyDescent="0.3">
      <c r="A102" s="38">
        <v>46234.358391203707</v>
      </c>
      <c r="B102" s="32">
        <v>44991126458</v>
      </c>
      <c r="C102" s="32" t="s">
        <v>49</v>
      </c>
      <c r="D102" s="32">
        <v>4430265054</v>
      </c>
      <c r="E102" s="32">
        <v>536</v>
      </c>
      <c r="F102" s="32">
        <v>493</v>
      </c>
      <c r="G102" s="32" t="s">
        <v>44</v>
      </c>
      <c r="H102" s="32" t="s">
        <v>157</v>
      </c>
      <c r="I102" s="32" t="s">
        <v>40</v>
      </c>
      <c r="J102" s="32" t="s">
        <v>46</v>
      </c>
      <c r="K102" s="32" t="s">
        <v>42</v>
      </c>
      <c r="M102" s="32" t="s">
        <v>51</v>
      </c>
      <c r="N102" s="32" t="s">
        <v>49</v>
      </c>
    </row>
    <row r="103" spans="1:14" s="32" customFormat="1" hidden="1" x14ac:dyDescent="0.3">
      <c r="A103" s="38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38</v>
      </c>
      <c r="H103" s="32" t="s">
        <v>158</v>
      </c>
      <c r="I103" s="32" t="s">
        <v>40</v>
      </c>
      <c r="J103" s="32" t="s">
        <v>41</v>
      </c>
    </row>
    <row r="104" spans="1:14" s="32" customFormat="1" hidden="1" x14ac:dyDescent="0.3">
      <c r="A104" s="38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38</v>
      </c>
      <c r="H104" s="32" t="s">
        <v>159</v>
      </c>
      <c r="I104" s="32" t="s">
        <v>40</v>
      </c>
      <c r="J104" s="32" t="s">
        <v>41</v>
      </c>
    </row>
    <row r="105" spans="1:14" s="32" customFormat="1" hidden="1" x14ac:dyDescent="0.3">
      <c r="A105" s="38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38</v>
      </c>
      <c r="H105" s="32" t="s">
        <v>160</v>
      </c>
      <c r="I105" s="32" t="s">
        <v>40</v>
      </c>
      <c r="J105" s="32" t="s">
        <v>41</v>
      </c>
    </row>
    <row r="106" spans="1:14" s="32" customFormat="1" hidden="1" x14ac:dyDescent="0.3">
      <c r="A106" s="38">
        <v>46233.725127314814</v>
      </c>
      <c r="B106" s="32">
        <v>91981311350</v>
      </c>
      <c r="C106" s="32" t="s">
        <v>58</v>
      </c>
      <c r="D106" s="32">
        <v>4430265054</v>
      </c>
      <c r="E106" s="32">
        <v>382</v>
      </c>
      <c r="F106" s="32">
        <v>340</v>
      </c>
      <c r="G106" s="32" t="s">
        <v>44</v>
      </c>
      <c r="H106" s="32" t="s">
        <v>161</v>
      </c>
      <c r="I106" s="32" t="s">
        <v>40</v>
      </c>
      <c r="J106" s="32" t="s">
        <v>46</v>
      </c>
      <c r="K106" s="32" t="s">
        <v>42</v>
      </c>
      <c r="M106" s="32" t="s">
        <v>60</v>
      </c>
      <c r="N106" s="32" t="s">
        <v>58</v>
      </c>
    </row>
    <row r="107" spans="1:14" s="32" customFormat="1" x14ac:dyDescent="0.3">
      <c r="A107" s="38">
        <v>46233.720520833333</v>
      </c>
      <c r="B107" s="32">
        <v>4430141092</v>
      </c>
      <c r="C107" s="32" t="s">
        <v>49</v>
      </c>
      <c r="D107" s="32">
        <v>4430265054</v>
      </c>
      <c r="E107" s="32">
        <v>1193</v>
      </c>
      <c r="F107" s="32">
        <v>1167</v>
      </c>
      <c r="G107" s="32" t="s">
        <v>44</v>
      </c>
      <c r="H107" s="32" t="s">
        <v>162</v>
      </c>
      <c r="I107" s="32" t="s">
        <v>40</v>
      </c>
      <c r="J107" s="32" t="s">
        <v>46</v>
      </c>
      <c r="K107" s="32" t="s">
        <v>42</v>
      </c>
      <c r="L107" s="32">
        <v>5</v>
      </c>
      <c r="M107" s="32" t="s">
        <v>51</v>
      </c>
      <c r="N107" s="32" t="s">
        <v>49</v>
      </c>
    </row>
    <row r="108" spans="1:14" s="32" customFormat="1" hidden="1" x14ac:dyDescent="0.3">
      <c r="A108" s="38">
        <v>46233.718275462961</v>
      </c>
      <c r="B108" s="32">
        <v>41997840159</v>
      </c>
      <c r="C108" s="32" t="s">
        <v>43</v>
      </c>
      <c r="D108" s="32">
        <v>4431268225</v>
      </c>
      <c r="E108" s="32">
        <v>763</v>
      </c>
      <c r="F108" s="32">
        <v>681</v>
      </c>
      <c r="G108" s="32" t="s">
        <v>44</v>
      </c>
      <c r="H108" s="32" t="s">
        <v>163</v>
      </c>
      <c r="I108" s="32" t="s">
        <v>40</v>
      </c>
      <c r="J108" s="32" t="s">
        <v>46</v>
      </c>
      <c r="K108" s="32" t="s">
        <v>42</v>
      </c>
      <c r="M108" s="32" t="s">
        <v>47</v>
      </c>
      <c r="N108" s="32" t="s">
        <v>43</v>
      </c>
    </row>
    <row r="109" spans="1:14" s="32" customFormat="1" hidden="1" x14ac:dyDescent="0.3">
      <c r="A109" s="38">
        <v>46233.707766203705</v>
      </c>
      <c r="B109" s="32" t="s">
        <v>49</v>
      </c>
      <c r="C109" s="32">
        <v>4330332823</v>
      </c>
      <c r="E109" s="32">
        <v>62</v>
      </c>
      <c r="F109" s="32">
        <v>47</v>
      </c>
      <c r="G109" s="32" t="s">
        <v>44</v>
      </c>
      <c r="H109" s="32" t="s">
        <v>164</v>
      </c>
      <c r="I109" s="32" t="s">
        <v>54</v>
      </c>
      <c r="J109" s="32" t="s">
        <v>46</v>
      </c>
      <c r="M109" s="32" t="s">
        <v>51</v>
      </c>
      <c r="N109" s="32" t="s">
        <v>49</v>
      </c>
    </row>
    <row r="110" spans="1:14" s="32" customFormat="1" hidden="1" x14ac:dyDescent="0.3">
      <c r="A110" s="38">
        <v>46233.707094907404</v>
      </c>
      <c r="B110" s="32">
        <v>43999388040</v>
      </c>
      <c r="C110" s="32" t="s">
        <v>43</v>
      </c>
      <c r="D110" s="32">
        <v>4430265054</v>
      </c>
      <c r="E110" s="32">
        <v>221</v>
      </c>
      <c r="F110" s="32">
        <v>199</v>
      </c>
      <c r="G110" s="32" t="s">
        <v>44</v>
      </c>
      <c r="H110" s="32" t="s">
        <v>165</v>
      </c>
      <c r="I110" s="32" t="s">
        <v>40</v>
      </c>
      <c r="J110" s="32" t="s">
        <v>46</v>
      </c>
      <c r="K110" s="32" t="s">
        <v>42</v>
      </c>
      <c r="M110" s="32" t="s">
        <v>47</v>
      </c>
      <c r="N110" s="32" t="s">
        <v>43</v>
      </c>
    </row>
    <row r="111" spans="1:14" s="32" customFormat="1" hidden="1" x14ac:dyDescent="0.3">
      <c r="A111" s="38">
        <v>46233.690439814818</v>
      </c>
      <c r="B111" s="32">
        <v>4432325260</v>
      </c>
      <c r="C111" s="32" t="s">
        <v>49</v>
      </c>
      <c r="D111" s="32">
        <v>4430265054</v>
      </c>
      <c r="E111" s="32">
        <v>447</v>
      </c>
      <c r="F111" s="32">
        <v>409</v>
      </c>
      <c r="G111" s="32" t="s">
        <v>44</v>
      </c>
      <c r="H111" s="32" t="s">
        <v>166</v>
      </c>
      <c r="I111" s="32" t="s">
        <v>40</v>
      </c>
      <c r="J111" s="32" t="s">
        <v>46</v>
      </c>
      <c r="K111" s="32" t="s">
        <v>42</v>
      </c>
      <c r="M111" s="32" t="s">
        <v>51</v>
      </c>
      <c r="N111" s="32" t="s">
        <v>49</v>
      </c>
    </row>
    <row r="112" spans="1:14" s="32" customFormat="1" hidden="1" x14ac:dyDescent="0.3">
      <c r="A112" s="38">
        <v>46233.68959490741</v>
      </c>
      <c r="B112" s="32">
        <v>4432272377</v>
      </c>
      <c r="C112" s="32" t="s">
        <v>43</v>
      </c>
      <c r="D112" s="32">
        <v>4430265054</v>
      </c>
      <c r="E112" s="32">
        <v>106</v>
      </c>
      <c r="F112" s="32">
        <v>72</v>
      </c>
      <c r="G112" s="32" t="s">
        <v>44</v>
      </c>
      <c r="H112" s="32" t="s">
        <v>167</v>
      </c>
      <c r="I112" s="32" t="s">
        <v>40</v>
      </c>
      <c r="J112" s="32" t="s">
        <v>46</v>
      </c>
      <c r="K112" s="32" t="s">
        <v>42</v>
      </c>
      <c r="M112" s="32" t="s">
        <v>47</v>
      </c>
      <c r="N112" s="32" t="s">
        <v>43</v>
      </c>
    </row>
    <row r="113" spans="1:14" s="32" customFormat="1" hidden="1" x14ac:dyDescent="0.3">
      <c r="A113" s="38">
        <v>46233.68917824074</v>
      </c>
      <c r="B113" s="32">
        <v>44998039090</v>
      </c>
      <c r="C113" s="32" t="s">
        <v>58</v>
      </c>
      <c r="D113" s="32">
        <v>4430265054</v>
      </c>
      <c r="E113" s="32">
        <v>353</v>
      </c>
      <c r="F113" s="32">
        <v>353</v>
      </c>
      <c r="G113" s="32" t="s">
        <v>44</v>
      </c>
      <c r="H113" s="32" t="s">
        <v>168</v>
      </c>
      <c r="I113" s="32" t="s">
        <v>40</v>
      </c>
      <c r="J113" s="32" t="s">
        <v>46</v>
      </c>
      <c r="K113" s="32" t="s">
        <v>42</v>
      </c>
      <c r="M113" s="32" t="s">
        <v>60</v>
      </c>
      <c r="N113" s="32" t="s">
        <v>58</v>
      </c>
    </row>
    <row r="114" spans="1:14" s="32" customFormat="1" hidden="1" x14ac:dyDescent="0.3">
      <c r="A114" s="38">
        <v>46233.684328703705</v>
      </c>
      <c r="B114" s="32">
        <v>44998039090</v>
      </c>
      <c r="C114" s="32" t="s">
        <v>49</v>
      </c>
      <c r="D114" s="32">
        <v>4430265054</v>
      </c>
      <c r="E114" s="32">
        <v>235</v>
      </c>
      <c r="F114" s="32">
        <v>85</v>
      </c>
      <c r="G114" s="32" t="s">
        <v>44</v>
      </c>
      <c r="H114" s="32" t="s">
        <v>169</v>
      </c>
      <c r="I114" s="32" t="s">
        <v>40</v>
      </c>
      <c r="J114" s="32" t="s">
        <v>46</v>
      </c>
      <c r="K114" s="32" t="s">
        <v>42</v>
      </c>
      <c r="M114" s="32" t="s">
        <v>51</v>
      </c>
      <c r="N114" s="32" t="s">
        <v>49</v>
      </c>
    </row>
    <row r="115" spans="1:14" s="32" customFormat="1" hidden="1" x14ac:dyDescent="0.3">
      <c r="A115" s="38">
        <v>46233.68204861111</v>
      </c>
      <c r="B115" s="32" t="s">
        <v>109</v>
      </c>
      <c r="C115" s="32">
        <v>11983563222</v>
      </c>
      <c r="E115" s="32">
        <v>18</v>
      </c>
      <c r="F115" s="32">
        <v>0</v>
      </c>
      <c r="G115" s="32" t="s">
        <v>63</v>
      </c>
      <c r="H115" s="32" t="s">
        <v>170</v>
      </c>
      <c r="I115" s="32" t="s">
        <v>54</v>
      </c>
      <c r="J115" s="32" t="s">
        <v>111</v>
      </c>
      <c r="M115" s="32" t="s">
        <v>112</v>
      </c>
      <c r="N115" s="32" t="s">
        <v>109</v>
      </c>
    </row>
    <row r="116" spans="1:14" s="32" customFormat="1" hidden="1" x14ac:dyDescent="0.3">
      <c r="A116" s="38">
        <v>46233.679502314815</v>
      </c>
      <c r="B116" s="32" t="s">
        <v>109</v>
      </c>
      <c r="C116" s="32">
        <v>81998812909</v>
      </c>
      <c r="E116" s="32">
        <v>13</v>
      </c>
      <c r="F116" s="32">
        <v>0</v>
      </c>
      <c r="G116" s="32" t="s">
        <v>63</v>
      </c>
      <c r="H116" s="32" t="s">
        <v>171</v>
      </c>
      <c r="I116" s="32" t="s">
        <v>54</v>
      </c>
      <c r="J116" s="32" t="s">
        <v>111</v>
      </c>
      <c r="M116" s="32" t="s">
        <v>112</v>
      </c>
      <c r="N116" s="32" t="s">
        <v>109</v>
      </c>
    </row>
    <row r="117" spans="1:14" s="32" customFormat="1" hidden="1" x14ac:dyDescent="0.3">
      <c r="A117" s="38">
        <v>46233.678842592592</v>
      </c>
      <c r="B117" s="32" t="s">
        <v>58</v>
      </c>
      <c r="C117" s="32">
        <v>4430414545</v>
      </c>
      <c r="E117" s="32">
        <v>438</v>
      </c>
      <c r="F117" s="32">
        <v>431</v>
      </c>
      <c r="G117" s="32" t="s">
        <v>44</v>
      </c>
      <c r="H117" s="32" t="s">
        <v>172</v>
      </c>
      <c r="I117" s="32" t="s">
        <v>54</v>
      </c>
      <c r="J117" s="32" t="s">
        <v>46</v>
      </c>
      <c r="M117" s="32" t="s">
        <v>60</v>
      </c>
      <c r="N117" s="32" t="s">
        <v>58</v>
      </c>
    </row>
    <row r="118" spans="1:14" s="32" customFormat="1" hidden="1" x14ac:dyDescent="0.3">
      <c r="A118" s="38">
        <v>46233.674618055556</v>
      </c>
      <c r="B118" s="32">
        <v>43984040334</v>
      </c>
      <c r="C118" s="32" t="s">
        <v>43</v>
      </c>
      <c r="D118" s="32">
        <v>4430265054</v>
      </c>
      <c r="E118" s="32">
        <v>927</v>
      </c>
      <c r="F118" s="32">
        <v>911</v>
      </c>
      <c r="G118" s="32" t="s">
        <v>44</v>
      </c>
      <c r="H118" s="32" t="s">
        <v>173</v>
      </c>
      <c r="I118" s="32" t="s">
        <v>40</v>
      </c>
      <c r="J118" s="32" t="s">
        <v>46</v>
      </c>
      <c r="K118" s="32" t="s">
        <v>42</v>
      </c>
      <c r="M118" s="32" t="s">
        <v>47</v>
      </c>
      <c r="N118" s="32" t="s">
        <v>43</v>
      </c>
    </row>
    <row r="119" spans="1:14" s="32" customFormat="1" hidden="1" x14ac:dyDescent="0.3">
      <c r="A119" s="38">
        <v>46233.670300925929</v>
      </c>
      <c r="B119" s="32" t="s">
        <v>49</v>
      </c>
      <c r="C119" s="32">
        <v>4130760170</v>
      </c>
      <c r="E119" s="32">
        <v>201</v>
      </c>
      <c r="F119" s="32">
        <v>155</v>
      </c>
      <c r="G119" s="32" t="s">
        <v>44</v>
      </c>
      <c r="H119" s="32" t="s">
        <v>174</v>
      </c>
      <c r="I119" s="32" t="s">
        <v>54</v>
      </c>
      <c r="J119" s="32" t="s">
        <v>46</v>
      </c>
      <c r="L119" s="32">
        <v>5</v>
      </c>
      <c r="M119" s="32" t="s">
        <v>51</v>
      </c>
      <c r="N119" s="32" t="s">
        <v>49</v>
      </c>
    </row>
    <row r="120" spans="1:14" s="32" customFormat="1" hidden="1" x14ac:dyDescent="0.3">
      <c r="A120" s="38">
        <v>46233.670023148145</v>
      </c>
      <c r="B120" s="32">
        <v>44998620323</v>
      </c>
      <c r="C120" s="32" t="s">
        <v>43</v>
      </c>
      <c r="D120" s="32">
        <v>4430265054</v>
      </c>
      <c r="E120" s="32">
        <v>166</v>
      </c>
      <c r="F120" s="32">
        <v>146</v>
      </c>
      <c r="G120" s="32" t="s">
        <v>44</v>
      </c>
      <c r="H120" s="32" t="s">
        <v>175</v>
      </c>
      <c r="I120" s="32" t="s">
        <v>40</v>
      </c>
      <c r="J120" s="32" t="s">
        <v>46</v>
      </c>
      <c r="K120" s="32" t="s">
        <v>42</v>
      </c>
      <c r="M120" s="32" t="s">
        <v>47</v>
      </c>
      <c r="N120" s="32" t="s">
        <v>43</v>
      </c>
    </row>
    <row r="121" spans="1:14" s="32" customFormat="1" hidden="1" x14ac:dyDescent="0.3">
      <c r="A121" s="38">
        <v>46233.665613425925</v>
      </c>
      <c r="B121" s="32">
        <v>41997840159</v>
      </c>
      <c r="C121" s="32" t="s">
        <v>58</v>
      </c>
      <c r="D121" s="32">
        <v>4431268225</v>
      </c>
      <c r="E121" s="32">
        <v>859</v>
      </c>
      <c r="F121" s="32">
        <v>858</v>
      </c>
      <c r="G121" s="32" t="s">
        <v>44</v>
      </c>
      <c r="H121" s="32" t="s">
        <v>176</v>
      </c>
      <c r="I121" s="32" t="s">
        <v>40</v>
      </c>
      <c r="J121" s="32" t="s">
        <v>46</v>
      </c>
      <c r="K121" s="32" t="s">
        <v>42</v>
      </c>
      <c r="M121" s="32" t="s">
        <v>60</v>
      </c>
      <c r="N121" s="32" t="s">
        <v>58</v>
      </c>
    </row>
    <row r="122" spans="1:14" s="32" customFormat="1" hidden="1" x14ac:dyDescent="0.3">
      <c r="A122" s="38">
        <v>46233.662546296298</v>
      </c>
      <c r="B122" s="32">
        <v>44999827582</v>
      </c>
      <c r="C122" s="32" t="s">
        <v>49</v>
      </c>
      <c r="D122" s="32">
        <v>4430265054</v>
      </c>
      <c r="E122" s="32">
        <v>269</v>
      </c>
      <c r="F122" s="32">
        <v>250</v>
      </c>
      <c r="G122" s="32" t="s">
        <v>44</v>
      </c>
      <c r="H122" s="32" t="s">
        <v>177</v>
      </c>
      <c r="I122" s="32" t="s">
        <v>40</v>
      </c>
      <c r="J122" s="32" t="s">
        <v>46</v>
      </c>
      <c r="K122" s="32" t="s">
        <v>42</v>
      </c>
      <c r="M122" s="32" t="s">
        <v>51</v>
      </c>
      <c r="N122" s="32" t="s">
        <v>49</v>
      </c>
    </row>
    <row r="123" spans="1:14" s="32" customFormat="1" hidden="1" x14ac:dyDescent="0.3">
      <c r="A123" s="38">
        <v>46233.659791666665</v>
      </c>
      <c r="B123" s="32">
        <v>44998620323</v>
      </c>
      <c r="C123" s="32" t="s">
        <v>58</v>
      </c>
      <c r="D123" s="32">
        <v>4430265054</v>
      </c>
      <c r="E123" s="32">
        <v>239</v>
      </c>
      <c r="F123" s="32">
        <v>239</v>
      </c>
      <c r="G123" s="32" t="s">
        <v>44</v>
      </c>
      <c r="H123" s="32" t="s">
        <v>178</v>
      </c>
      <c r="I123" s="32" t="s">
        <v>40</v>
      </c>
      <c r="J123" s="32" t="s">
        <v>46</v>
      </c>
      <c r="K123" s="32" t="s">
        <v>42</v>
      </c>
      <c r="M123" s="32" t="s">
        <v>60</v>
      </c>
      <c r="N123" s="32" t="s">
        <v>58</v>
      </c>
    </row>
    <row r="124" spans="1:14" s="32" customFormat="1" hidden="1" x14ac:dyDescent="0.3">
      <c r="A124" s="38">
        <v>46233.657268518517</v>
      </c>
      <c r="B124" s="32" t="s">
        <v>49</v>
      </c>
      <c r="C124" s="32">
        <v>4130760170</v>
      </c>
      <c r="E124" s="32">
        <v>73</v>
      </c>
      <c r="F124" s="32">
        <v>61</v>
      </c>
      <c r="G124" s="32" t="s">
        <v>44</v>
      </c>
      <c r="H124" s="32" t="s">
        <v>179</v>
      </c>
      <c r="I124" s="32" t="s">
        <v>54</v>
      </c>
      <c r="J124" s="32" t="s">
        <v>46</v>
      </c>
      <c r="M124" s="32" t="s">
        <v>51</v>
      </c>
      <c r="N124" s="32" t="s">
        <v>49</v>
      </c>
    </row>
    <row r="125" spans="1:14" s="32" customFormat="1" hidden="1" x14ac:dyDescent="0.3">
      <c r="A125" s="38">
        <v>46233.653055555558</v>
      </c>
      <c r="B125" s="32" t="s">
        <v>109</v>
      </c>
      <c r="C125" s="32">
        <v>81998812909</v>
      </c>
      <c r="E125" s="32">
        <v>9</v>
      </c>
      <c r="F125" s="32">
        <v>0</v>
      </c>
      <c r="G125" s="32" t="s">
        <v>63</v>
      </c>
      <c r="H125" s="32" t="s">
        <v>180</v>
      </c>
      <c r="I125" s="32" t="s">
        <v>54</v>
      </c>
      <c r="J125" s="32" t="s">
        <v>111</v>
      </c>
      <c r="M125" s="32" t="s">
        <v>112</v>
      </c>
      <c r="N125" s="32" t="s">
        <v>109</v>
      </c>
    </row>
    <row r="126" spans="1:14" s="32" customFormat="1" hidden="1" x14ac:dyDescent="0.3">
      <c r="A126" s="38">
        <v>46233.633969907409</v>
      </c>
      <c r="B126" s="32">
        <v>93991495484</v>
      </c>
      <c r="C126" s="32" t="s">
        <v>43</v>
      </c>
      <c r="D126" s="32">
        <v>4430265054</v>
      </c>
      <c r="E126" s="32">
        <v>277</v>
      </c>
      <c r="F126" s="32">
        <v>252</v>
      </c>
      <c r="G126" s="32" t="s">
        <v>44</v>
      </c>
      <c r="H126" s="32" t="s">
        <v>181</v>
      </c>
      <c r="I126" s="32" t="s">
        <v>40</v>
      </c>
      <c r="J126" s="32" t="s">
        <v>46</v>
      </c>
      <c r="K126" s="32" t="s">
        <v>42</v>
      </c>
      <c r="L126" s="32">
        <v>5</v>
      </c>
      <c r="M126" s="32" t="s">
        <v>47</v>
      </c>
      <c r="N126" s="32" t="s">
        <v>43</v>
      </c>
    </row>
    <row r="127" spans="1:14" s="32" customFormat="1" hidden="1" x14ac:dyDescent="0.3">
      <c r="A127" s="38">
        <v>46233.623460648145</v>
      </c>
      <c r="B127" s="32" t="s">
        <v>58</v>
      </c>
      <c r="C127" s="32">
        <v>43999965552</v>
      </c>
      <c r="E127" s="32">
        <v>960</v>
      </c>
      <c r="F127" s="32">
        <v>955</v>
      </c>
      <c r="G127" s="32" t="s">
        <v>44</v>
      </c>
      <c r="H127" s="32" t="s">
        <v>182</v>
      </c>
      <c r="I127" s="32" t="s">
        <v>54</v>
      </c>
      <c r="J127" s="32" t="s">
        <v>46</v>
      </c>
      <c r="M127" s="32" t="s">
        <v>60</v>
      </c>
      <c r="N127" s="32" t="s">
        <v>58</v>
      </c>
    </row>
    <row r="128" spans="1:14" s="32" customFormat="1" hidden="1" x14ac:dyDescent="0.3">
      <c r="A128" s="38">
        <v>46233.623449074075</v>
      </c>
      <c r="B128" s="32">
        <v>4130760170</v>
      </c>
      <c r="C128" s="32" t="s">
        <v>49</v>
      </c>
      <c r="D128" s="32">
        <v>4430265054</v>
      </c>
      <c r="E128" s="32">
        <v>2591</v>
      </c>
      <c r="F128" s="32">
        <v>2529</v>
      </c>
      <c r="G128" s="32" t="s">
        <v>44</v>
      </c>
      <c r="H128" s="32" t="s">
        <v>183</v>
      </c>
      <c r="I128" s="32" t="s">
        <v>40</v>
      </c>
      <c r="J128" s="32" t="s">
        <v>46</v>
      </c>
      <c r="K128" s="32" t="s">
        <v>42</v>
      </c>
      <c r="M128" s="32" t="s">
        <v>51</v>
      </c>
      <c r="N128" s="32" t="s">
        <v>49</v>
      </c>
    </row>
    <row r="129" spans="1:14" s="32" customFormat="1" hidden="1" x14ac:dyDescent="0.3">
      <c r="A129" s="38">
        <v>46233.616643518515</v>
      </c>
      <c r="B129" s="32">
        <v>2222100098</v>
      </c>
      <c r="C129" s="32" t="s">
        <v>43</v>
      </c>
      <c r="D129" s="32">
        <v>4430265054</v>
      </c>
      <c r="E129" s="32">
        <v>106</v>
      </c>
      <c r="F129" s="32">
        <v>72</v>
      </c>
      <c r="G129" s="32" t="s">
        <v>44</v>
      </c>
      <c r="H129" s="32" t="s">
        <v>184</v>
      </c>
      <c r="I129" s="32" t="s">
        <v>40</v>
      </c>
      <c r="J129" s="32" t="s">
        <v>46</v>
      </c>
      <c r="K129" s="32" t="s">
        <v>42</v>
      </c>
      <c r="M129" s="32" t="s">
        <v>47</v>
      </c>
      <c r="N129" s="32" t="s">
        <v>43</v>
      </c>
    </row>
    <row r="130" spans="1:14" s="32" customFormat="1" hidden="1" x14ac:dyDescent="0.3">
      <c r="A130" s="38">
        <v>46233.614178240743</v>
      </c>
      <c r="B130" s="32">
        <v>4130775695</v>
      </c>
      <c r="C130" s="32" t="s">
        <v>58</v>
      </c>
      <c r="D130" s="32">
        <v>4430265054</v>
      </c>
      <c r="E130" s="32">
        <v>215</v>
      </c>
      <c r="F130" s="32">
        <v>214</v>
      </c>
      <c r="G130" s="32" t="s">
        <v>44</v>
      </c>
      <c r="H130" s="32" t="s">
        <v>185</v>
      </c>
      <c r="I130" s="32" t="s">
        <v>40</v>
      </c>
      <c r="J130" s="32" t="s">
        <v>46</v>
      </c>
      <c r="K130" s="32" t="s">
        <v>42</v>
      </c>
      <c r="L130" s="32">
        <v>5</v>
      </c>
      <c r="M130" s="32" t="s">
        <v>60</v>
      </c>
      <c r="N130" s="32" t="s">
        <v>58</v>
      </c>
    </row>
    <row r="131" spans="1:14" s="32" customFormat="1" hidden="1" x14ac:dyDescent="0.3">
      <c r="A131" s="38">
        <v>46233.603796296295</v>
      </c>
      <c r="B131" s="32">
        <v>93991495484</v>
      </c>
      <c r="C131" s="32" t="s">
        <v>49</v>
      </c>
      <c r="D131" s="32">
        <v>4430265054</v>
      </c>
      <c r="E131" s="32">
        <v>1228</v>
      </c>
      <c r="F131" s="32">
        <v>1210</v>
      </c>
      <c r="G131" s="32" t="s">
        <v>44</v>
      </c>
      <c r="H131" s="32" t="s">
        <v>186</v>
      </c>
      <c r="I131" s="32" t="s">
        <v>40</v>
      </c>
      <c r="J131" s="32" t="s">
        <v>46</v>
      </c>
      <c r="K131" s="32" t="s">
        <v>42</v>
      </c>
      <c r="M131" s="32" t="s">
        <v>51</v>
      </c>
      <c r="N131" s="32" t="s">
        <v>49</v>
      </c>
    </row>
    <row r="132" spans="1:14" s="32" customFormat="1" hidden="1" x14ac:dyDescent="0.3">
      <c r="A132" s="38">
        <v>46233.602986111109</v>
      </c>
      <c r="B132" s="32">
        <v>4430289386</v>
      </c>
      <c r="C132" s="32" t="s">
        <v>58</v>
      </c>
      <c r="D132" s="32">
        <v>4430265054</v>
      </c>
      <c r="E132" s="32">
        <v>481</v>
      </c>
      <c r="F132" s="32">
        <v>416</v>
      </c>
      <c r="G132" s="32" t="s">
        <v>44</v>
      </c>
      <c r="H132" s="32" t="s">
        <v>187</v>
      </c>
      <c r="I132" s="32" t="s">
        <v>40</v>
      </c>
      <c r="J132" s="32" t="s">
        <v>46</v>
      </c>
      <c r="K132" s="32" t="s">
        <v>42</v>
      </c>
      <c r="M132" s="32" t="s">
        <v>60</v>
      </c>
      <c r="N132" s="32" t="s">
        <v>58</v>
      </c>
    </row>
    <row r="133" spans="1:14" s="32" customFormat="1" hidden="1" x14ac:dyDescent="0.3">
      <c r="A133" s="38">
        <v>46233.601643518516</v>
      </c>
      <c r="B133" s="32">
        <v>93991495484</v>
      </c>
      <c r="C133" s="32" t="s">
        <v>49</v>
      </c>
      <c r="D133" s="32">
        <v>4431268225</v>
      </c>
      <c r="E133" s="32">
        <v>147</v>
      </c>
      <c r="F133" s="32">
        <v>123</v>
      </c>
      <c r="G133" s="32" t="s">
        <v>44</v>
      </c>
      <c r="H133" s="32" t="s">
        <v>188</v>
      </c>
      <c r="I133" s="32" t="s">
        <v>40</v>
      </c>
      <c r="J133" s="32" t="s">
        <v>46</v>
      </c>
      <c r="K133" s="32" t="s">
        <v>42</v>
      </c>
      <c r="M133" s="32" t="s">
        <v>51</v>
      </c>
      <c r="N133" s="32" t="s">
        <v>49</v>
      </c>
    </row>
    <row r="134" spans="1:14" s="32" customFormat="1" hidden="1" x14ac:dyDescent="0.3">
      <c r="A134" s="38">
        <v>46233.600358796299</v>
      </c>
      <c r="B134" s="32">
        <v>4532541802</v>
      </c>
      <c r="C134" s="32" t="s">
        <v>43</v>
      </c>
      <c r="D134" s="32">
        <v>4430265054</v>
      </c>
      <c r="E134" s="32">
        <v>392</v>
      </c>
      <c r="F134" s="32">
        <v>355</v>
      </c>
      <c r="G134" s="32" t="s">
        <v>44</v>
      </c>
      <c r="H134" s="32" t="s">
        <v>189</v>
      </c>
      <c r="I134" s="32" t="s">
        <v>40</v>
      </c>
      <c r="J134" s="32" t="s">
        <v>46</v>
      </c>
      <c r="K134" s="32" t="s">
        <v>42</v>
      </c>
      <c r="L134" s="32">
        <v>5</v>
      </c>
      <c r="M134" s="32" t="s">
        <v>47</v>
      </c>
      <c r="N134" s="32" t="s">
        <v>43</v>
      </c>
    </row>
    <row r="135" spans="1:14" s="32" customFormat="1" hidden="1" x14ac:dyDescent="0.3">
      <c r="A135" s="38">
        <v>46233.586863425924</v>
      </c>
      <c r="B135" s="32">
        <v>4330332823</v>
      </c>
      <c r="C135" s="32" t="s">
        <v>43</v>
      </c>
      <c r="D135" s="32">
        <v>4430265054</v>
      </c>
      <c r="E135" s="32">
        <v>122</v>
      </c>
      <c r="F135" s="32">
        <v>41</v>
      </c>
      <c r="G135" s="32" t="s">
        <v>44</v>
      </c>
      <c r="H135" s="32" t="s">
        <v>190</v>
      </c>
      <c r="I135" s="32" t="s">
        <v>40</v>
      </c>
      <c r="J135" s="32" t="s">
        <v>46</v>
      </c>
      <c r="K135" s="32" t="s">
        <v>42</v>
      </c>
      <c r="M135" s="32" t="s">
        <v>47</v>
      </c>
      <c r="N135" s="32" t="s">
        <v>43</v>
      </c>
    </row>
    <row r="136" spans="1:14" s="32" customFormat="1" hidden="1" x14ac:dyDescent="0.3">
      <c r="A136" s="38">
        <v>46233.586562500001</v>
      </c>
      <c r="B136" s="32" t="s">
        <v>58</v>
      </c>
      <c r="C136" s="32">
        <v>4430282545</v>
      </c>
      <c r="E136" s="32">
        <v>1079</v>
      </c>
      <c r="F136" s="32">
        <v>1068</v>
      </c>
      <c r="G136" s="32" t="s">
        <v>44</v>
      </c>
      <c r="H136" s="32" t="s">
        <v>191</v>
      </c>
      <c r="I136" s="32" t="s">
        <v>54</v>
      </c>
      <c r="J136" s="32" t="s">
        <v>46</v>
      </c>
      <c r="M136" s="32" t="s">
        <v>60</v>
      </c>
      <c r="N136" s="32" t="s">
        <v>58</v>
      </c>
    </row>
    <row r="137" spans="1:14" s="32" customFormat="1" x14ac:dyDescent="0.3">
      <c r="A137" s="38">
        <v>46233.580960648149</v>
      </c>
      <c r="B137" s="32">
        <v>44999827582</v>
      </c>
      <c r="C137" s="32" t="s">
        <v>49</v>
      </c>
      <c r="D137" s="32">
        <v>4430265054</v>
      </c>
      <c r="E137" s="32">
        <v>627</v>
      </c>
      <c r="F137" s="32">
        <v>611</v>
      </c>
      <c r="G137" s="32" t="s">
        <v>44</v>
      </c>
      <c r="H137" s="32" t="s">
        <v>192</v>
      </c>
      <c r="I137" s="32" t="s">
        <v>40</v>
      </c>
      <c r="J137" s="32" t="s">
        <v>46</v>
      </c>
      <c r="K137" s="32" t="s">
        <v>42</v>
      </c>
      <c r="L137" s="32">
        <v>5</v>
      </c>
      <c r="M137" s="32" t="s">
        <v>51</v>
      </c>
      <c r="N137" s="32" t="s">
        <v>49</v>
      </c>
    </row>
    <row r="138" spans="1:14" s="32" customFormat="1" hidden="1" x14ac:dyDescent="0.3">
      <c r="A138" s="38">
        <v>46233.578703703701</v>
      </c>
      <c r="B138" s="32">
        <v>4430289556</v>
      </c>
      <c r="C138" s="32" t="s">
        <v>58</v>
      </c>
      <c r="D138" s="32">
        <v>4430265054</v>
      </c>
      <c r="E138" s="32">
        <v>139</v>
      </c>
      <c r="F138" s="32">
        <v>112</v>
      </c>
      <c r="G138" s="32" t="s">
        <v>44</v>
      </c>
      <c r="H138" s="32" t="s">
        <v>193</v>
      </c>
      <c r="I138" s="32" t="s">
        <v>40</v>
      </c>
      <c r="J138" s="32" t="s">
        <v>46</v>
      </c>
      <c r="K138" s="32" t="s">
        <v>42</v>
      </c>
      <c r="M138" s="32" t="s">
        <v>60</v>
      </c>
      <c r="N138" s="32" t="s">
        <v>58</v>
      </c>
    </row>
    <row r="139" spans="1:14" s="32" customFormat="1" hidden="1" x14ac:dyDescent="0.3">
      <c r="A139" s="38">
        <v>46233.570011574076</v>
      </c>
      <c r="B139" s="32">
        <v>4532541802</v>
      </c>
      <c r="C139" s="32" t="s">
        <v>43</v>
      </c>
      <c r="D139" s="32">
        <v>4430265054</v>
      </c>
      <c r="E139" s="32">
        <v>269</v>
      </c>
      <c r="F139" s="32">
        <v>236</v>
      </c>
      <c r="G139" s="32" t="s">
        <v>44</v>
      </c>
      <c r="H139" s="32" t="s">
        <v>194</v>
      </c>
      <c r="I139" s="32" t="s">
        <v>40</v>
      </c>
      <c r="J139" s="32" t="s">
        <v>46</v>
      </c>
      <c r="K139" s="32" t="s">
        <v>42</v>
      </c>
      <c r="L139" s="32">
        <v>5</v>
      </c>
      <c r="M139" s="32" t="s">
        <v>47</v>
      </c>
      <c r="N139" s="32" t="s">
        <v>43</v>
      </c>
    </row>
    <row r="140" spans="1:14" s="32" customFormat="1" hidden="1" x14ac:dyDescent="0.3">
      <c r="A140" s="38">
        <v>46233.568877314814</v>
      </c>
      <c r="B140" s="32" t="s">
        <v>58</v>
      </c>
      <c r="C140" s="32">
        <v>4430256607</v>
      </c>
      <c r="E140" s="32">
        <v>56</v>
      </c>
      <c r="F140" s="32">
        <v>25</v>
      </c>
      <c r="G140" s="32" t="s">
        <v>44</v>
      </c>
      <c r="H140" s="32" t="s">
        <v>195</v>
      </c>
      <c r="I140" s="32" t="s">
        <v>54</v>
      </c>
      <c r="J140" s="32" t="s">
        <v>46</v>
      </c>
      <c r="M140" s="32" t="s">
        <v>60</v>
      </c>
      <c r="N140" s="32" t="s">
        <v>58</v>
      </c>
    </row>
    <row r="141" spans="1:14" s="32" customFormat="1" hidden="1" x14ac:dyDescent="0.3">
      <c r="A141" s="38">
        <v>46233.567361111112</v>
      </c>
      <c r="B141" s="32">
        <v>62984961358</v>
      </c>
      <c r="C141" s="32" t="s">
        <v>49</v>
      </c>
      <c r="D141" s="32">
        <v>4430265054</v>
      </c>
      <c r="E141" s="32">
        <v>211</v>
      </c>
      <c r="F141" s="32">
        <v>190</v>
      </c>
      <c r="G141" s="32" t="s">
        <v>44</v>
      </c>
      <c r="H141" s="32" t="s">
        <v>196</v>
      </c>
      <c r="I141" s="32" t="s">
        <v>40</v>
      </c>
      <c r="J141" s="32" t="s">
        <v>46</v>
      </c>
      <c r="K141" s="32" t="s">
        <v>42</v>
      </c>
      <c r="M141" s="32" t="s">
        <v>51</v>
      </c>
      <c r="N141" s="32" t="s">
        <v>49</v>
      </c>
    </row>
    <row r="142" spans="1:14" s="32" customFormat="1" hidden="1" x14ac:dyDescent="0.3">
      <c r="A142" s="38">
        <v>46233.563321759262</v>
      </c>
      <c r="B142" s="32" t="s">
        <v>49</v>
      </c>
      <c r="C142" s="32">
        <v>93991495484</v>
      </c>
      <c r="E142" s="32">
        <v>66</v>
      </c>
      <c r="F142" s="32">
        <v>28</v>
      </c>
      <c r="G142" s="32" t="s">
        <v>44</v>
      </c>
      <c r="H142" s="32" t="s">
        <v>197</v>
      </c>
      <c r="I142" s="32" t="s">
        <v>54</v>
      </c>
      <c r="J142" s="32" t="s">
        <v>46</v>
      </c>
      <c r="M142" s="32" t="s">
        <v>51</v>
      </c>
      <c r="N142" s="32" t="s">
        <v>49</v>
      </c>
    </row>
    <row r="143" spans="1:14" s="32" customFormat="1" hidden="1" x14ac:dyDescent="0.3">
      <c r="A143" s="38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38</v>
      </c>
      <c r="H143" s="32" t="s">
        <v>198</v>
      </c>
      <c r="I143" s="32" t="s">
        <v>40</v>
      </c>
      <c r="J143" s="32" t="s">
        <v>41</v>
      </c>
    </row>
    <row r="144" spans="1:14" s="32" customFormat="1" hidden="1" x14ac:dyDescent="0.3">
      <c r="A144" s="38">
        <v>46233.555462962962</v>
      </c>
      <c r="B144" s="32" t="s">
        <v>49</v>
      </c>
      <c r="C144" s="32">
        <v>93991495484</v>
      </c>
      <c r="E144" s="32">
        <v>40</v>
      </c>
      <c r="F144" s="32">
        <v>0</v>
      </c>
      <c r="G144" s="32" t="s">
        <v>63</v>
      </c>
      <c r="H144" s="32" t="s">
        <v>199</v>
      </c>
      <c r="I144" s="32" t="s">
        <v>54</v>
      </c>
      <c r="J144" s="32" t="s">
        <v>46</v>
      </c>
      <c r="M144" s="32" t="s">
        <v>51</v>
      </c>
      <c r="N144" s="32" t="s">
        <v>49</v>
      </c>
    </row>
    <row r="145" spans="1:14" s="32" customFormat="1" hidden="1" x14ac:dyDescent="0.3">
      <c r="A145" s="38">
        <v>46233.493761574071</v>
      </c>
      <c r="B145" s="32">
        <v>4430282545</v>
      </c>
      <c r="C145" s="32" t="s">
        <v>58</v>
      </c>
      <c r="D145" s="32">
        <v>4430265054</v>
      </c>
      <c r="E145" s="32">
        <v>224</v>
      </c>
      <c r="F145" s="32">
        <v>223</v>
      </c>
      <c r="G145" s="32" t="s">
        <v>44</v>
      </c>
      <c r="H145" s="32" t="s">
        <v>200</v>
      </c>
      <c r="I145" s="32" t="s">
        <v>40</v>
      </c>
      <c r="J145" s="32" t="s">
        <v>46</v>
      </c>
      <c r="K145" s="32" t="s">
        <v>42</v>
      </c>
      <c r="M145" s="32" t="s">
        <v>60</v>
      </c>
      <c r="N145" s="32" t="s">
        <v>58</v>
      </c>
    </row>
    <row r="146" spans="1:14" s="32" customFormat="1" hidden="1" x14ac:dyDescent="0.3">
      <c r="A146" s="38">
        <v>46233.488946759258</v>
      </c>
      <c r="B146" s="32">
        <v>12981700386</v>
      </c>
      <c r="C146" s="32" t="s">
        <v>49</v>
      </c>
      <c r="D146" s="32">
        <v>4430265054</v>
      </c>
      <c r="E146" s="32">
        <v>542</v>
      </c>
      <c r="F146" s="32">
        <v>530</v>
      </c>
      <c r="G146" s="32" t="s">
        <v>44</v>
      </c>
      <c r="H146" s="32" t="s">
        <v>201</v>
      </c>
      <c r="I146" s="32" t="s">
        <v>40</v>
      </c>
      <c r="J146" s="32" t="s">
        <v>46</v>
      </c>
      <c r="K146" s="32" t="s">
        <v>42</v>
      </c>
      <c r="M146" s="32" t="s">
        <v>51</v>
      </c>
      <c r="N146" s="32" t="s">
        <v>49</v>
      </c>
    </row>
    <row r="147" spans="1:14" s="32" customFormat="1" hidden="1" x14ac:dyDescent="0.3">
      <c r="A147" s="38">
        <v>46233.485763888886</v>
      </c>
      <c r="B147" s="32">
        <v>44998107650</v>
      </c>
      <c r="C147" s="32" t="s">
        <v>43</v>
      </c>
      <c r="D147" s="32">
        <v>4431268225</v>
      </c>
      <c r="E147" s="32">
        <v>467</v>
      </c>
      <c r="F147" s="32">
        <v>433</v>
      </c>
      <c r="G147" s="32" t="s">
        <v>44</v>
      </c>
      <c r="H147" s="32" t="s">
        <v>202</v>
      </c>
      <c r="I147" s="32" t="s">
        <v>40</v>
      </c>
      <c r="J147" s="32" t="s">
        <v>46</v>
      </c>
      <c r="K147" s="32" t="s">
        <v>42</v>
      </c>
      <c r="L147" s="32">
        <v>5</v>
      </c>
      <c r="M147" s="32" t="s">
        <v>47</v>
      </c>
      <c r="N147" s="32" t="s">
        <v>43</v>
      </c>
    </row>
    <row r="148" spans="1:14" s="32" customFormat="1" hidden="1" x14ac:dyDescent="0.3">
      <c r="A148" s="38">
        <v>46233.485763888886</v>
      </c>
      <c r="B148" s="32" t="s">
        <v>49</v>
      </c>
      <c r="C148" s="32">
        <v>41997840159</v>
      </c>
      <c r="E148" s="32">
        <v>124</v>
      </c>
      <c r="F148" s="32">
        <v>106</v>
      </c>
      <c r="G148" s="32" t="s">
        <v>44</v>
      </c>
      <c r="H148" s="32" t="s">
        <v>203</v>
      </c>
      <c r="I148" s="32" t="s">
        <v>54</v>
      </c>
      <c r="J148" s="32" t="s">
        <v>46</v>
      </c>
      <c r="L148" s="32">
        <v>5</v>
      </c>
      <c r="M148" s="32" t="s">
        <v>51</v>
      </c>
      <c r="N148" s="32" t="s">
        <v>49</v>
      </c>
    </row>
    <row r="149" spans="1:14" s="32" customFormat="1" hidden="1" x14ac:dyDescent="0.3">
      <c r="A149" s="38">
        <v>46233.463634259257</v>
      </c>
      <c r="B149" s="32">
        <v>44998464499</v>
      </c>
      <c r="C149" s="32" t="s">
        <v>58</v>
      </c>
      <c r="D149" s="32">
        <v>4430265054</v>
      </c>
      <c r="E149" s="32">
        <v>455</v>
      </c>
      <c r="F149" s="32">
        <v>408</v>
      </c>
      <c r="G149" s="32" t="s">
        <v>44</v>
      </c>
      <c r="H149" s="32" t="s">
        <v>204</v>
      </c>
      <c r="I149" s="32" t="s">
        <v>40</v>
      </c>
      <c r="J149" s="32" t="s">
        <v>46</v>
      </c>
      <c r="K149" s="32" t="s">
        <v>42</v>
      </c>
      <c r="L149" s="32">
        <v>5</v>
      </c>
      <c r="M149" s="32" t="s">
        <v>60</v>
      </c>
      <c r="N149" s="32" t="s">
        <v>58</v>
      </c>
    </row>
    <row r="150" spans="1:14" s="32" customFormat="1" hidden="1" x14ac:dyDescent="0.3">
      <c r="A150" s="38">
        <v>46233.463055555556</v>
      </c>
      <c r="B150" s="32">
        <v>4432226677</v>
      </c>
      <c r="C150" s="32" t="s">
        <v>43</v>
      </c>
      <c r="D150" s="32">
        <v>4430265054</v>
      </c>
      <c r="E150" s="32">
        <v>135</v>
      </c>
      <c r="F150" s="32">
        <v>74</v>
      </c>
      <c r="G150" s="32" t="s">
        <v>44</v>
      </c>
      <c r="H150" s="32" t="s">
        <v>205</v>
      </c>
      <c r="I150" s="32" t="s">
        <v>40</v>
      </c>
      <c r="J150" s="32" t="s">
        <v>46</v>
      </c>
      <c r="K150" s="32" t="s">
        <v>42</v>
      </c>
      <c r="M150" s="32" t="s">
        <v>47</v>
      </c>
      <c r="N150" s="32" t="s">
        <v>43</v>
      </c>
    </row>
    <row r="151" spans="1:14" s="32" customFormat="1" hidden="1" x14ac:dyDescent="0.3">
      <c r="A151" s="38">
        <v>46233.461875000001</v>
      </c>
      <c r="B151" s="32">
        <v>4330332823</v>
      </c>
      <c r="C151" s="32" t="s">
        <v>49</v>
      </c>
      <c r="D151" s="32">
        <v>4430265054</v>
      </c>
      <c r="E151" s="32">
        <v>1609</v>
      </c>
      <c r="F151" s="32">
        <v>1458</v>
      </c>
      <c r="G151" s="32" t="s">
        <v>44</v>
      </c>
      <c r="H151" s="32" t="s">
        <v>206</v>
      </c>
      <c r="I151" s="32" t="s">
        <v>40</v>
      </c>
      <c r="J151" s="32" t="s">
        <v>46</v>
      </c>
      <c r="K151" s="32" t="s">
        <v>42</v>
      </c>
      <c r="M151" s="32" t="s">
        <v>51</v>
      </c>
      <c r="N151" s="32" t="s">
        <v>49</v>
      </c>
    </row>
    <row r="152" spans="1:14" s="32" customFormat="1" hidden="1" x14ac:dyDescent="0.3">
      <c r="A152" s="38">
        <v>46233.455752314818</v>
      </c>
      <c r="B152" s="32" t="s">
        <v>207</v>
      </c>
      <c r="C152" s="32">
        <v>85999286725</v>
      </c>
      <c r="E152" s="32">
        <v>4</v>
      </c>
      <c r="F152" s="32">
        <v>0</v>
      </c>
      <c r="G152" s="32" t="s">
        <v>63</v>
      </c>
      <c r="H152" s="32" t="s">
        <v>208</v>
      </c>
      <c r="I152" s="32" t="s">
        <v>54</v>
      </c>
      <c r="J152" s="32" t="s">
        <v>111</v>
      </c>
      <c r="M152" s="32" t="s">
        <v>209</v>
      </c>
      <c r="N152" s="32" t="s">
        <v>207</v>
      </c>
    </row>
    <row r="153" spans="1:14" s="32" customFormat="1" hidden="1" x14ac:dyDescent="0.3">
      <c r="A153" s="38">
        <v>46233.454259259262</v>
      </c>
      <c r="B153" s="32">
        <v>12981700386</v>
      </c>
      <c r="C153" s="32" t="s">
        <v>58</v>
      </c>
      <c r="D153" s="32">
        <v>4430265054</v>
      </c>
      <c r="E153" s="32">
        <v>157</v>
      </c>
      <c r="F153" s="32">
        <v>138</v>
      </c>
      <c r="G153" s="32" t="s">
        <v>44</v>
      </c>
      <c r="H153" s="32" t="s">
        <v>210</v>
      </c>
      <c r="I153" s="32" t="s">
        <v>40</v>
      </c>
      <c r="J153" s="32" t="s">
        <v>46</v>
      </c>
      <c r="K153" s="32" t="s">
        <v>42</v>
      </c>
      <c r="M153" s="32" t="s">
        <v>60</v>
      </c>
      <c r="N153" s="32" t="s">
        <v>58</v>
      </c>
    </row>
    <row r="154" spans="1:14" s="32" customFormat="1" hidden="1" x14ac:dyDescent="0.3">
      <c r="A154" s="38">
        <v>46233.453888888886</v>
      </c>
      <c r="B154" s="32">
        <v>12981700386</v>
      </c>
      <c r="C154" s="32" t="s">
        <v>207</v>
      </c>
      <c r="D154" s="32">
        <v>4430265054</v>
      </c>
      <c r="E154" s="32">
        <v>22</v>
      </c>
      <c r="F154" s="32">
        <v>0</v>
      </c>
      <c r="G154" s="32" t="s">
        <v>44</v>
      </c>
      <c r="H154" s="32" t="s">
        <v>211</v>
      </c>
      <c r="I154" s="32" t="s">
        <v>40</v>
      </c>
      <c r="J154" s="32" t="s">
        <v>111</v>
      </c>
      <c r="K154" s="32" t="s">
        <v>212</v>
      </c>
      <c r="M154" s="32" t="s">
        <v>209</v>
      </c>
      <c r="N154" s="32" t="s">
        <v>207</v>
      </c>
    </row>
    <row r="155" spans="1:14" s="32" customFormat="1" x14ac:dyDescent="0.3">
      <c r="A155" s="38">
        <v>46233.44840277778</v>
      </c>
      <c r="B155" s="32">
        <v>41999853283</v>
      </c>
      <c r="C155" s="32" t="s">
        <v>49</v>
      </c>
      <c r="D155" s="32">
        <v>4430265054</v>
      </c>
      <c r="E155" s="32">
        <v>475</v>
      </c>
      <c r="F155" s="32">
        <v>456</v>
      </c>
      <c r="G155" s="32" t="s">
        <v>44</v>
      </c>
      <c r="H155" s="32" t="s">
        <v>213</v>
      </c>
      <c r="I155" s="32" t="s">
        <v>40</v>
      </c>
      <c r="J155" s="32" t="s">
        <v>46</v>
      </c>
      <c r="K155" s="32" t="s">
        <v>42</v>
      </c>
      <c r="L155" s="32">
        <v>5</v>
      </c>
      <c r="M155" s="32" t="s">
        <v>51</v>
      </c>
      <c r="N155" s="32" t="s">
        <v>49</v>
      </c>
    </row>
    <row r="156" spans="1:14" s="32" customFormat="1" hidden="1" x14ac:dyDescent="0.3">
      <c r="A156" s="38">
        <v>46233.444386574076</v>
      </c>
      <c r="B156" s="32">
        <v>44999844110</v>
      </c>
      <c r="C156" s="32" t="s">
        <v>43</v>
      </c>
      <c r="D156" s="32">
        <v>4430265054</v>
      </c>
      <c r="E156" s="32">
        <v>466</v>
      </c>
      <c r="F156" s="32">
        <v>438</v>
      </c>
      <c r="G156" s="32" t="s">
        <v>44</v>
      </c>
      <c r="H156" s="32" t="s">
        <v>214</v>
      </c>
      <c r="I156" s="32" t="s">
        <v>40</v>
      </c>
      <c r="J156" s="32" t="s">
        <v>46</v>
      </c>
      <c r="K156" s="32" t="s">
        <v>42</v>
      </c>
      <c r="M156" s="32" t="s">
        <v>47</v>
      </c>
      <c r="N156" s="32" t="s">
        <v>43</v>
      </c>
    </row>
    <row r="157" spans="1:14" s="32" customFormat="1" hidden="1" x14ac:dyDescent="0.3">
      <c r="A157" s="38">
        <v>46233.439409722225</v>
      </c>
      <c r="B157" s="32">
        <v>4330333542</v>
      </c>
      <c r="C157" s="32" t="s">
        <v>49</v>
      </c>
      <c r="D157" s="32">
        <v>4430265054</v>
      </c>
      <c r="E157" s="32">
        <v>616</v>
      </c>
      <c r="F157" s="32">
        <v>575</v>
      </c>
      <c r="G157" s="32" t="s">
        <v>44</v>
      </c>
      <c r="H157" s="32" t="s">
        <v>215</v>
      </c>
      <c r="I157" s="32" t="s">
        <v>40</v>
      </c>
      <c r="J157" s="32" t="s">
        <v>46</v>
      </c>
      <c r="K157" s="32" t="s">
        <v>42</v>
      </c>
      <c r="M157" s="32" t="s">
        <v>51</v>
      </c>
      <c r="N157" s="32" t="s">
        <v>49</v>
      </c>
    </row>
    <row r="158" spans="1:14" s="32" customFormat="1" hidden="1" x14ac:dyDescent="0.3">
      <c r="A158" s="38">
        <v>46233.434444444443</v>
      </c>
      <c r="B158" s="32">
        <v>4430145899</v>
      </c>
      <c r="C158" s="32" t="s">
        <v>58</v>
      </c>
      <c r="D158" s="32">
        <v>4430265054</v>
      </c>
      <c r="E158" s="32">
        <v>1023</v>
      </c>
      <c r="F158" s="32">
        <v>1022</v>
      </c>
      <c r="G158" s="32" t="s">
        <v>44</v>
      </c>
      <c r="H158" s="32" t="s">
        <v>216</v>
      </c>
      <c r="I158" s="32" t="s">
        <v>40</v>
      </c>
      <c r="J158" s="32" t="s">
        <v>46</v>
      </c>
      <c r="K158" s="32" t="s">
        <v>42</v>
      </c>
      <c r="M158" s="32" t="s">
        <v>60</v>
      </c>
      <c r="N158" s="32" t="s">
        <v>58</v>
      </c>
    </row>
    <row r="159" spans="1:14" s="32" customFormat="1" hidden="1" x14ac:dyDescent="0.3">
      <c r="A159" s="38">
        <v>46233.430219907408</v>
      </c>
      <c r="B159" s="32" t="s">
        <v>43</v>
      </c>
      <c r="C159" s="32">
        <v>43999965552</v>
      </c>
      <c r="E159" s="32">
        <v>798</v>
      </c>
      <c r="F159" s="32">
        <v>792</v>
      </c>
      <c r="G159" s="32" t="s">
        <v>44</v>
      </c>
      <c r="H159" s="32" t="s">
        <v>217</v>
      </c>
      <c r="I159" s="32" t="s">
        <v>54</v>
      </c>
      <c r="J159" s="32" t="s">
        <v>46</v>
      </c>
      <c r="M159" s="32" t="s">
        <v>47</v>
      </c>
      <c r="N159" s="32" t="s">
        <v>43</v>
      </c>
    </row>
    <row r="160" spans="1:14" s="32" customFormat="1" hidden="1" x14ac:dyDescent="0.3">
      <c r="A160" s="38">
        <v>46233.430046296293</v>
      </c>
      <c r="B160" s="32" t="s">
        <v>43</v>
      </c>
      <c r="C160" s="32">
        <v>43999965552</v>
      </c>
      <c r="E160" s="32">
        <v>11</v>
      </c>
      <c r="F160" s="32">
        <v>0</v>
      </c>
      <c r="G160" s="32" t="s">
        <v>63</v>
      </c>
      <c r="H160" s="32" t="s">
        <v>218</v>
      </c>
      <c r="I160" s="32" t="s">
        <v>54</v>
      </c>
      <c r="J160" s="32" t="s">
        <v>46</v>
      </c>
      <c r="M160" s="32" t="s">
        <v>47</v>
      </c>
      <c r="N160" s="32" t="s">
        <v>43</v>
      </c>
    </row>
    <row r="161" spans="1:14" s="32" customFormat="1" x14ac:dyDescent="0.3">
      <c r="A161" s="38">
        <v>46233.421770833331</v>
      </c>
      <c r="B161" s="32">
        <v>43991690403</v>
      </c>
      <c r="C161" s="32" t="s">
        <v>49</v>
      </c>
      <c r="D161" s="32">
        <v>4430265054</v>
      </c>
      <c r="E161" s="32">
        <v>910</v>
      </c>
      <c r="F161" s="32">
        <v>841</v>
      </c>
      <c r="G161" s="32" t="s">
        <v>44</v>
      </c>
      <c r="H161" s="32" t="s">
        <v>219</v>
      </c>
      <c r="I161" s="32" t="s">
        <v>40</v>
      </c>
      <c r="J161" s="32" t="s">
        <v>46</v>
      </c>
      <c r="K161" s="32" t="s">
        <v>42</v>
      </c>
      <c r="L161" s="32">
        <v>5</v>
      </c>
      <c r="M161" s="32" t="s">
        <v>51</v>
      </c>
      <c r="N161" s="32" t="s">
        <v>49</v>
      </c>
    </row>
    <row r="162" spans="1:14" s="32" customFormat="1" hidden="1" x14ac:dyDescent="0.3">
      <c r="A162" s="38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38</v>
      </c>
      <c r="H162" s="32" t="s">
        <v>220</v>
      </c>
      <c r="I162" s="32" t="s">
        <v>40</v>
      </c>
      <c r="J162" s="32" t="s">
        <v>41</v>
      </c>
    </row>
    <row r="163" spans="1:14" s="32" customFormat="1" hidden="1" x14ac:dyDescent="0.3">
      <c r="A163" s="38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38</v>
      </c>
      <c r="H163" s="32" t="s">
        <v>221</v>
      </c>
      <c r="I163" s="32" t="s">
        <v>40</v>
      </c>
      <c r="J163" s="32" t="s">
        <v>41</v>
      </c>
    </row>
    <row r="164" spans="1:14" s="32" customFormat="1" hidden="1" x14ac:dyDescent="0.3">
      <c r="A164" s="38">
        <v>46233.415138888886</v>
      </c>
      <c r="B164" s="32">
        <v>4430291622</v>
      </c>
      <c r="C164" s="32" t="s">
        <v>43</v>
      </c>
      <c r="D164" s="32">
        <v>4430265054</v>
      </c>
      <c r="E164" s="32">
        <v>672</v>
      </c>
      <c r="F164" s="32">
        <v>613</v>
      </c>
      <c r="G164" s="32" t="s">
        <v>44</v>
      </c>
      <c r="H164" s="32" t="s">
        <v>222</v>
      </c>
      <c r="I164" s="32" t="s">
        <v>40</v>
      </c>
      <c r="J164" s="32" t="s">
        <v>46</v>
      </c>
      <c r="K164" s="32" t="s">
        <v>42</v>
      </c>
      <c r="M164" s="32" t="s">
        <v>47</v>
      </c>
      <c r="N164" s="32" t="s">
        <v>43</v>
      </c>
    </row>
    <row r="165" spans="1:14" s="32" customFormat="1" hidden="1" x14ac:dyDescent="0.3">
      <c r="A165" s="38">
        <v>46233.413518518515</v>
      </c>
      <c r="B165" s="32" t="s">
        <v>109</v>
      </c>
      <c r="C165" s="32">
        <v>11992169368</v>
      </c>
      <c r="E165" s="32">
        <v>7</v>
      </c>
      <c r="F165" s="32">
        <v>0</v>
      </c>
      <c r="G165" s="32" t="s">
        <v>63</v>
      </c>
      <c r="H165" s="32" t="s">
        <v>223</v>
      </c>
      <c r="I165" s="32" t="s">
        <v>54</v>
      </c>
      <c r="J165" s="32" t="s">
        <v>111</v>
      </c>
      <c r="M165" s="32" t="s">
        <v>112</v>
      </c>
      <c r="N165" s="32" t="s">
        <v>109</v>
      </c>
    </row>
    <row r="166" spans="1:14" s="32" customFormat="1" hidden="1" x14ac:dyDescent="0.3">
      <c r="A166" s="38">
        <v>46233.411030092589</v>
      </c>
      <c r="B166" s="32">
        <v>44998107650</v>
      </c>
      <c r="C166" s="32" t="s">
        <v>58</v>
      </c>
      <c r="D166" s="32">
        <v>4431268225</v>
      </c>
      <c r="E166" s="32">
        <v>306</v>
      </c>
      <c r="F166" s="32">
        <v>306</v>
      </c>
      <c r="G166" s="32" t="s">
        <v>44</v>
      </c>
      <c r="H166" s="32" t="s">
        <v>224</v>
      </c>
      <c r="I166" s="32" t="s">
        <v>40</v>
      </c>
      <c r="J166" s="32" t="s">
        <v>46</v>
      </c>
      <c r="K166" s="32" t="s">
        <v>42</v>
      </c>
      <c r="L166" s="32">
        <v>5</v>
      </c>
      <c r="M166" s="32" t="s">
        <v>60</v>
      </c>
      <c r="N166" s="32" t="s">
        <v>58</v>
      </c>
    </row>
    <row r="167" spans="1:14" s="32" customFormat="1" hidden="1" x14ac:dyDescent="0.3">
      <c r="A167" s="38">
        <v>46233.410682870373</v>
      </c>
      <c r="B167" s="32">
        <v>41997840159</v>
      </c>
      <c r="C167" s="32" t="s">
        <v>49</v>
      </c>
      <c r="D167" s="32">
        <v>4431268225</v>
      </c>
      <c r="E167" s="32">
        <v>616</v>
      </c>
      <c r="F167" s="32">
        <v>575</v>
      </c>
      <c r="G167" s="32" t="s">
        <v>44</v>
      </c>
      <c r="H167" s="32" t="s">
        <v>225</v>
      </c>
      <c r="I167" s="32" t="s">
        <v>40</v>
      </c>
      <c r="J167" s="32" t="s">
        <v>46</v>
      </c>
      <c r="K167" s="32" t="s">
        <v>42</v>
      </c>
      <c r="M167" s="32" t="s">
        <v>51</v>
      </c>
      <c r="N167" s="32" t="s">
        <v>49</v>
      </c>
    </row>
    <row r="168" spans="1:14" s="32" customFormat="1" hidden="1" x14ac:dyDescent="0.3">
      <c r="A168" s="38">
        <v>46233.403333333335</v>
      </c>
      <c r="B168" s="32">
        <v>77999014770</v>
      </c>
      <c r="C168" s="32" t="s">
        <v>49</v>
      </c>
      <c r="D168" s="32">
        <v>4430265054</v>
      </c>
      <c r="E168" s="32">
        <v>532</v>
      </c>
      <c r="F168" s="32">
        <v>461</v>
      </c>
      <c r="G168" s="32" t="s">
        <v>44</v>
      </c>
      <c r="H168" s="32" t="s">
        <v>226</v>
      </c>
      <c r="I168" s="32" t="s">
        <v>40</v>
      </c>
      <c r="J168" s="32" t="s">
        <v>46</v>
      </c>
      <c r="K168" s="32" t="s">
        <v>42</v>
      </c>
      <c r="M168" s="32" t="s">
        <v>51</v>
      </c>
      <c r="N168" s="32" t="s">
        <v>49</v>
      </c>
    </row>
    <row r="169" spans="1:14" s="32" customFormat="1" hidden="1" x14ac:dyDescent="0.3">
      <c r="A169" s="38">
        <v>46233.401030092595</v>
      </c>
      <c r="B169" s="32">
        <v>44991381017</v>
      </c>
      <c r="C169" s="32" t="s">
        <v>58</v>
      </c>
      <c r="D169" s="32">
        <v>4430265054</v>
      </c>
      <c r="E169" s="32">
        <v>392</v>
      </c>
      <c r="F169" s="32">
        <v>355</v>
      </c>
      <c r="G169" s="32" t="s">
        <v>44</v>
      </c>
      <c r="H169" s="32" t="s">
        <v>227</v>
      </c>
      <c r="I169" s="32" t="s">
        <v>40</v>
      </c>
      <c r="J169" s="32" t="s">
        <v>46</v>
      </c>
      <c r="K169" s="32" t="s">
        <v>42</v>
      </c>
      <c r="M169" s="32" t="s">
        <v>60</v>
      </c>
      <c r="N169" s="32" t="s">
        <v>58</v>
      </c>
    </row>
    <row r="170" spans="1:14" s="32" customFormat="1" hidden="1" x14ac:dyDescent="0.3">
      <c r="A170" s="38">
        <v>46233.400937500002</v>
      </c>
      <c r="B170" s="32">
        <v>91984992994</v>
      </c>
      <c r="C170" s="32" t="s">
        <v>49</v>
      </c>
      <c r="D170" s="32">
        <v>4430265054</v>
      </c>
      <c r="E170" s="32">
        <v>185</v>
      </c>
      <c r="F170" s="32">
        <v>172</v>
      </c>
      <c r="G170" s="32" t="s">
        <v>44</v>
      </c>
      <c r="H170" s="32" t="s">
        <v>228</v>
      </c>
      <c r="I170" s="32" t="s">
        <v>40</v>
      </c>
      <c r="J170" s="32" t="s">
        <v>46</v>
      </c>
      <c r="K170" s="32" t="s">
        <v>42</v>
      </c>
      <c r="M170" s="32" t="s">
        <v>51</v>
      </c>
      <c r="N170" s="32" t="s">
        <v>49</v>
      </c>
    </row>
    <row r="171" spans="1:14" s="32" customFormat="1" hidden="1" x14ac:dyDescent="0.3">
      <c r="A171" s="38">
        <v>46233.399375000001</v>
      </c>
      <c r="B171" s="32">
        <v>4430451163</v>
      </c>
      <c r="C171" s="32" t="s">
        <v>49</v>
      </c>
      <c r="D171" s="32">
        <v>4430265054</v>
      </c>
      <c r="E171" s="32">
        <v>136</v>
      </c>
      <c r="F171" s="32">
        <v>135</v>
      </c>
      <c r="G171" s="32" t="s">
        <v>44</v>
      </c>
      <c r="H171" s="32" t="s">
        <v>229</v>
      </c>
      <c r="I171" s="32" t="s">
        <v>40</v>
      </c>
      <c r="J171" s="32" t="s">
        <v>46</v>
      </c>
      <c r="K171" s="32" t="s">
        <v>42</v>
      </c>
      <c r="M171" s="32" t="s">
        <v>51</v>
      </c>
      <c r="N171" s="32" t="s">
        <v>49</v>
      </c>
    </row>
    <row r="172" spans="1:14" s="32" customFormat="1" hidden="1" x14ac:dyDescent="0.3">
      <c r="A172" s="38">
        <v>46233.398831018516</v>
      </c>
      <c r="B172" s="32">
        <v>45999334612</v>
      </c>
      <c r="C172" s="32" t="s">
        <v>43</v>
      </c>
      <c r="D172" s="32">
        <v>4430265054</v>
      </c>
      <c r="E172" s="32">
        <v>404</v>
      </c>
      <c r="F172" s="32">
        <v>364</v>
      </c>
      <c r="G172" s="32" t="s">
        <v>44</v>
      </c>
      <c r="H172" s="32" t="s">
        <v>230</v>
      </c>
      <c r="I172" s="32" t="s">
        <v>40</v>
      </c>
      <c r="J172" s="32" t="s">
        <v>46</v>
      </c>
      <c r="K172" s="32" t="s">
        <v>42</v>
      </c>
      <c r="L172" s="32">
        <v>5</v>
      </c>
      <c r="M172" s="32" t="s">
        <v>47</v>
      </c>
      <c r="N172" s="32" t="s">
        <v>43</v>
      </c>
    </row>
    <row r="173" spans="1:14" s="32" customFormat="1" hidden="1" x14ac:dyDescent="0.3">
      <c r="A173" s="38">
        <v>46233.388252314813</v>
      </c>
      <c r="B173" s="32">
        <v>4432520077</v>
      </c>
      <c r="C173" s="32" t="s">
        <v>43</v>
      </c>
      <c r="D173" s="32">
        <v>4430265054</v>
      </c>
      <c r="E173" s="32">
        <v>189</v>
      </c>
      <c r="F173" s="32">
        <v>156</v>
      </c>
      <c r="G173" s="32" t="s">
        <v>44</v>
      </c>
      <c r="H173" s="32" t="s">
        <v>231</v>
      </c>
      <c r="I173" s="32" t="s">
        <v>40</v>
      </c>
      <c r="J173" s="32" t="s">
        <v>46</v>
      </c>
      <c r="K173" s="32" t="s">
        <v>42</v>
      </c>
      <c r="M173" s="32" t="s">
        <v>47</v>
      </c>
      <c r="N173" s="32" t="s">
        <v>43</v>
      </c>
    </row>
    <row r="174" spans="1:14" s="32" customFormat="1" x14ac:dyDescent="0.3">
      <c r="A174" s="38">
        <v>46233.388124999998</v>
      </c>
      <c r="B174" s="32">
        <v>4434239353</v>
      </c>
      <c r="C174" s="32" t="s">
        <v>49</v>
      </c>
      <c r="D174" s="32">
        <v>4430265054</v>
      </c>
      <c r="E174" s="32">
        <v>842</v>
      </c>
      <c r="F174" s="32">
        <v>803</v>
      </c>
      <c r="G174" s="32" t="s">
        <v>44</v>
      </c>
      <c r="H174" s="32" t="s">
        <v>232</v>
      </c>
      <c r="I174" s="32" t="s">
        <v>40</v>
      </c>
      <c r="J174" s="32" t="s">
        <v>46</v>
      </c>
      <c r="K174" s="32" t="s">
        <v>42</v>
      </c>
      <c r="L174" s="32">
        <v>4</v>
      </c>
      <c r="M174" s="32" t="s">
        <v>51</v>
      </c>
      <c r="N174" s="32" t="s">
        <v>49</v>
      </c>
    </row>
    <row r="175" spans="1:14" s="32" customFormat="1" hidden="1" x14ac:dyDescent="0.3">
      <c r="A175" s="38">
        <v>46233.385937500003</v>
      </c>
      <c r="B175" s="32">
        <v>91984992994</v>
      </c>
      <c r="C175" s="32" t="s">
        <v>43</v>
      </c>
      <c r="D175" s="32">
        <v>4430265054</v>
      </c>
      <c r="E175" s="32">
        <v>114</v>
      </c>
      <c r="F175" s="32">
        <v>96</v>
      </c>
      <c r="G175" s="32" t="s">
        <v>44</v>
      </c>
      <c r="H175" s="32" t="s">
        <v>233</v>
      </c>
      <c r="I175" s="32" t="s">
        <v>40</v>
      </c>
      <c r="J175" s="32" t="s">
        <v>46</v>
      </c>
      <c r="K175" s="32" t="s">
        <v>42</v>
      </c>
      <c r="M175" s="32" t="s">
        <v>47</v>
      </c>
      <c r="N175" s="32" t="s">
        <v>43</v>
      </c>
    </row>
    <row r="176" spans="1:14" s="32" customFormat="1" hidden="1" x14ac:dyDescent="0.3">
      <c r="A176" s="38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38</v>
      </c>
      <c r="H176" s="32" t="s">
        <v>234</v>
      </c>
      <c r="I176" s="32" t="s">
        <v>40</v>
      </c>
      <c r="J176" s="32" t="s">
        <v>41</v>
      </c>
    </row>
    <row r="177" spans="1:14" s="32" customFormat="1" hidden="1" x14ac:dyDescent="0.3">
      <c r="A177" s="38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38</v>
      </c>
      <c r="H177" s="32" t="s">
        <v>235</v>
      </c>
      <c r="I177" s="32" t="s">
        <v>40</v>
      </c>
      <c r="J177" s="32" t="s">
        <v>41</v>
      </c>
    </row>
    <row r="178" spans="1:14" s="32" customFormat="1" hidden="1" x14ac:dyDescent="0.3">
      <c r="A178" s="38">
        <v>46233.366875</v>
      </c>
      <c r="B178" s="32">
        <v>44984241715</v>
      </c>
      <c r="C178" s="32" t="s">
        <v>58</v>
      </c>
      <c r="D178" s="32">
        <v>4430265054</v>
      </c>
      <c r="E178" s="32">
        <v>546</v>
      </c>
      <c r="F178" s="32">
        <v>492</v>
      </c>
      <c r="G178" s="32" t="s">
        <v>44</v>
      </c>
      <c r="H178" s="32" t="s">
        <v>236</v>
      </c>
      <c r="I178" s="32" t="s">
        <v>40</v>
      </c>
      <c r="J178" s="32" t="s">
        <v>46</v>
      </c>
      <c r="K178" s="32" t="s">
        <v>42</v>
      </c>
      <c r="M178" s="32" t="s">
        <v>60</v>
      </c>
      <c r="N178" s="32" t="s">
        <v>58</v>
      </c>
    </row>
    <row r="179" spans="1:14" s="32" customFormat="1" hidden="1" x14ac:dyDescent="0.3">
      <c r="A179" s="38">
        <v>46233.366863425923</v>
      </c>
      <c r="B179" s="32">
        <v>43999965552</v>
      </c>
      <c r="C179" s="32" t="s">
        <v>43</v>
      </c>
      <c r="D179" s="32">
        <v>4430265054</v>
      </c>
      <c r="E179" s="32">
        <v>481</v>
      </c>
      <c r="F179" s="32">
        <v>464</v>
      </c>
      <c r="G179" s="32" t="s">
        <v>44</v>
      </c>
      <c r="H179" s="32" t="s">
        <v>237</v>
      </c>
      <c r="I179" s="32" t="s">
        <v>40</v>
      </c>
      <c r="J179" s="32" t="s">
        <v>46</v>
      </c>
      <c r="K179" s="32" t="s">
        <v>42</v>
      </c>
      <c r="M179" s="32" t="s">
        <v>47</v>
      </c>
      <c r="N179" s="32" t="s">
        <v>43</v>
      </c>
    </row>
    <row r="180" spans="1:14" s="32" customFormat="1" hidden="1" x14ac:dyDescent="0.3">
      <c r="A180" s="38">
        <v>46233.35864583333</v>
      </c>
      <c r="B180" s="32">
        <v>44999451200</v>
      </c>
      <c r="C180" s="32" t="s">
        <v>49</v>
      </c>
      <c r="D180" s="32">
        <v>4430265054</v>
      </c>
      <c r="E180" s="32">
        <v>978</v>
      </c>
      <c r="F180" s="32">
        <v>883</v>
      </c>
      <c r="G180" s="32" t="s">
        <v>44</v>
      </c>
      <c r="H180" s="32" t="s">
        <v>238</v>
      </c>
      <c r="I180" s="32" t="s">
        <v>40</v>
      </c>
      <c r="J180" s="32" t="s">
        <v>46</v>
      </c>
      <c r="K180" s="32" t="s">
        <v>42</v>
      </c>
      <c r="M180" s="32" t="s">
        <v>51</v>
      </c>
      <c r="N180" s="32" t="s">
        <v>49</v>
      </c>
    </row>
    <row r="181" spans="1:14" s="32" customFormat="1" hidden="1" x14ac:dyDescent="0.3">
      <c r="A181" s="38">
        <v>46233.358518518522</v>
      </c>
      <c r="B181" s="32">
        <v>43991690403</v>
      </c>
      <c r="C181" s="32" t="s">
        <v>43</v>
      </c>
      <c r="D181" s="32">
        <v>4430265054</v>
      </c>
      <c r="E181" s="32">
        <v>208</v>
      </c>
      <c r="F181" s="32">
        <v>145</v>
      </c>
      <c r="G181" s="32" t="s">
        <v>44</v>
      </c>
      <c r="H181" s="32" t="s">
        <v>239</v>
      </c>
      <c r="I181" s="32" t="s">
        <v>40</v>
      </c>
      <c r="J181" s="32" t="s">
        <v>46</v>
      </c>
      <c r="K181" s="32" t="s">
        <v>42</v>
      </c>
      <c r="M181" s="32" t="s">
        <v>47</v>
      </c>
      <c r="N181" s="32" t="s">
        <v>43</v>
      </c>
    </row>
    <row r="182" spans="1:14" s="32" customFormat="1" hidden="1" x14ac:dyDescent="0.3">
      <c r="A182" s="38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38</v>
      </c>
      <c r="H182" s="32" t="s">
        <v>240</v>
      </c>
      <c r="I182" s="32" t="s">
        <v>40</v>
      </c>
      <c r="J182" s="32" t="s">
        <v>41</v>
      </c>
    </row>
    <row r="183" spans="1:14" s="32" customFormat="1" hidden="1" x14ac:dyDescent="0.3">
      <c r="A183" s="38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38</v>
      </c>
      <c r="H183" s="32" t="s">
        <v>241</v>
      </c>
      <c r="I183" s="32" t="s">
        <v>40</v>
      </c>
      <c r="J183" s="32" t="s">
        <v>41</v>
      </c>
    </row>
    <row r="184" spans="1:14" s="32" customFormat="1" hidden="1" x14ac:dyDescent="0.3">
      <c r="A184" s="38">
        <v>46232.740636574075</v>
      </c>
      <c r="B184" s="32">
        <v>4430450103</v>
      </c>
      <c r="C184" s="32" t="s">
        <v>43</v>
      </c>
      <c r="D184" s="32">
        <v>4430265054</v>
      </c>
      <c r="E184" s="32">
        <v>232</v>
      </c>
      <c r="F184" s="32">
        <v>192</v>
      </c>
      <c r="G184" s="32" t="s">
        <v>44</v>
      </c>
      <c r="H184" s="32" t="s">
        <v>242</v>
      </c>
      <c r="I184" s="32" t="s">
        <v>40</v>
      </c>
      <c r="J184" s="32" t="s">
        <v>46</v>
      </c>
      <c r="K184" s="32" t="s">
        <v>42</v>
      </c>
      <c r="L184" s="32">
        <v>5</v>
      </c>
      <c r="M184" s="32" t="s">
        <v>47</v>
      </c>
      <c r="N184" s="32" t="s">
        <v>43</v>
      </c>
    </row>
    <row r="185" spans="1:14" s="32" customFormat="1" hidden="1" x14ac:dyDescent="0.3">
      <c r="A185" s="38">
        <v>46232.726909722223</v>
      </c>
      <c r="B185" s="32">
        <v>4334226481</v>
      </c>
      <c r="C185" s="32" t="s">
        <v>49</v>
      </c>
      <c r="D185" s="32">
        <v>4430265054</v>
      </c>
      <c r="E185" s="32">
        <v>957</v>
      </c>
      <c r="F185" s="32">
        <v>732</v>
      </c>
      <c r="G185" s="32" t="s">
        <v>44</v>
      </c>
      <c r="H185" s="32" t="s">
        <v>243</v>
      </c>
      <c r="I185" s="32" t="s">
        <v>40</v>
      </c>
      <c r="J185" s="32" t="s">
        <v>46</v>
      </c>
      <c r="K185" s="32" t="s">
        <v>42</v>
      </c>
      <c r="M185" s="32" t="s">
        <v>51</v>
      </c>
      <c r="N185" s="32" t="s">
        <v>49</v>
      </c>
    </row>
    <row r="186" spans="1:14" s="32" customFormat="1" hidden="1" x14ac:dyDescent="0.3">
      <c r="A186" s="38">
        <v>46232.723923611113</v>
      </c>
      <c r="B186" s="32">
        <v>44997079838</v>
      </c>
      <c r="C186" s="32" t="s">
        <v>58</v>
      </c>
      <c r="D186" s="32">
        <v>4430265054</v>
      </c>
      <c r="E186" s="32">
        <v>526</v>
      </c>
      <c r="F186" s="32">
        <v>504</v>
      </c>
      <c r="G186" s="32" t="s">
        <v>44</v>
      </c>
      <c r="H186" s="32" t="s">
        <v>244</v>
      </c>
      <c r="I186" s="32" t="s">
        <v>40</v>
      </c>
      <c r="J186" s="32" t="s">
        <v>46</v>
      </c>
      <c r="K186" s="32" t="s">
        <v>42</v>
      </c>
      <c r="L186" s="32">
        <v>5</v>
      </c>
      <c r="M186" s="32" t="s">
        <v>60</v>
      </c>
      <c r="N186" s="32" t="s">
        <v>58</v>
      </c>
    </row>
    <row r="187" spans="1:14" s="32" customFormat="1" hidden="1" x14ac:dyDescent="0.3">
      <c r="A187" s="38">
        <v>46232.723715277774</v>
      </c>
      <c r="B187" s="32">
        <v>44984241715</v>
      </c>
      <c r="C187" s="32" t="s">
        <v>49</v>
      </c>
      <c r="D187" s="32">
        <v>4430265054</v>
      </c>
      <c r="E187" s="32">
        <v>393</v>
      </c>
      <c r="F187" s="32">
        <v>356</v>
      </c>
      <c r="G187" s="32" t="s">
        <v>44</v>
      </c>
      <c r="H187" s="32" t="s">
        <v>245</v>
      </c>
      <c r="I187" s="32" t="s">
        <v>40</v>
      </c>
      <c r="J187" s="32" t="s">
        <v>46</v>
      </c>
      <c r="K187" s="32" t="s">
        <v>42</v>
      </c>
      <c r="M187" s="32" t="s">
        <v>51</v>
      </c>
      <c r="N187" s="32" t="s">
        <v>49</v>
      </c>
    </row>
    <row r="188" spans="1:14" s="32" customFormat="1" hidden="1" x14ac:dyDescent="0.3">
      <c r="A188" s="38">
        <v>46232.723240740743</v>
      </c>
      <c r="B188" s="32" t="s">
        <v>43</v>
      </c>
      <c r="C188" s="32">
        <v>44999550006</v>
      </c>
      <c r="E188" s="32">
        <v>283</v>
      </c>
      <c r="F188" s="32">
        <v>271</v>
      </c>
      <c r="G188" s="32" t="s">
        <v>44</v>
      </c>
      <c r="H188" s="32" t="s">
        <v>246</v>
      </c>
      <c r="I188" s="32" t="s">
        <v>54</v>
      </c>
      <c r="J188" s="32" t="s">
        <v>46</v>
      </c>
      <c r="M188" s="32" t="s">
        <v>47</v>
      </c>
      <c r="N188" s="32" t="s">
        <v>43</v>
      </c>
    </row>
    <row r="189" spans="1:14" s="32" customFormat="1" hidden="1" x14ac:dyDescent="0.3">
      <c r="A189" s="38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38</v>
      </c>
      <c r="H189" s="32" t="s">
        <v>247</v>
      </c>
      <c r="I189" s="32" t="s">
        <v>40</v>
      </c>
      <c r="J189" s="32" t="s">
        <v>41</v>
      </c>
    </row>
    <row r="190" spans="1:14" s="32" customFormat="1" hidden="1" x14ac:dyDescent="0.3">
      <c r="A190" s="38">
        <v>46232.72315972222</v>
      </c>
      <c r="B190" s="32" t="s">
        <v>43</v>
      </c>
      <c r="C190" s="32">
        <v>44999550006</v>
      </c>
      <c r="E190" s="32">
        <v>3</v>
      </c>
      <c r="F190" s="32">
        <v>0</v>
      </c>
      <c r="G190" s="32" t="s">
        <v>63</v>
      </c>
      <c r="H190" s="32" t="s">
        <v>248</v>
      </c>
      <c r="I190" s="32" t="s">
        <v>54</v>
      </c>
      <c r="J190" s="32" t="s">
        <v>46</v>
      </c>
      <c r="M190" s="32" t="s">
        <v>47</v>
      </c>
      <c r="N190" s="32" t="s">
        <v>43</v>
      </c>
    </row>
    <row r="191" spans="1:14" s="32" customFormat="1" hidden="1" x14ac:dyDescent="0.3">
      <c r="A191" s="38">
        <v>46232.722719907404</v>
      </c>
      <c r="B191" s="32" t="s">
        <v>43</v>
      </c>
      <c r="C191" s="32">
        <v>44999550006</v>
      </c>
      <c r="E191" s="32">
        <v>34</v>
      </c>
      <c r="F191" s="32">
        <v>0</v>
      </c>
      <c r="G191" s="32" t="s">
        <v>63</v>
      </c>
      <c r="H191" s="32" t="s">
        <v>249</v>
      </c>
      <c r="I191" s="32" t="s">
        <v>54</v>
      </c>
      <c r="J191" s="32" t="s">
        <v>46</v>
      </c>
      <c r="M191" s="32" t="s">
        <v>47</v>
      </c>
      <c r="N191" s="32" t="s">
        <v>43</v>
      </c>
    </row>
    <row r="192" spans="1:14" s="32" customFormat="1" hidden="1" x14ac:dyDescent="0.3">
      <c r="A192" s="38">
        <v>46232.722650462965</v>
      </c>
      <c r="B192" s="32" t="s">
        <v>43</v>
      </c>
      <c r="C192" s="32">
        <v>44999550006</v>
      </c>
      <c r="E192" s="32">
        <v>5</v>
      </c>
      <c r="F192" s="32">
        <v>0</v>
      </c>
      <c r="G192" s="32" t="s">
        <v>63</v>
      </c>
      <c r="H192" s="32" t="s">
        <v>250</v>
      </c>
      <c r="I192" s="32" t="s">
        <v>54</v>
      </c>
      <c r="J192" s="32" t="s">
        <v>46</v>
      </c>
      <c r="M192" s="32" t="s">
        <v>47</v>
      </c>
      <c r="N192" s="32" t="s">
        <v>43</v>
      </c>
    </row>
    <row r="193" spans="1:14" s="32" customFormat="1" hidden="1" x14ac:dyDescent="0.3">
      <c r="A193" s="38">
        <v>46232.715636574074</v>
      </c>
      <c r="B193" s="32">
        <v>4439001842</v>
      </c>
      <c r="C193" s="32" t="s">
        <v>43</v>
      </c>
      <c r="D193" s="32">
        <v>4430265054</v>
      </c>
      <c r="E193" s="32">
        <v>59</v>
      </c>
      <c r="F193" s="32">
        <v>24</v>
      </c>
      <c r="G193" s="32" t="s">
        <v>44</v>
      </c>
      <c r="H193" s="32" t="s">
        <v>251</v>
      </c>
      <c r="I193" s="32" t="s">
        <v>40</v>
      </c>
      <c r="J193" s="32" t="s">
        <v>46</v>
      </c>
      <c r="K193" s="32" t="s">
        <v>42</v>
      </c>
      <c r="M193" s="32" t="s">
        <v>47</v>
      </c>
      <c r="N193" s="32" t="s">
        <v>43</v>
      </c>
    </row>
    <row r="194" spans="1:14" s="32" customFormat="1" hidden="1" x14ac:dyDescent="0.3">
      <c r="A194" s="38">
        <v>46232.715428240743</v>
      </c>
      <c r="B194" s="32" t="s">
        <v>49</v>
      </c>
      <c r="C194" s="32">
        <v>41997840159</v>
      </c>
      <c r="E194" s="32">
        <v>378</v>
      </c>
      <c r="F194" s="32">
        <v>362</v>
      </c>
      <c r="G194" s="32" t="s">
        <v>44</v>
      </c>
      <c r="H194" s="32" t="s">
        <v>252</v>
      </c>
      <c r="I194" s="32" t="s">
        <v>54</v>
      </c>
      <c r="J194" s="32" t="s">
        <v>46</v>
      </c>
      <c r="M194" s="32" t="s">
        <v>51</v>
      </c>
      <c r="N194" s="32" t="s">
        <v>49</v>
      </c>
    </row>
    <row r="195" spans="1:14" s="32" customFormat="1" hidden="1" x14ac:dyDescent="0.3">
      <c r="A195" s="38">
        <v>46232.71398148148</v>
      </c>
      <c r="B195" s="32">
        <v>62994086124</v>
      </c>
      <c r="C195" s="32" t="s">
        <v>43</v>
      </c>
      <c r="D195" s="32">
        <v>4430265054</v>
      </c>
      <c r="E195" s="32">
        <v>71</v>
      </c>
      <c r="F195" s="32">
        <v>58</v>
      </c>
      <c r="G195" s="32" t="s">
        <v>44</v>
      </c>
      <c r="H195" s="32" t="s">
        <v>253</v>
      </c>
      <c r="I195" s="32" t="s">
        <v>40</v>
      </c>
      <c r="J195" s="32" t="s">
        <v>46</v>
      </c>
      <c r="K195" s="32" t="s">
        <v>42</v>
      </c>
      <c r="M195" s="32" t="s">
        <v>47</v>
      </c>
      <c r="N195" s="32" t="s">
        <v>43</v>
      </c>
    </row>
    <row r="196" spans="1:14" s="32" customFormat="1" hidden="1" x14ac:dyDescent="0.3">
      <c r="A196" s="38">
        <v>46232.713900462964</v>
      </c>
      <c r="B196" s="32" t="s">
        <v>43</v>
      </c>
      <c r="C196" s="32">
        <v>62994086124</v>
      </c>
      <c r="E196" s="32">
        <v>4</v>
      </c>
      <c r="F196" s="32">
        <v>0</v>
      </c>
      <c r="G196" s="32" t="s">
        <v>63</v>
      </c>
      <c r="H196" s="32" t="s">
        <v>254</v>
      </c>
      <c r="I196" s="32" t="s">
        <v>54</v>
      </c>
      <c r="J196" s="32" t="s">
        <v>46</v>
      </c>
      <c r="M196" s="32" t="s">
        <v>47</v>
      </c>
      <c r="N196" s="32" t="s">
        <v>43</v>
      </c>
    </row>
    <row r="197" spans="1:14" s="32" customFormat="1" hidden="1" x14ac:dyDescent="0.3">
      <c r="A197" s="38">
        <v>46232.710543981484</v>
      </c>
      <c r="B197" s="32">
        <v>91981311350</v>
      </c>
      <c r="C197" s="32" t="s">
        <v>58</v>
      </c>
      <c r="D197" s="32">
        <v>4430265054</v>
      </c>
      <c r="E197" s="32">
        <v>814</v>
      </c>
      <c r="F197" s="32">
        <v>744</v>
      </c>
      <c r="G197" s="32" t="s">
        <v>44</v>
      </c>
      <c r="H197" s="32" t="s">
        <v>255</v>
      </c>
      <c r="I197" s="32" t="s">
        <v>40</v>
      </c>
      <c r="J197" s="32" t="s">
        <v>46</v>
      </c>
      <c r="K197" s="32" t="s">
        <v>42</v>
      </c>
      <c r="L197" s="32">
        <v>5</v>
      </c>
      <c r="M197" s="32" t="s">
        <v>60</v>
      </c>
      <c r="N197" s="32" t="s">
        <v>58</v>
      </c>
    </row>
    <row r="198" spans="1:14" s="32" customFormat="1" hidden="1" x14ac:dyDescent="0.3">
      <c r="A198" s="38">
        <v>46232.708807870367</v>
      </c>
      <c r="B198" s="32" t="s">
        <v>58</v>
      </c>
      <c r="C198" s="32">
        <v>6434533677</v>
      </c>
      <c r="E198" s="32">
        <v>127</v>
      </c>
      <c r="F198" s="32">
        <v>122</v>
      </c>
      <c r="G198" s="32" t="s">
        <v>44</v>
      </c>
      <c r="H198" s="32" t="s">
        <v>256</v>
      </c>
      <c r="I198" s="32" t="s">
        <v>54</v>
      </c>
      <c r="J198" s="32" t="s">
        <v>46</v>
      </c>
      <c r="M198" s="32" t="s">
        <v>60</v>
      </c>
      <c r="N198" s="32" t="s">
        <v>58</v>
      </c>
    </row>
    <row r="199" spans="1:14" s="32" customFormat="1" hidden="1" x14ac:dyDescent="0.3">
      <c r="A199" s="38">
        <v>46232.698831018519</v>
      </c>
      <c r="B199" s="32">
        <v>62994086124</v>
      </c>
      <c r="C199" s="32" t="s">
        <v>43</v>
      </c>
      <c r="D199" s="32">
        <v>4430265054</v>
      </c>
      <c r="E199" s="32">
        <v>1276</v>
      </c>
      <c r="F199" s="32">
        <v>1189</v>
      </c>
      <c r="G199" s="32" t="s">
        <v>44</v>
      </c>
      <c r="H199" s="32" t="s">
        <v>257</v>
      </c>
      <c r="I199" s="32" t="s">
        <v>40</v>
      </c>
      <c r="J199" s="32" t="s">
        <v>46</v>
      </c>
      <c r="K199" s="32" t="s">
        <v>42</v>
      </c>
      <c r="M199" s="32" t="s">
        <v>47</v>
      </c>
      <c r="N199" s="32" t="s">
        <v>43</v>
      </c>
    </row>
    <row r="200" spans="1:14" s="32" customFormat="1" hidden="1" x14ac:dyDescent="0.3">
      <c r="A200" s="38">
        <v>46232.69427083333</v>
      </c>
      <c r="B200" s="32" t="s">
        <v>58</v>
      </c>
      <c r="C200" s="32">
        <v>4434231505</v>
      </c>
      <c r="E200" s="32">
        <v>411</v>
      </c>
      <c r="F200" s="32">
        <v>403</v>
      </c>
      <c r="G200" s="32" t="s">
        <v>44</v>
      </c>
      <c r="H200" s="32" t="s">
        <v>258</v>
      </c>
      <c r="I200" s="32" t="s">
        <v>54</v>
      </c>
      <c r="J200" s="32" t="s">
        <v>46</v>
      </c>
      <c r="M200" s="32" t="s">
        <v>60</v>
      </c>
      <c r="N200" s="32" t="s">
        <v>58</v>
      </c>
    </row>
    <row r="201" spans="1:14" s="32" customFormat="1" hidden="1" x14ac:dyDescent="0.3">
      <c r="A201" s="38">
        <v>46232.693599537037</v>
      </c>
      <c r="B201" s="32" t="s">
        <v>58</v>
      </c>
      <c r="C201" s="32">
        <v>4434231505</v>
      </c>
      <c r="E201" s="32">
        <v>50</v>
      </c>
      <c r="F201" s="32">
        <v>41</v>
      </c>
      <c r="G201" s="32" t="s">
        <v>44</v>
      </c>
      <c r="H201" s="32" t="s">
        <v>259</v>
      </c>
      <c r="I201" s="32" t="s">
        <v>54</v>
      </c>
      <c r="J201" s="32" t="s">
        <v>46</v>
      </c>
      <c r="M201" s="32" t="s">
        <v>60</v>
      </c>
      <c r="N201" s="32" t="s">
        <v>58</v>
      </c>
    </row>
    <row r="202" spans="1:14" s="32" customFormat="1" hidden="1" x14ac:dyDescent="0.3">
      <c r="A202" s="38">
        <v>46232.693055555559</v>
      </c>
      <c r="B202" s="32">
        <v>4430414545</v>
      </c>
      <c r="C202" s="32" t="s">
        <v>43</v>
      </c>
      <c r="D202" s="32">
        <v>4430265054</v>
      </c>
      <c r="E202" s="32">
        <v>460</v>
      </c>
      <c r="F202" s="32">
        <v>434</v>
      </c>
      <c r="G202" s="32" t="s">
        <v>44</v>
      </c>
      <c r="H202" s="32" t="s">
        <v>260</v>
      </c>
      <c r="I202" s="32" t="s">
        <v>40</v>
      </c>
      <c r="J202" s="32" t="s">
        <v>46</v>
      </c>
      <c r="K202" s="32" t="s">
        <v>42</v>
      </c>
      <c r="M202" s="32" t="s">
        <v>47</v>
      </c>
      <c r="N202" s="32" t="s">
        <v>43</v>
      </c>
    </row>
    <row r="203" spans="1:14" s="32" customFormat="1" hidden="1" x14ac:dyDescent="0.3">
      <c r="A203" s="38">
        <v>46232.685127314813</v>
      </c>
      <c r="B203" s="32">
        <v>4432641415</v>
      </c>
      <c r="C203" s="32" t="s">
        <v>49</v>
      </c>
      <c r="D203" s="32">
        <v>4430265054</v>
      </c>
      <c r="E203" s="32">
        <v>2630</v>
      </c>
      <c r="F203" s="32">
        <v>2535</v>
      </c>
      <c r="G203" s="32" t="s">
        <v>44</v>
      </c>
      <c r="H203" s="32" t="s">
        <v>261</v>
      </c>
      <c r="I203" s="32" t="s">
        <v>40</v>
      </c>
      <c r="J203" s="32" t="s">
        <v>46</v>
      </c>
      <c r="K203" s="32" t="s">
        <v>42</v>
      </c>
      <c r="M203" s="32" t="s">
        <v>51</v>
      </c>
      <c r="N203" s="32" t="s">
        <v>49</v>
      </c>
    </row>
    <row r="204" spans="1:14" s="32" customFormat="1" hidden="1" x14ac:dyDescent="0.3">
      <c r="A204" s="38">
        <v>46232.68037037037</v>
      </c>
      <c r="B204" s="32">
        <v>4430450103</v>
      </c>
      <c r="C204" s="32" t="s">
        <v>43</v>
      </c>
      <c r="D204" s="32">
        <v>4430265054</v>
      </c>
      <c r="E204" s="32">
        <v>422</v>
      </c>
      <c r="F204" s="32">
        <v>403</v>
      </c>
      <c r="G204" s="32" t="s">
        <v>44</v>
      </c>
      <c r="H204" s="32" t="s">
        <v>262</v>
      </c>
      <c r="I204" s="32" t="s">
        <v>40</v>
      </c>
      <c r="J204" s="32" t="s">
        <v>46</v>
      </c>
      <c r="K204" s="32" t="s">
        <v>42</v>
      </c>
      <c r="L204" s="32">
        <v>5</v>
      </c>
      <c r="M204" s="32" t="s">
        <v>47</v>
      </c>
      <c r="N204" s="32" t="s">
        <v>43</v>
      </c>
    </row>
    <row r="205" spans="1:14" s="32" customFormat="1" hidden="1" x14ac:dyDescent="0.3">
      <c r="A205" s="38">
        <v>46232.678784722222</v>
      </c>
      <c r="B205" s="32" t="s">
        <v>43</v>
      </c>
      <c r="C205" s="32">
        <v>44997710633</v>
      </c>
      <c r="E205" s="32">
        <v>62</v>
      </c>
      <c r="F205" s="32">
        <v>0</v>
      </c>
      <c r="G205" s="32" t="s">
        <v>63</v>
      </c>
      <c r="H205" s="32" t="s">
        <v>263</v>
      </c>
      <c r="I205" s="32" t="s">
        <v>54</v>
      </c>
      <c r="J205" s="32" t="s">
        <v>46</v>
      </c>
      <c r="M205" s="32" t="s">
        <v>47</v>
      </c>
      <c r="N205" s="32" t="s">
        <v>43</v>
      </c>
    </row>
    <row r="206" spans="1:14" s="32" customFormat="1" hidden="1" x14ac:dyDescent="0.3">
      <c r="A206" s="38">
        <v>46232.678333333337</v>
      </c>
      <c r="B206" s="32" t="s">
        <v>43</v>
      </c>
      <c r="C206" s="32">
        <v>44997710633</v>
      </c>
      <c r="E206" s="32">
        <v>34</v>
      </c>
      <c r="F206" s="32">
        <v>0</v>
      </c>
      <c r="G206" s="32" t="s">
        <v>63</v>
      </c>
      <c r="H206" s="32" t="s">
        <v>264</v>
      </c>
      <c r="I206" s="32" t="s">
        <v>54</v>
      </c>
      <c r="J206" s="32" t="s">
        <v>46</v>
      </c>
      <c r="M206" s="32" t="s">
        <v>47</v>
      </c>
      <c r="N206" s="32" t="s">
        <v>43</v>
      </c>
    </row>
    <row r="207" spans="1:14" s="32" customFormat="1" hidden="1" x14ac:dyDescent="0.3">
      <c r="A207" s="38">
        <v>46232.677824074075</v>
      </c>
      <c r="B207" s="32">
        <v>91981311350</v>
      </c>
      <c r="C207" s="32" t="s">
        <v>58</v>
      </c>
      <c r="D207" s="32">
        <v>4430265054</v>
      </c>
      <c r="E207" s="32">
        <v>660</v>
      </c>
      <c r="F207" s="32">
        <v>659</v>
      </c>
      <c r="G207" s="32" t="s">
        <v>44</v>
      </c>
      <c r="H207" s="32" t="s">
        <v>265</v>
      </c>
      <c r="I207" s="32" t="s">
        <v>40</v>
      </c>
      <c r="J207" s="32" t="s">
        <v>46</v>
      </c>
      <c r="K207" s="32" t="s">
        <v>42</v>
      </c>
      <c r="M207" s="32" t="s">
        <v>60</v>
      </c>
      <c r="N207" s="32" t="s">
        <v>58</v>
      </c>
    </row>
    <row r="208" spans="1:14" s="32" customFormat="1" hidden="1" x14ac:dyDescent="0.3">
      <c r="A208" s="38">
        <v>46232.6718287037</v>
      </c>
      <c r="B208" s="32" t="s">
        <v>207</v>
      </c>
      <c r="C208" s="32">
        <v>4131210227</v>
      </c>
      <c r="E208" s="32">
        <v>71</v>
      </c>
      <c r="F208" s="32">
        <v>0</v>
      </c>
      <c r="G208" s="32" t="s">
        <v>63</v>
      </c>
      <c r="H208" s="32" t="s">
        <v>266</v>
      </c>
      <c r="I208" s="32" t="s">
        <v>54</v>
      </c>
      <c r="J208" s="32" t="s">
        <v>111</v>
      </c>
      <c r="M208" s="32" t="s">
        <v>209</v>
      </c>
      <c r="N208" s="32" t="s">
        <v>207</v>
      </c>
    </row>
    <row r="209" spans="1:14" s="32" customFormat="1" hidden="1" x14ac:dyDescent="0.3">
      <c r="A209" s="38">
        <v>46232.671631944446</v>
      </c>
      <c r="B209" s="32">
        <v>4439001842</v>
      </c>
      <c r="C209" s="32" t="s">
        <v>58</v>
      </c>
      <c r="D209" s="32">
        <v>4430265054</v>
      </c>
      <c r="E209" s="32">
        <v>106</v>
      </c>
      <c r="F209" s="32">
        <v>57</v>
      </c>
      <c r="G209" s="32" t="s">
        <v>44</v>
      </c>
      <c r="H209" s="32" t="s">
        <v>267</v>
      </c>
      <c r="I209" s="32" t="s">
        <v>40</v>
      </c>
      <c r="J209" s="32" t="s">
        <v>46</v>
      </c>
      <c r="K209" s="32" t="s">
        <v>42</v>
      </c>
      <c r="M209" s="32" t="s">
        <v>60</v>
      </c>
      <c r="N209" s="32" t="s">
        <v>58</v>
      </c>
    </row>
    <row r="210" spans="1:14" s="32" customFormat="1" hidden="1" x14ac:dyDescent="0.3">
      <c r="A210" s="38">
        <v>46232.671620370369</v>
      </c>
      <c r="B210" s="32" t="s">
        <v>207</v>
      </c>
      <c r="C210" s="32">
        <v>41996738682</v>
      </c>
      <c r="E210" s="32">
        <v>11</v>
      </c>
      <c r="F210" s="32">
        <v>0</v>
      </c>
      <c r="G210" s="32" t="s">
        <v>63</v>
      </c>
      <c r="H210" s="32" t="s">
        <v>268</v>
      </c>
      <c r="I210" s="32" t="s">
        <v>54</v>
      </c>
      <c r="J210" s="32" t="s">
        <v>111</v>
      </c>
      <c r="M210" s="32" t="s">
        <v>209</v>
      </c>
      <c r="N210" s="32" t="s">
        <v>207</v>
      </c>
    </row>
    <row r="211" spans="1:14" s="32" customFormat="1" hidden="1" x14ac:dyDescent="0.3">
      <c r="A211" s="38">
        <v>46232.671076388891</v>
      </c>
      <c r="B211" s="32" t="s">
        <v>207</v>
      </c>
      <c r="C211" s="32">
        <v>41984905607</v>
      </c>
      <c r="E211" s="32">
        <v>37</v>
      </c>
      <c r="F211" s="32">
        <v>0</v>
      </c>
      <c r="G211" s="32" t="s">
        <v>44</v>
      </c>
      <c r="H211" s="32" t="s">
        <v>269</v>
      </c>
      <c r="I211" s="32" t="s">
        <v>54</v>
      </c>
      <c r="J211" s="32" t="s">
        <v>111</v>
      </c>
      <c r="M211" s="32" t="s">
        <v>209</v>
      </c>
      <c r="N211" s="32" t="s">
        <v>207</v>
      </c>
    </row>
    <row r="212" spans="1:14" s="32" customFormat="1" hidden="1" x14ac:dyDescent="0.3">
      <c r="A212" s="38">
        <v>46232.670682870368</v>
      </c>
      <c r="B212" s="32" t="s">
        <v>207</v>
      </c>
      <c r="C212" s="32">
        <v>41997840159</v>
      </c>
      <c r="E212" s="32">
        <v>20</v>
      </c>
      <c r="F212" s="32">
        <v>2</v>
      </c>
      <c r="G212" s="32" t="s">
        <v>44</v>
      </c>
      <c r="H212" s="32" t="s">
        <v>270</v>
      </c>
      <c r="I212" s="32" t="s">
        <v>54</v>
      </c>
      <c r="J212" s="32" t="s">
        <v>111</v>
      </c>
      <c r="M212" s="32" t="s">
        <v>209</v>
      </c>
      <c r="N212" s="32" t="s">
        <v>207</v>
      </c>
    </row>
    <row r="213" spans="1:14" s="32" customFormat="1" hidden="1" x14ac:dyDescent="0.3">
      <c r="A213" s="38">
        <v>46232.670300925929</v>
      </c>
      <c r="B213" s="32">
        <v>1131515685</v>
      </c>
      <c r="C213" s="32" t="s">
        <v>43</v>
      </c>
      <c r="D213" s="32">
        <v>4430265054</v>
      </c>
      <c r="E213" s="32">
        <v>114</v>
      </c>
      <c r="F213" s="32">
        <v>89</v>
      </c>
      <c r="G213" s="32" t="s">
        <v>44</v>
      </c>
      <c r="H213" s="32" t="s">
        <v>271</v>
      </c>
      <c r="I213" s="32" t="s">
        <v>40</v>
      </c>
      <c r="J213" s="32" t="s">
        <v>46</v>
      </c>
      <c r="K213" s="32" t="s">
        <v>42</v>
      </c>
      <c r="M213" s="32" t="s">
        <v>47</v>
      </c>
      <c r="N213" s="32" t="s">
        <v>43</v>
      </c>
    </row>
    <row r="214" spans="1:14" s="32" customFormat="1" hidden="1" x14ac:dyDescent="0.3">
      <c r="A214" s="38">
        <v>46232.661793981482</v>
      </c>
      <c r="B214" s="32">
        <v>4432322192</v>
      </c>
      <c r="C214" s="32" t="s">
        <v>43</v>
      </c>
      <c r="D214" s="32">
        <v>4430265054</v>
      </c>
      <c r="E214" s="32">
        <v>65</v>
      </c>
      <c r="F214" s="32">
        <v>30</v>
      </c>
      <c r="G214" s="32" t="s">
        <v>44</v>
      </c>
      <c r="H214" s="32" t="s">
        <v>272</v>
      </c>
      <c r="I214" s="32" t="s">
        <v>40</v>
      </c>
      <c r="J214" s="32" t="s">
        <v>46</v>
      </c>
      <c r="K214" s="32" t="s">
        <v>42</v>
      </c>
      <c r="M214" s="32" t="s">
        <v>47</v>
      </c>
      <c r="N214" s="32" t="s">
        <v>43</v>
      </c>
    </row>
    <row r="215" spans="1:14" s="32" customFormat="1" hidden="1" x14ac:dyDescent="0.3">
      <c r="A215" s="38">
        <v>46232.66002314815</v>
      </c>
      <c r="B215" s="32">
        <v>41997840159</v>
      </c>
      <c r="C215" s="32" t="s">
        <v>49</v>
      </c>
      <c r="D215" s="32">
        <v>4431268225</v>
      </c>
      <c r="E215" s="32">
        <v>1173</v>
      </c>
      <c r="F215" s="32">
        <v>1110</v>
      </c>
      <c r="G215" s="32" t="s">
        <v>44</v>
      </c>
      <c r="H215" s="32" t="s">
        <v>273</v>
      </c>
      <c r="I215" s="32" t="s">
        <v>40</v>
      </c>
      <c r="J215" s="32" t="s">
        <v>46</v>
      </c>
      <c r="K215" s="32" t="s">
        <v>42</v>
      </c>
      <c r="M215" s="32" t="s">
        <v>51</v>
      </c>
      <c r="N215" s="32" t="s">
        <v>49</v>
      </c>
    </row>
    <row r="216" spans="1:14" s="32" customFormat="1" hidden="1" x14ac:dyDescent="0.3">
      <c r="A216" s="38">
        <v>46232.656076388892</v>
      </c>
      <c r="B216" s="32">
        <v>44997343311</v>
      </c>
      <c r="C216" s="32" t="s">
        <v>58</v>
      </c>
      <c r="D216" s="32">
        <v>4430265054</v>
      </c>
      <c r="E216" s="32">
        <v>760</v>
      </c>
      <c r="F216" s="32">
        <v>721</v>
      </c>
      <c r="G216" s="32" t="s">
        <v>44</v>
      </c>
      <c r="H216" s="32" t="s">
        <v>274</v>
      </c>
      <c r="I216" s="32" t="s">
        <v>40</v>
      </c>
      <c r="J216" s="32" t="s">
        <v>46</v>
      </c>
      <c r="K216" s="32" t="s">
        <v>42</v>
      </c>
      <c r="L216" s="32">
        <v>5</v>
      </c>
      <c r="M216" s="32" t="s">
        <v>60</v>
      </c>
      <c r="N216" s="32" t="s">
        <v>58</v>
      </c>
    </row>
    <row r="217" spans="1:14" s="32" customFormat="1" hidden="1" x14ac:dyDescent="0.3">
      <c r="A217" s="38">
        <v>46232.652743055558</v>
      </c>
      <c r="B217" s="32">
        <v>4432322192</v>
      </c>
      <c r="C217" s="32" t="s">
        <v>49</v>
      </c>
      <c r="D217" s="32">
        <v>4430265054</v>
      </c>
      <c r="E217" s="32">
        <v>554</v>
      </c>
      <c r="F217" s="32">
        <v>476</v>
      </c>
      <c r="G217" s="32" t="s">
        <v>44</v>
      </c>
      <c r="H217" s="32" t="s">
        <v>275</v>
      </c>
      <c r="I217" s="32" t="s">
        <v>40</v>
      </c>
      <c r="J217" s="32" t="s">
        <v>46</v>
      </c>
      <c r="K217" s="32" t="s">
        <v>42</v>
      </c>
      <c r="M217" s="32" t="s">
        <v>51</v>
      </c>
      <c r="N217" s="32" t="s">
        <v>49</v>
      </c>
    </row>
    <row r="218" spans="1:14" s="32" customFormat="1" hidden="1" x14ac:dyDescent="0.3">
      <c r="A218" s="38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38</v>
      </c>
      <c r="H218" s="32" t="s">
        <v>276</v>
      </c>
      <c r="I218" s="32" t="s">
        <v>40</v>
      </c>
      <c r="J218" s="32" t="s">
        <v>41</v>
      </c>
      <c r="K218" s="32" t="s">
        <v>42</v>
      </c>
    </row>
    <row r="219" spans="1:14" s="32" customFormat="1" hidden="1" x14ac:dyDescent="0.3">
      <c r="A219" s="38">
        <v>46232.646018518521</v>
      </c>
      <c r="B219" s="32">
        <v>41995960655</v>
      </c>
      <c r="C219" s="32" t="s">
        <v>85</v>
      </c>
      <c r="D219" s="32">
        <v>4430265054</v>
      </c>
      <c r="E219" s="32">
        <v>1616</v>
      </c>
      <c r="F219" s="32">
        <v>1333</v>
      </c>
      <c r="G219" s="32" t="s">
        <v>44</v>
      </c>
      <c r="H219" s="32" t="s">
        <v>277</v>
      </c>
      <c r="I219" s="32" t="s">
        <v>40</v>
      </c>
      <c r="J219" s="32" t="s">
        <v>41</v>
      </c>
      <c r="K219" s="32" t="s">
        <v>42</v>
      </c>
      <c r="M219" s="32" t="s">
        <v>87</v>
      </c>
      <c r="N219" s="32" t="s">
        <v>85</v>
      </c>
    </row>
    <row r="220" spans="1:14" s="32" customFormat="1" hidden="1" x14ac:dyDescent="0.3">
      <c r="A220" s="38">
        <v>46232.643287037034</v>
      </c>
      <c r="B220" s="32">
        <v>41997840159</v>
      </c>
      <c r="C220" s="32" t="s">
        <v>85</v>
      </c>
      <c r="D220" s="32">
        <v>4431268225</v>
      </c>
      <c r="E220" s="32">
        <v>433</v>
      </c>
      <c r="F220" s="32">
        <v>250</v>
      </c>
      <c r="G220" s="32" t="s">
        <v>44</v>
      </c>
      <c r="H220" s="32" t="s">
        <v>278</v>
      </c>
      <c r="I220" s="32" t="s">
        <v>40</v>
      </c>
      <c r="J220" s="32" t="s">
        <v>41</v>
      </c>
      <c r="K220" s="32" t="s">
        <v>42</v>
      </c>
      <c r="M220" s="32" t="s">
        <v>87</v>
      </c>
      <c r="N220" s="32" t="s">
        <v>85</v>
      </c>
    </row>
    <row r="221" spans="1:14" s="32" customFormat="1" hidden="1" x14ac:dyDescent="0.3">
      <c r="A221" s="38">
        <v>46232.642187500001</v>
      </c>
      <c r="B221" s="32">
        <v>44999195785</v>
      </c>
      <c r="C221" s="32" t="s">
        <v>49</v>
      </c>
      <c r="D221" s="32">
        <v>4430265054</v>
      </c>
      <c r="E221" s="32">
        <v>896</v>
      </c>
      <c r="F221" s="32">
        <v>770</v>
      </c>
      <c r="G221" s="32" t="s">
        <v>44</v>
      </c>
      <c r="H221" s="32" t="s">
        <v>279</v>
      </c>
      <c r="I221" s="32" t="s">
        <v>40</v>
      </c>
      <c r="J221" s="32" t="s">
        <v>46</v>
      </c>
      <c r="K221" s="32" t="s">
        <v>42</v>
      </c>
      <c r="M221" s="32" t="s">
        <v>51</v>
      </c>
      <c r="N221" s="32" t="s">
        <v>49</v>
      </c>
    </row>
    <row r="222" spans="1:14" s="32" customFormat="1" hidden="1" x14ac:dyDescent="0.3">
      <c r="A222" s="38">
        <v>46232.641585648147</v>
      </c>
      <c r="B222" s="32">
        <v>6434534421</v>
      </c>
      <c r="C222" s="32" t="s">
        <v>43</v>
      </c>
      <c r="D222" s="32">
        <v>4430265054</v>
      </c>
      <c r="E222" s="32">
        <v>1730</v>
      </c>
      <c r="F222" s="32">
        <v>1673</v>
      </c>
      <c r="G222" s="32" t="s">
        <v>44</v>
      </c>
      <c r="H222" s="32" t="s">
        <v>280</v>
      </c>
      <c r="I222" s="32" t="s">
        <v>40</v>
      </c>
      <c r="J222" s="32" t="s">
        <v>46</v>
      </c>
      <c r="K222" s="32" t="s">
        <v>42</v>
      </c>
      <c r="M222" s="32" t="s">
        <v>47</v>
      </c>
      <c r="N222" s="32" t="s">
        <v>43</v>
      </c>
    </row>
    <row r="223" spans="1:14" s="32" customFormat="1" hidden="1" x14ac:dyDescent="0.3">
      <c r="A223" s="38">
        <v>46232.632835648146</v>
      </c>
      <c r="B223" s="32">
        <v>41997840159</v>
      </c>
      <c r="C223" s="32" t="s">
        <v>85</v>
      </c>
      <c r="D223" s="32">
        <v>4431268225</v>
      </c>
      <c r="E223" s="32">
        <v>885</v>
      </c>
      <c r="F223" s="32">
        <v>742</v>
      </c>
      <c r="G223" s="32" t="s">
        <v>44</v>
      </c>
      <c r="H223" s="32" t="s">
        <v>281</v>
      </c>
      <c r="I223" s="32" t="s">
        <v>40</v>
      </c>
      <c r="J223" s="32" t="s">
        <v>41</v>
      </c>
      <c r="K223" s="32" t="s">
        <v>42</v>
      </c>
      <c r="M223" s="32" t="s">
        <v>87</v>
      </c>
      <c r="N223" s="32" t="s">
        <v>85</v>
      </c>
    </row>
    <row r="224" spans="1:14" s="32" customFormat="1" hidden="1" x14ac:dyDescent="0.3">
      <c r="A224" s="38">
        <v>46232.630243055559</v>
      </c>
      <c r="B224" s="32">
        <v>44999550006</v>
      </c>
      <c r="C224" s="32" t="s">
        <v>43</v>
      </c>
      <c r="D224" s="32">
        <v>4430265054</v>
      </c>
      <c r="E224" s="32">
        <v>493</v>
      </c>
      <c r="F224" s="32">
        <v>401</v>
      </c>
      <c r="G224" s="32" t="s">
        <v>44</v>
      </c>
      <c r="H224" s="32" t="s">
        <v>282</v>
      </c>
      <c r="I224" s="32" t="s">
        <v>40</v>
      </c>
      <c r="J224" s="32" t="s">
        <v>46</v>
      </c>
      <c r="K224" s="32" t="s">
        <v>42</v>
      </c>
      <c r="M224" s="32" t="s">
        <v>47</v>
      </c>
      <c r="N224" s="32" t="s">
        <v>43</v>
      </c>
    </row>
    <row r="225" spans="1:14" s="32" customFormat="1" hidden="1" x14ac:dyDescent="0.3">
      <c r="A225" s="38">
        <v>46232.626284722224</v>
      </c>
      <c r="B225" s="32">
        <v>44991113954</v>
      </c>
      <c r="C225" s="32" t="s">
        <v>43</v>
      </c>
      <c r="D225" s="32">
        <v>4430265054</v>
      </c>
      <c r="E225" s="32">
        <v>143</v>
      </c>
      <c r="F225" s="32">
        <v>71</v>
      </c>
      <c r="G225" s="32" t="s">
        <v>44</v>
      </c>
      <c r="H225" s="32" t="s">
        <v>283</v>
      </c>
      <c r="I225" s="32" t="s">
        <v>40</v>
      </c>
      <c r="J225" s="32" t="s">
        <v>46</v>
      </c>
      <c r="K225" s="32" t="s">
        <v>42</v>
      </c>
      <c r="M225" s="32" t="s">
        <v>47</v>
      </c>
      <c r="N225" s="32" t="s">
        <v>43</v>
      </c>
    </row>
    <row r="226" spans="1:14" s="32" customFormat="1" hidden="1" x14ac:dyDescent="0.3">
      <c r="A226" s="38">
        <v>46232.626018518517</v>
      </c>
      <c r="B226" s="32">
        <v>4432322192</v>
      </c>
      <c r="C226" s="32" t="s">
        <v>49</v>
      </c>
      <c r="D226" s="32">
        <v>4430265054</v>
      </c>
      <c r="E226" s="32">
        <v>1440</v>
      </c>
      <c r="F226" s="32">
        <v>1376</v>
      </c>
      <c r="G226" s="32" t="s">
        <v>44</v>
      </c>
      <c r="H226" s="32" t="s">
        <v>284</v>
      </c>
      <c r="I226" s="32" t="s">
        <v>40</v>
      </c>
      <c r="J226" s="32" t="s">
        <v>46</v>
      </c>
      <c r="K226" s="32" t="s">
        <v>42</v>
      </c>
      <c r="M226" s="32" t="s">
        <v>51</v>
      </c>
      <c r="N226" s="32" t="s">
        <v>49</v>
      </c>
    </row>
    <row r="227" spans="1:14" s="32" customFormat="1" hidden="1" x14ac:dyDescent="0.3">
      <c r="A227" s="38">
        <v>46232.61141203704</v>
      </c>
      <c r="B227" s="32" t="s">
        <v>49</v>
      </c>
      <c r="C227" s="32">
        <v>44984241715</v>
      </c>
      <c r="E227" s="32">
        <v>76</v>
      </c>
      <c r="F227" s="32">
        <v>62</v>
      </c>
      <c r="G227" s="32" t="s">
        <v>44</v>
      </c>
      <c r="H227" s="32" t="s">
        <v>285</v>
      </c>
      <c r="I227" s="32" t="s">
        <v>54</v>
      </c>
      <c r="J227" s="32" t="s">
        <v>46</v>
      </c>
      <c r="M227" s="32" t="s">
        <v>51</v>
      </c>
      <c r="N227" s="32" t="s">
        <v>49</v>
      </c>
    </row>
    <row r="228" spans="1:14" s="32" customFormat="1" hidden="1" x14ac:dyDescent="0.3">
      <c r="A228" s="38">
        <v>46232.611354166664</v>
      </c>
      <c r="B228" s="32" t="s">
        <v>49</v>
      </c>
      <c r="C228" s="32">
        <v>44984241715</v>
      </c>
      <c r="E228" s="32">
        <v>3</v>
      </c>
      <c r="F228" s="32">
        <v>0</v>
      </c>
      <c r="G228" s="32" t="s">
        <v>63</v>
      </c>
      <c r="H228" s="32" t="s">
        <v>286</v>
      </c>
      <c r="I228" s="32" t="s">
        <v>54</v>
      </c>
      <c r="J228" s="32" t="s">
        <v>46</v>
      </c>
      <c r="M228" s="32" t="s">
        <v>51</v>
      </c>
      <c r="N228" s="32" t="s">
        <v>49</v>
      </c>
    </row>
    <row r="229" spans="1:14" s="32" customFormat="1" hidden="1" x14ac:dyDescent="0.3">
      <c r="A229" s="38">
        <v>46232.611261574071</v>
      </c>
      <c r="B229" s="32">
        <v>4430141092</v>
      </c>
      <c r="C229" s="32" t="s">
        <v>43</v>
      </c>
      <c r="D229" s="32">
        <v>4430265054</v>
      </c>
      <c r="E229" s="32">
        <v>398</v>
      </c>
      <c r="F229" s="32">
        <v>310</v>
      </c>
      <c r="G229" s="32" t="s">
        <v>44</v>
      </c>
      <c r="H229" s="32" t="s">
        <v>287</v>
      </c>
      <c r="I229" s="32" t="s">
        <v>40</v>
      </c>
      <c r="J229" s="32" t="s">
        <v>46</v>
      </c>
      <c r="K229" s="32" t="s">
        <v>42</v>
      </c>
      <c r="L229" s="32">
        <v>5</v>
      </c>
      <c r="M229" s="32" t="s">
        <v>47</v>
      </c>
      <c r="N229" s="32" t="s">
        <v>43</v>
      </c>
    </row>
    <row r="230" spans="1:14" s="32" customFormat="1" hidden="1" x14ac:dyDescent="0.3">
      <c r="A230" s="38">
        <v>46232.610081018516</v>
      </c>
      <c r="B230" s="32">
        <v>41997840159</v>
      </c>
      <c r="C230" s="32" t="s">
        <v>43</v>
      </c>
      <c r="D230" s="32">
        <v>4431268225</v>
      </c>
      <c r="E230" s="32">
        <v>159</v>
      </c>
      <c r="F230" s="32">
        <v>77</v>
      </c>
      <c r="G230" s="32" t="s">
        <v>44</v>
      </c>
      <c r="H230" s="32" t="s">
        <v>288</v>
      </c>
      <c r="I230" s="32" t="s">
        <v>40</v>
      </c>
      <c r="J230" s="32" t="s">
        <v>46</v>
      </c>
      <c r="K230" s="32" t="s">
        <v>42</v>
      </c>
      <c r="M230" s="32" t="s">
        <v>47</v>
      </c>
      <c r="N230" s="32" t="s">
        <v>43</v>
      </c>
    </row>
    <row r="231" spans="1:14" s="32" customFormat="1" hidden="1" x14ac:dyDescent="0.3">
      <c r="A231" s="38">
        <v>46232.608067129629</v>
      </c>
      <c r="B231" s="32">
        <v>4334726613</v>
      </c>
      <c r="C231" s="32" t="s">
        <v>43</v>
      </c>
      <c r="D231" s="32">
        <v>4430265054</v>
      </c>
      <c r="E231" s="32">
        <v>132</v>
      </c>
      <c r="F231" s="32">
        <v>69</v>
      </c>
      <c r="G231" s="32" t="s">
        <v>44</v>
      </c>
      <c r="H231" s="32" t="s">
        <v>289</v>
      </c>
      <c r="I231" s="32" t="s">
        <v>40</v>
      </c>
      <c r="J231" s="32" t="s">
        <v>46</v>
      </c>
      <c r="K231" s="32" t="s">
        <v>42</v>
      </c>
      <c r="M231" s="32" t="s">
        <v>47</v>
      </c>
      <c r="N231" s="32" t="s">
        <v>43</v>
      </c>
    </row>
    <row r="232" spans="1:14" s="32" customFormat="1" hidden="1" x14ac:dyDescent="0.3">
      <c r="A232" s="38">
        <v>46232.597280092596</v>
      </c>
      <c r="B232" s="32">
        <v>4432461449</v>
      </c>
      <c r="C232" s="32" t="s">
        <v>43</v>
      </c>
      <c r="D232" s="32">
        <v>4430265054</v>
      </c>
      <c r="E232" s="32">
        <v>673</v>
      </c>
      <c r="F232" s="32">
        <v>648</v>
      </c>
      <c r="G232" s="32" t="s">
        <v>44</v>
      </c>
      <c r="H232" s="32" t="s">
        <v>290</v>
      </c>
      <c r="I232" s="32" t="s">
        <v>40</v>
      </c>
      <c r="J232" s="32" t="s">
        <v>46</v>
      </c>
      <c r="K232" s="32" t="s">
        <v>42</v>
      </c>
      <c r="M232" s="32" t="s">
        <v>47</v>
      </c>
      <c r="N232" s="32" t="s">
        <v>43</v>
      </c>
    </row>
    <row r="233" spans="1:14" s="32" customFormat="1" hidden="1" x14ac:dyDescent="0.3">
      <c r="A233" s="38">
        <v>46232.584618055553</v>
      </c>
      <c r="B233" s="32">
        <v>4432641415</v>
      </c>
      <c r="C233" s="32" t="s">
        <v>43</v>
      </c>
      <c r="D233" s="32">
        <v>4430265054</v>
      </c>
      <c r="E233" s="32">
        <v>784</v>
      </c>
      <c r="F233" s="32">
        <v>633</v>
      </c>
      <c r="G233" s="32" t="s">
        <v>44</v>
      </c>
      <c r="H233" s="32" t="s">
        <v>291</v>
      </c>
      <c r="I233" s="32" t="s">
        <v>40</v>
      </c>
      <c r="J233" s="32" t="s">
        <v>46</v>
      </c>
      <c r="K233" s="32" t="s">
        <v>42</v>
      </c>
      <c r="L233" s="32">
        <v>5</v>
      </c>
      <c r="M233" s="32" t="s">
        <v>47</v>
      </c>
      <c r="N233" s="32" t="s">
        <v>43</v>
      </c>
    </row>
    <row r="234" spans="1:14" s="32" customFormat="1" hidden="1" x14ac:dyDescent="0.3">
      <c r="A234" s="38">
        <v>46232.582407407404</v>
      </c>
      <c r="B234" s="32">
        <v>41997840159</v>
      </c>
      <c r="C234" s="32" t="s">
        <v>85</v>
      </c>
      <c r="D234" s="32">
        <v>4431268225</v>
      </c>
      <c r="E234" s="32">
        <v>1708</v>
      </c>
      <c r="F234" s="32">
        <v>1515</v>
      </c>
      <c r="G234" s="32" t="s">
        <v>44</v>
      </c>
      <c r="H234" s="32" t="s">
        <v>292</v>
      </c>
      <c r="I234" s="32" t="s">
        <v>40</v>
      </c>
      <c r="J234" s="32" t="s">
        <v>41</v>
      </c>
      <c r="K234" s="32" t="s">
        <v>42</v>
      </c>
      <c r="M234" s="32" t="s">
        <v>87</v>
      </c>
      <c r="N234" s="32" t="s">
        <v>85</v>
      </c>
    </row>
    <row r="235" spans="1:14" s="32" customFormat="1" x14ac:dyDescent="0.3">
      <c r="A235" s="38">
        <v>46232.577928240738</v>
      </c>
      <c r="B235" s="32">
        <v>41995960655</v>
      </c>
      <c r="C235" s="32" t="s">
        <v>49</v>
      </c>
      <c r="D235" s="32">
        <v>4430265054</v>
      </c>
      <c r="E235" s="32">
        <v>1789</v>
      </c>
      <c r="F235" s="32">
        <v>1768</v>
      </c>
      <c r="G235" s="32" t="s">
        <v>44</v>
      </c>
      <c r="H235" s="32" t="s">
        <v>293</v>
      </c>
      <c r="I235" s="32" t="s">
        <v>40</v>
      </c>
      <c r="J235" s="32" t="s">
        <v>46</v>
      </c>
      <c r="K235" s="32" t="s">
        <v>42</v>
      </c>
      <c r="L235" s="32">
        <v>4</v>
      </c>
      <c r="M235" s="32" t="s">
        <v>51</v>
      </c>
      <c r="N235" s="32" t="s">
        <v>49</v>
      </c>
    </row>
    <row r="236" spans="1:14" s="32" customFormat="1" hidden="1" x14ac:dyDescent="0.3">
      <c r="A236" s="38">
        <v>46232.576412037037</v>
      </c>
      <c r="B236" s="32">
        <v>44998620323</v>
      </c>
      <c r="C236" s="32" t="s">
        <v>43</v>
      </c>
      <c r="D236" s="32">
        <v>4430265054</v>
      </c>
      <c r="E236" s="32">
        <v>842</v>
      </c>
      <c r="F236" s="32">
        <v>827</v>
      </c>
      <c r="G236" s="32" t="s">
        <v>44</v>
      </c>
      <c r="H236" s="32" t="s">
        <v>294</v>
      </c>
      <c r="I236" s="32" t="s">
        <v>40</v>
      </c>
      <c r="J236" s="32" t="s">
        <v>46</v>
      </c>
      <c r="K236" s="32" t="s">
        <v>42</v>
      </c>
      <c r="M236" s="32" t="s">
        <v>47</v>
      </c>
      <c r="N236" s="32" t="s">
        <v>43</v>
      </c>
    </row>
    <row r="237" spans="1:14" s="32" customFormat="1" hidden="1" x14ac:dyDescent="0.3">
      <c r="A237" s="38">
        <v>46232.574374999997</v>
      </c>
      <c r="B237" s="32">
        <v>44998620323</v>
      </c>
      <c r="C237" s="32" t="s">
        <v>49</v>
      </c>
      <c r="D237" s="32">
        <v>4430265054</v>
      </c>
      <c r="E237" s="32">
        <v>146</v>
      </c>
      <c r="F237" s="32">
        <v>95</v>
      </c>
      <c r="G237" s="32" t="s">
        <v>44</v>
      </c>
      <c r="H237" s="32" t="s">
        <v>295</v>
      </c>
      <c r="I237" s="32" t="s">
        <v>40</v>
      </c>
      <c r="J237" s="32" t="s">
        <v>46</v>
      </c>
      <c r="K237" s="32" t="s">
        <v>42</v>
      </c>
      <c r="M237" s="32" t="s">
        <v>51</v>
      </c>
      <c r="N237" s="32" t="s">
        <v>49</v>
      </c>
    </row>
    <row r="238" spans="1:14" s="32" customFormat="1" hidden="1" x14ac:dyDescent="0.3">
      <c r="A238" s="38">
        <v>46232.569513888891</v>
      </c>
      <c r="B238" s="32">
        <v>4430141533</v>
      </c>
      <c r="C238" s="32" t="s">
        <v>85</v>
      </c>
      <c r="D238" s="32">
        <v>4430265054</v>
      </c>
      <c r="E238" s="32">
        <v>985</v>
      </c>
      <c r="F238" s="32">
        <v>897</v>
      </c>
      <c r="G238" s="32" t="s">
        <v>44</v>
      </c>
      <c r="H238" s="32" t="s">
        <v>296</v>
      </c>
      <c r="I238" s="32" t="s">
        <v>40</v>
      </c>
      <c r="J238" s="32" t="s">
        <v>41</v>
      </c>
      <c r="K238" s="32" t="s">
        <v>42</v>
      </c>
      <c r="M238" s="32" t="s">
        <v>87</v>
      </c>
      <c r="N238" s="32" t="s">
        <v>85</v>
      </c>
    </row>
    <row r="239" spans="1:14" s="32" customFormat="1" hidden="1" x14ac:dyDescent="0.3">
      <c r="A239" s="38">
        <v>46232.569236111114</v>
      </c>
      <c r="B239" s="32" t="s">
        <v>43</v>
      </c>
      <c r="C239" s="32">
        <v>4430315826</v>
      </c>
      <c r="E239" s="32">
        <v>499</v>
      </c>
      <c r="F239" s="32">
        <v>487</v>
      </c>
      <c r="G239" s="32" t="s">
        <v>44</v>
      </c>
      <c r="H239" s="32" t="s">
        <v>297</v>
      </c>
      <c r="I239" s="32" t="s">
        <v>54</v>
      </c>
      <c r="J239" s="32" t="s">
        <v>46</v>
      </c>
      <c r="M239" s="32" t="s">
        <v>47</v>
      </c>
      <c r="N239" s="32" t="s">
        <v>43</v>
      </c>
    </row>
    <row r="240" spans="1:14" s="32" customFormat="1" x14ac:dyDescent="0.3">
      <c r="A240" s="38">
        <v>46232.56621527778</v>
      </c>
      <c r="B240" s="32">
        <v>44999451200</v>
      </c>
      <c r="C240" s="32" t="s">
        <v>49</v>
      </c>
      <c r="D240" s="32">
        <v>4430265054</v>
      </c>
      <c r="E240" s="32">
        <v>527</v>
      </c>
      <c r="F240" s="32">
        <v>507</v>
      </c>
      <c r="G240" s="32" t="s">
        <v>44</v>
      </c>
      <c r="H240" s="32" t="s">
        <v>298</v>
      </c>
      <c r="I240" s="32" t="s">
        <v>40</v>
      </c>
      <c r="J240" s="32" t="s">
        <v>46</v>
      </c>
      <c r="K240" s="32" t="s">
        <v>42</v>
      </c>
      <c r="L240" s="32">
        <v>3</v>
      </c>
      <c r="M240" s="32" t="s">
        <v>51</v>
      </c>
      <c r="N240" s="32" t="s">
        <v>49</v>
      </c>
    </row>
    <row r="241" spans="1:14" s="32" customFormat="1" hidden="1" x14ac:dyDescent="0.3">
      <c r="A241" s="38">
        <v>46232.564837962964</v>
      </c>
      <c r="B241" s="32">
        <v>44997710633</v>
      </c>
      <c r="C241" s="32" t="s">
        <v>43</v>
      </c>
      <c r="D241" s="32">
        <v>4430265054</v>
      </c>
      <c r="E241" s="32">
        <v>276</v>
      </c>
      <c r="F241" s="32">
        <v>223</v>
      </c>
      <c r="G241" s="32" t="s">
        <v>44</v>
      </c>
      <c r="H241" s="32" t="s">
        <v>299</v>
      </c>
      <c r="I241" s="32" t="s">
        <v>40</v>
      </c>
      <c r="J241" s="32" t="s">
        <v>46</v>
      </c>
      <c r="K241" s="32" t="s">
        <v>42</v>
      </c>
      <c r="M241" s="32" t="s">
        <v>47</v>
      </c>
      <c r="N241" s="32" t="s">
        <v>43</v>
      </c>
    </row>
    <row r="242" spans="1:14" s="32" customFormat="1" hidden="1" x14ac:dyDescent="0.3">
      <c r="A242" s="38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38</v>
      </c>
      <c r="H242" s="32" t="s">
        <v>300</v>
      </c>
      <c r="I242" s="32" t="s">
        <v>40</v>
      </c>
      <c r="J242" s="32" t="s">
        <v>41</v>
      </c>
    </row>
    <row r="243" spans="1:14" s="32" customFormat="1" hidden="1" x14ac:dyDescent="0.3">
      <c r="A243" s="38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38</v>
      </c>
      <c r="H243" s="32" t="s">
        <v>301</v>
      </c>
      <c r="I243" s="32" t="s">
        <v>40</v>
      </c>
      <c r="J243" s="32" t="s">
        <v>41</v>
      </c>
    </row>
    <row r="244" spans="1:14" s="32" customFormat="1" hidden="1" x14ac:dyDescent="0.3">
      <c r="A244" s="38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38</v>
      </c>
      <c r="H244" s="32" t="s">
        <v>302</v>
      </c>
      <c r="I244" s="32" t="s">
        <v>40</v>
      </c>
      <c r="J244" s="32" t="s">
        <v>41</v>
      </c>
    </row>
    <row r="245" spans="1:14" s="32" customFormat="1" hidden="1" x14ac:dyDescent="0.3">
      <c r="A245" s="38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38</v>
      </c>
      <c r="H245" s="32" t="s">
        <v>303</v>
      </c>
      <c r="I245" s="32" t="s">
        <v>40</v>
      </c>
      <c r="J245" s="32" t="s">
        <v>41</v>
      </c>
    </row>
    <row r="246" spans="1:14" s="32" customFormat="1" hidden="1" x14ac:dyDescent="0.3">
      <c r="A246" s="38">
        <v>46232.481736111113</v>
      </c>
      <c r="B246" s="32">
        <v>4432464586</v>
      </c>
      <c r="C246" s="32" t="s">
        <v>43</v>
      </c>
      <c r="D246" s="32">
        <v>4430265054</v>
      </c>
      <c r="E246" s="32">
        <v>96</v>
      </c>
      <c r="F246" s="32">
        <v>74</v>
      </c>
      <c r="G246" s="32" t="s">
        <v>44</v>
      </c>
      <c r="H246" s="32" t="s">
        <v>304</v>
      </c>
      <c r="I246" s="32" t="s">
        <v>40</v>
      </c>
      <c r="J246" s="32" t="s">
        <v>46</v>
      </c>
      <c r="K246" s="32" t="s">
        <v>42</v>
      </c>
      <c r="M246" s="32" t="s">
        <v>47</v>
      </c>
      <c r="N246" s="32" t="s">
        <v>43</v>
      </c>
    </row>
    <row r="247" spans="1:14" s="32" customFormat="1" hidden="1" x14ac:dyDescent="0.3">
      <c r="A247" s="38">
        <v>46232.476446759261</v>
      </c>
      <c r="B247" s="32">
        <v>14996717238</v>
      </c>
      <c r="C247" s="32" t="s">
        <v>58</v>
      </c>
      <c r="D247" s="32">
        <v>4430265054</v>
      </c>
      <c r="E247" s="32">
        <v>2283</v>
      </c>
      <c r="F247" s="32">
        <v>2233</v>
      </c>
      <c r="G247" s="32" t="s">
        <v>44</v>
      </c>
      <c r="H247" s="32" t="s">
        <v>305</v>
      </c>
      <c r="I247" s="32" t="s">
        <v>40</v>
      </c>
      <c r="J247" s="32" t="s">
        <v>46</v>
      </c>
      <c r="K247" s="32" t="s">
        <v>42</v>
      </c>
      <c r="L247" s="32">
        <v>5</v>
      </c>
      <c r="M247" s="32" t="s">
        <v>60</v>
      </c>
      <c r="N247" s="32" t="s">
        <v>58</v>
      </c>
    </row>
    <row r="248" spans="1:14" s="32" customFormat="1" hidden="1" x14ac:dyDescent="0.3">
      <c r="A248" s="38">
        <v>46232.476030092592</v>
      </c>
      <c r="B248" s="32">
        <v>4430315826</v>
      </c>
      <c r="C248" s="32" t="s">
        <v>43</v>
      </c>
      <c r="D248" s="32">
        <v>4430265054</v>
      </c>
      <c r="E248" s="32">
        <v>295</v>
      </c>
      <c r="F248" s="32">
        <v>267</v>
      </c>
      <c r="G248" s="32" t="s">
        <v>44</v>
      </c>
      <c r="H248" s="32" t="s">
        <v>306</v>
      </c>
      <c r="I248" s="32" t="s">
        <v>40</v>
      </c>
      <c r="J248" s="32" t="s">
        <v>46</v>
      </c>
      <c r="K248" s="32" t="s">
        <v>42</v>
      </c>
      <c r="M248" s="32" t="s">
        <v>47</v>
      </c>
      <c r="N248" s="32" t="s">
        <v>43</v>
      </c>
    </row>
    <row r="249" spans="1:14" s="32" customFormat="1" hidden="1" x14ac:dyDescent="0.3">
      <c r="A249" s="38">
        <v>46232.464513888888</v>
      </c>
      <c r="B249" s="32">
        <v>44984241715</v>
      </c>
      <c r="C249" s="32" t="s">
        <v>49</v>
      </c>
      <c r="D249" s="32">
        <v>4430265054</v>
      </c>
      <c r="E249" s="32">
        <v>2060</v>
      </c>
      <c r="F249" s="32">
        <v>1929</v>
      </c>
      <c r="G249" s="32" t="s">
        <v>44</v>
      </c>
      <c r="H249" s="32" t="s">
        <v>307</v>
      </c>
      <c r="I249" s="32" t="s">
        <v>40</v>
      </c>
      <c r="J249" s="32" t="s">
        <v>46</v>
      </c>
      <c r="K249" s="32" t="s">
        <v>42</v>
      </c>
      <c r="M249" s="32" t="s">
        <v>51</v>
      </c>
      <c r="N249" s="32" t="s">
        <v>49</v>
      </c>
    </row>
    <row r="250" spans="1:14" s="32" customFormat="1" hidden="1" x14ac:dyDescent="0.3">
      <c r="A250" s="38">
        <v>46232.462696759256</v>
      </c>
      <c r="B250" s="32">
        <v>4430289386</v>
      </c>
      <c r="C250" s="32" t="s">
        <v>43</v>
      </c>
      <c r="D250" s="32">
        <v>4430265054</v>
      </c>
      <c r="E250" s="32">
        <v>283</v>
      </c>
      <c r="F250" s="32">
        <v>262</v>
      </c>
      <c r="G250" s="32" t="s">
        <v>44</v>
      </c>
      <c r="H250" s="32" t="s">
        <v>308</v>
      </c>
      <c r="I250" s="32" t="s">
        <v>40</v>
      </c>
      <c r="J250" s="32" t="s">
        <v>46</v>
      </c>
      <c r="K250" s="32" t="s">
        <v>42</v>
      </c>
      <c r="M250" s="32" t="s">
        <v>47</v>
      </c>
      <c r="N250" s="32" t="s">
        <v>43</v>
      </c>
    </row>
    <row r="251" spans="1:14" s="32" customFormat="1" hidden="1" x14ac:dyDescent="0.3">
      <c r="A251" s="38">
        <v>46232.451365740744</v>
      </c>
      <c r="B251" s="32">
        <v>45999061818</v>
      </c>
      <c r="C251" s="32" t="s">
        <v>58</v>
      </c>
      <c r="D251" s="32">
        <v>4431268225</v>
      </c>
      <c r="E251" s="32">
        <v>995</v>
      </c>
      <c r="F251" s="32">
        <v>971</v>
      </c>
      <c r="G251" s="32" t="s">
        <v>44</v>
      </c>
      <c r="H251" s="32" t="s">
        <v>309</v>
      </c>
      <c r="I251" s="32" t="s">
        <v>40</v>
      </c>
      <c r="J251" s="32" t="s">
        <v>46</v>
      </c>
      <c r="K251" s="32" t="s">
        <v>42</v>
      </c>
      <c r="M251" s="32" t="s">
        <v>60</v>
      </c>
      <c r="N251" s="32" t="s">
        <v>58</v>
      </c>
    </row>
    <row r="252" spans="1:14" s="32" customFormat="1" hidden="1" x14ac:dyDescent="0.3">
      <c r="A252" s="38">
        <v>46232.450057870374</v>
      </c>
      <c r="B252" s="32">
        <v>4430141092</v>
      </c>
      <c r="C252" s="32" t="s">
        <v>43</v>
      </c>
      <c r="D252" s="32">
        <v>4430265054</v>
      </c>
      <c r="E252" s="32">
        <v>266</v>
      </c>
      <c r="F252" s="32">
        <v>237</v>
      </c>
      <c r="G252" s="32" t="s">
        <v>44</v>
      </c>
      <c r="H252" s="32" t="s">
        <v>310</v>
      </c>
      <c r="I252" s="32" t="s">
        <v>40</v>
      </c>
      <c r="J252" s="32" t="s">
        <v>46</v>
      </c>
      <c r="K252" s="32" t="s">
        <v>42</v>
      </c>
      <c r="M252" s="32" t="s">
        <v>47</v>
      </c>
      <c r="N252" s="32" t="s">
        <v>43</v>
      </c>
    </row>
    <row r="253" spans="1:14" s="32" customFormat="1" hidden="1" x14ac:dyDescent="0.3">
      <c r="A253" s="38">
        <v>46232.434189814812</v>
      </c>
      <c r="B253" s="32">
        <v>44998761561</v>
      </c>
      <c r="C253" s="32" t="s">
        <v>43</v>
      </c>
      <c r="D253" s="32">
        <v>4431268225</v>
      </c>
      <c r="E253" s="32">
        <v>737</v>
      </c>
      <c r="F253" s="32">
        <v>702</v>
      </c>
      <c r="G253" s="32" t="s">
        <v>44</v>
      </c>
      <c r="H253" s="32" t="s">
        <v>311</v>
      </c>
      <c r="I253" s="32" t="s">
        <v>40</v>
      </c>
      <c r="J253" s="32" t="s">
        <v>46</v>
      </c>
      <c r="K253" s="32" t="s">
        <v>42</v>
      </c>
      <c r="M253" s="32" t="s">
        <v>47</v>
      </c>
      <c r="N253" s="32" t="s">
        <v>43</v>
      </c>
    </row>
    <row r="254" spans="1:14" s="32" customFormat="1" x14ac:dyDescent="0.3">
      <c r="A254" s="38">
        <v>46232.432615740741</v>
      </c>
      <c r="B254" s="32">
        <v>93991495484</v>
      </c>
      <c r="C254" s="32" t="s">
        <v>49</v>
      </c>
      <c r="D254" s="32">
        <v>4430265054</v>
      </c>
      <c r="E254" s="32">
        <v>2674</v>
      </c>
      <c r="F254" s="32">
        <v>2648</v>
      </c>
      <c r="G254" s="32" t="s">
        <v>44</v>
      </c>
      <c r="H254" s="32" t="s">
        <v>312</v>
      </c>
      <c r="I254" s="32" t="s">
        <v>40</v>
      </c>
      <c r="J254" s="32" t="s">
        <v>46</v>
      </c>
      <c r="K254" s="32" t="s">
        <v>42</v>
      </c>
      <c r="L254" s="32">
        <v>5</v>
      </c>
      <c r="M254" s="32" t="s">
        <v>51</v>
      </c>
      <c r="N254" s="32" t="s">
        <v>49</v>
      </c>
    </row>
    <row r="255" spans="1:14" s="32" customFormat="1" x14ac:dyDescent="0.3">
      <c r="A255" s="38">
        <v>46232.427604166667</v>
      </c>
      <c r="B255" s="32">
        <v>44991113954</v>
      </c>
      <c r="C255" s="32" t="s">
        <v>49</v>
      </c>
      <c r="D255" s="32">
        <v>4430265054</v>
      </c>
      <c r="E255" s="32">
        <v>287</v>
      </c>
      <c r="F255" s="32">
        <v>187</v>
      </c>
      <c r="G255" s="32" t="s">
        <v>44</v>
      </c>
      <c r="H255" s="32" t="s">
        <v>313</v>
      </c>
      <c r="I255" s="32" t="s">
        <v>40</v>
      </c>
      <c r="J255" s="32" t="s">
        <v>46</v>
      </c>
      <c r="K255" s="32" t="s">
        <v>42</v>
      </c>
      <c r="L255" s="32">
        <v>5</v>
      </c>
      <c r="M255" s="32" t="s">
        <v>51</v>
      </c>
      <c r="N255" s="32" t="s">
        <v>49</v>
      </c>
    </row>
    <row r="256" spans="1:14" s="32" customFormat="1" hidden="1" x14ac:dyDescent="0.3">
      <c r="A256" s="38">
        <v>46232.416805555556</v>
      </c>
      <c r="B256" s="32">
        <v>4439001842</v>
      </c>
      <c r="C256" s="32" t="s">
        <v>43</v>
      </c>
      <c r="D256" s="32">
        <v>4430265054</v>
      </c>
      <c r="E256" s="32">
        <v>93</v>
      </c>
      <c r="F256" s="32">
        <v>70</v>
      </c>
      <c r="G256" s="32" t="s">
        <v>44</v>
      </c>
      <c r="H256" s="32" t="s">
        <v>314</v>
      </c>
      <c r="I256" s="32" t="s">
        <v>40</v>
      </c>
      <c r="J256" s="32" t="s">
        <v>46</v>
      </c>
      <c r="K256" s="32" t="s">
        <v>42</v>
      </c>
      <c r="M256" s="32" t="s">
        <v>47</v>
      </c>
      <c r="N256" s="32" t="s">
        <v>43</v>
      </c>
    </row>
    <row r="257" spans="1:14" s="32" customFormat="1" hidden="1" x14ac:dyDescent="0.3">
      <c r="A257" s="38">
        <v>46232.413356481484</v>
      </c>
      <c r="B257" s="32">
        <v>44998761561</v>
      </c>
      <c r="C257" s="32" t="s">
        <v>43</v>
      </c>
      <c r="D257" s="32">
        <v>4430265054</v>
      </c>
      <c r="E257" s="32">
        <v>136</v>
      </c>
      <c r="F257" s="32">
        <v>84</v>
      </c>
      <c r="G257" s="32" t="s">
        <v>44</v>
      </c>
      <c r="H257" s="32" t="s">
        <v>315</v>
      </c>
      <c r="I257" s="32" t="s">
        <v>40</v>
      </c>
      <c r="J257" s="32" t="s">
        <v>46</v>
      </c>
      <c r="K257" s="32" t="s">
        <v>42</v>
      </c>
      <c r="M257" s="32" t="s">
        <v>47</v>
      </c>
      <c r="N257" s="32" t="s">
        <v>43</v>
      </c>
    </row>
    <row r="258" spans="1:14" s="32" customFormat="1" hidden="1" x14ac:dyDescent="0.3">
      <c r="A258" s="38">
        <v>46232.407106481478</v>
      </c>
      <c r="B258" s="32">
        <v>4430282545</v>
      </c>
      <c r="C258" s="32" t="s">
        <v>49</v>
      </c>
      <c r="D258" s="32">
        <v>4430265054</v>
      </c>
      <c r="E258" s="32">
        <v>716</v>
      </c>
      <c r="F258" s="32">
        <v>664</v>
      </c>
      <c r="G258" s="32" t="s">
        <v>44</v>
      </c>
      <c r="H258" s="32" t="s">
        <v>316</v>
      </c>
      <c r="I258" s="32" t="s">
        <v>40</v>
      </c>
      <c r="J258" s="32" t="s">
        <v>46</v>
      </c>
      <c r="K258" s="32" t="s">
        <v>42</v>
      </c>
      <c r="M258" s="32" t="s">
        <v>51</v>
      </c>
      <c r="N258" s="32" t="s">
        <v>49</v>
      </c>
    </row>
    <row r="259" spans="1:14" s="32" customFormat="1" hidden="1" x14ac:dyDescent="0.3">
      <c r="A259" s="38">
        <v>46232.403993055559</v>
      </c>
      <c r="B259" s="32">
        <v>4330333542</v>
      </c>
      <c r="C259" s="32" t="s">
        <v>43</v>
      </c>
      <c r="D259" s="32">
        <v>4430265054</v>
      </c>
      <c r="E259" s="32">
        <v>740</v>
      </c>
      <c r="F259" s="32">
        <v>659</v>
      </c>
      <c r="G259" s="32" t="s">
        <v>44</v>
      </c>
      <c r="H259" s="32" t="s">
        <v>317</v>
      </c>
      <c r="I259" s="32" t="s">
        <v>40</v>
      </c>
      <c r="J259" s="32" t="s">
        <v>46</v>
      </c>
      <c r="K259" s="32" t="s">
        <v>42</v>
      </c>
      <c r="M259" s="32" t="s">
        <v>47</v>
      </c>
      <c r="N259" s="32" t="s">
        <v>43</v>
      </c>
    </row>
    <row r="260" spans="1:14" s="32" customFormat="1" hidden="1" x14ac:dyDescent="0.3">
      <c r="A260" s="38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38</v>
      </c>
      <c r="H260" s="32" t="s">
        <v>318</v>
      </c>
      <c r="I260" s="32" t="s">
        <v>40</v>
      </c>
      <c r="J260" s="32" t="s">
        <v>41</v>
      </c>
    </row>
    <row r="261" spans="1:14" s="32" customFormat="1" hidden="1" x14ac:dyDescent="0.3">
      <c r="A261" s="38">
        <v>46232.397858796299</v>
      </c>
      <c r="B261" s="32">
        <v>4430141092</v>
      </c>
      <c r="C261" s="32" t="s">
        <v>43</v>
      </c>
      <c r="D261" s="32">
        <v>4430265054</v>
      </c>
      <c r="E261" s="32">
        <v>562</v>
      </c>
      <c r="F261" s="32">
        <v>539</v>
      </c>
      <c r="G261" s="32" t="s">
        <v>44</v>
      </c>
      <c r="H261" s="32" t="s">
        <v>319</v>
      </c>
      <c r="I261" s="32" t="s">
        <v>40</v>
      </c>
      <c r="J261" s="32" t="s">
        <v>46</v>
      </c>
      <c r="K261" s="32" t="s">
        <v>42</v>
      </c>
      <c r="L261" s="32">
        <v>5</v>
      </c>
      <c r="M261" s="32" t="s">
        <v>47</v>
      </c>
      <c r="N261" s="32" t="s">
        <v>43</v>
      </c>
    </row>
    <row r="262" spans="1:14" s="32" customFormat="1" x14ac:dyDescent="0.3">
      <c r="A262" s="38">
        <v>46232.3903587963</v>
      </c>
      <c r="B262" s="32">
        <v>4430141092</v>
      </c>
      <c r="C262" s="32" t="s">
        <v>49</v>
      </c>
      <c r="D262" s="32">
        <v>4430265054</v>
      </c>
      <c r="E262" s="32">
        <v>448</v>
      </c>
      <c r="F262" s="32">
        <v>421</v>
      </c>
      <c r="G262" s="32" t="s">
        <v>44</v>
      </c>
      <c r="H262" s="32" t="s">
        <v>320</v>
      </c>
      <c r="I262" s="32" t="s">
        <v>40</v>
      </c>
      <c r="J262" s="32" t="s">
        <v>46</v>
      </c>
      <c r="K262" s="32" t="s">
        <v>42</v>
      </c>
      <c r="L262" s="32">
        <v>5</v>
      </c>
      <c r="M262" s="32" t="s">
        <v>51</v>
      </c>
      <c r="N262" s="32" t="s">
        <v>49</v>
      </c>
    </row>
    <row r="263" spans="1:14" s="32" customFormat="1" x14ac:dyDescent="0.3">
      <c r="A263" s="38">
        <v>46232.374895833331</v>
      </c>
      <c r="B263" s="32">
        <v>44998802935</v>
      </c>
      <c r="C263" s="32" t="s">
        <v>49</v>
      </c>
      <c r="D263" s="32">
        <v>4431268225</v>
      </c>
      <c r="E263" s="32">
        <v>1028</v>
      </c>
      <c r="F263" s="32">
        <v>953</v>
      </c>
      <c r="G263" s="32" t="s">
        <v>44</v>
      </c>
      <c r="H263" s="32" t="s">
        <v>321</v>
      </c>
      <c r="I263" s="32" t="s">
        <v>40</v>
      </c>
      <c r="J263" s="32" t="s">
        <v>46</v>
      </c>
      <c r="K263" s="32" t="s">
        <v>42</v>
      </c>
      <c r="L263" s="32">
        <v>5</v>
      </c>
      <c r="M263" s="32" t="s">
        <v>51</v>
      </c>
      <c r="N263" s="32" t="s">
        <v>49</v>
      </c>
    </row>
    <row r="264" spans="1:14" s="32" customFormat="1" hidden="1" x14ac:dyDescent="0.3">
      <c r="A264" s="38">
        <v>46232.3671412037</v>
      </c>
      <c r="B264" s="32">
        <v>4430315534</v>
      </c>
      <c r="C264" s="32" t="s">
        <v>43</v>
      </c>
      <c r="D264" s="32">
        <v>4430265054</v>
      </c>
      <c r="E264" s="32">
        <v>226</v>
      </c>
      <c r="F264" s="32">
        <v>189</v>
      </c>
      <c r="G264" s="32" t="s">
        <v>44</v>
      </c>
      <c r="H264" s="32" t="s">
        <v>322</v>
      </c>
      <c r="I264" s="32" t="s">
        <v>40</v>
      </c>
      <c r="J264" s="32" t="s">
        <v>46</v>
      </c>
      <c r="K264" s="32" t="s">
        <v>42</v>
      </c>
      <c r="M264" s="32" t="s">
        <v>47</v>
      </c>
      <c r="N264" s="32" t="s">
        <v>43</v>
      </c>
    </row>
    <row r="265" spans="1:14" s="32" customFormat="1" hidden="1" x14ac:dyDescent="0.3">
      <c r="A265" s="38">
        <v>46232.354502314818</v>
      </c>
      <c r="B265" s="32">
        <v>4430141092</v>
      </c>
      <c r="C265" s="32" t="s">
        <v>49</v>
      </c>
      <c r="D265" s="32">
        <v>4430265054</v>
      </c>
      <c r="E265" s="32">
        <v>1287</v>
      </c>
      <c r="F265" s="32">
        <v>1231</v>
      </c>
      <c r="G265" s="32" t="s">
        <v>44</v>
      </c>
      <c r="H265" s="32" t="s">
        <v>323</v>
      </c>
      <c r="I265" s="32" t="s">
        <v>40</v>
      </c>
      <c r="J265" s="32" t="s">
        <v>46</v>
      </c>
      <c r="K265" s="32" t="s">
        <v>42</v>
      </c>
      <c r="M265" s="32" t="s">
        <v>51</v>
      </c>
      <c r="N265" s="32" t="s">
        <v>49</v>
      </c>
    </row>
    <row r="266" spans="1:14" s="32" customFormat="1" hidden="1" x14ac:dyDescent="0.3">
      <c r="A266" s="38">
        <v>46232.342789351853</v>
      </c>
      <c r="B266" s="32" t="s">
        <v>85</v>
      </c>
      <c r="C266" s="32">
        <v>4432268889</v>
      </c>
      <c r="E266" s="32">
        <v>286</v>
      </c>
      <c r="F266" s="32">
        <v>272</v>
      </c>
      <c r="G266" s="32" t="s">
        <v>44</v>
      </c>
      <c r="H266" s="32" t="s">
        <v>324</v>
      </c>
      <c r="I266" s="32" t="s">
        <v>54</v>
      </c>
      <c r="J266" s="32" t="s">
        <v>41</v>
      </c>
      <c r="M266" s="32" t="s">
        <v>87</v>
      </c>
      <c r="N266" s="32" t="s">
        <v>85</v>
      </c>
    </row>
    <row r="267" spans="1:14" s="32" customFormat="1" hidden="1" x14ac:dyDescent="0.3">
      <c r="A267" s="38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38</v>
      </c>
      <c r="H267" s="32" t="s">
        <v>325</v>
      </c>
      <c r="I267" s="32" t="s">
        <v>40</v>
      </c>
      <c r="J267" s="32" t="s">
        <v>41</v>
      </c>
    </row>
    <row r="268" spans="1:14" s="32" customFormat="1" hidden="1" x14ac:dyDescent="0.3">
      <c r="A268" s="38">
        <v>46231.743518518517</v>
      </c>
      <c r="B268" s="32">
        <v>44991484476</v>
      </c>
      <c r="C268" s="32" t="s">
        <v>43</v>
      </c>
      <c r="D268" s="32">
        <v>4430265054</v>
      </c>
      <c r="E268" s="32">
        <v>142</v>
      </c>
      <c r="F268" s="32">
        <v>93</v>
      </c>
      <c r="G268" s="32" t="s">
        <v>44</v>
      </c>
      <c r="H268" s="32" t="s">
        <v>326</v>
      </c>
      <c r="I268" s="32" t="s">
        <v>40</v>
      </c>
      <c r="J268" s="32" t="s">
        <v>46</v>
      </c>
      <c r="K268" s="32" t="s">
        <v>42</v>
      </c>
      <c r="M268" s="32" t="s">
        <v>47</v>
      </c>
      <c r="N268" s="32" t="s">
        <v>43</v>
      </c>
    </row>
    <row r="269" spans="1:14" s="32" customFormat="1" hidden="1" x14ac:dyDescent="0.3">
      <c r="A269" s="38">
        <v>46231.741041666668</v>
      </c>
      <c r="B269" s="32">
        <v>41997840159</v>
      </c>
      <c r="C269" s="32" t="s">
        <v>58</v>
      </c>
      <c r="D269" s="32">
        <v>4431268225</v>
      </c>
      <c r="E269" s="32">
        <v>500</v>
      </c>
      <c r="F269" s="32">
        <v>500</v>
      </c>
      <c r="G269" s="32" t="s">
        <v>44</v>
      </c>
      <c r="H269" s="32" t="s">
        <v>327</v>
      </c>
      <c r="I269" s="32" t="s">
        <v>40</v>
      </c>
      <c r="J269" s="32" t="s">
        <v>46</v>
      </c>
      <c r="K269" s="32" t="s">
        <v>42</v>
      </c>
      <c r="M269" s="32" t="s">
        <v>60</v>
      </c>
      <c r="N269" s="32" t="s">
        <v>58</v>
      </c>
    </row>
    <row r="270" spans="1:14" s="32" customFormat="1" hidden="1" x14ac:dyDescent="0.3">
      <c r="A270" s="38">
        <v>46231.73773148148</v>
      </c>
      <c r="B270" s="32">
        <v>44998620323</v>
      </c>
      <c r="C270" s="32" t="s">
        <v>43</v>
      </c>
      <c r="D270" s="32">
        <v>4430265054</v>
      </c>
      <c r="E270" s="32">
        <v>132</v>
      </c>
      <c r="F270" s="32">
        <v>97</v>
      </c>
      <c r="G270" s="32" t="s">
        <v>44</v>
      </c>
      <c r="H270" s="32" t="s">
        <v>328</v>
      </c>
      <c r="I270" s="32" t="s">
        <v>40</v>
      </c>
      <c r="J270" s="32" t="s">
        <v>46</v>
      </c>
      <c r="K270" s="32" t="s">
        <v>42</v>
      </c>
      <c r="M270" s="32" t="s">
        <v>47</v>
      </c>
      <c r="N270" s="32" t="s">
        <v>43</v>
      </c>
    </row>
    <row r="271" spans="1:14" s="32" customFormat="1" hidden="1" x14ac:dyDescent="0.3">
      <c r="A271" s="38">
        <v>46231.73265046296</v>
      </c>
      <c r="B271" s="32">
        <v>44998620323</v>
      </c>
      <c r="C271" s="32" t="s">
        <v>58</v>
      </c>
      <c r="D271" s="32">
        <v>4430265054</v>
      </c>
      <c r="E271" s="32">
        <v>154</v>
      </c>
      <c r="F271" s="32">
        <v>102</v>
      </c>
      <c r="G271" s="32" t="s">
        <v>44</v>
      </c>
      <c r="H271" s="32" t="s">
        <v>329</v>
      </c>
      <c r="I271" s="32" t="s">
        <v>40</v>
      </c>
      <c r="J271" s="32" t="s">
        <v>46</v>
      </c>
      <c r="K271" s="32" t="s">
        <v>42</v>
      </c>
      <c r="M271" s="32" t="s">
        <v>60</v>
      </c>
      <c r="N271" s="32" t="s">
        <v>58</v>
      </c>
    </row>
    <row r="272" spans="1:14" s="32" customFormat="1" x14ac:dyDescent="0.3">
      <c r="A272" s="38">
        <v>46231.730856481481</v>
      </c>
      <c r="B272" s="32">
        <v>44988067937</v>
      </c>
      <c r="C272" s="32" t="s">
        <v>49</v>
      </c>
      <c r="D272" s="32">
        <v>4430265054</v>
      </c>
      <c r="E272" s="32">
        <v>479</v>
      </c>
      <c r="F272" s="32">
        <v>344</v>
      </c>
      <c r="G272" s="32" t="s">
        <v>44</v>
      </c>
      <c r="H272" s="32" t="s">
        <v>330</v>
      </c>
      <c r="I272" s="32" t="s">
        <v>40</v>
      </c>
      <c r="J272" s="32" t="s">
        <v>46</v>
      </c>
      <c r="K272" s="32" t="s">
        <v>42</v>
      </c>
      <c r="L272" s="32">
        <v>5</v>
      </c>
      <c r="M272" s="32" t="s">
        <v>51</v>
      </c>
      <c r="N272" s="32" t="s">
        <v>49</v>
      </c>
    </row>
    <row r="273" spans="1:14" s="32" customFormat="1" hidden="1" x14ac:dyDescent="0.3">
      <c r="A273" s="38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38</v>
      </c>
      <c r="H273" s="32" t="s">
        <v>331</v>
      </c>
      <c r="I273" s="32" t="s">
        <v>40</v>
      </c>
      <c r="J273" s="32" t="s">
        <v>41</v>
      </c>
      <c r="K273" s="32" t="s">
        <v>42</v>
      </c>
    </row>
    <row r="274" spans="1:14" s="32" customFormat="1" hidden="1" x14ac:dyDescent="0.3">
      <c r="A274" s="38">
        <v>46231.723819444444</v>
      </c>
      <c r="B274" s="32">
        <v>77999014770</v>
      </c>
      <c r="C274" s="32" t="s">
        <v>43</v>
      </c>
      <c r="D274" s="32">
        <v>4430265054</v>
      </c>
      <c r="E274" s="32">
        <v>990</v>
      </c>
      <c r="F274" s="32">
        <v>971</v>
      </c>
      <c r="G274" s="32" t="s">
        <v>44</v>
      </c>
      <c r="H274" s="32" t="s">
        <v>332</v>
      </c>
      <c r="I274" s="32" t="s">
        <v>40</v>
      </c>
      <c r="J274" s="32" t="s">
        <v>46</v>
      </c>
      <c r="K274" s="32" t="s">
        <v>42</v>
      </c>
      <c r="M274" s="32" t="s">
        <v>47</v>
      </c>
      <c r="N274" s="32" t="s">
        <v>43</v>
      </c>
    </row>
    <row r="275" spans="1:14" s="32" customFormat="1" x14ac:dyDescent="0.3">
      <c r="A275" s="38">
        <v>46231.713576388887</v>
      </c>
      <c r="B275" s="32">
        <v>4435341422</v>
      </c>
      <c r="C275" s="32" t="s">
        <v>49</v>
      </c>
      <c r="D275" s="32">
        <v>4430265054</v>
      </c>
      <c r="E275" s="32">
        <v>160</v>
      </c>
      <c r="F275" s="32">
        <v>125</v>
      </c>
      <c r="G275" s="32" t="s">
        <v>44</v>
      </c>
      <c r="H275" s="32" t="s">
        <v>333</v>
      </c>
      <c r="I275" s="32" t="s">
        <v>40</v>
      </c>
      <c r="J275" s="32" t="s">
        <v>46</v>
      </c>
      <c r="K275" s="32" t="s">
        <v>42</v>
      </c>
      <c r="L275" s="32">
        <v>5</v>
      </c>
      <c r="M275" s="32" t="s">
        <v>51</v>
      </c>
      <c r="N275" s="32" t="s">
        <v>49</v>
      </c>
    </row>
    <row r="276" spans="1:14" s="32" customFormat="1" hidden="1" x14ac:dyDescent="0.3">
      <c r="A276" s="38">
        <v>46231.712175925924</v>
      </c>
      <c r="B276" s="32">
        <v>44998761561</v>
      </c>
      <c r="C276" s="32" t="s">
        <v>43</v>
      </c>
      <c r="D276" s="32">
        <v>4430265054</v>
      </c>
      <c r="E276" s="32">
        <v>154</v>
      </c>
      <c r="F276" s="32">
        <v>119</v>
      </c>
      <c r="G276" s="32" t="s">
        <v>44</v>
      </c>
      <c r="H276" s="32" t="s">
        <v>334</v>
      </c>
      <c r="I276" s="32" t="s">
        <v>40</v>
      </c>
      <c r="J276" s="32" t="s">
        <v>46</v>
      </c>
      <c r="K276" s="32" t="s">
        <v>42</v>
      </c>
      <c r="L276" s="32">
        <v>5</v>
      </c>
      <c r="M276" s="32" t="s">
        <v>47</v>
      </c>
      <c r="N276" s="32" t="s">
        <v>43</v>
      </c>
    </row>
    <row r="277" spans="1:14" s="32" customFormat="1" hidden="1" x14ac:dyDescent="0.3">
      <c r="A277" s="38">
        <v>46231.708726851852</v>
      </c>
      <c r="B277" s="32" t="s">
        <v>85</v>
      </c>
      <c r="C277" s="32">
        <v>41997840159</v>
      </c>
      <c r="E277" s="32">
        <v>485</v>
      </c>
      <c r="F277" s="32">
        <v>468</v>
      </c>
      <c r="G277" s="32" t="s">
        <v>44</v>
      </c>
      <c r="H277" s="32" t="s">
        <v>335</v>
      </c>
      <c r="I277" s="32" t="s">
        <v>54</v>
      </c>
      <c r="J277" s="32" t="s">
        <v>41</v>
      </c>
      <c r="M277" s="32" t="s">
        <v>87</v>
      </c>
      <c r="N277" s="32" t="s">
        <v>85</v>
      </c>
    </row>
    <row r="278" spans="1:14" s="32" customFormat="1" hidden="1" x14ac:dyDescent="0.3">
      <c r="A278" s="38">
        <v>46231.705601851849</v>
      </c>
      <c r="B278" s="32">
        <v>41999102968</v>
      </c>
      <c r="C278" s="32" t="s">
        <v>43</v>
      </c>
      <c r="D278" s="32">
        <v>4430265054</v>
      </c>
      <c r="E278" s="32">
        <v>492</v>
      </c>
      <c r="F278" s="32">
        <v>475</v>
      </c>
      <c r="G278" s="32" t="s">
        <v>44</v>
      </c>
      <c r="H278" s="32" t="s">
        <v>336</v>
      </c>
      <c r="I278" s="32" t="s">
        <v>40</v>
      </c>
      <c r="J278" s="32" t="s">
        <v>46</v>
      </c>
      <c r="K278" s="32" t="s">
        <v>42</v>
      </c>
      <c r="M278" s="32" t="s">
        <v>47</v>
      </c>
      <c r="N278" s="32" t="s">
        <v>43</v>
      </c>
    </row>
    <row r="279" spans="1:14" s="32" customFormat="1" hidden="1" x14ac:dyDescent="0.3">
      <c r="A279" s="38">
        <v>46231.702719907407</v>
      </c>
      <c r="B279" s="32">
        <v>91981481202</v>
      </c>
      <c r="C279" s="32" t="s">
        <v>49</v>
      </c>
      <c r="D279" s="32">
        <v>4430265054</v>
      </c>
      <c r="E279" s="32">
        <v>689</v>
      </c>
      <c r="F279" s="32">
        <v>680</v>
      </c>
      <c r="G279" s="32" t="s">
        <v>44</v>
      </c>
      <c r="H279" s="32" t="s">
        <v>337</v>
      </c>
      <c r="I279" s="32" t="s">
        <v>40</v>
      </c>
      <c r="J279" s="32" t="s">
        <v>46</v>
      </c>
      <c r="K279" s="32" t="s">
        <v>42</v>
      </c>
      <c r="M279" s="32" t="s">
        <v>51</v>
      </c>
      <c r="N279" s="32" t="s">
        <v>49</v>
      </c>
    </row>
    <row r="280" spans="1:14" s="32" customFormat="1" hidden="1" x14ac:dyDescent="0.3">
      <c r="A280" s="38">
        <v>46231.699618055558</v>
      </c>
      <c r="B280" s="32" t="s">
        <v>85</v>
      </c>
      <c r="E280" s="32">
        <v>667</v>
      </c>
      <c r="F280" s="32">
        <v>663</v>
      </c>
      <c r="G280" s="32" t="s">
        <v>44</v>
      </c>
      <c r="H280" s="32" t="s">
        <v>338</v>
      </c>
      <c r="I280" s="32" t="s">
        <v>54</v>
      </c>
      <c r="J280" s="32" t="s">
        <v>41</v>
      </c>
      <c r="M280" s="32" t="s">
        <v>87</v>
      </c>
      <c r="N280" s="32" t="s">
        <v>85</v>
      </c>
    </row>
    <row r="281" spans="1:14" s="32" customFormat="1" hidden="1" x14ac:dyDescent="0.3">
      <c r="A281" s="38">
        <v>46231.691469907404</v>
      </c>
      <c r="B281" s="32">
        <v>4432322192</v>
      </c>
      <c r="C281" s="32" t="s">
        <v>58</v>
      </c>
      <c r="D281" s="32">
        <v>4430265054</v>
      </c>
      <c r="E281" s="32">
        <v>338</v>
      </c>
      <c r="F281" s="32">
        <v>321</v>
      </c>
      <c r="G281" s="32" t="s">
        <v>44</v>
      </c>
      <c r="H281" s="32" t="s">
        <v>339</v>
      </c>
      <c r="I281" s="32" t="s">
        <v>40</v>
      </c>
      <c r="J281" s="32" t="s">
        <v>46</v>
      </c>
      <c r="K281" s="32" t="s">
        <v>42</v>
      </c>
      <c r="M281" s="32" t="s">
        <v>60</v>
      </c>
      <c r="N281" s="32" t="s">
        <v>58</v>
      </c>
    </row>
    <row r="282" spans="1:14" s="32" customFormat="1" x14ac:dyDescent="0.3">
      <c r="A282" s="38">
        <v>46231.691076388888</v>
      </c>
      <c r="B282" s="32">
        <v>44984552948</v>
      </c>
      <c r="C282" s="32" t="s">
        <v>49</v>
      </c>
      <c r="D282" s="32">
        <v>4430265054</v>
      </c>
      <c r="E282" s="32">
        <v>459</v>
      </c>
      <c r="F282" s="32">
        <v>418</v>
      </c>
      <c r="G282" s="32" t="s">
        <v>44</v>
      </c>
      <c r="H282" s="32" t="s">
        <v>340</v>
      </c>
      <c r="I282" s="32" t="s">
        <v>40</v>
      </c>
      <c r="J282" s="32" t="s">
        <v>46</v>
      </c>
      <c r="K282" s="32" t="s">
        <v>42</v>
      </c>
      <c r="L282" s="32">
        <v>5</v>
      </c>
      <c r="M282" s="32" t="s">
        <v>51</v>
      </c>
      <c r="N282" s="32" t="s">
        <v>49</v>
      </c>
    </row>
    <row r="283" spans="1:14" s="32" customFormat="1" hidden="1" x14ac:dyDescent="0.3">
      <c r="A283" s="38">
        <v>46231.690381944441</v>
      </c>
      <c r="B283" s="32">
        <v>96981080303</v>
      </c>
      <c r="C283" s="32" t="s">
        <v>43</v>
      </c>
      <c r="D283" s="32">
        <v>4430265054</v>
      </c>
      <c r="E283" s="32">
        <v>264</v>
      </c>
      <c r="F283" s="32">
        <v>229</v>
      </c>
      <c r="G283" s="32" t="s">
        <v>44</v>
      </c>
      <c r="H283" s="32" t="s">
        <v>341</v>
      </c>
      <c r="I283" s="32" t="s">
        <v>40</v>
      </c>
      <c r="J283" s="32" t="s">
        <v>46</v>
      </c>
      <c r="K283" s="32" t="s">
        <v>42</v>
      </c>
      <c r="M283" s="32" t="s">
        <v>47</v>
      </c>
      <c r="N283" s="32" t="s">
        <v>43</v>
      </c>
    </row>
    <row r="284" spans="1:14" s="32" customFormat="1" hidden="1" x14ac:dyDescent="0.3">
      <c r="A284" s="38">
        <v>46231.681956018518</v>
      </c>
      <c r="B284" s="32">
        <v>4430152023</v>
      </c>
      <c r="C284" s="32" t="s">
        <v>43</v>
      </c>
      <c r="D284" s="32">
        <v>4430265054</v>
      </c>
      <c r="E284" s="32">
        <v>704</v>
      </c>
      <c r="F284" s="32">
        <v>407</v>
      </c>
      <c r="G284" s="32" t="s">
        <v>44</v>
      </c>
      <c r="H284" s="32" t="s">
        <v>342</v>
      </c>
      <c r="I284" s="32" t="s">
        <v>40</v>
      </c>
      <c r="J284" s="32" t="s">
        <v>46</v>
      </c>
      <c r="K284" s="32" t="s">
        <v>42</v>
      </c>
      <c r="L284" s="32">
        <v>5</v>
      </c>
      <c r="M284" s="32" t="s">
        <v>47</v>
      </c>
      <c r="N284" s="32" t="s">
        <v>43</v>
      </c>
    </row>
    <row r="285" spans="1:14" s="32" customFormat="1" hidden="1" x14ac:dyDescent="0.3">
      <c r="A285" s="38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38</v>
      </c>
      <c r="H285" s="32" t="s">
        <v>343</v>
      </c>
      <c r="I285" s="32" t="s">
        <v>40</v>
      </c>
      <c r="J285" s="32" t="s">
        <v>41</v>
      </c>
      <c r="K285" s="32" t="s">
        <v>42</v>
      </c>
    </row>
    <row r="286" spans="1:14" s="32" customFormat="1" hidden="1" x14ac:dyDescent="0.3">
      <c r="A286" s="38">
        <v>46231.680648148147</v>
      </c>
      <c r="B286" s="32">
        <v>4432461449</v>
      </c>
      <c r="C286" s="32" t="s">
        <v>58</v>
      </c>
      <c r="D286" s="32">
        <v>4430265054</v>
      </c>
      <c r="E286" s="32">
        <v>466</v>
      </c>
      <c r="F286" s="32">
        <v>447</v>
      </c>
      <c r="G286" s="32" t="s">
        <v>44</v>
      </c>
      <c r="H286" s="32" t="s">
        <v>344</v>
      </c>
      <c r="I286" s="32" t="s">
        <v>40</v>
      </c>
      <c r="J286" s="32" t="s">
        <v>46</v>
      </c>
      <c r="K286" s="32" t="s">
        <v>42</v>
      </c>
      <c r="M286" s="32" t="s">
        <v>60</v>
      </c>
      <c r="N286" s="32" t="s">
        <v>58</v>
      </c>
    </row>
    <row r="287" spans="1:14" s="32" customFormat="1" hidden="1" x14ac:dyDescent="0.3">
      <c r="A287" s="38">
        <v>46231.680520833332</v>
      </c>
      <c r="B287" s="32">
        <v>4432272377</v>
      </c>
      <c r="C287" s="32" t="s">
        <v>85</v>
      </c>
      <c r="D287" s="32">
        <v>4430265054</v>
      </c>
      <c r="E287" s="32">
        <v>1184</v>
      </c>
      <c r="F287" s="32">
        <v>1003</v>
      </c>
      <c r="G287" s="32" t="s">
        <v>44</v>
      </c>
      <c r="H287" s="32" t="s">
        <v>345</v>
      </c>
      <c r="I287" s="32" t="s">
        <v>40</v>
      </c>
      <c r="J287" s="32" t="s">
        <v>41</v>
      </c>
      <c r="K287" s="32" t="s">
        <v>42</v>
      </c>
      <c r="M287" s="32" t="s">
        <v>87</v>
      </c>
      <c r="N287" s="32" t="s">
        <v>85</v>
      </c>
    </row>
    <row r="288" spans="1:14" s="32" customFormat="1" hidden="1" x14ac:dyDescent="0.3">
      <c r="A288" s="38">
        <v>46231.679178240738</v>
      </c>
      <c r="B288" s="32">
        <v>4433016050</v>
      </c>
      <c r="C288" s="32" t="s">
        <v>43</v>
      </c>
      <c r="D288" s="32">
        <v>4430265054</v>
      </c>
      <c r="E288" s="32">
        <v>510</v>
      </c>
      <c r="F288" s="32">
        <v>458</v>
      </c>
      <c r="G288" s="32" t="s">
        <v>44</v>
      </c>
      <c r="H288" s="32" t="s">
        <v>346</v>
      </c>
      <c r="I288" s="32" t="s">
        <v>40</v>
      </c>
      <c r="J288" s="32" t="s">
        <v>46</v>
      </c>
      <c r="K288" s="32" t="s">
        <v>42</v>
      </c>
      <c r="M288" s="32" t="s">
        <v>47</v>
      </c>
      <c r="N288" s="32" t="s">
        <v>43</v>
      </c>
    </row>
    <row r="289" spans="1:14" s="32" customFormat="1" hidden="1" x14ac:dyDescent="0.3">
      <c r="A289" s="38">
        <v>46231.676145833335</v>
      </c>
      <c r="B289" s="32">
        <v>44997618065</v>
      </c>
      <c r="C289" s="32" t="s">
        <v>49</v>
      </c>
      <c r="D289" s="32">
        <v>4430265054</v>
      </c>
      <c r="E289" s="32">
        <v>1237</v>
      </c>
      <c r="F289" s="32">
        <v>1206</v>
      </c>
      <c r="G289" s="32" t="s">
        <v>44</v>
      </c>
      <c r="H289" s="32" t="s">
        <v>347</v>
      </c>
      <c r="I289" s="32" t="s">
        <v>40</v>
      </c>
      <c r="J289" s="32" t="s">
        <v>46</v>
      </c>
      <c r="K289" s="32" t="s">
        <v>42</v>
      </c>
      <c r="M289" s="32" t="s">
        <v>51</v>
      </c>
      <c r="N289" s="32" t="s">
        <v>49</v>
      </c>
    </row>
    <row r="290" spans="1:14" s="32" customFormat="1" hidden="1" x14ac:dyDescent="0.3">
      <c r="A290" s="38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38</v>
      </c>
      <c r="H290" s="32" t="s">
        <v>348</v>
      </c>
      <c r="I290" s="32" t="s">
        <v>40</v>
      </c>
      <c r="J290" s="32" t="s">
        <v>41</v>
      </c>
      <c r="K290" s="32" t="s">
        <v>42</v>
      </c>
    </row>
    <row r="291" spans="1:14" s="32" customFormat="1" hidden="1" x14ac:dyDescent="0.3">
      <c r="A291" s="38">
        <v>46231.651180555556</v>
      </c>
      <c r="B291" s="32">
        <v>2222100098</v>
      </c>
      <c r="C291" s="32" t="s">
        <v>85</v>
      </c>
      <c r="D291" s="32">
        <v>4430265054</v>
      </c>
      <c r="E291" s="32">
        <v>855</v>
      </c>
      <c r="F291" s="32">
        <v>542</v>
      </c>
      <c r="G291" s="32" t="s">
        <v>44</v>
      </c>
      <c r="H291" s="32" t="s">
        <v>349</v>
      </c>
      <c r="I291" s="32" t="s">
        <v>40</v>
      </c>
      <c r="J291" s="32" t="s">
        <v>41</v>
      </c>
      <c r="K291" s="32" t="s">
        <v>42</v>
      </c>
      <c r="M291" s="32" t="s">
        <v>87</v>
      </c>
      <c r="N291" s="32" t="s">
        <v>85</v>
      </c>
    </row>
    <row r="292" spans="1:14" s="32" customFormat="1" hidden="1" x14ac:dyDescent="0.3">
      <c r="A292" s="38">
        <v>46231.650567129633</v>
      </c>
      <c r="B292" s="32">
        <v>44997307457</v>
      </c>
      <c r="C292" s="32" t="s">
        <v>49</v>
      </c>
      <c r="D292" s="32">
        <v>4430265054</v>
      </c>
      <c r="E292" s="32">
        <v>558</v>
      </c>
      <c r="F292" s="32">
        <v>420</v>
      </c>
      <c r="G292" s="32" t="s">
        <v>44</v>
      </c>
      <c r="H292" s="32" t="s">
        <v>350</v>
      </c>
      <c r="I292" s="32" t="s">
        <v>40</v>
      </c>
      <c r="J292" s="32" t="s">
        <v>46</v>
      </c>
      <c r="K292" s="32" t="s">
        <v>42</v>
      </c>
      <c r="M292" s="32" t="s">
        <v>51</v>
      </c>
      <c r="N292" s="32" t="s">
        <v>49</v>
      </c>
    </row>
    <row r="293" spans="1:14" s="32" customFormat="1" hidden="1" x14ac:dyDescent="0.3">
      <c r="A293" s="38">
        <v>46231.649363425924</v>
      </c>
      <c r="B293" s="32">
        <v>44999748684</v>
      </c>
      <c r="C293" s="32" t="s">
        <v>58</v>
      </c>
      <c r="D293" s="32">
        <v>4430265054</v>
      </c>
      <c r="E293" s="32">
        <v>471</v>
      </c>
      <c r="F293" s="32">
        <v>332</v>
      </c>
      <c r="G293" s="32" t="s">
        <v>44</v>
      </c>
      <c r="H293" s="32" t="s">
        <v>351</v>
      </c>
      <c r="I293" s="32" t="s">
        <v>40</v>
      </c>
      <c r="J293" s="32" t="s">
        <v>46</v>
      </c>
      <c r="K293" s="32" t="s">
        <v>42</v>
      </c>
      <c r="M293" s="32" t="s">
        <v>60</v>
      </c>
      <c r="N293" s="32" t="s">
        <v>58</v>
      </c>
    </row>
    <row r="294" spans="1:14" s="32" customFormat="1" hidden="1" x14ac:dyDescent="0.3">
      <c r="A294" s="38">
        <v>46231.648356481484</v>
      </c>
      <c r="B294" s="32">
        <v>41997840159</v>
      </c>
      <c r="C294" s="32" t="s">
        <v>85</v>
      </c>
      <c r="D294" s="32">
        <v>4431268225</v>
      </c>
      <c r="E294" s="32">
        <v>498</v>
      </c>
      <c r="F294" s="32">
        <v>393</v>
      </c>
      <c r="G294" s="32" t="s">
        <v>44</v>
      </c>
      <c r="H294" s="32" t="s">
        <v>352</v>
      </c>
      <c r="I294" s="32" t="s">
        <v>40</v>
      </c>
      <c r="J294" s="32" t="s">
        <v>41</v>
      </c>
      <c r="K294" s="32" t="s">
        <v>42</v>
      </c>
      <c r="M294" s="32" t="s">
        <v>87</v>
      </c>
      <c r="N294" s="32" t="s">
        <v>85</v>
      </c>
    </row>
    <row r="295" spans="1:14" s="32" customFormat="1" hidden="1" x14ac:dyDescent="0.3">
      <c r="A295" s="38">
        <v>46231.644305555557</v>
      </c>
      <c r="B295" s="32">
        <v>44937562600</v>
      </c>
      <c r="C295" s="32" t="s">
        <v>58</v>
      </c>
      <c r="D295" s="32">
        <v>4430265054</v>
      </c>
      <c r="E295" s="32">
        <v>574</v>
      </c>
      <c r="F295" s="32">
        <v>509</v>
      </c>
      <c r="G295" s="32" t="s">
        <v>44</v>
      </c>
      <c r="H295" s="32" t="s">
        <v>353</v>
      </c>
      <c r="I295" s="32" t="s">
        <v>40</v>
      </c>
      <c r="J295" s="32" t="s">
        <v>46</v>
      </c>
      <c r="K295" s="32" t="s">
        <v>42</v>
      </c>
      <c r="M295" s="32" t="s">
        <v>60</v>
      </c>
      <c r="N295" s="32" t="s">
        <v>58</v>
      </c>
    </row>
    <row r="296" spans="1:14" s="32" customFormat="1" hidden="1" x14ac:dyDescent="0.3">
      <c r="A296" s="38">
        <v>46231.642997685187</v>
      </c>
      <c r="B296" s="32">
        <v>93991495484</v>
      </c>
      <c r="C296" s="32" t="s">
        <v>43</v>
      </c>
      <c r="D296" s="32">
        <v>4430265054</v>
      </c>
      <c r="E296" s="32">
        <v>2689</v>
      </c>
      <c r="F296" s="32">
        <v>2661</v>
      </c>
      <c r="G296" s="32" t="s">
        <v>44</v>
      </c>
      <c r="H296" s="32" t="s">
        <v>354</v>
      </c>
      <c r="I296" s="32" t="s">
        <v>40</v>
      </c>
      <c r="J296" s="32" t="s">
        <v>46</v>
      </c>
      <c r="K296" s="32" t="s">
        <v>42</v>
      </c>
      <c r="L296" s="32">
        <v>5</v>
      </c>
      <c r="M296" s="32" t="s">
        <v>47</v>
      </c>
      <c r="N296" s="32" t="s">
        <v>43</v>
      </c>
    </row>
    <row r="297" spans="1:14" s="32" customFormat="1" hidden="1" x14ac:dyDescent="0.3">
      <c r="A297" s="38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38</v>
      </c>
      <c r="H297" s="32" t="s">
        <v>355</v>
      </c>
      <c r="I297" s="32" t="s">
        <v>40</v>
      </c>
      <c r="J297" s="32" t="s">
        <v>41</v>
      </c>
    </row>
    <row r="298" spans="1:14" s="32" customFormat="1" hidden="1" x14ac:dyDescent="0.3">
      <c r="A298" s="38">
        <v>46231.639016203706</v>
      </c>
      <c r="B298" s="32">
        <v>44997687156</v>
      </c>
      <c r="C298" s="32" t="s">
        <v>43</v>
      </c>
      <c r="D298" s="32">
        <v>4430265054</v>
      </c>
      <c r="E298" s="32">
        <v>142</v>
      </c>
      <c r="F298" s="32">
        <v>86</v>
      </c>
      <c r="G298" s="32" t="s">
        <v>44</v>
      </c>
      <c r="H298" s="32" t="s">
        <v>356</v>
      </c>
      <c r="I298" s="32" t="s">
        <v>40</v>
      </c>
      <c r="J298" s="32" t="s">
        <v>46</v>
      </c>
      <c r="K298" s="32" t="s">
        <v>42</v>
      </c>
      <c r="M298" s="32" t="s">
        <v>47</v>
      </c>
      <c r="N298" s="32" t="s">
        <v>43</v>
      </c>
    </row>
    <row r="299" spans="1:14" s="32" customFormat="1" hidden="1" x14ac:dyDescent="0.3">
      <c r="A299" s="38">
        <v>46231.635196759256</v>
      </c>
      <c r="B299" s="32">
        <v>4330332823</v>
      </c>
      <c r="C299" s="32" t="s">
        <v>49</v>
      </c>
      <c r="D299" s="32">
        <v>4430265054</v>
      </c>
      <c r="E299" s="32">
        <v>1464</v>
      </c>
      <c r="F299" s="32">
        <v>1366</v>
      </c>
      <c r="G299" s="32" t="s">
        <v>44</v>
      </c>
      <c r="H299" s="32" t="s">
        <v>357</v>
      </c>
      <c r="I299" s="32" t="s">
        <v>40</v>
      </c>
      <c r="J299" s="32" t="s">
        <v>46</v>
      </c>
      <c r="K299" s="32" t="s">
        <v>42</v>
      </c>
      <c r="M299" s="32" t="s">
        <v>51</v>
      </c>
      <c r="N299" s="32" t="s">
        <v>49</v>
      </c>
    </row>
    <row r="300" spans="1:14" s="32" customFormat="1" hidden="1" x14ac:dyDescent="0.3">
      <c r="A300" s="38">
        <v>46231.629837962966</v>
      </c>
      <c r="B300" s="32">
        <v>44998761561</v>
      </c>
      <c r="C300" s="32" t="s">
        <v>49</v>
      </c>
      <c r="D300" s="32">
        <v>4430265054</v>
      </c>
      <c r="E300" s="32">
        <v>494</v>
      </c>
      <c r="F300" s="32">
        <v>355</v>
      </c>
      <c r="G300" s="32" t="s">
        <v>44</v>
      </c>
      <c r="H300" s="32" t="s">
        <v>358</v>
      </c>
      <c r="I300" s="32" t="s">
        <v>40</v>
      </c>
      <c r="J300" s="32" t="s">
        <v>46</v>
      </c>
      <c r="K300" s="32" t="s">
        <v>42</v>
      </c>
      <c r="M300" s="32" t="s">
        <v>51</v>
      </c>
      <c r="N300" s="32" t="s">
        <v>49</v>
      </c>
    </row>
    <row r="301" spans="1:14" s="32" customFormat="1" hidden="1" x14ac:dyDescent="0.3">
      <c r="A301" s="38">
        <v>46231.612534722219</v>
      </c>
      <c r="B301" s="32" t="s">
        <v>49</v>
      </c>
      <c r="C301" s="32">
        <v>4436313773</v>
      </c>
      <c r="E301" s="32">
        <v>136</v>
      </c>
      <c r="F301" s="32">
        <v>126</v>
      </c>
      <c r="G301" s="32" t="s">
        <v>44</v>
      </c>
      <c r="H301" s="32" t="s">
        <v>359</v>
      </c>
      <c r="I301" s="32" t="s">
        <v>54</v>
      </c>
      <c r="J301" s="32" t="s">
        <v>46</v>
      </c>
      <c r="M301" s="32" t="s">
        <v>51</v>
      </c>
      <c r="N301" s="32" t="s">
        <v>49</v>
      </c>
    </row>
    <row r="302" spans="1:14" s="32" customFormat="1" hidden="1" x14ac:dyDescent="0.3">
      <c r="A302" s="38">
        <v>46231.610601851855</v>
      </c>
      <c r="B302" s="32">
        <v>4432336975</v>
      </c>
      <c r="C302" s="32" t="s">
        <v>43</v>
      </c>
      <c r="D302" s="32">
        <v>4430265054</v>
      </c>
      <c r="E302" s="32">
        <v>155</v>
      </c>
      <c r="F302" s="32">
        <v>127</v>
      </c>
      <c r="G302" s="32" t="s">
        <v>44</v>
      </c>
      <c r="H302" s="32" t="s">
        <v>360</v>
      </c>
      <c r="I302" s="32" t="s">
        <v>40</v>
      </c>
      <c r="J302" s="32" t="s">
        <v>46</v>
      </c>
      <c r="K302" s="32" t="s">
        <v>42</v>
      </c>
      <c r="L302" s="32">
        <v>5</v>
      </c>
      <c r="M302" s="32" t="s">
        <v>47</v>
      </c>
      <c r="N302" s="32" t="s">
        <v>43</v>
      </c>
    </row>
    <row r="303" spans="1:14" s="32" customFormat="1" hidden="1" x14ac:dyDescent="0.3">
      <c r="A303" s="38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38</v>
      </c>
      <c r="H303" s="32" t="s">
        <v>361</v>
      </c>
      <c r="I303" s="32" t="s">
        <v>40</v>
      </c>
      <c r="J303" s="32" t="s">
        <v>41</v>
      </c>
    </row>
    <row r="304" spans="1:14" s="32" customFormat="1" hidden="1" x14ac:dyDescent="0.3">
      <c r="A304" s="38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38</v>
      </c>
      <c r="H304" s="32" t="s">
        <v>362</v>
      </c>
      <c r="I304" s="32" t="s">
        <v>40</v>
      </c>
      <c r="J304" s="32" t="s">
        <v>41</v>
      </c>
    </row>
    <row r="305" spans="1:14" s="32" customFormat="1" hidden="1" x14ac:dyDescent="0.3">
      <c r="A305" s="38">
        <v>46231.599699074075</v>
      </c>
      <c r="B305" s="32" t="s">
        <v>43</v>
      </c>
      <c r="C305" s="32">
        <v>4434233230</v>
      </c>
      <c r="E305" s="32">
        <v>714</v>
      </c>
      <c r="F305" s="32">
        <v>705</v>
      </c>
      <c r="G305" s="32" t="s">
        <v>44</v>
      </c>
      <c r="H305" s="32" t="s">
        <v>363</v>
      </c>
      <c r="I305" s="32" t="s">
        <v>54</v>
      </c>
      <c r="J305" s="32" t="s">
        <v>46</v>
      </c>
      <c r="M305" s="32" t="s">
        <v>47</v>
      </c>
      <c r="N305" s="32" t="s">
        <v>43</v>
      </c>
    </row>
    <row r="306" spans="1:14" s="32" customFormat="1" hidden="1" x14ac:dyDescent="0.3">
      <c r="A306" s="38">
        <v>46231.584791666668</v>
      </c>
      <c r="B306" s="32">
        <v>44999822688</v>
      </c>
      <c r="C306" s="32" t="s">
        <v>58</v>
      </c>
      <c r="D306" s="32">
        <v>4430265054</v>
      </c>
      <c r="E306" s="32">
        <v>98</v>
      </c>
      <c r="F306" s="32">
        <v>34</v>
      </c>
      <c r="G306" s="32" t="s">
        <v>44</v>
      </c>
      <c r="H306" s="32" t="s">
        <v>364</v>
      </c>
      <c r="I306" s="32" t="s">
        <v>40</v>
      </c>
      <c r="J306" s="32" t="s">
        <v>46</v>
      </c>
      <c r="K306" s="32" t="s">
        <v>42</v>
      </c>
      <c r="M306" s="32" t="s">
        <v>60</v>
      </c>
      <c r="N306" s="32" t="s">
        <v>58</v>
      </c>
    </row>
    <row r="307" spans="1:14" s="32" customFormat="1" hidden="1" x14ac:dyDescent="0.3">
      <c r="A307" s="38">
        <v>46231.581979166665</v>
      </c>
      <c r="B307" s="32">
        <v>44998620323</v>
      </c>
      <c r="C307" s="32" t="s">
        <v>43</v>
      </c>
      <c r="D307" s="32">
        <v>4430265054</v>
      </c>
      <c r="E307" s="32">
        <v>305</v>
      </c>
      <c r="F307" s="32">
        <v>288</v>
      </c>
      <c r="G307" s="32" t="s">
        <v>44</v>
      </c>
      <c r="H307" s="32" t="s">
        <v>365</v>
      </c>
      <c r="I307" s="32" t="s">
        <v>40</v>
      </c>
      <c r="J307" s="32" t="s">
        <v>46</v>
      </c>
      <c r="K307" s="32" t="s">
        <v>42</v>
      </c>
      <c r="M307" s="32" t="s">
        <v>47</v>
      </c>
      <c r="N307" s="32" t="s">
        <v>43</v>
      </c>
    </row>
    <row r="308" spans="1:14" s="32" customFormat="1" hidden="1" x14ac:dyDescent="0.3">
      <c r="A308" s="38">
        <v>46231.578726851854</v>
      </c>
      <c r="B308" s="32">
        <v>44999934215</v>
      </c>
      <c r="C308" s="32" t="s">
        <v>58</v>
      </c>
      <c r="D308" s="32">
        <v>4430265054</v>
      </c>
      <c r="E308" s="32">
        <v>293</v>
      </c>
      <c r="F308" s="32">
        <v>293</v>
      </c>
      <c r="G308" s="32" t="s">
        <v>44</v>
      </c>
      <c r="H308" s="32" t="s">
        <v>366</v>
      </c>
      <c r="I308" s="32" t="s">
        <v>40</v>
      </c>
      <c r="J308" s="32" t="s">
        <v>46</v>
      </c>
      <c r="K308" s="32" t="s">
        <v>42</v>
      </c>
      <c r="M308" s="32" t="s">
        <v>60</v>
      </c>
      <c r="N308" s="32" t="s">
        <v>58</v>
      </c>
    </row>
    <row r="309" spans="1:14" s="32" customFormat="1" hidden="1" x14ac:dyDescent="0.3">
      <c r="A309" s="38">
        <v>46231.577696759261</v>
      </c>
      <c r="B309" s="32" t="s">
        <v>49</v>
      </c>
      <c r="C309" s="32">
        <v>44988303530</v>
      </c>
      <c r="E309" s="32">
        <v>971</v>
      </c>
      <c r="F309" s="32">
        <v>957</v>
      </c>
      <c r="G309" s="32" t="s">
        <v>44</v>
      </c>
      <c r="H309" s="32" t="s">
        <v>367</v>
      </c>
      <c r="I309" s="32" t="s">
        <v>54</v>
      </c>
      <c r="J309" s="32" t="s">
        <v>46</v>
      </c>
      <c r="L309" s="32">
        <v>5</v>
      </c>
      <c r="M309" s="32" t="s">
        <v>51</v>
      </c>
      <c r="N309" s="32" t="s">
        <v>49</v>
      </c>
    </row>
    <row r="310" spans="1:14" s="32" customFormat="1" hidden="1" x14ac:dyDescent="0.3">
      <c r="A310" s="38">
        <v>46231.577164351853</v>
      </c>
      <c r="B310" s="32" t="s">
        <v>58</v>
      </c>
      <c r="C310" s="32">
        <v>4434233230</v>
      </c>
      <c r="E310" s="32">
        <v>36</v>
      </c>
      <c r="F310" s="32">
        <v>26</v>
      </c>
      <c r="G310" s="32" t="s">
        <v>44</v>
      </c>
      <c r="H310" s="32" t="s">
        <v>368</v>
      </c>
      <c r="I310" s="32" t="s">
        <v>54</v>
      </c>
      <c r="J310" s="32" t="s">
        <v>46</v>
      </c>
      <c r="M310" s="32" t="s">
        <v>60</v>
      </c>
      <c r="N310" s="32" t="s">
        <v>58</v>
      </c>
    </row>
    <row r="311" spans="1:14" s="32" customFormat="1" hidden="1" x14ac:dyDescent="0.3">
      <c r="A311" s="38">
        <v>46231.577106481483</v>
      </c>
      <c r="B311" s="32" t="s">
        <v>58</v>
      </c>
      <c r="C311" s="32">
        <v>44999882048</v>
      </c>
      <c r="E311" s="32">
        <v>1</v>
      </c>
      <c r="F311" s="32">
        <v>0</v>
      </c>
      <c r="G311" s="32" t="s">
        <v>63</v>
      </c>
      <c r="H311" s="32" t="s">
        <v>369</v>
      </c>
      <c r="I311" s="32" t="s">
        <v>54</v>
      </c>
      <c r="J311" s="32" t="s">
        <v>46</v>
      </c>
      <c r="M311" s="32" t="s">
        <v>60</v>
      </c>
      <c r="N311" s="32" t="s">
        <v>58</v>
      </c>
    </row>
    <row r="312" spans="1:14" s="32" customFormat="1" hidden="1" x14ac:dyDescent="0.3">
      <c r="A312" s="38">
        <v>46231.57707175926</v>
      </c>
      <c r="B312" s="32" t="s">
        <v>58</v>
      </c>
      <c r="C312" s="32">
        <v>44999882048</v>
      </c>
      <c r="E312" s="32">
        <v>2</v>
      </c>
      <c r="F312" s="32">
        <v>0</v>
      </c>
      <c r="G312" s="32" t="s">
        <v>63</v>
      </c>
      <c r="H312" s="32" t="s">
        <v>370</v>
      </c>
      <c r="I312" s="32" t="s">
        <v>54</v>
      </c>
      <c r="J312" s="32" t="s">
        <v>46</v>
      </c>
      <c r="M312" s="32" t="s">
        <v>60</v>
      </c>
      <c r="N312" s="32" t="s">
        <v>58</v>
      </c>
    </row>
    <row r="313" spans="1:14" s="32" customFormat="1" hidden="1" x14ac:dyDescent="0.3">
      <c r="A313" s="38">
        <v>46231.572789351849</v>
      </c>
      <c r="B313" s="32">
        <v>4430293755</v>
      </c>
      <c r="C313" s="32" t="s">
        <v>49</v>
      </c>
      <c r="D313" s="32">
        <v>4430265054</v>
      </c>
      <c r="E313" s="32">
        <v>227</v>
      </c>
      <c r="F313" s="32">
        <v>210</v>
      </c>
      <c r="G313" s="32" t="s">
        <v>44</v>
      </c>
      <c r="H313" s="32" t="s">
        <v>371</v>
      </c>
      <c r="I313" s="32" t="s">
        <v>40</v>
      </c>
      <c r="J313" s="32" t="s">
        <v>46</v>
      </c>
      <c r="K313" s="32" t="s">
        <v>42</v>
      </c>
      <c r="M313" s="32" t="s">
        <v>51</v>
      </c>
      <c r="N313" s="32" t="s">
        <v>49</v>
      </c>
    </row>
    <row r="314" spans="1:14" s="32" customFormat="1" hidden="1" x14ac:dyDescent="0.3">
      <c r="A314" s="38">
        <v>46231.570208333331</v>
      </c>
      <c r="B314" s="32">
        <v>4436313773</v>
      </c>
      <c r="C314" s="32" t="s">
        <v>58</v>
      </c>
      <c r="D314" s="32">
        <v>4430265054</v>
      </c>
      <c r="E314" s="32">
        <v>154</v>
      </c>
      <c r="F314" s="32">
        <v>153</v>
      </c>
      <c r="G314" s="32" t="s">
        <v>44</v>
      </c>
      <c r="H314" s="32" t="s">
        <v>372</v>
      </c>
      <c r="I314" s="32" t="s">
        <v>40</v>
      </c>
      <c r="J314" s="32" t="s">
        <v>46</v>
      </c>
      <c r="K314" s="32" t="s">
        <v>42</v>
      </c>
      <c r="M314" s="32" t="s">
        <v>60</v>
      </c>
      <c r="N314" s="32" t="s">
        <v>58</v>
      </c>
    </row>
    <row r="315" spans="1:14" s="32" customFormat="1" x14ac:dyDescent="0.3">
      <c r="A315" s="38">
        <v>46231.569062499999</v>
      </c>
      <c r="B315" s="32">
        <v>4430141533</v>
      </c>
      <c r="C315" s="32" t="s">
        <v>49</v>
      </c>
      <c r="D315" s="32">
        <v>4430265054</v>
      </c>
      <c r="E315" s="32">
        <v>217</v>
      </c>
      <c r="F315" s="32">
        <v>179</v>
      </c>
      <c r="G315" s="32" t="s">
        <v>44</v>
      </c>
      <c r="H315" s="32" t="s">
        <v>373</v>
      </c>
      <c r="I315" s="32" t="s">
        <v>40</v>
      </c>
      <c r="J315" s="32" t="s">
        <v>46</v>
      </c>
      <c r="K315" s="32" t="s">
        <v>42</v>
      </c>
      <c r="L315" s="32">
        <v>5</v>
      </c>
      <c r="M315" s="32" t="s">
        <v>51</v>
      </c>
      <c r="N315" s="32" t="s">
        <v>49</v>
      </c>
    </row>
    <row r="316" spans="1:14" s="32" customFormat="1" hidden="1" x14ac:dyDescent="0.3">
      <c r="A316" s="38">
        <v>46231.488599537035</v>
      </c>
      <c r="B316" s="32" t="s">
        <v>49</v>
      </c>
      <c r="C316" s="32">
        <v>44988303530</v>
      </c>
      <c r="E316" s="32">
        <v>26</v>
      </c>
      <c r="F316" s="32">
        <v>17</v>
      </c>
      <c r="G316" s="32" t="s">
        <v>44</v>
      </c>
      <c r="H316" s="32" t="s">
        <v>374</v>
      </c>
      <c r="I316" s="32" t="s">
        <v>54</v>
      </c>
      <c r="J316" s="32" t="s">
        <v>46</v>
      </c>
      <c r="M316" s="32" t="s">
        <v>51</v>
      </c>
      <c r="N316" s="32" t="s">
        <v>49</v>
      </c>
    </row>
    <row r="317" spans="1:14" s="32" customFormat="1" hidden="1" x14ac:dyDescent="0.3">
      <c r="A317" s="38">
        <v>46231.483611111114</v>
      </c>
      <c r="B317" s="32">
        <v>4430293755</v>
      </c>
      <c r="C317" s="32" t="s">
        <v>58</v>
      </c>
      <c r="D317" s="32">
        <v>4430265054</v>
      </c>
      <c r="E317" s="32">
        <v>695</v>
      </c>
      <c r="F317" s="32">
        <v>630</v>
      </c>
      <c r="G317" s="32" t="s">
        <v>44</v>
      </c>
      <c r="H317" s="32" t="s">
        <v>375</v>
      </c>
      <c r="I317" s="32" t="s">
        <v>40</v>
      </c>
      <c r="J317" s="32" t="s">
        <v>46</v>
      </c>
      <c r="K317" s="32" t="s">
        <v>42</v>
      </c>
      <c r="M317" s="32" t="s">
        <v>60</v>
      </c>
      <c r="N317" s="32" t="s">
        <v>58</v>
      </c>
    </row>
    <row r="318" spans="1:14" s="32" customFormat="1" hidden="1" x14ac:dyDescent="0.3">
      <c r="A318" s="38">
        <v>46231.483298611114</v>
      </c>
      <c r="B318" s="32">
        <v>93991495484</v>
      </c>
      <c r="C318" s="32" t="s">
        <v>43</v>
      </c>
      <c r="D318" s="32">
        <v>4430265054</v>
      </c>
      <c r="E318" s="32">
        <v>348</v>
      </c>
      <c r="F318" s="32">
        <v>180</v>
      </c>
      <c r="G318" s="32" t="s">
        <v>44</v>
      </c>
      <c r="H318" s="32" t="s">
        <v>376</v>
      </c>
      <c r="I318" s="32" t="s">
        <v>40</v>
      </c>
      <c r="J318" s="32" t="s">
        <v>46</v>
      </c>
      <c r="K318" s="32" t="s">
        <v>42</v>
      </c>
      <c r="L318" s="32">
        <v>5</v>
      </c>
      <c r="M318" s="32" t="s">
        <v>47</v>
      </c>
      <c r="N318" s="32" t="s">
        <v>43</v>
      </c>
    </row>
    <row r="319" spans="1:14" s="32" customFormat="1" hidden="1" x14ac:dyDescent="0.3">
      <c r="A319" s="38">
        <v>46231.466678240744</v>
      </c>
      <c r="B319" s="32">
        <v>44999550006</v>
      </c>
      <c r="C319" s="32" t="s">
        <v>43</v>
      </c>
      <c r="D319" s="32">
        <v>4430265054</v>
      </c>
      <c r="E319" s="32">
        <v>97</v>
      </c>
      <c r="F319" s="32">
        <v>80</v>
      </c>
      <c r="G319" s="32" t="s">
        <v>44</v>
      </c>
      <c r="H319" s="32" t="s">
        <v>377</v>
      </c>
      <c r="I319" s="32" t="s">
        <v>40</v>
      </c>
      <c r="J319" s="32" t="s">
        <v>46</v>
      </c>
      <c r="K319" s="32" t="s">
        <v>42</v>
      </c>
      <c r="M319" s="32" t="s">
        <v>47</v>
      </c>
      <c r="N319" s="32" t="s">
        <v>43</v>
      </c>
    </row>
    <row r="320" spans="1:14" s="32" customFormat="1" hidden="1" x14ac:dyDescent="0.3">
      <c r="A320" s="38">
        <v>46231.464050925926</v>
      </c>
      <c r="B320" s="32">
        <v>4430293755</v>
      </c>
      <c r="C320" s="32" t="s">
        <v>58</v>
      </c>
      <c r="D320" s="32">
        <v>4430265054</v>
      </c>
      <c r="E320" s="32">
        <v>882</v>
      </c>
      <c r="F320" s="32">
        <v>806</v>
      </c>
      <c r="G320" s="32" t="s">
        <v>44</v>
      </c>
      <c r="H320" s="32" t="s">
        <v>378</v>
      </c>
      <c r="I320" s="32" t="s">
        <v>40</v>
      </c>
      <c r="J320" s="32" t="s">
        <v>46</v>
      </c>
      <c r="K320" s="32" t="s">
        <v>42</v>
      </c>
      <c r="M320" s="32" t="s">
        <v>60</v>
      </c>
      <c r="N320" s="32" t="s">
        <v>58</v>
      </c>
    </row>
    <row r="321" spans="1:14" s="32" customFormat="1" hidden="1" x14ac:dyDescent="0.3">
      <c r="A321" s="38">
        <v>46231.463402777779</v>
      </c>
      <c r="B321" s="32" t="s">
        <v>379</v>
      </c>
      <c r="C321" s="32">
        <v>4430232404</v>
      </c>
      <c r="E321" s="32">
        <v>1</v>
      </c>
      <c r="F321" s="32">
        <v>0</v>
      </c>
      <c r="G321" s="32" t="s">
        <v>63</v>
      </c>
      <c r="H321" s="32" t="s">
        <v>380</v>
      </c>
      <c r="I321" s="32" t="s">
        <v>54</v>
      </c>
      <c r="J321" s="32" t="s">
        <v>111</v>
      </c>
      <c r="M321" s="32" t="s">
        <v>381</v>
      </c>
      <c r="N321" s="32" t="s">
        <v>379</v>
      </c>
    </row>
    <row r="322" spans="1:14" s="32" customFormat="1" hidden="1" x14ac:dyDescent="0.3">
      <c r="A322" s="38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38</v>
      </c>
      <c r="H322" s="32" t="s">
        <v>382</v>
      </c>
      <c r="I322" s="32" t="s">
        <v>40</v>
      </c>
      <c r="J322" s="32" t="s">
        <v>41</v>
      </c>
    </row>
    <row r="323" spans="1:14" s="32" customFormat="1" hidden="1" x14ac:dyDescent="0.3">
      <c r="A323" s="38">
        <v>46231.463240740741</v>
      </c>
      <c r="B323" s="32" t="s">
        <v>379</v>
      </c>
      <c r="C323" s="32">
        <v>4430265054</v>
      </c>
      <c r="E323" s="32">
        <v>6</v>
      </c>
      <c r="F323" s="32">
        <v>5</v>
      </c>
      <c r="G323" s="32" t="s">
        <v>44</v>
      </c>
      <c r="H323" s="32" t="s">
        <v>383</v>
      </c>
      <c r="I323" s="32" t="s">
        <v>54</v>
      </c>
      <c r="J323" s="32" t="s">
        <v>111</v>
      </c>
      <c r="M323" s="32" t="s">
        <v>381</v>
      </c>
      <c r="N323" s="32" t="s">
        <v>379</v>
      </c>
    </row>
    <row r="324" spans="1:14" s="32" customFormat="1" hidden="1" x14ac:dyDescent="0.3">
      <c r="A324" s="38">
        <v>46231.463159722225</v>
      </c>
      <c r="B324" s="32" t="s">
        <v>379</v>
      </c>
      <c r="C324" s="32">
        <v>4430232404</v>
      </c>
      <c r="E324" s="32">
        <v>1</v>
      </c>
      <c r="F324" s="32">
        <v>0</v>
      </c>
      <c r="G324" s="32" t="s">
        <v>63</v>
      </c>
      <c r="H324" s="32" t="s">
        <v>384</v>
      </c>
      <c r="I324" s="32" t="s">
        <v>54</v>
      </c>
      <c r="J324" s="32" t="s">
        <v>111</v>
      </c>
      <c r="M324" s="32" t="s">
        <v>381</v>
      </c>
      <c r="N324" s="32" t="s">
        <v>379</v>
      </c>
    </row>
    <row r="325" spans="1:14" s="32" customFormat="1" hidden="1" x14ac:dyDescent="0.3">
      <c r="A325" s="38">
        <v>46231.46297453704</v>
      </c>
      <c r="B325" s="32" t="s">
        <v>379</v>
      </c>
      <c r="C325" s="32">
        <v>4430232404</v>
      </c>
      <c r="E325" s="32">
        <v>1</v>
      </c>
      <c r="F325" s="32">
        <v>0</v>
      </c>
      <c r="G325" s="32" t="s">
        <v>63</v>
      </c>
      <c r="H325" s="32" t="s">
        <v>385</v>
      </c>
      <c r="I325" s="32" t="s">
        <v>54</v>
      </c>
      <c r="J325" s="32" t="s">
        <v>111</v>
      </c>
      <c r="M325" s="32" t="s">
        <v>381</v>
      </c>
      <c r="N325" s="32" t="s">
        <v>379</v>
      </c>
    </row>
    <row r="326" spans="1:14" s="32" customFormat="1" hidden="1" x14ac:dyDescent="0.3">
      <c r="A326" s="38">
        <v>46231.462893518517</v>
      </c>
      <c r="B326" s="32" t="s">
        <v>379</v>
      </c>
      <c r="C326" s="32">
        <v>4430262404</v>
      </c>
      <c r="E326" s="32">
        <v>1</v>
      </c>
      <c r="F326" s="32">
        <v>0</v>
      </c>
      <c r="G326" s="32" t="s">
        <v>63</v>
      </c>
      <c r="H326" s="32" t="s">
        <v>386</v>
      </c>
      <c r="I326" s="32" t="s">
        <v>54</v>
      </c>
      <c r="J326" s="32" t="s">
        <v>111</v>
      </c>
      <c r="M326" s="32" t="s">
        <v>381</v>
      </c>
      <c r="N326" s="32" t="s">
        <v>379</v>
      </c>
    </row>
    <row r="327" spans="1:14" s="32" customFormat="1" hidden="1" x14ac:dyDescent="0.3">
      <c r="A327" s="38">
        <v>46231.461828703701</v>
      </c>
      <c r="B327" s="32">
        <v>73982188717</v>
      </c>
      <c r="C327" s="32" t="s">
        <v>49</v>
      </c>
      <c r="D327" s="32">
        <v>4430265054</v>
      </c>
      <c r="E327" s="32">
        <v>644</v>
      </c>
      <c r="F327" s="32">
        <v>583</v>
      </c>
      <c r="G327" s="32" t="s">
        <v>44</v>
      </c>
      <c r="H327" s="32" t="s">
        <v>387</v>
      </c>
      <c r="I327" s="32" t="s">
        <v>40</v>
      </c>
      <c r="J327" s="32" t="s">
        <v>46</v>
      </c>
      <c r="K327" s="32" t="s">
        <v>42</v>
      </c>
      <c r="M327" s="32" t="s">
        <v>51</v>
      </c>
      <c r="N327" s="32" t="s">
        <v>49</v>
      </c>
    </row>
    <row r="328" spans="1:14" s="32" customFormat="1" hidden="1" x14ac:dyDescent="0.3">
      <c r="A328" s="38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38</v>
      </c>
      <c r="H328" s="32" t="s">
        <v>388</v>
      </c>
      <c r="I328" s="32" t="s">
        <v>40</v>
      </c>
      <c r="J328" s="32" t="s">
        <v>41</v>
      </c>
    </row>
    <row r="329" spans="1:14" s="32" customFormat="1" hidden="1" x14ac:dyDescent="0.3">
      <c r="A329" s="38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38</v>
      </c>
      <c r="H329" s="32" t="s">
        <v>389</v>
      </c>
      <c r="I329" s="32" t="s">
        <v>40</v>
      </c>
      <c r="J329" s="32" t="s">
        <v>41</v>
      </c>
      <c r="K329" s="32" t="s">
        <v>42</v>
      </c>
    </row>
    <row r="330" spans="1:14" s="32" customFormat="1" hidden="1" x14ac:dyDescent="0.3">
      <c r="A330" s="38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38</v>
      </c>
      <c r="H330" s="32" t="s">
        <v>390</v>
      </c>
      <c r="I330" s="32" t="s">
        <v>40</v>
      </c>
      <c r="J330" s="32" t="s">
        <v>41</v>
      </c>
    </row>
    <row r="331" spans="1:14" s="32" customFormat="1" hidden="1" x14ac:dyDescent="0.3">
      <c r="A331" s="38">
        <v>46231.451469907406</v>
      </c>
      <c r="B331" s="32">
        <v>4434239353</v>
      </c>
      <c r="C331" s="32" t="s">
        <v>43</v>
      </c>
      <c r="D331" s="32">
        <v>4430265054</v>
      </c>
      <c r="E331" s="32">
        <v>610</v>
      </c>
      <c r="F331" s="32">
        <v>564</v>
      </c>
      <c r="G331" s="32" t="s">
        <v>44</v>
      </c>
      <c r="H331" s="32" t="s">
        <v>391</v>
      </c>
      <c r="I331" s="32" t="s">
        <v>40</v>
      </c>
      <c r="J331" s="32" t="s">
        <v>46</v>
      </c>
      <c r="K331" s="32" t="s">
        <v>42</v>
      </c>
      <c r="L331" s="32">
        <v>5</v>
      </c>
      <c r="M331" s="32" t="s">
        <v>47</v>
      </c>
      <c r="N331" s="32" t="s">
        <v>43</v>
      </c>
    </row>
    <row r="332" spans="1:14" s="32" customFormat="1" hidden="1" x14ac:dyDescent="0.3">
      <c r="A332" s="38">
        <v>46231.445219907408</v>
      </c>
      <c r="B332" s="32">
        <v>43988030048</v>
      </c>
      <c r="C332" s="32" t="s">
        <v>43</v>
      </c>
      <c r="D332" s="32">
        <v>4430265054</v>
      </c>
      <c r="E332" s="32">
        <v>145</v>
      </c>
      <c r="F332" s="32">
        <v>88</v>
      </c>
      <c r="G332" s="32" t="s">
        <v>44</v>
      </c>
      <c r="H332" s="32" t="s">
        <v>392</v>
      </c>
      <c r="I332" s="32" t="s">
        <v>40</v>
      </c>
      <c r="J332" s="32" t="s">
        <v>46</v>
      </c>
      <c r="K332" s="32" t="s">
        <v>42</v>
      </c>
      <c r="M332" s="32" t="s">
        <v>47</v>
      </c>
      <c r="N332" s="32" t="s">
        <v>43</v>
      </c>
    </row>
    <row r="333" spans="1:14" s="32" customFormat="1" hidden="1" x14ac:dyDescent="0.3">
      <c r="A333" s="38">
        <v>46231.443136574075</v>
      </c>
      <c r="B333" s="32">
        <v>4436281154</v>
      </c>
      <c r="C333" s="32" t="s">
        <v>49</v>
      </c>
      <c r="D333" s="32">
        <v>4430265054</v>
      </c>
      <c r="E333" s="32">
        <v>469</v>
      </c>
      <c r="F333" s="32">
        <v>372</v>
      </c>
      <c r="G333" s="32" t="s">
        <v>44</v>
      </c>
      <c r="H333" s="32" t="s">
        <v>393</v>
      </c>
      <c r="I333" s="32" t="s">
        <v>40</v>
      </c>
      <c r="J333" s="32" t="s">
        <v>46</v>
      </c>
      <c r="K333" s="32" t="s">
        <v>42</v>
      </c>
      <c r="M333" s="32" t="s">
        <v>51</v>
      </c>
      <c r="N333" s="32" t="s">
        <v>49</v>
      </c>
    </row>
    <row r="334" spans="1:14" s="32" customFormat="1" hidden="1" x14ac:dyDescent="0.3">
      <c r="A334" s="38">
        <v>46231.442858796298</v>
      </c>
      <c r="B334" s="32" t="s">
        <v>58</v>
      </c>
      <c r="C334" s="32">
        <v>1131043888</v>
      </c>
      <c r="E334" s="32">
        <v>34</v>
      </c>
      <c r="F334" s="32">
        <v>33</v>
      </c>
      <c r="G334" s="32" t="s">
        <v>44</v>
      </c>
      <c r="H334" s="32" t="s">
        <v>394</v>
      </c>
      <c r="I334" s="32" t="s">
        <v>54</v>
      </c>
      <c r="J334" s="32" t="s">
        <v>46</v>
      </c>
      <c r="M334" s="32" t="s">
        <v>60</v>
      </c>
      <c r="N334" s="32" t="s">
        <v>58</v>
      </c>
    </row>
    <row r="335" spans="1:14" s="32" customFormat="1" hidden="1" x14ac:dyDescent="0.3">
      <c r="A335" s="38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38</v>
      </c>
      <c r="H335" s="32" t="s">
        <v>395</v>
      </c>
      <c r="I335" s="32" t="s">
        <v>40</v>
      </c>
      <c r="J335" s="32" t="s">
        <v>41</v>
      </c>
      <c r="K335" s="32" t="s">
        <v>42</v>
      </c>
    </row>
    <row r="336" spans="1:14" s="32" customFormat="1" hidden="1" x14ac:dyDescent="0.3">
      <c r="A336" s="38">
        <v>46231.442060185182</v>
      </c>
      <c r="B336" s="32">
        <v>4436281154</v>
      </c>
      <c r="C336" s="32" t="s">
        <v>58</v>
      </c>
      <c r="D336" s="32">
        <v>4430265054</v>
      </c>
      <c r="E336" s="32">
        <v>48</v>
      </c>
      <c r="F336" s="32">
        <v>48</v>
      </c>
      <c r="G336" s="32" t="s">
        <v>44</v>
      </c>
      <c r="H336" s="32" t="s">
        <v>396</v>
      </c>
      <c r="I336" s="32" t="s">
        <v>40</v>
      </c>
      <c r="J336" s="32" t="s">
        <v>46</v>
      </c>
      <c r="K336" s="32" t="s">
        <v>42</v>
      </c>
      <c r="M336" s="32" t="s">
        <v>60</v>
      </c>
      <c r="N336" s="32" t="s">
        <v>58</v>
      </c>
    </row>
    <row r="337" spans="1:14" s="32" customFormat="1" hidden="1" x14ac:dyDescent="0.3">
      <c r="A337" s="38">
        <v>46231.441770833335</v>
      </c>
      <c r="B337" s="32" t="s">
        <v>58</v>
      </c>
      <c r="C337" s="32">
        <v>44998267320</v>
      </c>
      <c r="E337" s="32">
        <v>29</v>
      </c>
      <c r="F337" s="32">
        <v>20</v>
      </c>
      <c r="G337" s="32" t="s">
        <v>44</v>
      </c>
      <c r="H337" s="32" t="s">
        <v>397</v>
      </c>
      <c r="I337" s="32" t="s">
        <v>54</v>
      </c>
      <c r="J337" s="32" t="s">
        <v>46</v>
      </c>
      <c r="M337" s="32" t="s">
        <v>60</v>
      </c>
      <c r="N337" s="32" t="s">
        <v>58</v>
      </c>
    </row>
    <row r="338" spans="1:14" s="32" customFormat="1" hidden="1" x14ac:dyDescent="0.3">
      <c r="A338" s="38">
        <v>46231.441111111111</v>
      </c>
      <c r="B338" s="32">
        <v>4436281154</v>
      </c>
      <c r="C338" s="32" t="s">
        <v>58</v>
      </c>
      <c r="D338" s="32">
        <v>4430265054</v>
      </c>
      <c r="E338" s="32">
        <v>62</v>
      </c>
      <c r="F338" s="32">
        <v>61</v>
      </c>
      <c r="G338" s="32" t="s">
        <v>44</v>
      </c>
      <c r="H338" s="32" t="s">
        <v>398</v>
      </c>
      <c r="I338" s="32" t="s">
        <v>40</v>
      </c>
      <c r="J338" s="32" t="s">
        <v>46</v>
      </c>
      <c r="K338" s="32" t="s">
        <v>42</v>
      </c>
      <c r="M338" s="32" t="s">
        <v>60</v>
      </c>
      <c r="N338" s="32" t="s">
        <v>58</v>
      </c>
    </row>
    <row r="339" spans="1:14" s="32" customFormat="1" hidden="1" x14ac:dyDescent="0.3">
      <c r="A339" s="38">
        <v>46231.437731481485</v>
      </c>
      <c r="B339" s="32" t="s">
        <v>58</v>
      </c>
      <c r="C339" s="32">
        <v>4430456097</v>
      </c>
      <c r="E339" s="32">
        <v>4</v>
      </c>
      <c r="F339" s="32">
        <v>0</v>
      </c>
      <c r="G339" s="32" t="s">
        <v>63</v>
      </c>
      <c r="H339" s="32" t="s">
        <v>399</v>
      </c>
      <c r="I339" s="32" t="s">
        <v>54</v>
      </c>
      <c r="J339" s="32" t="s">
        <v>46</v>
      </c>
      <c r="M339" s="32" t="s">
        <v>60</v>
      </c>
      <c r="N339" s="32" t="s">
        <v>58</v>
      </c>
    </row>
    <row r="340" spans="1:14" s="32" customFormat="1" hidden="1" x14ac:dyDescent="0.3">
      <c r="A340" s="38">
        <v>46231.434594907405</v>
      </c>
      <c r="B340" s="32">
        <v>44988303530</v>
      </c>
      <c r="C340" s="32" t="s">
        <v>49</v>
      </c>
      <c r="D340" s="32">
        <v>4430265054</v>
      </c>
      <c r="E340" s="32">
        <v>257</v>
      </c>
      <c r="F340" s="32">
        <v>133</v>
      </c>
      <c r="G340" s="32" t="s">
        <v>44</v>
      </c>
      <c r="H340" s="32" t="s">
        <v>400</v>
      </c>
      <c r="I340" s="32" t="s">
        <v>40</v>
      </c>
      <c r="J340" s="32" t="s">
        <v>46</v>
      </c>
      <c r="K340" s="32" t="s">
        <v>42</v>
      </c>
      <c r="M340" s="32" t="s">
        <v>51</v>
      </c>
      <c r="N340" s="32" t="s">
        <v>49</v>
      </c>
    </row>
    <row r="341" spans="1:14" s="32" customFormat="1" hidden="1" x14ac:dyDescent="0.3">
      <c r="A341" s="38">
        <v>46231.434560185182</v>
      </c>
      <c r="B341" s="32">
        <v>4430141533</v>
      </c>
      <c r="C341" s="32" t="s">
        <v>43</v>
      </c>
      <c r="D341" s="32">
        <v>4430265054</v>
      </c>
      <c r="E341" s="32">
        <v>893</v>
      </c>
      <c r="F341" s="32">
        <v>805</v>
      </c>
      <c r="G341" s="32" t="s">
        <v>44</v>
      </c>
      <c r="H341" s="32" t="s">
        <v>401</v>
      </c>
      <c r="I341" s="32" t="s">
        <v>40</v>
      </c>
      <c r="J341" s="32" t="s">
        <v>46</v>
      </c>
      <c r="K341" s="32" t="s">
        <v>42</v>
      </c>
      <c r="M341" s="32" t="s">
        <v>47</v>
      </c>
      <c r="N341" s="32" t="s">
        <v>43</v>
      </c>
    </row>
    <row r="342" spans="1:14" s="32" customFormat="1" hidden="1" x14ac:dyDescent="0.3">
      <c r="A342" s="38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38</v>
      </c>
      <c r="H342" s="32" t="s">
        <v>402</v>
      </c>
      <c r="I342" s="32" t="s">
        <v>40</v>
      </c>
      <c r="J342" s="32" t="s">
        <v>41</v>
      </c>
      <c r="K342" s="32" t="s">
        <v>42</v>
      </c>
    </row>
    <row r="343" spans="1:14" s="32" customFormat="1" hidden="1" x14ac:dyDescent="0.3">
      <c r="A343" s="38">
        <v>46231.429884259262</v>
      </c>
      <c r="B343" s="32">
        <v>4436372125</v>
      </c>
      <c r="C343" s="32" t="s">
        <v>49</v>
      </c>
      <c r="D343" s="32">
        <v>4430265054</v>
      </c>
      <c r="E343" s="32">
        <v>223</v>
      </c>
      <c r="F343" s="32">
        <v>68</v>
      </c>
      <c r="G343" s="32" t="s">
        <v>44</v>
      </c>
      <c r="H343" s="32" t="s">
        <v>403</v>
      </c>
      <c r="I343" s="32" t="s">
        <v>40</v>
      </c>
      <c r="J343" s="32" t="s">
        <v>46</v>
      </c>
      <c r="K343" s="32" t="s">
        <v>42</v>
      </c>
      <c r="M343" s="32" t="s">
        <v>51</v>
      </c>
      <c r="N343" s="32" t="s">
        <v>49</v>
      </c>
    </row>
    <row r="344" spans="1:14" s="32" customFormat="1" hidden="1" x14ac:dyDescent="0.3">
      <c r="A344" s="38">
        <v>46231.428437499999</v>
      </c>
      <c r="B344" s="32">
        <v>44997400641</v>
      </c>
      <c r="C344" s="32" t="s">
        <v>43</v>
      </c>
      <c r="D344" s="32">
        <v>4430265054</v>
      </c>
      <c r="E344" s="32">
        <v>595</v>
      </c>
      <c r="F344" s="32">
        <v>544</v>
      </c>
      <c r="G344" s="32" t="s">
        <v>44</v>
      </c>
      <c r="H344" s="32" t="s">
        <v>404</v>
      </c>
      <c r="I344" s="32" t="s">
        <v>40</v>
      </c>
      <c r="J344" s="32" t="s">
        <v>46</v>
      </c>
      <c r="K344" s="32" t="s">
        <v>42</v>
      </c>
      <c r="L344" s="32">
        <v>5</v>
      </c>
      <c r="M344" s="32" t="s">
        <v>47</v>
      </c>
      <c r="N344" s="32" t="s">
        <v>43</v>
      </c>
    </row>
    <row r="345" spans="1:14" s="32" customFormat="1" hidden="1" x14ac:dyDescent="0.3">
      <c r="A345" s="38">
        <v>46231.421180555553</v>
      </c>
      <c r="B345" s="32" t="s">
        <v>58</v>
      </c>
      <c r="C345" s="32">
        <v>4430293755</v>
      </c>
      <c r="E345" s="32">
        <v>47</v>
      </c>
      <c r="F345" s="32">
        <v>24</v>
      </c>
      <c r="G345" s="32" t="s">
        <v>44</v>
      </c>
      <c r="H345" s="32" t="s">
        <v>405</v>
      </c>
      <c r="I345" s="32" t="s">
        <v>54</v>
      </c>
      <c r="J345" s="32" t="s">
        <v>46</v>
      </c>
      <c r="M345" s="32" t="s">
        <v>60</v>
      </c>
      <c r="N345" s="32" t="s">
        <v>58</v>
      </c>
    </row>
    <row r="346" spans="1:14" s="32" customFormat="1" hidden="1" x14ac:dyDescent="0.3">
      <c r="A346" s="38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38</v>
      </c>
      <c r="H346" s="32" t="s">
        <v>406</v>
      </c>
      <c r="I346" s="32" t="s">
        <v>40</v>
      </c>
      <c r="J346" s="32" t="s">
        <v>41</v>
      </c>
    </row>
    <row r="347" spans="1:14" s="32" customFormat="1" hidden="1" x14ac:dyDescent="0.3">
      <c r="A347" s="38">
        <v>46231.410833333335</v>
      </c>
      <c r="B347" s="32">
        <v>64984043469</v>
      </c>
      <c r="C347" s="32" t="s">
        <v>49</v>
      </c>
      <c r="D347" s="32">
        <v>4430265054</v>
      </c>
      <c r="E347" s="32">
        <v>339</v>
      </c>
      <c r="F347" s="32">
        <v>245</v>
      </c>
      <c r="G347" s="32" t="s">
        <v>44</v>
      </c>
      <c r="H347" s="32" t="s">
        <v>407</v>
      </c>
      <c r="I347" s="32" t="s">
        <v>40</v>
      </c>
      <c r="J347" s="32" t="s">
        <v>46</v>
      </c>
      <c r="K347" s="32" t="s">
        <v>42</v>
      </c>
      <c r="M347" s="32" t="s">
        <v>51</v>
      </c>
      <c r="N347" s="32" t="s">
        <v>49</v>
      </c>
    </row>
    <row r="348" spans="1:14" s="32" customFormat="1" hidden="1" x14ac:dyDescent="0.3">
      <c r="A348" s="38">
        <v>46231.408402777779</v>
      </c>
      <c r="B348" s="32">
        <v>4330332823</v>
      </c>
      <c r="C348" s="32" t="s">
        <v>43</v>
      </c>
      <c r="D348" s="32">
        <v>4430265054</v>
      </c>
      <c r="E348" s="32">
        <v>669</v>
      </c>
      <c r="F348" s="32">
        <v>626</v>
      </c>
      <c r="G348" s="32" t="s">
        <v>44</v>
      </c>
      <c r="H348" s="32" t="s">
        <v>408</v>
      </c>
      <c r="I348" s="32" t="s">
        <v>40</v>
      </c>
      <c r="J348" s="32" t="s">
        <v>46</v>
      </c>
      <c r="K348" s="32" t="s">
        <v>42</v>
      </c>
      <c r="M348" s="32" t="s">
        <v>47</v>
      </c>
      <c r="N348" s="32" t="s">
        <v>43</v>
      </c>
    </row>
    <row r="349" spans="1:14" s="32" customFormat="1" hidden="1" x14ac:dyDescent="0.3">
      <c r="A349" s="38">
        <v>46231.404756944445</v>
      </c>
      <c r="B349" s="32">
        <v>4439001698</v>
      </c>
      <c r="C349" s="32" t="s">
        <v>58</v>
      </c>
      <c r="D349" s="32">
        <v>4430265054</v>
      </c>
      <c r="E349" s="32">
        <v>772</v>
      </c>
      <c r="F349" s="32">
        <v>771</v>
      </c>
      <c r="G349" s="32" t="s">
        <v>44</v>
      </c>
      <c r="H349" s="32" t="s">
        <v>409</v>
      </c>
      <c r="I349" s="32" t="s">
        <v>40</v>
      </c>
      <c r="J349" s="32" t="s">
        <v>46</v>
      </c>
      <c r="K349" s="32" t="s">
        <v>42</v>
      </c>
      <c r="M349" s="32" t="s">
        <v>60</v>
      </c>
      <c r="N349" s="32" t="s">
        <v>58</v>
      </c>
    </row>
    <row r="350" spans="1:14" s="32" customFormat="1" hidden="1" x14ac:dyDescent="0.3">
      <c r="A350" s="38">
        <v>46231.399363425924</v>
      </c>
      <c r="B350" s="32">
        <v>4433231254</v>
      </c>
      <c r="C350" s="32" t="s">
        <v>58</v>
      </c>
      <c r="D350" s="32">
        <v>4430265054</v>
      </c>
      <c r="E350" s="32">
        <v>152</v>
      </c>
      <c r="F350" s="32">
        <v>152</v>
      </c>
      <c r="G350" s="32" t="s">
        <v>44</v>
      </c>
      <c r="H350" s="32" t="s">
        <v>410</v>
      </c>
      <c r="I350" s="32" t="s">
        <v>40</v>
      </c>
      <c r="J350" s="32" t="s">
        <v>46</v>
      </c>
      <c r="K350" s="32" t="s">
        <v>42</v>
      </c>
      <c r="M350" s="32" t="s">
        <v>60</v>
      </c>
      <c r="N350" s="32" t="s">
        <v>58</v>
      </c>
    </row>
    <row r="351" spans="1:14" s="32" customFormat="1" hidden="1" x14ac:dyDescent="0.3">
      <c r="A351" s="38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38</v>
      </c>
      <c r="H351" s="32" t="s">
        <v>411</v>
      </c>
      <c r="I351" s="32" t="s">
        <v>40</v>
      </c>
      <c r="J351" s="32" t="s">
        <v>41</v>
      </c>
      <c r="K351" s="32" t="s">
        <v>42</v>
      </c>
    </row>
    <row r="352" spans="1:14" s="32" customFormat="1" hidden="1" x14ac:dyDescent="0.3">
      <c r="A352" s="38">
        <v>46231.395925925928</v>
      </c>
      <c r="B352" s="32">
        <v>4432524636</v>
      </c>
      <c r="C352" s="32" t="s">
        <v>43</v>
      </c>
      <c r="D352" s="32">
        <v>4430265054</v>
      </c>
      <c r="E352" s="32">
        <v>508</v>
      </c>
      <c r="F352" s="32">
        <v>436</v>
      </c>
      <c r="G352" s="32" t="s">
        <v>44</v>
      </c>
      <c r="H352" s="32" t="s">
        <v>412</v>
      </c>
      <c r="I352" s="32" t="s">
        <v>40</v>
      </c>
      <c r="J352" s="32" t="s">
        <v>46</v>
      </c>
      <c r="K352" s="32" t="s">
        <v>42</v>
      </c>
      <c r="L352" s="32">
        <v>5</v>
      </c>
      <c r="M352" s="32" t="s">
        <v>47</v>
      </c>
      <c r="N352" s="32" t="s">
        <v>43</v>
      </c>
    </row>
    <row r="353" spans="1:14" s="32" customFormat="1" hidden="1" x14ac:dyDescent="0.3">
      <c r="A353" s="38">
        <v>46231.390509259261</v>
      </c>
      <c r="B353" s="32">
        <v>4432336975</v>
      </c>
      <c r="C353" s="32" t="s">
        <v>58</v>
      </c>
      <c r="D353" s="32">
        <v>4430265054</v>
      </c>
      <c r="E353" s="32">
        <v>138</v>
      </c>
      <c r="F353" s="32">
        <v>99</v>
      </c>
      <c r="G353" s="32" t="s">
        <v>44</v>
      </c>
      <c r="H353" s="32" t="s">
        <v>413</v>
      </c>
      <c r="I353" s="32" t="s">
        <v>40</v>
      </c>
      <c r="J353" s="32" t="s">
        <v>46</v>
      </c>
      <c r="K353" s="32" t="s">
        <v>42</v>
      </c>
      <c r="M353" s="32" t="s">
        <v>60</v>
      </c>
      <c r="N353" s="32" t="s">
        <v>58</v>
      </c>
    </row>
    <row r="354" spans="1:14" s="32" customFormat="1" x14ac:dyDescent="0.3">
      <c r="A354" s="38">
        <v>46231.390046296299</v>
      </c>
      <c r="B354" s="32">
        <v>6434534421</v>
      </c>
      <c r="C354" s="32" t="s">
        <v>49</v>
      </c>
      <c r="D354" s="32">
        <v>4430265054</v>
      </c>
      <c r="E354" s="32">
        <v>1918</v>
      </c>
      <c r="F354" s="32">
        <v>1874</v>
      </c>
      <c r="G354" s="32" t="s">
        <v>44</v>
      </c>
      <c r="H354" s="32" t="s">
        <v>414</v>
      </c>
      <c r="I354" s="32" t="s">
        <v>40</v>
      </c>
      <c r="J354" s="32" t="s">
        <v>46</v>
      </c>
      <c r="K354" s="32" t="s">
        <v>42</v>
      </c>
      <c r="L354" s="32">
        <v>5</v>
      </c>
      <c r="M354" s="32" t="s">
        <v>51</v>
      </c>
      <c r="N354" s="32" t="s">
        <v>49</v>
      </c>
    </row>
    <row r="355" spans="1:14" s="32" customFormat="1" hidden="1" x14ac:dyDescent="0.3">
      <c r="A355" s="38">
        <v>46231.388124999998</v>
      </c>
      <c r="B355" s="32" t="s">
        <v>43</v>
      </c>
      <c r="C355" s="32">
        <v>4436249360</v>
      </c>
      <c r="E355" s="32">
        <v>528</v>
      </c>
      <c r="F355" s="32">
        <v>518</v>
      </c>
      <c r="G355" s="32" t="s">
        <v>44</v>
      </c>
      <c r="H355" s="32" t="s">
        <v>415</v>
      </c>
      <c r="I355" s="32" t="s">
        <v>54</v>
      </c>
      <c r="J355" s="32" t="s">
        <v>46</v>
      </c>
      <c r="L355" s="32">
        <v>5</v>
      </c>
      <c r="M355" s="32" t="s">
        <v>47</v>
      </c>
      <c r="N355" s="32" t="s">
        <v>43</v>
      </c>
    </row>
    <row r="356" spans="1:14" s="32" customFormat="1" hidden="1" x14ac:dyDescent="0.3">
      <c r="A356" s="38">
        <v>46231.387800925928</v>
      </c>
      <c r="B356" s="32" t="s">
        <v>43</v>
      </c>
      <c r="C356" s="32">
        <v>44991041123</v>
      </c>
      <c r="E356" s="32">
        <v>19</v>
      </c>
      <c r="F356" s="32">
        <v>0</v>
      </c>
      <c r="G356" s="32" t="s">
        <v>63</v>
      </c>
      <c r="H356" s="32" t="s">
        <v>416</v>
      </c>
      <c r="I356" s="32" t="s">
        <v>54</v>
      </c>
      <c r="J356" s="32" t="s">
        <v>46</v>
      </c>
      <c r="M356" s="32" t="s">
        <v>47</v>
      </c>
      <c r="N356" s="32" t="s">
        <v>43</v>
      </c>
    </row>
    <row r="357" spans="1:14" s="32" customFormat="1" hidden="1" x14ac:dyDescent="0.3">
      <c r="A357" s="38">
        <v>46231.387013888889</v>
      </c>
      <c r="B357" s="32" t="s">
        <v>43</v>
      </c>
      <c r="C357" s="32">
        <v>4434233230</v>
      </c>
      <c r="E357" s="32">
        <v>43</v>
      </c>
      <c r="F357" s="32">
        <v>29</v>
      </c>
      <c r="G357" s="32" t="s">
        <v>44</v>
      </c>
      <c r="H357" s="32" t="s">
        <v>417</v>
      </c>
      <c r="I357" s="32" t="s">
        <v>54</v>
      </c>
      <c r="J357" s="32" t="s">
        <v>46</v>
      </c>
      <c r="M357" s="32" t="s">
        <v>47</v>
      </c>
      <c r="N357" s="32" t="s">
        <v>43</v>
      </c>
    </row>
    <row r="358" spans="1:14" s="32" customFormat="1" hidden="1" x14ac:dyDescent="0.3">
      <c r="A358" s="38">
        <v>46231.38689814815</v>
      </c>
      <c r="B358" s="32" t="s">
        <v>43</v>
      </c>
      <c r="C358" s="32">
        <v>4430459032</v>
      </c>
      <c r="E358" s="32">
        <v>2</v>
      </c>
      <c r="F358" s="32">
        <v>0</v>
      </c>
      <c r="G358" s="32" t="s">
        <v>63</v>
      </c>
      <c r="H358" s="32" t="s">
        <v>418</v>
      </c>
      <c r="I358" s="32" t="s">
        <v>54</v>
      </c>
      <c r="J358" s="32" t="s">
        <v>46</v>
      </c>
      <c r="M358" s="32" t="s">
        <v>47</v>
      </c>
      <c r="N358" s="32" t="s">
        <v>43</v>
      </c>
    </row>
    <row r="359" spans="1:14" s="32" customFormat="1" hidden="1" x14ac:dyDescent="0.3">
      <c r="A359" s="38">
        <v>46231.38548611111</v>
      </c>
      <c r="B359" s="32">
        <v>44991041123</v>
      </c>
      <c r="C359" s="32" t="s">
        <v>58</v>
      </c>
      <c r="D359" s="32">
        <v>4430265054</v>
      </c>
      <c r="E359" s="32">
        <v>274</v>
      </c>
      <c r="F359" s="32">
        <v>274</v>
      </c>
      <c r="G359" s="32" t="s">
        <v>44</v>
      </c>
      <c r="H359" s="32" t="s">
        <v>419</v>
      </c>
      <c r="I359" s="32" t="s">
        <v>40</v>
      </c>
      <c r="J359" s="32" t="s">
        <v>46</v>
      </c>
      <c r="K359" s="32" t="s">
        <v>42</v>
      </c>
      <c r="M359" s="32" t="s">
        <v>60</v>
      </c>
      <c r="N359" s="32" t="s">
        <v>58</v>
      </c>
    </row>
    <row r="360" spans="1:14" s="32" customFormat="1" hidden="1" x14ac:dyDescent="0.3">
      <c r="A360" s="38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38</v>
      </c>
      <c r="H360" s="32" t="s">
        <v>420</v>
      </c>
      <c r="I360" s="32" t="s">
        <v>40</v>
      </c>
      <c r="J360" s="32" t="s">
        <v>41</v>
      </c>
    </row>
    <row r="361" spans="1:14" s="32" customFormat="1" hidden="1" x14ac:dyDescent="0.3">
      <c r="A361" s="38">
        <v>46231.376539351855</v>
      </c>
      <c r="B361" s="32" t="s">
        <v>43</v>
      </c>
      <c r="C361" s="32">
        <v>4434212150</v>
      </c>
      <c r="E361" s="32">
        <v>637</v>
      </c>
      <c r="F361" s="32">
        <v>629</v>
      </c>
      <c r="G361" s="32" t="s">
        <v>44</v>
      </c>
      <c r="H361" s="32" t="s">
        <v>421</v>
      </c>
      <c r="I361" s="32" t="s">
        <v>54</v>
      </c>
      <c r="J361" s="32" t="s">
        <v>46</v>
      </c>
      <c r="M361" s="32" t="s">
        <v>47</v>
      </c>
      <c r="N361" s="32" t="s">
        <v>43</v>
      </c>
    </row>
    <row r="362" spans="1:14" s="32" customFormat="1" hidden="1" x14ac:dyDescent="0.3">
      <c r="A362" s="38">
        <v>46231.366180555553</v>
      </c>
      <c r="B362" s="32">
        <v>45999334612</v>
      </c>
      <c r="C362" s="32" t="s">
        <v>58</v>
      </c>
      <c r="D362" s="32">
        <v>4430265054</v>
      </c>
      <c r="E362" s="32">
        <v>727</v>
      </c>
      <c r="F362" s="32">
        <v>699</v>
      </c>
      <c r="G362" s="32" t="s">
        <v>44</v>
      </c>
      <c r="H362" s="32" t="s">
        <v>422</v>
      </c>
      <c r="I362" s="32" t="s">
        <v>40</v>
      </c>
      <c r="J362" s="32" t="s">
        <v>46</v>
      </c>
      <c r="K362" s="32" t="s">
        <v>42</v>
      </c>
      <c r="L362" s="32">
        <v>5</v>
      </c>
      <c r="M362" s="32" t="s">
        <v>60</v>
      </c>
      <c r="N362" s="32" t="s">
        <v>58</v>
      </c>
    </row>
    <row r="363" spans="1:14" s="32" customFormat="1" hidden="1" x14ac:dyDescent="0.3">
      <c r="A363" s="38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38</v>
      </c>
      <c r="H363" s="32" t="s">
        <v>423</v>
      </c>
      <c r="I363" s="32" t="s">
        <v>40</v>
      </c>
      <c r="J363" s="32" t="s">
        <v>41</v>
      </c>
      <c r="K363" s="32" t="s">
        <v>42</v>
      </c>
    </row>
    <row r="364" spans="1:14" s="32" customFormat="1" hidden="1" x14ac:dyDescent="0.3">
      <c r="A364" s="38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38</v>
      </c>
      <c r="H364" s="32" t="s">
        <v>424</v>
      </c>
      <c r="I364" s="32" t="s">
        <v>40</v>
      </c>
      <c r="J364" s="32" t="s">
        <v>41</v>
      </c>
    </row>
    <row r="365" spans="1:14" s="32" customFormat="1" hidden="1" x14ac:dyDescent="0.3">
      <c r="A365" s="38">
        <v>46231.357442129629</v>
      </c>
      <c r="B365" s="32">
        <v>44997571961</v>
      </c>
      <c r="C365" s="32" t="s">
        <v>49</v>
      </c>
      <c r="D365" s="32">
        <v>4430265054</v>
      </c>
      <c r="E365" s="32">
        <v>1442</v>
      </c>
      <c r="F365" s="32">
        <v>1410</v>
      </c>
      <c r="G365" s="32" t="s">
        <v>44</v>
      </c>
      <c r="H365" s="32" t="s">
        <v>425</v>
      </c>
      <c r="I365" s="32" t="s">
        <v>40</v>
      </c>
      <c r="J365" s="32" t="s">
        <v>46</v>
      </c>
      <c r="K365" s="32" t="s">
        <v>42</v>
      </c>
      <c r="M365" s="32" t="s">
        <v>51</v>
      </c>
      <c r="N365" s="32" t="s">
        <v>49</v>
      </c>
    </row>
    <row r="366" spans="1:14" s="32" customFormat="1" hidden="1" x14ac:dyDescent="0.3">
      <c r="A366" s="38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38</v>
      </c>
      <c r="H366" s="32" t="s">
        <v>426</v>
      </c>
      <c r="I366" s="32" t="s">
        <v>40</v>
      </c>
      <c r="J366" s="32" t="s">
        <v>41</v>
      </c>
    </row>
    <row r="367" spans="1:14" s="32" customFormat="1" hidden="1" x14ac:dyDescent="0.3">
      <c r="A367" s="38">
        <v>46230.714097222219</v>
      </c>
      <c r="B367" s="32">
        <v>64984043469</v>
      </c>
      <c r="C367" s="32" t="s">
        <v>58</v>
      </c>
      <c r="D367" s="32">
        <v>4430265054</v>
      </c>
      <c r="E367" s="32">
        <v>357</v>
      </c>
      <c r="F367" s="32">
        <v>356</v>
      </c>
      <c r="G367" s="32" t="s">
        <v>44</v>
      </c>
      <c r="H367" s="32" t="s">
        <v>427</v>
      </c>
      <c r="I367" s="32" t="s">
        <v>40</v>
      </c>
      <c r="J367" s="32" t="s">
        <v>46</v>
      </c>
      <c r="K367" s="32" t="s">
        <v>42</v>
      </c>
      <c r="L367" s="32">
        <v>5</v>
      </c>
      <c r="M367" s="32" t="s">
        <v>60</v>
      </c>
      <c r="N367" s="32" t="s">
        <v>58</v>
      </c>
    </row>
    <row r="368" spans="1:14" s="32" customFormat="1" hidden="1" x14ac:dyDescent="0.3">
      <c r="A368" s="38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38</v>
      </c>
      <c r="H368" s="32" t="s">
        <v>428</v>
      </c>
      <c r="I368" s="32" t="s">
        <v>40</v>
      </c>
      <c r="J368" s="32" t="s">
        <v>41</v>
      </c>
      <c r="K368" s="32" t="s">
        <v>212</v>
      </c>
    </row>
    <row r="369" spans="1:14" s="32" customFormat="1" hidden="1" x14ac:dyDescent="0.3">
      <c r="A369" s="38">
        <v>46230.706284722219</v>
      </c>
      <c r="B369" s="32">
        <v>1128897100</v>
      </c>
      <c r="C369" s="32" t="s">
        <v>49</v>
      </c>
      <c r="D369" s="32">
        <v>4430265054</v>
      </c>
      <c r="E369" s="32">
        <v>70</v>
      </c>
      <c r="F369" s="32">
        <v>31</v>
      </c>
      <c r="G369" s="32" t="s">
        <v>44</v>
      </c>
      <c r="H369" s="32" t="s">
        <v>429</v>
      </c>
      <c r="I369" s="32" t="s">
        <v>40</v>
      </c>
      <c r="J369" s="32" t="s">
        <v>46</v>
      </c>
      <c r="K369" s="32" t="s">
        <v>42</v>
      </c>
      <c r="M369" s="32" t="s">
        <v>51</v>
      </c>
      <c r="N369" s="32" t="s">
        <v>49</v>
      </c>
    </row>
    <row r="370" spans="1:14" s="32" customFormat="1" hidden="1" x14ac:dyDescent="0.3">
      <c r="A370" s="38">
        <v>46230.704768518517</v>
      </c>
      <c r="B370" s="32">
        <v>4430188650</v>
      </c>
      <c r="C370" s="32" t="s">
        <v>43</v>
      </c>
      <c r="D370" s="32">
        <v>4430265054</v>
      </c>
      <c r="E370" s="32">
        <v>671</v>
      </c>
      <c r="F370" s="32">
        <v>583</v>
      </c>
      <c r="G370" s="32" t="s">
        <v>44</v>
      </c>
      <c r="H370" s="32" t="s">
        <v>430</v>
      </c>
      <c r="I370" s="32" t="s">
        <v>40</v>
      </c>
      <c r="J370" s="32" t="s">
        <v>46</v>
      </c>
      <c r="K370" s="32" t="s">
        <v>42</v>
      </c>
      <c r="M370" s="32" t="s">
        <v>47</v>
      </c>
      <c r="N370" s="32" t="s">
        <v>43</v>
      </c>
    </row>
    <row r="371" spans="1:14" s="32" customFormat="1" hidden="1" x14ac:dyDescent="0.3">
      <c r="A371" s="38">
        <v>46230.704722222225</v>
      </c>
      <c r="B371" s="32">
        <v>44998046835</v>
      </c>
      <c r="C371" s="32" t="s">
        <v>109</v>
      </c>
      <c r="D371" s="32">
        <v>4430265054</v>
      </c>
      <c r="E371" s="32">
        <v>66</v>
      </c>
      <c r="F371" s="32">
        <v>66</v>
      </c>
      <c r="G371" s="32" t="s">
        <v>44</v>
      </c>
      <c r="H371" s="32" t="s">
        <v>431</v>
      </c>
      <c r="I371" s="32" t="s">
        <v>40</v>
      </c>
      <c r="J371" s="32" t="s">
        <v>111</v>
      </c>
      <c r="K371" s="32" t="s">
        <v>212</v>
      </c>
      <c r="M371" s="32" t="s">
        <v>112</v>
      </c>
      <c r="N371" s="32" t="s">
        <v>109</v>
      </c>
    </row>
    <row r="372" spans="1:14" s="32" customFormat="1" hidden="1" x14ac:dyDescent="0.3">
      <c r="A372" s="38">
        <v>46230.696932870371</v>
      </c>
      <c r="B372" s="32">
        <v>4430293755</v>
      </c>
      <c r="C372" s="32" t="s">
        <v>43</v>
      </c>
      <c r="D372" s="32">
        <v>4430265054</v>
      </c>
      <c r="E372" s="32">
        <v>543</v>
      </c>
      <c r="F372" s="32">
        <v>542</v>
      </c>
      <c r="G372" s="32" t="s">
        <v>44</v>
      </c>
      <c r="H372" s="32" t="s">
        <v>432</v>
      </c>
      <c r="I372" s="32" t="s">
        <v>40</v>
      </c>
      <c r="J372" s="32" t="s">
        <v>46</v>
      </c>
      <c r="K372" s="32" t="s">
        <v>42</v>
      </c>
      <c r="M372" s="32" t="s">
        <v>47</v>
      </c>
      <c r="N372" s="32" t="s">
        <v>43</v>
      </c>
    </row>
    <row r="373" spans="1:14" s="32" customFormat="1" hidden="1" x14ac:dyDescent="0.3">
      <c r="A373" s="38">
        <v>46230.69253472222</v>
      </c>
      <c r="B373" s="32">
        <v>44998068281</v>
      </c>
      <c r="C373" s="32" t="s">
        <v>58</v>
      </c>
      <c r="D373" s="32">
        <v>4430265054</v>
      </c>
      <c r="E373" s="32">
        <v>299</v>
      </c>
      <c r="F373" s="32">
        <v>299</v>
      </c>
      <c r="G373" s="32" t="s">
        <v>44</v>
      </c>
      <c r="H373" s="32" t="s">
        <v>433</v>
      </c>
      <c r="I373" s="32" t="s">
        <v>40</v>
      </c>
      <c r="J373" s="32" t="s">
        <v>46</v>
      </c>
      <c r="K373" s="32" t="s">
        <v>42</v>
      </c>
      <c r="M373" s="32" t="s">
        <v>60</v>
      </c>
      <c r="N373" s="32" t="s">
        <v>58</v>
      </c>
    </row>
    <row r="374" spans="1:14" s="32" customFormat="1" x14ac:dyDescent="0.3">
      <c r="A374" s="38">
        <v>46230.682523148149</v>
      </c>
      <c r="B374" s="32">
        <v>44984241715</v>
      </c>
      <c r="C374" s="32" t="s">
        <v>49</v>
      </c>
      <c r="D374" s="32">
        <v>4430265054</v>
      </c>
      <c r="E374" s="32">
        <v>1015</v>
      </c>
      <c r="F374" s="32">
        <v>912</v>
      </c>
      <c r="G374" s="32" t="s">
        <v>44</v>
      </c>
      <c r="H374" s="32" t="s">
        <v>434</v>
      </c>
      <c r="I374" s="32" t="s">
        <v>40</v>
      </c>
      <c r="J374" s="32" t="s">
        <v>46</v>
      </c>
      <c r="K374" s="32" t="s">
        <v>42</v>
      </c>
      <c r="L374" s="32">
        <v>5</v>
      </c>
      <c r="M374" s="32" t="s">
        <v>51</v>
      </c>
      <c r="N374" s="32" t="s">
        <v>49</v>
      </c>
    </row>
    <row r="375" spans="1:14" s="32" customFormat="1" hidden="1" x14ac:dyDescent="0.3">
      <c r="A375" s="38">
        <v>46230.674259259256</v>
      </c>
      <c r="B375" s="32">
        <v>1143744993</v>
      </c>
      <c r="C375" s="32" t="s">
        <v>58</v>
      </c>
      <c r="D375" s="32">
        <v>4431268225</v>
      </c>
      <c r="E375" s="32">
        <v>179</v>
      </c>
      <c r="F375" s="32">
        <v>178</v>
      </c>
      <c r="G375" s="32" t="s">
        <v>44</v>
      </c>
      <c r="H375" s="32" t="s">
        <v>435</v>
      </c>
      <c r="I375" s="32" t="s">
        <v>40</v>
      </c>
      <c r="J375" s="32" t="s">
        <v>46</v>
      </c>
      <c r="K375" s="32" t="s">
        <v>42</v>
      </c>
      <c r="L375" s="32">
        <v>5</v>
      </c>
      <c r="M375" s="32" t="s">
        <v>60</v>
      </c>
      <c r="N375" s="32" t="s">
        <v>58</v>
      </c>
    </row>
    <row r="376" spans="1:14" s="32" customFormat="1" hidden="1" x14ac:dyDescent="0.3">
      <c r="A376" s="38">
        <v>46230.66946759259</v>
      </c>
      <c r="B376" s="32">
        <v>4430345247</v>
      </c>
      <c r="C376" s="32" t="s">
        <v>58</v>
      </c>
      <c r="D376" s="32">
        <v>4430265054</v>
      </c>
      <c r="E376" s="32">
        <v>422</v>
      </c>
      <c r="F376" s="32">
        <v>246</v>
      </c>
      <c r="G376" s="32" t="s">
        <v>44</v>
      </c>
      <c r="H376" s="32" t="s">
        <v>436</v>
      </c>
      <c r="I376" s="32" t="s">
        <v>40</v>
      </c>
      <c r="J376" s="32" t="s">
        <v>46</v>
      </c>
      <c r="K376" s="32" t="s">
        <v>42</v>
      </c>
      <c r="M376" s="32" t="s">
        <v>60</v>
      </c>
      <c r="N376" s="32" t="s">
        <v>58</v>
      </c>
    </row>
    <row r="377" spans="1:14" s="32" customFormat="1" hidden="1" x14ac:dyDescent="0.3">
      <c r="A377" s="38">
        <v>46230.663842592592</v>
      </c>
      <c r="B377" s="32">
        <v>44998039090</v>
      </c>
      <c r="C377" s="32" t="s">
        <v>43</v>
      </c>
      <c r="D377" s="32">
        <v>4430265054</v>
      </c>
      <c r="E377" s="32">
        <v>1039</v>
      </c>
      <c r="F377" s="32">
        <v>1021</v>
      </c>
      <c r="G377" s="32" t="s">
        <v>44</v>
      </c>
      <c r="H377" s="32" t="s">
        <v>437</v>
      </c>
      <c r="I377" s="32" t="s">
        <v>40</v>
      </c>
      <c r="J377" s="32" t="s">
        <v>46</v>
      </c>
      <c r="K377" s="32" t="s">
        <v>42</v>
      </c>
      <c r="M377" s="32" t="s">
        <v>47</v>
      </c>
      <c r="N377" s="32" t="s">
        <v>43</v>
      </c>
    </row>
    <row r="378" spans="1:14" s="32" customFormat="1" hidden="1" x14ac:dyDescent="0.3">
      <c r="A378" s="38">
        <v>46230.657453703701</v>
      </c>
      <c r="B378" s="32">
        <v>4334234629</v>
      </c>
      <c r="C378" s="32" t="s">
        <v>43</v>
      </c>
      <c r="D378" s="32">
        <v>4430265054</v>
      </c>
      <c r="E378" s="32">
        <v>143</v>
      </c>
      <c r="F378" s="32">
        <v>111</v>
      </c>
      <c r="G378" s="32" t="s">
        <v>44</v>
      </c>
      <c r="H378" s="32" t="s">
        <v>438</v>
      </c>
      <c r="I378" s="32" t="s">
        <v>40</v>
      </c>
      <c r="J378" s="32" t="s">
        <v>46</v>
      </c>
      <c r="K378" s="32" t="s">
        <v>42</v>
      </c>
      <c r="M378" s="32" t="s">
        <v>47</v>
      </c>
      <c r="N378" s="32" t="s">
        <v>43</v>
      </c>
    </row>
    <row r="379" spans="1:14" s="32" customFormat="1" hidden="1" x14ac:dyDescent="0.3">
      <c r="A379" s="38">
        <v>46230.655416666668</v>
      </c>
      <c r="B379" s="32">
        <v>4430293755</v>
      </c>
      <c r="C379" s="32" t="s">
        <v>43</v>
      </c>
      <c r="D379" s="32">
        <v>4430265054</v>
      </c>
      <c r="E379" s="32">
        <v>84</v>
      </c>
      <c r="F379" s="32">
        <v>68</v>
      </c>
      <c r="G379" s="32" t="s">
        <v>44</v>
      </c>
      <c r="H379" s="32" t="s">
        <v>439</v>
      </c>
      <c r="I379" s="32" t="s">
        <v>40</v>
      </c>
      <c r="J379" s="32" t="s">
        <v>46</v>
      </c>
      <c r="K379" s="32" t="s">
        <v>42</v>
      </c>
      <c r="M379" s="32" t="s">
        <v>47</v>
      </c>
      <c r="N379" s="32" t="s">
        <v>43</v>
      </c>
    </row>
    <row r="380" spans="1:14" s="32" customFormat="1" x14ac:dyDescent="0.3">
      <c r="A380" s="38">
        <v>46230.653043981481</v>
      </c>
      <c r="B380" s="32">
        <v>44997719213</v>
      </c>
      <c r="C380" s="32" t="s">
        <v>49</v>
      </c>
      <c r="D380" s="32">
        <v>4430265054</v>
      </c>
      <c r="E380" s="32">
        <v>2027</v>
      </c>
      <c r="F380" s="32">
        <v>1987</v>
      </c>
      <c r="G380" s="32" t="s">
        <v>44</v>
      </c>
      <c r="H380" s="32" t="s">
        <v>440</v>
      </c>
      <c r="I380" s="32" t="s">
        <v>40</v>
      </c>
      <c r="J380" s="32" t="s">
        <v>46</v>
      </c>
      <c r="K380" s="32" t="s">
        <v>42</v>
      </c>
      <c r="L380" s="32">
        <v>5</v>
      </c>
      <c r="M380" s="32" t="s">
        <v>51</v>
      </c>
      <c r="N380" s="32" t="s">
        <v>49</v>
      </c>
    </row>
    <row r="381" spans="1:14" s="32" customFormat="1" hidden="1" x14ac:dyDescent="0.3">
      <c r="A381" s="38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38</v>
      </c>
      <c r="H381" s="32" t="s">
        <v>441</v>
      </c>
      <c r="I381" s="32" t="s">
        <v>40</v>
      </c>
      <c r="J381" s="32" t="s">
        <v>41</v>
      </c>
      <c r="K381" s="32" t="s">
        <v>212</v>
      </c>
    </row>
    <row r="382" spans="1:14" s="32" customFormat="1" hidden="1" x14ac:dyDescent="0.3">
      <c r="A382" s="38">
        <v>46230.632951388892</v>
      </c>
      <c r="B382" s="32">
        <v>44991354005</v>
      </c>
      <c r="C382" s="32" t="s">
        <v>43</v>
      </c>
      <c r="D382" s="32">
        <v>4430265054</v>
      </c>
      <c r="E382" s="32">
        <v>181</v>
      </c>
      <c r="F382" s="32">
        <v>159</v>
      </c>
      <c r="G382" s="32" t="s">
        <v>44</v>
      </c>
      <c r="H382" s="32" t="s">
        <v>442</v>
      </c>
      <c r="I382" s="32" t="s">
        <v>40</v>
      </c>
      <c r="J382" s="32" t="s">
        <v>46</v>
      </c>
      <c r="K382" s="32" t="s">
        <v>42</v>
      </c>
      <c r="L382" s="32">
        <v>5</v>
      </c>
      <c r="M382" s="32" t="s">
        <v>47</v>
      </c>
      <c r="N382" s="32" t="s">
        <v>43</v>
      </c>
    </row>
    <row r="383" spans="1:14" s="32" customFormat="1" hidden="1" x14ac:dyDescent="0.3">
      <c r="A383" s="38">
        <v>46230.628657407404</v>
      </c>
      <c r="B383" s="32">
        <v>4432697000</v>
      </c>
      <c r="C383" s="32" t="s">
        <v>43</v>
      </c>
      <c r="D383" s="32">
        <v>4430265054</v>
      </c>
      <c r="E383" s="32">
        <v>115</v>
      </c>
      <c r="F383" s="32">
        <v>94</v>
      </c>
      <c r="G383" s="32" t="s">
        <v>44</v>
      </c>
      <c r="H383" s="32" t="s">
        <v>443</v>
      </c>
      <c r="I383" s="32" t="s">
        <v>40</v>
      </c>
      <c r="J383" s="32" t="s">
        <v>46</v>
      </c>
      <c r="K383" s="32" t="s">
        <v>42</v>
      </c>
      <c r="M383" s="32" t="s">
        <v>47</v>
      </c>
      <c r="N383" s="32" t="s">
        <v>43</v>
      </c>
    </row>
    <row r="384" spans="1:14" s="32" customFormat="1" x14ac:dyDescent="0.3">
      <c r="A384" s="38">
        <v>46230.619895833333</v>
      </c>
      <c r="B384" s="32">
        <v>44998039090</v>
      </c>
      <c r="C384" s="32" t="s">
        <v>49</v>
      </c>
      <c r="D384" s="32">
        <v>4430265054</v>
      </c>
      <c r="E384" s="32">
        <v>1166</v>
      </c>
      <c r="F384" s="32">
        <v>1125</v>
      </c>
      <c r="G384" s="32" t="s">
        <v>44</v>
      </c>
      <c r="H384" s="32" t="s">
        <v>444</v>
      </c>
      <c r="I384" s="32" t="s">
        <v>40</v>
      </c>
      <c r="J384" s="32" t="s">
        <v>46</v>
      </c>
      <c r="K384" s="32" t="s">
        <v>42</v>
      </c>
      <c r="L384" s="32">
        <v>4</v>
      </c>
      <c r="M384" s="32" t="s">
        <v>51</v>
      </c>
      <c r="N384" s="32" t="s">
        <v>49</v>
      </c>
    </row>
    <row r="385" spans="1:14" s="32" customFormat="1" hidden="1" x14ac:dyDescent="0.3">
      <c r="A385" s="38">
        <v>46230.599895833337</v>
      </c>
      <c r="B385" s="32">
        <v>4334726613</v>
      </c>
      <c r="C385" s="32" t="s">
        <v>58</v>
      </c>
      <c r="D385" s="32">
        <v>4430265054</v>
      </c>
      <c r="E385" s="32">
        <v>368</v>
      </c>
      <c r="F385" s="32">
        <v>292</v>
      </c>
      <c r="G385" s="32" t="s">
        <v>44</v>
      </c>
      <c r="H385" s="32" t="s">
        <v>445</v>
      </c>
      <c r="I385" s="32" t="s">
        <v>40</v>
      </c>
      <c r="J385" s="32" t="s">
        <v>46</v>
      </c>
      <c r="K385" s="32" t="s">
        <v>42</v>
      </c>
      <c r="M385" s="32" t="s">
        <v>60</v>
      </c>
      <c r="N385" s="32" t="s">
        <v>58</v>
      </c>
    </row>
    <row r="386" spans="1:14" s="32" customFormat="1" hidden="1" x14ac:dyDescent="0.3">
      <c r="A386" s="38">
        <v>46230.599606481483</v>
      </c>
      <c r="B386" s="32" t="s">
        <v>207</v>
      </c>
      <c r="C386" s="32">
        <v>43996490165</v>
      </c>
      <c r="E386" s="32">
        <v>158</v>
      </c>
      <c r="F386" s="32">
        <v>152</v>
      </c>
      <c r="G386" s="32" t="s">
        <v>44</v>
      </c>
      <c r="H386" s="32" t="s">
        <v>446</v>
      </c>
      <c r="I386" s="32" t="s">
        <v>54</v>
      </c>
      <c r="J386" s="32" t="s">
        <v>111</v>
      </c>
      <c r="M386" s="32" t="s">
        <v>209</v>
      </c>
      <c r="N386" s="32" t="s">
        <v>207</v>
      </c>
    </row>
    <row r="387" spans="1:14" s="32" customFormat="1" hidden="1" x14ac:dyDescent="0.3">
      <c r="A387" s="38">
        <v>46230.599050925928</v>
      </c>
      <c r="B387" s="32" t="s">
        <v>207</v>
      </c>
      <c r="C387" s="32">
        <v>43996490165</v>
      </c>
      <c r="E387" s="32">
        <v>18</v>
      </c>
      <c r="F387" s="32">
        <v>0</v>
      </c>
      <c r="G387" s="32" t="s">
        <v>44</v>
      </c>
      <c r="H387" s="32" t="s">
        <v>447</v>
      </c>
      <c r="I387" s="32" t="s">
        <v>54</v>
      </c>
      <c r="J387" s="32" t="s">
        <v>111</v>
      </c>
      <c r="M387" s="32" t="s">
        <v>209</v>
      </c>
      <c r="N387" s="32" t="s">
        <v>207</v>
      </c>
    </row>
    <row r="388" spans="1:14" s="32" customFormat="1" x14ac:dyDescent="0.3">
      <c r="A388" s="38">
        <v>46230.596435185187</v>
      </c>
      <c r="B388" s="32">
        <v>41998909974</v>
      </c>
      <c r="C388" s="32" t="s">
        <v>49</v>
      </c>
      <c r="D388" s="32">
        <v>4430265054</v>
      </c>
      <c r="E388" s="32">
        <v>758</v>
      </c>
      <c r="F388" s="32">
        <v>719</v>
      </c>
      <c r="G388" s="32" t="s">
        <v>44</v>
      </c>
      <c r="H388" s="32" t="s">
        <v>448</v>
      </c>
      <c r="I388" s="32" t="s">
        <v>40</v>
      </c>
      <c r="J388" s="32" t="s">
        <v>46</v>
      </c>
      <c r="K388" s="32" t="s">
        <v>42</v>
      </c>
      <c r="L388" s="32">
        <v>5</v>
      </c>
      <c r="M388" s="32" t="s">
        <v>51</v>
      </c>
      <c r="N388" s="32" t="s">
        <v>49</v>
      </c>
    </row>
    <row r="389" spans="1:14" s="32" customFormat="1" x14ac:dyDescent="0.3">
      <c r="A389" s="38">
        <v>46230.58457175926</v>
      </c>
      <c r="B389" s="32">
        <v>4430141092</v>
      </c>
      <c r="C389" s="32" t="s">
        <v>49</v>
      </c>
      <c r="D389" s="32">
        <v>4430265054</v>
      </c>
      <c r="E389" s="32">
        <v>227</v>
      </c>
      <c r="F389" s="32">
        <v>105</v>
      </c>
      <c r="G389" s="32" t="s">
        <v>44</v>
      </c>
      <c r="H389" s="32" t="s">
        <v>449</v>
      </c>
      <c r="I389" s="32" t="s">
        <v>40</v>
      </c>
      <c r="J389" s="32" t="s">
        <v>46</v>
      </c>
      <c r="K389" s="32" t="s">
        <v>42</v>
      </c>
      <c r="L389" s="32">
        <v>5</v>
      </c>
      <c r="M389" s="32" t="s">
        <v>51</v>
      </c>
      <c r="N389" s="32" t="s">
        <v>49</v>
      </c>
    </row>
    <row r="390" spans="1:14" s="32" customFormat="1" hidden="1" x14ac:dyDescent="0.3">
      <c r="A390" s="38">
        <v>46230.584270833337</v>
      </c>
      <c r="B390" s="32">
        <v>4434233230</v>
      </c>
      <c r="C390" s="32" t="s">
        <v>43</v>
      </c>
      <c r="D390" s="32">
        <v>4430265054</v>
      </c>
      <c r="E390" s="32">
        <v>1663</v>
      </c>
      <c r="F390" s="32">
        <v>1571</v>
      </c>
      <c r="G390" s="32" t="s">
        <v>44</v>
      </c>
      <c r="H390" s="32" t="s">
        <v>450</v>
      </c>
      <c r="I390" s="32" t="s">
        <v>40</v>
      </c>
      <c r="J390" s="32" t="s">
        <v>46</v>
      </c>
      <c r="K390" s="32" t="s">
        <v>42</v>
      </c>
      <c r="M390" s="32" t="s">
        <v>47</v>
      </c>
      <c r="N390" s="32" t="s">
        <v>43</v>
      </c>
    </row>
    <row r="391" spans="1:14" s="32" customFormat="1" hidden="1" x14ac:dyDescent="0.3">
      <c r="A391" s="38">
        <v>46230.568807870368</v>
      </c>
      <c r="B391" s="32">
        <v>4436281154</v>
      </c>
      <c r="C391" s="32" t="s">
        <v>58</v>
      </c>
      <c r="D391" s="32">
        <v>4430265054</v>
      </c>
      <c r="E391" s="32">
        <v>279</v>
      </c>
      <c r="F391" s="32">
        <v>219</v>
      </c>
      <c r="G391" s="32" t="s">
        <v>44</v>
      </c>
      <c r="H391" s="32" t="s">
        <v>451</v>
      </c>
      <c r="I391" s="32" t="s">
        <v>40</v>
      </c>
      <c r="J391" s="32" t="s">
        <v>46</v>
      </c>
      <c r="K391" s="32" t="s">
        <v>42</v>
      </c>
      <c r="M391" s="32" t="s">
        <v>60</v>
      </c>
      <c r="N391" s="32" t="s">
        <v>58</v>
      </c>
    </row>
    <row r="392" spans="1:14" s="32" customFormat="1" hidden="1" x14ac:dyDescent="0.3">
      <c r="A392" s="38">
        <v>46230.568773148145</v>
      </c>
      <c r="B392" s="32">
        <v>4430468268</v>
      </c>
      <c r="C392" s="32" t="s">
        <v>49</v>
      </c>
      <c r="D392" s="32">
        <v>4430265054</v>
      </c>
      <c r="E392" s="32">
        <v>309</v>
      </c>
      <c r="F392" s="32">
        <v>285</v>
      </c>
      <c r="G392" s="32" t="s">
        <v>44</v>
      </c>
      <c r="H392" s="32" t="s">
        <v>452</v>
      </c>
      <c r="I392" s="32" t="s">
        <v>40</v>
      </c>
      <c r="J392" s="32" t="s">
        <v>46</v>
      </c>
      <c r="K392" s="32" t="s">
        <v>42</v>
      </c>
      <c r="M392" s="32" t="s">
        <v>51</v>
      </c>
      <c r="N392" s="32" t="s">
        <v>49</v>
      </c>
    </row>
    <row r="393" spans="1:14" s="32" customFormat="1" hidden="1" x14ac:dyDescent="0.3">
      <c r="A393" s="38">
        <v>46230.566886574074</v>
      </c>
      <c r="B393" s="32">
        <v>4430152023</v>
      </c>
      <c r="C393" s="32" t="s">
        <v>43</v>
      </c>
      <c r="D393" s="32">
        <v>4430265054</v>
      </c>
      <c r="E393" s="32">
        <v>315</v>
      </c>
      <c r="F393" s="32">
        <v>253</v>
      </c>
      <c r="G393" s="32" t="s">
        <v>44</v>
      </c>
      <c r="H393" s="32" t="s">
        <v>453</v>
      </c>
      <c r="I393" s="32" t="s">
        <v>40</v>
      </c>
      <c r="J393" s="32" t="s">
        <v>46</v>
      </c>
      <c r="K393" s="32" t="s">
        <v>42</v>
      </c>
      <c r="M393" s="32" t="s">
        <v>47</v>
      </c>
      <c r="N393" s="32" t="s">
        <v>43</v>
      </c>
    </row>
    <row r="394" spans="1:14" s="32" customFormat="1" hidden="1" x14ac:dyDescent="0.3">
      <c r="A394" s="38">
        <v>46230.490833333337</v>
      </c>
      <c r="B394" s="32">
        <v>1128897100</v>
      </c>
      <c r="C394" s="32" t="s">
        <v>207</v>
      </c>
      <c r="D394" s="32">
        <v>4430265054</v>
      </c>
      <c r="E394" s="32">
        <v>212</v>
      </c>
      <c r="F394" s="32">
        <v>192</v>
      </c>
      <c r="G394" s="32" t="s">
        <v>44</v>
      </c>
      <c r="H394" s="32" t="s">
        <v>454</v>
      </c>
      <c r="I394" s="32" t="s">
        <v>40</v>
      </c>
      <c r="J394" s="32" t="s">
        <v>111</v>
      </c>
      <c r="K394" s="32" t="s">
        <v>212</v>
      </c>
      <c r="M394" s="32" t="s">
        <v>209</v>
      </c>
      <c r="N394" s="32" t="s">
        <v>207</v>
      </c>
    </row>
    <row r="395" spans="1:14" s="32" customFormat="1" hidden="1" x14ac:dyDescent="0.3">
      <c r="A395" s="38">
        <v>46230.47351851852</v>
      </c>
      <c r="B395" s="32">
        <v>44997571961</v>
      </c>
      <c r="C395" s="32" t="s">
        <v>49</v>
      </c>
      <c r="D395" s="32">
        <v>4430265054</v>
      </c>
      <c r="E395" s="32">
        <v>290</v>
      </c>
      <c r="F395" s="32">
        <v>259</v>
      </c>
      <c r="G395" s="32" t="s">
        <v>44</v>
      </c>
      <c r="H395" s="32" t="s">
        <v>455</v>
      </c>
      <c r="I395" s="32" t="s">
        <v>40</v>
      </c>
      <c r="J395" s="32" t="s">
        <v>46</v>
      </c>
      <c r="K395" s="32" t="s">
        <v>42</v>
      </c>
      <c r="M395" s="32" t="s">
        <v>51</v>
      </c>
      <c r="N395" s="32" t="s">
        <v>49</v>
      </c>
    </row>
    <row r="396" spans="1:14" s="32" customFormat="1" hidden="1" x14ac:dyDescent="0.3">
      <c r="A396" s="38">
        <v>46230.473194444443</v>
      </c>
      <c r="B396" s="32" t="s">
        <v>49</v>
      </c>
      <c r="C396" s="32">
        <v>44997571961</v>
      </c>
      <c r="E396" s="32">
        <v>16</v>
      </c>
      <c r="F396" s="32">
        <v>0</v>
      </c>
      <c r="G396" s="32" t="s">
        <v>63</v>
      </c>
      <c r="H396" s="32" t="s">
        <v>456</v>
      </c>
      <c r="I396" s="32" t="s">
        <v>54</v>
      </c>
      <c r="J396" s="32" t="s">
        <v>46</v>
      </c>
      <c r="M396" s="32" t="s">
        <v>51</v>
      </c>
      <c r="N396" s="32" t="s">
        <v>49</v>
      </c>
    </row>
    <row r="397" spans="1:14" s="32" customFormat="1" hidden="1" x14ac:dyDescent="0.3">
      <c r="A397" s="38">
        <v>46230.472418981481</v>
      </c>
      <c r="B397" s="32">
        <v>44997571961</v>
      </c>
      <c r="C397" s="32" t="s">
        <v>49</v>
      </c>
      <c r="D397" s="32">
        <v>4430265054</v>
      </c>
      <c r="E397" s="32">
        <v>75</v>
      </c>
      <c r="F397" s="32">
        <v>33</v>
      </c>
      <c r="G397" s="32" t="s">
        <v>44</v>
      </c>
      <c r="H397" s="32" t="s">
        <v>457</v>
      </c>
      <c r="I397" s="32" t="s">
        <v>40</v>
      </c>
      <c r="J397" s="32" t="s">
        <v>46</v>
      </c>
      <c r="K397" s="32" t="s">
        <v>42</v>
      </c>
      <c r="M397" s="32" t="s">
        <v>51</v>
      </c>
      <c r="N397" s="32" t="s">
        <v>49</v>
      </c>
    </row>
    <row r="398" spans="1:14" s="32" customFormat="1" hidden="1" x14ac:dyDescent="0.3">
      <c r="A398" s="38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38</v>
      </c>
      <c r="H398" s="32" t="s">
        <v>458</v>
      </c>
      <c r="I398" s="32" t="s">
        <v>40</v>
      </c>
      <c r="J398" s="32" t="s">
        <v>41</v>
      </c>
      <c r="K398" s="32" t="s">
        <v>42</v>
      </c>
    </row>
    <row r="399" spans="1:14" s="32" customFormat="1" hidden="1" x14ac:dyDescent="0.3">
      <c r="A399" s="38">
        <v>46230.470995370371</v>
      </c>
      <c r="B399" s="32">
        <v>4330261969</v>
      </c>
      <c r="C399" s="32" t="s">
        <v>43</v>
      </c>
      <c r="D399" s="32">
        <v>4430265054</v>
      </c>
      <c r="E399" s="32">
        <v>372</v>
      </c>
      <c r="F399" s="32">
        <v>311</v>
      </c>
      <c r="G399" s="32" t="s">
        <v>44</v>
      </c>
      <c r="H399" s="32" t="s">
        <v>459</v>
      </c>
      <c r="I399" s="32" t="s">
        <v>40</v>
      </c>
      <c r="J399" s="32" t="s">
        <v>46</v>
      </c>
      <c r="K399" s="32" t="s">
        <v>42</v>
      </c>
      <c r="M399" s="32" t="s">
        <v>47</v>
      </c>
      <c r="N399" s="32" t="s">
        <v>43</v>
      </c>
    </row>
    <row r="400" spans="1:14" s="32" customFormat="1" x14ac:dyDescent="0.3">
      <c r="A400" s="38">
        <v>46230.458912037036</v>
      </c>
      <c r="B400" s="32">
        <v>44999305301</v>
      </c>
      <c r="C400" s="32" t="s">
        <v>49</v>
      </c>
      <c r="D400" s="32">
        <v>4430265054</v>
      </c>
      <c r="E400" s="32">
        <v>356</v>
      </c>
      <c r="F400" s="32">
        <v>292</v>
      </c>
      <c r="G400" s="32" t="s">
        <v>44</v>
      </c>
      <c r="H400" s="32" t="s">
        <v>460</v>
      </c>
      <c r="I400" s="32" t="s">
        <v>40</v>
      </c>
      <c r="J400" s="32" t="s">
        <v>46</v>
      </c>
      <c r="K400" s="32" t="s">
        <v>42</v>
      </c>
      <c r="L400" s="32">
        <v>5</v>
      </c>
      <c r="M400" s="32" t="s">
        <v>51</v>
      </c>
      <c r="N400" s="32" t="s">
        <v>49</v>
      </c>
    </row>
    <row r="401" spans="1:14" s="32" customFormat="1" hidden="1" x14ac:dyDescent="0.3">
      <c r="A401" s="38">
        <v>46230.442118055558</v>
      </c>
      <c r="B401" s="32">
        <v>44997571961</v>
      </c>
      <c r="C401" s="32" t="s">
        <v>43</v>
      </c>
      <c r="D401" s="32">
        <v>4430265054</v>
      </c>
      <c r="E401" s="32">
        <v>516</v>
      </c>
      <c r="F401" s="32">
        <v>474</v>
      </c>
      <c r="G401" s="32" t="s">
        <v>44</v>
      </c>
      <c r="H401" s="32" t="s">
        <v>461</v>
      </c>
      <c r="I401" s="32" t="s">
        <v>40</v>
      </c>
      <c r="J401" s="32" t="s">
        <v>46</v>
      </c>
      <c r="K401" s="32" t="s">
        <v>42</v>
      </c>
      <c r="M401" s="32" t="s">
        <v>47</v>
      </c>
      <c r="N401" s="32" t="s">
        <v>43</v>
      </c>
    </row>
    <row r="402" spans="1:14" s="32" customFormat="1" hidden="1" x14ac:dyDescent="0.3">
      <c r="A402" s="38">
        <v>46230.438252314816</v>
      </c>
      <c r="B402" s="32">
        <v>93991495484</v>
      </c>
      <c r="C402" s="32" t="s">
        <v>58</v>
      </c>
      <c r="D402" s="32">
        <v>4430265054</v>
      </c>
      <c r="E402" s="32">
        <v>1390</v>
      </c>
      <c r="F402" s="32">
        <v>1390</v>
      </c>
      <c r="G402" s="32" t="s">
        <v>44</v>
      </c>
      <c r="H402" s="32" t="s">
        <v>462</v>
      </c>
      <c r="I402" s="32" t="s">
        <v>40</v>
      </c>
      <c r="J402" s="32" t="s">
        <v>46</v>
      </c>
      <c r="K402" s="32" t="s">
        <v>42</v>
      </c>
      <c r="L402" s="32">
        <v>5</v>
      </c>
      <c r="M402" s="32" t="s">
        <v>60</v>
      </c>
      <c r="N402" s="32" t="s">
        <v>58</v>
      </c>
    </row>
    <row r="403" spans="1:14" s="32" customFormat="1" hidden="1" x14ac:dyDescent="0.3">
      <c r="A403" s="38">
        <v>46230.436469907407</v>
      </c>
      <c r="B403" s="32">
        <v>4330333542</v>
      </c>
      <c r="C403" s="32" t="s">
        <v>49</v>
      </c>
      <c r="D403" s="32">
        <v>4430265054</v>
      </c>
      <c r="E403" s="32">
        <v>978</v>
      </c>
      <c r="F403" s="32">
        <v>938</v>
      </c>
      <c r="G403" s="32" t="s">
        <v>44</v>
      </c>
      <c r="H403" s="32" t="s">
        <v>463</v>
      </c>
      <c r="I403" s="32" t="s">
        <v>40</v>
      </c>
      <c r="J403" s="32" t="s">
        <v>46</v>
      </c>
      <c r="K403" s="32" t="s">
        <v>42</v>
      </c>
      <c r="M403" s="32" t="s">
        <v>51</v>
      </c>
      <c r="N403" s="32" t="s">
        <v>49</v>
      </c>
    </row>
    <row r="404" spans="1:14" s="32" customFormat="1" hidden="1" x14ac:dyDescent="0.3">
      <c r="A404" s="38">
        <v>46230.426631944443</v>
      </c>
      <c r="B404" s="32">
        <v>44999647912</v>
      </c>
      <c r="C404" s="32" t="s">
        <v>58</v>
      </c>
      <c r="D404" s="32">
        <v>4430265054</v>
      </c>
      <c r="E404" s="32">
        <v>493</v>
      </c>
      <c r="F404" s="32">
        <v>492</v>
      </c>
      <c r="G404" s="32" t="s">
        <v>44</v>
      </c>
      <c r="H404" s="32" t="s">
        <v>464</v>
      </c>
      <c r="I404" s="32" t="s">
        <v>40</v>
      </c>
      <c r="J404" s="32" t="s">
        <v>46</v>
      </c>
      <c r="K404" s="32" t="s">
        <v>42</v>
      </c>
      <c r="M404" s="32" t="s">
        <v>60</v>
      </c>
      <c r="N404" s="32" t="s">
        <v>58</v>
      </c>
    </row>
    <row r="405" spans="1:14" s="32" customFormat="1" hidden="1" x14ac:dyDescent="0.3">
      <c r="A405" s="38">
        <v>46230.418888888889</v>
      </c>
      <c r="B405" s="32">
        <v>41999717893</v>
      </c>
      <c r="C405" s="32" t="s">
        <v>49</v>
      </c>
      <c r="D405" s="32">
        <v>4430265054</v>
      </c>
      <c r="E405" s="32">
        <v>253</v>
      </c>
      <c r="F405" s="32">
        <v>209</v>
      </c>
      <c r="G405" s="32" t="s">
        <v>44</v>
      </c>
      <c r="H405" s="32" t="s">
        <v>465</v>
      </c>
      <c r="I405" s="32" t="s">
        <v>40</v>
      </c>
      <c r="J405" s="32" t="s">
        <v>46</v>
      </c>
      <c r="K405" s="32" t="s">
        <v>42</v>
      </c>
      <c r="M405" s="32" t="s">
        <v>51</v>
      </c>
      <c r="N405" s="32" t="s">
        <v>49</v>
      </c>
    </row>
    <row r="406" spans="1:14" s="32" customFormat="1" hidden="1" x14ac:dyDescent="0.3">
      <c r="A406" s="38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38</v>
      </c>
      <c r="H406" s="32" t="s">
        <v>466</v>
      </c>
      <c r="I406" s="32" t="s">
        <v>40</v>
      </c>
      <c r="J406" s="32" t="s">
        <v>41</v>
      </c>
    </row>
    <row r="407" spans="1:14" s="32" customFormat="1" hidden="1" x14ac:dyDescent="0.3">
      <c r="A407" s="38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38</v>
      </c>
      <c r="H407" s="32" t="s">
        <v>467</v>
      </c>
      <c r="I407" s="32" t="s">
        <v>40</v>
      </c>
      <c r="J407" s="32" t="s">
        <v>41</v>
      </c>
    </row>
    <row r="408" spans="1:14" s="32" customFormat="1" hidden="1" x14ac:dyDescent="0.3">
      <c r="A408" s="38">
        <v>46230.402013888888</v>
      </c>
      <c r="B408" s="32" t="s">
        <v>109</v>
      </c>
      <c r="C408" s="32">
        <v>44999804488</v>
      </c>
      <c r="E408" s="32">
        <v>175</v>
      </c>
      <c r="F408" s="32">
        <v>160</v>
      </c>
      <c r="G408" s="32" t="s">
        <v>44</v>
      </c>
      <c r="H408" s="32" t="s">
        <v>468</v>
      </c>
      <c r="I408" s="32" t="s">
        <v>54</v>
      </c>
      <c r="J408" s="32" t="s">
        <v>111</v>
      </c>
      <c r="M408" s="32" t="s">
        <v>112</v>
      </c>
      <c r="N408" s="32" t="s">
        <v>109</v>
      </c>
    </row>
    <row r="409" spans="1:14" s="32" customFormat="1" hidden="1" x14ac:dyDescent="0.3">
      <c r="A409" s="38">
        <v>46230.401921296296</v>
      </c>
      <c r="B409" s="32" t="s">
        <v>109</v>
      </c>
      <c r="C409" s="32">
        <v>44999804488</v>
      </c>
      <c r="E409" s="32">
        <v>1</v>
      </c>
      <c r="F409" s="32">
        <v>0</v>
      </c>
      <c r="G409" s="32" t="s">
        <v>63</v>
      </c>
      <c r="H409" s="32" t="s">
        <v>469</v>
      </c>
      <c r="I409" s="32" t="s">
        <v>54</v>
      </c>
      <c r="J409" s="32" t="s">
        <v>111</v>
      </c>
      <c r="M409" s="32" t="s">
        <v>112</v>
      </c>
      <c r="N409" s="32" t="s">
        <v>109</v>
      </c>
    </row>
    <row r="410" spans="1:14" s="32" customFormat="1" hidden="1" x14ac:dyDescent="0.3">
      <c r="A410" s="38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38</v>
      </c>
      <c r="H410" s="32" t="s">
        <v>470</v>
      </c>
      <c r="I410" s="32" t="s">
        <v>40</v>
      </c>
      <c r="J410" s="32" t="s">
        <v>41</v>
      </c>
      <c r="K410" s="32" t="s">
        <v>42</v>
      </c>
    </row>
    <row r="411" spans="1:14" s="32" customFormat="1" hidden="1" x14ac:dyDescent="0.3">
      <c r="A411" s="38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38</v>
      </c>
      <c r="H411" s="32" t="s">
        <v>471</v>
      </c>
      <c r="I411" s="32" t="s">
        <v>40</v>
      </c>
      <c r="J411" s="32" t="s">
        <v>41</v>
      </c>
    </row>
    <row r="412" spans="1:14" s="32" customFormat="1" hidden="1" x14ac:dyDescent="0.3">
      <c r="A412" s="38">
        <v>46230.391388888886</v>
      </c>
      <c r="B412" s="32">
        <v>4334226481</v>
      </c>
      <c r="C412" s="32" t="s">
        <v>58</v>
      </c>
      <c r="D412" s="32">
        <v>4430265054</v>
      </c>
      <c r="E412" s="32">
        <v>217</v>
      </c>
      <c r="F412" s="32">
        <v>216</v>
      </c>
      <c r="G412" s="32" t="s">
        <v>44</v>
      </c>
      <c r="H412" s="32" t="s">
        <v>472</v>
      </c>
      <c r="I412" s="32" t="s">
        <v>40</v>
      </c>
      <c r="J412" s="32" t="s">
        <v>46</v>
      </c>
      <c r="K412" s="32" t="s">
        <v>42</v>
      </c>
      <c r="M412" s="32" t="s">
        <v>60</v>
      </c>
      <c r="N412" s="32" t="s">
        <v>58</v>
      </c>
    </row>
    <row r="413" spans="1:14" s="32" customFormat="1" hidden="1" x14ac:dyDescent="0.3">
      <c r="A413" s="38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38</v>
      </c>
      <c r="H413" s="32" t="s">
        <v>473</v>
      </c>
      <c r="I413" s="32" t="s">
        <v>40</v>
      </c>
      <c r="J413" s="32" t="s">
        <v>41</v>
      </c>
    </row>
    <row r="414" spans="1:14" s="32" customFormat="1" hidden="1" x14ac:dyDescent="0.3">
      <c r="A414" s="38">
        <v>46230.383460648147</v>
      </c>
      <c r="B414" s="32">
        <v>4130760170</v>
      </c>
      <c r="C414" s="32" t="s">
        <v>43</v>
      </c>
      <c r="D414" s="32">
        <v>4430265054</v>
      </c>
      <c r="E414" s="32">
        <v>78</v>
      </c>
      <c r="F414" s="32">
        <v>40</v>
      </c>
      <c r="G414" s="32" t="s">
        <v>44</v>
      </c>
      <c r="H414" s="32" t="s">
        <v>474</v>
      </c>
      <c r="I414" s="32" t="s">
        <v>40</v>
      </c>
      <c r="J414" s="32" t="s">
        <v>46</v>
      </c>
      <c r="K414" s="32" t="s">
        <v>42</v>
      </c>
      <c r="M414" s="32" t="s">
        <v>47</v>
      </c>
      <c r="N414" s="32" t="s">
        <v>43</v>
      </c>
    </row>
    <row r="415" spans="1:14" s="32" customFormat="1" hidden="1" x14ac:dyDescent="0.3">
      <c r="A415" s="38">
        <v>46230.372106481482</v>
      </c>
      <c r="B415" s="32">
        <v>44999648932</v>
      </c>
      <c r="C415" s="32" t="s">
        <v>49</v>
      </c>
      <c r="D415" s="32">
        <v>4430265054</v>
      </c>
      <c r="E415" s="32">
        <v>988</v>
      </c>
      <c r="F415" s="32">
        <v>941</v>
      </c>
      <c r="G415" s="32" t="s">
        <v>44</v>
      </c>
      <c r="H415" s="32" t="s">
        <v>475</v>
      </c>
      <c r="I415" s="32" t="s">
        <v>40</v>
      </c>
      <c r="J415" s="32" t="s">
        <v>46</v>
      </c>
      <c r="K415" s="32" t="s">
        <v>42</v>
      </c>
      <c r="M415" s="32" t="s">
        <v>51</v>
      </c>
      <c r="N415" s="32" t="s">
        <v>49</v>
      </c>
    </row>
    <row r="416" spans="1:14" s="32" customFormat="1" hidden="1" x14ac:dyDescent="0.3">
      <c r="A416" s="38">
        <v>46230.365648148145</v>
      </c>
      <c r="B416" s="32" t="s">
        <v>43</v>
      </c>
      <c r="C416" s="32">
        <v>4430459032</v>
      </c>
      <c r="E416" s="32">
        <v>4</v>
      </c>
      <c r="F416" s="32">
        <v>0</v>
      </c>
      <c r="G416" s="32" t="s">
        <v>63</v>
      </c>
      <c r="H416" s="32" t="s">
        <v>476</v>
      </c>
      <c r="I416" s="32" t="s">
        <v>54</v>
      </c>
      <c r="J416" s="32" t="s">
        <v>46</v>
      </c>
      <c r="M416" s="32" t="s">
        <v>47</v>
      </c>
      <c r="N416" s="32" t="s">
        <v>43</v>
      </c>
    </row>
    <row r="417" spans="1:14" s="32" customFormat="1" hidden="1" x14ac:dyDescent="0.3">
      <c r="A417" s="38">
        <v>46230.357499999998</v>
      </c>
      <c r="B417" s="32" t="s">
        <v>58</v>
      </c>
      <c r="C417" s="32">
        <v>44997734943</v>
      </c>
      <c r="E417" s="32">
        <v>119</v>
      </c>
      <c r="F417" s="32">
        <v>107</v>
      </c>
      <c r="G417" s="32" t="s">
        <v>44</v>
      </c>
      <c r="H417" s="32" t="s">
        <v>477</v>
      </c>
      <c r="I417" s="32" t="s">
        <v>54</v>
      </c>
      <c r="J417" s="32" t="s">
        <v>46</v>
      </c>
      <c r="M417" s="32" t="s">
        <v>60</v>
      </c>
      <c r="N417" s="32" t="s">
        <v>58</v>
      </c>
    </row>
    <row r="418" spans="1:14" s="32" customFormat="1" hidden="1" x14ac:dyDescent="0.3">
      <c r="A418" s="38">
        <v>46230.356840277775</v>
      </c>
      <c r="B418" s="32" t="s">
        <v>58</v>
      </c>
      <c r="C418" s="32">
        <v>44991177471</v>
      </c>
      <c r="E418" s="32">
        <v>38</v>
      </c>
      <c r="F418" s="32">
        <v>0</v>
      </c>
      <c r="G418" s="32" t="s">
        <v>63</v>
      </c>
      <c r="H418" s="32" t="s">
        <v>478</v>
      </c>
      <c r="I418" s="32" t="s">
        <v>54</v>
      </c>
      <c r="J418" s="32" t="s">
        <v>46</v>
      </c>
      <c r="M418" s="32" t="s">
        <v>60</v>
      </c>
      <c r="N418" s="32" t="s">
        <v>58</v>
      </c>
    </row>
    <row r="419" spans="1:14" s="32" customFormat="1" hidden="1" x14ac:dyDescent="0.3">
      <c r="A419" s="38">
        <v>46230.356793981482</v>
      </c>
      <c r="B419" s="32" t="s">
        <v>58</v>
      </c>
      <c r="C419" s="32">
        <v>4434413520</v>
      </c>
      <c r="E419" s="32">
        <v>2</v>
      </c>
      <c r="F419" s="32">
        <v>0</v>
      </c>
      <c r="G419" s="32" t="s">
        <v>63</v>
      </c>
      <c r="H419" s="32" t="s">
        <v>479</v>
      </c>
      <c r="I419" s="32" t="s">
        <v>54</v>
      </c>
      <c r="J419" s="32" t="s">
        <v>46</v>
      </c>
      <c r="M419" s="32" t="s">
        <v>60</v>
      </c>
      <c r="N419" s="32" t="s">
        <v>58</v>
      </c>
    </row>
    <row r="420" spans="1:14" s="32" customFormat="1" hidden="1" x14ac:dyDescent="0.3">
      <c r="A420" s="38">
        <v>46230.356273148151</v>
      </c>
      <c r="B420" s="32" t="s">
        <v>58</v>
      </c>
      <c r="C420" s="32">
        <v>4434411719</v>
      </c>
      <c r="E420" s="32">
        <v>7</v>
      </c>
      <c r="F420" s="32">
        <v>0</v>
      </c>
      <c r="G420" s="32" t="s">
        <v>63</v>
      </c>
      <c r="H420" s="32" t="s">
        <v>480</v>
      </c>
      <c r="I420" s="32" t="s">
        <v>54</v>
      </c>
      <c r="J420" s="32" t="s">
        <v>46</v>
      </c>
      <c r="M420" s="32" t="s">
        <v>60</v>
      </c>
      <c r="N420" s="32" t="s">
        <v>58</v>
      </c>
    </row>
    <row r="421" spans="1:14" s="32" customFormat="1" hidden="1" x14ac:dyDescent="0.3">
      <c r="A421" s="38">
        <v>46230.355902777781</v>
      </c>
      <c r="B421" s="32" t="s">
        <v>58</v>
      </c>
      <c r="C421" s="32">
        <v>4434411284</v>
      </c>
      <c r="E421" s="32">
        <v>14</v>
      </c>
      <c r="F421" s="32">
        <v>13</v>
      </c>
      <c r="G421" s="32" t="s">
        <v>44</v>
      </c>
      <c r="H421" s="32" t="s">
        <v>481</v>
      </c>
      <c r="I421" s="32" t="s">
        <v>54</v>
      </c>
      <c r="J421" s="32" t="s">
        <v>46</v>
      </c>
      <c r="M421" s="32" t="s">
        <v>60</v>
      </c>
      <c r="N421" s="32" t="s">
        <v>58</v>
      </c>
    </row>
    <row r="422" spans="1:14" s="32" customFormat="1" hidden="1" x14ac:dyDescent="0.3">
      <c r="A422" s="38">
        <v>46230.355844907404</v>
      </c>
      <c r="B422" s="32" t="s">
        <v>58</v>
      </c>
      <c r="C422" s="32">
        <v>4434411284</v>
      </c>
      <c r="E422" s="32">
        <v>3</v>
      </c>
      <c r="F422" s="32">
        <v>0</v>
      </c>
      <c r="G422" s="32" t="s">
        <v>63</v>
      </c>
      <c r="H422" s="32" t="s">
        <v>482</v>
      </c>
      <c r="I422" s="32" t="s">
        <v>54</v>
      </c>
      <c r="J422" s="32" t="s">
        <v>46</v>
      </c>
      <c r="M422" s="32" t="s">
        <v>60</v>
      </c>
      <c r="N422" s="32" t="s">
        <v>58</v>
      </c>
    </row>
    <row r="423" spans="1:14" s="32" customFormat="1" hidden="1" x14ac:dyDescent="0.3">
      <c r="A423" s="38">
        <v>46230.352997685186</v>
      </c>
      <c r="B423" s="32" t="s">
        <v>207</v>
      </c>
      <c r="E423" s="32">
        <v>379</v>
      </c>
      <c r="F423" s="32">
        <v>375</v>
      </c>
      <c r="G423" s="32" t="s">
        <v>44</v>
      </c>
      <c r="H423" s="32" t="s">
        <v>483</v>
      </c>
      <c r="I423" s="32" t="s">
        <v>54</v>
      </c>
      <c r="J423" s="32" t="s">
        <v>111</v>
      </c>
      <c r="M423" s="32" t="s">
        <v>209</v>
      </c>
      <c r="N423" s="32" t="s">
        <v>207</v>
      </c>
    </row>
    <row r="424" spans="1:14" s="32" customFormat="1" hidden="1" x14ac:dyDescent="0.3">
      <c r="A424" s="38">
        <v>46230.352418981478</v>
      </c>
      <c r="B424" s="32" t="s">
        <v>207</v>
      </c>
      <c r="C424" s="32">
        <v>3132804000</v>
      </c>
      <c r="E424" s="32">
        <v>43</v>
      </c>
      <c r="F424" s="32">
        <v>33</v>
      </c>
      <c r="G424" s="32" t="s">
        <v>44</v>
      </c>
      <c r="H424" s="32" t="s">
        <v>484</v>
      </c>
      <c r="I424" s="32" t="s">
        <v>54</v>
      </c>
      <c r="J424" s="32" t="s">
        <v>111</v>
      </c>
      <c r="M424" s="32" t="s">
        <v>209</v>
      </c>
      <c r="N424" s="32" t="s">
        <v>207</v>
      </c>
    </row>
    <row r="425" spans="1:14" s="32" customFormat="1" hidden="1" x14ac:dyDescent="0.3">
      <c r="A425" s="38">
        <v>46230.350046296298</v>
      </c>
      <c r="B425" s="32" t="s">
        <v>207</v>
      </c>
      <c r="C425" s="32">
        <v>3132804000</v>
      </c>
      <c r="E425" s="32">
        <v>53</v>
      </c>
      <c r="F425" s="32">
        <v>35</v>
      </c>
      <c r="G425" s="32" t="s">
        <v>44</v>
      </c>
      <c r="H425" s="32" t="s">
        <v>485</v>
      </c>
      <c r="I425" s="32" t="s">
        <v>54</v>
      </c>
      <c r="J425" s="32" t="s">
        <v>111</v>
      </c>
      <c r="M425" s="32" t="s">
        <v>209</v>
      </c>
      <c r="N425" s="32" t="s">
        <v>207</v>
      </c>
    </row>
    <row r="426" spans="1:14" s="32" customFormat="1" hidden="1" x14ac:dyDescent="0.3">
      <c r="A426" s="38">
        <v>46230.349039351851</v>
      </c>
      <c r="B426" s="32" t="s">
        <v>207</v>
      </c>
      <c r="C426" s="32">
        <v>3133491212</v>
      </c>
      <c r="E426" s="32">
        <v>62</v>
      </c>
      <c r="F426" s="32">
        <v>60</v>
      </c>
      <c r="G426" s="32" t="s">
        <v>44</v>
      </c>
      <c r="H426" s="32" t="s">
        <v>486</v>
      </c>
      <c r="I426" s="32" t="s">
        <v>54</v>
      </c>
      <c r="J426" s="32" t="s">
        <v>111</v>
      </c>
      <c r="M426" s="32" t="s">
        <v>209</v>
      </c>
      <c r="N426" s="32" t="s">
        <v>207</v>
      </c>
    </row>
    <row r="427" spans="1:14" s="32" customFormat="1" hidden="1" x14ac:dyDescent="0.3">
      <c r="A427" s="38">
        <v>46230.348067129627</v>
      </c>
      <c r="B427" s="32" t="s">
        <v>207</v>
      </c>
      <c r="C427" s="32">
        <v>3132222115</v>
      </c>
      <c r="E427" s="32">
        <v>65</v>
      </c>
      <c r="F427" s="32">
        <v>55</v>
      </c>
      <c r="G427" s="32" t="s">
        <v>44</v>
      </c>
      <c r="H427" s="32" t="s">
        <v>487</v>
      </c>
      <c r="I427" s="32" t="s">
        <v>54</v>
      </c>
      <c r="J427" s="32" t="s">
        <v>111</v>
      </c>
      <c r="M427" s="32" t="s">
        <v>209</v>
      </c>
      <c r="N427" s="32" t="s">
        <v>207</v>
      </c>
    </row>
    <row r="428" spans="1:14" s="32" customFormat="1" hidden="1" x14ac:dyDescent="0.3">
      <c r="A428" s="38">
        <v>46230.347546296296</v>
      </c>
      <c r="B428" s="32" t="s">
        <v>207</v>
      </c>
      <c r="C428" s="32">
        <v>3130221100</v>
      </c>
      <c r="E428" s="32">
        <v>20</v>
      </c>
      <c r="F428" s="32">
        <v>15</v>
      </c>
      <c r="G428" s="32" t="s">
        <v>44</v>
      </c>
      <c r="H428" s="32" t="s">
        <v>488</v>
      </c>
      <c r="I428" s="32" t="s">
        <v>54</v>
      </c>
      <c r="J428" s="32" t="s">
        <v>111</v>
      </c>
      <c r="M428" s="32" t="s">
        <v>209</v>
      </c>
      <c r="N428" s="32" t="s">
        <v>207</v>
      </c>
    </row>
    <row r="429" spans="1:14" s="32" customFormat="1" hidden="1" x14ac:dyDescent="0.3">
      <c r="A429" s="38">
        <v>46230.34684027778</v>
      </c>
      <c r="B429" s="32" t="s">
        <v>207</v>
      </c>
      <c r="C429" s="32">
        <v>3132222115</v>
      </c>
      <c r="E429" s="32">
        <v>1</v>
      </c>
      <c r="F429" s="32">
        <v>0</v>
      </c>
      <c r="G429" s="32" t="s">
        <v>63</v>
      </c>
      <c r="H429" s="32" t="s">
        <v>489</v>
      </c>
      <c r="I429" s="32" t="s">
        <v>54</v>
      </c>
      <c r="J429" s="32" t="s">
        <v>111</v>
      </c>
      <c r="M429" s="32" t="s">
        <v>209</v>
      </c>
      <c r="N429" s="32" t="s">
        <v>207</v>
      </c>
    </row>
    <row r="430" spans="1:14" s="32" customFormat="1" hidden="1" x14ac:dyDescent="0.3">
      <c r="A430" s="38">
        <v>46230.345439814817</v>
      </c>
      <c r="B430" s="32" t="s">
        <v>207</v>
      </c>
      <c r="C430" s="32">
        <v>3130221100</v>
      </c>
      <c r="E430" s="32">
        <v>37</v>
      </c>
      <c r="F430" s="32">
        <v>32</v>
      </c>
      <c r="G430" s="32" t="s">
        <v>44</v>
      </c>
      <c r="H430" s="32" t="s">
        <v>490</v>
      </c>
      <c r="I430" s="32" t="s">
        <v>54</v>
      </c>
      <c r="J430" s="32" t="s">
        <v>111</v>
      </c>
      <c r="M430" s="32" t="s">
        <v>209</v>
      </c>
      <c r="N430" s="32" t="s">
        <v>207</v>
      </c>
    </row>
    <row r="431" spans="1:14" s="32" customFormat="1" hidden="1" x14ac:dyDescent="0.3">
      <c r="A431" s="38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38</v>
      </c>
      <c r="H431" s="32" t="s">
        <v>491</v>
      </c>
      <c r="I431" s="32" t="s">
        <v>40</v>
      </c>
      <c r="J431" s="32" t="s">
        <v>41</v>
      </c>
    </row>
    <row r="432" spans="1:14" s="32" customFormat="1" hidden="1" x14ac:dyDescent="0.3">
      <c r="A432" s="38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38</v>
      </c>
      <c r="H432" s="32" t="s">
        <v>492</v>
      </c>
      <c r="I432" s="32" t="s">
        <v>40</v>
      </c>
      <c r="J432" s="32" t="s">
        <v>41</v>
      </c>
    </row>
    <row r="433" spans="1:14" s="32" customFormat="1" hidden="1" x14ac:dyDescent="0.3">
      <c r="A433" s="38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38</v>
      </c>
      <c r="H433" s="32" t="s">
        <v>493</v>
      </c>
      <c r="I433" s="32" t="s">
        <v>40</v>
      </c>
      <c r="J433" s="32" t="s">
        <v>41</v>
      </c>
    </row>
    <row r="434" spans="1:14" s="32" customFormat="1" hidden="1" x14ac:dyDescent="0.3">
      <c r="A434" s="38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38</v>
      </c>
      <c r="H434" s="32" t="s">
        <v>494</v>
      </c>
      <c r="I434" s="32" t="s">
        <v>40</v>
      </c>
      <c r="J434" s="32" t="s">
        <v>41</v>
      </c>
    </row>
    <row r="435" spans="1:14" s="32" customFormat="1" hidden="1" x14ac:dyDescent="0.3">
      <c r="A435" s="38">
        <v>46228.634502314817</v>
      </c>
      <c r="B435" s="32" t="s">
        <v>207</v>
      </c>
      <c r="C435" s="32">
        <v>74991441850</v>
      </c>
      <c r="E435" s="32">
        <v>24</v>
      </c>
      <c r="F435" s="32">
        <v>20</v>
      </c>
      <c r="G435" s="32" t="s">
        <v>44</v>
      </c>
      <c r="H435" s="32" t="s">
        <v>495</v>
      </c>
      <c r="I435" s="32" t="s">
        <v>54</v>
      </c>
      <c r="J435" s="32" t="s">
        <v>111</v>
      </c>
      <c r="M435" s="32" t="s">
        <v>209</v>
      </c>
      <c r="N435" s="32" t="s">
        <v>207</v>
      </c>
    </row>
    <row r="436" spans="1:14" s="32" customFormat="1" hidden="1" x14ac:dyDescent="0.3">
      <c r="A436" s="38">
        <v>46228.634247685186</v>
      </c>
      <c r="B436" s="32" t="s">
        <v>207</v>
      </c>
      <c r="C436" s="32">
        <v>74991441850</v>
      </c>
      <c r="E436" s="32">
        <v>17</v>
      </c>
      <c r="F436" s="32">
        <v>10</v>
      </c>
      <c r="G436" s="32" t="s">
        <v>44</v>
      </c>
      <c r="H436" s="32" t="s">
        <v>496</v>
      </c>
      <c r="I436" s="32" t="s">
        <v>54</v>
      </c>
      <c r="J436" s="32" t="s">
        <v>111</v>
      </c>
      <c r="M436" s="32" t="s">
        <v>209</v>
      </c>
      <c r="N436" s="32" t="s">
        <v>207</v>
      </c>
    </row>
    <row r="437" spans="1:14" s="32" customFormat="1" hidden="1" x14ac:dyDescent="0.3">
      <c r="A437" s="38">
        <v>46227.741203703707</v>
      </c>
      <c r="B437" s="32" t="s">
        <v>207</v>
      </c>
      <c r="C437" s="32">
        <v>74991441850</v>
      </c>
      <c r="E437" s="32">
        <v>627</v>
      </c>
      <c r="F437" s="32">
        <v>623</v>
      </c>
      <c r="G437" s="32" t="s">
        <v>44</v>
      </c>
      <c r="H437" s="32" t="s">
        <v>497</v>
      </c>
      <c r="I437" s="32" t="s">
        <v>54</v>
      </c>
      <c r="J437" s="32" t="s">
        <v>111</v>
      </c>
      <c r="M437" s="32" t="s">
        <v>209</v>
      </c>
      <c r="N437" s="32" t="s">
        <v>207</v>
      </c>
    </row>
    <row r="438" spans="1:14" s="32" customFormat="1" hidden="1" x14ac:dyDescent="0.3">
      <c r="A438" s="38">
        <v>46227.73269675926</v>
      </c>
      <c r="B438" s="32" t="s">
        <v>207</v>
      </c>
      <c r="C438" s="32">
        <v>74991441850</v>
      </c>
      <c r="E438" s="32">
        <v>725</v>
      </c>
      <c r="F438" s="32">
        <v>721</v>
      </c>
      <c r="G438" s="32" t="s">
        <v>44</v>
      </c>
      <c r="H438" s="32" t="s">
        <v>498</v>
      </c>
      <c r="I438" s="32" t="s">
        <v>54</v>
      </c>
      <c r="J438" s="32" t="s">
        <v>111</v>
      </c>
      <c r="M438" s="32" t="s">
        <v>209</v>
      </c>
      <c r="N438" s="32" t="s">
        <v>207</v>
      </c>
    </row>
    <row r="439" spans="1:14" s="32" customFormat="1" hidden="1" x14ac:dyDescent="0.3">
      <c r="A439" s="38">
        <v>46227.724050925928</v>
      </c>
      <c r="B439" s="32" t="s">
        <v>207</v>
      </c>
      <c r="C439" s="32">
        <v>74991441850</v>
      </c>
      <c r="E439" s="32">
        <v>726</v>
      </c>
      <c r="F439" s="32">
        <v>721</v>
      </c>
      <c r="G439" s="32" t="s">
        <v>44</v>
      </c>
      <c r="H439" s="32" t="s">
        <v>499</v>
      </c>
      <c r="I439" s="32" t="s">
        <v>54</v>
      </c>
      <c r="J439" s="32" t="s">
        <v>111</v>
      </c>
      <c r="M439" s="32" t="s">
        <v>209</v>
      </c>
      <c r="N439" s="32" t="s">
        <v>207</v>
      </c>
    </row>
    <row r="440" spans="1:14" s="32" customFormat="1" hidden="1" x14ac:dyDescent="0.3">
      <c r="A440" s="38">
        <v>46227.717083333337</v>
      </c>
      <c r="B440" s="32" t="s">
        <v>49</v>
      </c>
      <c r="C440" s="32">
        <v>11947305571</v>
      </c>
      <c r="E440" s="32">
        <v>475</v>
      </c>
      <c r="F440" s="32">
        <v>465</v>
      </c>
      <c r="G440" s="32" t="s">
        <v>44</v>
      </c>
      <c r="H440" s="32" t="s">
        <v>500</v>
      </c>
      <c r="I440" s="32" t="s">
        <v>54</v>
      </c>
      <c r="J440" s="32" t="s">
        <v>46</v>
      </c>
      <c r="M440" s="32" t="s">
        <v>51</v>
      </c>
      <c r="N440" s="32" t="s">
        <v>49</v>
      </c>
    </row>
    <row r="441" spans="1:14" s="32" customFormat="1" hidden="1" x14ac:dyDescent="0.3">
      <c r="A441" s="38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38</v>
      </c>
      <c r="H441" s="32" t="s">
        <v>501</v>
      </c>
      <c r="I441" s="32" t="s">
        <v>40</v>
      </c>
      <c r="J441" s="32" t="s">
        <v>41</v>
      </c>
      <c r="K441" s="32" t="s">
        <v>42</v>
      </c>
    </row>
    <row r="442" spans="1:14" s="32" customFormat="1" hidden="1" x14ac:dyDescent="0.3">
      <c r="A442" s="38">
        <v>46227.708483796298</v>
      </c>
      <c r="B442" s="32">
        <v>44999907936</v>
      </c>
      <c r="C442" s="32" t="s">
        <v>43</v>
      </c>
      <c r="D442" s="32">
        <v>4430265054</v>
      </c>
      <c r="E442" s="32">
        <v>1090</v>
      </c>
      <c r="F442" s="32">
        <v>1048</v>
      </c>
      <c r="G442" s="32" t="s">
        <v>44</v>
      </c>
      <c r="H442" s="32" t="s">
        <v>502</v>
      </c>
      <c r="I442" s="32" t="s">
        <v>40</v>
      </c>
      <c r="J442" s="32" t="s">
        <v>46</v>
      </c>
      <c r="K442" s="32" t="s">
        <v>42</v>
      </c>
      <c r="M442" s="32" t="s">
        <v>47</v>
      </c>
      <c r="N442" s="32" t="s">
        <v>43</v>
      </c>
    </row>
    <row r="443" spans="1:14" s="32" customFormat="1" hidden="1" x14ac:dyDescent="0.3">
      <c r="A443" s="38">
        <v>46227.704131944447</v>
      </c>
      <c r="B443" s="32">
        <v>4436281154</v>
      </c>
      <c r="C443" s="32" t="s">
        <v>58</v>
      </c>
      <c r="D443" s="32">
        <v>4430265054</v>
      </c>
      <c r="E443" s="32">
        <v>438</v>
      </c>
      <c r="F443" s="32">
        <v>438</v>
      </c>
      <c r="G443" s="32" t="s">
        <v>44</v>
      </c>
      <c r="H443" s="32" t="s">
        <v>503</v>
      </c>
      <c r="I443" s="32" t="s">
        <v>40</v>
      </c>
      <c r="J443" s="32" t="s">
        <v>46</v>
      </c>
      <c r="K443" s="32" t="s">
        <v>42</v>
      </c>
      <c r="M443" s="32" t="s">
        <v>60</v>
      </c>
      <c r="N443" s="32" t="s">
        <v>58</v>
      </c>
    </row>
    <row r="444" spans="1:14" s="32" customFormat="1" hidden="1" x14ac:dyDescent="0.3">
      <c r="A444" s="38">
        <v>46227.698321759257</v>
      </c>
      <c r="B444" s="32">
        <v>4430403880</v>
      </c>
      <c r="C444" s="32" t="s">
        <v>43</v>
      </c>
      <c r="D444" s="32">
        <v>4430265054</v>
      </c>
      <c r="E444" s="32">
        <v>825</v>
      </c>
      <c r="F444" s="32">
        <v>785</v>
      </c>
      <c r="G444" s="32" t="s">
        <v>44</v>
      </c>
      <c r="H444" s="32" t="s">
        <v>504</v>
      </c>
      <c r="I444" s="32" t="s">
        <v>40</v>
      </c>
      <c r="J444" s="32" t="s">
        <v>46</v>
      </c>
      <c r="K444" s="32" t="s">
        <v>42</v>
      </c>
      <c r="M444" s="32" t="s">
        <v>47</v>
      </c>
      <c r="N444" s="32" t="s">
        <v>43</v>
      </c>
    </row>
    <row r="445" spans="1:14" s="32" customFormat="1" hidden="1" x14ac:dyDescent="0.3">
      <c r="A445" s="38">
        <v>46227.697430555556</v>
      </c>
      <c r="B445" s="32" t="s">
        <v>49</v>
      </c>
      <c r="C445" s="32">
        <v>4330333558</v>
      </c>
      <c r="E445" s="32">
        <v>102</v>
      </c>
      <c r="F445" s="32">
        <v>91</v>
      </c>
      <c r="G445" s="32" t="s">
        <v>44</v>
      </c>
      <c r="H445" s="32" t="s">
        <v>505</v>
      </c>
      <c r="I445" s="32" t="s">
        <v>54</v>
      </c>
      <c r="J445" s="32" t="s">
        <v>46</v>
      </c>
      <c r="M445" s="32" t="s">
        <v>51</v>
      </c>
      <c r="N445" s="32" t="s">
        <v>49</v>
      </c>
    </row>
    <row r="446" spans="1:14" s="32" customFormat="1" hidden="1" x14ac:dyDescent="0.3">
      <c r="A446" s="38">
        <v>46227.6953125</v>
      </c>
      <c r="B446" s="32" t="s">
        <v>49</v>
      </c>
      <c r="C446" s="32">
        <v>1139453793</v>
      </c>
      <c r="E446" s="32">
        <v>5</v>
      </c>
      <c r="F446" s="32">
        <v>0</v>
      </c>
      <c r="G446" s="32" t="s">
        <v>63</v>
      </c>
      <c r="H446" s="32" t="s">
        <v>506</v>
      </c>
      <c r="I446" s="32" t="s">
        <v>54</v>
      </c>
      <c r="J446" s="32" t="s">
        <v>46</v>
      </c>
      <c r="M446" s="32" t="s">
        <v>51</v>
      </c>
      <c r="N446" s="32" t="s">
        <v>49</v>
      </c>
    </row>
    <row r="447" spans="1:14" s="32" customFormat="1" hidden="1" x14ac:dyDescent="0.3">
      <c r="A447" s="38">
        <v>46227.695138888892</v>
      </c>
      <c r="B447" s="32" t="s">
        <v>49</v>
      </c>
      <c r="C447" s="32">
        <v>11947305571</v>
      </c>
      <c r="E447" s="32">
        <v>39</v>
      </c>
      <c r="F447" s="32">
        <v>29</v>
      </c>
      <c r="G447" s="32" t="s">
        <v>44</v>
      </c>
      <c r="H447" s="32" t="s">
        <v>507</v>
      </c>
      <c r="I447" s="32" t="s">
        <v>54</v>
      </c>
      <c r="J447" s="32" t="s">
        <v>46</v>
      </c>
      <c r="M447" s="32" t="s">
        <v>51</v>
      </c>
      <c r="N447" s="32" t="s">
        <v>49</v>
      </c>
    </row>
    <row r="448" spans="1:14" s="32" customFormat="1" hidden="1" x14ac:dyDescent="0.3">
      <c r="A448" s="38">
        <v>46227.6797337963</v>
      </c>
      <c r="B448" s="32">
        <v>4430414545</v>
      </c>
      <c r="C448" s="32" t="s">
        <v>43</v>
      </c>
      <c r="D448" s="32">
        <v>4430265054</v>
      </c>
      <c r="E448" s="32">
        <v>379</v>
      </c>
      <c r="F448" s="32">
        <v>300</v>
      </c>
      <c r="G448" s="32" t="s">
        <v>44</v>
      </c>
      <c r="H448" s="32" t="s">
        <v>508</v>
      </c>
      <c r="I448" s="32" t="s">
        <v>40</v>
      </c>
      <c r="J448" s="32" t="s">
        <v>46</v>
      </c>
      <c r="K448" s="32" t="s">
        <v>42</v>
      </c>
      <c r="M448" s="32" t="s">
        <v>47</v>
      </c>
      <c r="N448" s="32" t="s">
        <v>43</v>
      </c>
    </row>
    <row r="449" spans="1:14" s="32" customFormat="1" hidden="1" x14ac:dyDescent="0.3">
      <c r="A449" s="38">
        <v>46227.673946759256</v>
      </c>
      <c r="B449" s="32" t="s">
        <v>58</v>
      </c>
      <c r="C449" s="32">
        <v>1140330623</v>
      </c>
      <c r="E449" s="32">
        <v>3</v>
      </c>
      <c r="F449" s="32">
        <v>0</v>
      </c>
      <c r="G449" s="32" t="s">
        <v>63</v>
      </c>
      <c r="H449" s="32" t="s">
        <v>509</v>
      </c>
      <c r="I449" s="32" t="s">
        <v>54</v>
      </c>
      <c r="J449" s="32" t="s">
        <v>46</v>
      </c>
      <c r="M449" s="32" t="s">
        <v>60</v>
      </c>
      <c r="N449" s="32" t="s">
        <v>58</v>
      </c>
    </row>
    <row r="450" spans="1:14" s="32" customFormat="1" hidden="1" x14ac:dyDescent="0.3">
      <c r="A450" s="38">
        <v>46227.673842592594</v>
      </c>
      <c r="B450" s="32" t="s">
        <v>58</v>
      </c>
      <c r="C450" s="32">
        <v>1140330623</v>
      </c>
      <c r="E450" s="32">
        <v>4</v>
      </c>
      <c r="F450" s="32">
        <v>0</v>
      </c>
      <c r="G450" s="32" t="s">
        <v>63</v>
      </c>
      <c r="H450" s="32" t="s">
        <v>510</v>
      </c>
      <c r="I450" s="32" t="s">
        <v>54</v>
      </c>
      <c r="J450" s="32" t="s">
        <v>46</v>
      </c>
      <c r="M450" s="32" t="s">
        <v>60</v>
      </c>
      <c r="N450" s="32" t="s">
        <v>58</v>
      </c>
    </row>
    <row r="451" spans="1:14" s="32" customFormat="1" hidden="1" x14ac:dyDescent="0.3">
      <c r="A451" s="38">
        <v>46227.662361111114</v>
      </c>
      <c r="B451" s="32" t="s">
        <v>58</v>
      </c>
      <c r="C451" s="32">
        <v>41999717893</v>
      </c>
      <c r="E451" s="32">
        <v>69</v>
      </c>
      <c r="F451" s="32">
        <v>29</v>
      </c>
      <c r="G451" s="32" t="s">
        <v>44</v>
      </c>
      <c r="H451" s="32" t="s">
        <v>511</v>
      </c>
      <c r="I451" s="32" t="s">
        <v>54</v>
      </c>
      <c r="J451" s="32" t="s">
        <v>46</v>
      </c>
      <c r="M451" s="32" t="s">
        <v>60</v>
      </c>
      <c r="N451" s="32" t="s">
        <v>58</v>
      </c>
    </row>
    <row r="452" spans="1:14" s="32" customFormat="1" x14ac:dyDescent="0.3">
      <c r="A452" s="38">
        <v>46227.66101851852</v>
      </c>
      <c r="B452" s="32">
        <v>1143744993</v>
      </c>
      <c r="C452" s="32" t="s">
        <v>49</v>
      </c>
      <c r="D452" s="32">
        <v>4431268225</v>
      </c>
      <c r="E452" s="32">
        <v>2273</v>
      </c>
      <c r="F452" s="32">
        <v>2168</v>
      </c>
      <c r="G452" s="32" t="s">
        <v>44</v>
      </c>
      <c r="H452" s="32" t="s">
        <v>512</v>
      </c>
      <c r="I452" s="32" t="s">
        <v>40</v>
      </c>
      <c r="J452" s="32" t="s">
        <v>46</v>
      </c>
      <c r="K452" s="32" t="s">
        <v>42</v>
      </c>
      <c r="L452" s="32">
        <v>5</v>
      </c>
      <c r="M452" s="32" t="s">
        <v>51</v>
      </c>
      <c r="N452" s="32" t="s">
        <v>49</v>
      </c>
    </row>
    <row r="453" spans="1:14" s="32" customFormat="1" hidden="1" x14ac:dyDescent="0.3">
      <c r="A453" s="38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38</v>
      </c>
      <c r="H453" s="32" t="s">
        <v>513</v>
      </c>
      <c r="I453" s="32" t="s">
        <v>40</v>
      </c>
      <c r="J453" s="32" t="s">
        <v>41</v>
      </c>
    </row>
    <row r="454" spans="1:14" s="32" customFormat="1" hidden="1" x14ac:dyDescent="0.3">
      <c r="A454" s="38">
        <v>46227.643530092595</v>
      </c>
      <c r="B454" s="32">
        <v>4430414545</v>
      </c>
      <c r="C454" s="32" t="s">
        <v>43</v>
      </c>
      <c r="D454" s="32">
        <v>4430265054</v>
      </c>
      <c r="E454" s="32">
        <v>891</v>
      </c>
      <c r="F454" s="32">
        <v>834</v>
      </c>
      <c r="G454" s="32" t="s">
        <v>44</v>
      </c>
      <c r="H454" s="32" t="s">
        <v>514</v>
      </c>
      <c r="I454" s="32" t="s">
        <v>40</v>
      </c>
      <c r="J454" s="32" t="s">
        <v>46</v>
      </c>
      <c r="K454" s="32" t="s">
        <v>42</v>
      </c>
      <c r="M454" s="32" t="s">
        <v>47</v>
      </c>
      <c r="N454" s="32" t="s">
        <v>43</v>
      </c>
    </row>
    <row r="455" spans="1:14" s="32" customFormat="1" hidden="1" x14ac:dyDescent="0.3">
      <c r="A455" s="38">
        <v>46227.638020833336</v>
      </c>
      <c r="B455" s="32" t="s">
        <v>207</v>
      </c>
      <c r="C455" s="32">
        <v>11941045323</v>
      </c>
      <c r="E455" s="32">
        <v>38</v>
      </c>
      <c r="F455" s="32">
        <v>0</v>
      </c>
      <c r="G455" s="32" t="s">
        <v>63</v>
      </c>
      <c r="H455" s="32" t="s">
        <v>515</v>
      </c>
      <c r="I455" s="32" t="s">
        <v>54</v>
      </c>
      <c r="J455" s="32" t="s">
        <v>111</v>
      </c>
      <c r="M455" s="32" t="s">
        <v>209</v>
      </c>
      <c r="N455" s="32" t="s">
        <v>207</v>
      </c>
    </row>
    <row r="456" spans="1:14" s="32" customFormat="1" hidden="1" x14ac:dyDescent="0.3">
      <c r="A456" s="38">
        <v>46227.628171296295</v>
      </c>
      <c r="B456" s="32">
        <v>41999717893</v>
      </c>
      <c r="C456" s="32" t="s">
        <v>58</v>
      </c>
      <c r="D456" s="32">
        <v>4430265054</v>
      </c>
      <c r="E456" s="32">
        <v>138</v>
      </c>
      <c r="F456" s="32">
        <v>137</v>
      </c>
      <c r="G456" s="32" t="s">
        <v>44</v>
      </c>
      <c r="H456" s="32" t="s">
        <v>516</v>
      </c>
      <c r="I456" s="32" t="s">
        <v>40</v>
      </c>
      <c r="J456" s="32" t="s">
        <v>46</v>
      </c>
      <c r="K456" s="32" t="s">
        <v>42</v>
      </c>
      <c r="M456" s="32" t="s">
        <v>60</v>
      </c>
      <c r="N456" s="32" t="s">
        <v>58</v>
      </c>
    </row>
    <row r="457" spans="1:14" s="32" customFormat="1" hidden="1" x14ac:dyDescent="0.3">
      <c r="A457" s="38">
        <v>46227.626909722225</v>
      </c>
      <c r="B457" s="32" t="s">
        <v>58</v>
      </c>
      <c r="C457" s="32">
        <v>4433050408</v>
      </c>
      <c r="E457" s="32">
        <v>45</v>
      </c>
      <c r="F457" s="32">
        <v>30</v>
      </c>
      <c r="G457" s="32" t="s">
        <v>44</v>
      </c>
      <c r="H457" s="32" t="s">
        <v>517</v>
      </c>
      <c r="I457" s="32" t="s">
        <v>54</v>
      </c>
      <c r="J457" s="32" t="s">
        <v>46</v>
      </c>
      <c r="M457" s="32" t="s">
        <v>60</v>
      </c>
      <c r="N457" s="32" t="s">
        <v>58</v>
      </c>
    </row>
    <row r="458" spans="1:14" s="32" customFormat="1" hidden="1" x14ac:dyDescent="0.3">
      <c r="A458" s="38">
        <v>46227.620821759258</v>
      </c>
      <c r="B458" s="32">
        <v>41999865917</v>
      </c>
      <c r="C458" s="32" t="s">
        <v>49</v>
      </c>
      <c r="D458" s="32">
        <v>4430265054</v>
      </c>
      <c r="E458" s="32">
        <v>1387</v>
      </c>
      <c r="F458" s="32">
        <v>1347</v>
      </c>
      <c r="G458" s="32" t="s">
        <v>44</v>
      </c>
      <c r="H458" s="32" t="s">
        <v>518</v>
      </c>
      <c r="I458" s="32" t="s">
        <v>40</v>
      </c>
      <c r="J458" s="32" t="s">
        <v>46</v>
      </c>
      <c r="K458" s="32" t="s">
        <v>42</v>
      </c>
      <c r="M458" s="32" t="s">
        <v>51</v>
      </c>
      <c r="N458" s="32" t="s">
        <v>49</v>
      </c>
    </row>
    <row r="459" spans="1:14" s="32" customFormat="1" hidden="1" x14ac:dyDescent="0.3">
      <c r="A459" s="38">
        <v>46227.618333333332</v>
      </c>
      <c r="B459" s="32" t="s">
        <v>58</v>
      </c>
      <c r="C459" s="32">
        <v>4434233230</v>
      </c>
      <c r="E459" s="32">
        <v>408</v>
      </c>
      <c r="F459" s="32">
        <v>398</v>
      </c>
      <c r="G459" s="32" t="s">
        <v>44</v>
      </c>
      <c r="H459" s="32" t="s">
        <v>519</v>
      </c>
      <c r="I459" s="32" t="s">
        <v>54</v>
      </c>
      <c r="J459" s="32" t="s">
        <v>46</v>
      </c>
      <c r="M459" s="32" t="s">
        <v>60</v>
      </c>
      <c r="N459" s="32" t="s">
        <v>58</v>
      </c>
    </row>
    <row r="460" spans="1:14" s="32" customFormat="1" hidden="1" x14ac:dyDescent="0.3">
      <c r="A460" s="38">
        <v>46227.617893518516</v>
      </c>
      <c r="B460" s="32" t="s">
        <v>58</v>
      </c>
      <c r="C460" s="32">
        <v>4430459032</v>
      </c>
      <c r="E460" s="32">
        <v>5</v>
      </c>
      <c r="F460" s="32">
        <v>0</v>
      </c>
      <c r="G460" s="32" t="s">
        <v>63</v>
      </c>
      <c r="H460" s="32" t="s">
        <v>520</v>
      </c>
      <c r="I460" s="32" t="s">
        <v>54</v>
      </c>
      <c r="J460" s="32" t="s">
        <v>46</v>
      </c>
      <c r="M460" s="32" t="s">
        <v>60</v>
      </c>
      <c r="N460" s="32" t="s">
        <v>58</v>
      </c>
    </row>
    <row r="461" spans="1:14" s="32" customFormat="1" hidden="1" x14ac:dyDescent="0.3">
      <c r="A461" s="38">
        <v>46227.60800925926</v>
      </c>
      <c r="B461" s="32">
        <v>44999648932</v>
      </c>
      <c r="C461" s="32" t="s">
        <v>43</v>
      </c>
      <c r="D461" s="32">
        <v>4430265054</v>
      </c>
      <c r="E461" s="32">
        <v>221</v>
      </c>
      <c r="F461" s="32">
        <v>101</v>
      </c>
      <c r="G461" s="32" t="s">
        <v>44</v>
      </c>
      <c r="H461" s="32" t="s">
        <v>521</v>
      </c>
      <c r="I461" s="32" t="s">
        <v>40</v>
      </c>
      <c r="J461" s="32" t="s">
        <v>46</v>
      </c>
      <c r="K461" s="32" t="s">
        <v>42</v>
      </c>
      <c r="M461" s="32" t="s">
        <v>47</v>
      </c>
      <c r="N461" s="32" t="s">
        <v>43</v>
      </c>
    </row>
    <row r="462" spans="1:14" s="32" customFormat="1" hidden="1" x14ac:dyDescent="0.3">
      <c r="A462" s="38">
        <v>46227.59269675926</v>
      </c>
      <c r="B462" s="32">
        <v>4430266744</v>
      </c>
      <c r="C462" s="32" t="s">
        <v>43</v>
      </c>
      <c r="D462" s="32">
        <v>4430265054</v>
      </c>
      <c r="E462" s="32">
        <v>320</v>
      </c>
      <c r="F462" s="32">
        <v>292</v>
      </c>
      <c r="G462" s="32" t="s">
        <v>44</v>
      </c>
      <c r="H462" s="32" t="s">
        <v>522</v>
      </c>
      <c r="I462" s="32" t="s">
        <v>40</v>
      </c>
      <c r="J462" s="32" t="s">
        <v>46</v>
      </c>
      <c r="K462" s="32" t="s">
        <v>42</v>
      </c>
      <c r="L462" s="32">
        <v>5</v>
      </c>
      <c r="M462" s="32" t="s">
        <v>47</v>
      </c>
      <c r="N462" s="32" t="s">
        <v>43</v>
      </c>
    </row>
    <row r="463" spans="1:14" s="32" customFormat="1" hidden="1" x14ac:dyDescent="0.3">
      <c r="A463" s="38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38</v>
      </c>
      <c r="H463" s="32" t="s">
        <v>523</v>
      </c>
      <c r="I463" s="32" t="s">
        <v>40</v>
      </c>
      <c r="J463" s="32" t="s">
        <v>41</v>
      </c>
      <c r="K463" s="32" t="s">
        <v>42</v>
      </c>
    </row>
    <row r="464" spans="1:14" s="32" customFormat="1" hidden="1" x14ac:dyDescent="0.3">
      <c r="A464" s="38">
        <v>46227.575914351852</v>
      </c>
      <c r="B464" s="32" t="s">
        <v>58</v>
      </c>
      <c r="C464" s="32">
        <v>4430284942</v>
      </c>
      <c r="E464" s="32">
        <v>120</v>
      </c>
      <c r="F464" s="32">
        <v>113</v>
      </c>
      <c r="G464" s="32" t="s">
        <v>44</v>
      </c>
      <c r="H464" s="32" t="s">
        <v>524</v>
      </c>
      <c r="I464" s="32" t="s">
        <v>54</v>
      </c>
      <c r="J464" s="32" t="s">
        <v>46</v>
      </c>
      <c r="M464" s="32" t="s">
        <v>60</v>
      </c>
      <c r="N464" s="32" t="s">
        <v>58</v>
      </c>
    </row>
    <row r="465" spans="1:14" s="32" customFormat="1" hidden="1" x14ac:dyDescent="0.3">
      <c r="A465" s="38">
        <v>46227.495983796296</v>
      </c>
      <c r="B465" s="32">
        <v>4430346845</v>
      </c>
      <c r="C465" s="32" t="s">
        <v>43</v>
      </c>
      <c r="D465" s="32">
        <v>4430265054</v>
      </c>
      <c r="E465" s="32">
        <v>217</v>
      </c>
      <c r="F465" s="32">
        <v>124</v>
      </c>
      <c r="G465" s="32" t="s">
        <v>44</v>
      </c>
      <c r="H465" s="32" t="s">
        <v>525</v>
      </c>
      <c r="I465" s="32" t="s">
        <v>40</v>
      </c>
      <c r="J465" s="32" t="s">
        <v>46</v>
      </c>
      <c r="K465" s="32" t="s">
        <v>42</v>
      </c>
      <c r="M465" s="32" t="s">
        <v>47</v>
      </c>
      <c r="N465" s="32" t="s">
        <v>43</v>
      </c>
    </row>
    <row r="466" spans="1:14" s="32" customFormat="1" hidden="1" x14ac:dyDescent="0.3">
      <c r="A466" s="38">
        <v>46227.491655092592</v>
      </c>
      <c r="B466" s="32">
        <v>1144320912</v>
      </c>
      <c r="C466" s="32" t="s">
        <v>43</v>
      </c>
      <c r="D466" s="32">
        <v>4430265054</v>
      </c>
      <c r="E466" s="32">
        <v>196</v>
      </c>
      <c r="F466" s="32">
        <v>156</v>
      </c>
      <c r="G466" s="32" t="s">
        <v>44</v>
      </c>
      <c r="H466" s="32" t="s">
        <v>526</v>
      </c>
      <c r="I466" s="32" t="s">
        <v>40</v>
      </c>
      <c r="J466" s="32" t="s">
        <v>46</v>
      </c>
      <c r="K466" s="32" t="s">
        <v>42</v>
      </c>
      <c r="M466" s="32" t="s">
        <v>47</v>
      </c>
      <c r="N466" s="32" t="s">
        <v>43</v>
      </c>
    </row>
    <row r="467" spans="1:14" s="32" customFormat="1" hidden="1" x14ac:dyDescent="0.3">
      <c r="A467" s="38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38</v>
      </c>
      <c r="H467" s="32" t="s">
        <v>527</v>
      </c>
      <c r="I467" s="32" t="s">
        <v>40</v>
      </c>
      <c r="J467" s="32" t="s">
        <v>41</v>
      </c>
      <c r="K467" s="32" t="s">
        <v>42</v>
      </c>
    </row>
    <row r="468" spans="1:14" s="32" customFormat="1" hidden="1" x14ac:dyDescent="0.3">
      <c r="A468" s="38">
        <v>46227.482048611113</v>
      </c>
      <c r="B468" s="32">
        <v>11947305571</v>
      </c>
      <c r="C468" s="32" t="s">
        <v>49</v>
      </c>
      <c r="D468" s="32">
        <v>4430265054</v>
      </c>
      <c r="E468" s="32">
        <v>822</v>
      </c>
      <c r="F468" s="32">
        <v>618</v>
      </c>
      <c r="G468" s="32" t="s">
        <v>44</v>
      </c>
      <c r="H468" s="32" t="s">
        <v>528</v>
      </c>
      <c r="I468" s="32" t="s">
        <v>40</v>
      </c>
      <c r="J468" s="32" t="s">
        <v>46</v>
      </c>
      <c r="K468" s="32" t="s">
        <v>42</v>
      </c>
      <c r="M468" s="32" t="s">
        <v>51</v>
      </c>
      <c r="N468" s="32" t="s">
        <v>49</v>
      </c>
    </row>
    <row r="469" spans="1:14" s="32" customFormat="1" hidden="1" x14ac:dyDescent="0.3">
      <c r="A469" s="38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38</v>
      </c>
      <c r="H469" s="32" t="s">
        <v>529</v>
      </c>
      <c r="I469" s="32" t="s">
        <v>40</v>
      </c>
      <c r="J469" s="32" t="s">
        <v>41</v>
      </c>
      <c r="K469" s="32" t="s">
        <v>212</v>
      </c>
    </row>
    <row r="470" spans="1:14" s="32" customFormat="1" hidden="1" x14ac:dyDescent="0.3">
      <c r="A470" s="38">
        <v>46227.460370370369</v>
      </c>
      <c r="B470" s="32">
        <v>4430403880</v>
      </c>
      <c r="C470" s="32" t="s">
        <v>49</v>
      </c>
      <c r="D470" s="32">
        <v>4430265054</v>
      </c>
      <c r="E470" s="32">
        <v>273</v>
      </c>
      <c r="F470" s="32">
        <v>155</v>
      </c>
      <c r="G470" s="32" t="s">
        <v>44</v>
      </c>
      <c r="H470" s="32" t="s">
        <v>530</v>
      </c>
      <c r="I470" s="32" t="s">
        <v>40</v>
      </c>
      <c r="J470" s="32" t="s">
        <v>46</v>
      </c>
      <c r="K470" s="32" t="s">
        <v>42</v>
      </c>
      <c r="M470" s="32" t="s">
        <v>51</v>
      </c>
      <c r="N470" s="32" t="s">
        <v>49</v>
      </c>
    </row>
    <row r="471" spans="1:14" s="32" customFormat="1" hidden="1" x14ac:dyDescent="0.3">
      <c r="A471" s="38">
        <v>46227.440671296295</v>
      </c>
      <c r="B471" s="32" t="s">
        <v>58</v>
      </c>
      <c r="C471" s="32">
        <v>44997687156</v>
      </c>
      <c r="E471" s="32">
        <v>647</v>
      </c>
      <c r="F471" s="32">
        <v>637</v>
      </c>
      <c r="G471" s="32" t="s">
        <v>44</v>
      </c>
      <c r="H471" s="32" t="s">
        <v>531</v>
      </c>
      <c r="I471" s="32" t="s">
        <v>54</v>
      </c>
      <c r="J471" s="32" t="s">
        <v>46</v>
      </c>
      <c r="M471" s="32" t="s">
        <v>60</v>
      </c>
      <c r="N471" s="32" t="s">
        <v>58</v>
      </c>
    </row>
    <row r="472" spans="1:14" s="32" customFormat="1" hidden="1" x14ac:dyDescent="0.3">
      <c r="A472" s="38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38</v>
      </c>
      <c r="H472" s="32" t="s">
        <v>532</v>
      </c>
      <c r="I472" s="32" t="s">
        <v>40</v>
      </c>
      <c r="J472" s="32" t="s">
        <v>41</v>
      </c>
      <c r="K472" s="32" t="s">
        <v>42</v>
      </c>
    </row>
    <row r="473" spans="1:14" s="32" customFormat="1" hidden="1" x14ac:dyDescent="0.3">
      <c r="A473" s="38">
        <v>46227.417974537035</v>
      </c>
      <c r="B473" s="32">
        <v>4434233230</v>
      </c>
      <c r="C473" s="32" t="s">
        <v>43</v>
      </c>
      <c r="D473" s="32">
        <v>4430265054</v>
      </c>
      <c r="E473" s="32">
        <v>1183</v>
      </c>
      <c r="F473" s="32">
        <v>826</v>
      </c>
      <c r="G473" s="32" t="s">
        <v>44</v>
      </c>
      <c r="H473" s="32" t="s">
        <v>533</v>
      </c>
      <c r="I473" s="32" t="s">
        <v>40</v>
      </c>
      <c r="J473" s="32" t="s">
        <v>46</v>
      </c>
      <c r="K473" s="32" t="s">
        <v>42</v>
      </c>
      <c r="M473" s="32" t="s">
        <v>47</v>
      </c>
      <c r="N473" s="32" t="s">
        <v>43</v>
      </c>
    </row>
    <row r="474" spans="1:14" s="32" customFormat="1" hidden="1" x14ac:dyDescent="0.3">
      <c r="A474" s="38">
        <v>46227.416307870371</v>
      </c>
      <c r="B474" s="32">
        <v>4432269849</v>
      </c>
      <c r="C474" s="32" t="s">
        <v>43</v>
      </c>
      <c r="D474" s="32">
        <v>4430265054</v>
      </c>
      <c r="E474" s="32">
        <v>441</v>
      </c>
      <c r="F474" s="32">
        <v>378</v>
      </c>
      <c r="G474" s="32" t="s">
        <v>44</v>
      </c>
      <c r="H474" s="32" t="s">
        <v>534</v>
      </c>
      <c r="I474" s="32" t="s">
        <v>40</v>
      </c>
      <c r="J474" s="32" t="s">
        <v>46</v>
      </c>
      <c r="K474" s="32" t="s">
        <v>42</v>
      </c>
      <c r="M474" s="32" t="s">
        <v>47</v>
      </c>
      <c r="N474" s="32" t="s">
        <v>43</v>
      </c>
    </row>
    <row r="475" spans="1:14" s="32" customFormat="1" hidden="1" x14ac:dyDescent="0.3">
      <c r="A475" s="38">
        <v>46227.415775462963</v>
      </c>
      <c r="B475" s="32">
        <v>41999717893</v>
      </c>
      <c r="C475" s="32" t="s">
        <v>58</v>
      </c>
      <c r="D475" s="32">
        <v>4430265054</v>
      </c>
      <c r="E475" s="32">
        <v>2022</v>
      </c>
      <c r="F475" s="32">
        <v>1804</v>
      </c>
      <c r="G475" s="32" t="s">
        <v>44</v>
      </c>
      <c r="H475" s="32" t="s">
        <v>535</v>
      </c>
      <c r="I475" s="32" t="s">
        <v>40</v>
      </c>
      <c r="J475" s="32" t="s">
        <v>46</v>
      </c>
      <c r="K475" s="32" t="s">
        <v>42</v>
      </c>
      <c r="M475" s="32" t="s">
        <v>60</v>
      </c>
      <c r="N475" s="32" t="s">
        <v>58</v>
      </c>
    </row>
    <row r="476" spans="1:14" s="32" customFormat="1" hidden="1" x14ac:dyDescent="0.3">
      <c r="A476" s="38">
        <v>46227.411296296297</v>
      </c>
      <c r="B476" s="32">
        <v>4430562296</v>
      </c>
      <c r="C476" s="32" t="s">
        <v>49</v>
      </c>
      <c r="D476" s="32">
        <v>4430265054</v>
      </c>
      <c r="E476" s="32">
        <v>1113</v>
      </c>
      <c r="F476" s="32">
        <v>1078</v>
      </c>
      <c r="G476" s="32" t="s">
        <v>44</v>
      </c>
      <c r="H476" s="32" t="s">
        <v>536</v>
      </c>
      <c r="I476" s="32" t="s">
        <v>40</v>
      </c>
      <c r="J476" s="32" t="s">
        <v>46</v>
      </c>
      <c r="K476" s="32" t="s">
        <v>42</v>
      </c>
      <c r="M476" s="32" t="s">
        <v>51</v>
      </c>
      <c r="N476" s="32" t="s">
        <v>49</v>
      </c>
    </row>
    <row r="477" spans="1:14" s="32" customFormat="1" hidden="1" x14ac:dyDescent="0.3">
      <c r="A477" s="38">
        <v>46227.405891203707</v>
      </c>
      <c r="B477" s="32">
        <v>4430256607</v>
      </c>
      <c r="C477" s="32" t="s">
        <v>207</v>
      </c>
      <c r="D477" s="32">
        <v>4430265054</v>
      </c>
      <c r="E477" s="32">
        <v>402</v>
      </c>
      <c r="F477" s="32">
        <v>372</v>
      </c>
      <c r="G477" s="32" t="s">
        <v>44</v>
      </c>
      <c r="H477" s="32" t="s">
        <v>537</v>
      </c>
      <c r="I477" s="32" t="s">
        <v>40</v>
      </c>
      <c r="J477" s="32" t="s">
        <v>111</v>
      </c>
      <c r="K477" s="32" t="s">
        <v>212</v>
      </c>
      <c r="M477" s="32" t="s">
        <v>209</v>
      </c>
      <c r="N477" s="32" t="s">
        <v>207</v>
      </c>
    </row>
    <row r="478" spans="1:14" s="32" customFormat="1" hidden="1" x14ac:dyDescent="0.3">
      <c r="A478" s="38">
        <v>46227.404340277775</v>
      </c>
      <c r="B478" s="32">
        <v>41999865917</v>
      </c>
      <c r="C478" s="32" t="s">
        <v>43</v>
      </c>
      <c r="D478" s="32">
        <v>4430265054</v>
      </c>
      <c r="E478" s="32">
        <v>1068</v>
      </c>
      <c r="F478" s="32">
        <v>1032</v>
      </c>
      <c r="G478" s="32" t="s">
        <v>44</v>
      </c>
      <c r="H478" s="32" t="s">
        <v>538</v>
      </c>
      <c r="I478" s="32" t="s">
        <v>40</v>
      </c>
      <c r="J478" s="32" t="s">
        <v>46</v>
      </c>
      <c r="K478" s="32" t="s">
        <v>42</v>
      </c>
      <c r="M478" s="32" t="s">
        <v>47</v>
      </c>
      <c r="N478" s="32" t="s">
        <v>43</v>
      </c>
    </row>
    <row r="479" spans="1:14" s="32" customFormat="1" x14ac:dyDescent="0.3">
      <c r="A479" s="38">
        <v>46227.402731481481</v>
      </c>
      <c r="B479" s="32">
        <v>4432272377</v>
      </c>
      <c r="C479" s="32" t="s">
        <v>49</v>
      </c>
      <c r="D479" s="32">
        <v>4430265054</v>
      </c>
      <c r="E479" s="32">
        <v>317</v>
      </c>
      <c r="F479" s="32">
        <v>288</v>
      </c>
      <c r="G479" s="32" t="s">
        <v>44</v>
      </c>
      <c r="H479" s="32" t="s">
        <v>539</v>
      </c>
      <c r="I479" s="32" t="s">
        <v>40</v>
      </c>
      <c r="J479" s="32" t="s">
        <v>46</v>
      </c>
      <c r="K479" s="32" t="s">
        <v>42</v>
      </c>
      <c r="L479" s="41">
        <v>5</v>
      </c>
      <c r="M479" s="32" t="s">
        <v>2215</v>
      </c>
      <c r="N479" s="32" t="s">
        <v>49</v>
      </c>
    </row>
    <row r="480" spans="1:14" s="32" customFormat="1" hidden="1" x14ac:dyDescent="0.3">
      <c r="A480" s="38">
        <v>46227.401689814818</v>
      </c>
      <c r="B480" s="32" t="s">
        <v>109</v>
      </c>
      <c r="C480" s="32">
        <v>4420068165</v>
      </c>
      <c r="E480" s="32">
        <v>13</v>
      </c>
      <c r="F480" s="32">
        <v>12</v>
      </c>
      <c r="G480" s="32" t="s">
        <v>44</v>
      </c>
      <c r="H480" s="32" t="s">
        <v>540</v>
      </c>
      <c r="I480" s="32" t="s">
        <v>54</v>
      </c>
      <c r="J480" s="32" t="s">
        <v>111</v>
      </c>
      <c r="M480" s="32" t="s">
        <v>112</v>
      </c>
      <c r="N480" s="32" t="s">
        <v>109</v>
      </c>
    </row>
    <row r="481" spans="1:14" s="32" customFormat="1" hidden="1" x14ac:dyDescent="0.3">
      <c r="A481" s="38">
        <v>46227.395127314812</v>
      </c>
      <c r="B481" s="32">
        <v>44999648932</v>
      </c>
      <c r="C481" s="32" t="s">
        <v>43</v>
      </c>
      <c r="D481" s="32">
        <v>4430265054</v>
      </c>
      <c r="E481" s="32">
        <v>516</v>
      </c>
      <c r="F481" s="32">
        <v>463</v>
      </c>
      <c r="G481" s="32" t="s">
        <v>44</v>
      </c>
      <c r="H481" s="32" t="s">
        <v>541</v>
      </c>
      <c r="I481" s="32" t="s">
        <v>40</v>
      </c>
      <c r="J481" s="32" t="s">
        <v>46</v>
      </c>
      <c r="K481" s="32" t="s">
        <v>42</v>
      </c>
      <c r="M481" s="32" t="s">
        <v>47</v>
      </c>
      <c r="N481" s="32" t="s">
        <v>43</v>
      </c>
    </row>
    <row r="482" spans="1:14" s="32" customFormat="1" hidden="1" x14ac:dyDescent="0.3">
      <c r="A482" s="38">
        <v>46227.393831018519</v>
      </c>
      <c r="B482" s="32">
        <v>4432269849</v>
      </c>
      <c r="C482" s="32" t="s">
        <v>49</v>
      </c>
      <c r="D482" s="32">
        <v>4430265054</v>
      </c>
      <c r="E482" s="32">
        <v>605</v>
      </c>
      <c r="F482" s="32">
        <v>504</v>
      </c>
      <c r="G482" s="32" t="s">
        <v>44</v>
      </c>
      <c r="H482" s="32" t="s">
        <v>542</v>
      </c>
      <c r="I482" s="32" t="s">
        <v>40</v>
      </c>
      <c r="J482" s="32" t="s">
        <v>46</v>
      </c>
      <c r="K482" s="32" t="s">
        <v>42</v>
      </c>
      <c r="M482" s="32" t="s">
        <v>51</v>
      </c>
      <c r="N482" s="32" t="s">
        <v>49</v>
      </c>
    </row>
    <row r="483" spans="1:14" s="32" customFormat="1" x14ac:dyDescent="0.3">
      <c r="A483" s="38">
        <v>46227.389270833337</v>
      </c>
      <c r="B483" s="32">
        <v>4130760170</v>
      </c>
      <c r="C483" s="32" t="s">
        <v>49</v>
      </c>
      <c r="D483" s="32">
        <v>4430265054</v>
      </c>
      <c r="E483" s="32">
        <v>295</v>
      </c>
      <c r="F483" s="32">
        <v>195</v>
      </c>
      <c r="G483" s="32" t="s">
        <v>44</v>
      </c>
      <c r="H483" s="32" t="s">
        <v>543</v>
      </c>
      <c r="I483" s="32" t="s">
        <v>40</v>
      </c>
      <c r="J483" s="32" t="s">
        <v>46</v>
      </c>
      <c r="K483" s="32" t="s">
        <v>42</v>
      </c>
      <c r="L483" s="32">
        <v>5</v>
      </c>
      <c r="M483" s="32" t="s">
        <v>51</v>
      </c>
      <c r="N483" s="32" t="s">
        <v>49</v>
      </c>
    </row>
    <row r="484" spans="1:14" s="32" customFormat="1" hidden="1" x14ac:dyDescent="0.3">
      <c r="A484" s="38">
        <v>46227.385648148149</v>
      </c>
      <c r="B484" s="32" t="s">
        <v>49</v>
      </c>
      <c r="C484" s="32">
        <v>4436281154</v>
      </c>
      <c r="E484" s="32">
        <v>1</v>
      </c>
      <c r="F484" s="32">
        <v>0</v>
      </c>
      <c r="G484" s="32" t="s">
        <v>63</v>
      </c>
      <c r="H484" s="32" t="s">
        <v>544</v>
      </c>
      <c r="I484" s="32" t="s">
        <v>54</v>
      </c>
      <c r="J484" s="32" t="s">
        <v>46</v>
      </c>
      <c r="M484" s="32" t="s">
        <v>51</v>
      </c>
      <c r="N484" s="32" t="s">
        <v>49</v>
      </c>
    </row>
    <row r="485" spans="1:14" s="32" customFormat="1" hidden="1" x14ac:dyDescent="0.3">
      <c r="A485" s="38">
        <v>46227.377488425926</v>
      </c>
      <c r="B485" s="32">
        <v>4626041931</v>
      </c>
      <c r="C485" s="32" t="s">
        <v>43</v>
      </c>
      <c r="D485" s="32">
        <v>4430265054</v>
      </c>
      <c r="E485" s="32">
        <v>639</v>
      </c>
      <c r="F485" s="32">
        <v>548</v>
      </c>
      <c r="G485" s="32" t="s">
        <v>44</v>
      </c>
      <c r="H485" s="32" t="s">
        <v>545</v>
      </c>
      <c r="I485" s="32" t="s">
        <v>40</v>
      </c>
      <c r="J485" s="32" t="s">
        <v>46</v>
      </c>
      <c r="K485" s="32" t="s">
        <v>42</v>
      </c>
      <c r="M485" s="32" t="s">
        <v>47</v>
      </c>
      <c r="N485" s="32" t="s">
        <v>43</v>
      </c>
    </row>
    <row r="486" spans="1:14" s="32" customFormat="1" hidden="1" x14ac:dyDescent="0.3">
      <c r="A486" s="38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38</v>
      </c>
      <c r="H486" s="32" t="s">
        <v>546</v>
      </c>
      <c r="I486" s="32" t="s">
        <v>40</v>
      </c>
      <c r="J486" s="32" t="s">
        <v>41</v>
      </c>
      <c r="K486" s="32" t="s">
        <v>212</v>
      </c>
    </row>
    <row r="487" spans="1:14" s="32" customFormat="1" hidden="1" x14ac:dyDescent="0.3">
      <c r="A487" s="38">
        <v>46227.370752314811</v>
      </c>
      <c r="B487" s="32">
        <v>44999497001</v>
      </c>
      <c r="C487" s="32" t="s">
        <v>109</v>
      </c>
      <c r="D487" s="32">
        <v>4430265054</v>
      </c>
      <c r="E487" s="32">
        <v>440</v>
      </c>
      <c r="F487" s="32">
        <v>412</v>
      </c>
      <c r="G487" s="32" t="s">
        <v>44</v>
      </c>
      <c r="H487" s="32" t="s">
        <v>547</v>
      </c>
      <c r="I487" s="32" t="s">
        <v>40</v>
      </c>
      <c r="J487" s="32" t="s">
        <v>111</v>
      </c>
      <c r="K487" s="32" t="s">
        <v>212</v>
      </c>
      <c r="M487" s="32" t="s">
        <v>112</v>
      </c>
      <c r="N487" s="32" t="s">
        <v>109</v>
      </c>
    </row>
    <row r="488" spans="1:14" s="32" customFormat="1" hidden="1" x14ac:dyDescent="0.3">
      <c r="A488" s="38">
        <v>46227.369560185187</v>
      </c>
      <c r="B488" s="32" t="s">
        <v>49</v>
      </c>
      <c r="C488" s="32">
        <v>43999388040</v>
      </c>
      <c r="E488" s="32">
        <v>400</v>
      </c>
      <c r="F488" s="32">
        <v>382</v>
      </c>
      <c r="G488" s="32" t="s">
        <v>44</v>
      </c>
      <c r="H488" s="32" t="s">
        <v>548</v>
      </c>
      <c r="I488" s="32" t="s">
        <v>54</v>
      </c>
      <c r="J488" s="32" t="s">
        <v>46</v>
      </c>
      <c r="M488" s="32" t="s">
        <v>51</v>
      </c>
      <c r="N488" s="32" t="s">
        <v>49</v>
      </c>
    </row>
    <row r="489" spans="1:14" s="32" customFormat="1" hidden="1" x14ac:dyDescent="0.3">
      <c r="A489" s="38">
        <v>46227.367488425924</v>
      </c>
      <c r="B489" s="32" t="s">
        <v>43</v>
      </c>
      <c r="C489" s="32">
        <v>4432677399</v>
      </c>
      <c r="E489" s="32">
        <v>503</v>
      </c>
      <c r="F489" s="32">
        <v>497</v>
      </c>
      <c r="G489" s="32" t="s">
        <v>44</v>
      </c>
      <c r="H489" s="32" t="s">
        <v>549</v>
      </c>
      <c r="I489" s="32" t="s">
        <v>54</v>
      </c>
      <c r="J489" s="32" t="s">
        <v>46</v>
      </c>
      <c r="L489" s="32">
        <v>5</v>
      </c>
      <c r="M489" s="32" t="s">
        <v>47</v>
      </c>
      <c r="N489" s="32" t="s">
        <v>43</v>
      </c>
    </row>
    <row r="490" spans="1:14" s="32" customFormat="1" hidden="1" x14ac:dyDescent="0.3">
      <c r="A490" s="38">
        <v>46227.364791666667</v>
      </c>
      <c r="B490" s="32">
        <v>4432325260</v>
      </c>
      <c r="C490" s="32" t="s">
        <v>58</v>
      </c>
      <c r="D490" s="32">
        <v>4430265054</v>
      </c>
      <c r="E490" s="32">
        <v>169</v>
      </c>
      <c r="F490" s="32">
        <v>168</v>
      </c>
      <c r="G490" s="32" t="s">
        <v>44</v>
      </c>
      <c r="H490" s="32" t="s">
        <v>550</v>
      </c>
      <c r="I490" s="32" t="s">
        <v>40</v>
      </c>
      <c r="J490" s="32" t="s">
        <v>46</v>
      </c>
      <c r="K490" s="32" t="s">
        <v>42</v>
      </c>
      <c r="M490" s="32" t="s">
        <v>60</v>
      </c>
      <c r="N490" s="32" t="s">
        <v>58</v>
      </c>
    </row>
    <row r="491" spans="1:14" s="32" customFormat="1" hidden="1" x14ac:dyDescent="0.3">
      <c r="A491" s="38">
        <v>46227.358506944445</v>
      </c>
      <c r="B491" s="32">
        <v>4432677399</v>
      </c>
      <c r="C491" s="32" t="s">
        <v>43</v>
      </c>
      <c r="D491" s="32">
        <v>4430265054</v>
      </c>
      <c r="E491" s="32">
        <v>539</v>
      </c>
      <c r="F491" s="32">
        <v>511</v>
      </c>
      <c r="G491" s="32" t="s">
        <v>44</v>
      </c>
      <c r="H491" s="32" t="s">
        <v>551</v>
      </c>
      <c r="I491" s="32" t="s">
        <v>40</v>
      </c>
      <c r="J491" s="32" t="s">
        <v>46</v>
      </c>
      <c r="K491" s="32" t="s">
        <v>42</v>
      </c>
      <c r="M491" s="32" t="s">
        <v>47</v>
      </c>
      <c r="N491" s="32" t="s">
        <v>43</v>
      </c>
    </row>
    <row r="492" spans="1:14" s="32" customFormat="1" hidden="1" x14ac:dyDescent="0.3">
      <c r="A492" s="38">
        <v>46227.356944444444</v>
      </c>
      <c r="B492" s="32">
        <v>43999388040</v>
      </c>
      <c r="C492" s="32" t="s">
        <v>49</v>
      </c>
      <c r="D492" s="32">
        <v>4430265054</v>
      </c>
      <c r="E492" s="32">
        <v>1001</v>
      </c>
      <c r="F492" s="32">
        <v>926</v>
      </c>
      <c r="G492" s="32" t="s">
        <v>44</v>
      </c>
      <c r="H492" s="32" t="s">
        <v>552</v>
      </c>
      <c r="I492" s="32" t="s">
        <v>40</v>
      </c>
      <c r="J492" s="32" t="s">
        <v>46</v>
      </c>
      <c r="K492" s="32" t="s">
        <v>42</v>
      </c>
      <c r="M492" s="32" t="s">
        <v>51</v>
      </c>
      <c r="N492" s="32" t="s">
        <v>49</v>
      </c>
    </row>
    <row r="493" spans="1:14" s="32" customFormat="1" hidden="1" x14ac:dyDescent="0.3">
      <c r="A493" s="38">
        <v>46227.354004629633</v>
      </c>
      <c r="B493" s="32" t="s">
        <v>49</v>
      </c>
      <c r="C493" s="32">
        <v>44998620323</v>
      </c>
      <c r="E493" s="32">
        <v>36</v>
      </c>
      <c r="F493" s="32">
        <v>0</v>
      </c>
      <c r="G493" s="32" t="s">
        <v>63</v>
      </c>
      <c r="H493" s="32" t="s">
        <v>553</v>
      </c>
      <c r="I493" s="32" t="s">
        <v>54</v>
      </c>
      <c r="J493" s="32" t="s">
        <v>46</v>
      </c>
      <c r="M493" s="32" t="s">
        <v>51</v>
      </c>
      <c r="N493" s="32" t="s">
        <v>49</v>
      </c>
    </row>
    <row r="494" spans="1:14" s="32" customFormat="1" hidden="1" x14ac:dyDescent="0.3">
      <c r="A494" s="38">
        <v>46227.35355324074</v>
      </c>
      <c r="B494" s="32" t="s">
        <v>49</v>
      </c>
      <c r="C494" s="32">
        <v>11964449514</v>
      </c>
      <c r="E494" s="32">
        <v>37</v>
      </c>
      <c r="F494" s="32">
        <v>1</v>
      </c>
      <c r="G494" s="32" t="s">
        <v>44</v>
      </c>
      <c r="H494" s="32" t="s">
        <v>554</v>
      </c>
      <c r="I494" s="32" t="s">
        <v>54</v>
      </c>
      <c r="J494" s="32" t="s">
        <v>46</v>
      </c>
      <c r="M494" s="32" t="s">
        <v>51</v>
      </c>
      <c r="N494" s="32" t="s">
        <v>49</v>
      </c>
    </row>
    <row r="495" spans="1:14" s="32" customFormat="1" hidden="1" x14ac:dyDescent="0.3">
      <c r="A495" s="38">
        <v>46227.346400462964</v>
      </c>
      <c r="B495" s="32" t="s">
        <v>85</v>
      </c>
      <c r="C495" s="32">
        <v>44998046835</v>
      </c>
      <c r="E495" s="32">
        <v>13</v>
      </c>
      <c r="F495" s="32">
        <v>0</v>
      </c>
      <c r="G495" s="32" t="s">
        <v>63</v>
      </c>
      <c r="H495" s="32" t="s">
        <v>555</v>
      </c>
      <c r="I495" s="32" t="s">
        <v>54</v>
      </c>
      <c r="J495" s="32" t="s">
        <v>41</v>
      </c>
      <c r="M495" s="32" t="s">
        <v>87</v>
      </c>
      <c r="N495" s="32" t="s">
        <v>85</v>
      </c>
    </row>
    <row r="496" spans="1:14" s="32" customFormat="1" hidden="1" x14ac:dyDescent="0.3">
      <c r="A496" s="38">
        <v>46226.923460648148</v>
      </c>
      <c r="B496" s="32" t="s">
        <v>85</v>
      </c>
      <c r="C496" s="32">
        <v>44998046835</v>
      </c>
      <c r="E496" s="32">
        <v>8</v>
      </c>
      <c r="F496" s="32">
        <v>0</v>
      </c>
      <c r="G496" s="32" t="s">
        <v>63</v>
      </c>
      <c r="H496" s="32" t="s">
        <v>556</v>
      </c>
      <c r="I496" s="32" t="s">
        <v>54</v>
      </c>
      <c r="J496" s="32" t="s">
        <v>41</v>
      </c>
      <c r="M496" s="32" t="s">
        <v>87</v>
      </c>
      <c r="N496" s="32" t="s">
        <v>85</v>
      </c>
    </row>
    <row r="497" spans="1:14" s="32" customFormat="1" hidden="1" x14ac:dyDescent="0.3">
      <c r="A497" s="38">
        <v>46226.923206018517</v>
      </c>
      <c r="B497" s="32" t="s">
        <v>85</v>
      </c>
      <c r="C497" s="32">
        <v>44998046835</v>
      </c>
      <c r="E497" s="32">
        <v>10</v>
      </c>
      <c r="F497" s="32">
        <v>0</v>
      </c>
      <c r="G497" s="32" t="s">
        <v>63</v>
      </c>
      <c r="H497" s="32" t="s">
        <v>557</v>
      </c>
      <c r="I497" s="32" t="s">
        <v>54</v>
      </c>
      <c r="J497" s="32" t="s">
        <v>41</v>
      </c>
      <c r="M497" s="32" t="s">
        <v>87</v>
      </c>
      <c r="N497" s="32" t="s">
        <v>85</v>
      </c>
    </row>
    <row r="498" spans="1:14" s="32" customFormat="1" hidden="1" x14ac:dyDescent="0.3">
      <c r="A498" s="38">
        <v>46226.922638888886</v>
      </c>
      <c r="B498" s="32" t="s">
        <v>85</v>
      </c>
      <c r="C498" s="32">
        <v>44998046835</v>
      </c>
      <c r="E498" s="32">
        <v>14</v>
      </c>
      <c r="F498" s="32">
        <v>0</v>
      </c>
      <c r="G498" s="32" t="s">
        <v>63</v>
      </c>
      <c r="H498" s="32" t="s">
        <v>558</v>
      </c>
      <c r="I498" s="32" t="s">
        <v>54</v>
      </c>
      <c r="J498" s="32" t="s">
        <v>41</v>
      </c>
      <c r="M498" s="32" t="s">
        <v>87</v>
      </c>
      <c r="N498" s="32" t="s">
        <v>85</v>
      </c>
    </row>
    <row r="499" spans="1:14" s="32" customFormat="1" hidden="1" x14ac:dyDescent="0.3">
      <c r="A499" s="38">
        <v>46226.922314814816</v>
      </c>
      <c r="B499" s="32" t="s">
        <v>85</v>
      </c>
      <c r="C499" s="32">
        <v>44998046835</v>
      </c>
      <c r="E499" s="32">
        <v>9</v>
      </c>
      <c r="F499" s="32">
        <v>0</v>
      </c>
      <c r="G499" s="32" t="s">
        <v>63</v>
      </c>
      <c r="H499" s="32" t="s">
        <v>559</v>
      </c>
      <c r="I499" s="32" t="s">
        <v>54</v>
      </c>
      <c r="J499" s="32" t="s">
        <v>41</v>
      </c>
      <c r="M499" s="32" t="s">
        <v>87</v>
      </c>
      <c r="N499" s="32" t="s">
        <v>85</v>
      </c>
    </row>
    <row r="500" spans="1:14" s="32" customFormat="1" hidden="1" x14ac:dyDescent="0.3">
      <c r="A500" s="38">
        <v>46226.921990740739</v>
      </c>
      <c r="B500" s="32" t="s">
        <v>85</v>
      </c>
      <c r="C500" s="32">
        <v>44998046835</v>
      </c>
      <c r="E500" s="32">
        <v>9</v>
      </c>
      <c r="F500" s="32">
        <v>0</v>
      </c>
      <c r="G500" s="32" t="s">
        <v>63</v>
      </c>
      <c r="H500" s="32" t="s">
        <v>560</v>
      </c>
      <c r="I500" s="32" t="s">
        <v>54</v>
      </c>
      <c r="J500" s="32" t="s">
        <v>41</v>
      </c>
      <c r="M500" s="32" t="s">
        <v>87</v>
      </c>
      <c r="N500" s="32" t="s">
        <v>85</v>
      </c>
    </row>
    <row r="501" spans="1:14" s="32" customFormat="1" hidden="1" x14ac:dyDescent="0.3">
      <c r="A501" s="38">
        <v>46226.921701388892</v>
      </c>
      <c r="B501" s="32" t="s">
        <v>85</v>
      </c>
      <c r="C501" s="32">
        <v>44998046835</v>
      </c>
      <c r="E501" s="32">
        <v>19</v>
      </c>
      <c r="F501" s="32">
        <v>0</v>
      </c>
      <c r="G501" s="32" t="s">
        <v>63</v>
      </c>
      <c r="H501" s="32" t="s">
        <v>561</v>
      </c>
      <c r="I501" s="32" t="s">
        <v>54</v>
      </c>
      <c r="J501" s="32" t="s">
        <v>41</v>
      </c>
      <c r="M501" s="32" t="s">
        <v>87</v>
      </c>
      <c r="N501" s="32" t="s">
        <v>85</v>
      </c>
    </row>
    <row r="502" spans="1:14" s="32" customFormat="1" hidden="1" x14ac:dyDescent="0.3">
      <c r="A502" s="38">
        <v>46226.891967592594</v>
      </c>
      <c r="B502" s="32" t="s">
        <v>85</v>
      </c>
      <c r="C502" s="32">
        <v>44998046835</v>
      </c>
      <c r="E502" s="32">
        <v>13</v>
      </c>
      <c r="F502" s="32">
        <v>0</v>
      </c>
      <c r="G502" s="32" t="s">
        <v>63</v>
      </c>
      <c r="H502" s="32" t="s">
        <v>562</v>
      </c>
      <c r="I502" s="32" t="s">
        <v>54</v>
      </c>
      <c r="J502" s="32" t="s">
        <v>41</v>
      </c>
      <c r="M502" s="32" t="s">
        <v>87</v>
      </c>
      <c r="N502" s="32" t="s">
        <v>85</v>
      </c>
    </row>
    <row r="503" spans="1:14" s="32" customFormat="1" hidden="1" x14ac:dyDescent="0.3">
      <c r="A503" s="38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38</v>
      </c>
      <c r="H503" s="32" t="s">
        <v>563</v>
      </c>
      <c r="I503" s="32" t="s">
        <v>40</v>
      </c>
      <c r="J503" s="32" t="s">
        <v>41</v>
      </c>
    </row>
    <row r="504" spans="1:14" s="32" customFormat="1" hidden="1" x14ac:dyDescent="0.3">
      <c r="A504" s="38">
        <v>46226.728125000001</v>
      </c>
      <c r="B504" s="32" t="s">
        <v>58</v>
      </c>
      <c r="C504" s="32">
        <v>44997687156</v>
      </c>
      <c r="E504" s="32">
        <v>510</v>
      </c>
      <c r="F504" s="32">
        <v>500</v>
      </c>
      <c r="G504" s="32" t="s">
        <v>44</v>
      </c>
      <c r="H504" s="32" t="s">
        <v>564</v>
      </c>
      <c r="I504" s="32" t="s">
        <v>54</v>
      </c>
      <c r="J504" s="32" t="s">
        <v>46</v>
      </c>
      <c r="M504" s="32" t="s">
        <v>60</v>
      </c>
      <c r="N504" s="32" t="s">
        <v>58</v>
      </c>
    </row>
    <row r="505" spans="1:14" s="32" customFormat="1" hidden="1" x14ac:dyDescent="0.3">
      <c r="A505" s="38">
        <v>46226.727858796294</v>
      </c>
      <c r="B505" s="32" t="s">
        <v>58</v>
      </c>
      <c r="C505" s="32">
        <v>44997687156</v>
      </c>
      <c r="E505" s="32">
        <v>14</v>
      </c>
      <c r="F505" s="32">
        <v>0</v>
      </c>
      <c r="G505" s="32" t="s">
        <v>63</v>
      </c>
      <c r="H505" s="32" t="s">
        <v>565</v>
      </c>
      <c r="I505" s="32" t="s">
        <v>54</v>
      </c>
      <c r="J505" s="32" t="s">
        <v>46</v>
      </c>
      <c r="M505" s="32" t="s">
        <v>60</v>
      </c>
      <c r="N505" s="32" t="s">
        <v>58</v>
      </c>
    </row>
    <row r="506" spans="1:14" s="32" customFormat="1" hidden="1" x14ac:dyDescent="0.3">
      <c r="A506" s="38">
        <v>46226.727812500001</v>
      </c>
      <c r="B506" s="32" t="s">
        <v>58</v>
      </c>
      <c r="C506" s="32">
        <v>44997687156</v>
      </c>
      <c r="E506" s="32">
        <v>1</v>
      </c>
      <c r="F506" s="32">
        <v>0</v>
      </c>
      <c r="G506" s="32" t="s">
        <v>63</v>
      </c>
      <c r="H506" s="32" t="s">
        <v>566</v>
      </c>
      <c r="I506" s="32" t="s">
        <v>54</v>
      </c>
      <c r="J506" s="32" t="s">
        <v>46</v>
      </c>
      <c r="M506" s="32" t="s">
        <v>60</v>
      </c>
      <c r="N506" s="32" t="s">
        <v>58</v>
      </c>
    </row>
    <row r="507" spans="1:14" s="32" customFormat="1" hidden="1" x14ac:dyDescent="0.3">
      <c r="A507" s="38">
        <v>46226.718831018516</v>
      </c>
      <c r="B507" s="32">
        <v>6232041830</v>
      </c>
      <c r="C507" s="32" t="s">
        <v>85</v>
      </c>
      <c r="D507" s="32">
        <v>4430265054</v>
      </c>
      <c r="E507" s="32">
        <v>847</v>
      </c>
      <c r="F507" s="32">
        <v>546</v>
      </c>
      <c r="G507" s="32" t="s">
        <v>44</v>
      </c>
      <c r="H507" s="32" t="s">
        <v>567</v>
      </c>
      <c r="I507" s="32" t="s">
        <v>40</v>
      </c>
      <c r="J507" s="32" t="s">
        <v>41</v>
      </c>
      <c r="K507" s="32" t="s">
        <v>42</v>
      </c>
      <c r="M507" s="32" t="s">
        <v>87</v>
      </c>
      <c r="N507" s="32" t="s">
        <v>85</v>
      </c>
    </row>
    <row r="508" spans="1:14" s="32" customFormat="1" hidden="1" x14ac:dyDescent="0.3">
      <c r="A508" s="38">
        <v>46226.717905092592</v>
      </c>
      <c r="B508" s="32">
        <v>44999387742</v>
      </c>
      <c r="C508" s="32" t="s">
        <v>58</v>
      </c>
      <c r="D508" s="32">
        <v>4430265054</v>
      </c>
      <c r="E508" s="32">
        <v>804</v>
      </c>
      <c r="F508" s="32">
        <v>697</v>
      </c>
      <c r="G508" s="32" t="s">
        <v>44</v>
      </c>
      <c r="H508" s="32" t="s">
        <v>568</v>
      </c>
      <c r="I508" s="32" t="s">
        <v>40</v>
      </c>
      <c r="J508" s="32" t="s">
        <v>46</v>
      </c>
      <c r="K508" s="32" t="s">
        <v>42</v>
      </c>
      <c r="L508" s="32">
        <v>5</v>
      </c>
      <c r="M508" s="32" t="s">
        <v>60</v>
      </c>
      <c r="N508" s="32" t="s">
        <v>58</v>
      </c>
    </row>
    <row r="509" spans="1:14" s="32" customFormat="1" hidden="1" x14ac:dyDescent="0.3">
      <c r="A509" s="38">
        <v>46226.717106481483</v>
      </c>
      <c r="B509" s="32">
        <v>91984992994</v>
      </c>
      <c r="C509" s="32" t="s">
        <v>43</v>
      </c>
      <c r="D509" s="32">
        <v>4430265054</v>
      </c>
      <c r="E509" s="32">
        <v>581</v>
      </c>
      <c r="F509" s="32">
        <v>551</v>
      </c>
      <c r="G509" s="32" t="s">
        <v>44</v>
      </c>
      <c r="H509" s="32" t="s">
        <v>569</v>
      </c>
      <c r="I509" s="32" t="s">
        <v>40</v>
      </c>
      <c r="J509" s="32" t="s">
        <v>46</v>
      </c>
      <c r="K509" s="32" t="s">
        <v>42</v>
      </c>
      <c r="L509" s="32">
        <v>5</v>
      </c>
      <c r="M509" s="32" t="s">
        <v>47</v>
      </c>
      <c r="N509" s="32" t="s">
        <v>43</v>
      </c>
    </row>
    <row r="510" spans="1:14" s="32" customFormat="1" hidden="1" x14ac:dyDescent="0.3">
      <c r="A510" s="38">
        <v>46226.712870370371</v>
      </c>
      <c r="B510" s="32">
        <v>4330333558</v>
      </c>
      <c r="C510" s="32" t="s">
        <v>49</v>
      </c>
      <c r="D510" s="32">
        <v>4430265054</v>
      </c>
      <c r="E510" s="32">
        <v>1181</v>
      </c>
      <c r="F510" s="32">
        <v>1162</v>
      </c>
      <c r="G510" s="32" t="s">
        <v>44</v>
      </c>
      <c r="H510" s="32" t="s">
        <v>570</v>
      </c>
      <c r="I510" s="32" t="s">
        <v>40</v>
      </c>
      <c r="J510" s="32" t="s">
        <v>46</v>
      </c>
      <c r="K510" s="32" t="s">
        <v>42</v>
      </c>
      <c r="M510" s="32" t="s">
        <v>51</v>
      </c>
      <c r="N510" s="32" t="s">
        <v>49</v>
      </c>
    </row>
    <row r="511" spans="1:14" s="32" customFormat="1" x14ac:dyDescent="0.3">
      <c r="A511" s="38">
        <v>46226.707349537035</v>
      </c>
      <c r="B511" s="32">
        <v>4330333558</v>
      </c>
      <c r="C511" s="32" t="s">
        <v>49</v>
      </c>
      <c r="D511" s="32">
        <v>4430265054</v>
      </c>
      <c r="E511" s="32">
        <v>152</v>
      </c>
      <c r="F511" s="32">
        <v>118</v>
      </c>
      <c r="G511" s="32" t="s">
        <v>44</v>
      </c>
      <c r="H511" s="32" t="s">
        <v>571</v>
      </c>
      <c r="I511" s="32" t="s">
        <v>40</v>
      </c>
      <c r="J511" s="32" t="s">
        <v>46</v>
      </c>
      <c r="K511" s="32" t="s">
        <v>42</v>
      </c>
      <c r="L511" s="32">
        <v>4</v>
      </c>
      <c r="M511" s="32" t="s">
        <v>51</v>
      </c>
      <c r="N511" s="32" t="s">
        <v>49</v>
      </c>
    </row>
    <row r="512" spans="1:14" s="32" customFormat="1" hidden="1" x14ac:dyDescent="0.3">
      <c r="A512" s="38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38</v>
      </c>
      <c r="H512" s="32" t="s">
        <v>572</v>
      </c>
      <c r="I512" s="32" t="s">
        <v>40</v>
      </c>
      <c r="J512" s="32" t="s">
        <v>41</v>
      </c>
    </row>
    <row r="513" spans="1:14" s="32" customFormat="1" hidden="1" x14ac:dyDescent="0.3">
      <c r="A513" s="38">
        <v>46226.705520833333</v>
      </c>
      <c r="B513" s="32">
        <v>4430284942</v>
      </c>
      <c r="C513" s="32" t="s">
        <v>43</v>
      </c>
      <c r="D513" s="32">
        <v>4430265054</v>
      </c>
      <c r="E513" s="32">
        <v>651</v>
      </c>
      <c r="F513" s="32">
        <v>617</v>
      </c>
      <c r="G513" s="32" t="s">
        <v>44</v>
      </c>
      <c r="H513" s="32" t="s">
        <v>573</v>
      </c>
      <c r="I513" s="32" t="s">
        <v>40</v>
      </c>
      <c r="J513" s="32" t="s">
        <v>46</v>
      </c>
      <c r="K513" s="32" t="s">
        <v>42</v>
      </c>
      <c r="M513" s="32" t="s">
        <v>47</v>
      </c>
      <c r="N513" s="32" t="s">
        <v>43</v>
      </c>
    </row>
    <row r="514" spans="1:14" s="32" customFormat="1" hidden="1" x14ac:dyDescent="0.3">
      <c r="A514" s="38">
        <v>46226.699826388889</v>
      </c>
      <c r="B514" s="32">
        <v>41997840159</v>
      </c>
      <c r="C514" s="32" t="s">
        <v>58</v>
      </c>
      <c r="D514" s="32">
        <v>4431268225</v>
      </c>
      <c r="E514" s="32">
        <v>1651</v>
      </c>
      <c r="F514" s="32">
        <v>1651</v>
      </c>
      <c r="G514" s="32" t="s">
        <v>44</v>
      </c>
      <c r="H514" s="32" t="s">
        <v>574</v>
      </c>
      <c r="I514" s="32" t="s">
        <v>40</v>
      </c>
      <c r="J514" s="32" t="s">
        <v>46</v>
      </c>
      <c r="K514" s="32" t="s">
        <v>42</v>
      </c>
      <c r="M514" s="32" t="s">
        <v>60</v>
      </c>
      <c r="N514" s="32" t="s">
        <v>58</v>
      </c>
    </row>
    <row r="515" spans="1:14" s="32" customFormat="1" hidden="1" x14ac:dyDescent="0.3">
      <c r="A515" s="38">
        <v>46226.69703703704</v>
      </c>
      <c r="B515" s="32">
        <v>4330333542</v>
      </c>
      <c r="C515" s="32" t="s">
        <v>49</v>
      </c>
      <c r="D515" s="32">
        <v>4430265054</v>
      </c>
      <c r="E515" s="32">
        <v>783</v>
      </c>
      <c r="F515" s="32">
        <v>739</v>
      </c>
      <c r="G515" s="32" t="s">
        <v>44</v>
      </c>
      <c r="H515" s="32" t="s">
        <v>575</v>
      </c>
      <c r="I515" s="32" t="s">
        <v>40</v>
      </c>
      <c r="J515" s="32" t="s">
        <v>46</v>
      </c>
      <c r="K515" s="32" t="s">
        <v>42</v>
      </c>
      <c r="M515" s="32" t="s">
        <v>51</v>
      </c>
      <c r="N515" s="32" t="s">
        <v>49</v>
      </c>
    </row>
    <row r="516" spans="1:14" s="32" customFormat="1" hidden="1" x14ac:dyDescent="0.3">
      <c r="A516" s="38">
        <v>46226.694641203707</v>
      </c>
      <c r="B516" s="32" t="s">
        <v>49</v>
      </c>
      <c r="C516" s="32">
        <v>44998620323</v>
      </c>
      <c r="E516" s="32">
        <v>75</v>
      </c>
      <c r="F516" s="32">
        <v>37</v>
      </c>
      <c r="G516" s="32" t="s">
        <v>44</v>
      </c>
      <c r="H516" s="32" t="s">
        <v>576</v>
      </c>
      <c r="I516" s="32" t="s">
        <v>54</v>
      </c>
      <c r="J516" s="32" t="s">
        <v>46</v>
      </c>
      <c r="M516" s="32" t="s">
        <v>51</v>
      </c>
      <c r="N516" s="32" t="s">
        <v>49</v>
      </c>
    </row>
    <row r="517" spans="1:14" s="32" customFormat="1" hidden="1" x14ac:dyDescent="0.3">
      <c r="A517" s="38">
        <v>46226.694189814814</v>
      </c>
      <c r="B517" s="32" t="s">
        <v>49</v>
      </c>
      <c r="C517" s="32">
        <v>11964449514</v>
      </c>
      <c r="E517" s="32">
        <v>36</v>
      </c>
      <c r="F517" s="32">
        <v>0</v>
      </c>
      <c r="G517" s="32" t="s">
        <v>63</v>
      </c>
      <c r="H517" s="32" t="s">
        <v>577</v>
      </c>
      <c r="I517" s="32" t="s">
        <v>54</v>
      </c>
      <c r="J517" s="32" t="s">
        <v>46</v>
      </c>
      <c r="M517" s="32" t="s">
        <v>51</v>
      </c>
      <c r="N517" s="32" t="s">
        <v>49</v>
      </c>
    </row>
    <row r="518" spans="1:14" s="32" customFormat="1" hidden="1" x14ac:dyDescent="0.3">
      <c r="A518" s="38">
        <v>46226.690347222226</v>
      </c>
      <c r="B518" s="32">
        <v>4430282545</v>
      </c>
      <c r="C518" s="32" t="s">
        <v>58</v>
      </c>
      <c r="D518" s="32">
        <v>4430265054</v>
      </c>
      <c r="E518" s="32">
        <v>909</v>
      </c>
      <c r="F518" s="32">
        <v>908</v>
      </c>
      <c r="G518" s="32" t="s">
        <v>44</v>
      </c>
      <c r="H518" s="32" t="s">
        <v>578</v>
      </c>
      <c r="I518" s="32" t="s">
        <v>40</v>
      </c>
      <c r="J518" s="32" t="s">
        <v>46</v>
      </c>
      <c r="K518" s="32" t="s">
        <v>42</v>
      </c>
      <c r="M518" s="32" t="s">
        <v>60</v>
      </c>
      <c r="N518" s="32" t="s">
        <v>58</v>
      </c>
    </row>
    <row r="519" spans="1:14" s="32" customFormat="1" hidden="1" x14ac:dyDescent="0.3">
      <c r="A519" s="38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38</v>
      </c>
      <c r="H519" s="32" t="s">
        <v>579</v>
      </c>
      <c r="I519" s="32" t="s">
        <v>40</v>
      </c>
      <c r="J519" s="32" t="s">
        <v>41</v>
      </c>
    </row>
    <row r="520" spans="1:14" s="32" customFormat="1" x14ac:dyDescent="0.3">
      <c r="A520" s="38">
        <v>46226.682928240742</v>
      </c>
      <c r="B520" s="32">
        <v>44997235101</v>
      </c>
      <c r="C520" s="32" t="s">
        <v>49</v>
      </c>
      <c r="D520" s="32">
        <v>4430265054</v>
      </c>
      <c r="E520" s="32">
        <v>899</v>
      </c>
      <c r="F520" s="32">
        <v>846</v>
      </c>
      <c r="G520" s="32" t="s">
        <v>44</v>
      </c>
      <c r="H520" s="32" t="s">
        <v>580</v>
      </c>
      <c r="I520" s="32" t="s">
        <v>40</v>
      </c>
      <c r="J520" s="32" t="s">
        <v>46</v>
      </c>
      <c r="K520" s="32" t="s">
        <v>42</v>
      </c>
      <c r="L520" s="32">
        <v>5</v>
      </c>
      <c r="M520" s="32" t="s">
        <v>51</v>
      </c>
      <c r="N520" s="32" t="s">
        <v>49</v>
      </c>
    </row>
    <row r="521" spans="1:14" s="32" customFormat="1" hidden="1" x14ac:dyDescent="0.3">
      <c r="A521" s="38">
        <v>46226.672951388886</v>
      </c>
      <c r="B521" s="32">
        <v>4430282545</v>
      </c>
      <c r="C521" s="32" t="s">
        <v>58</v>
      </c>
      <c r="D521" s="32">
        <v>4430265054</v>
      </c>
      <c r="E521" s="32">
        <v>540</v>
      </c>
      <c r="F521" s="32">
        <v>539</v>
      </c>
      <c r="G521" s="32" t="s">
        <v>44</v>
      </c>
      <c r="H521" s="32" t="s">
        <v>581</v>
      </c>
      <c r="I521" s="32" t="s">
        <v>40</v>
      </c>
      <c r="J521" s="32" t="s">
        <v>46</v>
      </c>
      <c r="K521" s="32" t="s">
        <v>42</v>
      </c>
      <c r="M521" s="32" t="s">
        <v>60</v>
      </c>
      <c r="N521" s="32" t="s">
        <v>58</v>
      </c>
    </row>
    <row r="522" spans="1:14" s="32" customFormat="1" hidden="1" x14ac:dyDescent="0.3">
      <c r="A522" s="38">
        <v>46226.666215277779</v>
      </c>
      <c r="B522" s="32">
        <v>44997650834</v>
      </c>
      <c r="C522" s="32" t="s">
        <v>58</v>
      </c>
      <c r="D522" s="32">
        <v>4430265054</v>
      </c>
      <c r="E522" s="32">
        <v>355</v>
      </c>
      <c r="F522" s="32">
        <v>355</v>
      </c>
      <c r="G522" s="32" t="s">
        <v>44</v>
      </c>
      <c r="H522" s="32" t="s">
        <v>582</v>
      </c>
      <c r="I522" s="32" t="s">
        <v>40</v>
      </c>
      <c r="J522" s="32" t="s">
        <v>46</v>
      </c>
      <c r="K522" s="32" t="s">
        <v>42</v>
      </c>
      <c r="L522" s="32">
        <v>5</v>
      </c>
      <c r="M522" s="32" t="s">
        <v>60</v>
      </c>
      <c r="N522" s="32" t="s">
        <v>58</v>
      </c>
    </row>
    <row r="523" spans="1:14" s="32" customFormat="1" hidden="1" x14ac:dyDescent="0.3">
      <c r="A523" s="38">
        <v>46226.658449074072</v>
      </c>
      <c r="B523" s="32" t="s">
        <v>43</v>
      </c>
      <c r="C523" s="32">
        <v>4330333558</v>
      </c>
      <c r="E523" s="32">
        <v>453</v>
      </c>
      <c r="F523" s="32">
        <v>440</v>
      </c>
      <c r="G523" s="32" t="s">
        <v>44</v>
      </c>
      <c r="H523" s="32" t="s">
        <v>583</v>
      </c>
      <c r="I523" s="32" t="s">
        <v>54</v>
      </c>
      <c r="J523" s="32" t="s">
        <v>46</v>
      </c>
      <c r="M523" s="32" t="s">
        <v>47</v>
      </c>
      <c r="N523" s="32" t="s">
        <v>43</v>
      </c>
    </row>
    <row r="524" spans="1:14" s="32" customFormat="1" hidden="1" x14ac:dyDescent="0.3">
      <c r="A524" s="38">
        <v>46226.658206018517</v>
      </c>
      <c r="B524" s="32" t="s">
        <v>43</v>
      </c>
      <c r="C524" s="32">
        <v>43991519887</v>
      </c>
      <c r="E524" s="32">
        <v>41</v>
      </c>
      <c r="F524" s="32">
        <v>35</v>
      </c>
      <c r="G524" s="32" t="s">
        <v>44</v>
      </c>
      <c r="H524" s="32" t="s">
        <v>584</v>
      </c>
      <c r="I524" s="32" t="s">
        <v>54</v>
      </c>
      <c r="J524" s="32" t="s">
        <v>46</v>
      </c>
      <c r="M524" s="32" t="s">
        <v>47</v>
      </c>
      <c r="N524" s="32" t="s">
        <v>43</v>
      </c>
    </row>
    <row r="525" spans="1:14" s="32" customFormat="1" hidden="1" x14ac:dyDescent="0.3">
      <c r="A525" s="38">
        <v>46226.650381944448</v>
      </c>
      <c r="B525" s="32" t="s">
        <v>43</v>
      </c>
      <c r="C525" s="32">
        <v>43991519887</v>
      </c>
      <c r="E525" s="32">
        <v>18</v>
      </c>
      <c r="F525" s="32">
        <v>13</v>
      </c>
      <c r="G525" s="32" t="s">
        <v>44</v>
      </c>
      <c r="H525" s="32" t="s">
        <v>585</v>
      </c>
      <c r="I525" s="32" t="s">
        <v>54</v>
      </c>
      <c r="J525" s="32" t="s">
        <v>46</v>
      </c>
      <c r="M525" s="32" t="s">
        <v>47</v>
      </c>
      <c r="N525" s="32" t="s">
        <v>43</v>
      </c>
    </row>
    <row r="526" spans="1:14" s="32" customFormat="1" hidden="1" x14ac:dyDescent="0.3">
      <c r="A526" s="38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38</v>
      </c>
      <c r="H526" s="32" t="s">
        <v>586</v>
      </c>
      <c r="I526" s="32" t="s">
        <v>40</v>
      </c>
      <c r="J526" s="32" t="s">
        <v>41</v>
      </c>
      <c r="K526" s="32" t="s">
        <v>42</v>
      </c>
    </row>
    <row r="527" spans="1:14" s="32" customFormat="1" hidden="1" x14ac:dyDescent="0.3">
      <c r="A527" s="38">
        <v>46226.646111111113</v>
      </c>
      <c r="B527" s="32" t="s">
        <v>49</v>
      </c>
      <c r="C527" s="32">
        <v>11964449514</v>
      </c>
      <c r="E527" s="32">
        <v>68</v>
      </c>
      <c r="F527" s="32">
        <v>30</v>
      </c>
      <c r="G527" s="32" t="s">
        <v>44</v>
      </c>
      <c r="H527" s="32" t="s">
        <v>587</v>
      </c>
      <c r="I527" s="32" t="s">
        <v>54</v>
      </c>
      <c r="J527" s="32" t="s">
        <v>46</v>
      </c>
      <c r="M527" s="32" t="s">
        <v>51</v>
      </c>
      <c r="N527" s="32" t="s">
        <v>49</v>
      </c>
    </row>
    <row r="528" spans="1:14" s="32" customFormat="1" hidden="1" x14ac:dyDescent="0.3">
      <c r="A528" s="38">
        <v>46226.645949074074</v>
      </c>
      <c r="B528" s="32" t="s">
        <v>49</v>
      </c>
      <c r="C528" s="32">
        <v>1141853116</v>
      </c>
      <c r="E528" s="32">
        <v>8</v>
      </c>
      <c r="F528" s="32">
        <v>0</v>
      </c>
      <c r="G528" s="32" t="s">
        <v>63</v>
      </c>
      <c r="H528" s="32" t="s">
        <v>588</v>
      </c>
      <c r="I528" s="32" t="s">
        <v>54</v>
      </c>
      <c r="J528" s="32" t="s">
        <v>46</v>
      </c>
      <c r="M528" s="32" t="s">
        <v>51</v>
      </c>
      <c r="N528" s="32" t="s">
        <v>49</v>
      </c>
    </row>
    <row r="529" spans="1:14" s="32" customFormat="1" hidden="1" x14ac:dyDescent="0.3">
      <c r="A529" s="38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38</v>
      </c>
      <c r="H529" s="32" t="s">
        <v>589</v>
      </c>
      <c r="I529" s="32" t="s">
        <v>40</v>
      </c>
      <c r="J529" s="32" t="s">
        <v>41</v>
      </c>
      <c r="K529" s="32" t="s">
        <v>42</v>
      </c>
    </row>
    <row r="530" spans="1:14" s="32" customFormat="1" hidden="1" x14ac:dyDescent="0.3">
      <c r="A530" s="38">
        <v>46226.637430555558</v>
      </c>
      <c r="B530" s="32">
        <v>4432520077</v>
      </c>
      <c r="C530" s="32" t="s">
        <v>49</v>
      </c>
      <c r="D530" s="32">
        <v>4430265054</v>
      </c>
      <c r="E530" s="32">
        <v>445</v>
      </c>
      <c r="F530" s="32">
        <v>324</v>
      </c>
      <c r="G530" s="32" t="s">
        <v>44</v>
      </c>
      <c r="H530" s="32" t="s">
        <v>590</v>
      </c>
      <c r="I530" s="32" t="s">
        <v>40</v>
      </c>
      <c r="J530" s="32" t="s">
        <v>46</v>
      </c>
      <c r="K530" s="32" t="s">
        <v>42</v>
      </c>
      <c r="M530" s="32" t="s">
        <v>51</v>
      </c>
      <c r="N530" s="32" t="s">
        <v>49</v>
      </c>
    </row>
    <row r="531" spans="1:14" s="32" customFormat="1" hidden="1" x14ac:dyDescent="0.3">
      <c r="A531" s="38">
        <v>46226.634745370371</v>
      </c>
      <c r="B531" s="32" t="s">
        <v>58</v>
      </c>
      <c r="C531" s="32">
        <v>4430284942</v>
      </c>
      <c r="E531" s="32">
        <v>539</v>
      </c>
      <c r="F531" s="32">
        <v>531</v>
      </c>
      <c r="G531" s="32" t="s">
        <v>44</v>
      </c>
      <c r="H531" s="32" t="s">
        <v>591</v>
      </c>
      <c r="I531" s="32" t="s">
        <v>54</v>
      </c>
      <c r="J531" s="32" t="s">
        <v>46</v>
      </c>
      <c r="M531" s="32" t="s">
        <v>60</v>
      </c>
      <c r="N531" s="32" t="s">
        <v>58</v>
      </c>
    </row>
    <row r="532" spans="1:14" s="32" customFormat="1" hidden="1" x14ac:dyDescent="0.3">
      <c r="A532" s="38">
        <v>46226.630659722221</v>
      </c>
      <c r="B532" s="32">
        <v>4432677399</v>
      </c>
      <c r="C532" s="32" t="s">
        <v>58</v>
      </c>
      <c r="D532" s="32">
        <v>4430265054</v>
      </c>
      <c r="E532" s="32">
        <v>297</v>
      </c>
      <c r="F532" s="32">
        <v>270</v>
      </c>
      <c r="G532" s="32" t="s">
        <v>44</v>
      </c>
      <c r="H532" s="32" t="s">
        <v>592</v>
      </c>
      <c r="I532" s="32" t="s">
        <v>40</v>
      </c>
      <c r="J532" s="32" t="s">
        <v>46</v>
      </c>
      <c r="K532" s="32" t="s">
        <v>42</v>
      </c>
      <c r="M532" s="32" t="s">
        <v>60</v>
      </c>
      <c r="N532" s="32" t="s">
        <v>58</v>
      </c>
    </row>
    <row r="533" spans="1:14" s="32" customFormat="1" hidden="1" x14ac:dyDescent="0.3">
      <c r="A533" s="38">
        <v>46226.629328703704</v>
      </c>
      <c r="B533" s="32">
        <v>44991381017</v>
      </c>
      <c r="C533" s="32" t="s">
        <v>49</v>
      </c>
      <c r="D533" s="32">
        <v>4430265054</v>
      </c>
      <c r="E533" s="32">
        <v>148</v>
      </c>
      <c r="F533" s="32">
        <v>116</v>
      </c>
      <c r="G533" s="32" t="s">
        <v>44</v>
      </c>
      <c r="H533" s="32" t="s">
        <v>593</v>
      </c>
      <c r="I533" s="32" t="s">
        <v>40</v>
      </c>
      <c r="J533" s="32" t="s">
        <v>46</v>
      </c>
      <c r="K533" s="32" t="s">
        <v>42</v>
      </c>
      <c r="M533" s="32" t="s">
        <v>51</v>
      </c>
      <c r="N533" s="32" t="s">
        <v>49</v>
      </c>
    </row>
    <row r="534" spans="1:14" s="32" customFormat="1" hidden="1" x14ac:dyDescent="0.3">
      <c r="A534" s="38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38</v>
      </c>
      <c r="H534" s="32" t="s">
        <v>594</v>
      </c>
      <c r="I534" s="32" t="s">
        <v>40</v>
      </c>
      <c r="J534" s="32" t="s">
        <v>41</v>
      </c>
      <c r="K534" s="32" t="s">
        <v>42</v>
      </c>
    </row>
    <row r="535" spans="1:14" s="32" customFormat="1" hidden="1" x14ac:dyDescent="0.3">
      <c r="A535" s="38">
        <v>46226.627326388887</v>
      </c>
      <c r="B535" s="32" t="s">
        <v>49</v>
      </c>
      <c r="C535" s="32">
        <v>44998620323</v>
      </c>
      <c r="E535" s="32">
        <v>40</v>
      </c>
      <c r="F535" s="32">
        <v>0</v>
      </c>
      <c r="G535" s="32" t="s">
        <v>63</v>
      </c>
      <c r="H535" s="32" t="s">
        <v>595</v>
      </c>
      <c r="I535" s="32" t="s">
        <v>54</v>
      </c>
      <c r="J535" s="32" t="s">
        <v>46</v>
      </c>
      <c r="M535" s="32" t="s">
        <v>51</v>
      </c>
      <c r="N535" s="32" t="s">
        <v>49</v>
      </c>
    </row>
    <row r="536" spans="1:14" s="32" customFormat="1" hidden="1" x14ac:dyDescent="0.3">
      <c r="A536" s="38">
        <v>46226.62699074074</v>
      </c>
      <c r="B536" s="32">
        <v>43991519887</v>
      </c>
      <c r="C536" s="32" t="s">
        <v>43</v>
      </c>
      <c r="D536" s="32">
        <v>4430265054</v>
      </c>
      <c r="E536" s="32">
        <v>2008</v>
      </c>
      <c r="F536" s="32">
        <v>1930</v>
      </c>
      <c r="G536" s="32" t="s">
        <v>44</v>
      </c>
      <c r="H536" s="32" t="s">
        <v>596</v>
      </c>
      <c r="I536" s="32" t="s">
        <v>40</v>
      </c>
      <c r="J536" s="32" t="s">
        <v>46</v>
      </c>
      <c r="K536" s="32" t="s">
        <v>42</v>
      </c>
      <c r="M536" s="32" t="s">
        <v>47</v>
      </c>
      <c r="N536" s="32" t="s">
        <v>43</v>
      </c>
    </row>
    <row r="537" spans="1:14" s="32" customFormat="1" hidden="1" x14ac:dyDescent="0.3">
      <c r="A537" s="38">
        <v>46226.620300925926</v>
      </c>
      <c r="B537" s="32">
        <v>4430141092</v>
      </c>
      <c r="C537" s="32" t="s">
        <v>43</v>
      </c>
      <c r="D537" s="32">
        <v>4430265054</v>
      </c>
      <c r="E537" s="32">
        <v>279</v>
      </c>
      <c r="F537" s="32">
        <v>241</v>
      </c>
      <c r="G537" s="32" t="s">
        <v>44</v>
      </c>
      <c r="H537" s="32" t="s">
        <v>597</v>
      </c>
      <c r="I537" s="32" t="s">
        <v>40</v>
      </c>
      <c r="J537" s="32" t="s">
        <v>46</v>
      </c>
      <c r="K537" s="32" t="s">
        <v>42</v>
      </c>
      <c r="L537" s="32">
        <v>5</v>
      </c>
      <c r="M537" s="32" t="s">
        <v>47</v>
      </c>
      <c r="N537" s="32" t="s">
        <v>43</v>
      </c>
    </row>
    <row r="538" spans="1:14" s="32" customFormat="1" hidden="1" x14ac:dyDescent="0.3">
      <c r="A538" s="38">
        <v>46226.617164351854</v>
      </c>
      <c r="B538" s="32" t="s">
        <v>49</v>
      </c>
      <c r="C538" s="32">
        <v>44998620323</v>
      </c>
      <c r="E538" s="32">
        <v>41</v>
      </c>
      <c r="F538" s="32">
        <v>0</v>
      </c>
      <c r="G538" s="32" t="s">
        <v>63</v>
      </c>
      <c r="H538" s="32" t="s">
        <v>598</v>
      </c>
      <c r="I538" s="32" t="s">
        <v>54</v>
      </c>
      <c r="J538" s="32" t="s">
        <v>46</v>
      </c>
      <c r="M538" s="32" t="s">
        <v>51</v>
      </c>
      <c r="N538" s="32" t="s">
        <v>49</v>
      </c>
    </row>
    <row r="539" spans="1:14" s="32" customFormat="1" hidden="1" x14ac:dyDescent="0.3">
      <c r="A539" s="38">
        <v>46226.614861111113</v>
      </c>
      <c r="B539" s="32" t="s">
        <v>43</v>
      </c>
      <c r="C539" s="32">
        <v>43999965552</v>
      </c>
      <c r="E539" s="32">
        <v>27</v>
      </c>
      <c r="F539" s="32">
        <v>0</v>
      </c>
      <c r="G539" s="32" t="s">
        <v>63</v>
      </c>
      <c r="H539" s="32" t="s">
        <v>599</v>
      </c>
      <c r="I539" s="32" t="s">
        <v>54</v>
      </c>
      <c r="J539" s="32" t="s">
        <v>46</v>
      </c>
      <c r="M539" s="32" t="s">
        <v>47</v>
      </c>
      <c r="N539" s="32" t="s">
        <v>43</v>
      </c>
    </row>
    <row r="540" spans="1:14" s="32" customFormat="1" hidden="1" x14ac:dyDescent="0.3">
      <c r="A540" s="38">
        <v>46226.614016203705</v>
      </c>
      <c r="B540" s="32" t="s">
        <v>43</v>
      </c>
      <c r="C540" s="32">
        <v>4333278066</v>
      </c>
      <c r="E540" s="32">
        <v>63</v>
      </c>
      <c r="F540" s="32">
        <v>0</v>
      </c>
      <c r="G540" s="32" t="s">
        <v>63</v>
      </c>
      <c r="H540" s="32" t="s">
        <v>600</v>
      </c>
      <c r="I540" s="32" t="s">
        <v>54</v>
      </c>
      <c r="J540" s="32" t="s">
        <v>46</v>
      </c>
      <c r="M540" s="32" t="s">
        <v>47</v>
      </c>
      <c r="N540" s="32" t="s">
        <v>43</v>
      </c>
    </row>
    <row r="541" spans="1:14" s="32" customFormat="1" x14ac:dyDescent="0.3">
      <c r="A541" s="38">
        <v>46226.613402777781</v>
      </c>
      <c r="B541" s="32">
        <v>44998107650</v>
      </c>
      <c r="C541" s="32" t="s">
        <v>49</v>
      </c>
      <c r="D541" s="32">
        <v>4431268225</v>
      </c>
      <c r="E541" s="32">
        <v>250</v>
      </c>
      <c r="F541" s="32">
        <v>148</v>
      </c>
      <c r="G541" s="32" t="s">
        <v>44</v>
      </c>
      <c r="H541" s="32" t="s">
        <v>601</v>
      </c>
      <c r="I541" s="32" t="s">
        <v>40</v>
      </c>
      <c r="J541" s="32" t="s">
        <v>46</v>
      </c>
      <c r="K541" s="32" t="s">
        <v>42</v>
      </c>
      <c r="L541" s="32">
        <v>5</v>
      </c>
      <c r="M541" s="32" t="s">
        <v>51</v>
      </c>
      <c r="N541" s="32" t="s">
        <v>49</v>
      </c>
    </row>
    <row r="542" spans="1:14" s="32" customFormat="1" x14ac:dyDescent="0.3">
      <c r="A542" s="38">
        <v>46226.603356481479</v>
      </c>
      <c r="B542" s="32">
        <v>4430141092</v>
      </c>
      <c r="C542" s="32" t="s">
        <v>49</v>
      </c>
      <c r="D542" s="32">
        <v>4430265054</v>
      </c>
      <c r="E542" s="32">
        <v>463</v>
      </c>
      <c r="F542" s="32">
        <v>401</v>
      </c>
      <c r="G542" s="32" t="s">
        <v>44</v>
      </c>
      <c r="H542" s="32" t="s">
        <v>602</v>
      </c>
      <c r="I542" s="32" t="s">
        <v>40</v>
      </c>
      <c r="J542" s="32" t="s">
        <v>46</v>
      </c>
      <c r="K542" s="32" t="s">
        <v>42</v>
      </c>
      <c r="L542" s="32">
        <v>5</v>
      </c>
      <c r="M542" s="32" t="s">
        <v>51</v>
      </c>
      <c r="N542" s="32" t="s">
        <v>49</v>
      </c>
    </row>
    <row r="543" spans="1:14" s="32" customFormat="1" hidden="1" x14ac:dyDescent="0.3">
      <c r="A543" s="38">
        <v>46226.600902777776</v>
      </c>
      <c r="B543" s="32">
        <v>44991116911</v>
      </c>
      <c r="C543" s="32" t="s">
        <v>43</v>
      </c>
      <c r="D543" s="32">
        <v>4430265054</v>
      </c>
      <c r="E543" s="32">
        <v>398</v>
      </c>
      <c r="F543" s="32">
        <v>336</v>
      </c>
      <c r="G543" s="32" t="s">
        <v>44</v>
      </c>
      <c r="H543" s="32" t="s">
        <v>603</v>
      </c>
      <c r="I543" s="32" t="s">
        <v>40</v>
      </c>
      <c r="J543" s="32" t="s">
        <v>46</v>
      </c>
      <c r="K543" s="32" t="s">
        <v>42</v>
      </c>
      <c r="L543" s="32">
        <v>5</v>
      </c>
      <c r="M543" s="32" t="s">
        <v>47</v>
      </c>
      <c r="N543" s="32" t="s">
        <v>43</v>
      </c>
    </row>
    <row r="544" spans="1:14" s="32" customFormat="1" hidden="1" x14ac:dyDescent="0.3">
      <c r="A544" s="38">
        <v>46226.597222222219</v>
      </c>
      <c r="B544" s="32" t="s">
        <v>58</v>
      </c>
      <c r="C544" s="32">
        <v>41997840159</v>
      </c>
      <c r="E544" s="32">
        <v>1651</v>
      </c>
      <c r="F544" s="32">
        <v>1631</v>
      </c>
      <c r="G544" s="32" t="s">
        <v>44</v>
      </c>
      <c r="H544" s="32" t="s">
        <v>604</v>
      </c>
      <c r="I544" s="32" t="s">
        <v>54</v>
      </c>
      <c r="J544" s="32" t="s">
        <v>46</v>
      </c>
      <c r="M544" s="32" t="s">
        <v>60</v>
      </c>
      <c r="N544" s="32" t="s">
        <v>58</v>
      </c>
    </row>
    <row r="545" spans="1:14" s="32" customFormat="1" hidden="1" x14ac:dyDescent="0.3">
      <c r="A545" s="38">
        <v>46226.593368055554</v>
      </c>
      <c r="B545" s="32" t="s">
        <v>58</v>
      </c>
      <c r="C545" s="32">
        <v>41997840159</v>
      </c>
      <c r="E545" s="32">
        <v>50</v>
      </c>
      <c r="F545" s="32">
        <v>31</v>
      </c>
      <c r="G545" s="32" t="s">
        <v>44</v>
      </c>
      <c r="H545" s="32" t="s">
        <v>605</v>
      </c>
      <c r="I545" s="32" t="s">
        <v>54</v>
      </c>
      <c r="J545" s="32" t="s">
        <v>46</v>
      </c>
      <c r="M545" s="32" t="s">
        <v>60</v>
      </c>
      <c r="N545" s="32" t="s">
        <v>58</v>
      </c>
    </row>
    <row r="546" spans="1:14" s="32" customFormat="1" hidden="1" x14ac:dyDescent="0.3">
      <c r="A546" s="38">
        <v>46226.593043981484</v>
      </c>
      <c r="B546" s="32" t="s">
        <v>58</v>
      </c>
      <c r="C546" s="32">
        <v>41997840159</v>
      </c>
      <c r="E546" s="32">
        <v>19</v>
      </c>
      <c r="F546" s="32">
        <v>0</v>
      </c>
      <c r="G546" s="32" t="s">
        <v>63</v>
      </c>
      <c r="H546" s="32" t="s">
        <v>606</v>
      </c>
      <c r="I546" s="32" t="s">
        <v>54</v>
      </c>
      <c r="J546" s="32" t="s">
        <v>46</v>
      </c>
      <c r="M546" s="32" t="s">
        <v>60</v>
      </c>
      <c r="N546" s="32" t="s">
        <v>58</v>
      </c>
    </row>
    <row r="547" spans="1:14" s="32" customFormat="1" hidden="1" x14ac:dyDescent="0.3">
      <c r="A547" s="38">
        <v>46226.590868055559</v>
      </c>
      <c r="B547" s="32" t="s">
        <v>49</v>
      </c>
      <c r="C547" s="32">
        <v>41997840159</v>
      </c>
      <c r="E547" s="32">
        <v>438</v>
      </c>
      <c r="F547" s="32">
        <v>427</v>
      </c>
      <c r="G547" s="32" t="s">
        <v>44</v>
      </c>
      <c r="H547" s="32" t="s">
        <v>607</v>
      </c>
      <c r="I547" s="32" t="s">
        <v>54</v>
      </c>
      <c r="J547" s="32" t="s">
        <v>46</v>
      </c>
      <c r="M547" s="32" t="s">
        <v>51</v>
      </c>
      <c r="N547" s="32" t="s">
        <v>49</v>
      </c>
    </row>
    <row r="548" spans="1:14" s="32" customFormat="1" hidden="1" x14ac:dyDescent="0.3">
      <c r="A548" s="38">
        <v>46226.578310185185</v>
      </c>
      <c r="B548" s="32">
        <v>44997215491</v>
      </c>
      <c r="C548" s="32" t="s">
        <v>58</v>
      </c>
      <c r="D548" s="32">
        <v>4430265054</v>
      </c>
      <c r="E548" s="32">
        <v>140</v>
      </c>
      <c r="F548" s="32">
        <v>97</v>
      </c>
      <c r="G548" s="32" t="s">
        <v>44</v>
      </c>
      <c r="H548" s="32" t="s">
        <v>608</v>
      </c>
      <c r="I548" s="32" t="s">
        <v>40</v>
      </c>
      <c r="J548" s="32" t="s">
        <v>46</v>
      </c>
      <c r="K548" s="32" t="s">
        <v>42</v>
      </c>
      <c r="M548" s="32" t="s">
        <v>60</v>
      </c>
      <c r="N548" s="32" t="s">
        <v>58</v>
      </c>
    </row>
    <row r="549" spans="1:14" s="32" customFormat="1" hidden="1" x14ac:dyDescent="0.3">
      <c r="A549" s="38">
        <v>46226.575821759259</v>
      </c>
      <c r="B549" s="32">
        <v>44998107650</v>
      </c>
      <c r="C549" s="32" t="s">
        <v>43</v>
      </c>
      <c r="D549" s="32">
        <v>4431268225</v>
      </c>
      <c r="E549" s="32">
        <v>621</v>
      </c>
      <c r="F549" s="32">
        <v>584</v>
      </c>
      <c r="G549" s="32" t="s">
        <v>44</v>
      </c>
      <c r="H549" s="32" t="s">
        <v>609</v>
      </c>
      <c r="I549" s="32" t="s">
        <v>40</v>
      </c>
      <c r="J549" s="32" t="s">
        <v>46</v>
      </c>
      <c r="K549" s="32" t="s">
        <v>42</v>
      </c>
      <c r="L549" s="32">
        <v>5</v>
      </c>
      <c r="M549" s="32" t="s">
        <v>47</v>
      </c>
      <c r="N549" s="32" t="s">
        <v>43</v>
      </c>
    </row>
    <row r="550" spans="1:14" s="32" customFormat="1" hidden="1" x14ac:dyDescent="0.3">
      <c r="A550" s="38">
        <v>46226.567442129628</v>
      </c>
      <c r="B550" s="32">
        <v>44997400641</v>
      </c>
      <c r="C550" s="32" t="s">
        <v>49</v>
      </c>
      <c r="D550" s="32">
        <v>4430265054</v>
      </c>
      <c r="E550" s="32">
        <v>1823</v>
      </c>
      <c r="F550" s="32">
        <v>1781</v>
      </c>
      <c r="G550" s="32" t="s">
        <v>44</v>
      </c>
      <c r="H550" s="32" t="s">
        <v>610</v>
      </c>
      <c r="I550" s="32" t="s">
        <v>40</v>
      </c>
      <c r="J550" s="32" t="s">
        <v>46</v>
      </c>
      <c r="K550" s="32" t="s">
        <v>42</v>
      </c>
      <c r="M550" s="32" t="s">
        <v>51</v>
      </c>
      <c r="N550" s="32" t="s">
        <v>49</v>
      </c>
    </row>
    <row r="551" spans="1:14" s="32" customFormat="1" hidden="1" x14ac:dyDescent="0.3">
      <c r="A551" s="38">
        <v>46226.564317129632</v>
      </c>
      <c r="B551" s="32" t="s">
        <v>49</v>
      </c>
      <c r="C551" s="32">
        <v>41997840159</v>
      </c>
      <c r="E551" s="32">
        <v>15</v>
      </c>
      <c r="F551" s="32">
        <v>0</v>
      </c>
      <c r="G551" s="32" t="s">
        <v>63</v>
      </c>
      <c r="H551" s="32" t="s">
        <v>611</v>
      </c>
      <c r="I551" s="32" t="s">
        <v>54</v>
      </c>
      <c r="J551" s="32" t="s">
        <v>46</v>
      </c>
      <c r="M551" s="32" t="s">
        <v>51</v>
      </c>
      <c r="N551" s="32" t="s">
        <v>49</v>
      </c>
    </row>
    <row r="552" spans="1:14" s="32" customFormat="1" hidden="1" x14ac:dyDescent="0.3">
      <c r="A552" s="38">
        <v>46226.497384259259</v>
      </c>
      <c r="B552" s="32">
        <v>41997840159</v>
      </c>
      <c r="C552" s="32" t="s">
        <v>49</v>
      </c>
      <c r="D552" s="32">
        <v>4431268225</v>
      </c>
      <c r="E552" s="32">
        <v>115</v>
      </c>
      <c r="F552" s="32">
        <v>32</v>
      </c>
      <c r="G552" s="32" t="s">
        <v>44</v>
      </c>
      <c r="H552" s="32" t="s">
        <v>612</v>
      </c>
      <c r="I552" s="32" t="s">
        <v>40</v>
      </c>
      <c r="J552" s="32" t="s">
        <v>46</v>
      </c>
      <c r="K552" s="32" t="s">
        <v>42</v>
      </c>
      <c r="M552" s="32" t="s">
        <v>51</v>
      </c>
      <c r="N552" s="32" t="s">
        <v>49</v>
      </c>
    </row>
    <row r="553" spans="1:14" s="32" customFormat="1" hidden="1" x14ac:dyDescent="0.3">
      <c r="A553" s="38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38</v>
      </c>
      <c r="H553" s="32" t="s">
        <v>613</v>
      </c>
      <c r="I553" s="32" t="s">
        <v>40</v>
      </c>
      <c r="J553" s="32" t="s">
        <v>41</v>
      </c>
      <c r="K553" s="32" t="s">
        <v>42</v>
      </c>
    </row>
    <row r="554" spans="1:14" s="32" customFormat="1" x14ac:dyDescent="0.3">
      <c r="A554" s="38">
        <v>46226.474050925928</v>
      </c>
      <c r="B554" s="32">
        <v>93984112869</v>
      </c>
      <c r="C554" s="32" t="s">
        <v>49</v>
      </c>
      <c r="D554" s="32">
        <v>4431268225</v>
      </c>
      <c r="E554" s="32">
        <v>550</v>
      </c>
      <c r="F554" s="32">
        <v>498</v>
      </c>
      <c r="G554" s="32" t="s">
        <v>44</v>
      </c>
      <c r="H554" s="32" t="s">
        <v>614</v>
      </c>
      <c r="I554" s="32" t="s">
        <v>40</v>
      </c>
      <c r="J554" s="32" t="s">
        <v>46</v>
      </c>
      <c r="K554" s="32" t="s">
        <v>42</v>
      </c>
      <c r="L554" s="32">
        <v>5</v>
      </c>
      <c r="M554" s="32" t="s">
        <v>51</v>
      </c>
      <c r="N554" s="32" t="s">
        <v>49</v>
      </c>
    </row>
    <row r="555" spans="1:14" s="32" customFormat="1" hidden="1" x14ac:dyDescent="0.3">
      <c r="A555" s="38">
        <v>46226.472662037035</v>
      </c>
      <c r="B555" s="32" t="s">
        <v>58</v>
      </c>
      <c r="C555" s="32">
        <v>44997687156</v>
      </c>
      <c r="E555" s="32">
        <v>544</v>
      </c>
      <c r="F555" s="32">
        <v>536</v>
      </c>
      <c r="G555" s="32" t="s">
        <v>44</v>
      </c>
      <c r="H555" s="32" t="s">
        <v>615</v>
      </c>
      <c r="I555" s="32" t="s">
        <v>54</v>
      </c>
      <c r="J555" s="32" t="s">
        <v>46</v>
      </c>
      <c r="L555" s="32">
        <v>5</v>
      </c>
      <c r="M555" s="32" t="s">
        <v>60</v>
      </c>
      <c r="N555" s="32" t="s">
        <v>58</v>
      </c>
    </row>
    <row r="556" spans="1:14" s="32" customFormat="1" hidden="1" x14ac:dyDescent="0.3">
      <c r="A556" s="38">
        <v>46226.472615740742</v>
      </c>
      <c r="B556" s="32" t="s">
        <v>58</v>
      </c>
      <c r="C556" s="32">
        <v>44997687156</v>
      </c>
      <c r="E556" s="32">
        <v>1</v>
      </c>
      <c r="F556" s="32">
        <v>0</v>
      </c>
      <c r="G556" s="32" t="s">
        <v>63</v>
      </c>
      <c r="H556" s="32" t="s">
        <v>616</v>
      </c>
      <c r="I556" s="32" t="s">
        <v>54</v>
      </c>
      <c r="J556" s="32" t="s">
        <v>46</v>
      </c>
      <c r="M556" s="32" t="s">
        <v>60</v>
      </c>
      <c r="N556" s="32" t="s">
        <v>58</v>
      </c>
    </row>
    <row r="557" spans="1:14" s="32" customFormat="1" hidden="1" x14ac:dyDescent="0.3">
      <c r="A557" s="38">
        <v>46226.471053240741</v>
      </c>
      <c r="B557" s="32">
        <v>4430284942</v>
      </c>
      <c r="C557" s="32" t="s">
        <v>43</v>
      </c>
      <c r="D557" s="32">
        <v>4430265054</v>
      </c>
      <c r="E557" s="32">
        <v>720</v>
      </c>
      <c r="F557" s="32">
        <v>682</v>
      </c>
      <c r="G557" s="32" t="s">
        <v>44</v>
      </c>
      <c r="H557" s="32" t="s">
        <v>617</v>
      </c>
      <c r="I557" s="32" t="s">
        <v>40</v>
      </c>
      <c r="J557" s="32" t="s">
        <v>46</v>
      </c>
      <c r="K557" s="32" t="s">
        <v>42</v>
      </c>
      <c r="M557" s="32" t="s">
        <v>47</v>
      </c>
      <c r="N557" s="32" t="s">
        <v>43</v>
      </c>
    </row>
    <row r="558" spans="1:14" s="32" customFormat="1" hidden="1" x14ac:dyDescent="0.3">
      <c r="A558" s="38">
        <v>46226.458067129628</v>
      </c>
      <c r="B558" s="32">
        <v>44998620323</v>
      </c>
      <c r="C558" s="32" t="s">
        <v>49</v>
      </c>
      <c r="D558" s="32">
        <v>4430265054</v>
      </c>
      <c r="E558" s="32">
        <v>1289</v>
      </c>
      <c r="F558" s="32">
        <v>1104</v>
      </c>
      <c r="G558" s="32" t="s">
        <v>44</v>
      </c>
      <c r="H558" s="32" t="s">
        <v>618</v>
      </c>
      <c r="I558" s="32" t="s">
        <v>40</v>
      </c>
      <c r="J558" s="32" t="s">
        <v>46</v>
      </c>
      <c r="K558" s="32" t="s">
        <v>42</v>
      </c>
      <c r="M558" s="32" t="s">
        <v>51</v>
      </c>
      <c r="N558" s="32" t="s">
        <v>49</v>
      </c>
    </row>
    <row r="559" spans="1:14" s="32" customFormat="1" hidden="1" x14ac:dyDescent="0.3">
      <c r="A559" s="38">
        <v>46226.45758101852</v>
      </c>
      <c r="B559" s="32">
        <v>4432321428</v>
      </c>
      <c r="C559" s="32" t="s">
        <v>43</v>
      </c>
      <c r="D559" s="32">
        <v>4430265054</v>
      </c>
      <c r="E559" s="32">
        <v>344</v>
      </c>
      <c r="F559" s="32">
        <v>325</v>
      </c>
      <c r="G559" s="32" t="s">
        <v>44</v>
      </c>
      <c r="H559" s="32" t="s">
        <v>619</v>
      </c>
      <c r="I559" s="32" t="s">
        <v>40</v>
      </c>
      <c r="J559" s="32" t="s">
        <v>46</v>
      </c>
      <c r="K559" s="32" t="s">
        <v>42</v>
      </c>
      <c r="M559" s="32" t="s">
        <v>47</v>
      </c>
      <c r="N559" s="32" t="s">
        <v>43</v>
      </c>
    </row>
    <row r="560" spans="1:14" s="32" customFormat="1" hidden="1" x14ac:dyDescent="0.3">
      <c r="A560" s="38">
        <v>46226.451724537037</v>
      </c>
      <c r="B560" s="32">
        <v>4436312588</v>
      </c>
      <c r="C560" s="32" t="s">
        <v>49</v>
      </c>
      <c r="D560" s="32">
        <v>4430265054</v>
      </c>
      <c r="E560" s="32">
        <v>559</v>
      </c>
      <c r="F560" s="32">
        <v>434</v>
      </c>
      <c r="G560" s="32" t="s">
        <v>44</v>
      </c>
      <c r="H560" s="32" t="s">
        <v>620</v>
      </c>
      <c r="I560" s="32" t="s">
        <v>40</v>
      </c>
      <c r="J560" s="32" t="s">
        <v>46</v>
      </c>
      <c r="K560" s="32" t="s">
        <v>42</v>
      </c>
      <c r="M560" s="32" t="s">
        <v>51</v>
      </c>
      <c r="N560" s="32" t="s">
        <v>49</v>
      </c>
    </row>
    <row r="561" spans="1:14" s="32" customFormat="1" hidden="1" x14ac:dyDescent="0.3">
      <c r="A561" s="38">
        <v>46226.449884259258</v>
      </c>
      <c r="B561" s="32">
        <v>44998107650</v>
      </c>
      <c r="C561" s="32" t="s">
        <v>58</v>
      </c>
      <c r="D561" s="32">
        <v>4431268225</v>
      </c>
      <c r="E561" s="32">
        <v>197</v>
      </c>
      <c r="F561" s="32">
        <v>161</v>
      </c>
      <c r="G561" s="32" t="s">
        <v>44</v>
      </c>
      <c r="H561" s="32" t="s">
        <v>621</v>
      </c>
      <c r="I561" s="32" t="s">
        <v>40</v>
      </c>
      <c r="J561" s="32" t="s">
        <v>46</v>
      </c>
      <c r="K561" s="32" t="s">
        <v>42</v>
      </c>
      <c r="L561" s="32">
        <v>5</v>
      </c>
      <c r="M561" s="32" t="s">
        <v>60</v>
      </c>
      <c r="N561" s="32" t="s">
        <v>58</v>
      </c>
    </row>
    <row r="562" spans="1:14" s="32" customFormat="1" hidden="1" x14ac:dyDescent="0.3">
      <c r="A562" s="38">
        <v>46226.445856481485</v>
      </c>
      <c r="B562" s="32">
        <v>4430459032</v>
      </c>
      <c r="C562" s="32" t="s">
        <v>43</v>
      </c>
      <c r="D562" s="32">
        <v>4430265054</v>
      </c>
      <c r="E562" s="32">
        <v>452</v>
      </c>
      <c r="F562" s="32">
        <v>415</v>
      </c>
      <c r="G562" s="32" t="s">
        <v>44</v>
      </c>
      <c r="H562" s="32" t="s">
        <v>622</v>
      </c>
      <c r="I562" s="32" t="s">
        <v>40</v>
      </c>
      <c r="J562" s="32" t="s">
        <v>46</v>
      </c>
      <c r="K562" s="32" t="s">
        <v>42</v>
      </c>
      <c r="M562" s="32" t="s">
        <v>47</v>
      </c>
      <c r="N562" s="32" t="s">
        <v>43</v>
      </c>
    </row>
    <row r="563" spans="1:14" s="32" customFormat="1" x14ac:dyDescent="0.3">
      <c r="A563" s="38">
        <v>46226.443194444444</v>
      </c>
      <c r="B563" s="32">
        <v>4430284942</v>
      </c>
      <c r="C563" s="32" t="s">
        <v>49</v>
      </c>
      <c r="D563" s="32">
        <v>4430265054</v>
      </c>
      <c r="E563" s="32">
        <v>692</v>
      </c>
      <c r="F563" s="32">
        <v>519</v>
      </c>
      <c r="G563" s="32" t="s">
        <v>44</v>
      </c>
      <c r="H563" s="32" t="s">
        <v>623</v>
      </c>
      <c r="I563" s="32" t="s">
        <v>40</v>
      </c>
      <c r="J563" s="32" t="s">
        <v>46</v>
      </c>
      <c r="K563" s="32" t="s">
        <v>42</v>
      </c>
      <c r="L563" s="32">
        <v>4</v>
      </c>
      <c r="M563" s="32" t="s">
        <v>51</v>
      </c>
      <c r="N563" s="32" t="s">
        <v>49</v>
      </c>
    </row>
    <row r="564" spans="1:14" s="32" customFormat="1" hidden="1" x14ac:dyDescent="0.3">
      <c r="A564" s="38">
        <v>46226.435173611113</v>
      </c>
      <c r="B564" s="32">
        <v>4432524652</v>
      </c>
      <c r="C564" s="32" t="s">
        <v>58</v>
      </c>
      <c r="D564" s="32">
        <v>4430265054</v>
      </c>
      <c r="E564" s="32">
        <v>1303</v>
      </c>
      <c r="F564" s="32">
        <v>1303</v>
      </c>
      <c r="G564" s="32" t="s">
        <v>44</v>
      </c>
      <c r="H564" s="32" t="s">
        <v>624</v>
      </c>
      <c r="I564" s="32" t="s">
        <v>40</v>
      </c>
      <c r="J564" s="32" t="s">
        <v>46</v>
      </c>
      <c r="K564" s="32" t="s">
        <v>42</v>
      </c>
      <c r="M564" s="32" t="s">
        <v>60</v>
      </c>
      <c r="N564" s="32" t="s">
        <v>58</v>
      </c>
    </row>
    <row r="565" spans="1:14" s="32" customFormat="1" hidden="1" x14ac:dyDescent="0.3">
      <c r="A565" s="38">
        <v>46226.429131944446</v>
      </c>
      <c r="B565" s="32">
        <v>44937562600</v>
      </c>
      <c r="C565" s="32" t="s">
        <v>43</v>
      </c>
      <c r="D565" s="32">
        <v>4430265054</v>
      </c>
      <c r="E565" s="32">
        <v>375</v>
      </c>
      <c r="F565" s="32">
        <v>345</v>
      </c>
      <c r="G565" s="32" t="s">
        <v>44</v>
      </c>
      <c r="H565" s="32" t="s">
        <v>625</v>
      </c>
      <c r="I565" s="32" t="s">
        <v>40</v>
      </c>
      <c r="J565" s="32" t="s">
        <v>46</v>
      </c>
      <c r="K565" s="32" t="s">
        <v>42</v>
      </c>
      <c r="M565" s="32" t="s">
        <v>47</v>
      </c>
      <c r="N565" s="32" t="s">
        <v>43</v>
      </c>
    </row>
    <row r="566" spans="1:14" s="32" customFormat="1" hidden="1" x14ac:dyDescent="0.3">
      <c r="A566" s="38">
        <v>46226.426145833335</v>
      </c>
      <c r="B566" s="32">
        <v>4430450103</v>
      </c>
      <c r="C566" s="32" t="s">
        <v>43</v>
      </c>
      <c r="D566" s="32">
        <v>4430265054</v>
      </c>
      <c r="E566" s="32">
        <v>280</v>
      </c>
      <c r="F566" s="32">
        <v>258</v>
      </c>
      <c r="G566" s="32" t="s">
        <v>44</v>
      </c>
      <c r="H566" s="32" t="s">
        <v>626</v>
      </c>
      <c r="I566" s="32" t="s">
        <v>40</v>
      </c>
      <c r="J566" s="32" t="s">
        <v>46</v>
      </c>
      <c r="K566" s="32" t="s">
        <v>42</v>
      </c>
      <c r="L566" s="32">
        <v>5</v>
      </c>
      <c r="M566" s="32" t="s">
        <v>47</v>
      </c>
      <c r="N566" s="32" t="s">
        <v>43</v>
      </c>
    </row>
    <row r="567" spans="1:14" s="32" customFormat="1" x14ac:dyDescent="0.3">
      <c r="A567" s="38">
        <v>46226.423101851855</v>
      </c>
      <c r="B567" s="32">
        <v>4130775695</v>
      </c>
      <c r="C567" s="32" t="s">
        <v>49</v>
      </c>
      <c r="D567" s="32">
        <v>4430265054</v>
      </c>
      <c r="E567" s="32">
        <v>1414</v>
      </c>
      <c r="F567" s="32">
        <v>1339</v>
      </c>
      <c r="G567" s="32" t="s">
        <v>44</v>
      </c>
      <c r="H567" s="32" t="s">
        <v>627</v>
      </c>
      <c r="I567" s="32" t="s">
        <v>40</v>
      </c>
      <c r="J567" s="32" t="s">
        <v>46</v>
      </c>
      <c r="K567" s="32" t="s">
        <v>42</v>
      </c>
      <c r="L567" s="32">
        <v>5</v>
      </c>
      <c r="M567" s="32" t="s">
        <v>51</v>
      </c>
      <c r="N567" s="32" t="s">
        <v>49</v>
      </c>
    </row>
    <row r="568" spans="1:14" s="32" customFormat="1" hidden="1" x14ac:dyDescent="0.3">
      <c r="A568" s="38">
        <v>46226.420810185184</v>
      </c>
      <c r="B568" s="32">
        <v>44999675554</v>
      </c>
      <c r="C568" s="32" t="s">
        <v>58</v>
      </c>
      <c r="D568" s="32">
        <v>4430265054</v>
      </c>
      <c r="E568" s="32">
        <v>452</v>
      </c>
      <c r="F568" s="32">
        <v>408</v>
      </c>
      <c r="G568" s="32" t="s">
        <v>44</v>
      </c>
      <c r="H568" s="32" t="s">
        <v>628</v>
      </c>
      <c r="I568" s="32" t="s">
        <v>40</v>
      </c>
      <c r="J568" s="32" t="s">
        <v>46</v>
      </c>
      <c r="K568" s="32" t="s">
        <v>42</v>
      </c>
      <c r="M568" s="32" t="s">
        <v>60</v>
      </c>
      <c r="N568" s="32" t="s">
        <v>58</v>
      </c>
    </row>
    <row r="569" spans="1:14" s="32" customFormat="1" hidden="1" x14ac:dyDescent="0.3">
      <c r="A569" s="38">
        <v>46226.40185185185</v>
      </c>
      <c r="B569" s="32">
        <v>44998344102</v>
      </c>
      <c r="C569" s="32" t="s">
        <v>49</v>
      </c>
      <c r="D569" s="32">
        <v>4430265054</v>
      </c>
      <c r="E569" s="32">
        <v>567</v>
      </c>
      <c r="F569" s="32">
        <v>422</v>
      </c>
      <c r="G569" s="32" t="s">
        <v>44</v>
      </c>
      <c r="H569" s="32" t="s">
        <v>629</v>
      </c>
      <c r="I569" s="32" t="s">
        <v>40</v>
      </c>
      <c r="J569" s="32" t="s">
        <v>46</v>
      </c>
      <c r="K569" s="32" t="s">
        <v>42</v>
      </c>
      <c r="M569" s="32" t="s">
        <v>51</v>
      </c>
      <c r="N569" s="32" t="s">
        <v>49</v>
      </c>
    </row>
    <row r="570" spans="1:14" s="32" customFormat="1" hidden="1" x14ac:dyDescent="0.3">
      <c r="A570" s="38">
        <v>46226.400543981479</v>
      </c>
      <c r="B570" s="32">
        <v>47999115463</v>
      </c>
      <c r="C570" s="32" t="s">
        <v>49</v>
      </c>
      <c r="D570" s="32">
        <v>4430265054</v>
      </c>
      <c r="E570" s="32">
        <v>232</v>
      </c>
      <c r="F570" s="32">
        <v>184</v>
      </c>
      <c r="G570" s="32" t="s">
        <v>44</v>
      </c>
      <c r="H570" s="32" t="s">
        <v>630</v>
      </c>
      <c r="I570" s="32" t="s">
        <v>40</v>
      </c>
      <c r="J570" s="32" t="s">
        <v>46</v>
      </c>
      <c r="K570" s="32" t="s">
        <v>42</v>
      </c>
      <c r="M570" s="32" t="s">
        <v>51</v>
      </c>
      <c r="N570" s="32" t="s">
        <v>49</v>
      </c>
    </row>
    <row r="571" spans="1:14" s="32" customFormat="1" hidden="1" x14ac:dyDescent="0.3">
      <c r="A571" s="38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38</v>
      </c>
      <c r="H571" s="32" t="s">
        <v>631</v>
      </c>
      <c r="I571" s="32" t="s">
        <v>40</v>
      </c>
      <c r="J571" s="32" t="s">
        <v>41</v>
      </c>
      <c r="K571" s="32" t="s">
        <v>42</v>
      </c>
    </row>
    <row r="572" spans="1:14" s="32" customFormat="1" hidden="1" x14ac:dyDescent="0.3">
      <c r="A572" s="38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38</v>
      </c>
      <c r="H572" s="32" t="s">
        <v>632</v>
      </c>
      <c r="I572" s="32" t="s">
        <v>40</v>
      </c>
      <c r="J572" s="32" t="s">
        <v>41</v>
      </c>
      <c r="K572" s="32" t="s">
        <v>42</v>
      </c>
    </row>
    <row r="573" spans="1:14" s="32" customFormat="1" hidden="1" x14ac:dyDescent="0.3">
      <c r="A573" s="38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38</v>
      </c>
      <c r="H573" s="32" t="s">
        <v>633</v>
      </c>
      <c r="I573" s="32" t="s">
        <v>40</v>
      </c>
      <c r="J573" s="32" t="s">
        <v>41</v>
      </c>
      <c r="K573" s="32" t="s">
        <v>42</v>
      </c>
    </row>
    <row r="574" spans="1:14" s="32" customFormat="1" hidden="1" x14ac:dyDescent="0.3">
      <c r="A574" s="38">
        <v>46226.394062500003</v>
      </c>
      <c r="B574" s="32">
        <v>47999115463</v>
      </c>
      <c r="C574" s="32" t="s">
        <v>49</v>
      </c>
      <c r="D574" s="32">
        <v>4430265054</v>
      </c>
      <c r="E574" s="32">
        <v>390</v>
      </c>
      <c r="F574" s="32">
        <v>328</v>
      </c>
      <c r="G574" s="32" t="s">
        <v>44</v>
      </c>
      <c r="H574" s="32" t="s">
        <v>634</v>
      </c>
      <c r="I574" s="32" t="s">
        <v>40</v>
      </c>
      <c r="J574" s="32" t="s">
        <v>46</v>
      </c>
      <c r="K574" s="32" t="s">
        <v>42</v>
      </c>
      <c r="M574" s="32" t="s">
        <v>51</v>
      </c>
      <c r="N574" s="32" t="s">
        <v>49</v>
      </c>
    </row>
    <row r="575" spans="1:14" s="32" customFormat="1" hidden="1" x14ac:dyDescent="0.3">
      <c r="A575" s="38">
        <v>46226.39334490741</v>
      </c>
      <c r="B575" s="32">
        <v>4436281154</v>
      </c>
      <c r="C575" s="32" t="s">
        <v>49</v>
      </c>
      <c r="D575" s="32">
        <v>4430265054</v>
      </c>
      <c r="E575" s="32">
        <v>101</v>
      </c>
      <c r="F575" s="32">
        <v>76</v>
      </c>
      <c r="G575" s="32" t="s">
        <v>44</v>
      </c>
      <c r="H575" s="32" t="s">
        <v>635</v>
      </c>
      <c r="I575" s="32" t="s">
        <v>40</v>
      </c>
      <c r="J575" s="32" t="s">
        <v>46</v>
      </c>
      <c r="K575" s="32" t="s">
        <v>42</v>
      </c>
      <c r="M575" s="32" t="s">
        <v>51</v>
      </c>
      <c r="N575" s="32" t="s">
        <v>49</v>
      </c>
    </row>
    <row r="576" spans="1:14" s="32" customFormat="1" hidden="1" x14ac:dyDescent="0.3">
      <c r="A576" s="38">
        <v>46226.393252314818</v>
      </c>
      <c r="B576" s="32">
        <v>44997650834</v>
      </c>
      <c r="C576" s="32" t="s">
        <v>58</v>
      </c>
      <c r="D576" s="32">
        <v>4430265054</v>
      </c>
      <c r="E576" s="32">
        <v>422</v>
      </c>
      <c r="F576" s="32">
        <v>406</v>
      </c>
      <c r="G576" s="32" t="s">
        <v>44</v>
      </c>
      <c r="H576" s="32" t="s">
        <v>636</v>
      </c>
      <c r="I576" s="32" t="s">
        <v>40</v>
      </c>
      <c r="J576" s="32" t="s">
        <v>46</v>
      </c>
      <c r="K576" s="32" t="s">
        <v>42</v>
      </c>
      <c r="L576" s="32">
        <v>5</v>
      </c>
      <c r="M576" s="32" t="s">
        <v>60</v>
      </c>
      <c r="N576" s="32" t="s">
        <v>58</v>
      </c>
    </row>
    <row r="577" spans="1:14" s="32" customFormat="1" hidden="1" x14ac:dyDescent="0.3">
      <c r="A577" s="38">
        <v>46226.392881944441</v>
      </c>
      <c r="B577" s="32">
        <v>44997400641</v>
      </c>
      <c r="C577" s="32" t="s">
        <v>43</v>
      </c>
      <c r="D577" s="32">
        <v>4430265054</v>
      </c>
      <c r="E577" s="32">
        <v>425</v>
      </c>
      <c r="F577" s="32">
        <v>373</v>
      </c>
      <c r="G577" s="32" t="s">
        <v>44</v>
      </c>
      <c r="H577" s="32" t="s">
        <v>637</v>
      </c>
      <c r="I577" s="32" t="s">
        <v>40</v>
      </c>
      <c r="J577" s="32" t="s">
        <v>46</v>
      </c>
      <c r="K577" s="32" t="s">
        <v>42</v>
      </c>
      <c r="M577" s="32" t="s">
        <v>47</v>
      </c>
      <c r="N577" s="32" t="s">
        <v>43</v>
      </c>
    </row>
    <row r="578" spans="1:14" s="32" customFormat="1" hidden="1" x14ac:dyDescent="0.3">
      <c r="A578" s="38">
        <v>46226.380578703705</v>
      </c>
      <c r="B578" s="32">
        <v>44999646909</v>
      </c>
      <c r="C578" s="32" t="s">
        <v>43</v>
      </c>
      <c r="D578" s="32">
        <v>4430265054</v>
      </c>
      <c r="E578" s="32">
        <v>76</v>
      </c>
      <c r="F578" s="32">
        <v>57</v>
      </c>
      <c r="G578" s="32" t="s">
        <v>44</v>
      </c>
      <c r="H578" s="32" t="s">
        <v>638</v>
      </c>
      <c r="I578" s="32" t="s">
        <v>40</v>
      </c>
      <c r="J578" s="32" t="s">
        <v>46</v>
      </c>
      <c r="K578" s="32" t="s">
        <v>42</v>
      </c>
      <c r="M578" s="32" t="s">
        <v>47</v>
      </c>
      <c r="N578" s="32" t="s">
        <v>43</v>
      </c>
    </row>
    <row r="579" spans="1:14" s="32" customFormat="1" x14ac:dyDescent="0.3">
      <c r="A579" s="38">
        <v>46226.376527777778</v>
      </c>
      <c r="B579" s="32">
        <v>44997650834</v>
      </c>
      <c r="C579" s="32" t="s">
        <v>49</v>
      </c>
      <c r="D579" s="32">
        <v>4430265054</v>
      </c>
      <c r="E579" s="32">
        <v>456</v>
      </c>
      <c r="F579" s="32">
        <v>371</v>
      </c>
      <c r="G579" s="32" t="s">
        <v>44</v>
      </c>
      <c r="H579" s="32" t="s">
        <v>639</v>
      </c>
      <c r="I579" s="32" t="s">
        <v>40</v>
      </c>
      <c r="J579" s="32" t="s">
        <v>46</v>
      </c>
      <c r="K579" s="32" t="s">
        <v>42</v>
      </c>
      <c r="L579" s="32">
        <v>5</v>
      </c>
      <c r="M579" s="32" t="s">
        <v>51</v>
      </c>
      <c r="N579" s="32" t="s">
        <v>49</v>
      </c>
    </row>
    <row r="580" spans="1:14" s="32" customFormat="1" hidden="1" x14ac:dyDescent="0.3">
      <c r="A580" s="38">
        <v>46226.359050925923</v>
      </c>
      <c r="B580" s="32" t="s">
        <v>49</v>
      </c>
      <c r="C580" s="32">
        <v>1732146970</v>
      </c>
      <c r="E580" s="32">
        <v>181</v>
      </c>
      <c r="F580" s="32">
        <v>179</v>
      </c>
      <c r="G580" s="32" t="s">
        <v>44</v>
      </c>
      <c r="H580" s="32" t="s">
        <v>640</v>
      </c>
      <c r="I580" s="32" t="s">
        <v>54</v>
      </c>
      <c r="J580" s="32" t="s">
        <v>46</v>
      </c>
      <c r="M580" s="32" t="s">
        <v>51</v>
      </c>
      <c r="N580" s="32" t="s">
        <v>49</v>
      </c>
    </row>
    <row r="581" spans="1:14" s="32" customFormat="1" hidden="1" x14ac:dyDescent="0.3">
      <c r="A581" s="38">
        <v>46226.358518518522</v>
      </c>
      <c r="B581" s="32" t="s">
        <v>43</v>
      </c>
      <c r="C581" s="32">
        <v>44991041123</v>
      </c>
      <c r="E581" s="32">
        <v>9</v>
      </c>
      <c r="F581" s="32">
        <v>0</v>
      </c>
      <c r="G581" s="32" t="s">
        <v>63</v>
      </c>
      <c r="H581" s="32" t="s">
        <v>641</v>
      </c>
      <c r="I581" s="32" t="s">
        <v>54</v>
      </c>
      <c r="J581" s="32" t="s">
        <v>46</v>
      </c>
      <c r="M581" s="32" t="s">
        <v>47</v>
      </c>
      <c r="N581" s="32" t="s">
        <v>43</v>
      </c>
    </row>
    <row r="582" spans="1:14" s="32" customFormat="1" hidden="1" x14ac:dyDescent="0.3">
      <c r="A582" s="38">
        <v>46225.728344907409</v>
      </c>
      <c r="B582" s="32">
        <v>44997400641</v>
      </c>
      <c r="C582" s="32" t="s">
        <v>58</v>
      </c>
      <c r="D582" s="32">
        <v>4430265054</v>
      </c>
      <c r="E582" s="32">
        <v>213</v>
      </c>
      <c r="F582" s="32">
        <v>177</v>
      </c>
      <c r="G582" s="32" t="s">
        <v>44</v>
      </c>
      <c r="H582" s="32" t="s">
        <v>642</v>
      </c>
      <c r="I582" s="32" t="s">
        <v>40</v>
      </c>
      <c r="J582" s="32" t="s">
        <v>46</v>
      </c>
      <c r="K582" s="32" t="s">
        <v>42</v>
      </c>
      <c r="M582" s="32" t="s">
        <v>60</v>
      </c>
      <c r="N582" s="32" t="s">
        <v>58</v>
      </c>
    </row>
    <row r="583" spans="1:14" s="32" customFormat="1" hidden="1" x14ac:dyDescent="0.3">
      <c r="A583" s="38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38</v>
      </c>
      <c r="H583" s="32" t="s">
        <v>643</v>
      </c>
      <c r="I583" s="32" t="s">
        <v>40</v>
      </c>
      <c r="J583" s="32" t="s">
        <v>41</v>
      </c>
    </row>
    <row r="584" spans="1:14" s="32" customFormat="1" hidden="1" x14ac:dyDescent="0.3">
      <c r="A584" s="38">
        <v>46225.723194444443</v>
      </c>
      <c r="B584" s="32" t="s">
        <v>207</v>
      </c>
      <c r="C584" s="32">
        <v>88992798461</v>
      </c>
      <c r="E584" s="32">
        <v>3010</v>
      </c>
      <c r="F584" s="32">
        <v>2990</v>
      </c>
      <c r="G584" s="32" t="s">
        <v>44</v>
      </c>
      <c r="H584" s="32" t="s">
        <v>644</v>
      </c>
      <c r="I584" s="32" t="s">
        <v>54</v>
      </c>
      <c r="J584" s="32" t="s">
        <v>111</v>
      </c>
      <c r="M584" s="32" t="s">
        <v>209</v>
      </c>
      <c r="N584" s="32" t="s">
        <v>207</v>
      </c>
    </row>
    <row r="585" spans="1:14" s="32" customFormat="1" hidden="1" x14ac:dyDescent="0.3">
      <c r="A585" s="38">
        <v>46225.723067129627</v>
      </c>
      <c r="B585" s="32">
        <v>4431122180</v>
      </c>
      <c r="C585" s="32" t="s">
        <v>43</v>
      </c>
      <c r="D585" s="32">
        <v>4430265054</v>
      </c>
      <c r="E585" s="32">
        <v>572</v>
      </c>
      <c r="F585" s="32">
        <v>550</v>
      </c>
      <c r="G585" s="32" t="s">
        <v>44</v>
      </c>
      <c r="H585" s="32" t="s">
        <v>645</v>
      </c>
      <c r="I585" s="32" t="s">
        <v>40</v>
      </c>
      <c r="J585" s="32" t="s">
        <v>46</v>
      </c>
      <c r="K585" s="32" t="s">
        <v>42</v>
      </c>
      <c r="M585" s="32" t="s">
        <v>47</v>
      </c>
      <c r="N585" s="32" t="s">
        <v>43</v>
      </c>
    </row>
    <row r="586" spans="1:14" s="32" customFormat="1" hidden="1" x14ac:dyDescent="0.3">
      <c r="A586" s="38">
        <v>46225.720729166664</v>
      </c>
      <c r="B586" s="32">
        <v>44998107650</v>
      </c>
      <c r="C586" s="32" t="s">
        <v>58</v>
      </c>
      <c r="D586" s="32">
        <v>4431268225</v>
      </c>
      <c r="E586" s="32">
        <v>255</v>
      </c>
      <c r="F586" s="32">
        <v>255</v>
      </c>
      <c r="G586" s="32" t="s">
        <v>44</v>
      </c>
      <c r="H586" s="32" t="s">
        <v>646</v>
      </c>
      <c r="I586" s="32" t="s">
        <v>40</v>
      </c>
      <c r="J586" s="32" t="s">
        <v>46</v>
      </c>
      <c r="K586" s="32" t="s">
        <v>42</v>
      </c>
      <c r="L586" s="32">
        <v>5</v>
      </c>
      <c r="M586" s="32" t="s">
        <v>60</v>
      </c>
      <c r="N586" s="32" t="s">
        <v>58</v>
      </c>
    </row>
    <row r="587" spans="1:14" s="32" customFormat="1" hidden="1" x14ac:dyDescent="0.3">
      <c r="A587" s="38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38</v>
      </c>
      <c r="H587" s="32" t="s">
        <v>647</v>
      </c>
      <c r="I587" s="32" t="s">
        <v>40</v>
      </c>
      <c r="J587" s="32" t="s">
        <v>41</v>
      </c>
    </row>
    <row r="588" spans="1:14" s="32" customFormat="1" hidden="1" x14ac:dyDescent="0.3">
      <c r="A588" s="38">
        <v>46225.713136574072</v>
      </c>
      <c r="B588" s="32" t="s">
        <v>58</v>
      </c>
      <c r="C588" s="32">
        <v>41997840159</v>
      </c>
      <c r="E588" s="32">
        <v>40</v>
      </c>
      <c r="F588" s="32">
        <v>0</v>
      </c>
      <c r="G588" s="32" t="s">
        <v>63</v>
      </c>
      <c r="H588" s="32" t="s">
        <v>648</v>
      </c>
      <c r="I588" s="32" t="s">
        <v>54</v>
      </c>
      <c r="J588" s="32" t="s">
        <v>46</v>
      </c>
      <c r="M588" s="32" t="s">
        <v>60</v>
      </c>
      <c r="N588" s="32" t="s">
        <v>58</v>
      </c>
    </row>
    <row r="589" spans="1:14" s="32" customFormat="1" hidden="1" x14ac:dyDescent="0.3">
      <c r="A589" s="38">
        <v>46225.71266203704</v>
      </c>
      <c r="B589" s="32" t="s">
        <v>58</v>
      </c>
      <c r="C589" s="32">
        <v>41997840159</v>
      </c>
      <c r="E589" s="32">
        <v>38</v>
      </c>
      <c r="F589" s="32">
        <v>0</v>
      </c>
      <c r="G589" s="32" t="s">
        <v>63</v>
      </c>
      <c r="H589" s="32" t="s">
        <v>649</v>
      </c>
      <c r="I589" s="32" t="s">
        <v>54</v>
      </c>
      <c r="J589" s="32" t="s">
        <v>46</v>
      </c>
      <c r="M589" s="32" t="s">
        <v>60</v>
      </c>
      <c r="N589" s="32" t="s">
        <v>58</v>
      </c>
    </row>
    <row r="590" spans="1:14" s="32" customFormat="1" hidden="1" x14ac:dyDescent="0.3">
      <c r="A590" s="38">
        <v>46225.703252314815</v>
      </c>
      <c r="B590" s="32">
        <v>4434239353</v>
      </c>
      <c r="C590" s="32" t="s">
        <v>49</v>
      </c>
      <c r="D590" s="32">
        <v>4430265054</v>
      </c>
      <c r="E590" s="32">
        <v>2475</v>
      </c>
      <c r="F590" s="32">
        <v>2428</v>
      </c>
      <c r="G590" s="32" t="s">
        <v>44</v>
      </c>
      <c r="H590" s="32" t="s">
        <v>650</v>
      </c>
      <c r="I590" s="32" t="s">
        <v>40</v>
      </c>
      <c r="J590" s="32" t="s">
        <v>46</v>
      </c>
      <c r="K590" s="32" t="s">
        <v>42</v>
      </c>
      <c r="M590" s="32" t="s">
        <v>51</v>
      </c>
      <c r="N590" s="32" t="s">
        <v>49</v>
      </c>
    </row>
    <row r="591" spans="1:14" s="32" customFormat="1" hidden="1" x14ac:dyDescent="0.3">
      <c r="A591" s="38">
        <v>46225.702476851853</v>
      </c>
      <c r="B591" s="32">
        <v>4434231198</v>
      </c>
      <c r="C591" s="32" t="s">
        <v>58</v>
      </c>
      <c r="D591" s="32">
        <v>4430265054</v>
      </c>
      <c r="E591" s="32">
        <v>51</v>
      </c>
      <c r="F591" s="32">
        <v>51</v>
      </c>
      <c r="G591" s="32" t="s">
        <v>44</v>
      </c>
      <c r="H591" s="32" t="s">
        <v>651</v>
      </c>
      <c r="I591" s="32" t="s">
        <v>40</v>
      </c>
      <c r="J591" s="32" t="s">
        <v>46</v>
      </c>
      <c r="K591" s="32" t="s">
        <v>42</v>
      </c>
      <c r="M591" s="32" t="s">
        <v>60</v>
      </c>
      <c r="N591" s="32" t="s">
        <v>58</v>
      </c>
    </row>
    <row r="592" spans="1:14" s="32" customFormat="1" hidden="1" x14ac:dyDescent="0.3">
      <c r="A592" s="38">
        <v>46225.699826388889</v>
      </c>
      <c r="B592" s="32">
        <v>44988303530</v>
      </c>
      <c r="C592" s="32" t="s">
        <v>43</v>
      </c>
      <c r="D592" s="32">
        <v>4430265054</v>
      </c>
      <c r="E592" s="32">
        <v>180</v>
      </c>
      <c r="F592" s="32">
        <v>128</v>
      </c>
      <c r="G592" s="32" t="s">
        <v>44</v>
      </c>
      <c r="H592" s="32" t="s">
        <v>652</v>
      </c>
      <c r="I592" s="32" t="s">
        <v>40</v>
      </c>
      <c r="J592" s="32" t="s">
        <v>46</v>
      </c>
      <c r="K592" s="32" t="s">
        <v>42</v>
      </c>
      <c r="M592" s="32" t="s">
        <v>47</v>
      </c>
      <c r="N592" s="32" t="s">
        <v>43</v>
      </c>
    </row>
    <row r="593" spans="1:14" s="32" customFormat="1" hidden="1" x14ac:dyDescent="0.3">
      <c r="A593" s="38">
        <v>46225.687256944446</v>
      </c>
      <c r="B593" s="32">
        <v>44997400641</v>
      </c>
      <c r="C593" s="32" t="s">
        <v>58</v>
      </c>
      <c r="D593" s="32">
        <v>4430265054</v>
      </c>
      <c r="E593" s="32">
        <v>351</v>
      </c>
      <c r="F593" s="32">
        <v>350</v>
      </c>
      <c r="G593" s="32" t="s">
        <v>44</v>
      </c>
      <c r="H593" s="32" t="s">
        <v>653</v>
      </c>
      <c r="I593" s="32" t="s">
        <v>40</v>
      </c>
      <c r="J593" s="32" t="s">
        <v>46</v>
      </c>
      <c r="K593" s="32" t="s">
        <v>42</v>
      </c>
      <c r="M593" s="32" t="s">
        <v>60</v>
      </c>
      <c r="N593" s="32" t="s">
        <v>58</v>
      </c>
    </row>
    <row r="594" spans="1:14" s="32" customFormat="1" hidden="1" x14ac:dyDescent="0.3">
      <c r="A594" s="38">
        <v>46225.673634259256</v>
      </c>
      <c r="B594" s="32" t="s">
        <v>49</v>
      </c>
      <c r="C594" s="32">
        <v>4430153708</v>
      </c>
      <c r="E594" s="32">
        <v>811</v>
      </c>
      <c r="F594" s="32">
        <v>776</v>
      </c>
      <c r="G594" s="32" t="s">
        <v>44</v>
      </c>
      <c r="H594" s="32" t="s">
        <v>654</v>
      </c>
      <c r="I594" s="32" t="s">
        <v>54</v>
      </c>
      <c r="J594" s="32" t="s">
        <v>46</v>
      </c>
      <c r="M594" s="32" t="s">
        <v>51</v>
      </c>
      <c r="N594" s="32" t="s">
        <v>49</v>
      </c>
    </row>
    <row r="595" spans="1:14" s="32" customFormat="1" hidden="1" x14ac:dyDescent="0.3">
      <c r="A595" s="38">
        <v>46225.670219907406</v>
      </c>
      <c r="B595" s="32">
        <v>44998620323</v>
      </c>
      <c r="C595" s="32" t="s">
        <v>43</v>
      </c>
      <c r="D595" s="32">
        <v>4430265054</v>
      </c>
      <c r="E595" s="32">
        <v>362</v>
      </c>
      <c r="F595" s="32">
        <v>286</v>
      </c>
      <c r="G595" s="32" t="s">
        <v>44</v>
      </c>
      <c r="H595" s="32" t="s">
        <v>655</v>
      </c>
      <c r="I595" s="32" t="s">
        <v>40</v>
      </c>
      <c r="J595" s="32" t="s">
        <v>46</v>
      </c>
      <c r="K595" s="32" t="s">
        <v>42</v>
      </c>
      <c r="M595" s="32" t="s">
        <v>47</v>
      </c>
      <c r="N595" s="32" t="s">
        <v>43</v>
      </c>
    </row>
    <row r="596" spans="1:14" s="32" customFormat="1" hidden="1" x14ac:dyDescent="0.3">
      <c r="A596" s="38">
        <v>46225.669872685183</v>
      </c>
      <c r="B596" s="32">
        <v>44998107650</v>
      </c>
      <c r="C596" s="32" t="s">
        <v>43</v>
      </c>
      <c r="D596" s="32">
        <v>4431268225</v>
      </c>
      <c r="E596" s="32">
        <v>123</v>
      </c>
      <c r="F596" s="32">
        <v>65</v>
      </c>
      <c r="G596" s="32" t="s">
        <v>44</v>
      </c>
      <c r="H596" s="32" t="s">
        <v>656</v>
      </c>
      <c r="I596" s="32" t="s">
        <v>40</v>
      </c>
      <c r="J596" s="32" t="s">
        <v>46</v>
      </c>
      <c r="K596" s="32" t="s">
        <v>42</v>
      </c>
      <c r="L596" s="32">
        <v>5</v>
      </c>
      <c r="M596" s="32" t="s">
        <v>47</v>
      </c>
      <c r="N596" s="32" t="s">
        <v>43</v>
      </c>
    </row>
    <row r="597" spans="1:14" s="32" customFormat="1" hidden="1" x14ac:dyDescent="0.3">
      <c r="A597" s="38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38</v>
      </c>
      <c r="H597" s="32" t="s">
        <v>657</v>
      </c>
      <c r="I597" s="32" t="s">
        <v>40</v>
      </c>
      <c r="J597" s="32" t="s">
        <v>41</v>
      </c>
      <c r="K597" s="32" t="s">
        <v>42</v>
      </c>
    </row>
    <row r="598" spans="1:14" s="32" customFormat="1" hidden="1" x14ac:dyDescent="0.3">
      <c r="A598" s="38">
        <v>46225.667615740742</v>
      </c>
      <c r="B598" s="32">
        <v>18997449617</v>
      </c>
      <c r="C598" s="32" t="s">
        <v>43</v>
      </c>
      <c r="D598" s="32">
        <v>4430265054</v>
      </c>
      <c r="E598" s="32">
        <v>167</v>
      </c>
      <c r="F598" s="32">
        <v>93</v>
      </c>
      <c r="G598" s="32" t="s">
        <v>44</v>
      </c>
      <c r="H598" s="32" t="s">
        <v>658</v>
      </c>
      <c r="I598" s="32" t="s">
        <v>40</v>
      </c>
      <c r="J598" s="32" t="s">
        <v>46</v>
      </c>
      <c r="K598" s="32" t="s">
        <v>42</v>
      </c>
      <c r="M598" s="32" t="s">
        <v>47</v>
      </c>
      <c r="N598" s="32" t="s">
        <v>43</v>
      </c>
    </row>
    <row r="599" spans="1:14" s="32" customFormat="1" hidden="1" x14ac:dyDescent="0.3">
      <c r="A599" s="38">
        <v>46225.660925925928</v>
      </c>
      <c r="B599" s="32" t="s">
        <v>49</v>
      </c>
      <c r="C599" s="32">
        <v>41997840159</v>
      </c>
      <c r="E599" s="32">
        <v>622</v>
      </c>
      <c r="F599" s="32">
        <v>611</v>
      </c>
      <c r="G599" s="32" t="s">
        <v>44</v>
      </c>
      <c r="H599" s="32" t="s">
        <v>659</v>
      </c>
      <c r="I599" s="32" t="s">
        <v>54</v>
      </c>
      <c r="J599" s="32" t="s">
        <v>46</v>
      </c>
      <c r="M599" s="32" t="s">
        <v>51</v>
      </c>
      <c r="N599" s="32" t="s">
        <v>49</v>
      </c>
    </row>
    <row r="600" spans="1:14" s="32" customFormat="1" hidden="1" x14ac:dyDescent="0.3">
      <c r="A600" s="38">
        <v>46225.654247685183</v>
      </c>
      <c r="B600" s="32">
        <v>44991180210</v>
      </c>
      <c r="C600" s="32" t="s">
        <v>58</v>
      </c>
      <c r="D600" s="32">
        <v>4430265054</v>
      </c>
      <c r="E600" s="32">
        <v>234</v>
      </c>
      <c r="F600" s="32">
        <v>191</v>
      </c>
      <c r="G600" s="32" t="s">
        <v>44</v>
      </c>
      <c r="H600" s="32" t="s">
        <v>660</v>
      </c>
      <c r="I600" s="32" t="s">
        <v>40</v>
      </c>
      <c r="J600" s="32" t="s">
        <v>46</v>
      </c>
      <c r="K600" s="32" t="s">
        <v>42</v>
      </c>
      <c r="M600" s="32" t="s">
        <v>60</v>
      </c>
      <c r="N600" s="32" t="s">
        <v>58</v>
      </c>
    </row>
    <row r="601" spans="1:14" s="32" customFormat="1" hidden="1" x14ac:dyDescent="0.3">
      <c r="A601" s="38">
        <v>46225.651909722219</v>
      </c>
      <c r="B601" s="32">
        <v>44998107650</v>
      </c>
      <c r="C601" s="32" t="s">
        <v>43</v>
      </c>
      <c r="D601" s="32">
        <v>4431268225</v>
      </c>
      <c r="E601" s="32">
        <v>1030</v>
      </c>
      <c r="F601" s="32">
        <v>1002</v>
      </c>
      <c r="G601" s="32" t="s">
        <v>44</v>
      </c>
      <c r="H601" s="32" t="s">
        <v>661</v>
      </c>
      <c r="I601" s="32" t="s">
        <v>40</v>
      </c>
      <c r="J601" s="32" t="s">
        <v>46</v>
      </c>
      <c r="K601" s="32" t="s">
        <v>42</v>
      </c>
      <c r="L601" s="32">
        <v>5</v>
      </c>
      <c r="M601" s="32" t="s">
        <v>47</v>
      </c>
      <c r="N601" s="32" t="s">
        <v>43</v>
      </c>
    </row>
    <row r="602" spans="1:14" s="32" customFormat="1" x14ac:dyDescent="0.3">
      <c r="A602" s="38">
        <v>46225.650370370371</v>
      </c>
      <c r="B602" s="32">
        <v>41988796768</v>
      </c>
      <c r="C602" s="32" t="s">
        <v>49</v>
      </c>
      <c r="D602" s="32">
        <v>4430265054</v>
      </c>
      <c r="E602" s="32">
        <v>487</v>
      </c>
      <c r="F602" s="32">
        <v>399</v>
      </c>
      <c r="G602" s="32" t="s">
        <v>44</v>
      </c>
      <c r="H602" s="32" t="s">
        <v>662</v>
      </c>
      <c r="I602" s="32" t="s">
        <v>40</v>
      </c>
      <c r="J602" s="32" t="s">
        <v>46</v>
      </c>
      <c r="K602" s="32" t="s">
        <v>42</v>
      </c>
      <c r="L602" s="32">
        <v>5</v>
      </c>
      <c r="M602" s="32" t="s">
        <v>51</v>
      </c>
      <c r="N602" s="32" t="s">
        <v>49</v>
      </c>
    </row>
    <row r="603" spans="1:14" s="32" customFormat="1" hidden="1" x14ac:dyDescent="0.3">
      <c r="A603" s="38">
        <v>46225.644444444442</v>
      </c>
      <c r="B603" s="32">
        <v>44998620323</v>
      </c>
      <c r="C603" s="32" t="s">
        <v>58</v>
      </c>
      <c r="D603" s="32">
        <v>4430265054</v>
      </c>
      <c r="E603" s="32">
        <v>219</v>
      </c>
      <c r="F603" s="32">
        <v>182</v>
      </c>
      <c r="G603" s="32" t="s">
        <v>44</v>
      </c>
      <c r="H603" s="32" t="s">
        <v>663</v>
      </c>
      <c r="I603" s="32" t="s">
        <v>40</v>
      </c>
      <c r="J603" s="32" t="s">
        <v>46</v>
      </c>
      <c r="K603" s="32" t="s">
        <v>42</v>
      </c>
      <c r="M603" s="32" t="s">
        <v>60</v>
      </c>
      <c r="N603" s="32" t="s">
        <v>58</v>
      </c>
    </row>
    <row r="604" spans="1:14" s="32" customFormat="1" hidden="1" x14ac:dyDescent="0.3">
      <c r="A604" s="38">
        <v>46225.644143518519</v>
      </c>
      <c r="B604" s="32">
        <v>44998107650</v>
      </c>
      <c r="C604" s="32" t="s">
        <v>43</v>
      </c>
      <c r="D604" s="32">
        <v>4431268225</v>
      </c>
      <c r="E604" s="32">
        <v>291</v>
      </c>
      <c r="F604" s="32">
        <v>228</v>
      </c>
      <c r="G604" s="32" t="s">
        <v>44</v>
      </c>
      <c r="H604" s="32" t="s">
        <v>664</v>
      </c>
      <c r="I604" s="32" t="s">
        <v>40</v>
      </c>
      <c r="J604" s="32" t="s">
        <v>46</v>
      </c>
      <c r="K604" s="32" t="s">
        <v>42</v>
      </c>
      <c r="L604" s="32">
        <v>5</v>
      </c>
      <c r="M604" s="32" t="s">
        <v>47</v>
      </c>
      <c r="N604" s="32" t="s">
        <v>43</v>
      </c>
    </row>
    <row r="605" spans="1:14" s="32" customFormat="1" hidden="1" x14ac:dyDescent="0.3">
      <c r="A605" s="38">
        <v>46225.642604166664</v>
      </c>
      <c r="B605" s="32">
        <v>44998107650</v>
      </c>
      <c r="C605" s="32" t="s">
        <v>58</v>
      </c>
      <c r="D605" s="32">
        <v>4431268225</v>
      </c>
      <c r="E605" s="32">
        <v>117</v>
      </c>
      <c r="F605" s="32">
        <v>117</v>
      </c>
      <c r="G605" s="32" t="s">
        <v>44</v>
      </c>
      <c r="H605" s="32" t="s">
        <v>665</v>
      </c>
      <c r="I605" s="32" t="s">
        <v>40</v>
      </c>
      <c r="J605" s="32" t="s">
        <v>46</v>
      </c>
      <c r="K605" s="32" t="s">
        <v>42</v>
      </c>
      <c r="M605" s="32" t="s">
        <v>60</v>
      </c>
      <c r="N605" s="32" t="s">
        <v>58</v>
      </c>
    </row>
    <row r="606" spans="1:14" s="32" customFormat="1" hidden="1" x14ac:dyDescent="0.3">
      <c r="A606" s="38">
        <v>46225.625277777777</v>
      </c>
      <c r="B606" s="32">
        <v>41997840159</v>
      </c>
      <c r="C606" s="32" t="s">
        <v>49</v>
      </c>
      <c r="D606" s="32">
        <v>4431268225</v>
      </c>
      <c r="E606" s="32">
        <v>1446</v>
      </c>
      <c r="F606" s="32">
        <v>1370</v>
      </c>
      <c r="G606" s="32" t="s">
        <v>44</v>
      </c>
      <c r="H606" s="32" t="s">
        <v>666</v>
      </c>
      <c r="I606" s="32" t="s">
        <v>40</v>
      </c>
      <c r="J606" s="32" t="s">
        <v>46</v>
      </c>
      <c r="K606" s="32" t="s">
        <v>42</v>
      </c>
      <c r="M606" s="32" t="s">
        <v>51</v>
      </c>
      <c r="N606" s="32" t="s">
        <v>49</v>
      </c>
    </row>
    <row r="607" spans="1:14" s="32" customFormat="1" hidden="1" x14ac:dyDescent="0.3">
      <c r="A607" s="38">
        <v>46225.624409722222</v>
      </c>
      <c r="B607" s="32">
        <v>44998620323</v>
      </c>
      <c r="C607" s="32" t="s">
        <v>43</v>
      </c>
      <c r="D607" s="32">
        <v>4430265054</v>
      </c>
      <c r="E607" s="32">
        <v>1465</v>
      </c>
      <c r="F607" s="32">
        <v>1349</v>
      </c>
      <c r="G607" s="32" t="s">
        <v>44</v>
      </c>
      <c r="H607" s="32" t="s">
        <v>667</v>
      </c>
      <c r="I607" s="32" t="s">
        <v>40</v>
      </c>
      <c r="J607" s="32" t="s">
        <v>46</v>
      </c>
      <c r="K607" s="32" t="s">
        <v>42</v>
      </c>
      <c r="M607" s="32" t="s">
        <v>47</v>
      </c>
      <c r="N607" s="32" t="s">
        <v>43</v>
      </c>
    </row>
    <row r="608" spans="1:14" s="32" customFormat="1" hidden="1" x14ac:dyDescent="0.3">
      <c r="A608" s="38">
        <v>46225.6174537037</v>
      </c>
      <c r="B608" s="32" t="s">
        <v>43</v>
      </c>
      <c r="C608" s="32">
        <v>44999748684</v>
      </c>
      <c r="E608" s="32">
        <v>163</v>
      </c>
      <c r="F608" s="32">
        <v>152</v>
      </c>
      <c r="G608" s="32" t="s">
        <v>44</v>
      </c>
      <c r="H608" s="32" t="s">
        <v>668</v>
      </c>
      <c r="I608" s="32" t="s">
        <v>54</v>
      </c>
      <c r="J608" s="32" t="s">
        <v>46</v>
      </c>
      <c r="M608" s="32" t="s">
        <v>47</v>
      </c>
      <c r="N608" s="32" t="s">
        <v>43</v>
      </c>
    </row>
    <row r="609" spans="1:14" s="32" customFormat="1" hidden="1" x14ac:dyDescent="0.3">
      <c r="A609" s="38">
        <v>46225.617395833331</v>
      </c>
      <c r="B609" s="32" t="s">
        <v>43</v>
      </c>
      <c r="C609" s="32">
        <v>44999748684</v>
      </c>
      <c r="E609" s="32">
        <v>4</v>
      </c>
      <c r="F609" s="32">
        <v>0</v>
      </c>
      <c r="G609" s="32" t="s">
        <v>63</v>
      </c>
      <c r="H609" s="32" t="s">
        <v>669</v>
      </c>
      <c r="I609" s="32" t="s">
        <v>54</v>
      </c>
      <c r="J609" s="32" t="s">
        <v>46</v>
      </c>
      <c r="M609" s="32" t="s">
        <v>47</v>
      </c>
      <c r="N609" s="32" t="s">
        <v>43</v>
      </c>
    </row>
    <row r="610" spans="1:14" s="32" customFormat="1" hidden="1" x14ac:dyDescent="0.3">
      <c r="A610" s="38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38</v>
      </c>
      <c r="H610" s="32" t="s">
        <v>670</v>
      </c>
      <c r="I610" s="32" t="s">
        <v>40</v>
      </c>
      <c r="J610" s="32" t="s">
        <v>41</v>
      </c>
    </row>
    <row r="611" spans="1:14" s="32" customFormat="1" hidden="1" x14ac:dyDescent="0.3">
      <c r="A611" s="38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38</v>
      </c>
      <c r="H611" s="32" t="s">
        <v>671</v>
      </c>
      <c r="I611" s="32" t="s">
        <v>40</v>
      </c>
      <c r="J611" s="32" t="s">
        <v>41</v>
      </c>
    </row>
    <row r="612" spans="1:14" s="32" customFormat="1" hidden="1" x14ac:dyDescent="0.3">
      <c r="A612" s="38">
        <v>46225.607083333336</v>
      </c>
      <c r="B612" s="32">
        <v>4434239353</v>
      </c>
      <c r="C612" s="32" t="s">
        <v>58</v>
      </c>
      <c r="D612" s="32">
        <v>4430265054</v>
      </c>
      <c r="E612" s="32">
        <v>417</v>
      </c>
      <c r="F612" s="32">
        <v>291</v>
      </c>
      <c r="G612" s="32" t="s">
        <v>44</v>
      </c>
      <c r="H612" s="32" t="s">
        <v>672</v>
      </c>
      <c r="I612" s="32" t="s">
        <v>40</v>
      </c>
      <c r="J612" s="32" t="s">
        <v>46</v>
      </c>
      <c r="K612" s="32" t="s">
        <v>42</v>
      </c>
      <c r="M612" s="32" t="s">
        <v>60</v>
      </c>
      <c r="N612" s="32" t="s">
        <v>58</v>
      </c>
    </row>
    <row r="613" spans="1:14" s="32" customFormat="1" hidden="1" x14ac:dyDescent="0.3">
      <c r="A613" s="38">
        <v>46225.606354166666</v>
      </c>
      <c r="B613" s="32">
        <v>77999250878</v>
      </c>
      <c r="C613" s="32" t="s">
        <v>43</v>
      </c>
      <c r="D613" s="32">
        <v>4430265054</v>
      </c>
      <c r="E613" s="32">
        <v>512</v>
      </c>
      <c r="F613" s="32">
        <v>452</v>
      </c>
      <c r="G613" s="32" t="s">
        <v>44</v>
      </c>
      <c r="H613" s="32" t="s">
        <v>673</v>
      </c>
      <c r="I613" s="32" t="s">
        <v>40</v>
      </c>
      <c r="J613" s="32" t="s">
        <v>46</v>
      </c>
      <c r="K613" s="32" t="s">
        <v>42</v>
      </c>
      <c r="M613" s="32" t="s">
        <v>47</v>
      </c>
      <c r="N613" s="32" t="s">
        <v>43</v>
      </c>
    </row>
    <row r="614" spans="1:14" s="32" customFormat="1" hidden="1" x14ac:dyDescent="0.3">
      <c r="A614" s="38">
        <v>46225.598773148151</v>
      </c>
      <c r="B614" s="32" t="s">
        <v>109</v>
      </c>
      <c r="C614" s="32">
        <v>11983800938</v>
      </c>
      <c r="E614" s="32">
        <v>27</v>
      </c>
      <c r="F614" s="32">
        <v>0</v>
      </c>
      <c r="G614" s="32" t="s">
        <v>63</v>
      </c>
      <c r="H614" s="32" t="s">
        <v>674</v>
      </c>
      <c r="I614" s="32" t="s">
        <v>54</v>
      </c>
      <c r="J614" s="32" t="s">
        <v>111</v>
      </c>
      <c r="M614" s="32" t="s">
        <v>112</v>
      </c>
      <c r="N614" s="32" t="s">
        <v>109</v>
      </c>
    </row>
    <row r="615" spans="1:14" s="32" customFormat="1" hidden="1" x14ac:dyDescent="0.3">
      <c r="A615" s="38">
        <v>46225.597685185188</v>
      </c>
      <c r="B615" s="32" t="s">
        <v>109</v>
      </c>
      <c r="C615" s="32">
        <v>49991563309</v>
      </c>
      <c r="E615" s="32">
        <v>7</v>
      </c>
      <c r="F615" s="32">
        <v>0</v>
      </c>
      <c r="G615" s="32" t="s">
        <v>63</v>
      </c>
      <c r="H615" s="32" t="s">
        <v>675</v>
      </c>
      <c r="I615" s="32" t="s">
        <v>54</v>
      </c>
      <c r="J615" s="32" t="s">
        <v>111</v>
      </c>
      <c r="M615" s="32" t="s">
        <v>112</v>
      </c>
      <c r="N615" s="32" t="s">
        <v>109</v>
      </c>
    </row>
    <row r="616" spans="1:14" s="32" customFormat="1" hidden="1" x14ac:dyDescent="0.3">
      <c r="A616" s="38">
        <v>46225.594733796293</v>
      </c>
      <c r="B616" s="32">
        <v>1131043888</v>
      </c>
      <c r="C616" s="32" t="s">
        <v>43</v>
      </c>
      <c r="D616" s="32">
        <v>4430265054</v>
      </c>
      <c r="E616" s="32">
        <v>285</v>
      </c>
      <c r="F616" s="32">
        <v>243</v>
      </c>
      <c r="G616" s="32" t="s">
        <v>44</v>
      </c>
      <c r="H616" s="32" t="s">
        <v>676</v>
      </c>
      <c r="I616" s="32" t="s">
        <v>40</v>
      </c>
      <c r="J616" s="32" t="s">
        <v>46</v>
      </c>
      <c r="K616" s="32" t="s">
        <v>42</v>
      </c>
      <c r="M616" s="32" t="s">
        <v>47</v>
      </c>
      <c r="N616" s="32" t="s">
        <v>43</v>
      </c>
    </row>
    <row r="617" spans="1:14" s="32" customFormat="1" hidden="1" x14ac:dyDescent="0.3">
      <c r="A617" s="38">
        <v>46225.593240740738</v>
      </c>
      <c r="B617" s="32" t="s">
        <v>677</v>
      </c>
      <c r="C617" s="32" t="s">
        <v>49</v>
      </c>
      <c r="D617" s="32">
        <v>4430265054</v>
      </c>
      <c r="E617" s="32">
        <v>1340</v>
      </c>
      <c r="F617" s="32">
        <v>1297</v>
      </c>
      <c r="G617" s="32" t="s">
        <v>44</v>
      </c>
      <c r="H617" s="32" t="s">
        <v>678</v>
      </c>
      <c r="I617" s="32" t="s">
        <v>40</v>
      </c>
      <c r="J617" s="32" t="s">
        <v>46</v>
      </c>
      <c r="K617" s="32" t="s">
        <v>42</v>
      </c>
      <c r="M617" s="32" t="s">
        <v>51</v>
      </c>
      <c r="N617" s="32" t="s">
        <v>49</v>
      </c>
    </row>
    <row r="618" spans="1:14" s="32" customFormat="1" hidden="1" x14ac:dyDescent="0.3">
      <c r="A618" s="38">
        <v>46225.587754629632</v>
      </c>
      <c r="B618" s="32">
        <v>41997840159</v>
      </c>
      <c r="C618" s="32" t="s">
        <v>43</v>
      </c>
      <c r="D618" s="32">
        <v>4431268225</v>
      </c>
      <c r="E618" s="32">
        <v>651</v>
      </c>
      <c r="F618" s="32">
        <v>576</v>
      </c>
      <c r="G618" s="32" t="s">
        <v>44</v>
      </c>
      <c r="H618" s="32" t="s">
        <v>679</v>
      </c>
      <c r="I618" s="32" t="s">
        <v>40</v>
      </c>
      <c r="J618" s="32" t="s">
        <v>46</v>
      </c>
      <c r="K618" s="32" t="s">
        <v>42</v>
      </c>
      <c r="M618" s="32" t="s">
        <v>47</v>
      </c>
      <c r="N618" s="32" t="s">
        <v>43</v>
      </c>
    </row>
    <row r="619" spans="1:14" s="32" customFormat="1" hidden="1" x14ac:dyDescent="0.3">
      <c r="A619" s="38">
        <v>46225.586168981485</v>
      </c>
      <c r="B619" s="32">
        <v>44997400641</v>
      </c>
      <c r="C619" s="32" t="s">
        <v>58</v>
      </c>
      <c r="D619" s="32">
        <v>4430265054</v>
      </c>
      <c r="E619" s="32">
        <v>366</v>
      </c>
      <c r="F619" s="32">
        <v>293</v>
      </c>
      <c r="G619" s="32" t="s">
        <v>44</v>
      </c>
      <c r="H619" s="32" t="s">
        <v>680</v>
      </c>
      <c r="I619" s="32" t="s">
        <v>40</v>
      </c>
      <c r="J619" s="32" t="s">
        <v>46</v>
      </c>
      <c r="K619" s="32" t="s">
        <v>42</v>
      </c>
      <c r="M619" s="32" t="s">
        <v>60</v>
      </c>
      <c r="N619" s="32" t="s">
        <v>58</v>
      </c>
    </row>
    <row r="620" spans="1:14" s="32" customFormat="1" hidden="1" x14ac:dyDescent="0.3">
      <c r="A620" s="38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38</v>
      </c>
      <c r="H620" s="32" t="s">
        <v>681</v>
      </c>
      <c r="I620" s="32" t="s">
        <v>40</v>
      </c>
      <c r="J620" s="32" t="s">
        <v>41</v>
      </c>
      <c r="K620" s="32" t="s">
        <v>42</v>
      </c>
    </row>
    <row r="621" spans="1:14" s="32" customFormat="1" hidden="1" x14ac:dyDescent="0.3">
      <c r="A621" s="38">
        <v>46225.582245370373</v>
      </c>
      <c r="B621" s="32">
        <v>1131043888</v>
      </c>
      <c r="C621" s="32" t="s">
        <v>43</v>
      </c>
      <c r="D621" s="32">
        <v>4430265054</v>
      </c>
      <c r="E621" s="32">
        <v>520</v>
      </c>
      <c r="F621" s="32">
        <v>475</v>
      </c>
      <c r="G621" s="32" t="s">
        <v>44</v>
      </c>
      <c r="H621" s="32" t="s">
        <v>682</v>
      </c>
      <c r="I621" s="32" t="s">
        <v>40</v>
      </c>
      <c r="J621" s="32" t="s">
        <v>46</v>
      </c>
      <c r="K621" s="32" t="s">
        <v>42</v>
      </c>
      <c r="M621" s="32" t="s">
        <v>47</v>
      </c>
      <c r="N621" s="32" t="s">
        <v>43</v>
      </c>
    </row>
    <row r="622" spans="1:14" s="32" customFormat="1" hidden="1" x14ac:dyDescent="0.3">
      <c r="A622" s="38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38</v>
      </c>
      <c r="H622" s="32" t="s">
        <v>683</v>
      </c>
      <c r="I622" s="32" t="s">
        <v>40</v>
      </c>
      <c r="J622" s="32" t="s">
        <v>41</v>
      </c>
      <c r="K622" s="32" t="s">
        <v>212</v>
      </c>
    </row>
    <row r="623" spans="1:14" s="32" customFormat="1" x14ac:dyDescent="0.3">
      <c r="A623" s="38">
        <v>46225.57371527778</v>
      </c>
      <c r="B623" s="32">
        <v>4432275634</v>
      </c>
      <c r="C623" s="32" t="s">
        <v>49</v>
      </c>
      <c r="D623" s="32">
        <v>4430265054</v>
      </c>
      <c r="E623" s="32">
        <v>1552</v>
      </c>
      <c r="F623" s="32">
        <v>1517</v>
      </c>
      <c r="G623" s="32" t="s">
        <v>44</v>
      </c>
      <c r="H623" s="32" t="s">
        <v>684</v>
      </c>
      <c r="I623" s="32" t="s">
        <v>40</v>
      </c>
      <c r="J623" s="32" t="s">
        <v>46</v>
      </c>
      <c r="K623" s="32" t="s">
        <v>42</v>
      </c>
      <c r="L623" s="32">
        <v>5</v>
      </c>
      <c r="M623" s="32" t="s">
        <v>51</v>
      </c>
      <c r="N623" s="32" t="s">
        <v>49</v>
      </c>
    </row>
    <row r="624" spans="1:14" s="32" customFormat="1" hidden="1" x14ac:dyDescent="0.3">
      <c r="A624" s="38">
        <v>46225.571157407408</v>
      </c>
      <c r="B624" s="32">
        <v>44998620323</v>
      </c>
      <c r="C624" s="32" t="s">
        <v>43</v>
      </c>
      <c r="D624" s="32">
        <v>4430265054</v>
      </c>
      <c r="E624" s="32">
        <v>552</v>
      </c>
      <c r="F624" s="32">
        <v>468</v>
      </c>
      <c r="G624" s="32" t="s">
        <v>44</v>
      </c>
      <c r="H624" s="32" t="s">
        <v>685</v>
      </c>
      <c r="I624" s="32" t="s">
        <v>40</v>
      </c>
      <c r="J624" s="32" t="s">
        <v>46</v>
      </c>
      <c r="K624" s="32" t="s">
        <v>42</v>
      </c>
      <c r="M624" s="32" t="s">
        <v>47</v>
      </c>
      <c r="N624" s="32" t="s">
        <v>43</v>
      </c>
    </row>
    <row r="625" spans="1:14" s="32" customFormat="1" x14ac:dyDescent="0.3">
      <c r="A625" s="38">
        <v>46225.568379629629</v>
      </c>
      <c r="B625" s="32">
        <v>1143744993</v>
      </c>
      <c r="C625" s="32" t="s">
        <v>49</v>
      </c>
      <c r="D625" s="32">
        <v>4431268225</v>
      </c>
      <c r="E625" s="32">
        <v>374</v>
      </c>
      <c r="F625" s="32">
        <v>354</v>
      </c>
      <c r="G625" s="32" t="s">
        <v>44</v>
      </c>
      <c r="H625" s="32" t="s">
        <v>686</v>
      </c>
      <c r="I625" s="32" t="s">
        <v>40</v>
      </c>
      <c r="J625" s="32" t="s">
        <v>46</v>
      </c>
      <c r="K625" s="32" t="s">
        <v>42</v>
      </c>
      <c r="L625" s="32">
        <v>5</v>
      </c>
      <c r="M625" s="32" t="s">
        <v>51</v>
      </c>
      <c r="N625" s="32" t="s">
        <v>49</v>
      </c>
    </row>
    <row r="626" spans="1:14" s="32" customFormat="1" hidden="1" x14ac:dyDescent="0.3">
      <c r="A626" s="38">
        <v>46225.56627314815</v>
      </c>
      <c r="B626" s="32">
        <v>4130760170</v>
      </c>
      <c r="C626" s="32" t="s">
        <v>58</v>
      </c>
      <c r="D626" s="32">
        <v>4430265054</v>
      </c>
      <c r="E626" s="32">
        <v>361</v>
      </c>
      <c r="F626" s="32">
        <v>361</v>
      </c>
      <c r="G626" s="32" t="s">
        <v>44</v>
      </c>
      <c r="H626" s="32" t="s">
        <v>687</v>
      </c>
      <c r="I626" s="32" t="s">
        <v>40</v>
      </c>
      <c r="J626" s="32" t="s">
        <v>46</v>
      </c>
      <c r="K626" s="32" t="s">
        <v>42</v>
      </c>
      <c r="M626" s="32" t="s">
        <v>60</v>
      </c>
      <c r="N626" s="32" t="s">
        <v>58</v>
      </c>
    </row>
    <row r="627" spans="1:14" s="32" customFormat="1" hidden="1" x14ac:dyDescent="0.3">
      <c r="A627" s="38">
        <v>46225.56459490741</v>
      </c>
      <c r="B627" s="32">
        <v>62994546858</v>
      </c>
      <c r="C627" s="32" t="s">
        <v>49</v>
      </c>
      <c r="D627" s="32">
        <v>4431268225</v>
      </c>
      <c r="E627" s="32">
        <v>322</v>
      </c>
      <c r="F627" s="32">
        <v>296</v>
      </c>
      <c r="G627" s="32" t="s">
        <v>44</v>
      </c>
      <c r="H627" s="32" t="s">
        <v>688</v>
      </c>
      <c r="I627" s="32" t="s">
        <v>40</v>
      </c>
      <c r="J627" s="32" t="s">
        <v>46</v>
      </c>
      <c r="K627" s="32" t="s">
        <v>42</v>
      </c>
      <c r="M627" s="32" t="s">
        <v>51</v>
      </c>
      <c r="N627" s="32" t="s">
        <v>49</v>
      </c>
    </row>
    <row r="628" spans="1:14" s="32" customFormat="1" hidden="1" x14ac:dyDescent="0.3">
      <c r="A628" s="38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38</v>
      </c>
      <c r="H628" s="32" t="s">
        <v>689</v>
      </c>
      <c r="I628" s="32" t="s">
        <v>40</v>
      </c>
      <c r="J628" s="32" t="s">
        <v>41</v>
      </c>
    </row>
    <row r="629" spans="1:14" s="32" customFormat="1" hidden="1" x14ac:dyDescent="0.3">
      <c r="A629" s="38">
        <v>46225.556840277779</v>
      </c>
      <c r="B629" s="32" t="s">
        <v>49</v>
      </c>
      <c r="C629" s="32">
        <v>62994546858</v>
      </c>
      <c r="E629" s="32">
        <v>30</v>
      </c>
      <c r="F629" s="32">
        <v>13</v>
      </c>
      <c r="G629" s="32" t="s">
        <v>44</v>
      </c>
      <c r="H629" s="32" t="s">
        <v>690</v>
      </c>
      <c r="I629" s="32" t="s">
        <v>54</v>
      </c>
      <c r="J629" s="32" t="s">
        <v>46</v>
      </c>
      <c r="M629" s="32" t="s">
        <v>51</v>
      </c>
      <c r="N629" s="32" t="s">
        <v>49</v>
      </c>
    </row>
    <row r="630" spans="1:14" s="32" customFormat="1" hidden="1" x14ac:dyDescent="0.3">
      <c r="A630" s="38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38</v>
      </c>
      <c r="H630" s="32" t="s">
        <v>691</v>
      </c>
      <c r="I630" s="32" t="s">
        <v>40</v>
      </c>
      <c r="J630" s="32" t="s">
        <v>41</v>
      </c>
    </row>
    <row r="631" spans="1:14" s="32" customFormat="1" hidden="1" x14ac:dyDescent="0.3">
      <c r="A631" s="38">
        <v>46225.496736111112</v>
      </c>
      <c r="B631" s="32">
        <v>62994546858</v>
      </c>
      <c r="C631" s="32" t="s">
        <v>49</v>
      </c>
      <c r="D631" s="32">
        <v>4431268225</v>
      </c>
      <c r="E631" s="32">
        <v>335</v>
      </c>
      <c r="F631" s="32">
        <v>298</v>
      </c>
      <c r="G631" s="32" t="s">
        <v>44</v>
      </c>
      <c r="H631" s="32" t="s">
        <v>692</v>
      </c>
      <c r="I631" s="32" t="s">
        <v>40</v>
      </c>
      <c r="J631" s="32" t="s">
        <v>46</v>
      </c>
      <c r="K631" s="32" t="s">
        <v>42</v>
      </c>
      <c r="M631" s="32" t="s">
        <v>51</v>
      </c>
      <c r="N631" s="32" t="s">
        <v>49</v>
      </c>
    </row>
    <row r="632" spans="1:14" s="32" customFormat="1" hidden="1" x14ac:dyDescent="0.3">
      <c r="A632" s="38">
        <v>46225.495891203704</v>
      </c>
      <c r="B632" s="32" t="s">
        <v>379</v>
      </c>
      <c r="C632" s="32" t="s">
        <v>207</v>
      </c>
      <c r="E632" s="32">
        <v>156</v>
      </c>
      <c r="F632" s="32">
        <v>151</v>
      </c>
      <c r="G632" s="32" t="s">
        <v>44</v>
      </c>
      <c r="H632" s="32" t="s">
        <v>693</v>
      </c>
      <c r="I632" s="32" t="s">
        <v>694</v>
      </c>
      <c r="J632" s="32" t="s">
        <v>111</v>
      </c>
      <c r="M632" s="32" t="s">
        <v>381</v>
      </c>
      <c r="N632" s="32" t="s">
        <v>379</v>
      </c>
    </row>
    <row r="633" spans="1:14" s="32" customFormat="1" hidden="1" x14ac:dyDescent="0.3">
      <c r="A633" s="38">
        <v>46225.494791666664</v>
      </c>
      <c r="B633" s="32" t="s">
        <v>207</v>
      </c>
      <c r="C633" s="32">
        <v>4440048080</v>
      </c>
      <c r="E633" s="32">
        <v>85</v>
      </c>
      <c r="F633" s="32">
        <v>83</v>
      </c>
      <c r="G633" s="32" t="s">
        <v>44</v>
      </c>
      <c r="H633" s="32" t="s">
        <v>695</v>
      </c>
      <c r="I633" s="32" t="s">
        <v>54</v>
      </c>
      <c r="J633" s="32" t="s">
        <v>111</v>
      </c>
      <c r="M633" s="32" t="s">
        <v>209</v>
      </c>
      <c r="N633" s="32" t="s">
        <v>207</v>
      </c>
    </row>
    <row r="634" spans="1:14" s="32" customFormat="1" hidden="1" x14ac:dyDescent="0.3">
      <c r="A634" s="38">
        <v>46225.489895833336</v>
      </c>
      <c r="B634" s="32" t="s">
        <v>109</v>
      </c>
      <c r="C634" s="32">
        <v>62986261366</v>
      </c>
      <c r="E634" s="32">
        <v>8</v>
      </c>
      <c r="F634" s="32">
        <v>1</v>
      </c>
      <c r="G634" s="32" t="s">
        <v>44</v>
      </c>
      <c r="H634" s="32" t="s">
        <v>696</v>
      </c>
      <c r="I634" s="32" t="s">
        <v>54</v>
      </c>
      <c r="J634" s="32" t="s">
        <v>111</v>
      </c>
      <c r="M634" s="32" t="s">
        <v>112</v>
      </c>
      <c r="N634" s="32" t="s">
        <v>109</v>
      </c>
    </row>
    <row r="635" spans="1:14" s="32" customFormat="1" hidden="1" x14ac:dyDescent="0.3">
      <c r="A635" s="38">
        <v>46225.484409722223</v>
      </c>
      <c r="B635" s="32" t="s">
        <v>109</v>
      </c>
      <c r="C635" s="32">
        <v>48991419713</v>
      </c>
      <c r="E635" s="32">
        <v>8</v>
      </c>
      <c r="F635" s="32">
        <v>2</v>
      </c>
      <c r="G635" s="32" t="s">
        <v>44</v>
      </c>
      <c r="H635" s="32" t="s">
        <v>697</v>
      </c>
      <c r="I635" s="32" t="s">
        <v>54</v>
      </c>
      <c r="J635" s="32" t="s">
        <v>111</v>
      </c>
      <c r="M635" s="32" t="s">
        <v>112</v>
      </c>
      <c r="N635" s="32" t="s">
        <v>109</v>
      </c>
    </row>
    <row r="636" spans="1:14" s="32" customFormat="1" hidden="1" x14ac:dyDescent="0.3">
      <c r="A636" s="38">
        <v>46225.467476851853</v>
      </c>
      <c r="B636" s="32">
        <v>44997400641</v>
      </c>
      <c r="C636" s="32" t="s">
        <v>49</v>
      </c>
      <c r="D636" s="32">
        <v>4430265054</v>
      </c>
      <c r="E636" s="32">
        <v>400</v>
      </c>
      <c r="F636" s="32">
        <v>309</v>
      </c>
      <c r="G636" s="32" t="s">
        <v>44</v>
      </c>
      <c r="H636" s="32" t="s">
        <v>698</v>
      </c>
      <c r="I636" s="32" t="s">
        <v>40</v>
      </c>
      <c r="J636" s="32" t="s">
        <v>46</v>
      </c>
      <c r="K636" s="32" t="s">
        <v>42</v>
      </c>
      <c r="M636" s="32" t="s">
        <v>51</v>
      </c>
      <c r="N636" s="32" t="s">
        <v>49</v>
      </c>
    </row>
    <row r="637" spans="1:14" s="32" customFormat="1" hidden="1" x14ac:dyDescent="0.3">
      <c r="A637" s="38">
        <v>46225.459976851853</v>
      </c>
      <c r="B637" s="32">
        <v>44999748684</v>
      </c>
      <c r="C637" s="32" t="s">
        <v>43</v>
      </c>
      <c r="D637" s="32">
        <v>4430265054</v>
      </c>
      <c r="E637" s="32">
        <v>399</v>
      </c>
      <c r="F637" s="32">
        <v>240</v>
      </c>
      <c r="G637" s="32" t="s">
        <v>44</v>
      </c>
      <c r="H637" s="32" t="s">
        <v>699</v>
      </c>
      <c r="I637" s="32" t="s">
        <v>40</v>
      </c>
      <c r="J637" s="32" t="s">
        <v>46</v>
      </c>
      <c r="K637" s="32" t="s">
        <v>42</v>
      </c>
      <c r="M637" s="32" t="s">
        <v>47</v>
      </c>
      <c r="N637" s="32" t="s">
        <v>43</v>
      </c>
    </row>
    <row r="638" spans="1:14" s="32" customFormat="1" hidden="1" x14ac:dyDescent="0.3">
      <c r="A638" s="38">
        <v>46225.459780092591</v>
      </c>
      <c r="B638" s="32">
        <v>4133491428</v>
      </c>
      <c r="C638" s="32" t="s">
        <v>43</v>
      </c>
      <c r="D638" s="32">
        <v>4430265054</v>
      </c>
      <c r="E638" s="32">
        <v>153</v>
      </c>
      <c r="F638" s="32">
        <v>70</v>
      </c>
      <c r="G638" s="32" t="s">
        <v>44</v>
      </c>
      <c r="H638" s="32" t="s">
        <v>700</v>
      </c>
      <c r="I638" s="32" t="s">
        <v>40</v>
      </c>
      <c r="J638" s="32" t="s">
        <v>46</v>
      </c>
      <c r="K638" s="32" t="s">
        <v>42</v>
      </c>
      <c r="M638" s="32" t="s">
        <v>47</v>
      </c>
      <c r="N638" s="32" t="s">
        <v>43</v>
      </c>
    </row>
    <row r="639" spans="1:14" s="32" customFormat="1" hidden="1" x14ac:dyDescent="0.3">
      <c r="A639" s="38">
        <v>46225.458391203705</v>
      </c>
      <c r="B639" s="32">
        <v>1732146970</v>
      </c>
      <c r="C639" s="32" t="s">
        <v>58</v>
      </c>
      <c r="D639" s="32">
        <v>4431268225</v>
      </c>
      <c r="E639" s="32">
        <v>990</v>
      </c>
      <c r="F639" s="32">
        <v>967</v>
      </c>
      <c r="G639" s="32" t="s">
        <v>44</v>
      </c>
      <c r="H639" s="32" t="s">
        <v>701</v>
      </c>
      <c r="I639" s="32" t="s">
        <v>40</v>
      </c>
      <c r="J639" s="32" t="s">
        <v>46</v>
      </c>
      <c r="K639" s="32" t="s">
        <v>42</v>
      </c>
      <c r="M639" s="32" t="s">
        <v>60</v>
      </c>
      <c r="N639" s="32" t="s">
        <v>58</v>
      </c>
    </row>
    <row r="640" spans="1:14" s="32" customFormat="1" hidden="1" x14ac:dyDescent="0.3">
      <c r="A640" s="38">
        <v>46225.457187499997</v>
      </c>
      <c r="B640" s="32">
        <v>4432321232</v>
      </c>
      <c r="C640" s="32" t="s">
        <v>49</v>
      </c>
      <c r="D640" s="32">
        <v>4430265054</v>
      </c>
      <c r="E640" s="32">
        <v>416</v>
      </c>
      <c r="F640" s="32">
        <v>336</v>
      </c>
      <c r="G640" s="32" t="s">
        <v>44</v>
      </c>
      <c r="H640" s="32" t="s">
        <v>702</v>
      </c>
      <c r="I640" s="32" t="s">
        <v>40</v>
      </c>
      <c r="J640" s="32" t="s">
        <v>46</v>
      </c>
      <c r="K640" s="32" t="s">
        <v>42</v>
      </c>
      <c r="M640" s="32" t="s">
        <v>51</v>
      </c>
      <c r="N640" s="32" t="s">
        <v>49</v>
      </c>
    </row>
    <row r="641" spans="1:14" s="32" customFormat="1" hidden="1" x14ac:dyDescent="0.3">
      <c r="A641" s="38">
        <v>46225.456261574072</v>
      </c>
      <c r="B641" s="32">
        <v>44997270192</v>
      </c>
      <c r="C641" s="32" t="s">
        <v>207</v>
      </c>
      <c r="D641" s="32">
        <v>4430265054</v>
      </c>
      <c r="E641" s="32">
        <v>162</v>
      </c>
      <c r="F641" s="32">
        <v>132</v>
      </c>
      <c r="G641" s="32" t="s">
        <v>44</v>
      </c>
      <c r="H641" s="32" t="s">
        <v>703</v>
      </c>
      <c r="I641" s="32" t="s">
        <v>40</v>
      </c>
      <c r="J641" s="32" t="s">
        <v>111</v>
      </c>
      <c r="K641" s="32" t="s">
        <v>212</v>
      </c>
      <c r="M641" s="32" t="s">
        <v>209</v>
      </c>
      <c r="N641" s="32" t="s">
        <v>207</v>
      </c>
    </row>
    <row r="642" spans="1:14" s="32" customFormat="1" hidden="1" x14ac:dyDescent="0.3">
      <c r="A642" s="38">
        <v>46225.453298611108</v>
      </c>
      <c r="B642" s="32">
        <v>4435228300</v>
      </c>
      <c r="C642" s="32" t="s">
        <v>49</v>
      </c>
      <c r="D642" s="32">
        <v>4430265054</v>
      </c>
      <c r="E642" s="32">
        <v>182</v>
      </c>
      <c r="F642" s="32">
        <v>160</v>
      </c>
      <c r="G642" s="32" t="s">
        <v>44</v>
      </c>
      <c r="H642" s="32" t="s">
        <v>704</v>
      </c>
      <c r="I642" s="32" t="s">
        <v>40</v>
      </c>
      <c r="J642" s="32" t="s">
        <v>46</v>
      </c>
      <c r="K642" s="32" t="s">
        <v>42</v>
      </c>
      <c r="M642" s="32" t="s">
        <v>51</v>
      </c>
      <c r="N642" s="32" t="s">
        <v>49</v>
      </c>
    </row>
    <row r="643" spans="1:14" s="32" customFormat="1" hidden="1" x14ac:dyDescent="0.3">
      <c r="A643" s="38">
        <v>46225.452268518522</v>
      </c>
      <c r="B643" s="32">
        <v>44998045495</v>
      </c>
      <c r="C643" s="32" t="s">
        <v>58</v>
      </c>
      <c r="D643" s="32">
        <v>4430265054</v>
      </c>
      <c r="E643" s="32">
        <v>184</v>
      </c>
      <c r="F643" s="32">
        <v>142</v>
      </c>
      <c r="G643" s="32" t="s">
        <v>44</v>
      </c>
      <c r="H643" s="32" t="s">
        <v>705</v>
      </c>
      <c r="I643" s="32" t="s">
        <v>40</v>
      </c>
      <c r="J643" s="32" t="s">
        <v>46</v>
      </c>
      <c r="K643" s="32" t="s">
        <v>42</v>
      </c>
      <c r="M643" s="32" t="s">
        <v>60</v>
      </c>
      <c r="N643" s="32" t="s">
        <v>58</v>
      </c>
    </row>
    <row r="644" spans="1:14" s="32" customFormat="1" hidden="1" x14ac:dyDescent="0.3">
      <c r="A644" s="38">
        <v>46225.452233796299</v>
      </c>
      <c r="B644" s="32" t="s">
        <v>49</v>
      </c>
      <c r="C644" s="32">
        <v>4435226025</v>
      </c>
      <c r="E644" s="32">
        <v>44</v>
      </c>
      <c r="F644" s="32">
        <v>29</v>
      </c>
      <c r="G644" s="32" t="s">
        <v>44</v>
      </c>
      <c r="H644" s="32" t="s">
        <v>706</v>
      </c>
      <c r="I644" s="32" t="s">
        <v>54</v>
      </c>
      <c r="J644" s="32" t="s">
        <v>46</v>
      </c>
      <c r="M644" s="32" t="s">
        <v>51</v>
      </c>
      <c r="N644" s="32" t="s">
        <v>49</v>
      </c>
    </row>
    <row r="645" spans="1:14" s="32" customFormat="1" hidden="1" x14ac:dyDescent="0.3">
      <c r="A645" s="38">
        <v>46225.452175925922</v>
      </c>
      <c r="B645" s="32" t="s">
        <v>49</v>
      </c>
      <c r="C645" s="32">
        <v>4435226025</v>
      </c>
      <c r="E645" s="32">
        <v>14</v>
      </c>
      <c r="F645" s="32">
        <v>13</v>
      </c>
      <c r="G645" s="32" t="s">
        <v>44</v>
      </c>
      <c r="H645" s="32" t="s">
        <v>707</v>
      </c>
      <c r="I645" s="32" t="s">
        <v>54</v>
      </c>
      <c r="J645" s="32" t="s">
        <v>46</v>
      </c>
      <c r="M645" s="32" t="s">
        <v>51</v>
      </c>
      <c r="N645" s="32" t="s">
        <v>49</v>
      </c>
    </row>
    <row r="646" spans="1:14" s="32" customFormat="1" hidden="1" x14ac:dyDescent="0.3">
      <c r="A646" s="38">
        <v>46225.451597222222</v>
      </c>
      <c r="B646" s="32" t="s">
        <v>49</v>
      </c>
      <c r="C646" s="32">
        <v>4430459032</v>
      </c>
      <c r="E646" s="32">
        <v>6</v>
      </c>
      <c r="F646" s="32">
        <v>0</v>
      </c>
      <c r="G646" s="32" t="s">
        <v>63</v>
      </c>
      <c r="H646" s="32" t="s">
        <v>708</v>
      </c>
      <c r="I646" s="32" t="s">
        <v>54</v>
      </c>
      <c r="J646" s="32" t="s">
        <v>46</v>
      </c>
      <c r="M646" s="32" t="s">
        <v>51</v>
      </c>
      <c r="N646" s="32" t="s">
        <v>49</v>
      </c>
    </row>
    <row r="647" spans="1:14" s="32" customFormat="1" hidden="1" x14ac:dyDescent="0.3">
      <c r="A647" s="38">
        <v>46225.451527777775</v>
      </c>
      <c r="B647" s="32" t="s">
        <v>49</v>
      </c>
      <c r="C647" s="32">
        <v>4430459032</v>
      </c>
      <c r="E647" s="32">
        <v>14</v>
      </c>
      <c r="F647" s="32">
        <v>14</v>
      </c>
      <c r="G647" s="32" t="s">
        <v>44</v>
      </c>
      <c r="H647" s="32" t="s">
        <v>709</v>
      </c>
      <c r="I647" s="32" t="s">
        <v>54</v>
      </c>
      <c r="J647" s="32" t="s">
        <v>46</v>
      </c>
      <c r="M647" s="32" t="s">
        <v>51</v>
      </c>
      <c r="N647" s="32" t="s">
        <v>49</v>
      </c>
    </row>
    <row r="648" spans="1:14" s="32" customFormat="1" hidden="1" x14ac:dyDescent="0.3">
      <c r="A648" s="38">
        <v>46225.444039351853</v>
      </c>
      <c r="B648" s="32">
        <v>4430459032</v>
      </c>
      <c r="C648" s="32" t="s">
        <v>49</v>
      </c>
      <c r="D648" s="32">
        <v>4430265054</v>
      </c>
      <c r="E648" s="32">
        <v>286</v>
      </c>
      <c r="F648" s="32">
        <v>221</v>
      </c>
      <c r="G648" s="32" t="s">
        <v>44</v>
      </c>
      <c r="H648" s="32" t="s">
        <v>710</v>
      </c>
      <c r="I648" s="32" t="s">
        <v>40</v>
      </c>
      <c r="J648" s="32" t="s">
        <v>46</v>
      </c>
      <c r="K648" s="32" t="s">
        <v>42</v>
      </c>
      <c r="M648" s="32" t="s">
        <v>51</v>
      </c>
      <c r="N648" s="32" t="s">
        <v>49</v>
      </c>
    </row>
    <row r="649" spans="1:14" s="32" customFormat="1" hidden="1" x14ac:dyDescent="0.3">
      <c r="A649" s="38">
        <v>46225.434976851851</v>
      </c>
      <c r="B649" s="32">
        <v>43999965552</v>
      </c>
      <c r="C649" s="32" t="s">
        <v>43</v>
      </c>
      <c r="D649" s="32">
        <v>4430265054</v>
      </c>
      <c r="E649" s="32">
        <v>2202</v>
      </c>
      <c r="F649" s="32">
        <v>2166</v>
      </c>
      <c r="G649" s="32" t="s">
        <v>44</v>
      </c>
      <c r="H649" s="32" t="s">
        <v>711</v>
      </c>
      <c r="I649" s="32" t="s">
        <v>40</v>
      </c>
      <c r="J649" s="32" t="s">
        <v>46</v>
      </c>
      <c r="K649" s="32" t="s">
        <v>42</v>
      </c>
      <c r="L649" s="32">
        <v>5</v>
      </c>
      <c r="M649" s="32" t="s">
        <v>47</v>
      </c>
      <c r="N649" s="32" t="s">
        <v>43</v>
      </c>
    </row>
    <row r="650" spans="1:14" s="32" customFormat="1" hidden="1" x14ac:dyDescent="0.3">
      <c r="A650" s="38">
        <v>46225.429560185185</v>
      </c>
      <c r="B650" s="32" t="s">
        <v>109</v>
      </c>
      <c r="C650" s="32">
        <v>8538784160</v>
      </c>
      <c r="E650" s="32">
        <v>10</v>
      </c>
      <c r="F650" s="32">
        <v>0</v>
      </c>
      <c r="G650" s="32" t="s">
        <v>63</v>
      </c>
      <c r="H650" s="32" t="s">
        <v>712</v>
      </c>
      <c r="I650" s="32" t="s">
        <v>54</v>
      </c>
      <c r="J650" s="32" t="s">
        <v>111</v>
      </c>
      <c r="M650" s="32" t="s">
        <v>112</v>
      </c>
      <c r="N650" s="32" t="s">
        <v>109</v>
      </c>
    </row>
    <row r="651" spans="1:14" s="32" customFormat="1" hidden="1" x14ac:dyDescent="0.3">
      <c r="A651" s="38">
        <v>46225.427372685182</v>
      </c>
      <c r="B651" s="32">
        <v>4435226025</v>
      </c>
      <c r="C651" s="32" t="s">
        <v>49</v>
      </c>
      <c r="D651" s="32">
        <v>4430265054</v>
      </c>
      <c r="E651" s="32">
        <v>964</v>
      </c>
      <c r="F651" s="32">
        <v>906</v>
      </c>
      <c r="G651" s="32" t="s">
        <v>44</v>
      </c>
      <c r="H651" s="32" t="s">
        <v>713</v>
      </c>
      <c r="I651" s="32" t="s">
        <v>40</v>
      </c>
      <c r="J651" s="32" t="s">
        <v>46</v>
      </c>
      <c r="K651" s="32" t="s">
        <v>42</v>
      </c>
      <c r="M651" s="32" t="s">
        <v>51</v>
      </c>
      <c r="N651" s="32" t="s">
        <v>49</v>
      </c>
    </row>
    <row r="652" spans="1:14" s="32" customFormat="1" hidden="1" x14ac:dyDescent="0.3">
      <c r="A652" s="38">
        <v>46225.427048611113</v>
      </c>
      <c r="B652" s="32" t="s">
        <v>109</v>
      </c>
      <c r="C652" s="32">
        <v>44999498157</v>
      </c>
      <c r="E652" s="32">
        <v>0</v>
      </c>
      <c r="F652" s="32">
        <v>0</v>
      </c>
      <c r="G652" s="32" t="s">
        <v>63</v>
      </c>
      <c r="H652" s="32" t="s">
        <v>714</v>
      </c>
      <c r="I652" s="32" t="s">
        <v>54</v>
      </c>
      <c r="J652" s="32" t="s">
        <v>111</v>
      </c>
      <c r="M652" s="32" t="s">
        <v>112</v>
      </c>
      <c r="N652" s="32" t="s">
        <v>109</v>
      </c>
    </row>
    <row r="653" spans="1:14" s="32" customFormat="1" hidden="1" x14ac:dyDescent="0.3">
      <c r="A653" s="38">
        <v>46225.424328703702</v>
      </c>
      <c r="B653" s="32">
        <v>1131043888</v>
      </c>
      <c r="C653" s="32" t="s">
        <v>58</v>
      </c>
      <c r="D653" s="32">
        <v>4430265054</v>
      </c>
      <c r="E653" s="32">
        <v>207</v>
      </c>
      <c r="F653" s="32">
        <v>206</v>
      </c>
      <c r="G653" s="32" t="s">
        <v>44</v>
      </c>
      <c r="H653" s="32" t="s">
        <v>715</v>
      </c>
      <c r="I653" s="32" t="s">
        <v>40</v>
      </c>
      <c r="J653" s="32" t="s">
        <v>46</v>
      </c>
      <c r="K653" s="32" t="s">
        <v>42</v>
      </c>
      <c r="L653" s="32">
        <v>5</v>
      </c>
      <c r="M653" s="32" t="s">
        <v>60</v>
      </c>
      <c r="N653" s="32" t="s">
        <v>58</v>
      </c>
    </row>
    <row r="654" spans="1:14" s="32" customFormat="1" hidden="1" x14ac:dyDescent="0.3">
      <c r="A654" s="38">
        <v>46225.421840277777</v>
      </c>
      <c r="B654" s="32">
        <v>44997400641</v>
      </c>
      <c r="C654" s="32" t="s">
        <v>43</v>
      </c>
      <c r="D654" s="32">
        <v>4430265054</v>
      </c>
      <c r="E654" s="32">
        <v>516</v>
      </c>
      <c r="F654" s="32">
        <v>424</v>
      </c>
      <c r="G654" s="32" t="s">
        <v>44</v>
      </c>
      <c r="H654" s="32" t="s">
        <v>716</v>
      </c>
      <c r="I654" s="32" t="s">
        <v>40</v>
      </c>
      <c r="J654" s="32" t="s">
        <v>46</v>
      </c>
      <c r="K654" s="32" t="s">
        <v>42</v>
      </c>
      <c r="M654" s="32" t="s">
        <v>47</v>
      </c>
      <c r="N654" s="32" t="s">
        <v>43</v>
      </c>
    </row>
    <row r="655" spans="1:14" s="32" customFormat="1" hidden="1" x14ac:dyDescent="0.3">
      <c r="A655" s="38">
        <v>46225.408310185187</v>
      </c>
      <c r="B655" s="32">
        <v>4435228300</v>
      </c>
      <c r="C655" s="32" t="s">
        <v>43</v>
      </c>
      <c r="D655" s="32">
        <v>4430265054</v>
      </c>
      <c r="E655" s="32">
        <v>323</v>
      </c>
      <c r="F655" s="32">
        <v>304</v>
      </c>
      <c r="G655" s="32" t="s">
        <v>44</v>
      </c>
      <c r="H655" s="32" t="s">
        <v>717</v>
      </c>
      <c r="I655" s="32" t="s">
        <v>40</v>
      </c>
      <c r="J655" s="32" t="s">
        <v>46</v>
      </c>
      <c r="K655" s="32" t="s">
        <v>42</v>
      </c>
      <c r="M655" s="32" t="s">
        <v>47</v>
      </c>
      <c r="N655" s="32" t="s">
        <v>43</v>
      </c>
    </row>
    <row r="656" spans="1:14" s="32" customFormat="1" hidden="1" x14ac:dyDescent="0.3">
      <c r="A656" s="38">
        <v>46225.402997685182</v>
      </c>
      <c r="B656" s="32">
        <v>77999250878</v>
      </c>
      <c r="C656" s="32" t="s">
        <v>43</v>
      </c>
      <c r="D656" s="32">
        <v>4430265054</v>
      </c>
      <c r="E656" s="32">
        <v>249</v>
      </c>
      <c r="F656" s="32">
        <v>220</v>
      </c>
      <c r="G656" s="32" t="s">
        <v>44</v>
      </c>
      <c r="H656" s="32" t="s">
        <v>718</v>
      </c>
      <c r="I656" s="32" t="s">
        <v>40</v>
      </c>
      <c r="J656" s="32" t="s">
        <v>46</v>
      </c>
      <c r="K656" s="32" t="s">
        <v>42</v>
      </c>
      <c r="L656" s="32">
        <v>5</v>
      </c>
      <c r="M656" s="32" t="s">
        <v>47</v>
      </c>
      <c r="N656" s="32" t="s">
        <v>43</v>
      </c>
    </row>
    <row r="657" spans="1:14" s="32" customFormat="1" hidden="1" x14ac:dyDescent="0.3">
      <c r="A657" s="38">
        <v>46225.397673611114</v>
      </c>
      <c r="B657" s="32" t="s">
        <v>43</v>
      </c>
      <c r="C657" s="32">
        <v>4434231198</v>
      </c>
      <c r="E657" s="32">
        <v>446</v>
      </c>
      <c r="F657" s="32">
        <v>441</v>
      </c>
      <c r="G657" s="32" t="s">
        <v>44</v>
      </c>
      <c r="H657" s="32" t="s">
        <v>719</v>
      </c>
      <c r="I657" s="32" t="s">
        <v>54</v>
      </c>
      <c r="J657" s="32" t="s">
        <v>46</v>
      </c>
      <c r="M657" s="32" t="s">
        <v>47</v>
      </c>
      <c r="N657" s="32" t="s">
        <v>43</v>
      </c>
    </row>
    <row r="658" spans="1:14" s="32" customFormat="1" hidden="1" x14ac:dyDescent="0.3">
      <c r="A658" s="38">
        <v>46225.397615740738</v>
      </c>
      <c r="B658" s="32" t="s">
        <v>43</v>
      </c>
      <c r="C658" s="32">
        <v>4434231198</v>
      </c>
      <c r="E658" s="32">
        <v>14</v>
      </c>
      <c r="F658" s="32">
        <v>13</v>
      </c>
      <c r="G658" s="32" t="s">
        <v>44</v>
      </c>
      <c r="H658" s="32" t="s">
        <v>720</v>
      </c>
      <c r="I658" s="32" t="s">
        <v>54</v>
      </c>
      <c r="J658" s="32" t="s">
        <v>46</v>
      </c>
      <c r="M658" s="32" t="s">
        <v>47</v>
      </c>
      <c r="N658" s="32" t="s">
        <v>43</v>
      </c>
    </row>
    <row r="659" spans="1:14" s="32" customFormat="1" hidden="1" x14ac:dyDescent="0.3">
      <c r="A659" s="38">
        <v>46225.396296296298</v>
      </c>
      <c r="B659" s="32" t="s">
        <v>49</v>
      </c>
      <c r="C659" s="32">
        <v>1732146970</v>
      </c>
      <c r="E659" s="32">
        <v>1143</v>
      </c>
      <c r="F659" s="32">
        <v>1141</v>
      </c>
      <c r="G659" s="32" t="s">
        <v>44</v>
      </c>
      <c r="H659" s="32" t="s">
        <v>721</v>
      </c>
      <c r="I659" s="32" t="s">
        <v>54</v>
      </c>
      <c r="J659" s="32" t="s">
        <v>46</v>
      </c>
      <c r="M659" s="32" t="s">
        <v>51</v>
      </c>
      <c r="N659" s="32" t="s">
        <v>49</v>
      </c>
    </row>
    <row r="660" spans="1:14" s="32" customFormat="1" hidden="1" x14ac:dyDescent="0.3">
      <c r="A660" s="38">
        <v>46225.390509259261</v>
      </c>
      <c r="B660" s="32" t="s">
        <v>379</v>
      </c>
      <c r="C660" s="32" t="s">
        <v>207</v>
      </c>
      <c r="E660" s="32">
        <v>5</v>
      </c>
      <c r="F660" s="32">
        <v>0</v>
      </c>
      <c r="G660" s="32" t="s">
        <v>63</v>
      </c>
      <c r="H660" s="32" t="s">
        <v>722</v>
      </c>
      <c r="I660" s="32" t="s">
        <v>694</v>
      </c>
      <c r="J660" s="32" t="s">
        <v>111</v>
      </c>
      <c r="M660" s="32" t="s">
        <v>381</v>
      </c>
      <c r="N660" s="32" t="s">
        <v>379</v>
      </c>
    </row>
    <row r="661" spans="1:14" s="32" customFormat="1" hidden="1" x14ac:dyDescent="0.3">
      <c r="A661" s="38">
        <v>46225.389965277776</v>
      </c>
      <c r="B661" s="32" t="s">
        <v>379</v>
      </c>
      <c r="C661" s="32" t="s">
        <v>207</v>
      </c>
      <c r="E661" s="32">
        <v>2</v>
      </c>
      <c r="F661" s="32">
        <v>0</v>
      </c>
      <c r="G661" s="32" t="s">
        <v>63</v>
      </c>
      <c r="H661" s="32" t="s">
        <v>723</v>
      </c>
      <c r="I661" s="32" t="s">
        <v>694</v>
      </c>
      <c r="J661" s="32" t="s">
        <v>111</v>
      </c>
      <c r="M661" s="32" t="s">
        <v>381</v>
      </c>
      <c r="N661" s="32" t="s">
        <v>379</v>
      </c>
    </row>
    <row r="662" spans="1:14" s="32" customFormat="1" hidden="1" x14ac:dyDescent="0.3">
      <c r="A662" s="38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38</v>
      </c>
      <c r="H662" s="32" t="s">
        <v>724</v>
      </c>
      <c r="I662" s="32" t="s">
        <v>40</v>
      </c>
      <c r="J662" s="32" t="s">
        <v>41</v>
      </c>
      <c r="K662" s="32" t="s">
        <v>42</v>
      </c>
    </row>
    <row r="663" spans="1:14" s="32" customFormat="1" hidden="1" x14ac:dyDescent="0.3">
      <c r="A663" s="38">
        <v>46225.380381944444</v>
      </c>
      <c r="B663" s="32">
        <v>73982188717</v>
      </c>
      <c r="C663" s="32" t="s">
        <v>58</v>
      </c>
      <c r="D663" s="32">
        <v>4430265054</v>
      </c>
      <c r="E663" s="32">
        <v>449</v>
      </c>
      <c r="F663" s="32">
        <v>196</v>
      </c>
      <c r="G663" s="32" t="s">
        <v>44</v>
      </c>
      <c r="H663" s="32" t="s">
        <v>725</v>
      </c>
      <c r="I663" s="32" t="s">
        <v>40</v>
      </c>
      <c r="J663" s="32" t="s">
        <v>46</v>
      </c>
      <c r="K663" s="32" t="s">
        <v>42</v>
      </c>
      <c r="M663" s="32" t="s">
        <v>60</v>
      </c>
      <c r="N663" s="32" t="s">
        <v>58</v>
      </c>
    </row>
    <row r="664" spans="1:14" s="32" customFormat="1" hidden="1" x14ac:dyDescent="0.3">
      <c r="A664" s="38">
        <v>46225.374305555553</v>
      </c>
      <c r="B664" s="32">
        <v>4430315826</v>
      </c>
      <c r="C664" s="32" t="s">
        <v>49</v>
      </c>
      <c r="D664" s="32">
        <v>4430265054</v>
      </c>
      <c r="E664" s="32">
        <v>934</v>
      </c>
      <c r="F664" s="32">
        <v>853</v>
      </c>
      <c r="G664" s="32" t="s">
        <v>44</v>
      </c>
      <c r="H664" s="32" t="s">
        <v>726</v>
      </c>
      <c r="I664" s="32" t="s">
        <v>40</v>
      </c>
      <c r="J664" s="32" t="s">
        <v>46</v>
      </c>
      <c r="K664" s="32" t="s">
        <v>42</v>
      </c>
      <c r="M664" s="32" t="s">
        <v>51</v>
      </c>
      <c r="N664" s="32" t="s">
        <v>49</v>
      </c>
    </row>
    <row r="665" spans="1:14" s="32" customFormat="1" hidden="1" x14ac:dyDescent="0.3">
      <c r="A665" s="38">
        <v>46225.364131944443</v>
      </c>
      <c r="B665" s="32">
        <v>4434231198</v>
      </c>
      <c r="C665" s="32" t="s">
        <v>43</v>
      </c>
      <c r="D665" s="32">
        <v>4430265054</v>
      </c>
      <c r="E665" s="32">
        <v>2261</v>
      </c>
      <c r="F665" s="32">
        <v>2183</v>
      </c>
      <c r="G665" s="32" t="s">
        <v>44</v>
      </c>
      <c r="H665" s="32" t="s">
        <v>727</v>
      </c>
      <c r="I665" s="32" t="s">
        <v>40</v>
      </c>
      <c r="J665" s="32" t="s">
        <v>46</v>
      </c>
      <c r="K665" s="32" t="s">
        <v>42</v>
      </c>
      <c r="M665" s="32" t="s">
        <v>47</v>
      </c>
      <c r="N665" s="32" t="s">
        <v>43</v>
      </c>
    </row>
    <row r="666" spans="1:14" s="32" customFormat="1" hidden="1" x14ac:dyDescent="0.3">
      <c r="A666" s="38">
        <v>46225.357233796298</v>
      </c>
      <c r="B666" s="32">
        <v>1732146970</v>
      </c>
      <c r="C666" s="32" t="s">
        <v>49</v>
      </c>
      <c r="D666" s="32">
        <v>4431268225</v>
      </c>
      <c r="E666" s="32">
        <v>243</v>
      </c>
      <c r="F666" s="32">
        <v>120</v>
      </c>
      <c r="G666" s="32" t="s">
        <v>44</v>
      </c>
      <c r="H666" s="32" t="s">
        <v>728</v>
      </c>
      <c r="I666" s="32" t="s">
        <v>40</v>
      </c>
      <c r="J666" s="32" t="s">
        <v>46</v>
      </c>
      <c r="K666" s="32" t="s">
        <v>42</v>
      </c>
      <c r="M666" s="32" t="s">
        <v>51</v>
      </c>
      <c r="N666" s="32" t="s">
        <v>49</v>
      </c>
    </row>
    <row r="667" spans="1:14" s="32" customFormat="1" hidden="1" x14ac:dyDescent="0.3">
      <c r="A667" s="38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38</v>
      </c>
      <c r="H667" s="32" t="s">
        <v>729</v>
      </c>
      <c r="I667" s="32" t="s">
        <v>40</v>
      </c>
      <c r="J667" s="32" t="s">
        <v>41</v>
      </c>
    </row>
    <row r="668" spans="1:14" s="32" customFormat="1" hidden="1" x14ac:dyDescent="0.3">
      <c r="A668" s="38">
        <v>46224.733587962961</v>
      </c>
      <c r="B668" s="32">
        <v>11989293711</v>
      </c>
      <c r="C668" s="32" t="s">
        <v>43</v>
      </c>
      <c r="D668" s="32">
        <v>4430265054</v>
      </c>
      <c r="E668" s="32">
        <v>505</v>
      </c>
      <c r="F668" s="32">
        <v>487</v>
      </c>
      <c r="G668" s="32" t="s">
        <v>44</v>
      </c>
      <c r="H668" s="32" t="s">
        <v>730</v>
      </c>
      <c r="I668" s="32" t="s">
        <v>40</v>
      </c>
      <c r="J668" s="32" t="s">
        <v>46</v>
      </c>
      <c r="K668" s="32" t="s">
        <v>42</v>
      </c>
      <c r="L668" s="32">
        <v>5</v>
      </c>
      <c r="M668" s="32" t="s">
        <v>47</v>
      </c>
      <c r="N668" s="32" t="s">
        <v>43</v>
      </c>
    </row>
    <row r="669" spans="1:14" s="32" customFormat="1" hidden="1" x14ac:dyDescent="0.3">
      <c r="A669" s="38">
        <v>46224.728078703702</v>
      </c>
      <c r="B669" s="32">
        <v>44988067937</v>
      </c>
      <c r="C669" s="32" t="s">
        <v>58</v>
      </c>
      <c r="D669" s="32">
        <v>4430265054</v>
      </c>
      <c r="E669" s="32">
        <v>317</v>
      </c>
      <c r="F669" s="32">
        <v>316</v>
      </c>
      <c r="G669" s="32" t="s">
        <v>44</v>
      </c>
      <c r="H669" s="32" t="s">
        <v>731</v>
      </c>
      <c r="I669" s="32" t="s">
        <v>40</v>
      </c>
      <c r="J669" s="32" t="s">
        <v>46</v>
      </c>
      <c r="K669" s="32" t="s">
        <v>42</v>
      </c>
      <c r="M669" s="32" t="s">
        <v>60</v>
      </c>
      <c r="N669" s="32" t="s">
        <v>58</v>
      </c>
    </row>
    <row r="670" spans="1:14" s="32" customFormat="1" hidden="1" x14ac:dyDescent="0.3">
      <c r="A670" s="38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38</v>
      </c>
      <c r="H670" s="32" t="s">
        <v>732</v>
      </c>
      <c r="I670" s="32" t="s">
        <v>40</v>
      </c>
      <c r="J670" s="32" t="s">
        <v>41</v>
      </c>
      <c r="K670" s="32" t="s">
        <v>212</v>
      </c>
    </row>
    <row r="671" spans="1:14" s="32" customFormat="1" hidden="1" x14ac:dyDescent="0.3">
      <c r="A671" s="38">
        <v>46224.723599537036</v>
      </c>
      <c r="B671" s="32" t="s">
        <v>58</v>
      </c>
      <c r="C671" s="32">
        <v>4434231198</v>
      </c>
      <c r="E671" s="32">
        <v>196</v>
      </c>
      <c r="F671" s="32">
        <v>191</v>
      </c>
      <c r="G671" s="32" t="s">
        <v>44</v>
      </c>
      <c r="H671" s="32" t="s">
        <v>733</v>
      </c>
      <c r="I671" s="32" t="s">
        <v>54</v>
      </c>
      <c r="J671" s="32" t="s">
        <v>46</v>
      </c>
      <c r="M671" s="32" t="s">
        <v>60</v>
      </c>
      <c r="N671" s="32" t="s">
        <v>58</v>
      </c>
    </row>
    <row r="672" spans="1:14" s="32" customFormat="1" hidden="1" x14ac:dyDescent="0.3">
      <c r="A672" s="38">
        <v>46224.723240740743</v>
      </c>
      <c r="B672" s="32">
        <v>1128897100</v>
      </c>
      <c r="C672" s="32" t="s">
        <v>43</v>
      </c>
      <c r="D672" s="32">
        <v>4430265054</v>
      </c>
      <c r="E672" s="32">
        <v>135</v>
      </c>
      <c r="F672" s="32">
        <v>101</v>
      </c>
      <c r="G672" s="32" t="s">
        <v>44</v>
      </c>
      <c r="H672" s="32" t="s">
        <v>734</v>
      </c>
      <c r="I672" s="32" t="s">
        <v>40</v>
      </c>
      <c r="J672" s="32" t="s">
        <v>46</v>
      </c>
      <c r="K672" s="32" t="s">
        <v>42</v>
      </c>
      <c r="M672" s="32" t="s">
        <v>47</v>
      </c>
      <c r="N672" s="32" t="s">
        <v>43</v>
      </c>
    </row>
    <row r="673" spans="1:14" s="32" customFormat="1" hidden="1" x14ac:dyDescent="0.3">
      <c r="A673" s="38">
        <v>46224.717326388891</v>
      </c>
      <c r="B673" s="32">
        <v>4432325260</v>
      </c>
      <c r="C673" s="32" t="s">
        <v>49</v>
      </c>
      <c r="D673" s="32">
        <v>4430265054</v>
      </c>
      <c r="E673" s="32">
        <v>282</v>
      </c>
      <c r="F673" s="32">
        <v>247</v>
      </c>
      <c r="G673" s="32" t="s">
        <v>44</v>
      </c>
      <c r="H673" s="32" t="s">
        <v>735</v>
      </c>
      <c r="I673" s="32" t="s">
        <v>40</v>
      </c>
      <c r="J673" s="32" t="s">
        <v>46</v>
      </c>
      <c r="K673" s="32" t="s">
        <v>42</v>
      </c>
      <c r="M673" s="32" t="s">
        <v>51</v>
      </c>
      <c r="N673" s="32" t="s">
        <v>49</v>
      </c>
    </row>
    <row r="674" spans="1:14" s="32" customFormat="1" hidden="1" x14ac:dyDescent="0.3">
      <c r="A674" s="38">
        <v>46224.711481481485</v>
      </c>
      <c r="B674" s="32">
        <v>4430451163</v>
      </c>
      <c r="C674" s="32" t="s">
        <v>58</v>
      </c>
      <c r="D674" s="32">
        <v>4430265054</v>
      </c>
      <c r="E674" s="32">
        <v>243</v>
      </c>
      <c r="F674" s="32">
        <v>242</v>
      </c>
      <c r="G674" s="32" t="s">
        <v>44</v>
      </c>
      <c r="H674" s="32" t="s">
        <v>736</v>
      </c>
      <c r="I674" s="32" t="s">
        <v>40</v>
      </c>
      <c r="J674" s="32" t="s">
        <v>46</v>
      </c>
      <c r="K674" s="32" t="s">
        <v>42</v>
      </c>
      <c r="M674" s="32" t="s">
        <v>60</v>
      </c>
      <c r="N674" s="32" t="s">
        <v>58</v>
      </c>
    </row>
    <row r="675" spans="1:14" s="32" customFormat="1" hidden="1" x14ac:dyDescent="0.3">
      <c r="A675" s="38">
        <v>46224.705439814818</v>
      </c>
      <c r="B675" s="32" t="s">
        <v>207</v>
      </c>
      <c r="C675" s="32">
        <v>4432226677</v>
      </c>
      <c r="E675" s="32">
        <v>235</v>
      </c>
      <c r="F675" s="32">
        <v>218</v>
      </c>
      <c r="G675" s="32" t="s">
        <v>44</v>
      </c>
      <c r="H675" s="32" t="s">
        <v>737</v>
      </c>
      <c r="I675" s="32" t="s">
        <v>54</v>
      </c>
      <c r="J675" s="32" t="s">
        <v>111</v>
      </c>
      <c r="M675" s="32" t="s">
        <v>209</v>
      </c>
      <c r="N675" s="32" t="s">
        <v>207</v>
      </c>
    </row>
    <row r="676" spans="1:14" s="32" customFormat="1" hidden="1" x14ac:dyDescent="0.3">
      <c r="A676" s="38">
        <v>46224.705185185187</v>
      </c>
      <c r="B676" s="32" t="s">
        <v>207</v>
      </c>
      <c r="C676" s="32">
        <v>44999807675</v>
      </c>
      <c r="E676" s="32">
        <v>9</v>
      </c>
      <c r="F676" s="32">
        <v>0</v>
      </c>
      <c r="G676" s="32" t="s">
        <v>44</v>
      </c>
      <c r="H676" s="32" t="s">
        <v>738</v>
      </c>
      <c r="I676" s="32" t="s">
        <v>54</v>
      </c>
      <c r="J676" s="32" t="s">
        <v>111</v>
      </c>
      <c r="M676" s="32" t="s">
        <v>209</v>
      </c>
      <c r="N676" s="32" t="s">
        <v>207</v>
      </c>
    </row>
    <row r="677" spans="1:14" s="32" customFormat="1" hidden="1" x14ac:dyDescent="0.3">
      <c r="A677" s="38">
        <v>46224.700069444443</v>
      </c>
      <c r="B677" s="32" t="s">
        <v>85</v>
      </c>
      <c r="C677" s="32">
        <v>1732146970</v>
      </c>
      <c r="E677" s="32">
        <v>485</v>
      </c>
      <c r="F677" s="32">
        <v>483</v>
      </c>
      <c r="G677" s="32" t="s">
        <v>44</v>
      </c>
      <c r="H677" s="32" t="s">
        <v>739</v>
      </c>
      <c r="I677" s="32" t="s">
        <v>54</v>
      </c>
      <c r="J677" s="32" t="s">
        <v>41</v>
      </c>
      <c r="M677" s="32" t="s">
        <v>87</v>
      </c>
      <c r="N677" s="32" t="s">
        <v>85</v>
      </c>
    </row>
    <row r="678" spans="1:14" s="32" customFormat="1" hidden="1" x14ac:dyDescent="0.3">
      <c r="A678" s="38">
        <v>46224.695173611108</v>
      </c>
      <c r="B678" s="32">
        <v>43991690403</v>
      </c>
      <c r="C678" s="32" t="s">
        <v>43</v>
      </c>
      <c r="D678" s="32">
        <v>4430265054</v>
      </c>
      <c r="E678" s="32">
        <v>205</v>
      </c>
      <c r="F678" s="32">
        <v>169</v>
      </c>
      <c r="G678" s="32" t="s">
        <v>44</v>
      </c>
      <c r="H678" s="32" t="s">
        <v>740</v>
      </c>
      <c r="I678" s="32" t="s">
        <v>40</v>
      </c>
      <c r="J678" s="32" t="s">
        <v>46</v>
      </c>
      <c r="K678" s="32" t="s">
        <v>42</v>
      </c>
      <c r="M678" s="32" t="s">
        <v>47</v>
      </c>
      <c r="N678" s="32" t="s">
        <v>43</v>
      </c>
    </row>
    <row r="679" spans="1:14" s="32" customFormat="1" x14ac:dyDescent="0.3">
      <c r="A679" s="38">
        <v>46224.693287037036</v>
      </c>
      <c r="B679" s="32">
        <v>93984112869</v>
      </c>
      <c r="C679" s="32" t="s">
        <v>49</v>
      </c>
      <c r="D679" s="32">
        <v>4431268225</v>
      </c>
      <c r="E679" s="32">
        <v>802</v>
      </c>
      <c r="F679" s="32">
        <v>706</v>
      </c>
      <c r="G679" s="32" t="s">
        <v>44</v>
      </c>
      <c r="H679" s="32" t="s">
        <v>741</v>
      </c>
      <c r="I679" s="32" t="s">
        <v>40</v>
      </c>
      <c r="J679" s="32" t="s">
        <v>46</v>
      </c>
      <c r="K679" s="32" t="s">
        <v>42</v>
      </c>
      <c r="L679" s="32">
        <v>5</v>
      </c>
      <c r="M679" s="32" t="s">
        <v>51</v>
      </c>
      <c r="N679" s="32" t="s">
        <v>49</v>
      </c>
    </row>
    <row r="680" spans="1:14" s="32" customFormat="1" hidden="1" x14ac:dyDescent="0.3">
      <c r="A680" s="38">
        <v>46224.685011574074</v>
      </c>
      <c r="B680" s="32">
        <v>4436281154</v>
      </c>
      <c r="C680" s="32" t="s">
        <v>49</v>
      </c>
      <c r="D680" s="32">
        <v>4430265054</v>
      </c>
      <c r="E680" s="32">
        <v>204</v>
      </c>
      <c r="F680" s="32">
        <v>164</v>
      </c>
      <c r="G680" s="32" t="s">
        <v>44</v>
      </c>
      <c r="H680" s="32" t="s">
        <v>742</v>
      </c>
      <c r="I680" s="32" t="s">
        <v>40</v>
      </c>
      <c r="J680" s="32" t="s">
        <v>46</v>
      </c>
      <c r="K680" s="32" t="s">
        <v>42</v>
      </c>
      <c r="M680" s="32" t="s">
        <v>51</v>
      </c>
      <c r="N680" s="32" t="s">
        <v>49</v>
      </c>
    </row>
    <row r="681" spans="1:14" s="32" customFormat="1" hidden="1" x14ac:dyDescent="0.3">
      <c r="A681" s="38">
        <v>46224.682893518519</v>
      </c>
      <c r="B681" s="32">
        <v>14997225372</v>
      </c>
      <c r="C681" s="32" t="s">
        <v>43</v>
      </c>
      <c r="D681" s="32">
        <v>4430265054</v>
      </c>
      <c r="E681" s="32">
        <v>619</v>
      </c>
      <c r="F681" s="32">
        <v>523</v>
      </c>
      <c r="G681" s="32" t="s">
        <v>44</v>
      </c>
      <c r="H681" s="32" t="s">
        <v>743</v>
      </c>
      <c r="I681" s="32" t="s">
        <v>40</v>
      </c>
      <c r="J681" s="32" t="s">
        <v>46</v>
      </c>
      <c r="K681" s="32" t="s">
        <v>42</v>
      </c>
      <c r="L681" s="32">
        <v>5</v>
      </c>
      <c r="M681" s="32" t="s">
        <v>47</v>
      </c>
      <c r="N681" s="32" t="s">
        <v>43</v>
      </c>
    </row>
    <row r="682" spans="1:14" s="32" customFormat="1" hidden="1" x14ac:dyDescent="0.3">
      <c r="A682" s="38">
        <v>46224.672094907408</v>
      </c>
      <c r="B682" s="32">
        <v>1128897100</v>
      </c>
      <c r="C682" s="32" t="s">
        <v>58</v>
      </c>
      <c r="D682" s="32">
        <v>4430265054</v>
      </c>
      <c r="E682" s="32">
        <v>676</v>
      </c>
      <c r="F682" s="32">
        <v>637</v>
      </c>
      <c r="G682" s="32" t="s">
        <v>44</v>
      </c>
      <c r="H682" s="32" t="s">
        <v>744</v>
      </c>
      <c r="I682" s="32" t="s">
        <v>40</v>
      </c>
      <c r="J682" s="32" t="s">
        <v>46</v>
      </c>
      <c r="K682" s="32" t="s">
        <v>42</v>
      </c>
      <c r="M682" s="32" t="s">
        <v>60</v>
      </c>
      <c r="N682" s="32" t="s">
        <v>58</v>
      </c>
    </row>
    <row r="683" spans="1:14" s="32" customFormat="1" hidden="1" x14ac:dyDescent="0.3">
      <c r="A683" s="38">
        <v>46224.672025462962</v>
      </c>
      <c r="B683" s="32" t="s">
        <v>207</v>
      </c>
      <c r="C683" s="32">
        <v>4430414545</v>
      </c>
      <c r="E683" s="32">
        <v>103</v>
      </c>
      <c r="F683" s="32">
        <v>97</v>
      </c>
      <c r="G683" s="32" t="s">
        <v>44</v>
      </c>
      <c r="H683" s="32" t="s">
        <v>745</v>
      </c>
      <c r="I683" s="32" t="s">
        <v>54</v>
      </c>
      <c r="J683" s="32" t="s">
        <v>111</v>
      </c>
      <c r="M683" s="32" t="s">
        <v>209</v>
      </c>
      <c r="N683" s="32" t="s">
        <v>207</v>
      </c>
    </row>
    <row r="684" spans="1:14" s="32" customFormat="1" hidden="1" x14ac:dyDescent="0.3">
      <c r="A684" s="38">
        <v>46224.669398148151</v>
      </c>
      <c r="B684" s="32" t="s">
        <v>207</v>
      </c>
      <c r="C684" s="32">
        <v>4430414545</v>
      </c>
      <c r="E684" s="32">
        <v>74</v>
      </c>
      <c r="F684" s="32">
        <v>0</v>
      </c>
      <c r="G684" s="32" t="s">
        <v>63</v>
      </c>
      <c r="H684" s="32" t="s">
        <v>746</v>
      </c>
      <c r="I684" s="32" t="s">
        <v>54</v>
      </c>
      <c r="J684" s="32" t="s">
        <v>111</v>
      </c>
      <c r="M684" s="32" t="s">
        <v>209</v>
      </c>
      <c r="N684" s="32" t="s">
        <v>207</v>
      </c>
    </row>
    <row r="685" spans="1:14" s="32" customFormat="1" hidden="1" x14ac:dyDescent="0.3">
      <c r="A685" s="38">
        <v>46224.652615740742</v>
      </c>
      <c r="B685" s="32" t="s">
        <v>747</v>
      </c>
      <c r="C685" s="32">
        <v>11993206934</v>
      </c>
      <c r="E685" s="32">
        <v>690</v>
      </c>
      <c r="F685" s="32">
        <v>681</v>
      </c>
      <c r="G685" s="32" t="s">
        <v>44</v>
      </c>
      <c r="H685" s="32" t="s">
        <v>748</v>
      </c>
      <c r="I685" s="32" t="s">
        <v>54</v>
      </c>
      <c r="J685" s="32" t="s">
        <v>46</v>
      </c>
      <c r="M685" s="32" t="s">
        <v>749</v>
      </c>
      <c r="N685" s="32" t="s">
        <v>747</v>
      </c>
    </row>
    <row r="686" spans="1:14" s="32" customFormat="1" hidden="1" x14ac:dyDescent="0.3">
      <c r="A686" s="38">
        <v>46224.652175925927</v>
      </c>
      <c r="B686" s="32" t="s">
        <v>747</v>
      </c>
      <c r="C686" s="32">
        <v>11993206934</v>
      </c>
      <c r="E686" s="32">
        <v>63</v>
      </c>
      <c r="F686" s="32">
        <v>30</v>
      </c>
      <c r="G686" s="32" t="s">
        <v>44</v>
      </c>
      <c r="H686" s="32" t="s">
        <v>750</v>
      </c>
      <c r="I686" s="32" t="s">
        <v>54</v>
      </c>
      <c r="J686" s="32" t="s">
        <v>46</v>
      </c>
      <c r="M686" s="32" t="s">
        <v>749</v>
      </c>
      <c r="N686" s="32" t="s">
        <v>747</v>
      </c>
    </row>
    <row r="687" spans="1:14" s="32" customFormat="1" hidden="1" x14ac:dyDescent="0.3">
      <c r="A687" s="38">
        <v>46224.650972222225</v>
      </c>
      <c r="B687" s="32">
        <v>1131515685</v>
      </c>
      <c r="C687" s="32" t="s">
        <v>43</v>
      </c>
      <c r="D687" s="32">
        <v>4430265054</v>
      </c>
      <c r="E687" s="32">
        <v>1587</v>
      </c>
      <c r="F687" s="32">
        <v>1586</v>
      </c>
      <c r="G687" s="32" t="s">
        <v>44</v>
      </c>
      <c r="H687" s="32" t="s">
        <v>751</v>
      </c>
      <c r="I687" s="32" t="s">
        <v>40</v>
      </c>
      <c r="J687" s="32" t="s">
        <v>46</v>
      </c>
      <c r="K687" s="32" t="s">
        <v>42</v>
      </c>
      <c r="M687" s="32" t="s">
        <v>47</v>
      </c>
      <c r="N687" s="32" t="s">
        <v>43</v>
      </c>
    </row>
    <row r="688" spans="1:14" s="32" customFormat="1" x14ac:dyDescent="0.3">
      <c r="A688" s="38">
        <v>46224.643287037034</v>
      </c>
      <c r="B688" s="32">
        <v>44997456641</v>
      </c>
      <c r="C688" s="32" t="s">
        <v>49</v>
      </c>
      <c r="D688" s="32">
        <v>4430265054</v>
      </c>
      <c r="E688" s="32">
        <v>805</v>
      </c>
      <c r="F688" s="32">
        <v>722</v>
      </c>
      <c r="G688" s="32" t="s">
        <v>44</v>
      </c>
      <c r="H688" s="32" t="s">
        <v>752</v>
      </c>
      <c r="I688" s="32" t="s">
        <v>40</v>
      </c>
      <c r="J688" s="32" t="s">
        <v>46</v>
      </c>
      <c r="K688" s="32" t="s">
        <v>42</v>
      </c>
      <c r="L688" s="32">
        <v>5</v>
      </c>
      <c r="M688" s="32" t="s">
        <v>51</v>
      </c>
      <c r="N688" s="32" t="s">
        <v>49</v>
      </c>
    </row>
    <row r="689" spans="1:14" s="32" customFormat="1" hidden="1" x14ac:dyDescent="0.3">
      <c r="A689" s="38">
        <v>46224.621423611112</v>
      </c>
      <c r="B689" s="32">
        <v>1732146970</v>
      </c>
      <c r="C689" s="32" t="s">
        <v>85</v>
      </c>
      <c r="D689" s="32">
        <v>4431268225</v>
      </c>
      <c r="E689" s="32">
        <v>923</v>
      </c>
      <c r="F689" s="32">
        <v>787</v>
      </c>
      <c r="G689" s="32" t="s">
        <v>44</v>
      </c>
      <c r="H689" s="32" t="s">
        <v>753</v>
      </c>
      <c r="I689" s="32" t="s">
        <v>40</v>
      </c>
      <c r="J689" s="32" t="s">
        <v>41</v>
      </c>
      <c r="K689" s="32" t="s">
        <v>42</v>
      </c>
      <c r="M689" s="32" t="s">
        <v>87</v>
      </c>
      <c r="N689" s="32" t="s">
        <v>85</v>
      </c>
    </row>
    <row r="690" spans="1:14" s="32" customFormat="1" hidden="1" x14ac:dyDescent="0.3">
      <c r="A690" s="38">
        <v>46224.616620370369</v>
      </c>
      <c r="B690" s="32">
        <v>1131515685</v>
      </c>
      <c r="C690" s="32" t="s">
        <v>43</v>
      </c>
      <c r="D690" s="32">
        <v>4430265054</v>
      </c>
      <c r="E690" s="32">
        <v>1258</v>
      </c>
      <c r="F690" s="32">
        <v>586</v>
      </c>
      <c r="G690" s="32" t="s">
        <v>44</v>
      </c>
      <c r="H690" s="32" t="s">
        <v>754</v>
      </c>
      <c r="I690" s="32" t="s">
        <v>40</v>
      </c>
      <c r="J690" s="32" t="s">
        <v>46</v>
      </c>
      <c r="K690" s="32" t="s">
        <v>42</v>
      </c>
      <c r="M690" s="32" t="s">
        <v>47</v>
      </c>
      <c r="N690" s="32" t="s">
        <v>43</v>
      </c>
    </row>
    <row r="691" spans="1:14" s="32" customFormat="1" hidden="1" x14ac:dyDescent="0.3">
      <c r="A691" s="38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38</v>
      </c>
      <c r="H691" s="32" t="s">
        <v>755</v>
      </c>
      <c r="I691" s="32" t="s">
        <v>40</v>
      </c>
      <c r="J691" s="32" t="s">
        <v>41</v>
      </c>
      <c r="K691" s="32" t="s">
        <v>42</v>
      </c>
    </row>
    <row r="692" spans="1:14" s="32" customFormat="1" hidden="1" x14ac:dyDescent="0.3">
      <c r="A692" s="38">
        <v>46224.615451388891</v>
      </c>
      <c r="B692" s="32">
        <v>44999657967</v>
      </c>
      <c r="C692" s="32" t="s">
        <v>43</v>
      </c>
      <c r="D692" s="32">
        <v>4430265054</v>
      </c>
      <c r="E692" s="32">
        <v>789</v>
      </c>
      <c r="F692" s="32">
        <v>731</v>
      </c>
      <c r="G692" s="32" t="s">
        <v>44</v>
      </c>
      <c r="H692" s="32" t="s">
        <v>756</v>
      </c>
      <c r="I692" s="32" t="s">
        <v>40</v>
      </c>
      <c r="J692" s="32" t="s">
        <v>46</v>
      </c>
      <c r="K692" s="32" t="s">
        <v>42</v>
      </c>
      <c r="L692" s="32">
        <v>5</v>
      </c>
      <c r="M692" s="32" t="s">
        <v>47</v>
      </c>
      <c r="N692" s="32" t="s">
        <v>43</v>
      </c>
    </row>
    <row r="693" spans="1:14" s="32" customFormat="1" hidden="1" x14ac:dyDescent="0.3">
      <c r="A693" s="38">
        <v>46224.613703703704</v>
      </c>
      <c r="B693" s="32" t="s">
        <v>207</v>
      </c>
      <c r="C693" s="32">
        <v>4432262123</v>
      </c>
      <c r="E693" s="32">
        <v>25</v>
      </c>
      <c r="F693" s="32">
        <v>13</v>
      </c>
      <c r="G693" s="32" t="s">
        <v>44</v>
      </c>
      <c r="H693" s="32" t="s">
        <v>757</v>
      </c>
      <c r="I693" s="32" t="s">
        <v>54</v>
      </c>
      <c r="J693" s="32" t="s">
        <v>111</v>
      </c>
      <c r="M693" s="32" t="s">
        <v>209</v>
      </c>
      <c r="N693" s="32" t="s">
        <v>207</v>
      </c>
    </row>
    <row r="694" spans="1:14" s="32" customFormat="1" hidden="1" x14ac:dyDescent="0.3">
      <c r="A694" s="38">
        <v>46224.613298611112</v>
      </c>
      <c r="B694" s="32" t="s">
        <v>207</v>
      </c>
      <c r="C694" s="32">
        <v>4430266599</v>
      </c>
      <c r="E694" s="32">
        <v>0</v>
      </c>
      <c r="F694" s="32">
        <v>0</v>
      </c>
      <c r="G694" s="32" t="s">
        <v>63</v>
      </c>
      <c r="H694" s="32" t="s">
        <v>758</v>
      </c>
      <c r="I694" s="32" t="s">
        <v>54</v>
      </c>
      <c r="J694" s="32" t="s">
        <v>111</v>
      </c>
      <c r="M694" s="32" t="s">
        <v>209</v>
      </c>
      <c r="N694" s="32" t="s">
        <v>207</v>
      </c>
    </row>
    <row r="695" spans="1:14" s="32" customFormat="1" hidden="1" x14ac:dyDescent="0.3">
      <c r="A695" s="38">
        <v>46224.613194444442</v>
      </c>
      <c r="B695" s="32" t="s">
        <v>207</v>
      </c>
      <c r="C695" s="32">
        <v>4432263468</v>
      </c>
      <c r="E695" s="32">
        <v>1</v>
      </c>
      <c r="F695" s="32">
        <v>0</v>
      </c>
      <c r="G695" s="32" t="s">
        <v>63</v>
      </c>
      <c r="H695" s="32" t="s">
        <v>759</v>
      </c>
      <c r="I695" s="32" t="s">
        <v>54</v>
      </c>
      <c r="J695" s="32" t="s">
        <v>111</v>
      </c>
      <c r="M695" s="32" t="s">
        <v>209</v>
      </c>
      <c r="N695" s="32" t="s">
        <v>207</v>
      </c>
    </row>
    <row r="696" spans="1:14" s="32" customFormat="1" hidden="1" x14ac:dyDescent="0.3">
      <c r="A696" s="38">
        <v>46224.612349537034</v>
      </c>
      <c r="B696" s="32" t="s">
        <v>207</v>
      </c>
      <c r="C696" s="32">
        <v>44999648932</v>
      </c>
      <c r="E696" s="32">
        <v>63</v>
      </c>
      <c r="F696" s="32">
        <v>0</v>
      </c>
      <c r="G696" s="32" t="s">
        <v>63</v>
      </c>
      <c r="H696" s="32" t="s">
        <v>760</v>
      </c>
      <c r="I696" s="32" t="s">
        <v>54</v>
      </c>
      <c r="J696" s="32" t="s">
        <v>111</v>
      </c>
      <c r="M696" s="32" t="s">
        <v>209</v>
      </c>
      <c r="N696" s="32" t="s">
        <v>207</v>
      </c>
    </row>
    <row r="697" spans="1:14" s="32" customFormat="1" hidden="1" x14ac:dyDescent="0.3">
      <c r="A697" s="38">
        <v>46224.611898148149</v>
      </c>
      <c r="B697" s="32" t="s">
        <v>207</v>
      </c>
      <c r="C697" s="32">
        <v>44999844110</v>
      </c>
      <c r="E697" s="32">
        <v>27</v>
      </c>
      <c r="F697" s="32">
        <v>10</v>
      </c>
      <c r="G697" s="32" t="s">
        <v>44</v>
      </c>
      <c r="H697" s="32" t="s">
        <v>761</v>
      </c>
      <c r="I697" s="32" t="s">
        <v>54</v>
      </c>
      <c r="J697" s="32" t="s">
        <v>111</v>
      </c>
      <c r="M697" s="32" t="s">
        <v>209</v>
      </c>
      <c r="N697" s="32" t="s">
        <v>207</v>
      </c>
    </row>
    <row r="698" spans="1:14" s="32" customFormat="1" hidden="1" x14ac:dyDescent="0.3">
      <c r="A698" s="38">
        <v>46224.611724537041</v>
      </c>
      <c r="B698" s="32" t="s">
        <v>207</v>
      </c>
      <c r="C698" s="32">
        <v>4430266599</v>
      </c>
      <c r="E698" s="32">
        <v>1</v>
      </c>
      <c r="F698" s="32">
        <v>0</v>
      </c>
      <c r="G698" s="32" t="s">
        <v>63</v>
      </c>
      <c r="H698" s="32" t="s">
        <v>762</v>
      </c>
      <c r="I698" s="32" t="s">
        <v>54</v>
      </c>
      <c r="J698" s="32" t="s">
        <v>111</v>
      </c>
      <c r="M698" s="32" t="s">
        <v>209</v>
      </c>
      <c r="N698" s="32" t="s">
        <v>207</v>
      </c>
    </row>
    <row r="699" spans="1:14" s="32" customFormat="1" hidden="1" x14ac:dyDescent="0.3">
      <c r="A699" s="38">
        <v>46224.610509259262</v>
      </c>
      <c r="B699" s="32" t="s">
        <v>85</v>
      </c>
      <c r="C699" s="32">
        <v>4436351414</v>
      </c>
      <c r="E699" s="32">
        <v>1035</v>
      </c>
      <c r="F699" s="32">
        <v>1026</v>
      </c>
      <c r="G699" s="32" t="s">
        <v>44</v>
      </c>
      <c r="H699" s="32" t="s">
        <v>763</v>
      </c>
      <c r="I699" s="32" t="s">
        <v>54</v>
      </c>
      <c r="J699" s="32" t="s">
        <v>41</v>
      </c>
      <c r="M699" s="32" t="s">
        <v>87</v>
      </c>
      <c r="N699" s="32" t="s">
        <v>85</v>
      </c>
    </row>
    <row r="700" spans="1:14" s="32" customFormat="1" hidden="1" x14ac:dyDescent="0.3">
      <c r="A700" s="38">
        <v>46224.578865740739</v>
      </c>
      <c r="B700" s="32">
        <v>44999497001</v>
      </c>
      <c r="C700" s="32" t="s">
        <v>49</v>
      </c>
      <c r="D700" s="32">
        <v>4430265054</v>
      </c>
      <c r="E700" s="32">
        <v>938</v>
      </c>
      <c r="F700" s="32">
        <v>879</v>
      </c>
      <c r="G700" s="32" t="s">
        <v>44</v>
      </c>
      <c r="H700" s="32" t="s">
        <v>764</v>
      </c>
      <c r="I700" s="32" t="s">
        <v>40</v>
      </c>
      <c r="J700" s="32" t="s">
        <v>46</v>
      </c>
      <c r="K700" s="32" t="s">
        <v>42</v>
      </c>
      <c r="M700" s="32" t="s">
        <v>51</v>
      </c>
      <c r="N700" s="32" t="s">
        <v>49</v>
      </c>
    </row>
    <row r="701" spans="1:14" s="32" customFormat="1" hidden="1" x14ac:dyDescent="0.3">
      <c r="A701" s="38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38</v>
      </c>
      <c r="H701" s="32" t="s">
        <v>765</v>
      </c>
      <c r="I701" s="32" t="s">
        <v>40</v>
      </c>
      <c r="J701" s="32" t="s">
        <v>41</v>
      </c>
    </row>
    <row r="702" spans="1:14" s="32" customFormat="1" hidden="1" x14ac:dyDescent="0.3">
      <c r="A702" s="38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38</v>
      </c>
      <c r="H702" s="32" t="s">
        <v>766</v>
      </c>
      <c r="I702" s="32" t="s">
        <v>40</v>
      </c>
      <c r="J702" s="32" t="s">
        <v>41</v>
      </c>
    </row>
    <row r="703" spans="1:14" s="32" customFormat="1" hidden="1" x14ac:dyDescent="0.3">
      <c r="A703" s="38">
        <v>46224.484525462962</v>
      </c>
      <c r="B703" s="32" t="s">
        <v>207</v>
      </c>
      <c r="C703" s="32">
        <v>4432263468</v>
      </c>
      <c r="E703" s="32">
        <v>1</v>
      </c>
      <c r="F703" s="32">
        <v>0</v>
      </c>
      <c r="G703" s="32" t="s">
        <v>63</v>
      </c>
      <c r="H703" s="32" t="s">
        <v>767</v>
      </c>
      <c r="I703" s="32" t="s">
        <v>54</v>
      </c>
      <c r="J703" s="32" t="s">
        <v>111</v>
      </c>
      <c r="M703" s="32" t="s">
        <v>209</v>
      </c>
      <c r="N703" s="32" t="s">
        <v>207</v>
      </c>
    </row>
    <row r="704" spans="1:14" s="32" customFormat="1" hidden="1" x14ac:dyDescent="0.3">
      <c r="A704" s="38">
        <v>46224.484050925923</v>
      </c>
      <c r="B704" s="32" t="s">
        <v>207</v>
      </c>
      <c r="C704" s="32">
        <v>4430266599</v>
      </c>
      <c r="E704" s="32">
        <v>1</v>
      </c>
      <c r="F704" s="32">
        <v>0</v>
      </c>
      <c r="G704" s="32" t="s">
        <v>63</v>
      </c>
      <c r="H704" s="32" t="s">
        <v>768</v>
      </c>
      <c r="I704" s="32" t="s">
        <v>54</v>
      </c>
      <c r="J704" s="32" t="s">
        <v>111</v>
      </c>
      <c r="M704" s="32" t="s">
        <v>209</v>
      </c>
      <c r="N704" s="32" t="s">
        <v>207</v>
      </c>
    </row>
    <row r="705" spans="1:14" s="32" customFormat="1" hidden="1" x14ac:dyDescent="0.3">
      <c r="A705" s="38">
        <v>46224.469930555555</v>
      </c>
      <c r="B705" s="32">
        <v>44991234625</v>
      </c>
      <c r="C705" s="32" t="s">
        <v>43</v>
      </c>
      <c r="D705" s="32">
        <v>4430265054</v>
      </c>
      <c r="E705" s="32">
        <v>250</v>
      </c>
      <c r="F705" s="32">
        <v>230</v>
      </c>
      <c r="G705" s="32" t="s">
        <v>44</v>
      </c>
      <c r="H705" s="32" t="s">
        <v>769</v>
      </c>
      <c r="I705" s="32" t="s">
        <v>40</v>
      </c>
      <c r="J705" s="32" t="s">
        <v>46</v>
      </c>
      <c r="K705" s="32" t="s">
        <v>42</v>
      </c>
      <c r="L705" s="32">
        <v>5</v>
      </c>
      <c r="M705" s="32" t="s">
        <v>47</v>
      </c>
      <c r="N705" s="32" t="s">
        <v>43</v>
      </c>
    </row>
    <row r="706" spans="1:14" s="32" customFormat="1" hidden="1" x14ac:dyDescent="0.3">
      <c r="A706" s="38">
        <v>46224.467905092592</v>
      </c>
      <c r="B706" s="32" t="s">
        <v>58</v>
      </c>
      <c r="C706" s="32">
        <v>4430153708</v>
      </c>
      <c r="E706" s="32">
        <v>839</v>
      </c>
      <c r="F706" s="32">
        <v>828</v>
      </c>
      <c r="G706" s="32" t="s">
        <v>44</v>
      </c>
      <c r="H706" s="32" t="s">
        <v>770</v>
      </c>
      <c r="I706" s="32" t="s">
        <v>54</v>
      </c>
      <c r="J706" s="32" t="s">
        <v>46</v>
      </c>
      <c r="M706" s="32" t="s">
        <v>60</v>
      </c>
      <c r="N706" s="32" t="s">
        <v>58</v>
      </c>
    </row>
    <row r="707" spans="1:14" s="32" customFormat="1" hidden="1" x14ac:dyDescent="0.3">
      <c r="A707" s="38">
        <v>46224.463009259256</v>
      </c>
      <c r="B707" s="32" t="s">
        <v>207</v>
      </c>
      <c r="C707" s="32">
        <v>44998464499</v>
      </c>
      <c r="E707" s="32">
        <v>755</v>
      </c>
      <c r="F707" s="32">
        <v>748</v>
      </c>
      <c r="G707" s="32" t="s">
        <v>44</v>
      </c>
      <c r="H707" s="32" t="s">
        <v>771</v>
      </c>
      <c r="I707" s="32" t="s">
        <v>54</v>
      </c>
      <c r="J707" s="32" t="s">
        <v>111</v>
      </c>
      <c r="M707" s="32" t="s">
        <v>209</v>
      </c>
      <c r="N707" s="32" t="s">
        <v>207</v>
      </c>
    </row>
    <row r="708" spans="1:14" s="32" customFormat="1" hidden="1" x14ac:dyDescent="0.3">
      <c r="A708" s="38">
        <v>46224.46261574074</v>
      </c>
      <c r="B708" s="32" t="s">
        <v>207</v>
      </c>
      <c r="C708" s="32">
        <v>44998451621</v>
      </c>
      <c r="E708" s="32">
        <v>26</v>
      </c>
      <c r="F708" s="32">
        <v>7</v>
      </c>
      <c r="G708" s="32" t="s">
        <v>44</v>
      </c>
      <c r="H708" s="32" t="s">
        <v>772</v>
      </c>
      <c r="I708" s="32" t="s">
        <v>54</v>
      </c>
      <c r="J708" s="32" t="s">
        <v>111</v>
      </c>
      <c r="M708" s="32" t="s">
        <v>209</v>
      </c>
      <c r="N708" s="32" t="s">
        <v>207</v>
      </c>
    </row>
    <row r="709" spans="1:14" s="32" customFormat="1" hidden="1" x14ac:dyDescent="0.3">
      <c r="A709" s="38">
        <v>46224.460682870369</v>
      </c>
      <c r="B709" s="32">
        <v>43991364602</v>
      </c>
      <c r="C709" s="32" t="s">
        <v>49</v>
      </c>
      <c r="D709" s="32">
        <v>4430265054</v>
      </c>
      <c r="E709" s="32">
        <v>457</v>
      </c>
      <c r="F709" s="32">
        <v>361</v>
      </c>
      <c r="G709" s="32" t="s">
        <v>44</v>
      </c>
      <c r="H709" s="32" t="s">
        <v>773</v>
      </c>
      <c r="I709" s="32" t="s">
        <v>40</v>
      </c>
      <c r="J709" s="32" t="s">
        <v>46</v>
      </c>
      <c r="K709" s="32" t="s">
        <v>42</v>
      </c>
      <c r="M709" s="32" t="s">
        <v>51</v>
      </c>
      <c r="N709" s="32" t="s">
        <v>49</v>
      </c>
    </row>
    <row r="710" spans="1:14" s="32" customFormat="1" hidden="1" x14ac:dyDescent="0.3">
      <c r="A710" s="38">
        <v>46224.453275462962</v>
      </c>
      <c r="B710" s="32" t="s">
        <v>58</v>
      </c>
      <c r="C710" s="32">
        <v>4430153708</v>
      </c>
      <c r="E710" s="32">
        <v>4</v>
      </c>
      <c r="F710" s="32">
        <v>0</v>
      </c>
      <c r="G710" s="32" t="s">
        <v>63</v>
      </c>
      <c r="H710" s="32" t="s">
        <v>774</v>
      </c>
      <c r="I710" s="32" t="s">
        <v>54</v>
      </c>
      <c r="J710" s="32" t="s">
        <v>46</v>
      </c>
      <c r="M710" s="32" t="s">
        <v>60</v>
      </c>
      <c r="N710" s="32" t="s">
        <v>58</v>
      </c>
    </row>
    <row r="711" spans="1:14" s="32" customFormat="1" hidden="1" x14ac:dyDescent="0.3">
      <c r="A711" s="38">
        <v>46224.448321759257</v>
      </c>
      <c r="B711" s="32" t="s">
        <v>43</v>
      </c>
      <c r="C711" s="32">
        <v>41997840159</v>
      </c>
      <c r="E711" s="32">
        <v>68</v>
      </c>
      <c r="F711" s="32">
        <v>49</v>
      </c>
      <c r="G711" s="32" t="s">
        <v>44</v>
      </c>
      <c r="H711" s="32" t="s">
        <v>775</v>
      </c>
      <c r="I711" s="32" t="s">
        <v>54</v>
      </c>
      <c r="J711" s="32" t="s">
        <v>46</v>
      </c>
      <c r="M711" s="32" t="s">
        <v>47</v>
      </c>
      <c r="N711" s="32" t="s">
        <v>43</v>
      </c>
    </row>
    <row r="712" spans="1:14" s="32" customFormat="1" hidden="1" x14ac:dyDescent="0.3">
      <c r="A712" s="38">
        <v>46224.447337962964</v>
      </c>
      <c r="B712" s="32" t="s">
        <v>43</v>
      </c>
      <c r="C712" s="32">
        <v>4131210227</v>
      </c>
      <c r="E712" s="32">
        <v>69</v>
      </c>
      <c r="F712" s="32">
        <v>62</v>
      </c>
      <c r="G712" s="32" t="s">
        <v>44</v>
      </c>
      <c r="H712" s="32" t="s">
        <v>776</v>
      </c>
      <c r="I712" s="32" t="s">
        <v>54</v>
      </c>
      <c r="J712" s="32" t="s">
        <v>46</v>
      </c>
      <c r="M712" s="32" t="s">
        <v>47</v>
      </c>
      <c r="N712" s="32" t="s">
        <v>43</v>
      </c>
    </row>
    <row r="713" spans="1:14" s="32" customFormat="1" hidden="1" x14ac:dyDescent="0.3">
      <c r="A713" s="38">
        <v>46224.446712962963</v>
      </c>
      <c r="B713" s="32" t="s">
        <v>43</v>
      </c>
      <c r="C713" s="32">
        <v>41997840159</v>
      </c>
      <c r="E713" s="32">
        <v>38</v>
      </c>
      <c r="F713" s="32">
        <v>0</v>
      </c>
      <c r="G713" s="32" t="s">
        <v>63</v>
      </c>
      <c r="H713" s="32" t="s">
        <v>777</v>
      </c>
      <c r="I713" s="32" t="s">
        <v>54</v>
      </c>
      <c r="J713" s="32" t="s">
        <v>46</v>
      </c>
      <c r="M713" s="32" t="s">
        <v>47</v>
      </c>
      <c r="N713" s="32" t="s">
        <v>43</v>
      </c>
    </row>
    <row r="714" spans="1:14" s="32" customFormat="1" hidden="1" x14ac:dyDescent="0.3">
      <c r="A714" s="38">
        <v>46224.435150462959</v>
      </c>
      <c r="B714" s="32">
        <v>91981481202</v>
      </c>
      <c r="C714" s="32" t="s">
        <v>43</v>
      </c>
      <c r="D714" s="32">
        <v>4430265054</v>
      </c>
      <c r="E714" s="32">
        <v>103</v>
      </c>
      <c r="F714" s="32">
        <v>87</v>
      </c>
      <c r="G714" s="32" t="s">
        <v>44</v>
      </c>
      <c r="H714" s="32" t="s">
        <v>778</v>
      </c>
      <c r="I714" s="32" t="s">
        <v>40</v>
      </c>
      <c r="J714" s="32" t="s">
        <v>46</v>
      </c>
      <c r="K714" s="32" t="s">
        <v>42</v>
      </c>
      <c r="M714" s="32" t="s">
        <v>47</v>
      </c>
      <c r="N714" s="32" t="s">
        <v>43</v>
      </c>
    </row>
    <row r="715" spans="1:14" s="32" customFormat="1" hidden="1" x14ac:dyDescent="0.3">
      <c r="A715" s="38">
        <v>46224.431087962963</v>
      </c>
      <c r="B715" s="32">
        <v>44991426486</v>
      </c>
      <c r="C715" s="32" t="s">
        <v>58</v>
      </c>
      <c r="D715" s="32">
        <v>4430265054</v>
      </c>
      <c r="E715" s="32">
        <v>699</v>
      </c>
      <c r="F715" s="32">
        <v>698</v>
      </c>
      <c r="G715" s="32" t="s">
        <v>44</v>
      </c>
      <c r="H715" s="32" t="s">
        <v>779</v>
      </c>
      <c r="I715" s="32" t="s">
        <v>40</v>
      </c>
      <c r="J715" s="32" t="s">
        <v>46</v>
      </c>
      <c r="K715" s="32" t="s">
        <v>42</v>
      </c>
      <c r="M715" s="32" t="s">
        <v>60</v>
      </c>
      <c r="N715" s="32" t="s">
        <v>58</v>
      </c>
    </row>
    <row r="716" spans="1:14" s="32" customFormat="1" hidden="1" x14ac:dyDescent="0.3">
      <c r="A716" s="38">
        <v>46224.427766203706</v>
      </c>
      <c r="B716" s="32">
        <v>1131515685</v>
      </c>
      <c r="C716" s="32" t="s">
        <v>58</v>
      </c>
      <c r="D716" s="32">
        <v>4430265054</v>
      </c>
      <c r="E716" s="32">
        <v>321</v>
      </c>
      <c r="F716" s="32">
        <v>321</v>
      </c>
      <c r="G716" s="32" t="s">
        <v>44</v>
      </c>
      <c r="H716" s="32" t="s">
        <v>780</v>
      </c>
      <c r="I716" s="32" t="s">
        <v>40</v>
      </c>
      <c r="J716" s="32" t="s">
        <v>46</v>
      </c>
      <c r="K716" s="32" t="s">
        <v>42</v>
      </c>
      <c r="M716" s="32" t="s">
        <v>60</v>
      </c>
      <c r="N716" s="32" t="s">
        <v>58</v>
      </c>
    </row>
    <row r="717" spans="1:14" s="32" customFormat="1" hidden="1" x14ac:dyDescent="0.3">
      <c r="A717" s="38">
        <v>46224.425486111111</v>
      </c>
      <c r="B717" s="32">
        <v>44988303530</v>
      </c>
      <c r="C717" s="32" t="s">
        <v>43</v>
      </c>
      <c r="D717" s="32">
        <v>4430265054</v>
      </c>
      <c r="E717" s="32">
        <v>565</v>
      </c>
      <c r="F717" s="32">
        <v>527</v>
      </c>
      <c r="G717" s="32" t="s">
        <v>44</v>
      </c>
      <c r="H717" s="32" t="s">
        <v>781</v>
      </c>
      <c r="I717" s="32" t="s">
        <v>40</v>
      </c>
      <c r="J717" s="32" t="s">
        <v>46</v>
      </c>
      <c r="K717" s="32" t="s">
        <v>42</v>
      </c>
      <c r="L717" s="32">
        <v>5</v>
      </c>
      <c r="M717" s="32" t="s">
        <v>47</v>
      </c>
      <c r="N717" s="32" t="s">
        <v>43</v>
      </c>
    </row>
    <row r="718" spans="1:14" s="32" customFormat="1" hidden="1" x14ac:dyDescent="0.3">
      <c r="A718" s="38">
        <v>46224.418252314812</v>
      </c>
      <c r="B718" s="32">
        <v>44999882140</v>
      </c>
      <c r="C718" s="32" t="s">
        <v>58</v>
      </c>
      <c r="D718" s="32">
        <v>4430265054</v>
      </c>
      <c r="E718" s="32">
        <v>87</v>
      </c>
      <c r="F718" s="32">
        <v>86</v>
      </c>
      <c r="G718" s="32" t="s">
        <v>44</v>
      </c>
      <c r="H718" s="32" t="s">
        <v>782</v>
      </c>
      <c r="I718" s="32" t="s">
        <v>40</v>
      </c>
      <c r="J718" s="32" t="s">
        <v>46</v>
      </c>
      <c r="K718" s="32" t="s">
        <v>42</v>
      </c>
      <c r="M718" s="32" t="s">
        <v>60</v>
      </c>
      <c r="N718" s="32" t="s">
        <v>58</v>
      </c>
    </row>
    <row r="719" spans="1:14" s="32" customFormat="1" hidden="1" x14ac:dyDescent="0.3">
      <c r="A719" s="38">
        <v>46224.410104166665</v>
      </c>
      <c r="B719" s="32">
        <v>4430346845</v>
      </c>
      <c r="C719" s="32" t="s">
        <v>43</v>
      </c>
      <c r="D719" s="32">
        <v>4430265054</v>
      </c>
      <c r="E719" s="32">
        <v>770</v>
      </c>
      <c r="F719" s="32">
        <v>713</v>
      </c>
      <c r="G719" s="32" t="s">
        <v>44</v>
      </c>
      <c r="H719" s="32" t="s">
        <v>783</v>
      </c>
      <c r="I719" s="32" t="s">
        <v>40</v>
      </c>
      <c r="J719" s="32" t="s">
        <v>46</v>
      </c>
      <c r="K719" s="32" t="s">
        <v>42</v>
      </c>
      <c r="M719" s="32" t="s">
        <v>47</v>
      </c>
      <c r="N719" s="32" t="s">
        <v>43</v>
      </c>
    </row>
    <row r="720" spans="1:14" s="32" customFormat="1" hidden="1" x14ac:dyDescent="0.3">
      <c r="A720" s="38">
        <v>46224.397430555553</v>
      </c>
      <c r="B720" s="32">
        <v>4430450103</v>
      </c>
      <c r="C720" s="32" t="s">
        <v>43</v>
      </c>
      <c r="D720" s="32">
        <v>4430265054</v>
      </c>
      <c r="E720" s="32">
        <v>146</v>
      </c>
      <c r="F720" s="32">
        <v>75</v>
      </c>
      <c r="G720" s="32" t="s">
        <v>44</v>
      </c>
      <c r="H720" s="32" t="s">
        <v>784</v>
      </c>
      <c r="I720" s="32" t="s">
        <v>40</v>
      </c>
      <c r="J720" s="32" t="s">
        <v>46</v>
      </c>
      <c r="K720" s="32" t="s">
        <v>42</v>
      </c>
      <c r="M720" s="32" t="s">
        <v>47</v>
      </c>
      <c r="N720" s="32" t="s">
        <v>43</v>
      </c>
    </row>
    <row r="721" spans="1:14" s="32" customFormat="1" hidden="1" x14ac:dyDescent="0.3">
      <c r="A721" s="38">
        <v>46224.389918981484</v>
      </c>
      <c r="B721" s="32" t="s">
        <v>43</v>
      </c>
      <c r="C721" s="32">
        <v>41997840159</v>
      </c>
      <c r="E721" s="32">
        <v>426</v>
      </c>
      <c r="F721" s="32">
        <v>415</v>
      </c>
      <c r="G721" s="32" t="s">
        <v>44</v>
      </c>
      <c r="H721" s="32" t="s">
        <v>785</v>
      </c>
      <c r="I721" s="32" t="s">
        <v>54</v>
      </c>
      <c r="J721" s="32" t="s">
        <v>46</v>
      </c>
      <c r="M721" s="32" t="s">
        <v>47</v>
      </c>
      <c r="N721" s="32" t="s">
        <v>43</v>
      </c>
    </row>
    <row r="722" spans="1:14" s="32" customFormat="1" hidden="1" x14ac:dyDescent="0.3">
      <c r="A722" s="38">
        <v>46224.387569444443</v>
      </c>
      <c r="B722" s="32" t="s">
        <v>85</v>
      </c>
      <c r="C722" s="32">
        <v>4436351414</v>
      </c>
      <c r="E722" s="32">
        <v>23</v>
      </c>
      <c r="F722" s="32">
        <v>16</v>
      </c>
      <c r="G722" s="32" t="s">
        <v>44</v>
      </c>
      <c r="H722" s="32" t="s">
        <v>786</v>
      </c>
      <c r="I722" s="32" t="s">
        <v>54</v>
      </c>
      <c r="J722" s="32" t="s">
        <v>41</v>
      </c>
      <c r="M722" s="32" t="s">
        <v>87</v>
      </c>
      <c r="N722" s="32" t="s">
        <v>85</v>
      </c>
    </row>
    <row r="723" spans="1:14" s="32" customFormat="1" hidden="1" x14ac:dyDescent="0.3">
      <c r="A723" s="38">
        <v>46224.380497685182</v>
      </c>
      <c r="B723" s="32">
        <v>44988303530</v>
      </c>
      <c r="C723" s="32" t="s">
        <v>58</v>
      </c>
      <c r="D723" s="32">
        <v>4430265054</v>
      </c>
      <c r="E723" s="32">
        <v>560</v>
      </c>
      <c r="F723" s="32">
        <v>443</v>
      </c>
      <c r="G723" s="32" t="s">
        <v>44</v>
      </c>
      <c r="H723" s="32" t="s">
        <v>787</v>
      </c>
      <c r="I723" s="32" t="s">
        <v>40</v>
      </c>
      <c r="J723" s="32" t="s">
        <v>46</v>
      </c>
      <c r="K723" s="32" t="s">
        <v>42</v>
      </c>
      <c r="M723" s="32" t="s">
        <v>60</v>
      </c>
      <c r="N723" s="32" t="s">
        <v>58</v>
      </c>
    </row>
    <row r="724" spans="1:14" s="32" customFormat="1" hidden="1" x14ac:dyDescent="0.3">
      <c r="A724" s="38">
        <v>46224.378425925926</v>
      </c>
      <c r="B724" s="32">
        <v>41984180952</v>
      </c>
      <c r="C724" s="32" t="s">
        <v>49</v>
      </c>
      <c r="D724" s="32">
        <v>4430265054</v>
      </c>
      <c r="E724" s="32">
        <v>834</v>
      </c>
      <c r="F724" s="32">
        <v>813</v>
      </c>
      <c r="G724" s="32" t="s">
        <v>44</v>
      </c>
      <c r="H724" s="32" t="s">
        <v>788</v>
      </c>
      <c r="I724" s="32" t="s">
        <v>40</v>
      </c>
      <c r="J724" s="32" t="s">
        <v>46</v>
      </c>
      <c r="K724" s="32" t="s">
        <v>42</v>
      </c>
      <c r="M724" s="32" t="s">
        <v>51</v>
      </c>
      <c r="N724" s="32" t="s">
        <v>49</v>
      </c>
    </row>
    <row r="725" spans="1:14" s="32" customFormat="1" hidden="1" x14ac:dyDescent="0.3">
      <c r="A725" s="38">
        <v>46224.378171296295</v>
      </c>
      <c r="B725" s="32">
        <v>41997840159</v>
      </c>
      <c r="C725" s="32" t="s">
        <v>43</v>
      </c>
      <c r="D725" s="32">
        <v>4431268225</v>
      </c>
      <c r="E725" s="32">
        <v>527</v>
      </c>
      <c r="F725" s="32">
        <v>489</v>
      </c>
      <c r="G725" s="32" t="s">
        <v>44</v>
      </c>
      <c r="H725" s="32" t="s">
        <v>789</v>
      </c>
      <c r="I725" s="32" t="s">
        <v>40</v>
      </c>
      <c r="J725" s="32" t="s">
        <v>46</v>
      </c>
      <c r="K725" s="32" t="s">
        <v>42</v>
      </c>
      <c r="M725" s="32" t="s">
        <v>47</v>
      </c>
      <c r="N725" s="32" t="s">
        <v>43</v>
      </c>
    </row>
    <row r="726" spans="1:14" s="32" customFormat="1" hidden="1" x14ac:dyDescent="0.3">
      <c r="A726" s="38">
        <v>46224.373298611114</v>
      </c>
      <c r="B726" s="32">
        <v>44988303530</v>
      </c>
      <c r="C726" s="32" t="s">
        <v>58</v>
      </c>
      <c r="D726" s="32">
        <v>4430265054</v>
      </c>
      <c r="E726" s="32">
        <v>252</v>
      </c>
      <c r="F726" s="32">
        <v>251</v>
      </c>
      <c r="G726" s="32" t="s">
        <v>44</v>
      </c>
      <c r="H726" s="32" t="s">
        <v>790</v>
      </c>
      <c r="I726" s="32" t="s">
        <v>40</v>
      </c>
      <c r="J726" s="32" t="s">
        <v>46</v>
      </c>
      <c r="K726" s="32" t="s">
        <v>42</v>
      </c>
      <c r="M726" s="32" t="s">
        <v>60</v>
      </c>
      <c r="N726" s="32" t="s">
        <v>58</v>
      </c>
    </row>
    <row r="727" spans="1:14" s="32" customFormat="1" hidden="1" x14ac:dyDescent="0.3">
      <c r="A727" s="38">
        <v>46224.373171296298</v>
      </c>
      <c r="B727" s="32" t="s">
        <v>49</v>
      </c>
      <c r="C727" s="32">
        <v>4334226481</v>
      </c>
      <c r="E727" s="32">
        <v>181</v>
      </c>
      <c r="F727" s="32">
        <v>169</v>
      </c>
      <c r="G727" s="32" t="s">
        <v>44</v>
      </c>
      <c r="H727" s="32" t="s">
        <v>791</v>
      </c>
      <c r="I727" s="32" t="s">
        <v>54</v>
      </c>
      <c r="J727" s="32" t="s">
        <v>46</v>
      </c>
      <c r="M727" s="32" t="s">
        <v>51</v>
      </c>
      <c r="N727" s="32" t="s">
        <v>49</v>
      </c>
    </row>
    <row r="728" spans="1:14" s="32" customFormat="1" hidden="1" x14ac:dyDescent="0.3">
      <c r="A728" s="38">
        <v>46224.355937499997</v>
      </c>
      <c r="B728" s="32">
        <v>44999882140</v>
      </c>
      <c r="C728" s="32" t="s">
        <v>49</v>
      </c>
      <c r="D728" s="32">
        <v>4430265054</v>
      </c>
      <c r="E728" s="32">
        <v>1414</v>
      </c>
      <c r="F728" s="32">
        <v>1372</v>
      </c>
      <c r="G728" s="32" t="s">
        <v>44</v>
      </c>
      <c r="H728" s="32" t="s">
        <v>792</v>
      </c>
      <c r="I728" s="32" t="s">
        <v>40</v>
      </c>
      <c r="J728" s="32" t="s">
        <v>46</v>
      </c>
      <c r="K728" s="32" t="s">
        <v>42</v>
      </c>
      <c r="M728" s="32" t="s">
        <v>51</v>
      </c>
      <c r="N728" s="32" t="s">
        <v>49</v>
      </c>
    </row>
    <row r="729" spans="1:14" s="32" customFormat="1" hidden="1" x14ac:dyDescent="0.3">
      <c r="A729" s="38">
        <v>46223.740381944444</v>
      </c>
      <c r="B729" s="32">
        <v>44999387742</v>
      </c>
      <c r="C729" s="32" t="s">
        <v>58</v>
      </c>
      <c r="D729" s="32">
        <v>4430265054</v>
      </c>
      <c r="E729" s="32">
        <v>509</v>
      </c>
      <c r="F729" s="32">
        <v>508</v>
      </c>
      <c r="G729" s="32" t="s">
        <v>44</v>
      </c>
      <c r="H729" s="32" t="s">
        <v>793</v>
      </c>
      <c r="I729" s="32" t="s">
        <v>40</v>
      </c>
      <c r="J729" s="32" t="s">
        <v>46</v>
      </c>
      <c r="K729" s="32" t="s">
        <v>42</v>
      </c>
      <c r="M729" s="32" t="s">
        <v>60</v>
      </c>
      <c r="N729" s="32" t="s">
        <v>58</v>
      </c>
    </row>
    <row r="730" spans="1:14" s="32" customFormat="1" hidden="1" x14ac:dyDescent="0.3">
      <c r="A730" s="38">
        <v>46223.726990740739</v>
      </c>
      <c r="B730" s="32" t="s">
        <v>58</v>
      </c>
      <c r="C730" s="32">
        <v>44999641190</v>
      </c>
      <c r="E730" s="32">
        <v>6</v>
      </c>
      <c r="F730" s="32">
        <v>0</v>
      </c>
      <c r="G730" s="32" t="s">
        <v>63</v>
      </c>
      <c r="H730" s="32" t="s">
        <v>794</v>
      </c>
      <c r="I730" s="32" t="s">
        <v>54</v>
      </c>
      <c r="J730" s="32" t="s">
        <v>46</v>
      </c>
      <c r="M730" s="32" t="s">
        <v>60</v>
      </c>
      <c r="N730" s="32" t="s">
        <v>58</v>
      </c>
    </row>
    <row r="731" spans="1:14" s="32" customFormat="1" hidden="1" x14ac:dyDescent="0.3">
      <c r="A731" s="38">
        <v>46223.722916666666</v>
      </c>
      <c r="B731" s="32">
        <v>4432442276</v>
      </c>
      <c r="C731" s="32" t="s">
        <v>49</v>
      </c>
      <c r="D731" s="32">
        <v>4430265054</v>
      </c>
      <c r="E731" s="32">
        <v>1431</v>
      </c>
      <c r="F731" s="32">
        <v>1390</v>
      </c>
      <c r="G731" s="32" t="s">
        <v>44</v>
      </c>
      <c r="H731" s="32" t="s">
        <v>795</v>
      </c>
      <c r="I731" s="32" t="s">
        <v>40</v>
      </c>
      <c r="J731" s="32" t="s">
        <v>46</v>
      </c>
      <c r="K731" s="32" t="s">
        <v>42</v>
      </c>
      <c r="M731" s="32" t="s">
        <v>51</v>
      </c>
      <c r="N731" s="32" t="s">
        <v>49</v>
      </c>
    </row>
    <row r="732" spans="1:14" s="32" customFormat="1" hidden="1" x14ac:dyDescent="0.3">
      <c r="A732" s="38">
        <v>46223.722905092596</v>
      </c>
      <c r="B732" s="32" t="s">
        <v>49</v>
      </c>
      <c r="C732" s="32">
        <v>4334226481</v>
      </c>
      <c r="E732" s="32">
        <v>53</v>
      </c>
      <c r="F732" s="32">
        <v>41</v>
      </c>
      <c r="G732" s="32" t="s">
        <v>44</v>
      </c>
      <c r="H732" s="32" t="s">
        <v>796</v>
      </c>
      <c r="I732" s="32" t="s">
        <v>54</v>
      </c>
      <c r="J732" s="32" t="s">
        <v>46</v>
      </c>
      <c r="M732" s="32" t="s">
        <v>51</v>
      </c>
      <c r="N732" s="32" t="s">
        <v>49</v>
      </c>
    </row>
    <row r="733" spans="1:14" s="32" customFormat="1" hidden="1" x14ac:dyDescent="0.3">
      <c r="A733" s="38">
        <v>46223.717962962961</v>
      </c>
      <c r="B733" s="32">
        <v>4439001698</v>
      </c>
      <c r="C733" s="32" t="s">
        <v>43</v>
      </c>
      <c r="D733" s="32">
        <v>4430265054</v>
      </c>
      <c r="E733" s="32">
        <v>384</v>
      </c>
      <c r="F733" s="32">
        <v>347</v>
      </c>
      <c r="G733" s="32" t="s">
        <v>44</v>
      </c>
      <c r="H733" s="32" t="s">
        <v>797</v>
      </c>
      <c r="I733" s="32" t="s">
        <v>40</v>
      </c>
      <c r="J733" s="32" t="s">
        <v>46</v>
      </c>
      <c r="K733" s="32" t="s">
        <v>42</v>
      </c>
      <c r="M733" s="32" t="s">
        <v>47</v>
      </c>
      <c r="N733" s="32" t="s">
        <v>43</v>
      </c>
    </row>
    <row r="734" spans="1:14" s="32" customFormat="1" hidden="1" x14ac:dyDescent="0.3">
      <c r="A734" s="38">
        <v>46223.710335648146</v>
      </c>
      <c r="B734" s="32">
        <v>93991495484</v>
      </c>
      <c r="C734" s="32" t="s">
        <v>43</v>
      </c>
      <c r="D734" s="32">
        <v>4430265054</v>
      </c>
      <c r="E734" s="32">
        <v>443</v>
      </c>
      <c r="F734" s="32">
        <v>402</v>
      </c>
      <c r="G734" s="32" t="s">
        <v>44</v>
      </c>
      <c r="H734" s="32" t="s">
        <v>798</v>
      </c>
      <c r="I734" s="32" t="s">
        <v>40</v>
      </c>
      <c r="J734" s="32" t="s">
        <v>46</v>
      </c>
      <c r="K734" s="32" t="s">
        <v>42</v>
      </c>
      <c r="L734" s="32">
        <v>5</v>
      </c>
      <c r="M734" s="32" t="s">
        <v>47</v>
      </c>
      <c r="N734" s="32" t="s">
        <v>43</v>
      </c>
    </row>
    <row r="735" spans="1:14" s="32" customFormat="1" hidden="1" x14ac:dyDescent="0.3">
      <c r="A735" s="38">
        <v>46223.708425925928</v>
      </c>
      <c r="B735" s="32" t="s">
        <v>58</v>
      </c>
      <c r="C735" s="32">
        <v>4430263920</v>
      </c>
      <c r="E735" s="32">
        <v>647</v>
      </c>
      <c r="F735" s="32">
        <v>633</v>
      </c>
      <c r="G735" s="32" t="s">
        <v>44</v>
      </c>
      <c r="H735" s="32" t="s">
        <v>799</v>
      </c>
      <c r="I735" s="32" t="s">
        <v>54</v>
      </c>
      <c r="J735" s="32" t="s">
        <v>46</v>
      </c>
      <c r="M735" s="32" t="s">
        <v>60</v>
      </c>
      <c r="N735" s="32" t="s">
        <v>58</v>
      </c>
    </row>
    <row r="736" spans="1:14" s="32" customFormat="1" hidden="1" x14ac:dyDescent="0.3">
      <c r="A736" s="38">
        <v>46223.703275462962</v>
      </c>
      <c r="B736" s="32" t="s">
        <v>58</v>
      </c>
      <c r="C736" s="32">
        <v>4433050408</v>
      </c>
      <c r="E736" s="32">
        <v>296</v>
      </c>
      <c r="F736" s="32">
        <v>282</v>
      </c>
      <c r="G736" s="32" t="s">
        <v>44</v>
      </c>
      <c r="H736" s="32" t="s">
        <v>800</v>
      </c>
      <c r="I736" s="32" t="s">
        <v>54</v>
      </c>
      <c r="J736" s="32" t="s">
        <v>46</v>
      </c>
      <c r="M736" s="32" t="s">
        <v>60</v>
      </c>
      <c r="N736" s="32" t="s">
        <v>58</v>
      </c>
    </row>
    <row r="737" spans="1:14" s="32" customFormat="1" hidden="1" x14ac:dyDescent="0.3">
      <c r="A737" s="38">
        <v>46223.692754629628</v>
      </c>
      <c r="B737" s="32">
        <v>44988067937</v>
      </c>
      <c r="C737" s="32" t="s">
        <v>43</v>
      </c>
      <c r="D737" s="32">
        <v>4430265054</v>
      </c>
      <c r="E737" s="32">
        <v>105</v>
      </c>
      <c r="F737" s="32">
        <v>70</v>
      </c>
      <c r="G737" s="32" t="s">
        <v>44</v>
      </c>
      <c r="H737" s="32" t="s">
        <v>801</v>
      </c>
      <c r="I737" s="32" t="s">
        <v>40</v>
      </c>
      <c r="J737" s="32" t="s">
        <v>46</v>
      </c>
      <c r="K737" s="32" t="s">
        <v>42</v>
      </c>
      <c r="M737" s="32" t="s">
        <v>47</v>
      </c>
      <c r="N737" s="32" t="s">
        <v>43</v>
      </c>
    </row>
    <row r="738" spans="1:14" s="32" customFormat="1" hidden="1" x14ac:dyDescent="0.3">
      <c r="A738" s="38">
        <v>46223.69258101852</v>
      </c>
      <c r="B738" s="32" t="s">
        <v>58</v>
      </c>
      <c r="C738" s="32">
        <v>4434231198</v>
      </c>
      <c r="E738" s="32">
        <v>122</v>
      </c>
      <c r="F738" s="32">
        <v>118</v>
      </c>
      <c r="G738" s="32" t="s">
        <v>44</v>
      </c>
      <c r="H738" s="32" t="s">
        <v>802</v>
      </c>
      <c r="I738" s="32" t="s">
        <v>54</v>
      </c>
      <c r="J738" s="32" t="s">
        <v>46</v>
      </c>
      <c r="M738" s="32" t="s">
        <v>60</v>
      </c>
      <c r="N738" s="32" t="s">
        <v>58</v>
      </c>
    </row>
    <row r="739" spans="1:14" s="32" customFormat="1" hidden="1" x14ac:dyDescent="0.3">
      <c r="A739" s="38">
        <v>46223.688217592593</v>
      </c>
      <c r="B739" s="32">
        <v>91981481202</v>
      </c>
      <c r="C739" s="32" t="s">
        <v>43</v>
      </c>
      <c r="D739" s="32">
        <v>4430265054</v>
      </c>
      <c r="E739" s="32">
        <v>173</v>
      </c>
      <c r="F739" s="32">
        <v>108</v>
      </c>
      <c r="G739" s="32" t="s">
        <v>44</v>
      </c>
      <c r="H739" s="32" t="s">
        <v>803</v>
      </c>
      <c r="I739" s="32" t="s">
        <v>40</v>
      </c>
      <c r="J739" s="32" t="s">
        <v>46</v>
      </c>
      <c r="K739" s="32" t="s">
        <v>42</v>
      </c>
      <c r="M739" s="32" t="s">
        <v>47</v>
      </c>
      <c r="N739" s="32" t="s">
        <v>43</v>
      </c>
    </row>
    <row r="740" spans="1:14" s="32" customFormat="1" hidden="1" x14ac:dyDescent="0.3">
      <c r="A740" s="38">
        <v>46223.683483796296</v>
      </c>
      <c r="B740" s="32" t="s">
        <v>379</v>
      </c>
      <c r="C740" s="32" t="s">
        <v>207</v>
      </c>
      <c r="E740" s="32">
        <v>163</v>
      </c>
      <c r="F740" s="32">
        <v>160</v>
      </c>
      <c r="G740" s="32" t="s">
        <v>44</v>
      </c>
      <c r="H740" s="32" t="s">
        <v>804</v>
      </c>
      <c r="I740" s="32" t="s">
        <v>694</v>
      </c>
      <c r="J740" s="32" t="s">
        <v>111</v>
      </c>
      <c r="M740" s="32" t="s">
        <v>381</v>
      </c>
      <c r="N740" s="32" t="s">
        <v>379</v>
      </c>
    </row>
    <row r="741" spans="1:14" s="32" customFormat="1" hidden="1" x14ac:dyDescent="0.3">
      <c r="A741" s="38">
        <v>46223.683182870373</v>
      </c>
      <c r="B741" s="32">
        <v>4432325260</v>
      </c>
      <c r="C741" s="32" t="s">
        <v>49</v>
      </c>
      <c r="D741" s="32">
        <v>4430265054</v>
      </c>
      <c r="E741" s="32">
        <v>1540</v>
      </c>
      <c r="F741" s="32">
        <v>1510</v>
      </c>
      <c r="G741" s="32" t="s">
        <v>44</v>
      </c>
      <c r="H741" s="32" t="s">
        <v>805</v>
      </c>
      <c r="I741" s="32" t="s">
        <v>40</v>
      </c>
      <c r="J741" s="32" t="s">
        <v>46</v>
      </c>
      <c r="K741" s="32" t="s">
        <v>42</v>
      </c>
      <c r="M741" s="32" t="s">
        <v>51</v>
      </c>
      <c r="N741" s="32" t="s">
        <v>49</v>
      </c>
    </row>
    <row r="742" spans="1:14" s="32" customFormat="1" hidden="1" x14ac:dyDescent="0.3">
      <c r="A742" s="38">
        <v>46223.68277777778</v>
      </c>
      <c r="B742" s="32" t="s">
        <v>109</v>
      </c>
      <c r="C742" s="32">
        <v>91992981716</v>
      </c>
      <c r="E742" s="32">
        <v>5</v>
      </c>
      <c r="F742" s="32">
        <v>0</v>
      </c>
      <c r="G742" s="32" t="s">
        <v>63</v>
      </c>
      <c r="H742" s="32" t="s">
        <v>806</v>
      </c>
      <c r="I742" s="32" t="s">
        <v>54</v>
      </c>
      <c r="J742" s="32" t="s">
        <v>111</v>
      </c>
      <c r="M742" s="32" t="s">
        <v>112</v>
      </c>
      <c r="N742" s="32" t="s">
        <v>109</v>
      </c>
    </row>
    <row r="743" spans="1:14" s="32" customFormat="1" hidden="1" x14ac:dyDescent="0.3">
      <c r="A743" s="38">
        <v>46223.682604166665</v>
      </c>
      <c r="B743" s="32">
        <v>18996991511</v>
      </c>
      <c r="C743" s="32" t="s">
        <v>58</v>
      </c>
      <c r="D743" s="32">
        <v>4430265054</v>
      </c>
      <c r="E743" s="32">
        <v>537</v>
      </c>
      <c r="F743" s="32">
        <v>521</v>
      </c>
      <c r="G743" s="32" t="s">
        <v>44</v>
      </c>
      <c r="H743" s="32" t="s">
        <v>807</v>
      </c>
      <c r="I743" s="32" t="s">
        <v>40</v>
      </c>
      <c r="J743" s="32" t="s">
        <v>46</v>
      </c>
      <c r="K743" s="32" t="s">
        <v>42</v>
      </c>
      <c r="L743" s="32">
        <v>5</v>
      </c>
      <c r="M743" s="32" t="s">
        <v>60</v>
      </c>
      <c r="N743" s="32" t="s">
        <v>58</v>
      </c>
    </row>
    <row r="744" spans="1:14" s="32" customFormat="1" hidden="1" x14ac:dyDescent="0.3">
      <c r="A744" s="38">
        <v>46223.6796875</v>
      </c>
      <c r="B744" s="32" t="s">
        <v>109</v>
      </c>
      <c r="C744" s="32">
        <v>61992042483</v>
      </c>
      <c r="E744" s="32">
        <v>18</v>
      </c>
      <c r="F744" s="32">
        <v>0</v>
      </c>
      <c r="G744" s="32" t="s">
        <v>63</v>
      </c>
      <c r="H744" s="32" t="s">
        <v>808</v>
      </c>
      <c r="I744" s="32" t="s">
        <v>54</v>
      </c>
      <c r="J744" s="32" t="s">
        <v>111</v>
      </c>
      <c r="M744" s="32" t="s">
        <v>112</v>
      </c>
      <c r="N744" s="32" t="s">
        <v>109</v>
      </c>
    </row>
    <row r="745" spans="1:14" s="32" customFormat="1" hidden="1" x14ac:dyDescent="0.3">
      <c r="A745" s="38">
        <v>46223.679560185185</v>
      </c>
      <c r="B745" s="32">
        <v>4334232912</v>
      </c>
      <c r="C745" s="32" t="s">
        <v>43</v>
      </c>
      <c r="D745" s="32">
        <v>4430265054</v>
      </c>
      <c r="E745" s="32">
        <v>613</v>
      </c>
      <c r="F745" s="32">
        <v>559</v>
      </c>
      <c r="G745" s="32" t="s">
        <v>44</v>
      </c>
      <c r="H745" s="32" t="s">
        <v>809</v>
      </c>
      <c r="I745" s="32" t="s">
        <v>40</v>
      </c>
      <c r="J745" s="32" t="s">
        <v>46</v>
      </c>
      <c r="K745" s="32" t="s">
        <v>42</v>
      </c>
      <c r="M745" s="32" t="s">
        <v>47</v>
      </c>
      <c r="N745" s="32" t="s">
        <v>43</v>
      </c>
    </row>
    <row r="746" spans="1:14" s="32" customFormat="1" x14ac:dyDescent="0.3">
      <c r="A746" s="38">
        <v>46223.67931712963</v>
      </c>
      <c r="B746" s="32">
        <v>93991495484</v>
      </c>
      <c r="C746" s="32" t="s">
        <v>49</v>
      </c>
      <c r="D746" s="32">
        <v>4430265054</v>
      </c>
      <c r="E746" s="32">
        <v>329</v>
      </c>
      <c r="F746" s="32">
        <v>300</v>
      </c>
      <c r="G746" s="32" t="s">
        <v>44</v>
      </c>
      <c r="H746" s="32" t="s">
        <v>810</v>
      </c>
      <c r="I746" s="32" t="s">
        <v>40</v>
      </c>
      <c r="J746" s="32" t="s">
        <v>46</v>
      </c>
      <c r="K746" s="32" t="s">
        <v>42</v>
      </c>
      <c r="L746" s="32">
        <v>5</v>
      </c>
      <c r="M746" s="32" t="s">
        <v>51</v>
      </c>
      <c r="N746" s="32" t="s">
        <v>49</v>
      </c>
    </row>
    <row r="747" spans="1:14" s="32" customFormat="1" hidden="1" x14ac:dyDescent="0.3">
      <c r="A747" s="38">
        <v>46223.677986111114</v>
      </c>
      <c r="B747" s="32" t="s">
        <v>109</v>
      </c>
      <c r="C747" s="32">
        <v>7135067924</v>
      </c>
      <c r="E747" s="32">
        <v>5</v>
      </c>
      <c r="F747" s="32">
        <v>0</v>
      </c>
      <c r="G747" s="32" t="s">
        <v>63</v>
      </c>
      <c r="H747" s="32" t="s">
        <v>811</v>
      </c>
      <c r="I747" s="32" t="s">
        <v>54</v>
      </c>
      <c r="J747" s="32" t="s">
        <v>111</v>
      </c>
      <c r="M747" s="32" t="s">
        <v>112</v>
      </c>
      <c r="N747" s="32" t="s">
        <v>109</v>
      </c>
    </row>
    <row r="748" spans="1:14" s="32" customFormat="1" hidden="1" x14ac:dyDescent="0.3">
      <c r="A748" s="38">
        <v>46223.675057870372</v>
      </c>
      <c r="B748" s="32" t="s">
        <v>109</v>
      </c>
      <c r="C748" s="32">
        <v>67991940344</v>
      </c>
      <c r="E748" s="32">
        <v>11</v>
      </c>
      <c r="F748" s="32">
        <v>0</v>
      </c>
      <c r="G748" s="32" t="s">
        <v>63</v>
      </c>
      <c r="H748" s="32" t="s">
        <v>812</v>
      </c>
      <c r="I748" s="32" t="s">
        <v>54</v>
      </c>
      <c r="J748" s="32" t="s">
        <v>111</v>
      </c>
      <c r="M748" s="32" t="s">
        <v>112</v>
      </c>
      <c r="N748" s="32" t="s">
        <v>109</v>
      </c>
    </row>
    <row r="749" spans="1:14" s="32" customFormat="1" hidden="1" x14ac:dyDescent="0.3">
      <c r="A749" s="38">
        <v>46223.67423611111</v>
      </c>
      <c r="B749" s="32" t="s">
        <v>109</v>
      </c>
      <c r="C749" s="32">
        <v>7932463084</v>
      </c>
      <c r="E749" s="32">
        <v>9</v>
      </c>
      <c r="F749" s="32">
        <v>1</v>
      </c>
      <c r="G749" s="32" t="s">
        <v>44</v>
      </c>
      <c r="H749" s="32" t="s">
        <v>813</v>
      </c>
      <c r="I749" s="32" t="s">
        <v>54</v>
      </c>
      <c r="J749" s="32" t="s">
        <v>111</v>
      </c>
      <c r="M749" s="32" t="s">
        <v>112</v>
      </c>
      <c r="N749" s="32" t="s">
        <v>109</v>
      </c>
    </row>
    <row r="750" spans="1:14" s="32" customFormat="1" hidden="1" x14ac:dyDescent="0.3">
      <c r="A750" s="38">
        <v>46223.673634259256</v>
      </c>
      <c r="B750" s="32" t="s">
        <v>109</v>
      </c>
      <c r="C750" s="32">
        <v>82999089599</v>
      </c>
      <c r="E750" s="32">
        <v>5</v>
      </c>
      <c r="F750" s="32">
        <v>0</v>
      </c>
      <c r="G750" s="32" t="s">
        <v>63</v>
      </c>
      <c r="H750" s="32" t="s">
        <v>814</v>
      </c>
      <c r="I750" s="32" t="s">
        <v>54</v>
      </c>
      <c r="J750" s="32" t="s">
        <v>111</v>
      </c>
      <c r="M750" s="32" t="s">
        <v>112</v>
      </c>
      <c r="N750" s="32" t="s">
        <v>109</v>
      </c>
    </row>
    <row r="751" spans="1:14" s="32" customFormat="1" hidden="1" x14ac:dyDescent="0.3">
      <c r="A751" s="38">
        <v>46223.653449074074</v>
      </c>
      <c r="B751" s="32" t="s">
        <v>379</v>
      </c>
      <c r="C751" s="32" t="s">
        <v>207</v>
      </c>
      <c r="E751" s="32">
        <v>186</v>
      </c>
      <c r="F751" s="32">
        <v>182</v>
      </c>
      <c r="G751" s="32" t="s">
        <v>44</v>
      </c>
      <c r="H751" s="32" t="s">
        <v>815</v>
      </c>
      <c r="I751" s="32" t="s">
        <v>694</v>
      </c>
      <c r="J751" s="32" t="s">
        <v>111</v>
      </c>
      <c r="M751" s="32" t="s">
        <v>381</v>
      </c>
      <c r="N751" s="32" t="s">
        <v>379</v>
      </c>
    </row>
    <row r="752" spans="1:14" s="32" customFormat="1" hidden="1" x14ac:dyDescent="0.3">
      <c r="A752" s="38">
        <v>46223.653043981481</v>
      </c>
      <c r="B752" s="32" t="s">
        <v>207</v>
      </c>
      <c r="C752" s="32" t="s">
        <v>379</v>
      </c>
      <c r="E752" s="32">
        <v>19</v>
      </c>
      <c r="F752" s="32">
        <v>17</v>
      </c>
      <c r="G752" s="32" t="s">
        <v>44</v>
      </c>
      <c r="H752" s="32" t="s">
        <v>816</v>
      </c>
      <c r="I752" s="32" t="s">
        <v>694</v>
      </c>
      <c r="J752" s="32" t="s">
        <v>111</v>
      </c>
      <c r="M752" s="32" t="s">
        <v>209</v>
      </c>
      <c r="N752" s="32" t="s">
        <v>207</v>
      </c>
    </row>
    <row r="753" spans="1:14" s="32" customFormat="1" hidden="1" x14ac:dyDescent="0.3">
      <c r="A753" s="38">
        <v>46223.652905092589</v>
      </c>
      <c r="B753" s="32" t="s">
        <v>379</v>
      </c>
      <c r="C753" s="32" t="s">
        <v>109</v>
      </c>
      <c r="E753" s="32">
        <v>8</v>
      </c>
      <c r="F753" s="32">
        <v>0</v>
      </c>
      <c r="G753" s="32" t="s">
        <v>63</v>
      </c>
      <c r="H753" s="32" t="s">
        <v>817</v>
      </c>
      <c r="I753" s="32" t="s">
        <v>694</v>
      </c>
      <c r="J753" s="32" t="s">
        <v>111</v>
      </c>
      <c r="M753" s="32" t="s">
        <v>381</v>
      </c>
      <c r="N753" s="32" t="s">
        <v>379</v>
      </c>
    </row>
    <row r="754" spans="1:14" s="32" customFormat="1" hidden="1" x14ac:dyDescent="0.3">
      <c r="A754" s="38">
        <v>46223.652789351851</v>
      </c>
      <c r="B754" s="32" t="s">
        <v>379</v>
      </c>
      <c r="C754" s="32" t="s">
        <v>207</v>
      </c>
      <c r="E754" s="32">
        <v>9</v>
      </c>
      <c r="F754" s="32">
        <v>6</v>
      </c>
      <c r="G754" s="32" t="s">
        <v>44</v>
      </c>
      <c r="H754" s="32" t="s">
        <v>818</v>
      </c>
      <c r="I754" s="32" t="s">
        <v>694</v>
      </c>
      <c r="J754" s="32" t="s">
        <v>111</v>
      </c>
      <c r="M754" s="32" t="s">
        <v>381</v>
      </c>
      <c r="N754" s="32" t="s">
        <v>379</v>
      </c>
    </row>
    <row r="755" spans="1:14" s="32" customFormat="1" hidden="1" x14ac:dyDescent="0.3">
      <c r="A755" s="38">
        <v>46223.647118055553</v>
      </c>
      <c r="B755" s="32" t="s">
        <v>379</v>
      </c>
      <c r="C755" s="32" t="s">
        <v>207</v>
      </c>
      <c r="E755" s="32">
        <v>487</v>
      </c>
      <c r="F755" s="32">
        <v>481</v>
      </c>
      <c r="G755" s="32" t="s">
        <v>44</v>
      </c>
      <c r="H755" s="32" t="s">
        <v>819</v>
      </c>
      <c r="I755" s="32" t="s">
        <v>694</v>
      </c>
      <c r="J755" s="32" t="s">
        <v>111</v>
      </c>
      <c r="M755" s="32" t="s">
        <v>381</v>
      </c>
      <c r="N755" s="32" t="s">
        <v>379</v>
      </c>
    </row>
    <row r="756" spans="1:14" s="32" customFormat="1" hidden="1" x14ac:dyDescent="0.3">
      <c r="A756" s="38">
        <v>46223.64439814815</v>
      </c>
      <c r="B756" s="32" t="s">
        <v>43</v>
      </c>
      <c r="C756" s="32">
        <v>12997611769</v>
      </c>
      <c r="E756" s="32">
        <v>85</v>
      </c>
      <c r="F756" s="32">
        <v>75</v>
      </c>
      <c r="G756" s="32" t="s">
        <v>44</v>
      </c>
      <c r="H756" s="32" t="s">
        <v>820</v>
      </c>
      <c r="I756" s="32" t="s">
        <v>54</v>
      </c>
      <c r="J756" s="32" t="s">
        <v>46</v>
      </c>
      <c r="L756" s="32">
        <v>5</v>
      </c>
      <c r="M756" s="32" t="s">
        <v>47</v>
      </c>
      <c r="N756" s="32" t="s">
        <v>43</v>
      </c>
    </row>
    <row r="757" spans="1:14" s="32" customFormat="1" hidden="1" x14ac:dyDescent="0.3">
      <c r="A757" s="38">
        <v>46223.63921296296</v>
      </c>
      <c r="B757" s="32">
        <v>41988796768</v>
      </c>
      <c r="C757" s="32" t="s">
        <v>49</v>
      </c>
      <c r="D757" s="32">
        <v>4430265054</v>
      </c>
      <c r="E757" s="32">
        <v>322</v>
      </c>
      <c r="F757" s="32">
        <v>310</v>
      </c>
      <c r="G757" s="32" t="s">
        <v>44</v>
      </c>
      <c r="H757" s="32" t="s">
        <v>821</v>
      </c>
      <c r="I757" s="32" t="s">
        <v>40</v>
      </c>
      <c r="J757" s="32" t="s">
        <v>46</v>
      </c>
      <c r="K757" s="32" t="s">
        <v>42</v>
      </c>
      <c r="M757" s="32" t="s">
        <v>51</v>
      </c>
      <c r="N757" s="32" t="s">
        <v>49</v>
      </c>
    </row>
    <row r="758" spans="1:14" s="32" customFormat="1" hidden="1" x14ac:dyDescent="0.3">
      <c r="A758" s="38">
        <v>46223.636712962965</v>
      </c>
      <c r="B758" s="32">
        <v>41988796768</v>
      </c>
      <c r="C758" s="32" t="s">
        <v>58</v>
      </c>
      <c r="D758" s="32">
        <v>4430265054</v>
      </c>
      <c r="E758" s="32">
        <v>189</v>
      </c>
      <c r="F758" s="32">
        <v>10</v>
      </c>
      <c r="G758" s="32" t="s">
        <v>44</v>
      </c>
      <c r="H758" s="32" t="s">
        <v>822</v>
      </c>
      <c r="I758" s="32" t="s">
        <v>40</v>
      </c>
      <c r="J758" s="32" t="s">
        <v>46</v>
      </c>
      <c r="K758" s="32" t="s">
        <v>42</v>
      </c>
      <c r="M758" s="32" t="s">
        <v>60</v>
      </c>
      <c r="N758" s="32" t="s">
        <v>58</v>
      </c>
    </row>
    <row r="759" spans="1:14" s="32" customFormat="1" x14ac:dyDescent="0.3">
      <c r="A759" s="38">
        <v>46223.636180555557</v>
      </c>
      <c r="B759" s="32">
        <v>44991396687</v>
      </c>
      <c r="C759" s="32" t="s">
        <v>49</v>
      </c>
      <c r="D759" s="32">
        <v>4430265054</v>
      </c>
      <c r="E759" s="32">
        <v>252</v>
      </c>
      <c r="F759" s="32">
        <v>145</v>
      </c>
      <c r="G759" s="32" t="s">
        <v>44</v>
      </c>
      <c r="H759" s="32" t="s">
        <v>823</v>
      </c>
      <c r="I759" s="32" t="s">
        <v>40</v>
      </c>
      <c r="J759" s="32" t="s">
        <v>46</v>
      </c>
      <c r="K759" s="32" t="s">
        <v>42</v>
      </c>
      <c r="L759" s="32">
        <v>5</v>
      </c>
      <c r="M759" s="32" t="s">
        <v>51</v>
      </c>
      <c r="N759" s="32" t="s">
        <v>49</v>
      </c>
    </row>
    <row r="760" spans="1:14" s="32" customFormat="1" hidden="1" x14ac:dyDescent="0.3">
      <c r="A760" s="38">
        <v>46223.635972222219</v>
      </c>
      <c r="B760" s="32">
        <v>12997611769</v>
      </c>
      <c r="C760" s="32" t="s">
        <v>43</v>
      </c>
      <c r="D760" s="32">
        <v>4430265054</v>
      </c>
      <c r="E760" s="32">
        <v>328</v>
      </c>
      <c r="F760" s="32">
        <v>304</v>
      </c>
      <c r="G760" s="32" t="s">
        <v>44</v>
      </c>
      <c r="H760" s="32" t="s">
        <v>824</v>
      </c>
      <c r="I760" s="32" t="s">
        <v>40</v>
      </c>
      <c r="J760" s="32" t="s">
        <v>46</v>
      </c>
      <c r="K760" s="32" t="s">
        <v>42</v>
      </c>
      <c r="M760" s="32" t="s">
        <v>47</v>
      </c>
      <c r="N760" s="32" t="s">
        <v>43</v>
      </c>
    </row>
    <row r="761" spans="1:14" s="32" customFormat="1" hidden="1" x14ac:dyDescent="0.3">
      <c r="A761" s="38">
        <v>46223.632789351854</v>
      </c>
      <c r="B761" s="32">
        <v>4334232912</v>
      </c>
      <c r="C761" s="32" t="s">
        <v>49</v>
      </c>
      <c r="D761" s="32">
        <v>4430265054</v>
      </c>
      <c r="E761" s="32">
        <v>349</v>
      </c>
      <c r="F761" s="32">
        <v>317</v>
      </c>
      <c r="G761" s="32" t="s">
        <v>44</v>
      </c>
      <c r="H761" s="32" t="s">
        <v>825</v>
      </c>
      <c r="I761" s="32" t="s">
        <v>40</v>
      </c>
      <c r="J761" s="32" t="s">
        <v>46</v>
      </c>
      <c r="K761" s="32" t="s">
        <v>42</v>
      </c>
      <c r="M761" s="32" t="s">
        <v>51</v>
      </c>
      <c r="N761" s="32" t="s">
        <v>49</v>
      </c>
    </row>
    <row r="762" spans="1:14" s="32" customFormat="1" hidden="1" x14ac:dyDescent="0.3">
      <c r="A762" s="38">
        <v>46223.630914351852</v>
      </c>
      <c r="B762" s="32">
        <v>44999805049</v>
      </c>
      <c r="C762" s="32" t="s">
        <v>49</v>
      </c>
      <c r="D762" s="32">
        <v>4430265054</v>
      </c>
      <c r="E762" s="32">
        <v>110</v>
      </c>
      <c r="F762" s="32">
        <v>76</v>
      </c>
      <c r="G762" s="32" t="s">
        <v>44</v>
      </c>
      <c r="H762" s="32" t="s">
        <v>826</v>
      </c>
      <c r="I762" s="32" t="s">
        <v>40</v>
      </c>
      <c r="J762" s="32" t="s">
        <v>46</v>
      </c>
      <c r="K762" s="32" t="s">
        <v>42</v>
      </c>
      <c r="M762" s="32" t="s">
        <v>51</v>
      </c>
      <c r="N762" s="32" t="s">
        <v>49</v>
      </c>
    </row>
    <row r="763" spans="1:14" s="32" customFormat="1" hidden="1" x14ac:dyDescent="0.3">
      <c r="A763" s="38">
        <v>46223.627430555556</v>
      </c>
      <c r="B763" s="32">
        <v>4432256983</v>
      </c>
      <c r="C763" s="32" t="s">
        <v>43</v>
      </c>
      <c r="D763" s="32">
        <v>4430265054</v>
      </c>
      <c r="E763" s="32">
        <v>192</v>
      </c>
      <c r="F763" s="32">
        <v>169</v>
      </c>
      <c r="G763" s="32" t="s">
        <v>44</v>
      </c>
      <c r="H763" s="32" t="s">
        <v>827</v>
      </c>
      <c r="I763" s="32" t="s">
        <v>40</v>
      </c>
      <c r="J763" s="32" t="s">
        <v>46</v>
      </c>
      <c r="K763" s="32" t="s">
        <v>42</v>
      </c>
      <c r="L763" s="32">
        <v>5</v>
      </c>
      <c r="M763" s="32" t="s">
        <v>47</v>
      </c>
      <c r="N763" s="32" t="s">
        <v>43</v>
      </c>
    </row>
    <row r="764" spans="1:14" s="32" customFormat="1" hidden="1" x14ac:dyDescent="0.3">
      <c r="A764" s="38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38</v>
      </c>
      <c r="H764" s="32" t="s">
        <v>828</v>
      </c>
      <c r="I764" s="32" t="s">
        <v>40</v>
      </c>
      <c r="J764" s="32" t="s">
        <v>41</v>
      </c>
    </row>
    <row r="765" spans="1:14" s="32" customFormat="1" x14ac:dyDescent="0.3">
      <c r="A765" s="38">
        <v>46223.613946759258</v>
      </c>
      <c r="B765" s="32">
        <v>41997840159</v>
      </c>
      <c r="C765" s="32" t="s">
        <v>49</v>
      </c>
      <c r="D765" s="32">
        <v>4431268225</v>
      </c>
      <c r="E765" s="32">
        <v>747</v>
      </c>
      <c r="F765" s="32">
        <v>710</v>
      </c>
      <c r="G765" s="32" t="s">
        <v>44</v>
      </c>
      <c r="H765" s="32" t="s">
        <v>829</v>
      </c>
      <c r="I765" s="32" t="s">
        <v>40</v>
      </c>
      <c r="J765" s="32" t="s">
        <v>46</v>
      </c>
      <c r="K765" s="32" t="s">
        <v>42</v>
      </c>
      <c r="L765" s="32">
        <v>5</v>
      </c>
      <c r="M765" s="32" t="s">
        <v>51</v>
      </c>
      <c r="N765" s="32" t="s">
        <v>49</v>
      </c>
    </row>
    <row r="766" spans="1:14" s="32" customFormat="1" hidden="1" x14ac:dyDescent="0.3">
      <c r="A766" s="38">
        <v>46223.60864583333</v>
      </c>
      <c r="B766" s="32">
        <v>4130263118</v>
      </c>
      <c r="C766" s="32" t="s">
        <v>43</v>
      </c>
      <c r="D766" s="32">
        <v>4430265054</v>
      </c>
      <c r="E766" s="32">
        <v>960</v>
      </c>
      <c r="F766" s="32">
        <v>937</v>
      </c>
      <c r="G766" s="32" t="s">
        <v>44</v>
      </c>
      <c r="H766" s="32" t="s">
        <v>830</v>
      </c>
      <c r="I766" s="32" t="s">
        <v>40</v>
      </c>
      <c r="J766" s="32" t="s">
        <v>46</v>
      </c>
      <c r="K766" s="32" t="s">
        <v>42</v>
      </c>
      <c r="L766" s="32">
        <v>5</v>
      </c>
      <c r="M766" s="32" t="s">
        <v>47</v>
      </c>
      <c r="N766" s="32" t="s">
        <v>43</v>
      </c>
    </row>
    <row r="767" spans="1:14" s="32" customFormat="1" x14ac:dyDescent="0.3">
      <c r="A767" s="38">
        <v>46223.603344907409</v>
      </c>
      <c r="B767" s="32">
        <v>91981481202</v>
      </c>
      <c r="C767" s="32" t="s">
        <v>49</v>
      </c>
      <c r="D767" s="32">
        <v>4430265054</v>
      </c>
      <c r="E767" s="32">
        <v>787</v>
      </c>
      <c r="F767" s="32">
        <v>774</v>
      </c>
      <c r="G767" s="32" t="s">
        <v>44</v>
      </c>
      <c r="H767" s="32" t="s">
        <v>831</v>
      </c>
      <c r="I767" s="32" t="s">
        <v>40</v>
      </c>
      <c r="J767" s="32" t="s">
        <v>46</v>
      </c>
      <c r="K767" s="32" t="s">
        <v>42</v>
      </c>
      <c r="L767" s="32">
        <v>5</v>
      </c>
      <c r="M767" s="32" t="s">
        <v>51</v>
      </c>
      <c r="N767" s="32" t="s">
        <v>49</v>
      </c>
    </row>
    <row r="768" spans="1:14" s="32" customFormat="1" hidden="1" x14ac:dyDescent="0.3">
      <c r="A768" s="38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63</v>
      </c>
      <c r="H768" s="32" t="s">
        <v>832</v>
      </c>
      <c r="I768" s="32" t="s">
        <v>40</v>
      </c>
    </row>
    <row r="769" spans="1:14" s="32" customFormat="1" hidden="1" x14ac:dyDescent="0.3">
      <c r="A769" s="38">
        <v>46223.591643518521</v>
      </c>
      <c r="B769" s="32" t="s">
        <v>58</v>
      </c>
      <c r="C769" s="32">
        <v>4430346845</v>
      </c>
      <c r="E769" s="32">
        <v>183</v>
      </c>
      <c r="F769" s="32">
        <v>174</v>
      </c>
      <c r="G769" s="32" t="s">
        <v>44</v>
      </c>
      <c r="H769" s="32" t="s">
        <v>833</v>
      </c>
      <c r="I769" s="32" t="s">
        <v>54</v>
      </c>
      <c r="J769" s="32" t="s">
        <v>46</v>
      </c>
      <c r="M769" s="32" t="s">
        <v>60</v>
      </c>
      <c r="N769" s="32" t="s">
        <v>58</v>
      </c>
    </row>
    <row r="770" spans="1:14" s="32" customFormat="1" hidden="1" x14ac:dyDescent="0.3">
      <c r="A770" s="38">
        <v>46223.588622685187</v>
      </c>
      <c r="B770" s="32">
        <v>18996991511</v>
      </c>
      <c r="C770" s="32" t="s">
        <v>43</v>
      </c>
      <c r="D770" s="32">
        <v>4430265054</v>
      </c>
      <c r="E770" s="32">
        <v>471</v>
      </c>
      <c r="F770" s="32">
        <v>429</v>
      </c>
      <c r="G770" s="32" t="s">
        <v>44</v>
      </c>
      <c r="H770" s="32" t="s">
        <v>834</v>
      </c>
      <c r="I770" s="32" t="s">
        <v>40</v>
      </c>
      <c r="J770" s="32" t="s">
        <v>46</v>
      </c>
      <c r="K770" s="32" t="s">
        <v>42</v>
      </c>
      <c r="L770" s="32">
        <v>5</v>
      </c>
      <c r="M770" s="32" t="s">
        <v>47</v>
      </c>
      <c r="N770" s="32" t="s">
        <v>43</v>
      </c>
    </row>
    <row r="771" spans="1:14" s="32" customFormat="1" x14ac:dyDescent="0.3">
      <c r="A771" s="38">
        <v>46223.581759259258</v>
      </c>
      <c r="B771" s="32">
        <v>41997840159</v>
      </c>
      <c r="C771" s="32" t="s">
        <v>49</v>
      </c>
      <c r="D771" s="32">
        <v>4431268225</v>
      </c>
      <c r="E771" s="32">
        <v>508</v>
      </c>
      <c r="F771" s="32">
        <v>420</v>
      </c>
      <c r="G771" s="32" t="s">
        <v>44</v>
      </c>
      <c r="H771" s="32" t="s">
        <v>835</v>
      </c>
      <c r="I771" s="32" t="s">
        <v>40</v>
      </c>
      <c r="J771" s="32" t="s">
        <v>46</v>
      </c>
      <c r="K771" s="32" t="s">
        <v>42</v>
      </c>
      <c r="L771" s="32">
        <v>5</v>
      </c>
      <c r="M771" s="32" t="s">
        <v>51</v>
      </c>
      <c r="N771" s="32" t="s">
        <v>49</v>
      </c>
    </row>
    <row r="772" spans="1:14" s="32" customFormat="1" hidden="1" x14ac:dyDescent="0.3">
      <c r="A772" s="38">
        <v>46223.580509259256</v>
      </c>
      <c r="B772" s="32" t="s">
        <v>43</v>
      </c>
      <c r="C772" s="32">
        <v>4436249360</v>
      </c>
      <c r="E772" s="32">
        <v>475</v>
      </c>
      <c r="F772" s="32">
        <v>460</v>
      </c>
      <c r="G772" s="32" t="s">
        <v>44</v>
      </c>
      <c r="H772" s="32" t="s">
        <v>836</v>
      </c>
      <c r="I772" s="32" t="s">
        <v>54</v>
      </c>
      <c r="J772" s="32" t="s">
        <v>46</v>
      </c>
      <c r="M772" s="32" t="s">
        <v>47</v>
      </c>
      <c r="N772" s="32" t="s">
        <v>43</v>
      </c>
    </row>
    <row r="773" spans="1:14" s="32" customFormat="1" hidden="1" x14ac:dyDescent="0.3">
      <c r="A773" s="38">
        <v>46223.575729166667</v>
      </c>
      <c r="B773" s="32">
        <v>4430346845</v>
      </c>
      <c r="C773" s="32" t="s">
        <v>58</v>
      </c>
      <c r="D773" s="32">
        <v>4430265054</v>
      </c>
      <c r="E773" s="32">
        <v>247</v>
      </c>
      <c r="F773" s="32">
        <v>146</v>
      </c>
      <c r="G773" s="32" t="s">
        <v>44</v>
      </c>
      <c r="H773" s="32" t="s">
        <v>837</v>
      </c>
      <c r="I773" s="32" t="s">
        <v>40</v>
      </c>
      <c r="J773" s="32" t="s">
        <v>46</v>
      </c>
      <c r="K773" s="32" t="s">
        <v>42</v>
      </c>
      <c r="M773" s="32" t="s">
        <v>60</v>
      </c>
      <c r="N773" s="32" t="s">
        <v>58</v>
      </c>
    </row>
    <row r="774" spans="1:14" s="32" customFormat="1" x14ac:dyDescent="0.3">
      <c r="A774" s="38">
        <v>46223.573935185188</v>
      </c>
      <c r="B774" s="32">
        <v>44997735525</v>
      </c>
      <c r="C774" s="32" t="s">
        <v>49</v>
      </c>
      <c r="D774" s="32">
        <v>4430265054</v>
      </c>
      <c r="E774" s="32">
        <v>422</v>
      </c>
      <c r="F774" s="32">
        <v>350</v>
      </c>
      <c r="G774" s="32" t="s">
        <v>44</v>
      </c>
      <c r="H774" s="32" t="s">
        <v>838</v>
      </c>
      <c r="I774" s="32" t="s">
        <v>40</v>
      </c>
      <c r="J774" s="32" t="s">
        <v>46</v>
      </c>
      <c r="K774" s="32" t="s">
        <v>42</v>
      </c>
      <c r="L774" s="32">
        <v>5</v>
      </c>
      <c r="M774" s="32" t="s">
        <v>51</v>
      </c>
      <c r="N774" s="32" t="s">
        <v>49</v>
      </c>
    </row>
    <row r="775" spans="1:14" s="32" customFormat="1" hidden="1" x14ac:dyDescent="0.3">
      <c r="A775" s="38">
        <v>46223.572731481479</v>
      </c>
      <c r="B775" s="32" t="s">
        <v>43</v>
      </c>
      <c r="C775" s="32">
        <v>44998562645</v>
      </c>
      <c r="E775" s="32">
        <v>485</v>
      </c>
      <c r="F775" s="32">
        <v>480</v>
      </c>
      <c r="G775" s="32" t="s">
        <v>44</v>
      </c>
      <c r="H775" s="32" t="s">
        <v>839</v>
      </c>
      <c r="I775" s="32" t="s">
        <v>54</v>
      </c>
      <c r="J775" s="32" t="s">
        <v>46</v>
      </c>
      <c r="L775" s="32">
        <v>5</v>
      </c>
      <c r="M775" s="32" t="s">
        <v>47</v>
      </c>
      <c r="N775" s="32" t="s">
        <v>43</v>
      </c>
    </row>
    <row r="776" spans="1:14" s="32" customFormat="1" hidden="1" x14ac:dyDescent="0.3">
      <c r="A776" s="38">
        <v>46223.57267361111</v>
      </c>
      <c r="B776" s="32" t="s">
        <v>43</v>
      </c>
      <c r="C776" s="32">
        <v>44998562645</v>
      </c>
      <c r="E776" s="32">
        <v>4</v>
      </c>
      <c r="F776" s="32">
        <v>0</v>
      </c>
      <c r="G776" s="32" t="s">
        <v>63</v>
      </c>
      <c r="H776" s="32" t="s">
        <v>840</v>
      </c>
      <c r="I776" s="32" t="s">
        <v>54</v>
      </c>
      <c r="J776" s="32" t="s">
        <v>46</v>
      </c>
      <c r="M776" s="32" t="s">
        <v>47</v>
      </c>
      <c r="N776" s="32" t="s">
        <v>43</v>
      </c>
    </row>
    <row r="777" spans="1:14" s="32" customFormat="1" hidden="1" x14ac:dyDescent="0.3">
      <c r="A777" s="38">
        <v>46223.563101851854</v>
      </c>
      <c r="B777" s="32">
        <v>44998562645</v>
      </c>
      <c r="C777" s="32" t="s">
        <v>43</v>
      </c>
      <c r="D777" s="32">
        <v>4430265054</v>
      </c>
      <c r="E777" s="32">
        <v>819</v>
      </c>
      <c r="F777" s="32">
        <v>775</v>
      </c>
      <c r="G777" s="32" t="s">
        <v>44</v>
      </c>
      <c r="H777" s="32" t="s">
        <v>841</v>
      </c>
      <c r="I777" s="32" t="s">
        <v>40</v>
      </c>
      <c r="J777" s="32" t="s">
        <v>46</v>
      </c>
      <c r="K777" s="32" t="s">
        <v>42</v>
      </c>
      <c r="M777" s="32" t="s">
        <v>47</v>
      </c>
      <c r="N777" s="32" t="s">
        <v>43</v>
      </c>
    </row>
    <row r="778" spans="1:14" s="32" customFormat="1" hidden="1" x14ac:dyDescent="0.3">
      <c r="A778" s="38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38</v>
      </c>
      <c r="H778" s="32" t="s">
        <v>842</v>
      </c>
      <c r="I778" s="32" t="s">
        <v>40</v>
      </c>
      <c r="J778" s="32" t="s">
        <v>41</v>
      </c>
    </row>
    <row r="779" spans="1:14" s="32" customFormat="1" hidden="1" x14ac:dyDescent="0.3">
      <c r="A779" s="38">
        <v>46223.493043981478</v>
      </c>
      <c r="B779" s="32">
        <v>4130760170</v>
      </c>
      <c r="C779" s="32" t="s">
        <v>49</v>
      </c>
      <c r="D779" s="32">
        <v>4430265054</v>
      </c>
      <c r="E779" s="32">
        <v>510</v>
      </c>
      <c r="F779" s="32">
        <v>482</v>
      </c>
      <c r="G779" s="32" t="s">
        <v>44</v>
      </c>
      <c r="H779" s="32" t="s">
        <v>843</v>
      </c>
      <c r="I779" s="32" t="s">
        <v>40</v>
      </c>
      <c r="J779" s="32" t="s">
        <v>46</v>
      </c>
      <c r="K779" s="32" t="s">
        <v>42</v>
      </c>
      <c r="M779" s="32" t="s">
        <v>51</v>
      </c>
      <c r="N779" s="32" t="s">
        <v>49</v>
      </c>
    </row>
    <row r="780" spans="1:14" s="32" customFormat="1" hidden="1" x14ac:dyDescent="0.3">
      <c r="A780" s="38">
        <v>46223.479814814818</v>
      </c>
      <c r="B780" s="32" t="s">
        <v>58</v>
      </c>
      <c r="C780" s="32">
        <v>4434231198</v>
      </c>
      <c r="E780" s="32">
        <v>123</v>
      </c>
      <c r="F780" s="32">
        <v>119</v>
      </c>
      <c r="G780" s="32" t="s">
        <v>44</v>
      </c>
      <c r="H780" s="32" t="s">
        <v>844</v>
      </c>
      <c r="I780" s="32" t="s">
        <v>54</v>
      </c>
      <c r="J780" s="32" t="s">
        <v>46</v>
      </c>
      <c r="M780" s="32" t="s">
        <v>60</v>
      </c>
      <c r="N780" s="32" t="s">
        <v>58</v>
      </c>
    </row>
    <row r="781" spans="1:14" s="32" customFormat="1" hidden="1" x14ac:dyDescent="0.3">
      <c r="A781" s="38">
        <v>46223.463333333333</v>
      </c>
      <c r="B781" s="32" t="s">
        <v>58</v>
      </c>
      <c r="C781" s="32">
        <v>44997710633</v>
      </c>
      <c r="E781" s="32">
        <v>9</v>
      </c>
      <c r="F781" s="32">
        <v>0</v>
      </c>
      <c r="G781" s="32" t="s">
        <v>63</v>
      </c>
      <c r="H781" s="32" t="s">
        <v>845</v>
      </c>
      <c r="I781" s="32" t="s">
        <v>54</v>
      </c>
      <c r="J781" s="32" t="s">
        <v>46</v>
      </c>
      <c r="M781" s="32" t="s">
        <v>60</v>
      </c>
      <c r="N781" s="32" t="s">
        <v>58</v>
      </c>
    </row>
    <row r="782" spans="1:14" s="32" customFormat="1" hidden="1" x14ac:dyDescent="0.3">
      <c r="A782" s="38">
        <v>46223.445381944446</v>
      </c>
      <c r="B782" s="32">
        <v>43991690403</v>
      </c>
      <c r="C782" s="32" t="s">
        <v>43</v>
      </c>
      <c r="D782" s="32">
        <v>4430265054</v>
      </c>
      <c r="E782" s="32">
        <v>479</v>
      </c>
      <c r="F782" s="32">
        <v>436</v>
      </c>
      <c r="G782" s="32" t="s">
        <v>44</v>
      </c>
      <c r="H782" s="32" t="s">
        <v>846</v>
      </c>
      <c r="I782" s="32" t="s">
        <v>40</v>
      </c>
      <c r="J782" s="32" t="s">
        <v>46</v>
      </c>
      <c r="K782" s="32" t="s">
        <v>42</v>
      </c>
      <c r="M782" s="32" t="s">
        <v>47</v>
      </c>
      <c r="N782" s="32" t="s">
        <v>43</v>
      </c>
    </row>
    <row r="783" spans="1:14" s="32" customFormat="1" hidden="1" x14ac:dyDescent="0.3">
      <c r="A783" s="38">
        <v>46223.436793981484</v>
      </c>
      <c r="B783" s="32">
        <v>81988293889</v>
      </c>
      <c r="C783" s="32" t="s">
        <v>43</v>
      </c>
      <c r="D783" s="32">
        <v>4431268225</v>
      </c>
      <c r="E783" s="32">
        <v>290</v>
      </c>
      <c r="F783" s="32">
        <v>247</v>
      </c>
      <c r="G783" s="32" t="s">
        <v>44</v>
      </c>
      <c r="H783" s="32" t="s">
        <v>847</v>
      </c>
      <c r="I783" s="32" t="s">
        <v>40</v>
      </c>
      <c r="J783" s="32" t="s">
        <v>46</v>
      </c>
      <c r="K783" s="32" t="s">
        <v>42</v>
      </c>
      <c r="M783" s="32" t="s">
        <v>47</v>
      </c>
      <c r="N783" s="32" t="s">
        <v>43</v>
      </c>
    </row>
    <row r="784" spans="1:14" s="32" customFormat="1" hidden="1" x14ac:dyDescent="0.3">
      <c r="A784" s="38">
        <v>46223.434618055559</v>
      </c>
      <c r="B784" s="32">
        <v>4334226481</v>
      </c>
      <c r="C784" s="32" t="s">
        <v>49</v>
      </c>
      <c r="D784" s="32">
        <v>4430265054</v>
      </c>
      <c r="E784" s="32">
        <v>1027</v>
      </c>
      <c r="F784" s="32">
        <v>964</v>
      </c>
      <c r="G784" s="32" t="s">
        <v>44</v>
      </c>
      <c r="H784" s="32" t="s">
        <v>848</v>
      </c>
      <c r="I784" s="32" t="s">
        <v>40</v>
      </c>
      <c r="J784" s="32" t="s">
        <v>46</v>
      </c>
      <c r="K784" s="32" t="s">
        <v>42</v>
      </c>
      <c r="M784" s="32" t="s">
        <v>51</v>
      </c>
      <c r="N784" s="32" t="s">
        <v>49</v>
      </c>
    </row>
    <row r="785" spans="1:14" s="32" customFormat="1" hidden="1" x14ac:dyDescent="0.3">
      <c r="A785" s="38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38</v>
      </c>
      <c r="H785" s="32" t="s">
        <v>849</v>
      </c>
      <c r="I785" s="32" t="s">
        <v>40</v>
      </c>
      <c r="J785" s="32" t="s">
        <v>41</v>
      </c>
    </row>
    <row r="786" spans="1:14" s="32" customFormat="1" hidden="1" x14ac:dyDescent="0.3">
      <c r="A786" s="38">
        <v>46223.41914351852</v>
      </c>
      <c r="B786" s="32">
        <v>18996991511</v>
      </c>
      <c r="C786" s="32" t="s">
        <v>43</v>
      </c>
      <c r="D786" s="32">
        <v>4430265054</v>
      </c>
      <c r="E786" s="32">
        <v>1258</v>
      </c>
      <c r="F786" s="32">
        <v>1233</v>
      </c>
      <c r="G786" s="32" t="s">
        <v>44</v>
      </c>
      <c r="H786" s="32" t="s">
        <v>850</v>
      </c>
      <c r="I786" s="32" t="s">
        <v>40</v>
      </c>
      <c r="J786" s="32" t="s">
        <v>46</v>
      </c>
      <c r="K786" s="32" t="s">
        <v>42</v>
      </c>
      <c r="L786" s="32">
        <v>5</v>
      </c>
      <c r="M786" s="32" t="s">
        <v>47</v>
      </c>
      <c r="N786" s="32" t="s">
        <v>43</v>
      </c>
    </row>
    <row r="787" spans="1:14" s="32" customFormat="1" hidden="1" x14ac:dyDescent="0.3">
      <c r="A787" s="38">
        <v>46223.418854166666</v>
      </c>
      <c r="B787" s="32" t="s">
        <v>207</v>
      </c>
      <c r="C787" s="32">
        <v>91991060530</v>
      </c>
      <c r="E787" s="32">
        <v>41</v>
      </c>
      <c r="F787" s="32">
        <v>11</v>
      </c>
      <c r="G787" s="32" t="s">
        <v>44</v>
      </c>
      <c r="H787" s="32" t="s">
        <v>851</v>
      </c>
      <c r="I787" s="32" t="s">
        <v>54</v>
      </c>
      <c r="J787" s="32" t="s">
        <v>111</v>
      </c>
      <c r="M787" s="32" t="s">
        <v>209</v>
      </c>
      <c r="N787" s="32" t="s">
        <v>207</v>
      </c>
    </row>
    <row r="788" spans="1:14" s="32" customFormat="1" hidden="1" x14ac:dyDescent="0.3">
      <c r="A788" s="38">
        <v>46223.417222222219</v>
      </c>
      <c r="B788" s="32" t="s">
        <v>207</v>
      </c>
      <c r="C788" s="32">
        <v>62999713753</v>
      </c>
      <c r="E788" s="32">
        <v>39</v>
      </c>
      <c r="F788" s="32">
        <v>1</v>
      </c>
      <c r="G788" s="32" t="s">
        <v>44</v>
      </c>
      <c r="H788" s="32" t="s">
        <v>852</v>
      </c>
      <c r="I788" s="32" t="s">
        <v>54</v>
      </c>
      <c r="J788" s="32" t="s">
        <v>111</v>
      </c>
      <c r="M788" s="32" t="s">
        <v>209</v>
      </c>
      <c r="N788" s="32" t="s">
        <v>207</v>
      </c>
    </row>
    <row r="789" spans="1:14" s="32" customFormat="1" hidden="1" x14ac:dyDescent="0.3">
      <c r="A789" s="38">
        <v>46223.414467592593</v>
      </c>
      <c r="B789" s="32">
        <v>44998761561</v>
      </c>
      <c r="C789" s="32" t="s">
        <v>49</v>
      </c>
      <c r="D789" s="32">
        <v>4430265054</v>
      </c>
      <c r="E789" s="32">
        <v>202</v>
      </c>
      <c r="F789" s="32">
        <v>83</v>
      </c>
      <c r="G789" s="32" t="s">
        <v>44</v>
      </c>
      <c r="H789" s="32" t="s">
        <v>853</v>
      </c>
      <c r="I789" s="32" t="s">
        <v>40</v>
      </c>
      <c r="J789" s="32" t="s">
        <v>46</v>
      </c>
      <c r="K789" s="32" t="s">
        <v>42</v>
      </c>
      <c r="M789" s="32" t="s">
        <v>51</v>
      </c>
      <c r="N789" s="32" t="s">
        <v>49</v>
      </c>
    </row>
    <row r="790" spans="1:14" s="32" customFormat="1" hidden="1" x14ac:dyDescent="0.3">
      <c r="A790" s="38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38</v>
      </c>
      <c r="H790" s="32" t="s">
        <v>854</v>
      </c>
      <c r="I790" s="32" t="s">
        <v>40</v>
      </c>
      <c r="J790" s="32" t="s">
        <v>41</v>
      </c>
      <c r="K790" s="32" t="s">
        <v>42</v>
      </c>
    </row>
    <row r="791" spans="1:14" s="32" customFormat="1" hidden="1" x14ac:dyDescent="0.3">
      <c r="A791" s="38">
        <v>46223.410520833335</v>
      </c>
      <c r="B791" s="32">
        <v>4430318515</v>
      </c>
      <c r="C791" s="32" t="s">
        <v>109</v>
      </c>
      <c r="D791" s="32">
        <v>4430265054</v>
      </c>
      <c r="E791" s="32">
        <v>220</v>
      </c>
      <c r="F791" s="32">
        <v>198</v>
      </c>
      <c r="G791" s="32" t="s">
        <v>44</v>
      </c>
      <c r="H791" s="32" t="s">
        <v>855</v>
      </c>
      <c r="I791" s="32" t="s">
        <v>40</v>
      </c>
      <c r="J791" s="32" t="s">
        <v>111</v>
      </c>
      <c r="K791" s="32" t="s">
        <v>212</v>
      </c>
      <c r="M791" s="32" t="s">
        <v>112</v>
      </c>
      <c r="N791" s="32" t="s">
        <v>109</v>
      </c>
    </row>
    <row r="792" spans="1:14" s="32" customFormat="1" hidden="1" x14ac:dyDescent="0.3">
      <c r="A792" s="38">
        <v>46223.402141203704</v>
      </c>
      <c r="B792" s="32">
        <v>4430289386</v>
      </c>
      <c r="C792" s="32" t="s">
        <v>58</v>
      </c>
      <c r="D792" s="32">
        <v>4430265054</v>
      </c>
      <c r="E792" s="32">
        <v>207</v>
      </c>
      <c r="F792" s="32">
        <v>145</v>
      </c>
      <c r="G792" s="32" t="s">
        <v>44</v>
      </c>
      <c r="H792" s="32" t="s">
        <v>856</v>
      </c>
      <c r="I792" s="32" t="s">
        <v>40</v>
      </c>
      <c r="J792" s="32" t="s">
        <v>46</v>
      </c>
      <c r="K792" s="32" t="s">
        <v>42</v>
      </c>
      <c r="M792" s="32" t="s">
        <v>60</v>
      </c>
      <c r="N792" s="32" t="s">
        <v>58</v>
      </c>
    </row>
    <row r="793" spans="1:14" s="32" customFormat="1" hidden="1" x14ac:dyDescent="0.3">
      <c r="A793" s="38">
        <v>46223.399016203701</v>
      </c>
      <c r="B793" s="32" t="s">
        <v>58</v>
      </c>
      <c r="C793" s="32">
        <v>4430256607</v>
      </c>
      <c r="E793" s="32">
        <v>80</v>
      </c>
      <c r="F793" s="32">
        <v>71</v>
      </c>
      <c r="G793" s="32" t="s">
        <v>44</v>
      </c>
      <c r="H793" s="32" t="s">
        <v>857</v>
      </c>
      <c r="I793" s="32" t="s">
        <v>54</v>
      </c>
      <c r="J793" s="32" t="s">
        <v>46</v>
      </c>
      <c r="M793" s="32" t="s">
        <v>60</v>
      </c>
      <c r="N793" s="32" t="s">
        <v>58</v>
      </c>
    </row>
    <row r="794" spans="1:14" s="32" customFormat="1" hidden="1" x14ac:dyDescent="0.3">
      <c r="A794" s="38">
        <v>46223.398842592593</v>
      </c>
      <c r="B794" s="32">
        <v>35998295948</v>
      </c>
      <c r="C794" s="32" t="s">
        <v>43</v>
      </c>
      <c r="D794" s="32">
        <v>4430265054</v>
      </c>
      <c r="E794" s="32">
        <v>244</v>
      </c>
      <c r="F794" s="32">
        <v>204</v>
      </c>
      <c r="G794" s="32" t="s">
        <v>44</v>
      </c>
      <c r="H794" s="32" t="s">
        <v>858</v>
      </c>
      <c r="I794" s="32" t="s">
        <v>40</v>
      </c>
      <c r="J794" s="32" t="s">
        <v>46</v>
      </c>
      <c r="K794" s="32" t="s">
        <v>42</v>
      </c>
      <c r="M794" s="32" t="s">
        <v>47</v>
      </c>
      <c r="N794" s="32" t="s">
        <v>43</v>
      </c>
    </row>
    <row r="795" spans="1:14" s="32" customFormat="1" hidden="1" x14ac:dyDescent="0.3">
      <c r="A795" s="38">
        <v>46223.395648148151</v>
      </c>
      <c r="B795" s="32" t="s">
        <v>109</v>
      </c>
      <c r="C795" s="32">
        <v>67992575209</v>
      </c>
      <c r="E795" s="32">
        <v>9</v>
      </c>
      <c r="F795" s="32">
        <v>1</v>
      </c>
      <c r="G795" s="32" t="s">
        <v>44</v>
      </c>
      <c r="H795" s="32" t="s">
        <v>859</v>
      </c>
      <c r="I795" s="32" t="s">
        <v>54</v>
      </c>
      <c r="J795" s="32" t="s">
        <v>111</v>
      </c>
      <c r="M795" s="32" t="s">
        <v>112</v>
      </c>
      <c r="N795" s="32" t="s">
        <v>109</v>
      </c>
    </row>
    <row r="796" spans="1:14" s="32" customFormat="1" hidden="1" x14ac:dyDescent="0.3">
      <c r="A796" s="38">
        <v>46223.393796296295</v>
      </c>
      <c r="B796" s="32" t="s">
        <v>109</v>
      </c>
      <c r="C796" s="32">
        <v>11982895018</v>
      </c>
      <c r="E796" s="32">
        <v>28</v>
      </c>
      <c r="F796" s="32">
        <v>0</v>
      </c>
      <c r="G796" s="32" t="s">
        <v>63</v>
      </c>
      <c r="H796" s="32" t="s">
        <v>860</v>
      </c>
      <c r="I796" s="32" t="s">
        <v>54</v>
      </c>
      <c r="J796" s="32" t="s">
        <v>111</v>
      </c>
      <c r="M796" s="32" t="s">
        <v>112</v>
      </c>
      <c r="N796" s="32" t="s">
        <v>109</v>
      </c>
    </row>
    <row r="797" spans="1:14" s="32" customFormat="1" hidden="1" x14ac:dyDescent="0.3">
      <c r="A797" s="38">
        <v>46223.393113425926</v>
      </c>
      <c r="B797" s="32" t="s">
        <v>109</v>
      </c>
      <c r="C797" s="32">
        <v>92993594949</v>
      </c>
      <c r="E797" s="32">
        <v>32</v>
      </c>
      <c r="F797" s="32">
        <v>0</v>
      </c>
      <c r="G797" s="32" t="s">
        <v>63</v>
      </c>
      <c r="H797" s="32" t="s">
        <v>861</v>
      </c>
      <c r="I797" s="32" t="s">
        <v>54</v>
      </c>
      <c r="J797" s="32" t="s">
        <v>111</v>
      </c>
      <c r="M797" s="32" t="s">
        <v>112</v>
      </c>
      <c r="N797" s="32" t="s">
        <v>109</v>
      </c>
    </row>
    <row r="798" spans="1:14" s="32" customFormat="1" hidden="1" x14ac:dyDescent="0.3">
      <c r="A798" s="38">
        <v>46223.392650462964</v>
      </c>
      <c r="B798" s="32">
        <v>4435228300</v>
      </c>
      <c r="C798" s="32" t="s">
        <v>49</v>
      </c>
      <c r="D798" s="32">
        <v>4430265054</v>
      </c>
      <c r="E798" s="32">
        <v>1567</v>
      </c>
      <c r="F798" s="32">
        <v>1450</v>
      </c>
      <c r="G798" s="32" t="s">
        <v>44</v>
      </c>
      <c r="H798" s="32" t="s">
        <v>862</v>
      </c>
      <c r="I798" s="32" t="s">
        <v>40</v>
      </c>
      <c r="J798" s="32" t="s">
        <v>46</v>
      </c>
      <c r="K798" s="32" t="s">
        <v>42</v>
      </c>
      <c r="M798" s="32" t="s">
        <v>51</v>
      </c>
      <c r="N798" s="32" t="s">
        <v>49</v>
      </c>
    </row>
    <row r="799" spans="1:14" s="32" customFormat="1" hidden="1" x14ac:dyDescent="0.3">
      <c r="A799" s="38">
        <v>46223.392476851855</v>
      </c>
      <c r="B799" s="32" t="s">
        <v>109</v>
      </c>
      <c r="C799" s="32">
        <v>69984285544</v>
      </c>
      <c r="E799" s="32">
        <v>4</v>
      </c>
      <c r="F799" s="32">
        <v>0</v>
      </c>
      <c r="G799" s="32" t="s">
        <v>63</v>
      </c>
      <c r="H799" s="32" t="s">
        <v>863</v>
      </c>
      <c r="I799" s="32" t="s">
        <v>54</v>
      </c>
      <c r="J799" s="32" t="s">
        <v>111</v>
      </c>
      <c r="M799" s="32" t="s">
        <v>112</v>
      </c>
      <c r="N799" s="32" t="s">
        <v>109</v>
      </c>
    </row>
    <row r="800" spans="1:14" s="32" customFormat="1" hidden="1" x14ac:dyDescent="0.3">
      <c r="A800" s="38">
        <v>46223.385925925926</v>
      </c>
      <c r="B800" s="32" t="s">
        <v>109</v>
      </c>
      <c r="C800" s="32">
        <v>61991275428</v>
      </c>
      <c r="E800" s="32">
        <v>15</v>
      </c>
      <c r="F800" s="32">
        <v>1</v>
      </c>
      <c r="G800" s="32" t="s">
        <v>44</v>
      </c>
      <c r="H800" s="32" t="s">
        <v>864</v>
      </c>
      <c r="I800" s="32" t="s">
        <v>54</v>
      </c>
      <c r="J800" s="32" t="s">
        <v>111</v>
      </c>
      <c r="M800" s="32" t="s">
        <v>112</v>
      </c>
      <c r="N800" s="32" t="s">
        <v>109</v>
      </c>
    </row>
    <row r="801" spans="1:14" s="32" customFormat="1" hidden="1" x14ac:dyDescent="0.3">
      <c r="A801" s="38">
        <v>46223.385324074072</v>
      </c>
      <c r="B801" s="32" t="s">
        <v>109</v>
      </c>
      <c r="C801" s="32">
        <v>47974008912</v>
      </c>
      <c r="E801" s="32">
        <v>4</v>
      </c>
      <c r="F801" s="32">
        <v>0</v>
      </c>
      <c r="G801" s="32" t="s">
        <v>63</v>
      </c>
      <c r="H801" s="32" t="s">
        <v>865</v>
      </c>
      <c r="I801" s="32" t="s">
        <v>54</v>
      </c>
      <c r="J801" s="32" t="s">
        <v>111</v>
      </c>
      <c r="M801" s="32" t="s">
        <v>112</v>
      </c>
      <c r="N801" s="32" t="s">
        <v>109</v>
      </c>
    </row>
    <row r="802" spans="1:14" s="32" customFormat="1" hidden="1" x14ac:dyDescent="0.3">
      <c r="A802" s="38">
        <v>46223.384652777779</v>
      </c>
      <c r="B802" s="32" t="s">
        <v>109</v>
      </c>
      <c r="C802" s="32">
        <v>85987370817</v>
      </c>
      <c r="E802" s="32">
        <v>15</v>
      </c>
      <c r="F802" s="32">
        <v>3</v>
      </c>
      <c r="G802" s="32" t="s">
        <v>44</v>
      </c>
      <c r="H802" s="32" t="s">
        <v>866</v>
      </c>
      <c r="I802" s="32" t="s">
        <v>54</v>
      </c>
      <c r="J802" s="32" t="s">
        <v>111</v>
      </c>
      <c r="M802" s="32" t="s">
        <v>112</v>
      </c>
      <c r="N802" s="32" t="s">
        <v>109</v>
      </c>
    </row>
    <row r="803" spans="1:14" s="32" customFormat="1" hidden="1" x14ac:dyDescent="0.3">
      <c r="A803" s="38">
        <v>46223.383599537039</v>
      </c>
      <c r="B803" s="32">
        <v>4130760170</v>
      </c>
      <c r="C803" s="32" t="s">
        <v>58</v>
      </c>
      <c r="D803" s="32">
        <v>4430265054</v>
      </c>
      <c r="E803" s="32">
        <v>283</v>
      </c>
      <c r="F803" s="32">
        <v>239</v>
      </c>
      <c r="G803" s="32" t="s">
        <v>44</v>
      </c>
      <c r="H803" s="32" t="s">
        <v>867</v>
      </c>
      <c r="I803" s="32" t="s">
        <v>40</v>
      </c>
      <c r="J803" s="32" t="s">
        <v>46</v>
      </c>
      <c r="K803" s="32" t="s">
        <v>42</v>
      </c>
      <c r="M803" s="32" t="s">
        <v>60</v>
      </c>
      <c r="N803" s="32" t="s">
        <v>58</v>
      </c>
    </row>
    <row r="804" spans="1:14" s="32" customFormat="1" hidden="1" x14ac:dyDescent="0.3">
      <c r="A804" s="38">
        <v>46223.380740740744</v>
      </c>
      <c r="B804" s="32">
        <v>35998295948</v>
      </c>
      <c r="C804" s="32" t="s">
        <v>43</v>
      </c>
      <c r="D804" s="32">
        <v>4430265054</v>
      </c>
      <c r="E804" s="32">
        <v>477</v>
      </c>
      <c r="F804" s="32">
        <v>456</v>
      </c>
      <c r="G804" s="32" t="s">
        <v>44</v>
      </c>
      <c r="H804" s="32" t="s">
        <v>868</v>
      </c>
      <c r="I804" s="32" t="s">
        <v>40</v>
      </c>
      <c r="J804" s="32" t="s">
        <v>46</v>
      </c>
      <c r="K804" s="32" t="s">
        <v>42</v>
      </c>
      <c r="M804" s="32" t="s">
        <v>47</v>
      </c>
      <c r="N804" s="32" t="s">
        <v>43</v>
      </c>
    </row>
    <row r="805" spans="1:14" s="32" customFormat="1" hidden="1" x14ac:dyDescent="0.3">
      <c r="A805" s="38">
        <v>46223.376099537039</v>
      </c>
      <c r="B805" s="32" t="s">
        <v>58</v>
      </c>
      <c r="C805" s="32">
        <v>44998761561</v>
      </c>
      <c r="E805" s="32">
        <v>311</v>
      </c>
      <c r="F805" s="32">
        <v>300</v>
      </c>
      <c r="G805" s="32" t="s">
        <v>44</v>
      </c>
      <c r="H805" s="32" t="s">
        <v>869</v>
      </c>
      <c r="I805" s="32" t="s">
        <v>54</v>
      </c>
      <c r="J805" s="32" t="s">
        <v>46</v>
      </c>
      <c r="M805" s="32" t="s">
        <v>60</v>
      </c>
      <c r="N805" s="32" t="s">
        <v>58</v>
      </c>
    </row>
    <row r="806" spans="1:14" s="32" customFormat="1" hidden="1" x14ac:dyDescent="0.3">
      <c r="A806" s="38">
        <v>46223.373831018522</v>
      </c>
      <c r="B806" s="32">
        <v>44998761561</v>
      </c>
      <c r="C806" s="32" t="s">
        <v>43</v>
      </c>
      <c r="D806" s="32">
        <v>4430265054</v>
      </c>
      <c r="E806" s="32">
        <v>67</v>
      </c>
      <c r="F806" s="32">
        <v>29</v>
      </c>
      <c r="G806" s="32" t="s">
        <v>44</v>
      </c>
      <c r="H806" s="32" t="s">
        <v>870</v>
      </c>
      <c r="I806" s="32" t="s">
        <v>40</v>
      </c>
      <c r="J806" s="32" t="s">
        <v>46</v>
      </c>
      <c r="K806" s="32" t="s">
        <v>42</v>
      </c>
      <c r="M806" s="32" t="s">
        <v>47</v>
      </c>
      <c r="N806" s="32" t="s">
        <v>43</v>
      </c>
    </row>
    <row r="807" spans="1:14" s="32" customFormat="1" hidden="1" x14ac:dyDescent="0.3">
      <c r="A807" s="38">
        <v>46223.368321759262</v>
      </c>
      <c r="B807" s="32">
        <v>93984119323</v>
      </c>
      <c r="C807" s="32" t="s">
        <v>49</v>
      </c>
      <c r="D807" s="32">
        <v>4431268225</v>
      </c>
      <c r="E807" s="32">
        <v>1481</v>
      </c>
      <c r="F807" s="32">
        <v>1440</v>
      </c>
      <c r="G807" s="32" t="s">
        <v>44</v>
      </c>
      <c r="H807" s="32" t="s">
        <v>871</v>
      </c>
      <c r="I807" s="32" t="s">
        <v>40</v>
      </c>
      <c r="J807" s="32" t="s">
        <v>46</v>
      </c>
      <c r="K807" s="32" t="s">
        <v>42</v>
      </c>
      <c r="M807" s="32" t="s">
        <v>51</v>
      </c>
      <c r="N807" s="32" t="s">
        <v>49</v>
      </c>
    </row>
    <row r="808" spans="1:14" s="32" customFormat="1" hidden="1" x14ac:dyDescent="0.3">
      <c r="A808" s="38">
        <v>46223.354768518519</v>
      </c>
      <c r="B808" s="32" t="s">
        <v>43</v>
      </c>
      <c r="C808" s="32">
        <v>4436249360</v>
      </c>
      <c r="E808" s="32">
        <v>97</v>
      </c>
      <c r="F808" s="32">
        <v>83</v>
      </c>
      <c r="G808" s="32" t="s">
        <v>44</v>
      </c>
      <c r="H808" s="32" t="s">
        <v>872</v>
      </c>
      <c r="I808" s="32" t="s">
        <v>54</v>
      </c>
      <c r="J808" s="32" t="s">
        <v>46</v>
      </c>
      <c r="M808" s="32" t="s">
        <v>47</v>
      </c>
      <c r="N808" s="32" t="s">
        <v>43</v>
      </c>
    </row>
    <row r="809" spans="1:14" s="32" customFormat="1" hidden="1" x14ac:dyDescent="0.3">
      <c r="A809" s="38">
        <v>46223.344618055555</v>
      </c>
      <c r="B809" s="32" t="s">
        <v>43</v>
      </c>
      <c r="C809" s="32">
        <v>4436249360</v>
      </c>
      <c r="E809" s="32">
        <v>66</v>
      </c>
      <c r="F809" s="32">
        <v>53</v>
      </c>
      <c r="G809" s="32" t="s">
        <v>44</v>
      </c>
      <c r="H809" s="32" t="s">
        <v>873</v>
      </c>
      <c r="I809" s="32" t="s">
        <v>54</v>
      </c>
      <c r="J809" s="32" t="s">
        <v>46</v>
      </c>
      <c r="M809" s="32" t="s">
        <v>47</v>
      </c>
      <c r="N809" s="32" t="s">
        <v>43</v>
      </c>
    </row>
    <row r="810" spans="1:14" s="32" customFormat="1" hidden="1" x14ac:dyDescent="0.3">
      <c r="A810" s="38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38</v>
      </c>
      <c r="H810" s="32" t="s">
        <v>874</v>
      </c>
      <c r="I810" s="32" t="s">
        <v>40</v>
      </c>
      <c r="J810" s="32" t="s">
        <v>41</v>
      </c>
    </row>
    <row r="811" spans="1:14" s="32" customFormat="1" hidden="1" x14ac:dyDescent="0.3">
      <c r="A811" s="38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38</v>
      </c>
      <c r="H811" s="32" t="s">
        <v>875</v>
      </c>
      <c r="I811" s="32" t="s">
        <v>40</v>
      </c>
      <c r="J811" s="32" t="s">
        <v>41</v>
      </c>
    </row>
    <row r="812" spans="1:14" s="32" customFormat="1" hidden="1" x14ac:dyDescent="0.3">
      <c r="A812" s="38">
        <v>46220.739131944443</v>
      </c>
      <c r="B812" s="32">
        <v>44999917849</v>
      </c>
      <c r="C812" s="32" t="s">
        <v>43</v>
      </c>
      <c r="D812" s="32">
        <v>4430265054</v>
      </c>
      <c r="E812" s="32">
        <v>248</v>
      </c>
      <c r="F812" s="32">
        <v>169</v>
      </c>
      <c r="G812" s="32" t="s">
        <v>44</v>
      </c>
      <c r="H812" s="32" t="s">
        <v>876</v>
      </c>
      <c r="I812" s="32" t="s">
        <v>40</v>
      </c>
      <c r="J812" s="32" t="s">
        <v>46</v>
      </c>
      <c r="K812" s="32" t="s">
        <v>42</v>
      </c>
      <c r="M812" s="32" t="s">
        <v>47</v>
      </c>
      <c r="N812" s="32" t="s">
        <v>43</v>
      </c>
    </row>
    <row r="813" spans="1:14" s="32" customFormat="1" hidden="1" x14ac:dyDescent="0.3">
      <c r="A813" s="38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38</v>
      </c>
      <c r="H813" s="32" t="s">
        <v>877</v>
      </c>
      <c r="I813" s="32" t="s">
        <v>40</v>
      </c>
      <c r="J813" s="32" t="s">
        <v>41</v>
      </c>
    </row>
    <row r="814" spans="1:14" s="32" customFormat="1" hidden="1" x14ac:dyDescent="0.3">
      <c r="A814" s="38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38</v>
      </c>
      <c r="H814" s="32" t="s">
        <v>878</v>
      </c>
      <c r="I814" s="32" t="s">
        <v>40</v>
      </c>
      <c r="J814" s="32" t="s">
        <v>41</v>
      </c>
      <c r="K814" s="32" t="s">
        <v>42</v>
      </c>
    </row>
    <row r="815" spans="1:14" s="32" customFormat="1" hidden="1" x14ac:dyDescent="0.3">
      <c r="A815" s="38">
        <v>46220.709444444445</v>
      </c>
      <c r="B815" s="32" t="s">
        <v>109</v>
      </c>
      <c r="C815" s="32">
        <v>45988224299</v>
      </c>
      <c r="E815" s="32">
        <v>4</v>
      </c>
      <c r="F815" s="32">
        <v>0</v>
      </c>
      <c r="G815" s="32" t="s">
        <v>63</v>
      </c>
      <c r="H815" s="32" t="s">
        <v>879</v>
      </c>
      <c r="I815" s="32" t="s">
        <v>54</v>
      </c>
      <c r="J815" s="32" t="s">
        <v>111</v>
      </c>
      <c r="M815" s="32" t="s">
        <v>112</v>
      </c>
      <c r="N815" s="32" t="s">
        <v>109</v>
      </c>
    </row>
    <row r="816" spans="1:14" s="32" customFormat="1" hidden="1" x14ac:dyDescent="0.3">
      <c r="A816" s="38">
        <v>46220.684687499997</v>
      </c>
      <c r="B816" s="32">
        <v>1143744993</v>
      </c>
      <c r="C816" s="32" t="s">
        <v>49</v>
      </c>
      <c r="D816" s="32">
        <v>4431268225</v>
      </c>
      <c r="E816" s="32">
        <v>2674</v>
      </c>
      <c r="F816" s="32">
        <v>2597</v>
      </c>
      <c r="G816" s="32" t="s">
        <v>44</v>
      </c>
      <c r="H816" s="32" t="s">
        <v>880</v>
      </c>
      <c r="I816" s="32" t="s">
        <v>40</v>
      </c>
      <c r="J816" s="32" t="s">
        <v>46</v>
      </c>
      <c r="K816" s="32" t="s">
        <v>42</v>
      </c>
      <c r="M816" s="32" t="s">
        <v>51</v>
      </c>
      <c r="N816" s="32" t="s">
        <v>49</v>
      </c>
    </row>
    <row r="817" spans="1:14" s="32" customFormat="1" hidden="1" x14ac:dyDescent="0.3">
      <c r="A817" s="38">
        <v>46220.682812500003</v>
      </c>
      <c r="B817" s="32">
        <v>4334226481</v>
      </c>
      <c r="C817" s="32" t="s">
        <v>43</v>
      </c>
      <c r="D817" s="32">
        <v>4430265054</v>
      </c>
      <c r="E817" s="32">
        <v>1492</v>
      </c>
      <c r="F817" s="32">
        <v>1436</v>
      </c>
      <c r="G817" s="32" t="s">
        <v>44</v>
      </c>
      <c r="H817" s="32" t="s">
        <v>881</v>
      </c>
      <c r="I817" s="32" t="s">
        <v>40</v>
      </c>
      <c r="J817" s="32" t="s">
        <v>46</v>
      </c>
      <c r="K817" s="32" t="s">
        <v>42</v>
      </c>
      <c r="M817" s="32" t="s">
        <v>47</v>
      </c>
      <c r="N817" s="32" t="s">
        <v>43</v>
      </c>
    </row>
    <row r="818" spans="1:14" s="32" customFormat="1" hidden="1" x14ac:dyDescent="0.3">
      <c r="A818" s="38">
        <v>46220.680578703701</v>
      </c>
      <c r="B818" s="32">
        <v>44998761561</v>
      </c>
      <c r="C818" s="32" t="s">
        <v>58</v>
      </c>
      <c r="D818" s="32">
        <v>4430265054</v>
      </c>
      <c r="E818" s="32">
        <v>770</v>
      </c>
      <c r="F818" s="32">
        <v>769</v>
      </c>
      <c r="G818" s="32" t="s">
        <v>44</v>
      </c>
      <c r="H818" s="32" t="s">
        <v>882</v>
      </c>
      <c r="I818" s="32" t="s">
        <v>40</v>
      </c>
      <c r="J818" s="32" t="s">
        <v>46</v>
      </c>
      <c r="K818" s="32" t="s">
        <v>42</v>
      </c>
      <c r="M818" s="32" t="s">
        <v>60</v>
      </c>
      <c r="N818" s="32" t="s">
        <v>58</v>
      </c>
    </row>
    <row r="819" spans="1:14" s="32" customFormat="1" hidden="1" x14ac:dyDescent="0.3">
      <c r="A819" s="38">
        <v>46220.656273148146</v>
      </c>
      <c r="B819" s="32">
        <v>44998761561</v>
      </c>
      <c r="C819" s="32" t="s">
        <v>58</v>
      </c>
      <c r="D819" s="32">
        <v>4430265054</v>
      </c>
      <c r="E819" s="32">
        <v>744</v>
      </c>
      <c r="F819" s="32">
        <v>744</v>
      </c>
      <c r="G819" s="32" t="s">
        <v>44</v>
      </c>
      <c r="H819" s="32" t="s">
        <v>883</v>
      </c>
      <c r="I819" s="32" t="s">
        <v>40</v>
      </c>
      <c r="J819" s="32" t="s">
        <v>46</v>
      </c>
      <c r="K819" s="32" t="s">
        <v>42</v>
      </c>
      <c r="L819" s="32">
        <v>5</v>
      </c>
      <c r="M819" s="32" t="s">
        <v>60</v>
      </c>
      <c r="N819" s="32" t="s">
        <v>58</v>
      </c>
    </row>
    <row r="820" spans="1:14" s="32" customFormat="1" hidden="1" x14ac:dyDescent="0.3">
      <c r="A820" s="38">
        <v>46220.644270833334</v>
      </c>
      <c r="B820" s="32" t="s">
        <v>49</v>
      </c>
      <c r="C820" s="32">
        <v>47992275601</v>
      </c>
      <c r="E820" s="32">
        <v>68</v>
      </c>
      <c r="F820" s="32">
        <v>30</v>
      </c>
      <c r="G820" s="32" t="s">
        <v>44</v>
      </c>
      <c r="H820" s="32" t="s">
        <v>884</v>
      </c>
      <c r="I820" s="32" t="s">
        <v>54</v>
      </c>
      <c r="J820" s="32" t="s">
        <v>46</v>
      </c>
      <c r="M820" s="32" t="s">
        <v>51</v>
      </c>
      <c r="N820" s="32" t="s">
        <v>49</v>
      </c>
    </row>
    <row r="821" spans="1:14" s="32" customFormat="1" hidden="1" x14ac:dyDescent="0.3">
      <c r="A821" s="38">
        <v>46220.642071759263</v>
      </c>
      <c r="B821" s="32" t="s">
        <v>49</v>
      </c>
      <c r="C821" s="32">
        <v>47999115463</v>
      </c>
      <c r="E821" s="32">
        <v>52</v>
      </c>
      <c r="F821" s="32">
        <v>27</v>
      </c>
      <c r="G821" s="32" t="s">
        <v>44</v>
      </c>
      <c r="H821" s="32" t="s">
        <v>885</v>
      </c>
      <c r="I821" s="32" t="s">
        <v>54</v>
      </c>
      <c r="J821" s="32" t="s">
        <v>46</v>
      </c>
      <c r="M821" s="32" t="s">
        <v>51</v>
      </c>
      <c r="N821" s="32" t="s">
        <v>49</v>
      </c>
    </row>
    <row r="822" spans="1:14" s="32" customFormat="1" hidden="1" x14ac:dyDescent="0.3">
      <c r="A822" s="38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38</v>
      </c>
      <c r="H822" s="32" t="s">
        <v>886</v>
      </c>
      <c r="I822" s="32" t="s">
        <v>40</v>
      </c>
      <c r="J822" s="32" t="s">
        <v>41</v>
      </c>
    </row>
    <row r="823" spans="1:14" s="32" customFormat="1" hidden="1" x14ac:dyDescent="0.3">
      <c r="A823" s="38">
        <v>46220.617939814816</v>
      </c>
      <c r="B823" s="32">
        <v>11947001097</v>
      </c>
      <c r="C823" s="32" t="s">
        <v>49</v>
      </c>
      <c r="D823" s="32">
        <v>4430265054</v>
      </c>
      <c r="E823" s="32">
        <v>329</v>
      </c>
      <c r="F823" s="32">
        <v>310</v>
      </c>
      <c r="G823" s="32" t="s">
        <v>44</v>
      </c>
      <c r="H823" s="32" t="s">
        <v>887</v>
      </c>
      <c r="I823" s="32" t="s">
        <v>40</v>
      </c>
      <c r="J823" s="32" t="s">
        <v>46</v>
      </c>
      <c r="K823" s="32" t="s">
        <v>42</v>
      </c>
      <c r="M823" s="32" t="s">
        <v>51</v>
      </c>
      <c r="N823" s="32" t="s">
        <v>49</v>
      </c>
    </row>
    <row r="824" spans="1:14" s="32" customFormat="1" hidden="1" x14ac:dyDescent="0.3">
      <c r="A824" s="38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38</v>
      </c>
      <c r="H824" s="32" t="s">
        <v>888</v>
      </c>
      <c r="I824" s="32" t="s">
        <v>40</v>
      </c>
      <c r="J824" s="32" t="s">
        <v>41</v>
      </c>
    </row>
    <row r="825" spans="1:14" s="32" customFormat="1" hidden="1" x14ac:dyDescent="0.3">
      <c r="A825" s="38">
        <v>46220.609537037039</v>
      </c>
      <c r="B825" s="32" t="s">
        <v>58</v>
      </c>
      <c r="C825" s="32">
        <v>4432525112</v>
      </c>
      <c r="E825" s="32">
        <v>1971</v>
      </c>
      <c r="F825" s="32">
        <v>1957</v>
      </c>
      <c r="G825" s="32" t="s">
        <v>44</v>
      </c>
      <c r="H825" s="32" t="s">
        <v>889</v>
      </c>
      <c r="I825" s="32" t="s">
        <v>54</v>
      </c>
      <c r="J825" s="32" t="s">
        <v>46</v>
      </c>
      <c r="M825" s="32" t="s">
        <v>60</v>
      </c>
      <c r="N825" s="32" t="s">
        <v>58</v>
      </c>
    </row>
    <row r="826" spans="1:14" s="32" customFormat="1" hidden="1" x14ac:dyDescent="0.3">
      <c r="A826" s="38">
        <v>46220.607465277775</v>
      </c>
      <c r="B826" s="32" t="s">
        <v>49</v>
      </c>
      <c r="C826" s="32">
        <v>4435226025</v>
      </c>
      <c r="E826" s="32">
        <v>644</v>
      </c>
      <c r="F826" s="32">
        <v>632</v>
      </c>
      <c r="G826" s="32" t="s">
        <v>44</v>
      </c>
      <c r="H826" s="32" t="s">
        <v>890</v>
      </c>
      <c r="I826" s="32" t="s">
        <v>54</v>
      </c>
      <c r="J826" s="32" t="s">
        <v>46</v>
      </c>
      <c r="M826" s="32" t="s">
        <v>51</v>
      </c>
      <c r="N826" s="32" t="s">
        <v>49</v>
      </c>
    </row>
    <row r="827" spans="1:14" s="32" customFormat="1" hidden="1" x14ac:dyDescent="0.3">
      <c r="A827" s="38">
        <v>46220.601539351854</v>
      </c>
      <c r="B827" s="32" t="s">
        <v>58</v>
      </c>
      <c r="C827" s="32">
        <v>4434212150</v>
      </c>
      <c r="E827" s="32">
        <v>306</v>
      </c>
      <c r="F827" s="32">
        <v>298</v>
      </c>
      <c r="G827" s="32" t="s">
        <v>44</v>
      </c>
      <c r="H827" s="32" t="s">
        <v>891</v>
      </c>
      <c r="I827" s="32" t="s">
        <v>54</v>
      </c>
      <c r="J827" s="32" t="s">
        <v>46</v>
      </c>
      <c r="M827" s="32" t="s">
        <v>60</v>
      </c>
      <c r="N827" s="32" t="s">
        <v>58</v>
      </c>
    </row>
    <row r="828" spans="1:14" s="32" customFormat="1" hidden="1" x14ac:dyDescent="0.3">
      <c r="A828" s="38">
        <v>46220.598240740743</v>
      </c>
      <c r="B828" s="32">
        <v>4133491428</v>
      </c>
      <c r="C828" s="32" t="s">
        <v>58</v>
      </c>
      <c r="D828" s="32">
        <v>4430265054</v>
      </c>
      <c r="E828" s="32">
        <v>236</v>
      </c>
      <c r="F828" s="32">
        <v>235</v>
      </c>
      <c r="G828" s="32" t="s">
        <v>44</v>
      </c>
      <c r="H828" s="32" t="s">
        <v>892</v>
      </c>
      <c r="I828" s="32" t="s">
        <v>40</v>
      </c>
      <c r="J828" s="32" t="s">
        <v>46</v>
      </c>
      <c r="K828" s="32" t="s">
        <v>42</v>
      </c>
      <c r="M828" s="32" t="s">
        <v>60</v>
      </c>
      <c r="N828" s="32" t="s">
        <v>58</v>
      </c>
    </row>
    <row r="829" spans="1:14" s="32" customFormat="1" hidden="1" x14ac:dyDescent="0.3">
      <c r="A829" s="38">
        <v>46220.596770833334</v>
      </c>
      <c r="B829" s="32">
        <v>4130760170</v>
      </c>
      <c r="C829" s="32" t="s">
        <v>58</v>
      </c>
      <c r="D829" s="32">
        <v>4430265054</v>
      </c>
      <c r="E829" s="32">
        <v>161</v>
      </c>
      <c r="F829" s="32">
        <v>160</v>
      </c>
      <c r="G829" s="32" t="s">
        <v>44</v>
      </c>
      <c r="H829" s="32" t="s">
        <v>893</v>
      </c>
      <c r="I829" s="32" t="s">
        <v>40</v>
      </c>
      <c r="J829" s="32" t="s">
        <v>46</v>
      </c>
      <c r="K829" s="32" t="s">
        <v>42</v>
      </c>
      <c r="M829" s="32" t="s">
        <v>60</v>
      </c>
      <c r="N829" s="32" t="s">
        <v>58</v>
      </c>
    </row>
    <row r="830" spans="1:14" s="32" customFormat="1" hidden="1" x14ac:dyDescent="0.3">
      <c r="A830" s="38">
        <v>46220.596678240741</v>
      </c>
      <c r="B830" s="32">
        <v>4334226481</v>
      </c>
      <c r="C830" s="32" t="s">
        <v>43</v>
      </c>
      <c r="D830" s="32">
        <v>4430265054</v>
      </c>
      <c r="E830" s="32">
        <v>628</v>
      </c>
      <c r="F830" s="32">
        <v>608</v>
      </c>
      <c r="G830" s="32" t="s">
        <v>44</v>
      </c>
      <c r="H830" s="32" t="s">
        <v>894</v>
      </c>
      <c r="I830" s="32" t="s">
        <v>40</v>
      </c>
      <c r="J830" s="32" t="s">
        <v>46</v>
      </c>
      <c r="K830" s="32" t="s">
        <v>42</v>
      </c>
      <c r="M830" s="32" t="s">
        <v>47</v>
      </c>
      <c r="N830" s="32" t="s">
        <v>43</v>
      </c>
    </row>
    <row r="831" spans="1:14" s="32" customFormat="1" hidden="1" x14ac:dyDescent="0.3">
      <c r="A831" s="38">
        <v>46220.594328703701</v>
      </c>
      <c r="B831" s="32">
        <v>4434221675</v>
      </c>
      <c r="C831" s="32" t="s">
        <v>49</v>
      </c>
      <c r="D831" s="32">
        <v>4430265054</v>
      </c>
      <c r="E831" s="32">
        <v>146</v>
      </c>
      <c r="F831" s="32">
        <v>102</v>
      </c>
      <c r="G831" s="32" t="s">
        <v>44</v>
      </c>
      <c r="H831" s="32" t="s">
        <v>895</v>
      </c>
      <c r="I831" s="32" t="s">
        <v>40</v>
      </c>
      <c r="J831" s="32" t="s">
        <v>46</v>
      </c>
      <c r="K831" s="32" t="s">
        <v>42</v>
      </c>
      <c r="M831" s="32" t="s">
        <v>51</v>
      </c>
      <c r="N831" s="32" t="s">
        <v>49</v>
      </c>
    </row>
    <row r="832" spans="1:14" s="32" customFormat="1" hidden="1" x14ac:dyDescent="0.3">
      <c r="A832" s="38">
        <v>46220.591724537036</v>
      </c>
      <c r="B832" s="32">
        <v>45999334612</v>
      </c>
      <c r="C832" s="32" t="s">
        <v>43</v>
      </c>
      <c r="D832" s="32">
        <v>4430265054</v>
      </c>
      <c r="E832" s="32">
        <v>383</v>
      </c>
      <c r="F832" s="32">
        <v>365</v>
      </c>
      <c r="G832" s="32" t="s">
        <v>44</v>
      </c>
      <c r="H832" s="32" t="s">
        <v>896</v>
      </c>
      <c r="I832" s="32" t="s">
        <v>40</v>
      </c>
      <c r="J832" s="32" t="s">
        <v>46</v>
      </c>
      <c r="K832" s="32" t="s">
        <v>42</v>
      </c>
      <c r="L832" s="32">
        <v>5</v>
      </c>
      <c r="M832" s="32" t="s">
        <v>47</v>
      </c>
      <c r="N832" s="32" t="s">
        <v>43</v>
      </c>
    </row>
    <row r="833" spans="1:14" s="32" customFormat="1" hidden="1" x14ac:dyDescent="0.3">
      <c r="A833" s="38">
        <v>46220.581180555557</v>
      </c>
      <c r="B833" s="32">
        <v>4330333558</v>
      </c>
      <c r="C833" s="32" t="s">
        <v>58</v>
      </c>
      <c r="D833" s="32">
        <v>4430265054</v>
      </c>
      <c r="E833" s="32">
        <v>502</v>
      </c>
      <c r="F833" s="32">
        <v>501</v>
      </c>
      <c r="G833" s="32" t="s">
        <v>44</v>
      </c>
      <c r="H833" s="32" t="s">
        <v>897</v>
      </c>
      <c r="I833" s="32" t="s">
        <v>40</v>
      </c>
      <c r="J833" s="32" t="s">
        <v>46</v>
      </c>
      <c r="K833" s="32" t="s">
        <v>42</v>
      </c>
      <c r="L833" s="32">
        <v>5</v>
      </c>
      <c r="M833" s="32" t="s">
        <v>60</v>
      </c>
      <c r="N833" s="32" t="s">
        <v>58</v>
      </c>
    </row>
    <row r="834" spans="1:14" s="32" customFormat="1" hidden="1" x14ac:dyDescent="0.3">
      <c r="A834" s="38">
        <v>46220.579641203702</v>
      </c>
      <c r="B834" s="32" t="s">
        <v>49</v>
      </c>
      <c r="C834" s="32">
        <v>4430282545</v>
      </c>
      <c r="E834" s="32">
        <v>158</v>
      </c>
      <c r="F834" s="32">
        <v>130</v>
      </c>
      <c r="G834" s="32" t="s">
        <v>44</v>
      </c>
      <c r="H834" s="32" t="s">
        <v>898</v>
      </c>
      <c r="I834" s="32" t="s">
        <v>54</v>
      </c>
      <c r="J834" s="32" t="s">
        <v>46</v>
      </c>
      <c r="M834" s="32" t="s">
        <v>51</v>
      </c>
      <c r="N834" s="32" t="s">
        <v>49</v>
      </c>
    </row>
    <row r="835" spans="1:14" s="32" customFormat="1" hidden="1" x14ac:dyDescent="0.3">
      <c r="A835" s="38">
        <v>46220.579583333332</v>
      </c>
      <c r="B835" s="32" t="s">
        <v>49</v>
      </c>
      <c r="C835" s="32">
        <v>4430282545</v>
      </c>
      <c r="E835" s="32">
        <v>14</v>
      </c>
      <c r="F835" s="32">
        <v>13</v>
      </c>
      <c r="G835" s="32" t="s">
        <v>44</v>
      </c>
      <c r="H835" s="32" t="s">
        <v>899</v>
      </c>
      <c r="I835" s="32" t="s">
        <v>54</v>
      </c>
      <c r="J835" s="32" t="s">
        <v>46</v>
      </c>
      <c r="M835" s="32" t="s">
        <v>51</v>
      </c>
      <c r="N835" s="32" t="s">
        <v>49</v>
      </c>
    </row>
    <row r="836" spans="1:14" s="32" customFormat="1" hidden="1" x14ac:dyDescent="0.3">
      <c r="A836" s="38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38</v>
      </c>
      <c r="H836" s="32" t="s">
        <v>900</v>
      </c>
      <c r="I836" s="32" t="s">
        <v>40</v>
      </c>
      <c r="J836" s="32" t="s">
        <v>41</v>
      </c>
    </row>
    <row r="837" spans="1:14" s="32" customFormat="1" hidden="1" x14ac:dyDescent="0.3">
      <c r="A837" s="38">
        <v>46220.574537037035</v>
      </c>
      <c r="B837" s="32">
        <v>44998761561</v>
      </c>
      <c r="C837" s="32" t="s">
        <v>49</v>
      </c>
      <c r="D837" s="32">
        <v>4430265054</v>
      </c>
      <c r="E837" s="32">
        <v>186</v>
      </c>
      <c r="F837" s="32">
        <v>124</v>
      </c>
      <c r="G837" s="32" t="s">
        <v>44</v>
      </c>
      <c r="H837" s="32" t="s">
        <v>901</v>
      </c>
      <c r="I837" s="32" t="s">
        <v>40</v>
      </c>
      <c r="J837" s="32" t="s">
        <v>46</v>
      </c>
      <c r="K837" s="32" t="s">
        <v>42</v>
      </c>
      <c r="M837" s="32" t="s">
        <v>51</v>
      </c>
      <c r="N837" s="32" t="s">
        <v>49</v>
      </c>
    </row>
    <row r="838" spans="1:14" s="32" customFormat="1" hidden="1" x14ac:dyDescent="0.3">
      <c r="A838" s="38">
        <v>46220.568171296298</v>
      </c>
      <c r="B838" s="32">
        <v>4430282545</v>
      </c>
      <c r="C838" s="32" t="s">
        <v>49</v>
      </c>
      <c r="D838" s="32">
        <v>4430265054</v>
      </c>
      <c r="E838" s="32">
        <v>109</v>
      </c>
      <c r="F838" s="32">
        <v>64</v>
      </c>
      <c r="G838" s="32" t="s">
        <v>44</v>
      </c>
      <c r="H838" s="32" t="s">
        <v>902</v>
      </c>
      <c r="I838" s="32" t="s">
        <v>40</v>
      </c>
      <c r="J838" s="32" t="s">
        <v>46</v>
      </c>
      <c r="K838" s="32" t="s">
        <v>42</v>
      </c>
      <c r="M838" s="32" t="s">
        <v>51</v>
      </c>
      <c r="N838" s="32" t="s">
        <v>49</v>
      </c>
    </row>
    <row r="839" spans="1:14" s="32" customFormat="1" hidden="1" x14ac:dyDescent="0.3">
      <c r="A839" s="38">
        <v>46220.562754629631</v>
      </c>
      <c r="B839" s="32">
        <v>4430282545</v>
      </c>
      <c r="C839" s="32" t="s">
        <v>49</v>
      </c>
      <c r="D839" s="32">
        <v>4430265054</v>
      </c>
      <c r="E839" s="32">
        <v>301</v>
      </c>
      <c r="F839" s="32">
        <v>248</v>
      </c>
      <c r="G839" s="32" t="s">
        <v>44</v>
      </c>
      <c r="H839" s="32" t="s">
        <v>903</v>
      </c>
      <c r="I839" s="32" t="s">
        <v>40</v>
      </c>
      <c r="J839" s="32" t="s">
        <v>46</v>
      </c>
      <c r="K839" s="32" t="s">
        <v>42</v>
      </c>
      <c r="M839" s="32" t="s">
        <v>51</v>
      </c>
      <c r="N839" s="32" t="s">
        <v>49</v>
      </c>
    </row>
    <row r="840" spans="1:14" s="32" customFormat="1" hidden="1" x14ac:dyDescent="0.3">
      <c r="A840" s="38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38</v>
      </c>
      <c r="H840" s="32" t="s">
        <v>904</v>
      </c>
      <c r="I840" s="32" t="s">
        <v>40</v>
      </c>
      <c r="J840" s="32" t="s">
        <v>41</v>
      </c>
    </row>
    <row r="841" spans="1:14" s="32" customFormat="1" hidden="1" x14ac:dyDescent="0.3">
      <c r="A841" s="38">
        <v>46220.558310185188</v>
      </c>
      <c r="B841" s="32" t="s">
        <v>49</v>
      </c>
      <c r="C841" s="32">
        <v>41984687417</v>
      </c>
      <c r="E841" s="32">
        <v>83</v>
      </c>
      <c r="F841" s="32">
        <v>80</v>
      </c>
      <c r="G841" s="32" t="s">
        <v>44</v>
      </c>
      <c r="H841" s="32" t="s">
        <v>905</v>
      </c>
      <c r="I841" s="32" t="s">
        <v>54</v>
      </c>
      <c r="J841" s="32" t="s">
        <v>46</v>
      </c>
      <c r="M841" s="32" t="s">
        <v>51</v>
      </c>
      <c r="N841" s="32" t="s">
        <v>49</v>
      </c>
    </row>
    <row r="842" spans="1:14" s="32" customFormat="1" hidden="1" x14ac:dyDescent="0.3">
      <c r="A842" s="38">
        <v>46220.556076388886</v>
      </c>
      <c r="B842" s="32" t="s">
        <v>49</v>
      </c>
      <c r="C842" s="32">
        <v>44999488286</v>
      </c>
      <c r="E842" s="32">
        <v>34</v>
      </c>
      <c r="F842" s="32">
        <v>0</v>
      </c>
      <c r="G842" s="32" t="s">
        <v>63</v>
      </c>
      <c r="H842" s="32" t="s">
        <v>906</v>
      </c>
      <c r="I842" s="32" t="s">
        <v>54</v>
      </c>
      <c r="J842" s="32" t="s">
        <v>46</v>
      </c>
      <c r="M842" s="32" t="s">
        <v>51</v>
      </c>
      <c r="N842" s="32" t="s">
        <v>49</v>
      </c>
    </row>
    <row r="843" spans="1:14" s="32" customFormat="1" hidden="1" x14ac:dyDescent="0.3">
      <c r="A843" s="38">
        <v>46220.488356481481</v>
      </c>
      <c r="B843" s="32">
        <v>91981481202</v>
      </c>
      <c r="C843" s="32" t="s">
        <v>43</v>
      </c>
      <c r="D843" s="32">
        <v>4430265054</v>
      </c>
      <c r="E843" s="32">
        <v>88</v>
      </c>
      <c r="F843" s="32">
        <v>70</v>
      </c>
      <c r="G843" s="32" t="s">
        <v>44</v>
      </c>
      <c r="H843" s="32" t="s">
        <v>907</v>
      </c>
      <c r="I843" s="32" t="s">
        <v>40</v>
      </c>
      <c r="J843" s="32" t="s">
        <v>46</v>
      </c>
      <c r="K843" s="32" t="s">
        <v>42</v>
      </c>
      <c r="M843" s="32" t="s">
        <v>47</v>
      </c>
      <c r="N843" s="32" t="s">
        <v>43</v>
      </c>
    </row>
    <row r="844" spans="1:14" s="32" customFormat="1" hidden="1" x14ac:dyDescent="0.3">
      <c r="A844" s="38">
        <v>46220.482546296298</v>
      </c>
      <c r="B844" s="32">
        <v>91981481202</v>
      </c>
      <c r="C844" s="32" t="s">
        <v>43</v>
      </c>
      <c r="D844" s="32">
        <v>4430265054</v>
      </c>
      <c r="E844" s="32">
        <v>123</v>
      </c>
      <c r="F844" s="32">
        <v>66</v>
      </c>
      <c r="G844" s="32" t="s">
        <v>44</v>
      </c>
      <c r="H844" s="32" t="s">
        <v>908</v>
      </c>
      <c r="I844" s="32" t="s">
        <v>40</v>
      </c>
      <c r="J844" s="32" t="s">
        <v>46</v>
      </c>
      <c r="K844" s="32" t="s">
        <v>42</v>
      </c>
      <c r="M844" s="32" t="s">
        <v>47</v>
      </c>
      <c r="N844" s="32" t="s">
        <v>43</v>
      </c>
    </row>
    <row r="845" spans="1:14" s="32" customFormat="1" hidden="1" x14ac:dyDescent="0.3">
      <c r="A845" s="38">
        <v>46220.473599537036</v>
      </c>
      <c r="B845" s="32">
        <v>4430451163</v>
      </c>
      <c r="C845" s="32" t="s">
        <v>49</v>
      </c>
      <c r="D845" s="32">
        <v>4430265054</v>
      </c>
      <c r="E845" s="32">
        <v>158</v>
      </c>
      <c r="F845" s="32">
        <v>78</v>
      </c>
      <c r="G845" s="32" t="s">
        <v>44</v>
      </c>
      <c r="H845" s="32" t="s">
        <v>909</v>
      </c>
      <c r="I845" s="32" t="s">
        <v>40</v>
      </c>
      <c r="J845" s="32" t="s">
        <v>46</v>
      </c>
      <c r="K845" s="32" t="s">
        <v>42</v>
      </c>
      <c r="M845" s="32" t="s">
        <v>51</v>
      </c>
      <c r="N845" s="32" t="s">
        <v>49</v>
      </c>
    </row>
    <row r="846" spans="1:14" s="32" customFormat="1" hidden="1" x14ac:dyDescent="0.3">
      <c r="A846" s="38">
        <v>46220.467569444445</v>
      </c>
      <c r="B846" s="32" t="s">
        <v>207</v>
      </c>
      <c r="C846" s="32">
        <v>5332243079</v>
      </c>
      <c r="E846" s="32">
        <v>7</v>
      </c>
      <c r="F846" s="32">
        <v>0</v>
      </c>
      <c r="G846" s="32" t="s">
        <v>63</v>
      </c>
      <c r="H846" s="32" t="s">
        <v>910</v>
      </c>
      <c r="I846" s="32" t="s">
        <v>54</v>
      </c>
      <c r="J846" s="32" t="s">
        <v>111</v>
      </c>
      <c r="M846" s="32" t="s">
        <v>209</v>
      </c>
      <c r="N846" s="32" t="s">
        <v>207</v>
      </c>
    </row>
    <row r="847" spans="1:14" s="32" customFormat="1" hidden="1" x14ac:dyDescent="0.3">
      <c r="A847" s="38">
        <v>46220.467314814814</v>
      </c>
      <c r="B847" s="32" t="s">
        <v>207</v>
      </c>
      <c r="C847" s="32">
        <v>5352240379</v>
      </c>
      <c r="E847" s="32">
        <v>8</v>
      </c>
      <c r="F847" s="32">
        <v>0</v>
      </c>
      <c r="G847" s="32" t="s">
        <v>63</v>
      </c>
      <c r="H847" s="32" t="s">
        <v>911</v>
      </c>
      <c r="I847" s="32" t="s">
        <v>54</v>
      </c>
      <c r="J847" s="32" t="s">
        <v>111</v>
      </c>
      <c r="M847" s="32" t="s">
        <v>209</v>
      </c>
      <c r="N847" s="32" t="s">
        <v>207</v>
      </c>
    </row>
    <row r="848" spans="1:14" s="32" customFormat="1" hidden="1" x14ac:dyDescent="0.3">
      <c r="A848" s="38">
        <v>46220.467118055552</v>
      </c>
      <c r="B848" s="32" t="s">
        <v>207</v>
      </c>
      <c r="C848" s="32">
        <v>53932243079</v>
      </c>
      <c r="E848" s="32">
        <v>0</v>
      </c>
      <c r="F848" s="32">
        <v>0</v>
      </c>
      <c r="G848" s="32" t="s">
        <v>63</v>
      </c>
      <c r="H848" s="32" t="s">
        <v>912</v>
      </c>
      <c r="I848" s="32" t="s">
        <v>54</v>
      </c>
      <c r="J848" s="32" t="s">
        <v>111</v>
      </c>
      <c r="M848" s="32" t="s">
        <v>209</v>
      </c>
      <c r="N848" s="32" t="s">
        <v>207</v>
      </c>
    </row>
    <row r="849" spans="1:14" s="32" customFormat="1" hidden="1" x14ac:dyDescent="0.3">
      <c r="A849" s="38">
        <v>46220.466805555552</v>
      </c>
      <c r="B849" s="32" t="s">
        <v>207</v>
      </c>
      <c r="C849" s="32">
        <v>5332243079</v>
      </c>
      <c r="E849" s="32">
        <v>9</v>
      </c>
      <c r="F849" s="32">
        <v>0</v>
      </c>
      <c r="G849" s="32" t="s">
        <v>63</v>
      </c>
      <c r="H849" s="32" t="s">
        <v>913</v>
      </c>
      <c r="I849" s="32" t="s">
        <v>54</v>
      </c>
      <c r="J849" s="32" t="s">
        <v>111</v>
      </c>
      <c r="M849" s="32" t="s">
        <v>209</v>
      </c>
      <c r="N849" s="32" t="s">
        <v>207</v>
      </c>
    </row>
    <row r="850" spans="1:14" s="32" customFormat="1" hidden="1" x14ac:dyDescent="0.3">
      <c r="A850" s="38">
        <v>46220.465254629627</v>
      </c>
      <c r="B850" s="32">
        <v>44999917849</v>
      </c>
      <c r="C850" s="32" t="s">
        <v>58</v>
      </c>
      <c r="D850" s="32">
        <v>4430265054</v>
      </c>
      <c r="E850" s="32">
        <v>340</v>
      </c>
      <c r="F850" s="32">
        <v>312</v>
      </c>
      <c r="G850" s="32" t="s">
        <v>44</v>
      </c>
      <c r="H850" s="32" t="s">
        <v>914</v>
      </c>
      <c r="I850" s="32" t="s">
        <v>40</v>
      </c>
      <c r="J850" s="32" t="s">
        <v>46</v>
      </c>
      <c r="K850" s="32" t="s">
        <v>42</v>
      </c>
      <c r="M850" s="32" t="s">
        <v>60</v>
      </c>
      <c r="N850" s="32" t="s">
        <v>58</v>
      </c>
    </row>
    <row r="851" spans="1:14" s="32" customFormat="1" hidden="1" x14ac:dyDescent="0.3">
      <c r="A851" s="38">
        <v>46220.459131944444</v>
      </c>
      <c r="B851" s="32">
        <v>44998300008</v>
      </c>
      <c r="C851" s="32" t="s">
        <v>43</v>
      </c>
      <c r="D851" s="32">
        <v>4430265054</v>
      </c>
      <c r="E851" s="32">
        <v>631</v>
      </c>
      <c r="F851" s="32">
        <v>589</v>
      </c>
      <c r="G851" s="32" t="s">
        <v>44</v>
      </c>
      <c r="H851" s="32" t="s">
        <v>915</v>
      </c>
      <c r="I851" s="32" t="s">
        <v>40</v>
      </c>
      <c r="J851" s="32" t="s">
        <v>46</v>
      </c>
      <c r="K851" s="32" t="s">
        <v>42</v>
      </c>
      <c r="M851" s="32" t="s">
        <v>47</v>
      </c>
      <c r="N851" s="32" t="s">
        <v>43</v>
      </c>
    </row>
    <row r="852" spans="1:14" s="32" customFormat="1" hidden="1" x14ac:dyDescent="0.3">
      <c r="A852" s="38">
        <v>46220.456620370373</v>
      </c>
      <c r="B852" s="32">
        <v>44998761561</v>
      </c>
      <c r="C852" s="32" t="s">
        <v>49</v>
      </c>
      <c r="D852" s="32">
        <v>4431268225</v>
      </c>
      <c r="E852" s="32">
        <v>1108</v>
      </c>
      <c r="F852" s="32">
        <v>990</v>
      </c>
      <c r="G852" s="32" t="s">
        <v>44</v>
      </c>
      <c r="H852" s="32" t="s">
        <v>916</v>
      </c>
      <c r="I852" s="32" t="s">
        <v>40</v>
      </c>
      <c r="J852" s="32" t="s">
        <v>46</v>
      </c>
      <c r="K852" s="32" t="s">
        <v>42</v>
      </c>
      <c r="M852" s="32" t="s">
        <v>51</v>
      </c>
      <c r="N852" s="32" t="s">
        <v>49</v>
      </c>
    </row>
    <row r="853" spans="1:14" s="32" customFormat="1" hidden="1" x14ac:dyDescent="0.3">
      <c r="A853" s="38">
        <v>46220.441435185188</v>
      </c>
      <c r="B853" s="32">
        <v>4430289386</v>
      </c>
      <c r="C853" s="32" t="s">
        <v>58</v>
      </c>
      <c r="D853" s="32">
        <v>4430265054</v>
      </c>
      <c r="E853" s="32">
        <v>317</v>
      </c>
      <c r="F853" s="32">
        <v>317</v>
      </c>
      <c r="G853" s="32" t="s">
        <v>44</v>
      </c>
      <c r="H853" s="32" t="s">
        <v>917</v>
      </c>
      <c r="I853" s="32" t="s">
        <v>40</v>
      </c>
      <c r="J853" s="32" t="s">
        <v>46</v>
      </c>
      <c r="K853" s="32" t="s">
        <v>42</v>
      </c>
      <c r="M853" s="32" t="s">
        <v>60</v>
      </c>
      <c r="N853" s="32" t="s">
        <v>58</v>
      </c>
    </row>
    <row r="854" spans="1:14" s="32" customFormat="1" hidden="1" x14ac:dyDescent="0.3">
      <c r="A854" s="38">
        <v>46220.439629629633</v>
      </c>
      <c r="B854" s="32">
        <v>43988030048</v>
      </c>
      <c r="C854" s="32" t="s">
        <v>49</v>
      </c>
      <c r="D854" s="32">
        <v>4430265054</v>
      </c>
      <c r="E854" s="32">
        <v>1385</v>
      </c>
      <c r="F854" s="32">
        <v>1323</v>
      </c>
      <c r="G854" s="32" t="s">
        <v>44</v>
      </c>
      <c r="H854" s="32" t="s">
        <v>918</v>
      </c>
      <c r="I854" s="32" t="s">
        <v>40</v>
      </c>
      <c r="J854" s="32" t="s">
        <v>46</v>
      </c>
      <c r="K854" s="32" t="s">
        <v>42</v>
      </c>
      <c r="M854" s="32" t="s">
        <v>51</v>
      </c>
      <c r="N854" s="32" t="s">
        <v>49</v>
      </c>
    </row>
    <row r="855" spans="1:14" s="32" customFormat="1" hidden="1" x14ac:dyDescent="0.3">
      <c r="A855" s="38">
        <v>46220.432118055556</v>
      </c>
      <c r="B855" s="32">
        <v>4436313773</v>
      </c>
      <c r="C855" s="32" t="s">
        <v>43</v>
      </c>
      <c r="D855" s="32">
        <v>4430265054</v>
      </c>
      <c r="E855" s="32">
        <v>108</v>
      </c>
      <c r="F855" s="32">
        <v>66</v>
      </c>
      <c r="G855" s="32" t="s">
        <v>44</v>
      </c>
      <c r="H855" s="32" t="s">
        <v>919</v>
      </c>
      <c r="I855" s="32" t="s">
        <v>40</v>
      </c>
      <c r="J855" s="32" t="s">
        <v>46</v>
      </c>
      <c r="K855" s="32" t="s">
        <v>42</v>
      </c>
      <c r="M855" s="32" t="s">
        <v>47</v>
      </c>
      <c r="N855" s="32" t="s">
        <v>43</v>
      </c>
    </row>
    <row r="856" spans="1:14" s="32" customFormat="1" hidden="1" x14ac:dyDescent="0.3">
      <c r="A856" s="38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38</v>
      </c>
      <c r="H856" s="32" t="s">
        <v>920</v>
      </c>
      <c r="I856" s="32" t="s">
        <v>40</v>
      </c>
      <c r="J856" s="32" t="s">
        <v>41</v>
      </c>
    </row>
    <row r="857" spans="1:14" s="32" customFormat="1" hidden="1" x14ac:dyDescent="0.3">
      <c r="A857" s="38">
        <v>46220.431493055556</v>
      </c>
      <c r="B857" s="32">
        <v>47999115463</v>
      </c>
      <c r="C857" s="32" t="s">
        <v>49</v>
      </c>
      <c r="D857" s="32">
        <v>4430265054</v>
      </c>
      <c r="E857" s="32">
        <v>187</v>
      </c>
      <c r="F857" s="32">
        <v>138</v>
      </c>
      <c r="G857" s="32" t="s">
        <v>44</v>
      </c>
      <c r="H857" s="32" t="s">
        <v>921</v>
      </c>
      <c r="I857" s="32" t="s">
        <v>40</v>
      </c>
      <c r="J857" s="32" t="s">
        <v>46</v>
      </c>
      <c r="K857" s="32" t="s">
        <v>42</v>
      </c>
      <c r="M857" s="32" t="s">
        <v>51</v>
      </c>
      <c r="N857" s="32" t="s">
        <v>49</v>
      </c>
    </row>
    <row r="858" spans="1:14" s="32" customFormat="1" hidden="1" x14ac:dyDescent="0.3">
      <c r="A858" s="38">
        <v>46220.426435185182</v>
      </c>
      <c r="B858" s="32">
        <v>4436312588</v>
      </c>
      <c r="C858" s="32" t="s">
        <v>43</v>
      </c>
      <c r="D858" s="32">
        <v>4430265054</v>
      </c>
      <c r="E858" s="32">
        <v>300</v>
      </c>
      <c r="F858" s="32">
        <v>265</v>
      </c>
      <c r="G858" s="32" t="s">
        <v>44</v>
      </c>
      <c r="H858" s="32" t="s">
        <v>922</v>
      </c>
      <c r="I858" s="32" t="s">
        <v>40</v>
      </c>
      <c r="J858" s="32" t="s">
        <v>46</v>
      </c>
      <c r="K858" s="32" t="s">
        <v>42</v>
      </c>
      <c r="M858" s="32" t="s">
        <v>47</v>
      </c>
      <c r="N858" s="32" t="s">
        <v>43</v>
      </c>
    </row>
    <row r="859" spans="1:14" s="32" customFormat="1" hidden="1" x14ac:dyDescent="0.3">
      <c r="A859" s="38">
        <v>46220.425057870372</v>
      </c>
      <c r="B859" s="32" t="s">
        <v>49</v>
      </c>
      <c r="C859" s="32">
        <v>4435226025</v>
      </c>
      <c r="E859" s="32">
        <v>28</v>
      </c>
      <c r="F859" s="32">
        <v>16</v>
      </c>
      <c r="G859" s="32" t="s">
        <v>44</v>
      </c>
      <c r="H859" s="32" t="s">
        <v>923</v>
      </c>
      <c r="I859" s="32" t="s">
        <v>54</v>
      </c>
      <c r="J859" s="32" t="s">
        <v>46</v>
      </c>
      <c r="M859" s="32" t="s">
        <v>51</v>
      </c>
      <c r="N859" s="32" t="s">
        <v>49</v>
      </c>
    </row>
    <row r="860" spans="1:14" s="32" customFormat="1" hidden="1" x14ac:dyDescent="0.3">
      <c r="A860" s="38">
        <v>46220.424976851849</v>
      </c>
      <c r="B860" s="32" t="s">
        <v>49</v>
      </c>
      <c r="C860" s="32">
        <v>4435226025</v>
      </c>
      <c r="E860" s="32">
        <v>14</v>
      </c>
      <c r="F860" s="32">
        <v>13</v>
      </c>
      <c r="G860" s="32" t="s">
        <v>44</v>
      </c>
      <c r="H860" s="32" t="s">
        <v>924</v>
      </c>
      <c r="I860" s="32" t="s">
        <v>54</v>
      </c>
      <c r="J860" s="32" t="s">
        <v>46</v>
      </c>
      <c r="M860" s="32" t="s">
        <v>51</v>
      </c>
      <c r="N860" s="32" t="s">
        <v>49</v>
      </c>
    </row>
    <row r="861" spans="1:14" s="32" customFormat="1" hidden="1" x14ac:dyDescent="0.3">
      <c r="A861" s="38">
        <v>46220.422291666669</v>
      </c>
      <c r="B861" s="32">
        <v>11944660557</v>
      </c>
      <c r="C861" s="32" t="s">
        <v>43</v>
      </c>
      <c r="D861" s="32">
        <v>4430265054</v>
      </c>
      <c r="E861" s="32">
        <v>356</v>
      </c>
      <c r="F861" s="32">
        <v>331</v>
      </c>
      <c r="G861" s="32" t="s">
        <v>44</v>
      </c>
      <c r="H861" s="32" t="s">
        <v>925</v>
      </c>
      <c r="I861" s="32" t="s">
        <v>40</v>
      </c>
      <c r="J861" s="32" t="s">
        <v>46</v>
      </c>
      <c r="K861" s="32" t="s">
        <v>42</v>
      </c>
      <c r="M861" s="32" t="s">
        <v>47</v>
      </c>
      <c r="N861" s="32" t="s">
        <v>43</v>
      </c>
    </row>
    <row r="862" spans="1:14" s="32" customFormat="1" hidden="1" x14ac:dyDescent="0.3">
      <c r="A862" s="38">
        <v>46220.415243055555</v>
      </c>
      <c r="B862" s="32">
        <v>4435226025</v>
      </c>
      <c r="C862" s="32" t="s">
        <v>49</v>
      </c>
      <c r="D862" s="32">
        <v>4430265054</v>
      </c>
      <c r="E862" s="32">
        <v>712</v>
      </c>
      <c r="F862" s="32">
        <v>614</v>
      </c>
      <c r="G862" s="32" t="s">
        <v>44</v>
      </c>
      <c r="H862" s="32" t="s">
        <v>926</v>
      </c>
      <c r="I862" s="32" t="s">
        <v>40</v>
      </c>
      <c r="J862" s="32" t="s">
        <v>46</v>
      </c>
      <c r="K862" s="32" t="s">
        <v>42</v>
      </c>
      <c r="M862" s="32" t="s">
        <v>51</v>
      </c>
      <c r="N862" s="32" t="s">
        <v>49</v>
      </c>
    </row>
    <row r="863" spans="1:14" s="32" customFormat="1" hidden="1" x14ac:dyDescent="0.3">
      <c r="A863" s="38">
        <v>46220.41369212963</v>
      </c>
      <c r="B863" s="32">
        <v>4130775695</v>
      </c>
      <c r="C863" s="32" t="s">
        <v>85</v>
      </c>
      <c r="D863" s="32">
        <v>4430265054</v>
      </c>
      <c r="E863" s="32">
        <v>380</v>
      </c>
      <c r="F863" s="32">
        <v>192</v>
      </c>
      <c r="G863" s="32" t="s">
        <v>44</v>
      </c>
      <c r="H863" s="32" t="s">
        <v>927</v>
      </c>
      <c r="I863" s="32" t="s">
        <v>40</v>
      </c>
      <c r="J863" s="32" t="s">
        <v>41</v>
      </c>
      <c r="K863" s="32" t="s">
        <v>42</v>
      </c>
      <c r="M863" s="32" t="s">
        <v>87</v>
      </c>
      <c r="N863" s="32" t="s">
        <v>85</v>
      </c>
    </row>
    <row r="864" spans="1:14" s="32" customFormat="1" hidden="1" x14ac:dyDescent="0.3">
      <c r="A864" s="38">
        <v>46220.411006944443</v>
      </c>
      <c r="B864" s="32">
        <v>47999115463</v>
      </c>
      <c r="C864" s="32" t="s">
        <v>49</v>
      </c>
      <c r="D864" s="32">
        <v>4430265054</v>
      </c>
      <c r="E864" s="32">
        <v>416</v>
      </c>
      <c r="F864" s="32">
        <v>376</v>
      </c>
      <c r="G864" s="32" t="s">
        <v>44</v>
      </c>
      <c r="H864" s="32" t="s">
        <v>928</v>
      </c>
      <c r="I864" s="32" t="s">
        <v>40</v>
      </c>
      <c r="J864" s="32" t="s">
        <v>46</v>
      </c>
      <c r="K864" s="32" t="s">
        <v>42</v>
      </c>
      <c r="M864" s="32" t="s">
        <v>51</v>
      </c>
      <c r="N864" s="32" t="s">
        <v>49</v>
      </c>
    </row>
    <row r="865" spans="1:14" s="32" customFormat="1" hidden="1" x14ac:dyDescent="0.3">
      <c r="A865" s="38">
        <v>46220.408726851849</v>
      </c>
      <c r="B865" s="32">
        <v>44999743444</v>
      </c>
      <c r="C865" s="32" t="s">
        <v>43</v>
      </c>
      <c r="D865" s="32">
        <v>4430265054</v>
      </c>
      <c r="E865" s="32">
        <v>736</v>
      </c>
      <c r="F865" s="32">
        <v>693</v>
      </c>
      <c r="G865" s="32" t="s">
        <v>44</v>
      </c>
      <c r="H865" s="32" t="s">
        <v>929</v>
      </c>
      <c r="I865" s="32" t="s">
        <v>40</v>
      </c>
      <c r="J865" s="32" t="s">
        <v>46</v>
      </c>
      <c r="K865" s="32" t="s">
        <v>42</v>
      </c>
      <c r="M865" s="32" t="s">
        <v>47</v>
      </c>
      <c r="N865" s="32" t="s">
        <v>43</v>
      </c>
    </row>
    <row r="866" spans="1:14" s="32" customFormat="1" hidden="1" x14ac:dyDescent="0.3">
      <c r="A866" s="38">
        <v>46220.401979166665</v>
      </c>
      <c r="B866" s="32">
        <v>4430451163</v>
      </c>
      <c r="C866" s="32" t="s">
        <v>58</v>
      </c>
      <c r="D866" s="32">
        <v>4430265054</v>
      </c>
      <c r="E866" s="32">
        <v>2875</v>
      </c>
      <c r="F866" s="32">
        <v>2874</v>
      </c>
      <c r="G866" s="32" t="s">
        <v>44</v>
      </c>
      <c r="H866" s="32" t="s">
        <v>930</v>
      </c>
      <c r="I866" s="32" t="s">
        <v>40</v>
      </c>
      <c r="J866" s="32" t="s">
        <v>46</v>
      </c>
      <c r="K866" s="32" t="s">
        <v>42</v>
      </c>
      <c r="M866" s="32" t="s">
        <v>60</v>
      </c>
      <c r="N866" s="32" t="s">
        <v>58</v>
      </c>
    </row>
    <row r="867" spans="1:14" s="32" customFormat="1" hidden="1" x14ac:dyDescent="0.3">
      <c r="A867" s="38">
        <v>46220.396608796298</v>
      </c>
      <c r="B867" s="32">
        <v>1131043888</v>
      </c>
      <c r="C867" s="32" t="s">
        <v>43</v>
      </c>
      <c r="D867" s="32">
        <v>4430265054</v>
      </c>
      <c r="E867" s="32">
        <v>414</v>
      </c>
      <c r="F867" s="32">
        <v>380</v>
      </c>
      <c r="G867" s="32" t="s">
        <v>44</v>
      </c>
      <c r="H867" s="32" t="s">
        <v>931</v>
      </c>
      <c r="I867" s="32" t="s">
        <v>40</v>
      </c>
      <c r="J867" s="32" t="s">
        <v>46</v>
      </c>
      <c r="K867" s="32" t="s">
        <v>42</v>
      </c>
      <c r="M867" s="32" t="s">
        <v>47</v>
      </c>
      <c r="N867" s="32" t="s">
        <v>43</v>
      </c>
    </row>
    <row r="868" spans="1:14" s="32" customFormat="1" hidden="1" x14ac:dyDescent="0.3">
      <c r="A868" s="38">
        <v>46220.396562499998</v>
      </c>
      <c r="B868" s="32">
        <v>44998300008</v>
      </c>
      <c r="C868" s="32" t="s">
        <v>49</v>
      </c>
      <c r="D868" s="32">
        <v>4430265054</v>
      </c>
      <c r="E868" s="32">
        <v>664</v>
      </c>
      <c r="F868" s="32">
        <v>597</v>
      </c>
      <c r="G868" s="32" t="s">
        <v>44</v>
      </c>
      <c r="H868" s="32" t="s">
        <v>932</v>
      </c>
      <c r="I868" s="32" t="s">
        <v>40</v>
      </c>
      <c r="J868" s="32" t="s">
        <v>46</v>
      </c>
      <c r="K868" s="32" t="s">
        <v>42</v>
      </c>
      <c r="M868" s="32" t="s">
        <v>51</v>
      </c>
      <c r="N868" s="32" t="s">
        <v>49</v>
      </c>
    </row>
    <row r="869" spans="1:14" s="32" customFormat="1" hidden="1" x14ac:dyDescent="0.3">
      <c r="A869" s="38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38</v>
      </c>
      <c r="H869" s="32" t="s">
        <v>933</v>
      </c>
      <c r="I869" s="32" t="s">
        <v>40</v>
      </c>
      <c r="J869" s="32" t="s">
        <v>41</v>
      </c>
    </row>
    <row r="870" spans="1:14" s="32" customFormat="1" hidden="1" x14ac:dyDescent="0.3">
      <c r="A870" s="38">
        <v>46220.385694444441</v>
      </c>
      <c r="B870" s="32">
        <v>44999497001</v>
      </c>
      <c r="C870" s="32" t="s">
        <v>43</v>
      </c>
      <c r="D870" s="32">
        <v>4430265054</v>
      </c>
      <c r="E870" s="32">
        <v>683</v>
      </c>
      <c r="F870" s="32">
        <v>666</v>
      </c>
      <c r="G870" s="32" t="s">
        <v>44</v>
      </c>
      <c r="H870" s="32" t="s">
        <v>934</v>
      </c>
      <c r="I870" s="32" t="s">
        <v>40</v>
      </c>
      <c r="J870" s="32" t="s">
        <v>46</v>
      </c>
      <c r="K870" s="32" t="s">
        <v>42</v>
      </c>
      <c r="M870" s="32" t="s">
        <v>47</v>
      </c>
      <c r="N870" s="32" t="s">
        <v>43</v>
      </c>
    </row>
    <row r="871" spans="1:14" s="32" customFormat="1" hidden="1" x14ac:dyDescent="0.3">
      <c r="A871" s="38">
        <v>46220.38554398148</v>
      </c>
      <c r="B871" s="32">
        <v>44991381017</v>
      </c>
      <c r="C871" s="32" t="s">
        <v>58</v>
      </c>
      <c r="D871" s="32">
        <v>4430265054</v>
      </c>
      <c r="E871" s="32">
        <v>248</v>
      </c>
      <c r="F871" s="32">
        <v>213</v>
      </c>
      <c r="G871" s="32" t="s">
        <v>44</v>
      </c>
      <c r="H871" s="32" t="s">
        <v>935</v>
      </c>
      <c r="I871" s="32" t="s">
        <v>40</v>
      </c>
      <c r="J871" s="32" t="s">
        <v>46</v>
      </c>
      <c r="K871" s="32" t="s">
        <v>42</v>
      </c>
      <c r="M871" s="32" t="s">
        <v>60</v>
      </c>
      <c r="N871" s="32" t="s">
        <v>58</v>
      </c>
    </row>
    <row r="872" spans="1:14" s="32" customFormat="1" hidden="1" x14ac:dyDescent="0.3">
      <c r="A872" s="38">
        <v>46220.371678240743</v>
      </c>
      <c r="B872" s="32" t="s">
        <v>43</v>
      </c>
      <c r="C872" s="32">
        <v>44997450437</v>
      </c>
      <c r="E872" s="32">
        <v>94</v>
      </c>
      <c r="F872" s="32">
        <v>73</v>
      </c>
      <c r="G872" s="32" t="s">
        <v>44</v>
      </c>
      <c r="H872" s="32" t="s">
        <v>936</v>
      </c>
      <c r="I872" s="32" t="s">
        <v>54</v>
      </c>
      <c r="J872" s="32" t="s">
        <v>46</v>
      </c>
      <c r="M872" s="32" t="s">
        <v>47</v>
      </c>
      <c r="N872" s="32" t="s">
        <v>43</v>
      </c>
    </row>
    <row r="873" spans="1:14" s="32" customFormat="1" hidden="1" x14ac:dyDescent="0.3">
      <c r="A873" s="38">
        <v>46220.370300925926</v>
      </c>
      <c r="B873" s="32" t="s">
        <v>43</v>
      </c>
      <c r="C873" s="32">
        <v>4432325260</v>
      </c>
      <c r="E873" s="32">
        <v>74</v>
      </c>
      <c r="F873" s="32">
        <v>66</v>
      </c>
      <c r="G873" s="32" t="s">
        <v>44</v>
      </c>
      <c r="H873" s="32" t="s">
        <v>937</v>
      </c>
      <c r="I873" s="32" t="s">
        <v>54</v>
      </c>
      <c r="J873" s="32" t="s">
        <v>46</v>
      </c>
      <c r="M873" s="32" t="s">
        <v>47</v>
      </c>
      <c r="N873" s="32" t="s">
        <v>43</v>
      </c>
    </row>
    <row r="874" spans="1:14" s="32" customFormat="1" hidden="1" x14ac:dyDescent="0.3">
      <c r="A874" s="38">
        <v>46220.361284722225</v>
      </c>
      <c r="B874" s="32">
        <v>4430289386</v>
      </c>
      <c r="C874" s="32" t="s">
        <v>58</v>
      </c>
      <c r="D874" s="32">
        <v>4430265054</v>
      </c>
      <c r="E874" s="32">
        <v>590</v>
      </c>
      <c r="F874" s="32">
        <v>504</v>
      </c>
      <c r="G874" s="32" t="s">
        <v>44</v>
      </c>
      <c r="H874" s="32" t="s">
        <v>938</v>
      </c>
      <c r="I874" s="32" t="s">
        <v>40</v>
      </c>
      <c r="J874" s="32" t="s">
        <v>46</v>
      </c>
      <c r="K874" s="32" t="s">
        <v>42</v>
      </c>
      <c r="M874" s="32" t="s">
        <v>60</v>
      </c>
      <c r="N874" s="32" t="s">
        <v>58</v>
      </c>
    </row>
    <row r="875" spans="1:14" s="32" customFormat="1" hidden="1" x14ac:dyDescent="0.3">
      <c r="A875" s="38">
        <v>46220.36109953704</v>
      </c>
      <c r="B875" s="32">
        <v>4435226025</v>
      </c>
      <c r="C875" s="32" t="s">
        <v>49</v>
      </c>
      <c r="D875" s="32">
        <v>4430265054</v>
      </c>
      <c r="E875" s="32">
        <v>2647</v>
      </c>
      <c r="F875" s="32">
        <v>2573</v>
      </c>
      <c r="G875" s="32" t="s">
        <v>44</v>
      </c>
      <c r="H875" s="32" t="s">
        <v>939</v>
      </c>
      <c r="I875" s="32" t="s">
        <v>40</v>
      </c>
      <c r="J875" s="32" t="s">
        <v>46</v>
      </c>
      <c r="K875" s="32" t="s">
        <v>42</v>
      </c>
      <c r="M875" s="32" t="s">
        <v>51</v>
      </c>
      <c r="N875" s="32" t="s">
        <v>49</v>
      </c>
    </row>
    <row r="876" spans="1:14" s="32" customFormat="1" hidden="1" x14ac:dyDescent="0.3">
      <c r="A876" s="38">
        <v>46219.739803240744</v>
      </c>
      <c r="B876" s="32">
        <v>93991495484</v>
      </c>
      <c r="C876" s="32" t="s">
        <v>58</v>
      </c>
      <c r="D876" s="32">
        <v>4430265054</v>
      </c>
      <c r="E876" s="32">
        <v>151</v>
      </c>
      <c r="F876" s="32">
        <v>151</v>
      </c>
      <c r="G876" s="32" t="s">
        <v>44</v>
      </c>
      <c r="H876" s="32" t="s">
        <v>940</v>
      </c>
      <c r="I876" s="32" t="s">
        <v>40</v>
      </c>
      <c r="J876" s="32" t="s">
        <v>46</v>
      </c>
      <c r="K876" s="32" t="s">
        <v>42</v>
      </c>
      <c r="L876" s="32">
        <v>5</v>
      </c>
      <c r="M876" s="32" t="s">
        <v>60</v>
      </c>
      <c r="N876" s="32" t="s">
        <v>58</v>
      </c>
    </row>
    <row r="877" spans="1:14" s="32" customFormat="1" hidden="1" x14ac:dyDescent="0.3">
      <c r="A877" s="38">
        <v>46219.73978009259</v>
      </c>
      <c r="B877" s="32" t="s">
        <v>58</v>
      </c>
      <c r="C877" s="32">
        <v>93991495484</v>
      </c>
      <c r="E877" s="32">
        <v>4</v>
      </c>
      <c r="F877" s="32">
        <v>0</v>
      </c>
      <c r="G877" s="32" t="s">
        <v>63</v>
      </c>
      <c r="H877" s="32" t="s">
        <v>941</v>
      </c>
      <c r="I877" s="32" t="s">
        <v>54</v>
      </c>
      <c r="J877" s="32" t="s">
        <v>46</v>
      </c>
      <c r="M877" s="32" t="s">
        <v>60</v>
      </c>
      <c r="N877" s="32" t="s">
        <v>58</v>
      </c>
    </row>
    <row r="878" spans="1:14" s="32" customFormat="1" hidden="1" x14ac:dyDescent="0.3">
      <c r="A878" s="38">
        <v>46219.73809027778</v>
      </c>
      <c r="B878" s="32">
        <v>93991495484</v>
      </c>
      <c r="C878" s="32" t="s">
        <v>58</v>
      </c>
      <c r="D878" s="32">
        <v>4430265054</v>
      </c>
      <c r="E878" s="32">
        <v>129</v>
      </c>
      <c r="F878" s="32">
        <v>128</v>
      </c>
      <c r="G878" s="32" t="s">
        <v>44</v>
      </c>
      <c r="H878" s="32" t="s">
        <v>942</v>
      </c>
      <c r="I878" s="32" t="s">
        <v>40</v>
      </c>
      <c r="J878" s="32" t="s">
        <v>46</v>
      </c>
      <c r="K878" s="32" t="s">
        <v>42</v>
      </c>
      <c r="M878" s="32" t="s">
        <v>60</v>
      </c>
      <c r="N878" s="32" t="s">
        <v>58</v>
      </c>
    </row>
    <row r="879" spans="1:14" s="32" customFormat="1" hidden="1" x14ac:dyDescent="0.3">
      <c r="A879" s="38">
        <v>46219.723194444443</v>
      </c>
      <c r="B879" s="32">
        <v>64984797713</v>
      </c>
      <c r="C879" s="32" t="s">
        <v>43</v>
      </c>
      <c r="D879" s="32">
        <v>4430265054</v>
      </c>
      <c r="E879" s="32">
        <v>380</v>
      </c>
      <c r="F879" s="32">
        <v>344</v>
      </c>
      <c r="G879" s="32" t="s">
        <v>44</v>
      </c>
      <c r="H879" s="32" t="s">
        <v>943</v>
      </c>
      <c r="I879" s="32" t="s">
        <v>40</v>
      </c>
      <c r="J879" s="32" t="s">
        <v>46</v>
      </c>
      <c r="K879" s="32" t="s">
        <v>42</v>
      </c>
      <c r="L879" s="32">
        <v>5</v>
      </c>
      <c r="M879" s="32" t="s">
        <v>47</v>
      </c>
      <c r="N879" s="32" t="s">
        <v>43</v>
      </c>
    </row>
    <row r="880" spans="1:14" s="32" customFormat="1" hidden="1" x14ac:dyDescent="0.3">
      <c r="A880" s="38">
        <v>46219.720520833333</v>
      </c>
      <c r="B880" s="32" t="s">
        <v>49</v>
      </c>
      <c r="C880" s="32">
        <v>44998761561</v>
      </c>
      <c r="E880" s="32">
        <v>510</v>
      </c>
      <c r="F880" s="32">
        <v>500</v>
      </c>
      <c r="G880" s="32" t="s">
        <v>44</v>
      </c>
      <c r="H880" s="32" t="s">
        <v>944</v>
      </c>
      <c r="I880" s="32" t="s">
        <v>54</v>
      </c>
      <c r="J880" s="32" t="s">
        <v>46</v>
      </c>
      <c r="M880" s="32" t="s">
        <v>51</v>
      </c>
      <c r="N880" s="32" t="s">
        <v>49</v>
      </c>
    </row>
    <row r="881" spans="1:14" s="32" customFormat="1" hidden="1" x14ac:dyDescent="0.3">
      <c r="A881" s="38">
        <v>46219.719282407408</v>
      </c>
      <c r="B881" s="32" t="s">
        <v>49</v>
      </c>
      <c r="C881" s="32">
        <v>1000</v>
      </c>
      <c r="E881" s="32">
        <v>8</v>
      </c>
      <c r="F881" s="32">
        <v>3</v>
      </c>
      <c r="G881" s="32" t="s">
        <v>44</v>
      </c>
      <c r="H881" s="32" t="s">
        <v>945</v>
      </c>
      <c r="I881" s="32" t="s">
        <v>54</v>
      </c>
      <c r="J881" s="32" t="s">
        <v>46</v>
      </c>
      <c r="M881" s="32" t="s">
        <v>51</v>
      </c>
      <c r="N881" s="32" t="s">
        <v>49</v>
      </c>
    </row>
    <row r="882" spans="1:14" s="32" customFormat="1" hidden="1" x14ac:dyDescent="0.3">
      <c r="A882" s="38">
        <v>46219.719224537039</v>
      </c>
      <c r="B882" s="32" t="s">
        <v>49</v>
      </c>
      <c r="C882" s="32">
        <v>44998761561</v>
      </c>
      <c r="E882" s="32">
        <v>2</v>
      </c>
      <c r="F882" s="32">
        <v>0</v>
      </c>
      <c r="G882" s="32" t="s">
        <v>63</v>
      </c>
      <c r="H882" s="32" t="s">
        <v>946</v>
      </c>
      <c r="I882" s="32" t="s">
        <v>54</v>
      </c>
      <c r="J882" s="32" t="s">
        <v>46</v>
      </c>
      <c r="M882" s="32" t="s">
        <v>51</v>
      </c>
      <c r="N882" s="32" t="s">
        <v>49</v>
      </c>
    </row>
    <row r="883" spans="1:14" s="32" customFormat="1" hidden="1" x14ac:dyDescent="0.3">
      <c r="A883" s="38">
        <v>46219.718888888892</v>
      </c>
      <c r="B883" s="32">
        <v>44997079838</v>
      </c>
      <c r="C883" s="32" t="s">
        <v>58</v>
      </c>
      <c r="D883" s="32">
        <v>4430265054</v>
      </c>
      <c r="E883" s="32">
        <v>350</v>
      </c>
      <c r="F883" s="32">
        <v>349</v>
      </c>
      <c r="G883" s="32" t="s">
        <v>44</v>
      </c>
      <c r="H883" s="32" t="s">
        <v>947</v>
      </c>
      <c r="I883" s="32" t="s">
        <v>40</v>
      </c>
      <c r="J883" s="32" t="s">
        <v>46</v>
      </c>
      <c r="K883" s="32" t="s">
        <v>42</v>
      </c>
      <c r="L883" s="32">
        <v>5</v>
      </c>
      <c r="M883" s="32" t="s">
        <v>60</v>
      </c>
      <c r="N883" s="32" t="s">
        <v>58</v>
      </c>
    </row>
    <row r="884" spans="1:14" s="32" customFormat="1" hidden="1" x14ac:dyDescent="0.3">
      <c r="A884" s="38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38</v>
      </c>
      <c r="H884" s="32" t="s">
        <v>948</v>
      </c>
      <c r="I884" s="32" t="s">
        <v>40</v>
      </c>
      <c r="J884" s="32" t="s">
        <v>41</v>
      </c>
      <c r="K884" s="32" t="s">
        <v>42</v>
      </c>
    </row>
    <row r="885" spans="1:14" s="32" customFormat="1" hidden="1" x14ac:dyDescent="0.3">
      <c r="A885" s="38">
        <v>46219.716053240743</v>
      </c>
      <c r="B885" s="32">
        <v>35998295948</v>
      </c>
      <c r="C885" s="32" t="s">
        <v>43</v>
      </c>
      <c r="D885" s="32">
        <v>4430265054</v>
      </c>
      <c r="E885" s="32">
        <v>325</v>
      </c>
      <c r="F885" s="32">
        <v>283</v>
      </c>
      <c r="G885" s="32" t="s">
        <v>44</v>
      </c>
      <c r="H885" s="32" t="s">
        <v>949</v>
      </c>
      <c r="I885" s="32" t="s">
        <v>40</v>
      </c>
      <c r="J885" s="32" t="s">
        <v>46</v>
      </c>
      <c r="K885" s="32" t="s">
        <v>42</v>
      </c>
      <c r="M885" s="32" t="s">
        <v>47</v>
      </c>
      <c r="N885" s="32" t="s">
        <v>43</v>
      </c>
    </row>
    <row r="886" spans="1:14" s="32" customFormat="1" hidden="1" x14ac:dyDescent="0.3">
      <c r="A886" s="38">
        <v>46219.71466435185</v>
      </c>
      <c r="B886" s="32">
        <v>44998761561</v>
      </c>
      <c r="C886" s="32" t="s">
        <v>49</v>
      </c>
      <c r="D886" s="32">
        <v>4431268225</v>
      </c>
      <c r="E886" s="32">
        <v>269</v>
      </c>
      <c r="F886" s="32">
        <v>148</v>
      </c>
      <c r="G886" s="32" t="s">
        <v>44</v>
      </c>
      <c r="H886" s="32" t="s">
        <v>950</v>
      </c>
      <c r="I886" s="32" t="s">
        <v>40</v>
      </c>
      <c r="J886" s="32" t="s">
        <v>46</v>
      </c>
      <c r="K886" s="32" t="s">
        <v>42</v>
      </c>
      <c r="M886" s="32" t="s">
        <v>51</v>
      </c>
      <c r="N886" s="32" t="s">
        <v>49</v>
      </c>
    </row>
    <row r="887" spans="1:14" s="32" customFormat="1" hidden="1" x14ac:dyDescent="0.3">
      <c r="A887" s="38">
        <v>46219.711319444446</v>
      </c>
      <c r="B887" s="32">
        <v>64984797713</v>
      </c>
      <c r="C887" s="32" t="s">
        <v>58</v>
      </c>
      <c r="D887" s="32">
        <v>4430265054</v>
      </c>
      <c r="E887" s="32">
        <v>539</v>
      </c>
      <c r="F887" s="32">
        <v>539</v>
      </c>
      <c r="G887" s="32" t="s">
        <v>44</v>
      </c>
      <c r="H887" s="32" t="s">
        <v>951</v>
      </c>
      <c r="I887" s="32" t="s">
        <v>40</v>
      </c>
      <c r="J887" s="32" t="s">
        <v>46</v>
      </c>
      <c r="K887" s="32" t="s">
        <v>42</v>
      </c>
      <c r="L887" s="32">
        <v>5</v>
      </c>
      <c r="M887" s="32" t="s">
        <v>60</v>
      </c>
      <c r="N887" s="32" t="s">
        <v>58</v>
      </c>
    </row>
    <row r="888" spans="1:14" s="32" customFormat="1" hidden="1" x14ac:dyDescent="0.3">
      <c r="A888" s="38">
        <v>46219.705787037034</v>
      </c>
      <c r="B888" s="32">
        <v>4432325260</v>
      </c>
      <c r="C888" s="32" t="s">
        <v>43</v>
      </c>
      <c r="D888" s="32">
        <v>4430265054</v>
      </c>
      <c r="E888" s="32">
        <v>746</v>
      </c>
      <c r="F888" s="32">
        <v>616</v>
      </c>
      <c r="G888" s="32" t="s">
        <v>44</v>
      </c>
      <c r="H888" s="32" t="s">
        <v>952</v>
      </c>
      <c r="I888" s="32" t="s">
        <v>40</v>
      </c>
      <c r="J888" s="32" t="s">
        <v>46</v>
      </c>
      <c r="K888" s="32" t="s">
        <v>42</v>
      </c>
      <c r="M888" s="32" t="s">
        <v>47</v>
      </c>
      <c r="N888" s="32" t="s">
        <v>43</v>
      </c>
    </row>
    <row r="889" spans="1:14" s="32" customFormat="1" hidden="1" x14ac:dyDescent="0.3">
      <c r="A889" s="38">
        <v>46219.697847222225</v>
      </c>
      <c r="B889" s="32">
        <v>44997235101</v>
      </c>
      <c r="C889" s="32" t="s">
        <v>43</v>
      </c>
      <c r="D889" s="32">
        <v>4430265054</v>
      </c>
      <c r="E889" s="32">
        <v>787</v>
      </c>
      <c r="F889" s="32">
        <v>589</v>
      </c>
      <c r="G889" s="32" t="s">
        <v>44</v>
      </c>
      <c r="H889" s="32" t="s">
        <v>953</v>
      </c>
      <c r="I889" s="32" t="s">
        <v>40</v>
      </c>
      <c r="J889" s="32" t="s">
        <v>46</v>
      </c>
      <c r="K889" s="32" t="s">
        <v>42</v>
      </c>
      <c r="M889" s="32" t="s">
        <v>47</v>
      </c>
      <c r="N889" s="32" t="s">
        <v>43</v>
      </c>
    </row>
    <row r="890" spans="1:14" s="32" customFormat="1" hidden="1" x14ac:dyDescent="0.3">
      <c r="A890" s="38">
        <v>46219.696701388886</v>
      </c>
      <c r="B890" s="32">
        <v>1131043888</v>
      </c>
      <c r="C890" s="32" t="s">
        <v>58</v>
      </c>
      <c r="D890" s="32">
        <v>4430265054</v>
      </c>
      <c r="E890" s="32">
        <v>903</v>
      </c>
      <c r="F890" s="32">
        <v>827</v>
      </c>
      <c r="G890" s="32" t="s">
        <v>44</v>
      </c>
      <c r="H890" s="32" t="s">
        <v>954</v>
      </c>
      <c r="I890" s="32" t="s">
        <v>40</v>
      </c>
      <c r="J890" s="32" t="s">
        <v>46</v>
      </c>
      <c r="K890" s="32" t="s">
        <v>42</v>
      </c>
      <c r="M890" s="32" t="s">
        <v>60</v>
      </c>
      <c r="N890" s="32" t="s">
        <v>58</v>
      </c>
    </row>
    <row r="891" spans="1:14" s="32" customFormat="1" hidden="1" x14ac:dyDescent="0.3">
      <c r="A891" s="38">
        <v>46219.696145833332</v>
      </c>
      <c r="B891" s="32">
        <v>44998620323</v>
      </c>
      <c r="C891" s="32" t="s">
        <v>43</v>
      </c>
      <c r="D891" s="32">
        <v>4430265054</v>
      </c>
      <c r="E891" s="32">
        <v>325</v>
      </c>
      <c r="F891" s="32">
        <v>309</v>
      </c>
      <c r="G891" s="32" t="s">
        <v>44</v>
      </c>
      <c r="H891" s="32" t="s">
        <v>955</v>
      </c>
      <c r="I891" s="32" t="s">
        <v>40</v>
      </c>
      <c r="J891" s="32" t="s">
        <v>46</v>
      </c>
      <c r="K891" s="32" t="s">
        <v>42</v>
      </c>
      <c r="M891" s="32" t="s">
        <v>47</v>
      </c>
      <c r="N891" s="32" t="s">
        <v>43</v>
      </c>
    </row>
    <row r="892" spans="1:14" s="32" customFormat="1" hidden="1" x14ac:dyDescent="0.3">
      <c r="A892" s="38">
        <v>46219.695543981485</v>
      </c>
      <c r="B892" s="32" t="s">
        <v>43</v>
      </c>
      <c r="C892" s="32">
        <v>44997450437</v>
      </c>
      <c r="E892" s="32">
        <v>11</v>
      </c>
      <c r="F892" s="32">
        <v>0</v>
      </c>
      <c r="G892" s="32" t="s">
        <v>63</v>
      </c>
      <c r="H892" s="32" t="s">
        <v>956</v>
      </c>
      <c r="I892" s="32" t="s">
        <v>54</v>
      </c>
      <c r="J892" s="32" t="s">
        <v>46</v>
      </c>
      <c r="M892" s="32" t="s">
        <v>47</v>
      </c>
      <c r="N892" s="32" t="s">
        <v>43</v>
      </c>
    </row>
    <row r="893" spans="1:14" s="32" customFormat="1" hidden="1" x14ac:dyDescent="0.3">
      <c r="A893" s="38">
        <v>46219.694282407407</v>
      </c>
      <c r="B893" s="32">
        <v>44997456641</v>
      </c>
      <c r="C893" s="32" t="s">
        <v>58</v>
      </c>
      <c r="D893" s="32">
        <v>4430265054</v>
      </c>
      <c r="E893" s="32">
        <v>271</v>
      </c>
      <c r="F893" s="32">
        <v>155</v>
      </c>
      <c r="G893" s="32" t="s">
        <v>44</v>
      </c>
      <c r="H893" s="32" t="s">
        <v>957</v>
      </c>
      <c r="I893" s="32" t="s">
        <v>40</v>
      </c>
      <c r="J893" s="32" t="s">
        <v>46</v>
      </c>
      <c r="K893" s="32" t="s">
        <v>42</v>
      </c>
      <c r="M893" s="32" t="s">
        <v>60</v>
      </c>
      <c r="N893" s="32" t="s">
        <v>58</v>
      </c>
    </row>
    <row r="894" spans="1:14" s="32" customFormat="1" x14ac:dyDescent="0.3">
      <c r="A894" s="38">
        <v>46219.694062499999</v>
      </c>
      <c r="B894" s="32">
        <v>4330333542</v>
      </c>
      <c r="C894" s="32" t="s">
        <v>49</v>
      </c>
      <c r="D894" s="32">
        <v>4430265054</v>
      </c>
      <c r="E894" s="32">
        <v>1545</v>
      </c>
      <c r="F894" s="32">
        <v>1410</v>
      </c>
      <c r="G894" s="32" t="s">
        <v>44</v>
      </c>
      <c r="H894" s="32" t="s">
        <v>958</v>
      </c>
      <c r="I894" s="32" t="s">
        <v>40</v>
      </c>
      <c r="J894" s="32" t="s">
        <v>46</v>
      </c>
      <c r="K894" s="32" t="s">
        <v>42</v>
      </c>
      <c r="L894" s="32">
        <v>5</v>
      </c>
      <c r="M894" s="32" t="s">
        <v>51</v>
      </c>
      <c r="N894" s="32" t="s">
        <v>49</v>
      </c>
    </row>
    <row r="895" spans="1:14" s="32" customFormat="1" hidden="1" x14ac:dyDescent="0.3">
      <c r="A895" s="38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63</v>
      </c>
      <c r="H895" s="32" t="s">
        <v>959</v>
      </c>
      <c r="I895" s="32" t="s">
        <v>40</v>
      </c>
    </row>
    <row r="896" spans="1:14" s="32" customFormat="1" hidden="1" x14ac:dyDescent="0.3">
      <c r="A896" s="38">
        <v>46219.687719907408</v>
      </c>
      <c r="B896" s="32" t="s">
        <v>58</v>
      </c>
      <c r="C896" s="32">
        <v>44998761561</v>
      </c>
      <c r="E896" s="32">
        <v>448</v>
      </c>
      <c r="F896" s="32">
        <v>434</v>
      </c>
      <c r="G896" s="32" t="s">
        <v>44</v>
      </c>
      <c r="H896" s="32" t="s">
        <v>960</v>
      </c>
      <c r="I896" s="32" t="s">
        <v>54</v>
      </c>
      <c r="J896" s="32" t="s">
        <v>46</v>
      </c>
      <c r="M896" s="32" t="s">
        <v>60</v>
      </c>
      <c r="N896" s="32" t="s">
        <v>58</v>
      </c>
    </row>
    <row r="897" spans="1:14" s="32" customFormat="1" hidden="1" x14ac:dyDescent="0.3">
      <c r="A897" s="38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38</v>
      </c>
      <c r="H897" s="32" t="s">
        <v>961</v>
      </c>
      <c r="I897" s="32" t="s">
        <v>40</v>
      </c>
      <c r="J897" s="32" t="s">
        <v>41</v>
      </c>
    </row>
    <row r="898" spans="1:14" s="32" customFormat="1" hidden="1" x14ac:dyDescent="0.3">
      <c r="A898" s="38">
        <v>46219.679456018515</v>
      </c>
      <c r="B898" s="32">
        <v>4436281154</v>
      </c>
      <c r="C898" s="32" t="s">
        <v>58</v>
      </c>
      <c r="D898" s="32">
        <v>4430265054</v>
      </c>
      <c r="E898" s="32">
        <v>271</v>
      </c>
      <c r="F898" s="32">
        <v>270</v>
      </c>
      <c r="G898" s="32" t="s">
        <v>44</v>
      </c>
      <c r="H898" s="32" t="s">
        <v>962</v>
      </c>
      <c r="I898" s="32" t="s">
        <v>40</v>
      </c>
      <c r="J898" s="32" t="s">
        <v>46</v>
      </c>
      <c r="K898" s="32" t="s">
        <v>42</v>
      </c>
      <c r="M898" s="32" t="s">
        <v>60</v>
      </c>
      <c r="N898" s="32" t="s">
        <v>58</v>
      </c>
    </row>
    <row r="899" spans="1:14" s="32" customFormat="1" x14ac:dyDescent="0.3">
      <c r="A899" s="38">
        <v>46219.678796296299</v>
      </c>
      <c r="B899" s="32">
        <v>4130760170</v>
      </c>
      <c r="C899" s="32" t="s">
        <v>49</v>
      </c>
      <c r="D899" s="32">
        <v>4430265054</v>
      </c>
      <c r="E899" s="32">
        <v>266</v>
      </c>
      <c r="F899" s="32">
        <v>209</v>
      </c>
      <c r="G899" s="32" t="s">
        <v>44</v>
      </c>
      <c r="H899" s="32" t="s">
        <v>963</v>
      </c>
      <c r="I899" s="32" t="s">
        <v>40</v>
      </c>
      <c r="J899" s="32" t="s">
        <v>46</v>
      </c>
      <c r="K899" s="32" t="s">
        <v>42</v>
      </c>
      <c r="L899" s="32">
        <v>5</v>
      </c>
      <c r="M899" s="32" t="s">
        <v>51</v>
      </c>
      <c r="N899" s="32" t="s">
        <v>49</v>
      </c>
    </row>
    <row r="900" spans="1:14" s="32" customFormat="1" hidden="1" x14ac:dyDescent="0.3">
      <c r="A900" s="38">
        <v>46219.67491898148</v>
      </c>
      <c r="B900" s="32">
        <v>4430145151</v>
      </c>
      <c r="C900" s="32" t="s">
        <v>58</v>
      </c>
      <c r="D900" s="32">
        <v>4430265054</v>
      </c>
      <c r="E900" s="32">
        <v>344</v>
      </c>
      <c r="F900" s="32">
        <v>344</v>
      </c>
      <c r="G900" s="32" t="s">
        <v>44</v>
      </c>
      <c r="H900" s="32" t="s">
        <v>964</v>
      </c>
      <c r="I900" s="32" t="s">
        <v>40</v>
      </c>
      <c r="J900" s="32" t="s">
        <v>46</v>
      </c>
      <c r="K900" s="32" t="s">
        <v>42</v>
      </c>
      <c r="M900" s="32" t="s">
        <v>60</v>
      </c>
      <c r="N900" s="32" t="s">
        <v>58</v>
      </c>
    </row>
    <row r="901" spans="1:14" s="32" customFormat="1" hidden="1" x14ac:dyDescent="0.3">
      <c r="A901" s="38">
        <v>46219.669212962966</v>
      </c>
      <c r="B901" s="32">
        <v>44997710633</v>
      </c>
      <c r="C901" s="32" t="s">
        <v>58</v>
      </c>
      <c r="D901" s="32">
        <v>4430265054</v>
      </c>
      <c r="E901" s="32">
        <v>164</v>
      </c>
      <c r="F901" s="32">
        <v>163</v>
      </c>
      <c r="G901" s="32" t="s">
        <v>44</v>
      </c>
      <c r="H901" s="32" t="s">
        <v>965</v>
      </c>
      <c r="I901" s="32" t="s">
        <v>40</v>
      </c>
      <c r="J901" s="32" t="s">
        <v>46</v>
      </c>
      <c r="K901" s="32" t="s">
        <v>42</v>
      </c>
      <c r="M901" s="32" t="s">
        <v>60</v>
      </c>
      <c r="N901" s="32" t="s">
        <v>58</v>
      </c>
    </row>
    <row r="902" spans="1:14" s="32" customFormat="1" hidden="1" x14ac:dyDescent="0.3">
      <c r="A902" s="38">
        <v>46219.664988425924</v>
      </c>
      <c r="B902" s="32" t="s">
        <v>58</v>
      </c>
      <c r="C902" s="32">
        <v>44997687156</v>
      </c>
      <c r="E902" s="32">
        <v>246</v>
      </c>
      <c r="F902" s="32">
        <v>234</v>
      </c>
      <c r="G902" s="32" t="s">
        <v>44</v>
      </c>
      <c r="H902" s="32" t="s">
        <v>966</v>
      </c>
      <c r="I902" s="32" t="s">
        <v>54</v>
      </c>
      <c r="J902" s="32" t="s">
        <v>46</v>
      </c>
      <c r="M902" s="32" t="s">
        <v>60</v>
      </c>
      <c r="N902" s="32" t="s">
        <v>58</v>
      </c>
    </row>
    <row r="903" spans="1:14" s="32" customFormat="1" hidden="1" x14ac:dyDescent="0.3">
      <c r="A903" s="38">
        <v>46219.658449074072</v>
      </c>
      <c r="B903" s="32">
        <v>44998761561</v>
      </c>
      <c r="C903" s="32" t="s">
        <v>43</v>
      </c>
      <c r="D903" s="32">
        <v>4430265054</v>
      </c>
      <c r="E903" s="32">
        <v>510</v>
      </c>
      <c r="F903" s="32">
        <v>472</v>
      </c>
      <c r="G903" s="32" t="s">
        <v>44</v>
      </c>
      <c r="H903" s="32" t="s">
        <v>967</v>
      </c>
      <c r="I903" s="32" t="s">
        <v>40</v>
      </c>
      <c r="J903" s="32" t="s">
        <v>46</v>
      </c>
      <c r="K903" s="32" t="s">
        <v>42</v>
      </c>
      <c r="M903" s="32" t="s">
        <v>47</v>
      </c>
      <c r="N903" s="32" t="s">
        <v>43</v>
      </c>
    </row>
    <row r="904" spans="1:14" s="32" customFormat="1" hidden="1" x14ac:dyDescent="0.3">
      <c r="A904" s="38">
        <v>46219.653449074074</v>
      </c>
      <c r="B904" s="32" t="s">
        <v>58</v>
      </c>
      <c r="C904" s="32">
        <v>44997687156</v>
      </c>
      <c r="E904" s="32">
        <v>51</v>
      </c>
      <c r="F904" s="32">
        <v>39</v>
      </c>
      <c r="G904" s="32" t="s">
        <v>44</v>
      </c>
      <c r="H904" s="32" t="s">
        <v>968</v>
      </c>
      <c r="I904" s="32" t="s">
        <v>54</v>
      </c>
      <c r="J904" s="32" t="s">
        <v>46</v>
      </c>
      <c r="M904" s="32" t="s">
        <v>60</v>
      </c>
      <c r="N904" s="32" t="s">
        <v>58</v>
      </c>
    </row>
    <row r="905" spans="1:14" s="32" customFormat="1" hidden="1" x14ac:dyDescent="0.3">
      <c r="A905" s="38">
        <v>46219.653252314813</v>
      </c>
      <c r="B905" s="32">
        <v>44997710633</v>
      </c>
      <c r="C905" s="32" t="s">
        <v>43</v>
      </c>
      <c r="D905" s="32">
        <v>4430265054</v>
      </c>
      <c r="E905" s="32">
        <v>116</v>
      </c>
      <c r="F905" s="32">
        <v>78</v>
      </c>
      <c r="G905" s="32" t="s">
        <v>44</v>
      </c>
      <c r="H905" s="32" t="s">
        <v>969</v>
      </c>
      <c r="I905" s="32" t="s">
        <v>40</v>
      </c>
      <c r="J905" s="32" t="s">
        <v>46</v>
      </c>
      <c r="K905" s="32" t="s">
        <v>42</v>
      </c>
      <c r="M905" s="32" t="s">
        <v>47</v>
      </c>
      <c r="N905" s="32" t="s">
        <v>43</v>
      </c>
    </row>
    <row r="906" spans="1:14" s="32" customFormat="1" hidden="1" x14ac:dyDescent="0.3">
      <c r="A906" s="38">
        <v>46219.649780092594</v>
      </c>
      <c r="B906" s="32">
        <v>44998761561</v>
      </c>
      <c r="C906" s="32" t="s">
        <v>49</v>
      </c>
      <c r="D906" s="32">
        <v>4430265054</v>
      </c>
      <c r="E906" s="32">
        <v>37</v>
      </c>
      <c r="F906" s="32">
        <v>4</v>
      </c>
      <c r="G906" s="32" t="s">
        <v>44</v>
      </c>
      <c r="H906" s="32" t="s">
        <v>970</v>
      </c>
      <c r="I906" s="32" t="s">
        <v>40</v>
      </c>
      <c r="J906" s="32" t="s">
        <v>46</v>
      </c>
      <c r="K906" s="32" t="s">
        <v>42</v>
      </c>
      <c r="M906" s="32" t="s">
        <v>51</v>
      </c>
      <c r="N906" s="32" t="s">
        <v>49</v>
      </c>
    </row>
    <row r="907" spans="1:14" s="32" customFormat="1" x14ac:dyDescent="0.3">
      <c r="A907" s="38">
        <v>46219.645567129628</v>
      </c>
      <c r="B907" s="32">
        <v>91981481202</v>
      </c>
      <c r="C907" s="32" t="s">
        <v>49</v>
      </c>
      <c r="D907" s="32">
        <v>4430265054</v>
      </c>
      <c r="E907" s="32">
        <v>236</v>
      </c>
      <c r="F907" s="32">
        <v>222</v>
      </c>
      <c r="G907" s="32" t="s">
        <v>44</v>
      </c>
      <c r="H907" s="32" t="s">
        <v>971</v>
      </c>
      <c r="I907" s="32" t="s">
        <v>40</v>
      </c>
      <c r="J907" s="32" t="s">
        <v>46</v>
      </c>
      <c r="K907" s="32" t="s">
        <v>42</v>
      </c>
      <c r="L907" s="32">
        <v>5</v>
      </c>
      <c r="M907" s="32" t="s">
        <v>51</v>
      </c>
      <c r="N907" s="32" t="s">
        <v>49</v>
      </c>
    </row>
    <row r="908" spans="1:14" s="32" customFormat="1" hidden="1" x14ac:dyDescent="0.3">
      <c r="A908" s="38">
        <v>46219.628495370373</v>
      </c>
      <c r="B908" s="32">
        <v>4430289556</v>
      </c>
      <c r="C908" s="32" t="s">
        <v>58</v>
      </c>
      <c r="D908" s="32">
        <v>4430265054</v>
      </c>
      <c r="E908" s="32">
        <v>2008</v>
      </c>
      <c r="F908" s="32">
        <v>1984</v>
      </c>
      <c r="G908" s="32" t="s">
        <v>44</v>
      </c>
      <c r="H908" s="32" t="s">
        <v>972</v>
      </c>
      <c r="I908" s="32" t="s">
        <v>40</v>
      </c>
      <c r="J908" s="32" t="s">
        <v>46</v>
      </c>
      <c r="K908" s="32" t="s">
        <v>42</v>
      </c>
      <c r="M908" s="32" t="s">
        <v>60</v>
      </c>
      <c r="N908" s="32" t="s">
        <v>58</v>
      </c>
    </row>
    <row r="909" spans="1:14" s="32" customFormat="1" hidden="1" x14ac:dyDescent="0.3">
      <c r="A909" s="38">
        <v>46219.625381944446</v>
      </c>
      <c r="B909" s="32" t="s">
        <v>43</v>
      </c>
      <c r="C909" s="32">
        <v>4430450103</v>
      </c>
      <c r="E909" s="32">
        <v>641</v>
      </c>
      <c r="F909" s="32">
        <v>634</v>
      </c>
      <c r="G909" s="32" t="s">
        <v>44</v>
      </c>
      <c r="H909" s="32" t="s">
        <v>973</v>
      </c>
      <c r="I909" s="32" t="s">
        <v>54</v>
      </c>
      <c r="J909" s="32" t="s">
        <v>46</v>
      </c>
      <c r="M909" s="32" t="s">
        <v>47</v>
      </c>
      <c r="N909" s="32" t="s">
        <v>43</v>
      </c>
    </row>
    <row r="910" spans="1:14" s="32" customFormat="1" hidden="1" x14ac:dyDescent="0.3">
      <c r="A910" s="38">
        <v>46219.625324074077</v>
      </c>
      <c r="B910" s="32" t="s">
        <v>43</v>
      </c>
      <c r="C910" s="32">
        <v>4430450103</v>
      </c>
      <c r="E910" s="32">
        <v>14</v>
      </c>
      <c r="F910" s="32">
        <v>13</v>
      </c>
      <c r="G910" s="32" t="s">
        <v>44</v>
      </c>
      <c r="H910" s="32" t="s">
        <v>974</v>
      </c>
      <c r="I910" s="32" t="s">
        <v>54</v>
      </c>
      <c r="J910" s="32" t="s">
        <v>46</v>
      </c>
      <c r="M910" s="32" t="s">
        <v>47</v>
      </c>
      <c r="N910" s="32" t="s">
        <v>43</v>
      </c>
    </row>
    <row r="911" spans="1:14" s="32" customFormat="1" hidden="1" x14ac:dyDescent="0.3">
      <c r="A911" s="38">
        <v>46219.624814814815</v>
      </c>
      <c r="B911" s="32" t="s">
        <v>43</v>
      </c>
      <c r="C911" s="32">
        <v>4430450103</v>
      </c>
      <c r="E911" s="32">
        <v>40</v>
      </c>
      <c r="F911" s="32">
        <v>25</v>
      </c>
      <c r="G911" s="32" t="s">
        <v>44</v>
      </c>
      <c r="H911" s="32" t="s">
        <v>975</v>
      </c>
      <c r="I911" s="32" t="s">
        <v>54</v>
      </c>
      <c r="J911" s="32" t="s">
        <v>46</v>
      </c>
      <c r="M911" s="32" t="s">
        <v>47</v>
      </c>
      <c r="N911" s="32" t="s">
        <v>43</v>
      </c>
    </row>
    <row r="912" spans="1:14" s="32" customFormat="1" hidden="1" x14ac:dyDescent="0.3">
      <c r="A912" s="38">
        <v>46219.624722222223</v>
      </c>
      <c r="B912" s="32" t="s">
        <v>43</v>
      </c>
      <c r="C912" s="32">
        <v>4430450103</v>
      </c>
      <c r="E912" s="32">
        <v>14</v>
      </c>
      <c r="F912" s="32">
        <v>14</v>
      </c>
      <c r="G912" s="32" t="s">
        <v>44</v>
      </c>
      <c r="H912" s="32" t="s">
        <v>976</v>
      </c>
      <c r="I912" s="32" t="s">
        <v>54</v>
      </c>
      <c r="J912" s="32" t="s">
        <v>46</v>
      </c>
      <c r="M912" s="32" t="s">
        <v>47</v>
      </c>
      <c r="N912" s="32" t="s">
        <v>43</v>
      </c>
    </row>
    <row r="913" spans="1:14" s="32" customFormat="1" hidden="1" x14ac:dyDescent="0.3">
      <c r="A913" s="38">
        <v>46219.623668981483</v>
      </c>
      <c r="B913" s="32">
        <v>35998295948</v>
      </c>
      <c r="C913" s="32" t="s">
        <v>49</v>
      </c>
      <c r="D913" s="32">
        <v>4430265054</v>
      </c>
      <c r="E913" s="32">
        <v>1078</v>
      </c>
      <c r="F913" s="32">
        <v>1056</v>
      </c>
      <c r="G913" s="32" t="s">
        <v>44</v>
      </c>
      <c r="H913" s="32" t="s">
        <v>977</v>
      </c>
      <c r="I913" s="32" t="s">
        <v>40</v>
      </c>
      <c r="J913" s="32" t="s">
        <v>46</v>
      </c>
      <c r="K913" s="32" t="s">
        <v>42</v>
      </c>
      <c r="M913" s="32" t="s">
        <v>51</v>
      </c>
      <c r="N913" s="32" t="s">
        <v>49</v>
      </c>
    </row>
    <row r="914" spans="1:14" s="32" customFormat="1" hidden="1" x14ac:dyDescent="0.3">
      <c r="A914" s="38">
        <v>46219.614131944443</v>
      </c>
      <c r="B914" s="32">
        <v>4430450103</v>
      </c>
      <c r="C914" s="32" t="s">
        <v>43</v>
      </c>
      <c r="D914" s="32">
        <v>4430265054</v>
      </c>
      <c r="E914" s="32">
        <v>642</v>
      </c>
      <c r="F914" s="32">
        <v>586</v>
      </c>
      <c r="G914" s="32" t="s">
        <v>44</v>
      </c>
      <c r="H914" s="32" t="s">
        <v>978</v>
      </c>
      <c r="I914" s="32" t="s">
        <v>40</v>
      </c>
      <c r="J914" s="32" t="s">
        <v>46</v>
      </c>
      <c r="K914" s="32" t="s">
        <v>42</v>
      </c>
      <c r="L914" s="32">
        <v>5</v>
      </c>
      <c r="M914" s="32" t="s">
        <v>47</v>
      </c>
      <c r="N914" s="32" t="s">
        <v>43</v>
      </c>
    </row>
    <row r="915" spans="1:14" s="32" customFormat="1" hidden="1" x14ac:dyDescent="0.3">
      <c r="A915" s="38">
        <v>46219.610150462962</v>
      </c>
      <c r="B915" s="32">
        <v>44998761561</v>
      </c>
      <c r="C915" s="32" t="s">
        <v>49</v>
      </c>
      <c r="D915" s="32">
        <v>4430265054</v>
      </c>
      <c r="E915" s="32">
        <v>491</v>
      </c>
      <c r="F915" s="32">
        <v>399</v>
      </c>
      <c r="G915" s="32" t="s">
        <v>44</v>
      </c>
      <c r="H915" s="32" t="s">
        <v>979</v>
      </c>
      <c r="I915" s="32" t="s">
        <v>40</v>
      </c>
      <c r="J915" s="32" t="s">
        <v>46</v>
      </c>
      <c r="K915" s="32" t="s">
        <v>42</v>
      </c>
      <c r="M915" s="32" t="s">
        <v>51</v>
      </c>
      <c r="N915" s="32" t="s">
        <v>49</v>
      </c>
    </row>
    <row r="916" spans="1:14" s="32" customFormat="1" hidden="1" x14ac:dyDescent="0.3">
      <c r="A916" s="38">
        <v>46219.609699074077</v>
      </c>
      <c r="B916" s="32">
        <v>35998295948</v>
      </c>
      <c r="C916" s="32" t="s">
        <v>58</v>
      </c>
      <c r="D916" s="32">
        <v>4430265054</v>
      </c>
      <c r="E916" s="32">
        <v>1079</v>
      </c>
      <c r="F916" s="32">
        <v>1032</v>
      </c>
      <c r="G916" s="32" t="s">
        <v>44</v>
      </c>
      <c r="H916" s="32" t="s">
        <v>980</v>
      </c>
      <c r="I916" s="32" t="s">
        <v>40</v>
      </c>
      <c r="J916" s="32" t="s">
        <v>46</v>
      </c>
      <c r="K916" s="32" t="s">
        <v>42</v>
      </c>
      <c r="M916" s="32" t="s">
        <v>60</v>
      </c>
      <c r="N916" s="32" t="s">
        <v>58</v>
      </c>
    </row>
    <row r="917" spans="1:14" s="32" customFormat="1" hidden="1" x14ac:dyDescent="0.3">
      <c r="A917" s="38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38</v>
      </c>
      <c r="H917" s="32" t="s">
        <v>981</v>
      </c>
      <c r="I917" s="32" t="s">
        <v>40</v>
      </c>
      <c r="J917" s="32" t="s">
        <v>41</v>
      </c>
    </row>
    <row r="918" spans="1:14" s="32" customFormat="1" hidden="1" x14ac:dyDescent="0.3">
      <c r="A918" s="38">
        <v>46219.606041666666</v>
      </c>
      <c r="B918" s="32">
        <v>4430289556</v>
      </c>
      <c r="C918" s="32" t="s">
        <v>49</v>
      </c>
      <c r="D918" s="32">
        <v>4430265054</v>
      </c>
      <c r="E918" s="32">
        <v>421</v>
      </c>
      <c r="F918" s="32">
        <v>382</v>
      </c>
      <c r="G918" s="32" t="s">
        <v>44</v>
      </c>
      <c r="H918" s="32" t="s">
        <v>982</v>
      </c>
      <c r="I918" s="32" t="s">
        <v>40</v>
      </c>
      <c r="J918" s="32" t="s">
        <v>46</v>
      </c>
      <c r="K918" s="32" t="s">
        <v>42</v>
      </c>
      <c r="M918" s="32" t="s">
        <v>51</v>
      </c>
      <c r="N918" s="32" t="s">
        <v>49</v>
      </c>
    </row>
    <row r="919" spans="1:14" s="32" customFormat="1" hidden="1" x14ac:dyDescent="0.3">
      <c r="A919" s="38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38</v>
      </c>
      <c r="H919" s="32" t="s">
        <v>983</v>
      </c>
      <c r="I919" s="32" t="s">
        <v>40</v>
      </c>
      <c r="J919" s="32" t="s">
        <v>41</v>
      </c>
      <c r="K919" s="32" t="s">
        <v>42</v>
      </c>
    </row>
    <row r="920" spans="1:14" s="32" customFormat="1" hidden="1" x14ac:dyDescent="0.3">
      <c r="A920" s="38">
        <v>46219.600671296299</v>
      </c>
      <c r="B920" s="32">
        <v>77999014770</v>
      </c>
      <c r="C920" s="32" t="s">
        <v>58</v>
      </c>
      <c r="D920" s="32">
        <v>4430265054</v>
      </c>
      <c r="E920" s="32">
        <v>822</v>
      </c>
      <c r="F920" s="32">
        <v>821</v>
      </c>
      <c r="G920" s="32" t="s">
        <v>44</v>
      </c>
      <c r="H920" s="32" t="s">
        <v>984</v>
      </c>
      <c r="I920" s="32" t="s">
        <v>40</v>
      </c>
      <c r="J920" s="32" t="s">
        <v>46</v>
      </c>
      <c r="K920" s="32" t="s">
        <v>42</v>
      </c>
      <c r="M920" s="32" t="s">
        <v>60</v>
      </c>
      <c r="N920" s="32" t="s">
        <v>58</v>
      </c>
    </row>
    <row r="921" spans="1:14" s="32" customFormat="1" hidden="1" x14ac:dyDescent="0.3">
      <c r="A921" s="38">
        <v>46219.600081018521</v>
      </c>
      <c r="B921" s="32" t="s">
        <v>49</v>
      </c>
      <c r="C921" s="32">
        <v>1732146970</v>
      </c>
      <c r="E921" s="32">
        <v>290</v>
      </c>
      <c r="F921" s="32">
        <v>288</v>
      </c>
      <c r="G921" s="32" t="s">
        <v>44</v>
      </c>
      <c r="H921" s="32" t="s">
        <v>985</v>
      </c>
      <c r="I921" s="32" t="s">
        <v>54</v>
      </c>
      <c r="J921" s="32" t="s">
        <v>46</v>
      </c>
      <c r="M921" s="32" t="s">
        <v>51</v>
      </c>
      <c r="N921" s="32" t="s">
        <v>49</v>
      </c>
    </row>
    <row r="922" spans="1:14" s="32" customFormat="1" hidden="1" x14ac:dyDescent="0.3">
      <c r="A922" s="38">
        <v>46219.597175925926</v>
      </c>
      <c r="B922" s="32" t="s">
        <v>49</v>
      </c>
      <c r="C922" s="32">
        <v>64984043469</v>
      </c>
      <c r="E922" s="32">
        <v>207</v>
      </c>
      <c r="F922" s="32">
        <v>187</v>
      </c>
      <c r="G922" s="32" t="s">
        <v>44</v>
      </c>
      <c r="H922" s="32" t="s">
        <v>986</v>
      </c>
      <c r="I922" s="32" t="s">
        <v>54</v>
      </c>
      <c r="J922" s="32" t="s">
        <v>46</v>
      </c>
      <c r="M922" s="32" t="s">
        <v>51</v>
      </c>
      <c r="N922" s="32" t="s">
        <v>49</v>
      </c>
    </row>
    <row r="923" spans="1:14" s="32" customFormat="1" hidden="1" x14ac:dyDescent="0.3">
      <c r="A923" s="38">
        <v>46219.596944444442</v>
      </c>
      <c r="B923" s="32">
        <v>4532544583</v>
      </c>
      <c r="C923" s="32" t="s">
        <v>43</v>
      </c>
      <c r="D923" s="32">
        <v>4430265054</v>
      </c>
      <c r="E923" s="32">
        <v>1418</v>
      </c>
      <c r="F923" s="32">
        <v>1394</v>
      </c>
      <c r="G923" s="32" t="s">
        <v>44</v>
      </c>
      <c r="H923" s="32" t="s">
        <v>987</v>
      </c>
      <c r="I923" s="32" t="s">
        <v>40</v>
      </c>
      <c r="J923" s="32" t="s">
        <v>46</v>
      </c>
      <c r="K923" s="32" t="s">
        <v>42</v>
      </c>
      <c r="M923" s="32" t="s">
        <v>47</v>
      </c>
      <c r="N923" s="32" t="s">
        <v>43</v>
      </c>
    </row>
    <row r="924" spans="1:14" s="32" customFormat="1" hidden="1" x14ac:dyDescent="0.3">
      <c r="A924" s="38">
        <v>46219.593206018515</v>
      </c>
      <c r="B924" s="32">
        <v>4432525112</v>
      </c>
      <c r="C924" s="32" t="s">
        <v>58</v>
      </c>
      <c r="D924" s="32">
        <v>4430265054</v>
      </c>
      <c r="E924" s="32">
        <v>855</v>
      </c>
      <c r="F924" s="32">
        <v>854</v>
      </c>
      <c r="G924" s="32" t="s">
        <v>44</v>
      </c>
      <c r="H924" s="32" t="s">
        <v>988</v>
      </c>
      <c r="I924" s="32" t="s">
        <v>40</v>
      </c>
      <c r="J924" s="32" t="s">
        <v>46</v>
      </c>
      <c r="K924" s="32" t="s">
        <v>42</v>
      </c>
      <c r="M924" s="32" t="s">
        <v>60</v>
      </c>
      <c r="N924" s="32" t="s">
        <v>58</v>
      </c>
    </row>
    <row r="925" spans="1:14" s="32" customFormat="1" hidden="1" x14ac:dyDescent="0.3">
      <c r="A925" s="38">
        <v>46219.582951388889</v>
      </c>
      <c r="B925" s="32">
        <v>44991116911</v>
      </c>
      <c r="C925" s="32" t="s">
        <v>58</v>
      </c>
      <c r="D925" s="32">
        <v>4430265054</v>
      </c>
      <c r="E925" s="32">
        <v>319</v>
      </c>
      <c r="F925" s="32">
        <v>282</v>
      </c>
      <c r="G925" s="32" t="s">
        <v>44</v>
      </c>
      <c r="H925" s="32" t="s">
        <v>989</v>
      </c>
      <c r="I925" s="32" t="s">
        <v>40</v>
      </c>
      <c r="J925" s="32" t="s">
        <v>46</v>
      </c>
      <c r="K925" s="32" t="s">
        <v>42</v>
      </c>
      <c r="L925" s="32">
        <v>5</v>
      </c>
      <c r="M925" s="32" t="s">
        <v>60</v>
      </c>
      <c r="N925" s="32" t="s">
        <v>58</v>
      </c>
    </row>
    <row r="926" spans="1:14" s="32" customFormat="1" x14ac:dyDescent="0.3">
      <c r="A926" s="38">
        <v>46219.581388888888</v>
      </c>
      <c r="B926" s="32">
        <v>4432524636</v>
      </c>
      <c r="C926" s="32" t="s">
        <v>49</v>
      </c>
      <c r="D926" s="32">
        <v>4430265054</v>
      </c>
      <c r="E926" s="32">
        <v>1299</v>
      </c>
      <c r="F926" s="32">
        <v>1280</v>
      </c>
      <c r="G926" s="32" t="s">
        <v>44</v>
      </c>
      <c r="H926" s="32" t="s">
        <v>990</v>
      </c>
      <c r="I926" s="32" t="s">
        <v>40</v>
      </c>
      <c r="J926" s="32" t="s">
        <v>46</v>
      </c>
      <c r="K926" s="32" t="s">
        <v>42</v>
      </c>
      <c r="L926" s="32">
        <v>3</v>
      </c>
      <c r="M926" s="32" t="s">
        <v>51</v>
      </c>
      <c r="N926" s="32" t="s">
        <v>49</v>
      </c>
    </row>
    <row r="927" spans="1:14" s="32" customFormat="1" hidden="1" x14ac:dyDescent="0.3">
      <c r="A927" s="38">
        <v>46219.579918981479</v>
      </c>
      <c r="B927" s="32">
        <v>4330332823</v>
      </c>
      <c r="C927" s="32" t="s">
        <v>43</v>
      </c>
      <c r="D927" s="32">
        <v>4430265054</v>
      </c>
      <c r="E927" s="32">
        <v>1212</v>
      </c>
      <c r="F927" s="32">
        <v>1171</v>
      </c>
      <c r="G927" s="32" t="s">
        <v>44</v>
      </c>
      <c r="H927" s="32" t="s">
        <v>991</v>
      </c>
      <c r="I927" s="32" t="s">
        <v>40</v>
      </c>
      <c r="J927" s="32" t="s">
        <v>46</v>
      </c>
      <c r="K927" s="32" t="s">
        <v>42</v>
      </c>
      <c r="M927" s="32" t="s">
        <v>47</v>
      </c>
      <c r="N927" s="32" t="s">
        <v>43</v>
      </c>
    </row>
    <row r="928" spans="1:14" s="32" customFormat="1" hidden="1" x14ac:dyDescent="0.3">
      <c r="A928" s="38">
        <v>46219.573217592595</v>
      </c>
      <c r="B928" s="32">
        <v>35998295948</v>
      </c>
      <c r="C928" s="32" t="s">
        <v>49</v>
      </c>
      <c r="D928" s="32">
        <v>4430265054</v>
      </c>
      <c r="E928" s="32">
        <v>623</v>
      </c>
      <c r="F928" s="32">
        <v>607</v>
      </c>
      <c r="G928" s="32" t="s">
        <v>44</v>
      </c>
      <c r="H928" s="32" t="s">
        <v>992</v>
      </c>
      <c r="I928" s="32" t="s">
        <v>40</v>
      </c>
      <c r="J928" s="32" t="s">
        <v>46</v>
      </c>
      <c r="K928" s="32" t="s">
        <v>42</v>
      </c>
      <c r="M928" s="32" t="s">
        <v>51</v>
      </c>
      <c r="N928" s="32" t="s">
        <v>49</v>
      </c>
    </row>
    <row r="929" spans="1:14" s="32" customFormat="1" hidden="1" x14ac:dyDescent="0.3">
      <c r="A929" s="38">
        <v>46219.570613425924</v>
      </c>
      <c r="B929" s="32" t="s">
        <v>49</v>
      </c>
      <c r="C929" s="32">
        <v>35998295948</v>
      </c>
      <c r="E929" s="32">
        <v>33</v>
      </c>
      <c r="F929" s="32">
        <v>27</v>
      </c>
      <c r="G929" s="32" t="s">
        <v>44</v>
      </c>
      <c r="H929" s="32" t="s">
        <v>993</v>
      </c>
      <c r="I929" s="32" t="s">
        <v>54</v>
      </c>
      <c r="J929" s="32" t="s">
        <v>46</v>
      </c>
      <c r="M929" s="32" t="s">
        <v>51</v>
      </c>
      <c r="N929" s="32" t="s">
        <v>49</v>
      </c>
    </row>
    <row r="930" spans="1:14" s="32" customFormat="1" hidden="1" x14ac:dyDescent="0.3">
      <c r="A930" s="38">
        <v>46219.566331018519</v>
      </c>
      <c r="B930" s="32">
        <v>44998840295</v>
      </c>
      <c r="C930" s="32" t="s">
        <v>43</v>
      </c>
      <c r="D930" s="32">
        <v>4430265054</v>
      </c>
      <c r="E930" s="32">
        <v>168</v>
      </c>
      <c r="F930" s="32">
        <v>134</v>
      </c>
      <c r="G930" s="32" t="s">
        <v>44</v>
      </c>
      <c r="H930" s="32" t="s">
        <v>994</v>
      </c>
      <c r="I930" s="32" t="s">
        <v>40</v>
      </c>
      <c r="J930" s="32" t="s">
        <v>46</v>
      </c>
      <c r="K930" s="32" t="s">
        <v>42</v>
      </c>
      <c r="L930" s="32">
        <v>5</v>
      </c>
      <c r="M930" s="32" t="s">
        <v>47</v>
      </c>
      <c r="N930" s="32" t="s">
        <v>43</v>
      </c>
    </row>
    <row r="931" spans="1:14" s="32" customFormat="1" hidden="1" x14ac:dyDescent="0.3">
      <c r="A931" s="38">
        <v>46219.565729166665</v>
      </c>
      <c r="B931" s="32">
        <v>35998295948</v>
      </c>
      <c r="C931" s="32" t="s">
        <v>49</v>
      </c>
      <c r="D931" s="32">
        <v>4430265054</v>
      </c>
      <c r="E931" s="32">
        <v>300</v>
      </c>
      <c r="F931" s="32">
        <v>266</v>
      </c>
      <c r="G931" s="32" t="s">
        <v>44</v>
      </c>
      <c r="H931" s="32" t="s">
        <v>995</v>
      </c>
      <c r="I931" s="32" t="s">
        <v>40</v>
      </c>
      <c r="J931" s="32" t="s">
        <v>46</v>
      </c>
      <c r="K931" s="32" t="s">
        <v>42</v>
      </c>
      <c r="M931" s="32" t="s">
        <v>51</v>
      </c>
      <c r="N931" s="32" t="s">
        <v>49</v>
      </c>
    </row>
    <row r="932" spans="1:14" s="32" customFormat="1" hidden="1" x14ac:dyDescent="0.3">
      <c r="A932" s="38">
        <v>46219.56517361111</v>
      </c>
      <c r="B932" s="32" t="s">
        <v>43</v>
      </c>
      <c r="C932" s="32">
        <v>44997450437</v>
      </c>
      <c r="E932" s="32">
        <v>38</v>
      </c>
      <c r="F932" s="32">
        <v>0</v>
      </c>
      <c r="G932" s="32" t="s">
        <v>63</v>
      </c>
      <c r="H932" s="32" t="s">
        <v>996</v>
      </c>
      <c r="I932" s="32" t="s">
        <v>54</v>
      </c>
      <c r="J932" s="32" t="s">
        <v>46</v>
      </c>
      <c r="M932" s="32" t="s">
        <v>47</v>
      </c>
      <c r="N932" s="32" t="s">
        <v>43</v>
      </c>
    </row>
    <row r="933" spans="1:14" s="32" customFormat="1" hidden="1" x14ac:dyDescent="0.3">
      <c r="A933" s="38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38</v>
      </c>
      <c r="H933" s="32" t="s">
        <v>997</v>
      </c>
      <c r="I933" s="32" t="s">
        <v>40</v>
      </c>
      <c r="J933" s="32" t="s">
        <v>41</v>
      </c>
    </row>
    <row r="934" spans="1:14" s="32" customFormat="1" hidden="1" x14ac:dyDescent="0.3">
      <c r="A934" s="38">
        <v>46219.485486111109</v>
      </c>
      <c r="B934" s="32">
        <v>4130263118</v>
      </c>
      <c r="C934" s="32" t="s">
        <v>43</v>
      </c>
      <c r="D934" s="32">
        <v>4430265054</v>
      </c>
      <c r="E934" s="32">
        <v>201</v>
      </c>
      <c r="F934" s="32">
        <v>176</v>
      </c>
      <c r="G934" s="32" t="s">
        <v>44</v>
      </c>
      <c r="H934" s="32" t="s">
        <v>998</v>
      </c>
      <c r="I934" s="32" t="s">
        <v>40</v>
      </c>
      <c r="J934" s="32" t="s">
        <v>46</v>
      </c>
      <c r="K934" s="32" t="s">
        <v>42</v>
      </c>
      <c r="M934" s="32" t="s">
        <v>47</v>
      </c>
      <c r="N934" s="32" t="s">
        <v>43</v>
      </c>
    </row>
    <row r="935" spans="1:14" s="32" customFormat="1" hidden="1" x14ac:dyDescent="0.3">
      <c r="A935" s="38">
        <v>46219.478333333333</v>
      </c>
      <c r="B935" s="32" t="s">
        <v>109</v>
      </c>
      <c r="C935" s="32">
        <v>61998575638</v>
      </c>
      <c r="E935" s="32">
        <v>340</v>
      </c>
      <c r="F935" s="32">
        <v>336</v>
      </c>
      <c r="G935" s="32" t="s">
        <v>44</v>
      </c>
      <c r="H935" s="32" t="s">
        <v>999</v>
      </c>
      <c r="I935" s="32" t="s">
        <v>54</v>
      </c>
      <c r="J935" s="32" t="s">
        <v>111</v>
      </c>
      <c r="M935" s="32" t="s">
        <v>112</v>
      </c>
      <c r="N935" s="32" t="s">
        <v>109</v>
      </c>
    </row>
    <row r="936" spans="1:14" s="32" customFormat="1" hidden="1" x14ac:dyDescent="0.3">
      <c r="A936" s="38">
        <v>46219.477881944447</v>
      </c>
      <c r="B936" s="32" t="s">
        <v>109</v>
      </c>
      <c r="C936" s="32">
        <v>61998575638</v>
      </c>
      <c r="E936" s="32">
        <v>26</v>
      </c>
      <c r="F936" s="32">
        <v>22</v>
      </c>
      <c r="G936" s="32" t="s">
        <v>44</v>
      </c>
      <c r="H936" s="32" t="s">
        <v>1000</v>
      </c>
      <c r="I936" s="32" t="s">
        <v>54</v>
      </c>
      <c r="J936" s="32" t="s">
        <v>111</v>
      </c>
      <c r="M936" s="32" t="s">
        <v>112</v>
      </c>
      <c r="N936" s="32" t="s">
        <v>109</v>
      </c>
    </row>
    <row r="937" spans="1:14" s="32" customFormat="1" hidden="1" x14ac:dyDescent="0.3">
      <c r="A937" s="38">
        <v>46219.477766203701</v>
      </c>
      <c r="B937" s="32" t="s">
        <v>109</v>
      </c>
      <c r="C937" s="32">
        <v>61998575638</v>
      </c>
      <c r="E937" s="32">
        <v>10</v>
      </c>
      <c r="F937" s="32">
        <v>3</v>
      </c>
      <c r="G937" s="32" t="s">
        <v>44</v>
      </c>
      <c r="H937" s="32" t="s">
        <v>1001</v>
      </c>
      <c r="I937" s="32" t="s">
        <v>54</v>
      </c>
      <c r="J937" s="32" t="s">
        <v>111</v>
      </c>
      <c r="M937" s="32" t="s">
        <v>112</v>
      </c>
      <c r="N937" s="32" t="s">
        <v>109</v>
      </c>
    </row>
    <row r="938" spans="1:14" s="32" customFormat="1" hidden="1" x14ac:dyDescent="0.3">
      <c r="A938" s="38">
        <v>46219.477500000001</v>
      </c>
      <c r="B938" s="32" t="s">
        <v>109</v>
      </c>
      <c r="C938" s="32">
        <v>61998575638</v>
      </c>
      <c r="E938" s="32">
        <v>14</v>
      </c>
      <c r="F938" s="32">
        <v>0</v>
      </c>
      <c r="G938" s="32" t="s">
        <v>63</v>
      </c>
      <c r="H938" s="32" t="s">
        <v>1002</v>
      </c>
      <c r="I938" s="32" t="s">
        <v>54</v>
      </c>
      <c r="J938" s="32" t="s">
        <v>111</v>
      </c>
      <c r="M938" s="32" t="s">
        <v>112</v>
      </c>
      <c r="N938" s="32" t="s">
        <v>109</v>
      </c>
    </row>
    <row r="939" spans="1:14" s="32" customFormat="1" hidden="1" x14ac:dyDescent="0.3">
      <c r="A939" s="38">
        <v>46219.476215277777</v>
      </c>
      <c r="B939" s="32" t="s">
        <v>109</v>
      </c>
      <c r="C939" s="32">
        <v>61998575638</v>
      </c>
      <c r="E939" s="32">
        <v>108</v>
      </c>
      <c r="F939" s="32">
        <v>101</v>
      </c>
      <c r="G939" s="32" t="s">
        <v>44</v>
      </c>
      <c r="H939" s="32" t="s">
        <v>1003</v>
      </c>
      <c r="I939" s="32" t="s">
        <v>54</v>
      </c>
      <c r="J939" s="32" t="s">
        <v>111</v>
      </c>
      <c r="M939" s="32" t="s">
        <v>112</v>
      </c>
      <c r="N939" s="32" t="s">
        <v>109</v>
      </c>
    </row>
    <row r="940" spans="1:14" s="32" customFormat="1" hidden="1" x14ac:dyDescent="0.3">
      <c r="A940" s="38">
        <v>46219.476145833331</v>
      </c>
      <c r="B940" s="32" t="s">
        <v>109</v>
      </c>
      <c r="C940" s="32">
        <v>4430265054</v>
      </c>
      <c r="E940" s="32">
        <v>2</v>
      </c>
      <c r="F940" s="32">
        <v>1</v>
      </c>
      <c r="G940" s="32" t="s">
        <v>44</v>
      </c>
      <c r="H940" s="32" t="s">
        <v>1004</v>
      </c>
      <c r="I940" s="32" t="s">
        <v>54</v>
      </c>
      <c r="J940" s="32" t="s">
        <v>111</v>
      </c>
      <c r="M940" s="32" t="s">
        <v>112</v>
      </c>
      <c r="N940" s="32" t="s">
        <v>109</v>
      </c>
    </row>
    <row r="941" spans="1:14" s="32" customFormat="1" hidden="1" x14ac:dyDescent="0.3">
      <c r="A941" s="38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38</v>
      </c>
      <c r="H941" s="32" t="s">
        <v>1005</v>
      </c>
      <c r="I941" s="32" t="s">
        <v>40</v>
      </c>
      <c r="J941" s="32" t="s">
        <v>41</v>
      </c>
    </row>
    <row r="942" spans="1:14" s="32" customFormat="1" hidden="1" x14ac:dyDescent="0.3">
      <c r="A942" s="38">
        <v>46219.473703703705</v>
      </c>
      <c r="B942" s="32" t="s">
        <v>109</v>
      </c>
      <c r="C942" s="32">
        <v>61998575638</v>
      </c>
      <c r="E942" s="32">
        <v>6</v>
      </c>
      <c r="F942" s="32">
        <v>0</v>
      </c>
      <c r="G942" s="32" t="s">
        <v>63</v>
      </c>
      <c r="H942" s="32" t="s">
        <v>1006</v>
      </c>
      <c r="I942" s="32" t="s">
        <v>54</v>
      </c>
      <c r="J942" s="32" t="s">
        <v>111</v>
      </c>
      <c r="M942" s="32" t="s">
        <v>112</v>
      </c>
      <c r="N942" s="32" t="s">
        <v>109</v>
      </c>
    </row>
    <row r="943" spans="1:14" s="32" customFormat="1" hidden="1" x14ac:dyDescent="0.3">
      <c r="A943" s="38">
        <v>46219.473356481481</v>
      </c>
      <c r="B943" s="32" t="s">
        <v>109</v>
      </c>
      <c r="C943" s="32">
        <v>61998575638</v>
      </c>
      <c r="E943" s="32">
        <v>10</v>
      </c>
      <c r="F943" s="32">
        <v>6</v>
      </c>
      <c r="G943" s="32" t="s">
        <v>44</v>
      </c>
      <c r="H943" s="32" t="s">
        <v>1007</v>
      </c>
      <c r="I943" s="32" t="s">
        <v>54</v>
      </c>
      <c r="J943" s="32" t="s">
        <v>111</v>
      </c>
      <c r="M943" s="32" t="s">
        <v>112</v>
      </c>
      <c r="N943" s="32" t="s">
        <v>109</v>
      </c>
    </row>
    <row r="944" spans="1:14" s="32" customFormat="1" hidden="1" x14ac:dyDescent="0.3">
      <c r="A944" s="38">
        <v>46219.472025462965</v>
      </c>
      <c r="B944" s="32">
        <v>14997225372</v>
      </c>
      <c r="C944" s="32" t="s">
        <v>43</v>
      </c>
      <c r="D944" s="32">
        <v>4430265054</v>
      </c>
      <c r="E944" s="32">
        <v>442</v>
      </c>
      <c r="F944" s="32">
        <v>406</v>
      </c>
      <c r="G944" s="32" t="s">
        <v>44</v>
      </c>
      <c r="H944" s="32" t="s">
        <v>1008</v>
      </c>
      <c r="I944" s="32" t="s">
        <v>40</v>
      </c>
      <c r="J944" s="32" t="s">
        <v>46</v>
      </c>
      <c r="K944" s="32" t="s">
        <v>42</v>
      </c>
      <c r="L944" s="32">
        <v>5</v>
      </c>
      <c r="M944" s="32" t="s">
        <v>47</v>
      </c>
      <c r="N944" s="32" t="s">
        <v>43</v>
      </c>
    </row>
    <row r="945" spans="1:14" s="32" customFormat="1" hidden="1" x14ac:dyDescent="0.3">
      <c r="A945" s="38">
        <v>46219.463807870372</v>
      </c>
      <c r="B945" s="32">
        <v>77999014770</v>
      </c>
      <c r="C945" s="32" t="s">
        <v>43</v>
      </c>
      <c r="D945" s="32">
        <v>4430265054</v>
      </c>
      <c r="E945" s="32">
        <v>503</v>
      </c>
      <c r="F945" s="32">
        <v>355</v>
      </c>
      <c r="G945" s="32" t="s">
        <v>44</v>
      </c>
      <c r="H945" s="32" t="s">
        <v>1009</v>
      </c>
      <c r="I945" s="32" t="s">
        <v>40</v>
      </c>
      <c r="J945" s="32" t="s">
        <v>46</v>
      </c>
      <c r="K945" s="32" t="s">
        <v>42</v>
      </c>
      <c r="L945" s="32">
        <v>5</v>
      </c>
      <c r="M945" s="32" t="s">
        <v>47</v>
      </c>
      <c r="N945" s="32" t="s">
        <v>43</v>
      </c>
    </row>
    <row r="946" spans="1:14" s="32" customFormat="1" hidden="1" x14ac:dyDescent="0.3">
      <c r="A946" s="38">
        <v>46219.462280092594</v>
      </c>
      <c r="B946" s="32">
        <v>45999334612</v>
      </c>
      <c r="C946" s="32" t="s">
        <v>58</v>
      </c>
      <c r="D946" s="32">
        <v>4430265054</v>
      </c>
      <c r="E946" s="32">
        <v>580</v>
      </c>
      <c r="F946" s="32">
        <v>533</v>
      </c>
      <c r="G946" s="32" t="s">
        <v>44</v>
      </c>
      <c r="H946" s="32" t="s">
        <v>1010</v>
      </c>
      <c r="I946" s="32" t="s">
        <v>40</v>
      </c>
      <c r="J946" s="32" t="s">
        <v>46</v>
      </c>
      <c r="K946" s="32" t="s">
        <v>42</v>
      </c>
      <c r="L946" s="32">
        <v>5</v>
      </c>
      <c r="M946" s="32" t="s">
        <v>60</v>
      </c>
      <c r="N946" s="32" t="s">
        <v>58</v>
      </c>
    </row>
    <row r="947" spans="1:14" s="32" customFormat="1" hidden="1" x14ac:dyDescent="0.3">
      <c r="A947" s="38">
        <v>46219.459236111114</v>
      </c>
      <c r="B947" s="32">
        <v>4433543396</v>
      </c>
      <c r="C947" s="32" t="s">
        <v>43</v>
      </c>
      <c r="D947" s="32">
        <v>4430265054</v>
      </c>
      <c r="E947" s="32">
        <v>529</v>
      </c>
      <c r="F947" s="32">
        <v>479</v>
      </c>
      <c r="G947" s="32" t="s">
        <v>44</v>
      </c>
      <c r="H947" s="32" t="s">
        <v>1011</v>
      </c>
      <c r="I947" s="32" t="s">
        <v>40</v>
      </c>
      <c r="J947" s="32" t="s">
        <v>46</v>
      </c>
      <c r="K947" s="32" t="s">
        <v>42</v>
      </c>
      <c r="M947" s="32" t="s">
        <v>47</v>
      </c>
      <c r="N947" s="32" t="s">
        <v>43</v>
      </c>
    </row>
    <row r="948" spans="1:14" s="32" customFormat="1" hidden="1" x14ac:dyDescent="0.3">
      <c r="A948" s="38">
        <v>46219.455925925926</v>
      </c>
      <c r="B948" s="32" t="s">
        <v>49</v>
      </c>
      <c r="C948" s="32">
        <v>1131043888</v>
      </c>
      <c r="E948" s="32">
        <v>1731</v>
      </c>
      <c r="F948" s="32">
        <v>1729</v>
      </c>
      <c r="G948" s="32" t="s">
        <v>44</v>
      </c>
      <c r="H948" s="32" t="s">
        <v>1012</v>
      </c>
      <c r="I948" s="32" t="s">
        <v>54</v>
      </c>
      <c r="J948" s="32" t="s">
        <v>46</v>
      </c>
      <c r="M948" s="32" t="s">
        <v>51</v>
      </c>
      <c r="N948" s="32" t="s">
        <v>49</v>
      </c>
    </row>
    <row r="949" spans="1:14" s="32" customFormat="1" hidden="1" x14ac:dyDescent="0.3">
      <c r="A949" s="38">
        <v>46219.448344907411</v>
      </c>
      <c r="B949" s="32" t="s">
        <v>379</v>
      </c>
      <c r="C949" s="32" t="s">
        <v>207</v>
      </c>
      <c r="E949" s="32">
        <v>362</v>
      </c>
      <c r="F949" s="32">
        <v>360</v>
      </c>
      <c r="G949" s="32" t="s">
        <v>44</v>
      </c>
      <c r="H949" s="32" t="s">
        <v>1013</v>
      </c>
      <c r="I949" s="32" t="s">
        <v>694</v>
      </c>
      <c r="J949" s="32" t="s">
        <v>111</v>
      </c>
      <c r="M949" s="32" t="s">
        <v>381</v>
      </c>
      <c r="N949" s="32" t="s">
        <v>379</v>
      </c>
    </row>
    <row r="950" spans="1:14" s="32" customFormat="1" hidden="1" x14ac:dyDescent="0.3">
      <c r="A950" s="38">
        <v>46219.447777777779</v>
      </c>
      <c r="B950" s="32" t="s">
        <v>379</v>
      </c>
      <c r="C950" s="32" t="s">
        <v>207</v>
      </c>
      <c r="E950" s="32">
        <v>4</v>
      </c>
      <c r="F950" s="32">
        <v>0</v>
      </c>
      <c r="G950" s="32" t="s">
        <v>63</v>
      </c>
      <c r="H950" s="32" t="s">
        <v>1014</v>
      </c>
      <c r="I950" s="32" t="s">
        <v>694</v>
      </c>
      <c r="J950" s="32" t="s">
        <v>111</v>
      </c>
      <c r="M950" s="32" t="s">
        <v>381</v>
      </c>
      <c r="N950" s="32" t="s">
        <v>379</v>
      </c>
    </row>
    <row r="951" spans="1:14" s="32" customFormat="1" hidden="1" x14ac:dyDescent="0.3">
      <c r="A951" s="38">
        <v>46219.447592592594</v>
      </c>
      <c r="B951" s="32" t="s">
        <v>379</v>
      </c>
      <c r="C951" s="32" t="s">
        <v>207</v>
      </c>
      <c r="E951" s="32">
        <v>8</v>
      </c>
      <c r="F951" s="32">
        <v>0</v>
      </c>
      <c r="G951" s="32" t="s">
        <v>63</v>
      </c>
      <c r="H951" s="32" t="s">
        <v>1015</v>
      </c>
      <c r="I951" s="32" t="s">
        <v>694</v>
      </c>
      <c r="J951" s="32" t="s">
        <v>111</v>
      </c>
      <c r="M951" s="32" t="s">
        <v>381</v>
      </c>
      <c r="N951" s="32" t="s">
        <v>379</v>
      </c>
    </row>
    <row r="952" spans="1:14" s="32" customFormat="1" x14ac:dyDescent="0.3">
      <c r="A952" s="38">
        <v>46219.443460648145</v>
      </c>
      <c r="B952" s="32">
        <v>53981112780</v>
      </c>
      <c r="C952" s="32" t="s">
        <v>49</v>
      </c>
      <c r="D952" s="32">
        <v>4430265054</v>
      </c>
      <c r="E952" s="32">
        <v>830</v>
      </c>
      <c r="F952" s="32">
        <v>718</v>
      </c>
      <c r="G952" s="32" t="s">
        <v>44</v>
      </c>
      <c r="H952" s="32" t="s">
        <v>1016</v>
      </c>
      <c r="I952" s="32" t="s">
        <v>40</v>
      </c>
      <c r="J952" s="32" t="s">
        <v>46</v>
      </c>
      <c r="K952" s="32" t="s">
        <v>42</v>
      </c>
      <c r="L952" s="32">
        <v>5</v>
      </c>
      <c r="M952" s="32" t="s">
        <v>51</v>
      </c>
      <c r="N952" s="32" t="s">
        <v>49</v>
      </c>
    </row>
    <row r="953" spans="1:14" s="32" customFormat="1" hidden="1" x14ac:dyDescent="0.3">
      <c r="A953" s="38">
        <v>46219.432083333333</v>
      </c>
      <c r="B953" s="32">
        <v>1131043888</v>
      </c>
      <c r="C953" s="32" t="s">
        <v>49</v>
      </c>
      <c r="D953" s="32">
        <v>4430265054</v>
      </c>
      <c r="E953" s="32">
        <v>772</v>
      </c>
      <c r="F953" s="32">
        <v>642</v>
      </c>
      <c r="G953" s="32" t="s">
        <v>44</v>
      </c>
      <c r="H953" s="32" t="s">
        <v>1017</v>
      </c>
      <c r="I953" s="32" t="s">
        <v>40</v>
      </c>
      <c r="J953" s="32" t="s">
        <v>46</v>
      </c>
      <c r="K953" s="32" t="s">
        <v>42</v>
      </c>
      <c r="M953" s="32" t="s">
        <v>51</v>
      </c>
      <c r="N953" s="32" t="s">
        <v>49</v>
      </c>
    </row>
    <row r="954" spans="1:14" s="32" customFormat="1" hidden="1" x14ac:dyDescent="0.3">
      <c r="A954" s="38">
        <v>46219.429884259262</v>
      </c>
      <c r="B954" s="32" t="s">
        <v>49</v>
      </c>
      <c r="C954" s="32">
        <v>43991519887</v>
      </c>
      <c r="E954" s="32">
        <v>43</v>
      </c>
      <c r="F954" s="32">
        <v>37</v>
      </c>
      <c r="G954" s="32" t="s">
        <v>44</v>
      </c>
      <c r="H954" s="32" t="s">
        <v>1018</v>
      </c>
      <c r="I954" s="32" t="s">
        <v>54</v>
      </c>
      <c r="J954" s="32" t="s">
        <v>46</v>
      </c>
      <c r="M954" s="32" t="s">
        <v>51</v>
      </c>
      <c r="N954" s="32" t="s">
        <v>49</v>
      </c>
    </row>
    <row r="955" spans="1:14" s="32" customFormat="1" hidden="1" x14ac:dyDescent="0.3">
      <c r="A955" s="38">
        <v>46219.426365740743</v>
      </c>
      <c r="B955" s="32">
        <v>77999014770</v>
      </c>
      <c r="C955" s="32" t="s">
        <v>43</v>
      </c>
      <c r="D955" s="32">
        <v>4430265054</v>
      </c>
      <c r="E955" s="32">
        <v>2127</v>
      </c>
      <c r="F955" s="32">
        <v>2056</v>
      </c>
      <c r="G955" s="32" t="s">
        <v>44</v>
      </c>
      <c r="H955" s="32" t="s">
        <v>1019</v>
      </c>
      <c r="I955" s="32" t="s">
        <v>40</v>
      </c>
      <c r="J955" s="32" t="s">
        <v>46</v>
      </c>
      <c r="K955" s="32" t="s">
        <v>42</v>
      </c>
      <c r="L955" s="32">
        <v>5</v>
      </c>
      <c r="M955" s="32" t="s">
        <v>47</v>
      </c>
      <c r="N955" s="32" t="s">
        <v>43</v>
      </c>
    </row>
    <row r="956" spans="1:14" s="32" customFormat="1" hidden="1" x14ac:dyDescent="0.3">
      <c r="A956" s="38">
        <v>46219.419861111113</v>
      </c>
      <c r="B956" s="32">
        <v>4430450103</v>
      </c>
      <c r="C956" s="32" t="s">
        <v>43</v>
      </c>
      <c r="D956" s="32">
        <v>4430265054</v>
      </c>
      <c r="E956" s="32">
        <v>459</v>
      </c>
      <c r="F956" s="32">
        <v>414</v>
      </c>
      <c r="G956" s="32" t="s">
        <v>44</v>
      </c>
      <c r="H956" s="32" t="s">
        <v>1020</v>
      </c>
      <c r="I956" s="32" t="s">
        <v>40</v>
      </c>
      <c r="J956" s="32" t="s">
        <v>46</v>
      </c>
      <c r="K956" s="32" t="s">
        <v>42</v>
      </c>
      <c r="L956" s="32">
        <v>5</v>
      </c>
      <c r="M956" s="32" t="s">
        <v>47</v>
      </c>
      <c r="N956" s="32" t="s">
        <v>43</v>
      </c>
    </row>
    <row r="957" spans="1:14" s="32" customFormat="1" hidden="1" x14ac:dyDescent="0.3">
      <c r="A957" s="38">
        <v>46219.398425925923</v>
      </c>
      <c r="B957" s="32">
        <v>43991519887</v>
      </c>
      <c r="C957" s="32" t="s">
        <v>49</v>
      </c>
      <c r="D957" s="32">
        <v>4430265054</v>
      </c>
      <c r="E957" s="32">
        <v>2699</v>
      </c>
      <c r="F957" s="32">
        <v>2598</v>
      </c>
      <c r="G957" s="32" t="s">
        <v>44</v>
      </c>
      <c r="H957" s="32" t="s">
        <v>1021</v>
      </c>
      <c r="I957" s="32" t="s">
        <v>40</v>
      </c>
      <c r="J957" s="32" t="s">
        <v>46</v>
      </c>
      <c r="K957" s="32" t="s">
        <v>42</v>
      </c>
      <c r="M957" s="32" t="s">
        <v>51</v>
      </c>
      <c r="N957" s="32" t="s">
        <v>49</v>
      </c>
    </row>
    <row r="958" spans="1:14" s="32" customFormat="1" hidden="1" x14ac:dyDescent="0.3">
      <c r="A958" s="38">
        <v>46219.396585648145</v>
      </c>
      <c r="B958" s="32">
        <v>1128787060</v>
      </c>
      <c r="C958" s="32" t="s">
        <v>58</v>
      </c>
      <c r="D958" s="32">
        <v>4430265054</v>
      </c>
      <c r="E958" s="32">
        <v>390</v>
      </c>
      <c r="F958" s="32">
        <v>362</v>
      </c>
      <c r="G958" s="32" t="s">
        <v>44</v>
      </c>
      <c r="H958" s="32" t="s">
        <v>1022</v>
      </c>
      <c r="I958" s="32" t="s">
        <v>40</v>
      </c>
      <c r="J958" s="32" t="s">
        <v>46</v>
      </c>
      <c r="K958" s="32" t="s">
        <v>42</v>
      </c>
      <c r="M958" s="32" t="s">
        <v>60</v>
      </c>
      <c r="N958" s="32" t="s">
        <v>58</v>
      </c>
    </row>
    <row r="959" spans="1:14" s="32" customFormat="1" hidden="1" x14ac:dyDescent="0.3">
      <c r="A959" s="38">
        <v>46219.37090277778</v>
      </c>
      <c r="B959" s="32">
        <v>1128787060</v>
      </c>
      <c r="C959" s="32" t="s">
        <v>43</v>
      </c>
      <c r="D959" s="32">
        <v>4430265054</v>
      </c>
      <c r="E959" s="32">
        <v>329</v>
      </c>
      <c r="F959" s="32">
        <v>234</v>
      </c>
      <c r="G959" s="32" t="s">
        <v>44</v>
      </c>
      <c r="H959" s="32" t="s">
        <v>1023</v>
      </c>
      <c r="I959" s="32" t="s">
        <v>40</v>
      </c>
      <c r="J959" s="32" t="s">
        <v>46</v>
      </c>
      <c r="K959" s="32" t="s">
        <v>42</v>
      </c>
      <c r="M959" s="32" t="s">
        <v>47</v>
      </c>
      <c r="N959" s="32" t="s">
        <v>43</v>
      </c>
    </row>
    <row r="960" spans="1:14" s="32" customFormat="1" x14ac:dyDescent="0.3">
      <c r="A960" s="38">
        <v>46219.370266203703</v>
      </c>
      <c r="B960" s="32">
        <v>45999334612</v>
      </c>
      <c r="C960" s="32" t="s">
        <v>49</v>
      </c>
      <c r="D960" s="32">
        <v>4430265054</v>
      </c>
      <c r="E960" s="32">
        <v>609</v>
      </c>
      <c r="F960" s="32">
        <v>551</v>
      </c>
      <c r="G960" s="32" t="s">
        <v>44</v>
      </c>
      <c r="H960" s="32" t="s">
        <v>1024</v>
      </c>
      <c r="I960" s="32" t="s">
        <v>40</v>
      </c>
      <c r="J960" s="32" t="s">
        <v>46</v>
      </c>
      <c r="K960" s="32" t="s">
        <v>42</v>
      </c>
      <c r="L960" s="32">
        <v>5</v>
      </c>
      <c r="M960" s="32" t="s">
        <v>51</v>
      </c>
      <c r="N960" s="32" t="s">
        <v>49</v>
      </c>
    </row>
    <row r="961" spans="1:14" s="32" customFormat="1" hidden="1" x14ac:dyDescent="0.3">
      <c r="A961" s="38">
        <v>46219.362141203703</v>
      </c>
      <c r="B961" s="32">
        <v>4330333542</v>
      </c>
      <c r="C961" s="32" t="s">
        <v>43</v>
      </c>
      <c r="D961" s="32">
        <v>4430265054</v>
      </c>
      <c r="E961" s="32">
        <v>829</v>
      </c>
      <c r="F961" s="32">
        <v>801</v>
      </c>
      <c r="G961" s="32" t="s">
        <v>44</v>
      </c>
      <c r="H961" s="32" t="s">
        <v>1025</v>
      </c>
      <c r="I961" s="32" t="s">
        <v>40</v>
      </c>
      <c r="J961" s="32" t="s">
        <v>46</v>
      </c>
      <c r="K961" s="32" t="s">
        <v>42</v>
      </c>
      <c r="M961" s="32" t="s">
        <v>47</v>
      </c>
      <c r="N961" s="32" t="s">
        <v>43</v>
      </c>
    </row>
    <row r="962" spans="1:14" s="32" customFormat="1" hidden="1" x14ac:dyDescent="0.3">
      <c r="A962" s="38">
        <v>46219.354722222219</v>
      </c>
      <c r="B962" s="32">
        <v>41997840159</v>
      </c>
      <c r="C962" s="32" t="s">
        <v>49</v>
      </c>
      <c r="D962" s="32">
        <v>4431268225</v>
      </c>
      <c r="E962" s="32">
        <v>1200</v>
      </c>
      <c r="F962" s="32">
        <v>1075</v>
      </c>
      <c r="G962" s="32" t="s">
        <v>44</v>
      </c>
      <c r="H962" s="32" t="s">
        <v>1026</v>
      </c>
      <c r="I962" s="32" t="s">
        <v>40</v>
      </c>
      <c r="J962" s="32" t="s">
        <v>46</v>
      </c>
      <c r="K962" s="32" t="s">
        <v>42</v>
      </c>
      <c r="M962" s="32" t="s">
        <v>51</v>
      </c>
      <c r="N962" s="32" t="s">
        <v>49</v>
      </c>
    </row>
    <row r="963" spans="1:14" s="32" customFormat="1" hidden="1" x14ac:dyDescent="0.3">
      <c r="A963" s="38">
        <v>46219.34474537037</v>
      </c>
      <c r="B963" s="32" t="s">
        <v>379</v>
      </c>
      <c r="C963" s="32" t="s">
        <v>207</v>
      </c>
      <c r="E963" s="32">
        <v>305</v>
      </c>
      <c r="F963" s="32">
        <v>302</v>
      </c>
      <c r="G963" s="32" t="s">
        <v>44</v>
      </c>
      <c r="H963" s="32" t="s">
        <v>1027</v>
      </c>
      <c r="I963" s="32" t="s">
        <v>694</v>
      </c>
      <c r="J963" s="32" t="s">
        <v>111</v>
      </c>
      <c r="M963" s="32" t="s">
        <v>381</v>
      </c>
      <c r="N963" s="32" t="s">
        <v>379</v>
      </c>
    </row>
    <row r="964" spans="1:14" s="32" customFormat="1" hidden="1" x14ac:dyDescent="0.3">
      <c r="A964" s="38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38</v>
      </c>
      <c r="H964" s="32" t="s">
        <v>1028</v>
      </c>
      <c r="I964" s="32" t="s">
        <v>40</v>
      </c>
      <c r="J964" s="32" t="s">
        <v>41</v>
      </c>
    </row>
    <row r="965" spans="1:14" s="32" customFormat="1" hidden="1" x14ac:dyDescent="0.3">
      <c r="A965" s="38">
        <v>46218.735335648147</v>
      </c>
      <c r="B965" s="32" t="s">
        <v>58</v>
      </c>
      <c r="C965" s="32">
        <v>64984043469</v>
      </c>
      <c r="E965" s="32">
        <v>40</v>
      </c>
      <c r="F965" s="32">
        <v>33</v>
      </c>
      <c r="G965" s="32" t="s">
        <v>44</v>
      </c>
      <c r="H965" s="32" t="s">
        <v>1029</v>
      </c>
      <c r="I965" s="32" t="s">
        <v>54</v>
      </c>
      <c r="J965" s="32" t="s">
        <v>46</v>
      </c>
      <c r="M965" s="32" t="s">
        <v>60</v>
      </c>
      <c r="N965" s="32" t="s">
        <v>58</v>
      </c>
    </row>
    <row r="966" spans="1:14" s="32" customFormat="1" hidden="1" x14ac:dyDescent="0.3">
      <c r="A966" s="38">
        <v>46218.725613425922</v>
      </c>
      <c r="B966" s="32">
        <v>91985176746</v>
      </c>
      <c r="C966" s="32" t="s">
        <v>43</v>
      </c>
      <c r="D966" s="32">
        <v>4430265054</v>
      </c>
      <c r="E966" s="32">
        <v>394</v>
      </c>
      <c r="F966" s="32">
        <v>351</v>
      </c>
      <c r="G966" s="32" t="s">
        <v>44</v>
      </c>
      <c r="H966" s="32" t="s">
        <v>1030</v>
      </c>
      <c r="I966" s="32" t="s">
        <v>40</v>
      </c>
      <c r="J966" s="32" t="s">
        <v>46</v>
      </c>
      <c r="K966" s="32" t="s">
        <v>42</v>
      </c>
      <c r="L966" s="32">
        <v>5</v>
      </c>
      <c r="M966" s="32" t="s">
        <v>47</v>
      </c>
      <c r="N966" s="32" t="s">
        <v>43</v>
      </c>
    </row>
    <row r="967" spans="1:14" s="32" customFormat="1" hidden="1" x14ac:dyDescent="0.3">
      <c r="A967" s="38">
        <v>46218.719050925924</v>
      </c>
      <c r="B967" s="32" t="s">
        <v>109</v>
      </c>
      <c r="C967" s="32">
        <v>65996088412</v>
      </c>
      <c r="E967" s="32">
        <v>25</v>
      </c>
      <c r="F967" s="32">
        <v>0</v>
      </c>
      <c r="G967" s="32" t="s">
        <v>63</v>
      </c>
      <c r="H967" s="32" t="s">
        <v>1031</v>
      </c>
      <c r="I967" s="32" t="s">
        <v>54</v>
      </c>
      <c r="J967" s="32" t="s">
        <v>111</v>
      </c>
      <c r="M967" s="32" t="s">
        <v>112</v>
      </c>
      <c r="N967" s="32" t="s">
        <v>109</v>
      </c>
    </row>
    <row r="968" spans="1:14" s="32" customFormat="1" hidden="1" x14ac:dyDescent="0.3">
      <c r="A968" s="38">
        <v>46218.718391203707</v>
      </c>
      <c r="B968" s="32" t="s">
        <v>109</v>
      </c>
      <c r="C968" s="32">
        <v>41985317039</v>
      </c>
      <c r="E968" s="32">
        <v>6</v>
      </c>
      <c r="F968" s="32">
        <v>0</v>
      </c>
      <c r="G968" s="32" t="s">
        <v>63</v>
      </c>
      <c r="H968" s="32" t="s">
        <v>1032</v>
      </c>
      <c r="I968" s="32" t="s">
        <v>54</v>
      </c>
      <c r="J968" s="32" t="s">
        <v>111</v>
      </c>
      <c r="M968" s="32" t="s">
        <v>112</v>
      </c>
      <c r="N968" s="32" t="s">
        <v>109</v>
      </c>
    </row>
    <row r="969" spans="1:14" s="32" customFormat="1" hidden="1" x14ac:dyDescent="0.3">
      <c r="A969" s="38">
        <v>46218.717916666668</v>
      </c>
      <c r="B969" s="32" t="s">
        <v>109</v>
      </c>
      <c r="C969" s="32">
        <v>65999886282</v>
      </c>
      <c r="E969" s="32">
        <v>8</v>
      </c>
      <c r="F969" s="32">
        <v>0</v>
      </c>
      <c r="G969" s="32" t="s">
        <v>63</v>
      </c>
      <c r="H969" s="32" t="s">
        <v>1033</v>
      </c>
      <c r="I969" s="32" t="s">
        <v>54</v>
      </c>
      <c r="J969" s="32" t="s">
        <v>111</v>
      </c>
      <c r="M969" s="32" t="s">
        <v>112</v>
      </c>
      <c r="N969" s="32" t="s">
        <v>109</v>
      </c>
    </row>
    <row r="970" spans="1:14" s="32" customFormat="1" hidden="1" x14ac:dyDescent="0.3">
      <c r="A970" s="38">
        <v>46218.717326388891</v>
      </c>
      <c r="B970" s="32" t="s">
        <v>109</v>
      </c>
      <c r="C970" s="32">
        <v>4138256200</v>
      </c>
      <c r="E970" s="32">
        <v>4</v>
      </c>
      <c r="F970" s="32">
        <v>0</v>
      </c>
      <c r="G970" s="32" t="s">
        <v>63</v>
      </c>
      <c r="H970" s="32" t="s">
        <v>1034</v>
      </c>
      <c r="I970" s="32" t="s">
        <v>54</v>
      </c>
      <c r="J970" s="32" t="s">
        <v>111</v>
      </c>
      <c r="M970" s="32" t="s">
        <v>112</v>
      </c>
      <c r="N970" s="32" t="s">
        <v>109</v>
      </c>
    </row>
    <row r="971" spans="1:14" s="32" customFormat="1" hidden="1" x14ac:dyDescent="0.3">
      <c r="A971" s="38">
        <v>46218.716805555552</v>
      </c>
      <c r="B971" s="32" t="s">
        <v>109</v>
      </c>
      <c r="C971" s="32">
        <v>95991482933</v>
      </c>
      <c r="E971" s="32">
        <v>5</v>
      </c>
      <c r="F971" s="32">
        <v>0</v>
      </c>
      <c r="G971" s="32" t="s">
        <v>63</v>
      </c>
      <c r="H971" s="32" t="s">
        <v>1035</v>
      </c>
      <c r="I971" s="32" t="s">
        <v>54</v>
      </c>
      <c r="J971" s="32" t="s">
        <v>111</v>
      </c>
      <c r="M971" s="32" t="s">
        <v>112</v>
      </c>
      <c r="N971" s="32" t="s">
        <v>109</v>
      </c>
    </row>
    <row r="972" spans="1:14" s="32" customFormat="1" hidden="1" x14ac:dyDescent="0.3">
      <c r="A972" s="38">
        <v>46218.711053240739</v>
      </c>
      <c r="B972" s="32" t="s">
        <v>109</v>
      </c>
      <c r="C972" s="32">
        <v>11952734265</v>
      </c>
      <c r="E972" s="32">
        <v>7</v>
      </c>
      <c r="F972" s="32">
        <v>0</v>
      </c>
      <c r="G972" s="32" t="s">
        <v>63</v>
      </c>
      <c r="H972" s="32" t="s">
        <v>1036</v>
      </c>
      <c r="I972" s="32" t="s">
        <v>54</v>
      </c>
      <c r="J972" s="32" t="s">
        <v>111</v>
      </c>
      <c r="M972" s="32" t="s">
        <v>112</v>
      </c>
      <c r="N972" s="32" t="s">
        <v>109</v>
      </c>
    </row>
    <row r="973" spans="1:14" s="32" customFormat="1" hidden="1" x14ac:dyDescent="0.3">
      <c r="A973" s="38">
        <v>46218.709930555553</v>
      </c>
      <c r="B973" s="32" t="s">
        <v>109</v>
      </c>
      <c r="C973" s="32">
        <v>63992969763</v>
      </c>
      <c r="E973" s="32">
        <v>4</v>
      </c>
      <c r="F973" s="32">
        <v>0</v>
      </c>
      <c r="G973" s="32" t="s">
        <v>63</v>
      </c>
      <c r="H973" s="32" t="s">
        <v>1037</v>
      </c>
      <c r="I973" s="32" t="s">
        <v>54</v>
      </c>
      <c r="J973" s="32" t="s">
        <v>111</v>
      </c>
      <c r="M973" s="32" t="s">
        <v>112</v>
      </c>
      <c r="N973" s="32" t="s">
        <v>109</v>
      </c>
    </row>
    <row r="974" spans="1:14" s="32" customFormat="1" hidden="1" x14ac:dyDescent="0.3">
      <c r="A974" s="38">
        <v>46218.704976851855</v>
      </c>
      <c r="B974" s="32">
        <v>4432524636</v>
      </c>
      <c r="C974" s="32" t="s">
        <v>1038</v>
      </c>
      <c r="D974" s="32">
        <v>4430265054</v>
      </c>
      <c r="E974" s="32">
        <v>714</v>
      </c>
      <c r="F974" s="32">
        <v>671</v>
      </c>
      <c r="G974" s="32" t="s">
        <v>44</v>
      </c>
      <c r="H974" s="32" t="s">
        <v>1039</v>
      </c>
      <c r="I974" s="32" t="s">
        <v>40</v>
      </c>
      <c r="J974" s="32" t="s">
        <v>46</v>
      </c>
      <c r="K974" s="32" t="s">
        <v>42</v>
      </c>
      <c r="L974" s="32">
        <v>5</v>
      </c>
      <c r="M974" s="32" t="s">
        <v>1040</v>
      </c>
      <c r="N974" s="32" t="s">
        <v>1038</v>
      </c>
    </row>
    <row r="975" spans="1:14" s="32" customFormat="1" hidden="1" x14ac:dyDescent="0.3">
      <c r="A975" s="38">
        <v>46218.697615740741</v>
      </c>
      <c r="B975" s="32">
        <v>44997456641</v>
      </c>
      <c r="C975" s="32" t="s">
        <v>58</v>
      </c>
      <c r="D975" s="32">
        <v>4430265054</v>
      </c>
      <c r="E975" s="32">
        <v>304</v>
      </c>
      <c r="F975" s="32">
        <v>303</v>
      </c>
      <c r="G975" s="32" t="s">
        <v>44</v>
      </c>
      <c r="H975" s="32" t="s">
        <v>1041</v>
      </c>
      <c r="I975" s="32" t="s">
        <v>40</v>
      </c>
      <c r="J975" s="32" t="s">
        <v>46</v>
      </c>
      <c r="K975" s="32" t="s">
        <v>42</v>
      </c>
      <c r="M975" s="32" t="s">
        <v>60</v>
      </c>
      <c r="N975" s="32" t="s">
        <v>58</v>
      </c>
    </row>
    <row r="976" spans="1:14" s="32" customFormat="1" hidden="1" x14ac:dyDescent="0.3">
      <c r="A976" s="38">
        <v>46218.690046296295</v>
      </c>
      <c r="B976" s="32">
        <v>4433542435</v>
      </c>
      <c r="C976" s="32" t="s">
        <v>1038</v>
      </c>
      <c r="D976" s="32">
        <v>4430265054</v>
      </c>
      <c r="E976" s="32">
        <v>231</v>
      </c>
      <c r="F976" s="32">
        <v>106</v>
      </c>
      <c r="G976" s="32" t="s">
        <v>44</v>
      </c>
      <c r="H976" s="32" t="s">
        <v>1042</v>
      </c>
      <c r="I976" s="32" t="s">
        <v>40</v>
      </c>
      <c r="J976" s="32" t="s">
        <v>46</v>
      </c>
      <c r="K976" s="32" t="s">
        <v>42</v>
      </c>
      <c r="L976" s="32">
        <v>5</v>
      </c>
      <c r="M976" s="32" t="s">
        <v>1040</v>
      </c>
      <c r="N976" s="32" t="s">
        <v>1038</v>
      </c>
    </row>
    <row r="977" spans="1:14" s="32" customFormat="1" hidden="1" x14ac:dyDescent="0.3">
      <c r="A977" s="38">
        <v>46218.688634259262</v>
      </c>
      <c r="B977" s="32">
        <v>45999334612</v>
      </c>
      <c r="C977" s="32" t="s">
        <v>58</v>
      </c>
      <c r="D977" s="32">
        <v>4430265054</v>
      </c>
      <c r="E977" s="32">
        <v>205</v>
      </c>
      <c r="F977" s="32">
        <v>174</v>
      </c>
      <c r="G977" s="32" t="s">
        <v>44</v>
      </c>
      <c r="H977" s="32" t="s">
        <v>1043</v>
      </c>
      <c r="I977" s="32" t="s">
        <v>40</v>
      </c>
      <c r="J977" s="32" t="s">
        <v>46</v>
      </c>
      <c r="K977" s="32" t="s">
        <v>42</v>
      </c>
      <c r="L977" s="32">
        <v>5</v>
      </c>
      <c r="M977" s="32" t="s">
        <v>60</v>
      </c>
      <c r="N977" s="32" t="s">
        <v>58</v>
      </c>
    </row>
    <row r="978" spans="1:14" s="32" customFormat="1" hidden="1" x14ac:dyDescent="0.3">
      <c r="A978" s="38">
        <v>46218.688391203701</v>
      </c>
      <c r="B978" s="32">
        <v>4432321324</v>
      </c>
      <c r="C978" s="32" t="s">
        <v>49</v>
      </c>
      <c r="D978" s="32">
        <v>4430265054</v>
      </c>
      <c r="E978" s="32">
        <v>975</v>
      </c>
      <c r="F978" s="32">
        <v>874</v>
      </c>
      <c r="G978" s="32" t="s">
        <v>44</v>
      </c>
      <c r="H978" s="32" t="s">
        <v>1044</v>
      </c>
      <c r="I978" s="32" t="s">
        <v>40</v>
      </c>
      <c r="J978" s="32" t="s">
        <v>46</v>
      </c>
      <c r="K978" s="32" t="s">
        <v>42</v>
      </c>
      <c r="M978" s="32" t="s">
        <v>51</v>
      </c>
      <c r="N978" s="32" t="s">
        <v>49</v>
      </c>
    </row>
    <row r="979" spans="1:14" s="32" customFormat="1" hidden="1" x14ac:dyDescent="0.3">
      <c r="A979" s="38">
        <v>46218.682349537034</v>
      </c>
      <c r="B979" s="32" t="s">
        <v>379</v>
      </c>
      <c r="C979" s="32" t="s">
        <v>207</v>
      </c>
      <c r="E979" s="32">
        <v>156</v>
      </c>
      <c r="F979" s="32">
        <v>152</v>
      </c>
      <c r="G979" s="32" t="s">
        <v>44</v>
      </c>
      <c r="H979" s="32" t="s">
        <v>1045</v>
      </c>
      <c r="I979" s="32" t="s">
        <v>694</v>
      </c>
      <c r="J979" s="32" t="s">
        <v>111</v>
      </c>
      <c r="M979" s="32" t="s">
        <v>381</v>
      </c>
      <c r="N979" s="32" t="s">
        <v>379</v>
      </c>
    </row>
    <row r="980" spans="1:14" s="32" customFormat="1" hidden="1" x14ac:dyDescent="0.3">
      <c r="A980" s="38">
        <v>46218.682152777779</v>
      </c>
      <c r="B980" s="32" t="s">
        <v>207</v>
      </c>
      <c r="C980" s="32" t="s">
        <v>379</v>
      </c>
      <c r="E980" s="32">
        <v>13</v>
      </c>
      <c r="F980" s="32">
        <v>9</v>
      </c>
      <c r="G980" s="32" t="s">
        <v>44</v>
      </c>
      <c r="H980" s="32" t="s">
        <v>1046</v>
      </c>
      <c r="I980" s="32" t="s">
        <v>694</v>
      </c>
      <c r="J980" s="32" t="s">
        <v>111</v>
      </c>
      <c r="M980" s="32" t="s">
        <v>209</v>
      </c>
      <c r="N980" s="32" t="s">
        <v>207</v>
      </c>
    </row>
    <row r="981" spans="1:14" s="32" customFormat="1" hidden="1" x14ac:dyDescent="0.3">
      <c r="A981" s="38">
        <v>46218.678530092591</v>
      </c>
      <c r="B981" s="32" t="s">
        <v>58</v>
      </c>
      <c r="C981" s="32">
        <v>53981112780</v>
      </c>
      <c r="E981" s="32">
        <v>679</v>
      </c>
      <c r="F981" s="32">
        <v>668</v>
      </c>
      <c r="G981" s="32" t="s">
        <v>44</v>
      </c>
      <c r="H981" s="32" t="s">
        <v>1047</v>
      </c>
      <c r="I981" s="32" t="s">
        <v>54</v>
      </c>
      <c r="J981" s="32" t="s">
        <v>46</v>
      </c>
      <c r="L981" s="32">
        <v>5</v>
      </c>
      <c r="M981" s="32" t="s">
        <v>60</v>
      </c>
      <c r="N981" s="32" t="s">
        <v>58</v>
      </c>
    </row>
    <row r="982" spans="1:14" s="32" customFormat="1" x14ac:dyDescent="0.3">
      <c r="A982" s="38">
        <v>46218.677222222221</v>
      </c>
      <c r="B982" s="32">
        <v>44997719213</v>
      </c>
      <c r="C982" s="32" t="s">
        <v>49</v>
      </c>
      <c r="D982" s="32">
        <v>4430265054</v>
      </c>
      <c r="E982" s="32">
        <v>815</v>
      </c>
      <c r="F982" s="32">
        <v>705</v>
      </c>
      <c r="G982" s="32" t="s">
        <v>44</v>
      </c>
      <c r="H982" s="32" t="s">
        <v>1048</v>
      </c>
      <c r="I982" s="32" t="s">
        <v>40</v>
      </c>
      <c r="J982" s="32" t="s">
        <v>46</v>
      </c>
      <c r="K982" s="32" t="s">
        <v>42</v>
      </c>
      <c r="L982" s="32">
        <v>5</v>
      </c>
      <c r="M982" s="32" t="s">
        <v>51</v>
      </c>
      <c r="N982" s="32" t="s">
        <v>49</v>
      </c>
    </row>
    <row r="983" spans="1:14" s="32" customFormat="1" hidden="1" x14ac:dyDescent="0.3">
      <c r="A983" s="38">
        <v>46218.675729166665</v>
      </c>
      <c r="B983" s="32" t="s">
        <v>207</v>
      </c>
      <c r="C983" s="32" t="s">
        <v>379</v>
      </c>
      <c r="E983" s="32">
        <v>20</v>
      </c>
      <c r="F983" s="32">
        <v>0</v>
      </c>
      <c r="G983" s="32" t="s">
        <v>63</v>
      </c>
      <c r="H983" s="32" t="s">
        <v>1049</v>
      </c>
      <c r="I983" s="32" t="s">
        <v>694</v>
      </c>
      <c r="J983" s="32" t="s">
        <v>111</v>
      </c>
      <c r="M983" s="32" t="s">
        <v>209</v>
      </c>
      <c r="N983" s="32" t="s">
        <v>207</v>
      </c>
    </row>
    <row r="984" spans="1:14" s="32" customFormat="1" hidden="1" x14ac:dyDescent="0.3">
      <c r="A984" s="38">
        <v>46218.670046296298</v>
      </c>
      <c r="B984" s="32" t="s">
        <v>207</v>
      </c>
      <c r="C984" s="32" t="s">
        <v>379</v>
      </c>
      <c r="E984" s="32">
        <v>31</v>
      </c>
      <c r="F984" s="32">
        <v>0</v>
      </c>
      <c r="G984" s="32" t="s">
        <v>63</v>
      </c>
      <c r="H984" s="32" t="s">
        <v>1050</v>
      </c>
      <c r="I984" s="32" t="s">
        <v>694</v>
      </c>
      <c r="J984" s="32" t="s">
        <v>111</v>
      </c>
      <c r="M984" s="32" t="s">
        <v>209</v>
      </c>
      <c r="N984" s="32" t="s">
        <v>207</v>
      </c>
    </row>
    <row r="985" spans="1:14" s="32" customFormat="1" hidden="1" x14ac:dyDescent="0.3">
      <c r="A985" s="38">
        <v>46218.669699074075</v>
      </c>
      <c r="B985" s="32" t="s">
        <v>207</v>
      </c>
      <c r="C985" s="32" t="s">
        <v>379</v>
      </c>
      <c r="E985" s="32">
        <v>20</v>
      </c>
      <c r="F985" s="32">
        <v>0</v>
      </c>
      <c r="G985" s="32" t="s">
        <v>63</v>
      </c>
      <c r="H985" s="32" t="s">
        <v>1051</v>
      </c>
      <c r="I985" s="32" t="s">
        <v>694</v>
      </c>
      <c r="J985" s="32" t="s">
        <v>111</v>
      </c>
      <c r="M985" s="32" t="s">
        <v>209</v>
      </c>
      <c r="N985" s="32" t="s">
        <v>207</v>
      </c>
    </row>
    <row r="986" spans="1:14" s="32" customFormat="1" hidden="1" x14ac:dyDescent="0.3">
      <c r="A986" s="38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38</v>
      </c>
      <c r="H986" s="32" t="s">
        <v>1052</v>
      </c>
      <c r="I986" s="32" t="s">
        <v>40</v>
      </c>
      <c r="J986" s="32" t="s">
        <v>41</v>
      </c>
    </row>
    <row r="987" spans="1:14" s="32" customFormat="1" hidden="1" x14ac:dyDescent="0.3">
      <c r="A987" s="38">
        <v>46218.664236111108</v>
      </c>
      <c r="B987" s="32" t="s">
        <v>43</v>
      </c>
      <c r="C987" s="32">
        <v>44999676705</v>
      </c>
      <c r="E987" s="32">
        <v>96</v>
      </c>
      <c r="F987" s="32">
        <v>87</v>
      </c>
      <c r="G987" s="32" t="s">
        <v>44</v>
      </c>
      <c r="H987" s="32" t="s">
        <v>1053</v>
      </c>
      <c r="I987" s="32" t="s">
        <v>54</v>
      </c>
      <c r="J987" s="32" t="s">
        <v>46</v>
      </c>
      <c r="M987" s="32" t="s">
        <v>47</v>
      </c>
      <c r="N987" s="32" t="s">
        <v>43</v>
      </c>
    </row>
    <row r="988" spans="1:14" s="32" customFormat="1" hidden="1" x14ac:dyDescent="0.3">
      <c r="A988" s="38">
        <v>46218.663900462961</v>
      </c>
      <c r="B988" s="32" t="s">
        <v>43</v>
      </c>
      <c r="C988" s="32">
        <v>44999676705</v>
      </c>
      <c r="E988" s="32">
        <v>14</v>
      </c>
      <c r="F988" s="32">
        <v>0</v>
      </c>
      <c r="G988" s="32" t="s">
        <v>63</v>
      </c>
      <c r="H988" s="32" t="s">
        <v>1054</v>
      </c>
      <c r="I988" s="32" t="s">
        <v>54</v>
      </c>
      <c r="J988" s="32" t="s">
        <v>46</v>
      </c>
      <c r="M988" s="32" t="s">
        <v>47</v>
      </c>
      <c r="N988" s="32" t="s">
        <v>43</v>
      </c>
    </row>
    <row r="989" spans="1:14" s="32" customFormat="1" hidden="1" x14ac:dyDescent="0.3">
      <c r="A989" s="38">
        <v>46218.662870370368</v>
      </c>
      <c r="B989" s="32" t="s">
        <v>379</v>
      </c>
      <c r="C989" s="32" t="s">
        <v>207</v>
      </c>
      <c r="E989" s="32">
        <v>2</v>
      </c>
      <c r="F989" s="32">
        <v>0</v>
      </c>
      <c r="G989" s="32" t="s">
        <v>63</v>
      </c>
      <c r="H989" s="32" t="s">
        <v>1055</v>
      </c>
      <c r="I989" s="32" t="s">
        <v>694</v>
      </c>
      <c r="J989" s="32" t="s">
        <v>111</v>
      </c>
      <c r="M989" s="32" t="s">
        <v>381</v>
      </c>
      <c r="N989" s="32" t="s">
        <v>379</v>
      </c>
    </row>
    <row r="990" spans="1:14" s="32" customFormat="1" hidden="1" x14ac:dyDescent="0.3">
      <c r="A990" s="38">
        <v>46218.658703703702</v>
      </c>
      <c r="B990" s="32">
        <v>44998761561</v>
      </c>
      <c r="C990" s="32" t="s">
        <v>58</v>
      </c>
      <c r="D990" s="32">
        <v>4430265054</v>
      </c>
      <c r="E990" s="32">
        <v>528</v>
      </c>
      <c r="F990" s="32">
        <v>527</v>
      </c>
      <c r="G990" s="32" t="s">
        <v>44</v>
      </c>
      <c r="H990" s="32" t="s">
        <v>1056</v>
      </c>
      <c r="I990" s="32" t="s">
        <v>40</v>
      </c>
      <c r="J990" s="32" t="s">
        <v>46</v>
      </c>
      <c r="K990" s="32" t="s">
        <v>42</v>
      </c>
      <c r="M990" s="32" t="s">
        <v>60</v>
      </c>
      <c r="N990" s="32" t="s">
        <v>58</v>
      </c>
    </row>
    <row r="991" spans="1:14" s="32" customFormat="1" hidden="1" x14ac:dyDescent="0.3">
      <c r="A991" s="38">
        <v>46218.651354166665</v>
      </c>
      <c r="B991" s="32" t="s">
        <v>747</v>
      </c>
      <c r="C991" s="32">
        <v>4432321324</v>
      </c>
      <c r="E991" s="32">
        <v>168</v>
      </c>
      <c r="F991" s="32">
        <v>160</v>
      </c>
      <c r="G991" s="32" t="s">
        <v>44</v>
      </c>
      <c r="H991" s="32" t="s">
        <v>1057</v>
      </c>
      <c r="I991" s="32" t="s">
        <v>54</v>
      </c>
      <c r="J991" s="32" t="s">
        <v>46</v>
      </c>
      <c r="M991" s="32" t="s">
        <v>749</v>
      </c>
      <c r="N991" s="32" t="s">
        <v>747</v>
      </c>
    </row>
    <row r="992" spans="1:14" s="32" customFormat="1" hidden="1" x14ac:dyDescent="0.3">
      <c r="A992" s="38">
        <v>46218.651226851849</v>
      </c>
      <c r="B992" s="32" t="s">
        <v>747</v>
      </c>
      <c r="C992" s="32">
        <v>4432321324</v>
      </c>
      <c r="E992" s="32">
        <v>14</v>
      </c>
      <c r="F992" s="32">
        <v>13</v>
      </c>
      <c r="G992" s="32" t="s">
        <v>44</v>
      </c>
      <c r="H992" s="32" t="s">
        <v>1058</v>
      </c>
      <c r="I992" s="32" t="s">
        <v>54</v>
      </c>
      <c r="J992" s="32" t="s">
        <v>46</v>
      </c>
      <c r="M992" s="32" t="s">
        <v>749</v>
      </c>
      <c r="N992" s="32" t="s">
        <v>747</v>
      </c>
    </row>
    <row r="993" spans="1:14" s="32" customFormat="1" hidden="1" x14ac:dyDescent="0.3">
      <c r="A993" s="38">
        <v>46218.648321759261</v>
      </c>
      <c r="B993" s="32" t="s">
        <v>1038</v>
      </c>
      <c r="C993" s="32">
        <v>1140330393</v>
      </c>
      <c r="E993" s="32">
        <v>1721</v>
      </c>
      <c r="F993" s="32">
        <v>1715</v>
      </c>
      <c r="G993" s="32" t="s">
        <v>44</v>
      </c>
      <c r="H993" s="32" t="s">
        <v>1059</v>
      </c>
      <c r="I993" s="32" t="s">
        <v>54</v>
      </c>
      <c r="J993" s="32" t="s">
        <v>46</v>
      </c>
      <c r="M993" s="32" t="s">
        <v>1040</v>
      </c>
      <c r="N993" s="32" t="s">
        <v>1038</v>
      </c>
    </row>
    <row r="994" spans="1:14" s="32" customFormat="1" hidden="1" x14ac:dyDescent="0.3">
      <c r="A994" s="38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38</v>
      </c>
      <c r="H994" s="32" t="s">
        <v>1060</v>
      </c>
      <c r="I994" s="32" t="s">
        <v>40</v>
      </c>
      <c r="J994" s="32" t="s">
        <v>41</v>
      </c>
      <c r="K994" s="32" t="s">
        <v>42</v>
      </c>
    </row>
    <row r="995" spans="1:14" s="32" customFormat="1" hidden="1" x14ac:dyDescent="0.3">
      <c r="A995" s="38">
        <v>46218.641875000001</v>
      </c>
      <c r="B995" s="32" t="s">
        <v>109</v>
      </c>
      <c r="C995" s="32">
        <v>11986169504</v>
      </c>
      <c r="E995" s="32">
        <v>16</v>
      </c>
      <c r="F995" s="32">
        <v>3</v>
      </c>
      <c r="G995" s="32" t="s">
        <v>44</v>
      </c>
      <c r="H995" s="32" t="s">
        <v>1061</v>
      </c>
      <c r="I995" s="32" t="s">
        <v>54</v>
      </c>
      <c r="J995" s="32" t="s">
        <v>111</v>
      </c>
      <c r="M995" s="32" t="s">
        <v>112</v>
      </c>
      <c r="N995" s="32" t="s">
        <v>109</v>
      </c>
    </row>
    <row r="996" spans="1:14" s="32" customFormat="1" hidden="1" x14ac:dyDescent="0.3">
      <c r="A996" s="38">
        <v>46218.6403125</v>
      </c>
      <c r="B996" s="32">
        <v>1140330393</v>
      </c>
      <c r="C996" s="32" t="s">
        <v>1038</v>
      </c>
      <c r="D996" s="32">
        <v>4430265054</v>
      </c>
      <c r="E996" s="32">
        <v>403</v>
      </c>
      <c r="F996" s="32">
        <v>303</v>
      </c>
      <c r="G996" s="32" t="s">
        <v>44</v>
      </c>
      <c r="H996" s="32" t="s">
        <v>1062</v>
      </c>
      <c r="I996" s="32" t="s">
        <v>40</v>
      </c>
      <c r="J996" s="32" t="s">
        <v>46</v>
      </c>
      <c r="K996" s="32" t="s">
        <v>42</v>
      </c>
      <c r="M996" s="32" t="s">
        <v>1040</v>
      </c>
      <c r="N996" s="32" t="s">
        <v>1038</v>
      </c>
    </row>
    <row r="997" spans="1:14" s="32" customFormat="1" hidden="1" x14ac:dyDescent="0.3">
      <c r="A997" s="38">
        <v>46218.635729166665</v>
      </c>
      <c r="B997" s="32">
        <v>44998068281</v>
      </c>
      <c r="C997" s="32" t="s">
        <v>49</v>
      </c>
      <c r="D997" s="32">
        <v>4430265054</v>
      </c>
      <c r="E997" s="32">
        <v>705</v>
      </c>
      <c r="F997" s="32">
        <v>512</v>
      </c>
      <c r="G997" s="32" t="s">
        <v>44</v>
      </c>
      <c r="H997" s="32" t="s">
        <v>1063</v>
      </c>
      <c r="I997" s="32" t="s">
        <v>40</v>
      </c>
      <c r="J997" s="32" t="s">
        <v>46</v>
      </c>
      <c r="K997" s="32" t="s">
        <v>42</v>
      </c>
      <c r="M997" s="32" t="s">
        <v>51</v>
      </c>
      <c r="N997" s="32" t="s">
        <v>49</v>
      </c>
    </row>
    <row r="998" spans="1:14" s="32" customFormat="1" hidden="1" x14ac:dyDescent="0.3">
      <c r="A998" s="38">
        <v>46218.634895833333</v>
      </c>
      <c r="B998" s="32" t="s">
        <v>49</v>
      </c>
      <c r="C998" s="32">
        <v>44999497001</v>
      </c>
      <c r="E998" s="32">
        <v>219</v>
      </c>
      <c r="F998" s="32">
        <v>211</v>
      </c>
      <c r="G998" s="32" t="s">
        <v>44</v>
      </c>
      <c r="H998" s="32" t="s">
        <v>1064</v>
      </c>
      <c r="I998" s="32" t="s">
        <v>54</v>
      </c>
      <c r="J998" s="32" t="s">
        <v>46</v>
      </c>
      <c r="L998" s="32">
        <v>5</v>
      </c>
      <c r="M998" s="32" t="s">
        <v>51</v>
      </c>
      <c r="N998" s="32" t="s">
        <v>49</v>
      </c>
    </row>
    <row r="999" spans="1:14" s="32" customFormat="1" hidden="1" x14ac:dyDescent="0.3">
      <c r="A999" s="38">
        <v>46218.634837962964</v>
      </c>
      <c r="B999" s="32" t="s">
        <v>49</v>
      </c>
      <c r="C999" s="32">
        <v>44999497001</v>
      </c>
      <c r="E999" s="32">
        <v>4</v>
      </c>
      <c r="F999" s="32">
        <v>0</v>
      </c>
      <c r="G999" s="32" t="s">
        <v>63</v>
      </c>
      <c r="H999" s="32" t="s">
        <v>1065</v>
      </c>
      <c r="I999" s="32" t="s">
        <v>54</v>
      </c>
      <c r="J999" s="32" t="s">
        <v>46</v>
      </c>
      <c r="M999" s="32" t="s">
        <v>51</v>
      </c>
      <c r="N999" s="32" t="s">
        <v>49</v>
      </c>
    </row>
    <row r="1000" spans="1:14" s="32" customFormat="1" hidden="1" x14ac:dyDescent="0.3">
      <c r="A1000" s="38">
        <v>46218.634583333333</v>
      </c>
      <c r="B1000" s="32" t="s">
        <v>207</v>
      </c>
      <c r="C1000" s="32">
        <v>44998464499</v>
      </c>
      <c r="E1000" s="32">
        <v>51</v>
      </c>
      <c r="F1000" s="32">
        <v>37</v>
      </c>
      <c r="G1000" s="32" t="s">
        <v>44</v>
      </c>
      <c r="H1000" s="32" t="s">
        <v>1066</v>
      </c>
      <c r="I1000" s="32" t="s">
        <v>54</v>
      </c>
      <c r="J1000" s="32" t="s">
        <v>111</v>
      </c>
      <c r="M1000" s="32" t="s">
        <v>209</v>
      </c>
      <c r="N1000" s="32" t="s">
        <v>207</v>
      </c>
    </row>
    <row r="1001" spans="1:14" s="32" customFormat="1" hidden="1" x14ac:dyDescent="0.3">
      <c r="A1001" s="38">
        <v>46218.634282407409</v>
      </c>
      <c r="B1001" s="32">
        <v>4432321324</v>
      </c>
      <c r="C1001" s="32" t="s">
        <v>747</v>
      </c>
      <c r="D1001" s="32">
        <v>4430265054</v>
      </c>
      <c r="E1001" s="32">
        <v>720</v>
      </c>
      <c r="F1001" s="32">
        <v>696</v>
      </c>
      <c r="G1001" s="32" t="s">
        <v>44</v>
      </c>
      <c r="H1001" s="32" t="s">
        <v>1067</v>
      </c>
      <c r="I1001" s="32" t="s">
        <v>40</v>
      </c>
      <c r="J1001" s="32" t="s">
        <v>46</v>
      </c>
      <c r="K1001" s="32" t="s">
        <v>42</v>
      </c>
      <c r="M1001" s="32" t="s">
        <v>749</v>
      </c>
      <c r="N1001" s="32" t="s">
        <v>747</v>
      </c>
    </row>
    <row r="1002" spans="1:14" s="32" customFormat="1" hidden="1" x14ac:dyDescent="0.3">
      <c r="A1002" s="38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38</v>
      </c>
      <c r="H1002" s="32" t="s">
        <v>1068</v>
      </c>
      <c r="I1002" s="32" t="s">
        <v>40</v>
      </c>
      <c r="J1002" s="32" t="s">
        <v>41</v>
      </c>
      <c r="K1002" s="32" t="s">
        <v>212</v>
      </c>
    </row>
    <row r="1003" spans="1:14" s="32" customFormat="1" hidden="1" x14ac:dyDescent="0.3">
      <c r="A1003" s="38">
        <v>46218.627881944441</v>
      </c>
      <c r="B1003" s="32">
        <v>44984241715</v>
      </c>
      <c r="C1003" s="32" t="s">
        <v>1038</v>
      </c>
      <c r="D1003" s="32">
        <v>4430265054</v>
      </c>
      <c r="E1003" s="32">
        <v>831</v>
      </c>
      <c r="F1003" s="32">
        <v>577</v>
      </c>
      <c r="G1003" s="32" t="s">
        <v>44</v>
      </c>
      <c r="H1003" s="32" t="s">
        <v>1069</v>
      </c>
      <c r="I1003" s="32" t="s">
        <v>40</v>
      </c>
      <c r="J1003" s="32" t="s">
        <v>46</v>
      </c>
      <c r="K1003" s="32" t="s">
        <v>42</v>
      </c>
      <c r="M1003" s="32" t="s">
        <v>1040</v>
      </c>
      <c r="N1003" s="32" t="s">
        <v>1038</v>
      </c>
    </row>
    <row r="1004" spans="1:14" s="32" customFormat="1" hidden="1" x14ac:dyDescent="0.3">
      <c r="A1004" s="38">
        <v>46218.627152777779</v>
      </c>
      <c r="B1004" s="32">
        <v>44999646909</v>
      </c>
      <c r="C1004" s="32" t="s">
        <v>747</v>
      </c>
      <c r="D1004" s="32">
        <v>4430265054</v>
      </c>
      <c r="E1004" s="32">
        <v>408</v>
      </c>
      <c r="F1004" s="32">
        <v>390</v>
      </c>
      <c r="G1004" s="32" t="s">
        <v>44</v>
      </c>
      <c r="H1004" s="32" t="s">
        <v>1070</v>
      </c>
      <c r="I1004" s="32" t="s">
        <v>40</v>
      </c>
      <c r="J1004" s="32" t="s">
        <v>46</v>
      </c>
      <c r="K1004" s="32" t="s">
        <v>42</v>
      </c>
      <c r="M1004" s="32" t="s">
        <v>749</v>
      </c>
      <c r="N1004" s="32" t="s">
        <v>747</v>
      </c>
    </row>
    <row r="1005" spans="1:14" s="32" customFormat="1" hidden="1" x14ac:dyDescent="0.3">
      <c r="A1005" s="38">
        <v>46218.623344907406</v>
      </c>
      <c r="B1005" s="32">
        <v>44999646909</v>
      </c>
      <c r="C1005" s="32" t="s">
        <v>747</v>
      </c>
      <c r="D1005" s="32">
        <v>4430265054</v>
      </c>
      <c r="E1005" s="32">
        <v>322</v>
      </c>
      <c r="F1005" s="32">
        <v>60</v>
      </c>
      <c r="G1005" s="32" t="s">
        <v>44</v>
      </c>
      <c r="H1005" s="32" t="s">
        <v>1071</v>
      </c>
      <c r="I1005" s="32" t="s">
        <v>40</v>
      </c>
      <c r="J1005" s="32" t="s">
        <v>46</v>
      </c>
      <c r="K1005" s="32" t="s">
        <v>42</v>
      </c>
      <c r="L1005" s="41"/>
      <c r="N1005" s="32" t="s">
        <v>747</v>
      </c>
    </row>
    <row r="1006" spans="1:14" s="32" customFormat="1" hidden="1" x14ac:dyDescent="0.3">
      <c r="A1006" s="38">
        <v>46218.621493055558</v>
      </c>
      <c r="B1006" s="32">
        <v>41997840159</v>
      </c>
      <c r="C1006" s="32" t="s">
        <v>43</v>
      </c>
      <c r="D1006" s="32">
        <v>4431268225</v>
      </c>
      <c r="E1006" s="32">
        <v>1937</v>
      </c>
      <c r="F1006" s="32">
        <v>1878</v>
      </c>
      <c r="G1006" s="32" t="s">
        <v>44</v>
      </c>
      <c r="H1006" s="32" t="s">
        <v>1072</v>
      </c>
      <c r="I1006" s="32" t="s">
        <v>40</v>
      </c>
      <c r="J1006" s="32" t="s">
        <v>46</v>
      </c>
      <c r="K1006" s="32" t="s">
        <v>42</v>
      </c>
      <c r="L1006" s="32">
        <v>5</v>
      </c>
      <c r="M1006" s="32" t="s">
        <v>47</v>
      </c>
      <c r="N1006" s="32" t="s">
        <v>43</v>
      </c>
    </row>
    <row r="1007" spans="1:14" s="32" customFormat="1" hidden="1" x14ac:dyDescent="0.3">
      <c r="A1007" s="38">
        <v>46218.617638888885</v>
      </c>
      <c r="B1007" s="32">
        <v>44999497001</v>
      </c>
      <c r="C1007" s="32" t="s">
        <v>49</v>
      </c>
      <c r="D1007" s="32">
        <v>4430265054</v>
      </c>
      <c r="E1007" s="32">
        <v>1489</v>
      </c>
      <c r="F1007" s="32">
        <v>1470</v>
      </c>
      <c r="G1007" s="32" t="s">
        <v>44</v>
      </c>
      <c r="H1007" s="32" t="s">
        <v>1073</v>
      </c>
      <c r="I1007" s="32" t="s">
        <v>40</v>
      </c>
      <c r="J1007" s="32" t="s">
        <v>46</v>
      </c>
      <c r="K1007" s="32" t="s">
        <v>42</v>
      </c>
      <c r="M1007" s="32" t="s">
        <v>51</v>
      </c>
      <c r="N1007" s="32" t="s">
        <v>49</v>
      </c>
    </row>
    <row r="1008" spans="1:14" s="32" customFormat="1" hidden="1" x14ac:dyDescent="0.3">
      <c r="A1008" s="38">
        <v>46218.616006944445</v>
      </c>
      <c r="B1008" s="32">
        <v>11966416756</v>
      </c>
      <c r="C1008" s="32" t="s">
        <v>1038</v>
      </c>
      <c r="D1008" s="32">
        <v>4431268225</v>
      </c>
      <c r="E1008" s="32">
        <v>1115</v>
      </c>
      <c r="F1008" s="32">
        <v>1018</v>
      </c>
      <c r="G1008" s="32" t="s">
        <v>44</v>
      </c>
      <c r="H1008" s="32" t="s">
        <v>1074</v>
      </c>
      <c r="I1008" s="32" t="s">
        <v>40</v>
      </c>
      <c r="J1008" s="32" t="s">
        <v>46</v>
      </c>
      <c r="K1008" s="32" t="s">
        <v>42</v>
      </c>
      <c r="M1008" s="32" t="s">
        <v>1040</v>
      </c>
      <c r="N1008" s="32" t="s">
        <v>1038</v>
      </c>
    </row>
    <row r="1009" spans="1:14" s="32" customFormat="1" hidden="1" x14ac:dyDescent="0.3">
      <c r="A1009" s="38">
        <v>46218.608680555553</v>
      </c>
      <c r="B1009" s="32" t="s">
        <v>58</v>
      </c>
      <c r="C1009" s="32">
        <v>44999641190</v>
      </c>
      <c r="E1009" s="32">
        <v>7</v>
      </c>
      <c r="F1009" s="32">
        <v>0</v>
      </c>
      <c r="G1009" s="32" t="s">
        <v>63</v>
      </c>
      <c r="H1009" s="32" t="s">
        <v>1075</v>
      </c>
      <c r="I1009" s="32" t="s">
        <v>54</v>
      </c>
      <c r="J1009" s="32" t="s">
        <v>46</v>
      </c>
      <c r="M1009" s="32" t="s">
        <v>60</v>
      </c>
      <c r="N1009" s="32" t="s">
        <v>58</v>
      </c>
    </row>
    <row r="1010" spans="1:14" s="32" customFormat="1" hidden="1" x14ac:dyDescent="0.3">
      <c r="A1010" s="38">
        <v>46218.606932870367</v>
      </c>
      <c r="B1010" s="32" t="s">
        <v>58</v>
      </c>
      <c r="C1010" s="32">
        <v>44998068281</v>
      </c>
      <c r="E1010" s="32">
        <v>9</v>
      </c>
      <c r="F1010" s="32">
        <v>0</v>
      </c>
      <c r="G1010" s="32" t="s">
        <v>63</v>
      </c>
      <c r="H1010" s="32" t="s">
        <v>1076</v>
      </c>
      <c r="I1010" s="32" t="s">
        <v>54</v>
      </c>
      <c r="J1010" s="32" t="s">
        <v>46</v>
      </c>
      <c r="M1010" s="32" t="s">
        <v>60</v>
      </c>
      <c r="N1010" s="32" t="s">
        <v>58</v>
      </c>
    </row>
    <row r="1011" spans="1:14" s="32" customFormat="1" hidden="1" x14ac:dyDescent="0.3">
      <c r="A1011" s="38">
        <v>46218.606840277775</v>
      </c>
      <c r="B1011" s="32" t="s">
        <v>58</v>
      </c>
      <c r="C1011" s="32">
        <v>44998068281</v>
      </c>
      <c r="E1011" s="32">
        <v>7</v>
      </c>
      <c r="F1011" s="32">
        <v>0</v>
      </c>
      <c r="G1011" s="32" t="s">
        <v>63</v>
      </c>
      <c r="H1011" s="32" t="s">
        <v>1077</v>
      </c>
      <c r="I1011" s="32" t="s">
        <v>54</v>
      </c>
      <c r="J1011" s="32" t="s">
        <v>46</v>
      </c>
      <c r="M1011" s="32" t="s">
        <v>60</v>
      </c>
      <c r="N1011" s="32" t="s">
        <v>58</v>
      </c>
    </row>
    <row r="1012" spans="1:14" s="32" customFormat="1" hidden="1" x14ac:dyDescent="0.3">
      <c r="A1012" s="38">
        <v>46218.601064814815</v>
      </c>
      <c r="B1012" s="32">
        <v>1140330393</v>
      </c>
      <c r="C1012" s="32" t="s">
        <v>1038</v>
      </c>
      <c r="D1012" s="32">
        <v>4430265054</v>
      </c>
      <c r="E1012" s="32">
        <v>728</v>
      </c>
      <c r="F1012" s="32">
        <v>705</v>
      </c>
      <c r="G1012" s="32" t="s">
        <v>44</v>
      </c>
      <c r="H1012" s="32" t="s">
        <v>1078</v>
      </c>
      <c r="I1012" s="32" t="s">
        <v>40</v>
      </c>
      <c r="J1012" s="32" t="s">
        <v>46</v>
      </c>
      <c r="K1012" s="32" t="s">
        <v>42</v>
      </c>
      <c r="M1012" s="32" t="s">
        <v>1040</v>
      </c>
      <c r="N1012" s="32" t="s">
        <v>1038</v>
      </c>
    </row>
    <row r="1013" spans="1:14" s="32" customFormat="1" hidden="1" x14ac:dyDescent="0.3">
      <c r="A1013" s="38">
        <v>46218.595173611109</v>
      </c>
      <c r="B1013" s="32">
        <v>44999646909</v>
      </c>
      <c r="C1013" s="32" t="s">
        <v>49</v>
      </c>
      <c r="D1013" s="32">
        <v>4430265054</v>
      </c>
      <c r="E1013" s="32">
        <v>768</v>
      </c>
      <c r="F1013" s="32">
        <v>742</v>
      </c>
      <c r="G1013" s="32" t="s">
        <v>44</v>
      </c>
      <c r="H1013" s="32" t="s">
        <v>1079</v>
      </c>
      <c r="I1013" s="32" t="s">
        <v>40</v>
      </c>
      <c r="J1013" s="32" t="s">
        <v>46</v>
      </c>
      <c r="K1013" s="32" t="s">
        <v>42</v>
      </c>
      <c r="M1013" s="32" t="s">
        <v>51</v>
      </c>
      <c r="N1013" s="32" t="s">
        <v>49</v>
      </c>
    </row>
    <row r="1014" spans="1:14" s="32" customFormat="1" hidden="1" x14ac:dyDescent="0.3">
      <c r="A1014" s="38">
        <v>46218.590601851851</v>
      </c>
      <c r="B1014" s="32">
        <v>4334232912</v>
      </c>
      <c r="C1014" s="32" t="s">
        <v>207</v>
      </c>
      <c r="D1014" s="32">
        <v>4430265054</v>
      </c>
      <c r="E1014" s="32">
        <v>367</v>
      </c>
      <c r="F1014" s="32">
        <v>324</v>
      </c>
      <c r="G1014" s="32" t="s">
        <v>44</v>
      </c>
      <c r="H1014" s="32" t="s">
        <v>1080</v>
      </c>
      <c r="I1014" s="32" t="s">
        <v>40</v>
      </c>
      <c r="J1014" s="32" t="s">
        <v>111</v>
      </c>
      <c r="K1014" s="32" t="s">
        <v>212</v>
      </c>
      <c r="M1014" s="32" t="s">
        <v>209</v>
      </c>
      <c r="N1014" s="32" t="s">
        <v>207</v>
      </c>
    </row>
    <row r="1015" spans="1:14" s="32" customFormat="1" hidden="1" x14ac:dyDescent="0.3">
      <c r="A1015" s="38">
        <v>46218.587442129632</v>
      </c>
      <c r="B1015" s="32">
        <v>1140330393</v>
      </c>
      <c r="C1015" s="32" t="s">
        <v>43</v>
      </c>
      <c r="D1015" s="32">
        <v>4430265054</v>
      </c>
      <c r="E1015" s="32">
        <v>133</v>
      </c>
      <c r="F1015" s="32">
        <v>52</v>
      </c>
      <c r="G1015" s="32" t="s">
        <v>44</v>
      </c>
      <c r="H1015" s="32" t="s">
        <v>1081</v>
      </c>
      <c r="I1015" s="32" t="s">
        <v>40</v>
      </c>
      <c r="J1015" s="32" t="s">
        <v>46</v>
      </c>
      <c r="K1015" s="32" t="s">
        <v>42</v>
      </c>
      <c r="M1015" s="32" t="s">
        <v>47</v>
      </c>
      <c r="N1015" s="32" t="s">
        <v>43</v>
      </c>
    </row>
    <row r="1016" spans="1:14" s="32" customFormat="1" hidden="1" x14ac:dyDescent="0.3">
      <c r="A1016" s="38">
        <v>46218.584490740737</v>
      </c>
      <c r="B1016" s="32">
        <v>44998068281</v>
      </c>
      <c r="C1016" s="32" t="s">
        <v>58</v>
      </c>
      <c r="D1016" s="32">
        <v>4430265054</v>
      </c>
      <c r="E1016" s="32">
        <v>1864</v>
      </c>
      <c r="F1016" s="32">
        <v>1843</v>
      </c>
      <c r="G1016" s="32" t="s">
        <v>44</v>
      </c>
      <c r="H1016" s="32" t="s">
        <v>1082</v>
      </c>
      <c r="I1016" s="32" t="s">
        <v>40</v>
      </c>
      <c r="J1016" s="32" t="s">
        <v>46</v>
      </c>
      <c r="K1016" s="32" t="s">
        <v>42</v>
      </c>
      <c r="L1016" s="32">
        <v>5</v>
      </c>
      <c r="M1016" s="32" t="s">
        <v>60</v>
      </c>
      <c r="N1016" s="32" t="s">
        <v>58</v>
      </c>
    </row>
    <row r="1017" spans="1:14" s="32" customFormat="1" hidden="1" x14ac:dyDescent="0.3">
      <c r="A1017" s="38">
        <v>46218.579444444447</v>
      </c>
      <c r="B1017" s="32">
        <v>44988182098</v>
      </c>
      <c r="C1017" s="32" t="s">
        <v>43</v>
      </c>
      <c r="D1017" s="32">
        <v>4430265054</v>
      </c>
      <c r="E1017" s="32">
        <v>720</v>
      </c>
      <c r="F1017" s="32">
        <v>626</v>
      </c>
      <c r="G1017" s="32" t="s">
        <v>44</v>
      </c>
      <c r="H1017" s="32" t="s">
        <v>1083</v>
      </c>
      <c r="I1017" s="32" t="s">
        <v>40</v>
      </c>
      <c r="J1017" s="32" t="s">
        <v>46</v>
      </c>
      <c r="K1017" s="32" t="s">
        <v>42</v>
      </c>
      <c r="M1017" s="32" t="s">
        <v>47</v>
      </c>
      <c r="N1017" s="32" t="s">
        <v>43</v>
      </c>
    </row>
    <row r="1018" spans="1:14" s="32" customFormat="1" hidden="1" x14ac:dyDescent="0.3">
      <c r="A1018" s="38">
        <v>46218.579409722224</v>
      </c>
      <c r="B1018" s="32">
        <v>1140330393</v>
      </c>
      <c r="C1018" s="32" t="s">
        <v>43</v>
      </c>
      <c r="D1018" s="32">
        <v>4430265054</v>
      </c>
      <c r="E1018" s="32">
        <v>86</v>
      </c>
      <c r="F1018" s="32">
        <v>57</v>
      </c>
      <c r="G1018" s="32" t="s">
        <v>44</v>
      </c>
      <c r="H1018" s="32" t="s">
        <v>1084</v>
      </c>
      <c r="I1018" s="32" t="s">
        <v>40</v>
      </c>
      <c r="J1018" s="32" t="s">
        <v>46</v>
      </c>
      <c r="K1018" s="32" t="s">
        <v>42</v>
      </c>
      <c r="M1018" s="32" t="s">
        <v>47</v>
      </c>
      <c r="N1018" s="32" t="s">
        <v>43</v>
      </c>
    </row>
    <row r="1019" spans="1:14" s="32" customFormat="1" hidden="1" x14ac:dyDescent="0.3">
      <c r="A1019" s="38">
        <v>46218.57744212963</v>
      </c>
      <c r="B1019" s="32">
        <v>53981112780</v>
      </c>
      <c r="C1019" s="32" t="s">
        <v>1038</v>
      </c>
      <c r="D1019" s="32">
        <v>4430265054</v>
      </c>
      <c r="E1019" s="32">
        <v>2415</v>
      </c>
      <c r="F1019" s="32">
        <v>2245</v>
      </c>
      <c r="G1019" s="32" t="s">
        <v>44</v>
      </c>
      <c r="H1019" s="32" t="s">
        <v>1085</v>
      </c>
      <c r="I1019" s="32" t="s">
        <v>40</v>
      </c>
      <c r="J1019" s="32" t="s">
        <v>46</v>
      </c>
      <c r="K1019" s="32" t="s">
        <v>42</v>
      </c>
      <c r="L1019" s="32">
        <v>5</v>
      </c>
      <c r="M1019" s="32" t="s">
        <v>1040</v>
      </c>
      <c r="N1019" s="32" t="s">
        <v>1038</v>
      </c>
    </row>
    <row r="1020" spans="1:14" s="32" customFormat="1" hidden="1" x14ac:dyDescent="0.3">
      <c r="A1020" s="38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38</v>
      </c>
      <c r="H1020" s="32" t="s">
        <v>1086</v>
      </c>
      <c r="I1020" s="32" t="s">
        <v>40</v>
      </c>
      <c r="J1020" s="32" t="s">
        <v>41</v>
      </c>
    </row>
    <row r="1021" spans="1:14" s="32" customFormat="1" hidden="1" x14ac:dyDescent="0.3">
      <c r="A1021" s="38">
        <v>46218.57335648148</v>
      </c>
      <c r="B1021" s="32">
        <v>44988067937</v>
      </c>
      <c r="C1021" s="32" t="s">
        <v>58</v>
      </c>
      <c r="D1021" s="32">
        <v>4430265054</v>
      </c>
      <c r="E1021" s="32">
        <v>764</v>
      </c>
      <c r="F1021" s="32">
        <v>651</v>
      </c>
      <c r="G1021" s="32" t="s">
        <v>44</v>
      </c>
      <c r="H1021" s="32" t="s">
        <v>1087</v>
      </c>
      <c r="I1021" s="32" t="s">
        <v>40</v>
      </c>
      <c r="J1021" s="32" t="s">
        <v>46</v>
      </c>
      <c r="K1021" s="32" t="s">
        <v>42</v>
      </c>
      <c r="M1021" s="32" t="s">
        <v>60</v>
      </c>
      <c r="N1021" s="32" t="s">
        <v>58</v>
      </c>
    </row>
    <row r="1022" spans="1:14" s="32" customFormat="1" hidden="1" x14ac:dyDescent="0.3">
      <c r="A1022" s="38">
        <v>46218.572268518517</v>
      </c>
      <c r="B1022" s="32">
        <v>35998295948</v>
      </c>
      <c r="C1022" s="32" t="s">
        <v>58</v>
      </c>
      <c r="D1022" s="32">
        <v>4430265054</v>
      </c>
      <c r="E1022" s="32">
        <v>157</v>
      </c>
      <c r="F1022" s="32">
        <v>73</v>
      </c>
      <c r="G1022" s="32" t="s">
        <v>44</v>
      </c>
      <c r="H1022" s="32" t="s">
        <v>1088</v>
      </c>
      <c r="I1022" s="32" t="s">
        <v>40</v>
      </c>
      <c r="J1022" s="32" t="s">
        <v>46</v>
      </c>
      <c r="K1022" s="32" t="s">
        <v>42</v>
      </c>
      <c r="M1022" s="32" t="s">
        <v>60</v>
      </c>
      <c r="N1022" s="32" t="s">
        <v>58</v>
      </c>
    </row>
    <row r="1023" spans="1:14" s="32" customFormat="1" hidden="1" x14ac:dyDescent="0.3">
      <c r="A1023" s="38">
        <v>46218.569479166668</v>
      </c>
      <c r="B1023" s="32">
        <v>64984043469</v>
      </c>
      <c r="C1023" s="32" t="s">
        <v>49</v>
      </c>
      <c r="D1023" s="32">
        <v>4430265054</v>
      </c>
      <c r="E1023" s="32">
        <v>2078</v>
      </c>
      <c r="F1023" s="32">
        <v>1958</v>
      </c>
      <c r="G1023" s="32" t="s">
        <v>44</v>
      </c>
      <c r="H1023" s="32" t="s">
        <v>1089</v>
      </c>
      <c r="I1023" s="32" t="s">
        <v>40</v>
      </c>
      <c r="J1023" s="32" t="s">
        <v>46</v>
      </c>
      <c r="K1023" s="32" t="s">
        <v>42</v>
      </c>
      <c r="M1023" s="32" t="s">
        <v>51</v>
      </c>
      <c r="N1023" s="32" t="s">
        <v>49</v>
      </c>
    </row>
    <row r="1024" spans="1:14" s="32" customFormat="1" hidden="1" x14ac:dyDescent="0.3">
      <c r="A1024" s="38">
        <v>46218.567511574074</v>
      </c>
      <c r="B1024" s="32">
        <v>4432541200</v>
      </c>
      <c r="C1024" s="32" t="s">
        <v>43</v>
      </c>
      <c r="D1024" s="32">
        <v>4430265054</v>
      </c>
      <c r="E1024" s="32">
        <v>829</v>
      </c>
      <c r="F1024" s="32">
        <v>810</v>
      </c>
      <c r="G1024" s="32" t="s">
        <v>44</v>
      </c>
      <c r="H1024" s="32" t="s">
        <v>1090</v>
      </c>
      <c r="I1024" s="32" t="s">
        <v>40</v>
      </c>
      <c r="J1024" s="32" t="s">
        <v>46</v>
      </c>
      <c r="K1024" s="32" t="s">
        <v>42</v>
      </c>
      <c r="M1024" s="32" t="s">
        <v>47</v>
      </c>
      <c r="N1024" s="32" t="s">
        <v>43</v>
      </c>
    </row>
    <row r="1025" spans="1:14" s="32" customFormat="1" hidden="1" x14ac:dyDescent="0.3">
      <c r="A1025" s="38">
        <v>46218.565844907411</v>
      </c>
      <c r="B1025" s="32">
        <v>1140330393</v>
      </c>
      <c r="C1025" s="32" t="s">
        <v>1038</v>
      </c>
      <c r="D1025" s="32">
        <v>4430265054</v>
      </c>
      <c r="E1025" s="32">
        <v>1005</v>
      </c>
      <c r="F1025" s="32">
        <v>982</v>
      </c>
      <c r="G1025" s="32" t="s">
        <v>44</v>
      </c>
      <c r="H1025" s="32" t="s">
        <v>1091</v>
      </c>
      <c r="I1025" s="32" t="s">
        <v>40</v>
      </c>
      <c r="J1025" s="32" t="s">
        <v>46</v>
      </c>
      <c r="K1025" s="32" t="s">
        <v>42</v>
      </c>
      <c r="M1025" s="32" t="s">
        <v>1040</v>
      </c>
      <c r="N1025" s="32" t="s">
        <v>1038</v>
      </c>
    </row>
    <row r="1026" spans="1:14" s="32" customFormat="1" hidden="1" x14ac:dyDescent="0.3">
      <c r="A1026" s="38">
        <v>46218.563622685186</v>
      </c>
      <c r="B1026" s="32">
        <v>44997400641</v>
      </c>
      <c r="C1026" s="32" t="s">
        <v>49</v>
      </c>
      <c r="D1026" s="32">
        <v>4430265054</v>
      </c>
      <c r="E1026" s="32">
        <v>451</v>
      </c>
      <c r="F1026" s="32">
        <v>314</v>
      </c>
      <c r="G1026" s="32" t="s">
        <v>44</v>
      </c>
      <c r="H1026" s="32" t="s">
        <v>1092</v>
      </c>
      <c r="I1026" s="32" t="s">
        <v>40</v>
      </c>
      <c r="J1026" s="32" t="s">
        <v>46</v>
      </c>
      <c r="K1026" s="32" t="s">
        <v>42</v>
      </c>
      <c r="M1026" s="32" t="s">
        <v>51</v>
      </c>
      <c r="N1026" s="32" t="s">
        <v>49</v>
      </c>
    </row>
    <row r="1027" spans="1:14" s="32" customFormat="1" hidden="1" x14ac:dyDescent="0.3">
      <c r="A1027" s="38">
        <v>46218.54923611111</v>
      </c>
      <c r="B1027" s="32" t="s">
        <v>49</v>
      </c>
      <c r="C1027" s="32">
        <v>44999479853</v>
      </c>
      <c r="E1027" s="32">
        <v>305</v>
      </c>
      <c r="F1027" s="32">
        <v>294</v>
      </c>
      <c r="G1027" s="32" t="s">
        <v>44</v>
      </c>
      <c r="H1027" s="32" t="s">
        <v>1093</v>
      </c>
      <c r="I1027" s="32" t="s">
        <v>54</v>
      </c>
      <c r="J1027" s="32" t="s">
        <v>46</v>
      </c>
      <c r="M1027" s="32" t="s">
        <v>51</v>
      </c>
      <c r="N1027" s="32" t="s">
        <v>49</v>
      </c>
    </row>
    <row r="1028" spans="1:14" s="32" customFormat="1" hidden="1" x14ac:dyDescent="0.3">
      <c r="A1028" s="38">
        <v>46218.548333333332</v>
      </c>
      <c r="B1028" s="32" t="s">
        <v>49</v>
      </c>
      <c r="C1028" s="32">
        <v>44999479853</v>
      </c>
      <c r="E1028" s="32">
        <v>68</v>
      </c>
      <c r="F1028" s="32">
        <v>31</v>
      </c>
      <c r="G1028" s="32" t="s">
        <v>44</v>
      </c>
      <c r="H1028" s="32" t="s">
        <v>1094</v>
      </c>
      <c r="I1028" s="32" t="s">
        <v>54</v>
      </c>
      <c r="J1028" s="32" t="s">
        <v>46</v>
      </c>
      <c r="M1028" s="32" t="s">
        <v>51</v>
      </c>
      <c r="N1028" s="32" t="s">
        <v>49</v>
      </c>
    </row>
    <row r="1029" spans="1:14" s="32" customFormat="1" hidden="1" x14ac:dyDescent="0.3">
      <c r="A1029" s="38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38</v>
      </c>
      <c r="H1029" s="32" t="s">
        <v>1095</v>
      </c>
      <c r="I1029" s="32" t="s">
        <v>40</v>
      </c>
      <c r="J1029" s="32" t="s">
        <v>41</v>
      </c>
    </row>
    <row r="1030" spans="1:14" s="32" customFormat="1" hidden="1" x14ac:dyDescent="0.3">
      <c r="A1030" s="38">
        <v>46218.544212962966</v>
      </c>
      <c r="B1030" s="32" t="s">
        <v>49</v>
      </c>
      <c r="C1030" s="32">
        <v>44999488286</v>
      </c>
      <c r="E1030" s="32">
        <v>28</v>
      </c>
      <c r="F1030" s="32">
        <v>0</v>
      </c>
      <c r="G1030" s="32" t="s">
        <v>63</v>
      </c>
      <c r="H1030" s="32" t="s">
        <v>1096</v>
      </c>
      <c r="I1030" s="32" t="s">
        <v>54</v>
      </c>
      <c r="J1030" s="32" t="s">
        <v>46</v>
      </c>
      <c r="M1030" s="32" t="s">
        <v>51</v>
      </c>
      <c r="N1030" s="32" t="s">
        <v>49</v>
      </c>
    </row>
    <row r="1031" spans="1:14" s="32" customFormat="1" hidden="1" x14ac:dyDescent="0.3">
      <c r="A1031" s="38">
        <v>46218.542800925927</v>
      </c>
      <c r="B1031" s="32" t="s">
        <v>49</v>
      </c>
      <c r="C1031" s="32">
        <v>44999488286</v>
      </c>
      <c r="E1031" s="32">
        <v>70</v>
      </c>
      <c r="F1031" s="32">
        <v>32</v>
      </c>
      <c r="G1031" s="32" t="s">
        <v>44</v>
      </c>
      <c r="H1031" s="32" t="s">
        <v>1097</v>
      </c>
      <c r="I1031" s="32" t="s">
        <v>54</v>
      </c>
      <c r="J1031" s="32" t="s">
        <v>46</v>
      </c>
      <c r="M1031" s="32" t="s">
        <v>51</v>
      </c>
      <c r="N1031" s="32" t="s">
        <v>49</v>
      </c>
    </row>
    <row r="1032" spans="1:14" s="32" customFormat="1" hidden="1" x14ac:dyDescent="0.3">
      <c r="A1032" s="38">
        <v>46218.539710648147</v>
      </c>
      <c r="B1032" s="32" t="s">
        <v>49</v>
      </c>
      <c r="C1032" s="32">
        <v>44999488286</v>
      </c>
      <c r="E1032" s="32">
        <v>39</v>
      </c>
      <c r="F1032" s="32">
        <v>0</v>
      </c>
      <c r="G1032" s="32" t="s">
        <v>63</v>
      </c>
      <c r="H1032" s="32" t="s">
        <v>1098</v>
      </c>
      <c r="I1032" s="32" t="s">
        <v>54</v>
      </c>
      <c r="J1032" s="32" t="s">
        <v>46</v>
      </c>
      <c r="M1032" s="32" t="s">
        <v>51</v>
      </c>
      <c r="N1032" s="32" t="s">
        <v>49</v>
      </c>
    </row>
    <row r="1033" spans="1:14" s="32" customFormat="1" hidden="1" x14ac:dyDescent="0.3">
      <c r="A1033" s="38">
        <v>46218.539178240739</v>
      </c>
      <c r="B1033" s="32" t="s">
        <v>49</v>
      </c>
      <c r="C1033" s="32">
        <v>44999488286</v>
      </c>
      <c r="E1033" s="32">
        <v>72</v>
      </c>
      <c r="F1033" s="32">
        <v>33</v>
      </c>
      <c r="G1033" s="32" t="s">
        <v>44</v>
      </c>
      <c r="H1033" s="32" t="s">
        <v>1099</v>
      </c>
      <c r="I1033" s="32" t="s">
        <v>54</v>
      </c>
      <c r="J1033" s="32" t="s">
        <v>46</v>
      </c>
      <c r="M1033" s="32" t="s">
        <v>51</v>
      </c>
      <c r="N1033" s="32" t="s">
        <v>49</v>
      </c>
    </row>
    <row r="1034" spans="1:14" s="32" customFormat="1" hidden="1" x14ac:dyDescent="0.3">
      <c r="A1034" s="38">
        <v>46218.490416666667</v>
      </c>
      <c r="B1034" s="32">
        <v>81986261961</v>
      </c>
      <c r="C1034" s="32" t="s">
        <v>1038</v>
      </c>
      <c r="D1034" s="32">
        <v>4430265054</v>
      </c>
      <c r="E1034" s="32">
        <v>395</v>
      </c>
      <c r="F1034" s="32">
        <v>317</v>
      </c>
      <c r="G1034" s="32" t="s">
        <v>44</v>
      </c>
      <c r="H1034" s="32" t="s">
        <v>1100</v>
      </c>
      <c r="I1034" s="32" t="s">
        <v>40</v>
      </c>
      <c r="J1034" s="32" t="s">
        <v>46</v>
      </c>
      <c r="K1034" s="32" t="s">
        <v>42</v>
      </c>
      <c r="L1034" s="32">
        <v>5</v>
      </c>
      <c r="M1034" s="32" t="s">
        <v>1040</v>
      </c>
      <c r="N1034" s="32" t="s">
        <v>1038</v>
      </c>
    </row>
    <row r="1035" spans="1:14" s="32" customFormat="1" hidden="1" x14ac:dyDescent="0.3">
      <c r="A1035" s="38">
        <v>46218.480995370373</v>
      </c>
      <c r="B1035" s="32">
        <v>45999334612</v>
      </c>
      <c r="C1035" s="32" t="s">
        <v>43</v>
      </c>
      <c r="D1035" s="32">
        <v>4430265054</v>
      </c>
      <c r="E1035" s="32">
        <v>272</v>
      </c>
      <c r="F1035" s="32">
        <v>248</v>
      </c>
      <c r="G1035" s="32" t="s">
        <v>44</v>
      </c>
      <c r="H1035" s="32" t="s">
        <v>1101</v>
      </c>
      <c r="I1035" s="32" t="s">
        <v>40</v>
      </c>
      <c r="J1035" s="32" t="s">
        <v>46</v>
      </c>
      <c r="K1035" s="32" t="s">
        <v>42</v>
      </c>
      <c r="L1035" s="32">
        <v>5</v>
      </c>
      <c r="M1035" s="32" t="s">
        <v>47</v>
      </c>
      <c r="N1035" s="32" t="s">
        <v>43</v>
      </c>
    </row>
    <row r="1036" spans="1:14" s="32" customFormat="1" hidden="1" x14ac:dyDescent="0.3">
      <c r="A1036" s="38">
        <v>46218.478101851855</v>
      </c>
      <c r="B1036" s="32" t="s">
        <v>49</v>
      </c>
      <c r="C1036" s="32">
        <v>44999632140</v>
      </c>
      <c r="E1036" s="32">
        <v>672</v>
      </c>
      <c r="F1036" s="32">
        <v>663</v>
      </c>
      <c r="G1036" s="32" t="s">
        <v>44</v>
      </c>
      <c r="H1036" s="32" t="s">
        <v>1102</v>
      </c>
      <c r="I1036" s="32" t="s">
        <v>54</v>
      </c>
      <c r="J1036" s="32" t="s">
        <v>46</v>
      </c>
      <c r="L1036" s="32">
        <v>5</v>
      </c>
      <c r="M1036" s="32" t="s">
        <v>51</v>
      </c>
      <c r="N1036" s="32" t="s">
        <v>49</v>
      </c>
    </row>
    <row r="1037" spans="1:14" s="32" customFormat="1" hidden="1" x14ac:dyDescent="0.3">
      <c r="A1037" s="38">
        <v>46218.478009259263</v>
      </c>
      <c r="B1037" s="32" t="s">
        <v>49</v>
      </c>
      <c r="C1037" s="32">
        <v>44999632140</v>
      </c>
      <c r="E1037" s="32">
        <v>6</v>
      </c>
      <c r="F1037" s="32">
        <v>0</v>
      </c>
      <c r="G1037" s="32" t="s">
        <v>63</v>
      </c>
      <c r="H1037" s="32" t="s">
        <v>1103</v>
      </c>
      <c r="I1037" s="32" t="s">
        <v>54</v>
      </c>
      <c r="J1037" s="32" t="s">
        <v>46</v>
      </c>
      <c r="M1037" s="32" t="s">
        <v>51</v>
      </c>
      <c r="N1037" s="32" t="s">
        <v>49</v>
      </c>
    </row>
    <row r="1038" spans="1:14" s="32" customFormat="1" hidden="1" x14ac:dyDescent="0.3">
      <c r="A1038" s="38">
        <v>46218.476956018516</v>
      </c>
      <c r="B1038" s="32" t="s">
        <v>207</v>
      </c>
      <c r="C1038" s="32">
        <v>44998464499</v>
      </c>
      <c r="E1038" s="32">
        <v>98</v>
      </c>
      <c r="F1038" s="32">
        <v>90</v>
      </c>
      <c r="G1038" s="32" t="s">
        <v>44</v>
      </c>
      <c r="H1038" s="32" t="s">
        <v>1104</v>
      </c>
      <c r="I1038" s="32" t="s">
        <v>54</v>
      </c>
      <c r="J1038" s="32" t="s">
        <v>111</v>
      </c>
      <c r="M1038" s="32" t="s">
        <v>209</v>
      </c>
      <c r="N1038" s="32" t="s">
        <v>207</v>
      </c>
    </row>
    <row r="1039" spans="1:14" s="32" customFormat="1" hidden="1" x14ac:dyDescent="0.3">
      <c r="A1039" s="38">
        <v>46218.475011574075</v>
      </c>
      <c r="B1039" s="32">
        <v>4430346845</v>
      </c>
      <c r="C1039" s="32" t="s">
        <v>1038</v>
      </c>
      <c r="D1039" s="32">
        <v>4430265054</v>
      </c>
      <c r="E1039" s="32">
        <v>674</v>
      </c>
      <c r="F1039" s="32">
        <v>622</v>
      </c>
      <c r="G1039" s="32" t="s">
        <v>44</v>
      </c>
      <c r="H1039" s="32" t="s">
        <v>1105</v>
      </c>
      <c r="I1039" s="32" t="s">
        <v>40</v>
      </c>
      <c r="J1039" s="32" t="s">
        <v>46</v>
      </c>
      <c r="K1039" s="32" t="s">
        <v>42</v>
      </c>
      <c r="M1039" s="32" t="s">
        <v>1040</v>
      </c>
      <c r="N1039" s="32" t="s">
        <v>1038</v>
      </c>
    </row>
    <row r="1040" spans="1:14" s="32" customFormat="1" hidden="1" x14ac:dyDescent="0.3">
      <c r="A1040" s="38">
        <v>46218.474907407406</v>
      </c>
      <c r="B1040" s="32" t="s">
        <v>207</v>
      </c>
      <c r="C1040" s="32">
        <v>1000</v>
      </c>
      <c r="E1040" s="32">
        <v>71</v>
      </c>
      <c r="F1040" s="32">
        <v>25</v>
      </c>
      <c r="G1040" s="32" t="s">
        <v>44</v>
      </c>
      <c r="H1040" s="32" t="s">
        <v>1106</v>
      </c>
      <c r="I1040" s="32" t="s">
        <v>54</v>
      </c>
      <c r="J1040" s="32" t="s">
        <v>111</v>
      </c>
      <c r="M1040" s="32" t="s">
        <v>209</v>
      </c>
      <c r="N1040" s="32" t="s">
        <v>207</v>
      </c>
    </row>
    <row r="1041" spans="1:14" s="32" customFormat="1" hidden="1" x14ac:dyDescent="0.3">
      <c r="A1041" s="38">
        <v>46218.474560185183</v>
      </c>
      <c r="B1041" s="32">
        <v>44999632140</v>
      </c>
      <c r="C1041" s="32" t="s">
        <v>49</v>
      </c>
      <c r="D1041" s="32">
        <v>4430265054</v>
      </c>
      <c r="E1041" s="32">
        <v>290</v>
      </c>
      <c r="F1041" s="32">
        <v>223</v>
      </c>
      <c r="G1041" s="32" t="s">
        <v>44</v>
      </c>
      <c r="H1041" s="32" t="s">
        <v>1107</v>
      </c>
      <c r="I1041" s="32" t="s">
        <v>40</v>
      </c>
      <c r="J1041" s="32" t="s">
        <v>46</v>
      </c>
      <c r="K1041" s="32" t="s">
        <v>42</v>
      </c>
      <c r="M1041" s="32" t="s">
        <v>51</v>
      </c>
      <c r="N1041" s="32" t="s">
        <v>49</v>
      </c>
    </row>
    <row r="1042" spans="1:14" s="32" customFormat="1" hidden="1" x14ac:dyDescent="0.3">
      <c r="A1042" s="38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38</v>
      </c>
      <c r="H1042" s="32" t="s">
        <v>1108</v>
      </c>
      <c r="I1042" s="32" t="s">
        <v>40</v>
      </c>
      <c r="J1042" s="32" t="s">
        <v>41</v>
      </c>
    </row>
    <row r="1043" spans="1:14" s="32" customFormat="1" hidden="1" x14ac:dyDescent="0.3">
      <c r="A1043" s="38">
        <v>46218.469259259262</v>
      </c>
      <c r="B1043" s="32">
        <v>44997450437</v>
      </c>
      <c r="C1043" s="32" t="s">
        <v>43</v>
      </c>
      <c r="D1043" s="32">
        <v>4430265054</v>
      </c>
      <c r="E1043" s="32">
        <v>505</v>
      </c>
      <c r="F1043" s="32">
        <v>447</v>
      </c>
      <c r="G1043" s="32" t="s">
        <v>44</v>
      </c>
      <c r="H1043" s="32" t="s">
        <v>1109</v>
      </c>
      <c r="I1043" s="32" t="s">
        <v>40</v>
      </c>
      <c r="J1043" s="32" t="s">
        <v>46</v>
      </c>
      <c r="K1043" s="32" t="s">
        <v>42</v>
      </c>
      <c r="M1043" s="32" t="s">
        <v>47</v>
      </c>
      <c r="N1043" s="32" t="s">
        <v>43</v>
      </c>
    </row>
    <row r="1044" spans="1:14" s="32" customFormat="1" hidden="1" x14ac:dyDescent="0.3">
      <c r="A1044" s="38">
        <v>46218.457777777781</v>
      </c>
      <c r="B1044" s="32">
        <v>4436281154</v>
      </c>
      <c r="C1044" s="32" t="s">
        <v>49</v>
      </c>
      <c r="D1044" s="32">
        <v>4430265054</v>
      </c>
      <c r="E1044" s="32">
        <v>932</v>
      </c>
      <c r="F1044" s="32">
        <v>723</v>
      </c>
      <c r="G1044" s="32" t="s">
        <v>44</v>
      </c>
      <c r="H1044" s="32" t="s">
        <v>1110</v>
      </c>
      <c r="I1044" s="32" t="s">
        <v>40</v>
      </c>
      <c r="J1044" s="32" t="s">
        <v>46</v>
      </c>
      <c r="K1044" s="32" t="s">
        <v>42</v>
      </c>
      <c r="M1044" s="32" t="s">
        <v>51</v>
      </c>
      <c r="N1044" s="32" t="s">
        <v>49</v>
      </c>
    </row>
    <row r="1045" spans="1:14" s="32" customFormat="1" hidden="1" x14ac:dyDescent="0.3">
      <c r="A1045" s="38">
        <v>46218.457361111112</v>
      </c>
      <c r="B1045" s="32">
        <v>93984112869</v>
      </c>
      <c r="C1045" s="32" t="s">
        <v>1038</v>
      </c>
      <c r="D1045" s="32">
        <v>4431268225</v>
      </c>
      <c r="E1045" s="32">
        <v>443</v>
      </c>
      <c r="F1045" s="32">
        <v>274</v>
      </c>
      <c r="G1045" s="32" t="s">
        <v>44</v>
      </c>
      <c r="H1045" s="32" t="s">
        <v>1111</v>
      </c>
      <c r="I1045" s="32" t="s">
        <v>40</v>
      </c>
      <c r="J1045" s="32" t="s">
        <v>46</v>
      </c>
      <c r="K1045" s="32" t="s">
        <v>42</v>
      </c>
      <c r="L1045" s="32">
        <v>5</v>
      </c>
      <c r="M1045" s="32" t="s">
        <v>1040</v>
      </c>
      <c r="N1045" s="32" t="s">
        <v>1038</v>
      </c>
    </row>
    <row r="1046" spans="1:14" s="32" customFormat="1" hidden="1" x14ac:dyDescent="0.3">
      <c r="A1046" s="38">
        <v>46218.456990740742</v>
      </c>
      <c r="B1046" s="32">
        <v>44998266194</v>
      </c>
      <c r="C1046" s="32" t="s">
        <v>43</v>
      </c>
      <c r="D1046" s="32">
        <v>4431268225</v>
      </c>
      <c r="E1046" s="32">
        <v>506</v>
      </c>
      <c r="F1046" s="32">
        <v>487</v>
      </c>
      <c r="G1046" s="32" t="s">
        <v>44</v>
      </c>
      <c r="H1046" s="32" t="s">
        <v>1112</v>
      </c>
      <c r="I1046" s="32" t="s">
        <v>40</v>
      </c>
      <c r="J1046" s="32" t="s">
        <v>46</v>
      </c>
      <c r="K1046" s="32" t="s">
        <v>42</v>
      </c>
      <c r="L1046" s="32">
        <v>5</v>
      </c>
      <c r="M1046" s="32" t="s">
        <v>47</v>
      </c>
      <c r="N1046" s="32" t="s">
        <v>43</v>
      </c>
    </row>
    <row r="1047" spans="1:14" s="32" customFormat="1" x14ac:dyDescent="0.3">
      <c r="A1047" s="38">
        <v>46218.455706018518</v>
      </c>
      <c r="B1047" s="32">
        <v>44997426611</v>
      </c>
      <c r="C1047" s="32" t="s">
        <v>49</v>
      </c>
      <c r="D1047" s="32">
        <v>4430265054</v>
      </c>
      <c r="E1047" s="32">
        <v>281</v>
      </c>
      <c r="F1047" s="32">
        <v>246</v>
      </c>
      <c r="G1047" s="32" t="s">
        <v>44</v>
      </c>
      <c r="H1047" s="32" t="s">
        <v>1113</v>
      </c>
      <c r="I1047" s="32" t="s">
        <v>40</v>
      </c>
      <c r="J1047" s="32" t="s">
        <v>46</v>
      </c>
      <c r="K1047" s="32" t="s">
        <v>42</v>
      </c>
      <c r="L1047" s="32">
        <v>5</v>
      </c>
      <c r="M1047" s="32" t="s">
        <v>51</v>
      </c>
      <c r="N1047" s="32" t="s">
        <v>49</v>
      </c>
    </row>
    <row r="1048" spans="1:14" s="32" customFormat="1" hidden="1" x14ac:dyDescent="0.3">
      <c r="A1048" s="38">
        <v>46218.455011574071</v>
      </c>
      <c r="B1048" s="32">
        <v>1128787060</v>
      </c>
      <c r="C1048" s="32" t="s">
        <v>58</v>
      </c>
      <c r="D1048" s="32">
        <v>4430265054</v>
      </c>
      <c r="E1048" s="32">
        <v>263</v>
      </c>
      <c r="F1048" s="32">
        <v>191</v>
      </c>
      <c r="G1048" s="32" t="s">
        <v>44</v>
      </c>
      <c r="H1048" s="32" t="s">
        <v>1114</v>
      </c>
      <c r="I1048" s="32" t="s">
        <v>40</v>
      </c>
      <c r="J1048" s="32" t="s">
        <v>46</v>
      </c>
      <c r="K1048" s="32" t="s">
        <v>42</v>
      </c>
      <c r="M1048" s="32" t="s">
        <v>60</v>
      </c>
      <c r="N1048" s="32" t="s">
        <v>58</v>
      </c>
    </row>
    <row r="1049" spans="1:14" s="32" customFormat="1" hidden="1" x14ac:dyDescent="0.3">
      <c r="A1049" s="38">
        <v>46218.447175925925</v>
      </c>
      <c r="B1049" s="32">
        <v>44997710633</v>
      </c>
      <c r="C1049" s="32" t="s">
        <v>58</v>
      </c>
      <c r="D1049" s="32">
        <v>4430265054</v>
      </c>
      <c r="E1049" s="32">
        <v>814</v>
      </c>
      <c r="F1049" s="32">
        <v>722</v>
      </c>
      <c r="G1049" s="32" t="s">
        <v>44</v>
      </c>
      <c r="H1049" s="32" t="s">
        <v>1115</v>
      </c>
      <c r="I1049" s="32" t="s">
        <v>40</v>
      </c>
      <c r="J1049" s="32" t="s">
        <v>46</v>
      </c>
      <c r="K1049" s="32" t="s">
        <v>42</v>
      </c>
      <c r="M1049" s="32" t="s">
        <v>60</v>
      </c>
      <c r="N1049" s="32" t="s">
        <v>58</v>
      </c>
    </row>
    <row r="1050" spans="1:14" s="32" customFormat="1" hidden="1" x14ac:dyDescent="0.3">
      <c r="A1050" s="38">
        <v>46218.446770833332</v>
      </c>
      <c r="B1050" s="32" t="s">
        <v>379</v>
      </c>
      <c r="C1050" s="32" t="s">
        <v>207</v>
      </c>
      <c r="E1050" s="32">
        <v>501</v>
      </c>
      <c r="F1050" s="32">
        <v>498</v>
      </c>
      <c r="G1050" s="32" t="s">
        <v>44</v>
      </c>
      <c r="H1050" s="32" t="s">
        <v>1116</v>
      </c>
      <c r="I1050" s="32" t="s">
        <v>694</v>
      </c>
      <c r="J1050" s="32" t="s">
        <v>111</v>
      </c>
      <c r="M1050" s="32" t="s">
        <v>381</v>
      </c>
      <c r="N1050" s="32" t="s">
        <v>379</v>
      </c>
    </row>
    <row r="1051" spans="1:14" s="32" customFormat="1" x14ac:dyDescent="0.3">
      <c r="A1051" s="38">
        <v>46218.445486111108</v>
      </c>
      <c r="B1051" s="32">
        <v>4432520627</v>
      </c>
      <c r="C1051" s="32" t="s">
        <v>49</v>
      </c>
      <c r="D1051" s="32">
        <v>4430265054</v>
      </c>
      <c r="E1051" s="32">
        <v>483</v>
      </c>
      <c r="F1051" s="32">
        <v>413</v>
      </c>
      <c r="G1051" s="32" t="s">
        <v>44</v>
      </c>
      <c r="H1051" s="32" t="s">
        <v>1117</v>
      </c>
      <c r="I1051" s="32" t="s">
        <v>40</v>
      </c>
      <c r="J1051" s="32" t="s">
        <v>46</v>
      </c>
      <c r="K1051" s="32" t="s">
        <v>42</v>
      </c>
      <c r="L1051" s="32">
        <v>5</v>
      </c>
      <c r="M1051" s="32" t="s">
        <v>51</v>
      </c>
      <c r="N1051" s="32" t="s">
        <v>49</v>
      </c>
    </row>
    <row r="1052" spans="1:14" s="32" customFormat="1" hidden="1" x14ac:dyDescent="0.3">
      <c r="A1052" s="38">
        <v>46218.44263888889</v>
      </c>
      <c r="B1052" s="32">
        <v>64984043469</v>
      </c>
      <c r="C1052" s="32" t="s">
        <v>1038</v>
      </c>
      <c r="D1052" s="32">
        <v>4430265054</v>
      </c>
      <c r="E1052" s="32">
        <v>940</v>
      </c>
      <c r="F1052" s="32">
        <v>885</v>
      </c>
      <c r="G1052" s="32" t="s">
        <v>44</v>
      </c>
      <c r="H1052" s="32" t="s">
        <v>1118</v>
      </c>
      <c r="I1052" s="32" t="s">
        <v>40</v>
      </c>
      <c r="J1052" s="32" t="s">
        <v>46</v>
      </c>
      <c r="K1052" s="32" t="s">
        <v>42</v>
      </c>
      <c r="L1052" s="32">
        <v>5</v>
      </c>
      <c r="M1052" s="32" t="s">
        <v>1040</v>
      </c>
      <c r="N1052" s="32" t="s">
        <v>1038</v>
      </c>
    </row>
    <row r="1053" spans="1:14" s="32" customFormat="1" hidden="1" x14ac:dyDescent="0.3">
      <c r="A1053" s="38">
        <v>46218.441238425927</v>
      </c>
      <c r="B1053" s="32" t="s">
        <v>109</v>
      </c>
      <c r="C1053" s="32">
        <v>11993088177</v>
      </c>
      <c r="E1053" s="32">
        <v>231</v>
      </c>
      <c r="F1053" s="32">
        <v>224</v>
      </c>
      <c r="G1053" s="32" t="s">
        <v>44</v>
      </c>
      <c r="H1053" s="32" t="s">
        <v>1119</v>
      </c>
      <c r="I1053" s="32" t="s">
        <v>54</v>
      </c>
      <c r="J1053" s="32" t="s">
        <v>111</v>
      </c>
      <c r="M1053" s="32" t="s">
        <v>112</v>
      </c>
      <c r="N1053" s="32" t="s">
        <v>109</v>
      </c>
    </row>
    <row r="1054" spans="1:14" s="32" customFormat="1" hidden="1" x14ac:dyDescent="0.3">
      <c r="A1054" s="38">
        <v>46218.44017361111</v>
      </c>
      <c r="B1054" s="32">
        <v>41997840159</v>
      </c>
      <c r="C1054" s="32" t="s">
        <v>43</v>
      </c>
      <c r="D1054" s="32">
        <v>4431268225</v>
      </c>
      <c r="E1054" s="32">
        <v>896</v>
      </c>
      <c r="F1054" s="32">
        <v>852</v>
      </c>
      <c r="G1054" s="32" t="s">
        <v>44</v>
      </c>
      <c r="H1054" s="32" t="s">
        <v>1120</v>
      </c>
      <c r="I1054" s="32" t="s">
        <v>40</v>
      </c>
      <c r="J1054" s="32" t="s">
        <v>46</v>
      </c>
      <c r="K1054" s="32" t="s">
        <v>42</v>
      </c>
      <c r="M1054" s="32" t="s">
        <v>47</v>
      </c>
      <c r="N1054" s="32" t="s">
        <v>43</v>
      </c>
    </row>
    <row r="1055" spans="1:14" s="32" customFormat="1" hidden="1" x14ac:dyDescent="0.3">
      <c r="A1055" s="38">
        <v>46218.437268518515</v>
      </c>
      <c r="B1055" s="32">
        <v>4130760170</v>
      </c>
      <c r="C1055" s="32" t="s">
        <v>43</v>
      </c>
      <c r="D1055" s="32">
        <v>4430265054</v>
      </c>
      <c r="E1055" s="32">
        <v>165</v>
      </c>
      <c r="F1055" s="32">
        <v>84</v>
      </c>
      <c r="G1055" s="32" t="s">
        <v>44</v>
      </c>
      <c r="H1055" s="32" t="s">
        <v>1121</v>
      </c>
      <c r="I1055" s="32" t="s">
        <v>40</v>
      </c>
      <c r="J1055" s="32" t="s">
        <v>46</v>
      </c>
      <c r="K1055" s="32" t="s">
        <v>42</v>
      </c>
      <c r="M1055" s="32" t="s">
        <v>47</v>
      </c>
      <c r="N1055" s="32" t="s">
        <v>43</v>
      </c>
    </row>
    <row r="1056" spans="1:14" s="32" customFormat="1" hidden="1" x14ac:dyDescent="0.3">
      <c r="A1056" s="38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38</v>
      </c>
      <c r="H1056" s="32" t="s">
        <v>1122</v>
      </c>
      <c r="I1056" s="32" t="s">
        <v>40</v>
      </c>
      <c r="J1056" s="32" t="s">
        <v>41</v>
      </c>
    </row>
    <row r="1057" spans="1:14" s="32" customFormat="1" hidden="1" x14ac:dyDescent="0.3">
      <c r="A1057" s="38">
        <v>46218.435937499999</v>
      </c>
      <c r="B1057" s="32" t="s">
        <v>109</v>
      </c>
      <c r="C1057" s="32">
        <v>11993088177</v>
      </c>
      <c r="E1057" s="32">
        <v>3</v>
      </c>
      <c r="F1057" s="32">
        <v>0</v>
      </c>
      <c r="G1057" s="32" t="s">
        <v>63</v>
      </c>
      <c r="H1057" s="32" t="s">
        <v>1123</v>
      </c>
      <c r="I1057" s="32" t="s">
        <v>54</v>
      </c>
      <c r="J1057" s="32" t="s">
        <v>111</v>
      </c>
      <c r="M1057" s="32" t="s">
        <v>112</v>
      </c>
      <c r="N1057" s="32" t="s">
        <v>109</v>
      </c>
    </row>
    <row r="1058" spans="1:14" s="32" customFormat="1" hidden="1" x14ac:dyDescent="0.3">
      <c r="A1058" s="38">
        <v>46218.435752314814</v>
      </c>
      <c r="B1058" s="32" t="s">
        <v>207</v>
      </c>
      <c r="C1058" s="32">
        <v>4430266599</v>
      </c>
      <c r="E1058" s="32">
        <v>0</v>
      </c>
      <c r="F1058" s="32">
        <v>0</v>
      </c>
      <c r="G1058" s="32" t="s">
        <v>63</v>
      </c>
      <c r="H1058" s="32" t="s">
        <v>1124</v>
      </c>
      <c r="I1058" s="32" t="s">
        <v>54</v>
      </c>
      <c r="J1058" s="32" t="s">
        <v>111</v>
      </c>
      <c r="M1058" s="32" t="s">
        <v>209</v>
      </c>
      <c r="N1058" s="32" t="s">
        <v>207</v>
      </c>
    </row>
    <row r="1059" spans="1:14" s="32" customFormat="1" hidden="1" x14ac:dyDescent="0.3">
      <c r="A1059" s="38">
        <v>46218.43545138889</v>
      </c>
      <c r="B1059" s="32" t="s">
        <v>109</v>
      </c>
      <c r="C1059" s="32">
        <v>11993088177</v>
      </c>
      <c r="E1059" s="32">
        <v>5</v>
      </c>
      <c r="F1059" s="32">
        <v>0</v>
      </c>
      <c r="G1059" s="32" t="s">
        <v>63</v>
      </c>
      <c r="H1059" s="32" t="s">
        <v>1125</v>
      </c>
      <c r="I1059" s="32" t="s">
        <v>54</v>
      </c>
      <c r="J1059" s="32" t="s">
        <v>111</v>
      </c>
      <c r="M1059" s="32" t="s">
        <v>112</v>
      </c>
      <c r="N1059" s="32" t="s">
        <v>109</v>
      </c>
    </row>
    <row r="1060" spans="1:14" s="32" customFormat="1" hidden="1" x14ac:dyDescent="0.3">
      <c r="A1060" s="38">
        <v>46218.434467592589</v>
      </c>
      <c r="B1060" s="32" t="s">
        <v>207</v>
      </c>
      <c r="C1060" s="32">
        <v>44999648932</v>
      </c>
      <c r="E1060" s="32">
        <v>63</v>
      </c>
      <c r="F1060" s="32">
        <v>0</v>
      </c>
      <c r="G1060" s="32" t="s">
        <v>63</v>
      </c>
      <c r="H1060" s="32" t="s">
        <v>1126</v>
      </c>
      <c r="I1060" s="32" t="s">
        <v>54</v>
      </c>
      <c r="J1060" s="32" t="s">
        <v>111</v>
      </c>
      <c r="M1060" s="32" t="s">
        <v>209</v>
      </c>
      <c r="N1060" s="32" t="s">
        <v>207</v>
      </c>
    </row>
    <row r="1061" spans="1:14" s="32" customFormat="1" hidden="1" x14ac:dyDescent="0.3">
      <c r="A1061" s="38">
        <v>46218.434050925927</v>
      </c>
      <c r="B1061" s="32" t="s">
        <v>207</v>
      </c>
      <c r="C1061" s="32">
        <v>44999844110</v>
      </c>
      <c r="E1061" s="32">
        <v>28</v>
      </c>
      <c r="F1061" s="32">
        <v>8</v>
      </c>
      <c r="G1061" s="32" t="s">
        <v>44</v>
      </c>
      <c r="H1061" s="32" t="s">
        <v>1127</v>
      </c>
      <c r="I1061" s="32" t="s">
        <v>54</v>
      </c>
      <c r="J1061" s="32" t="s">
        <v>111</v>
      </c>
      <c r="M1061" s="32" t="s">
        <v>209</v>
      </c>
      <c r="N1061" s="32" t="s">
        <v>207</v>
      </c>
    </row>
    <row r="1062" spans="1:14" s="32" customFormat="1" hidden="1" x14ac:dyDescent="0.3">
      <c r="A1062" s="38">
        <v>46218.433819444443</v>
      </c>
      <c r="B1062" s="32" t="s">
        <v>207</v>
      </c>
      <c r="C1062" s="32">
        <v>4432263468</v>
      </c>
      <c r="E1062" s="32">
        <v>1</v>
      </c>
      <c r="F1062" s="32">
        <v>0</v>
      </c>
      <c r="G1062" s="32" t="s">
        <v>63</v>
      </c>
      <c r="H1062" s="32" t="s">
        <v>1128</v>
      </c>
      <c r="I1062" s="32" t="s">
        <v>54</v>
      </c>
      <c r="J1062" s="32" t="s">
        <v>111</v>
      </c>
      <c r="M1062" s="32" t="s">
        <v>209</v>
      </c>
      <c r="N1062" s="32" t="s">
        <v>207</v>
      </c>
    </row>
    <row r="1063" spans="1:14" s="32" customFormat="1" hidden="1" x14ac:dyDescent="0.3">
      <c r="A1063" s="38">
        <v>46218.43372685185</v>
      </c>
      <c r="B1063" s="32" t="s">
        <v>207</v>
      </c>
      <c r="C1063" s="32">
        <v>4430266599</v>
      </c>
      <c r="E1063" s="32">
        <v>0</v>
      </c>
      <c r="F1063" s="32">
        <v>0</v>
      </c>
      <c r="G1063" s="32" t="s">
        <v>63</v>
      </c>
      <c r="H1063" s="32" t="s">
        <v>1129</v>
      </c>
      <c r="I1063" s="32" t="s">
        <v>54</v>
      </c>
      <c r="J1063" s="32" t="s">
        <v>111</v>
      </c>
      <c r="M1063" s="32" t="s">
        <v>209</v>
      </c>
      <c r="N1063" s="32" t="s">
        <v>207</v>
      </c>
    </row>
    <row r="1064" spans="1:14" s="32" customFormat="1" hidden="1" x14ac:dyDescent="0.3">
      <c r="A1064" s="38">
        <v>46218.43346064815</v>
      </c>
      <c r="B1064" s="32" t="s">
        <v>207</v>
      </c>
      <c r="C1064" s="32">
        <v>4430266599</v>
      </c>
      <c r="E1064" s="32">
        <v>0</v>
      </c>
      <c r="F1064" s="32">
        <v>0</v>
      </c>
      <c r="G1064" s="32" t="s">
        <v>63</v>
      </c>
      <c r="H1064" s="32" t="s">
        <v>1130</v>
      </c>
      <c r="I1064" s="32" t="s">
        <v>54</v>
      </c>
      <c r="J1064" s="32" t="s">
        <v>111</v>
      </c>
      <c r="M1064" s="32" t="s">
        <v>209</v>
      </c>
      <c r="N1064" s="32" t="s">
        <v>207</v>
      </c>
    </row>
    <row r="1065" spans="1:14" s="32" customFormat="1" hidden="1" x14ac:dyDescent="0.3">
      <c r="A1065" s="38">
        <v>46218.428946759261</v>
      </c>
      <c r="B1065" s="32">
        <v>91989363636</v>
      </c>
      <c r="C1065" s="32" t="s">
        <v>1038</v>
      </c>
      <c r="D1065" s="32">
        <v>4430265054</v>
      </c>
      <c r="E1065" s="32">
        <v>160</v>
      </c>
      <c r="F1065" s="32">
        <v>137</v>
      </c>
      <c r="G1065" s="32" t="s">
        <v>44</v>
      </c>
      <c r="H1065" s="32" t="s">
        <v>1131</v>
      </c>
      <c r="I1065" s="32" t="s">
        <v>40</v>
      </c>
      <c r="J1065" s="32" t="s">
        <v>46</v>
      </c>
      <c r="K1065" s="32" t="s">
        <v>42</v>
      </c>
      <c r="M1065" s="32" t="s">
        <v>1040</v>
      </c>
      <c r="N1065" s="32" t="s">
        <v>1038</v>
      </c>
    </row>
    <row r="1066" spans="1:14" s="32" customFormat="1" hidden="1" x14ac:dyDescent="0.3">
      <c r="A1066" s="38">
        <v>46218.425833333335</v>
      </c>
      <c r="B1066" s="32" t="s">
        <v>43</v>
      </c>
      <c r="C1066" s="32">
        <v>41997840159</v>
      </c>
      <c r="E1066" s="32">
        <v>48</v>
      </c>
      <c r="F1066" s="32">
        <v>37</v>
      </c>
      <c r="G1066" s="32" t="s">
        <v>44</v>
      </c>
      <c r="H1066" s="32" t="s">
        <v>1132</v>
      </c>
      <c r="I1066" s="32" t="s">
        <v>54</v>
      </c>
      <c r="J1066" s="32" t="s">
        <v>46</v>
      </c>
      <c r="M1066" s="32" t="s">
        <v>47</v>
      </c>
      <c r="N1066" s="32" t="s">
        <v>43</v>
      </c>
    </row>
    <row r="1067" spans="1:14" s="32" customFormat="1" hidden="1" x14ac:dyDescent="0.3">
      <c r="A1067" s="38">
        <v>46218.418217592596</v>
      </c>
      <c r="B1067" s="32">
        <v>4432541143</v>
      </c>
      <c r="C1067" s="32" t="s">
        <v>49</v>
      </c>
      <c r="D1067" s="32">
        <v>4430265054</v>
      </c>
      <c r="E1067" s="32">
        <v>1010</v>
      </c>
      <c r="F1067" s="32">
        <v>968</v>
      </c>
      <c r="G1067" s="32" t="s">
        <v>44</v>
      </c>
      <c r="H1067" s="32" t="s">
        <v>1133</v>
      </c>
      <c r="I1067" s="32" t="s">
        <v>40</v>
      </c>
      <c r="J1067" s="32" t="s">
        <v>46</v>
      </c>
      <c r="K1067" s="32" t="s">
        <v>42</v>
      </c>
      <c r="M1067" s="32" t="s">
        <v>51</v>
      </c>
      <c r="N1067" s="32" t="s">
        <v>49</v>
      </c>
    </row>
    <row r="1068" spans="1:14" s="32" customFormat="1" hidden="1" x14ac:dyDescent="0.3">
      <c r="A1068" s="38">
        <v>46218.416631944441</v>
      </c>
      <c r="B1068" s="32">
        <v>41997840159</v>
      </c>
      <c r="C1068" s="32" t="s">
        <v>1038</v>
      </c>
      <c r="D1068" s="32">
        <v>4431268225</v>
      </c>
      <c r="E1068" s="32">
        <v>459</v>
      </c>
      <c r="F1068" s="32">
        <v>415</v>
      </c>
      <c r="G1068" s="32" t="s">
        <v>44</v>
      </c>
      <c r="H1068" s="32" t="s">
        <v>1134</v>
      </c>
      <c r="I1068" s="32" t="s">
        <v>40</v>
      </c>
      <c r="J1068" s="32" t="s">
        <v>46</v>
      </c>
      <c r="K1068" s="32" t="s">
        <v>42</v>
      </c>
      <c r="M1068" s="32" t="s">
        <v>1040</v>
      </c>
      <c r="N1068" s="32" t="s">
        <v>1038</v>
      </c>
    </row>
    <row r="1069" spans="1:14" s="32" customFormat="1" hidden="1" x14ac:dyDescent="0.3">
      <c r="A1069" s="38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38</v>
      </c>
      <c r="H1069" s="32" t="s">
        <v>1135</v>
      </c>
      <c r="I1069" s="32" t="s">
        <v>40</v>
      </c>
      <c r="J1069" s="32" t="s">
        <v>41</v>
      </c>
    </row>
    <row r="1070" spans="1:14" s="32" customFormat="1" hidden="1" x14ac:dyDescent="0.3">
      <c r="A1070" s="38">
        <v>46218.413495370369</v>
      </c>
      <c r="B1070" s="32">
        <v>4436281154</v>
      </c>
      <c r="C1070" s="32" t="s">
        <v>58</v>
      </c>
      <c r="D1070" s="32">
        <v>4430265054</v>
      </c>
      <c r="E1070" s="32">
        <v>723</v>
      </c>
      <c r="F1070" s="32">
        <v>723</v>
      </c>
      <c r="G1070" s="32" t="s">
        <v>44</v>
      </c>
      <c r="H1070" s="32" t="s">
        <v>1136</v>
      </c>
      <c r="I1070" s="32" t="s">
        <v>40</v>
      </c>
      <c r="J1070" s="32" t="s">
        <v>46</v>
      </c>
      <c r="K1070" s="32" t="s">
        <v>42</v>
      </c>
      <c r="M1070" s="32" t="s">
        <v>60</v>
      </c>
      <c r="N1070" s="32" t="s">
        <v>58</v>
      </c>
    </row>
    <row r="1071" spans="1:14" s="32" customFormat="1" hidden="1" x14ac:dyDescent="0.3">
      <c r="A1071" s="38">
        <v>46218.409629629627</v>
      </c>
      <c r="B1071" s="32" t="s">
        <v>207</v>
      </c>
      <c r="C1071" s="32">
        <v>44997343300</v>
      </c>
      <c r="E1071" s="32">
        <v>654</v>
      </c>
      <c r="F1071" s="32">
        <v>650</v>
      </c>
      <c r="G1071" s="32" t="s">
        <v>44</v>
      </c>
      <c r="H1071" s="32" t="s">
        <v>1137</v>
      </c>
      <c r="I1071" s="32" t="s">
        <v>54</v>
      </c>
      <c r="J1071" s="32" t="s">
        <v>111</v>
      </c>
      <c r="M1071" s="32" t="s">
        <v>209</v>
      </c>
      <c r="N1071" s="32" t="s">
        <v>207</v>
      </c>
    </row>
    <row r="1072" spans="1:14" s="32" customFormat="1" hidden="1" x14ac:dyDescent="0.3">
      <c r="A1072" s="38">
        <v>46218.405648148146</v>
      </c>
      <c r="B1072" s="32" t="s">
        <v>207</v>
      </c>
      <c r="C1072" s="32">
        <v>4432226677</v>
      </c>
      <c r="E1072" s="32">
        <v>56</v>
      </c>
      <c r="F1072" s="32">
        <v>39</v>
      </c>
      <c r="G1072" s="32" t="s">
        <v>44</v>
      </c>
      <c r="H1072" s="32" t="s">
        <v>1138</v>
      </c>
      <c r="I1072" s="32" t="s">
        <v>54</v>
      </c>
      <c r="J1072" s="32" t="s">
        <v>111</v>
      </c>
      <c r="M1072" s="32" t="s">
        <v>209</v>
      </c>
      <c r="N1072" s="32" t="s">
        <v>207</v>
      </c>
    </row>
    <row r="1073" spans="1:14" s="32" customFormat="1" hidden="1" x14ac:dyDescent="0.3">
      <c r="A1073" s="38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38</v>
      </c>
      <c r="H1073" s="32" t="s">
        <v>1139</v>
      </c>
      <c r="I1073" s="32" t="s">
        <v>40</v>
      </c>
      <c r="J1073" s="32" t="s">
        <v>41</v>
      </c>
    </row>
    <row r="1074" spans="1:14" s="32" customFormat="1" hidden="1" x14ac:dyDescent="0.3">
      <c r="A1074" s="38">
        <v>46218.399375000001</v>
      </c>
      <c r="B1074" s="32">
        <v>1140330393</v>
      </c>
      <c r="C1074" s="32" t="s">
        <v>43</v>
      </c>
      <c r="D1074" s="32">
        <v>4430265054</v>
      </c>
      <c r="E1074" s="32">
        <v>1150</v>
      </c>
      <c r="F1074" s="32">
        <v>1128</v>
      </c>
      <c r="G1074" s="32" t="s">
        <v>44</v>
      </c>
      <c r="H1074" s="32" t="s">
        <v>1140</v>
      </c>
      <c r="I1074" s="32" t="s">
        <v>40</v>
      </c>
      <c r="J1074" s="32" t="s">
        <v>46</v>
      </c>
      <c r="K1074" s="32" t="s">
        <v>42</v>
      </c>
      <c r="L1074" s="32">
        <v>5</v>
      </c>
      <c r="M1074" s="32" t="s">
        <v>47</v>
      </c>
      <c r="N1074" s="32" t="s">
        <v>43</v>
      </c>
    </row>
    <row r="1075" spans="1:14" s="32" customFormat="1" hidden="1" x14ac:dyDescent="0.3">
      <c r="A1075" s="38">
        <v>46218.399027777778</v>
      </c>
      <c r="B1075" s="32" t="s">
        <v>207</v>
      </c>
      <c r="C1075" s="32">
        <v>11957716650</v>
      </c>
      <c r="E1075" s="32">
        <v>13</v>
      </c>
      <c r="F1075" s="32">
        <v>2</v>
      </c>
      <c r="G1075" s="32" t="s">
        <v>44</v>
      </c>
      <c r="H1075" s="32" t="s">
        <v>1141</v>
      </c>
      <c r="I1075" s="32" t="s">
        <v>54</v>
      </c>
      <c r="J1075" s="32" t="s">
        <v>111</v>
      </c>
      <c r="M1075" s="32" t="s">
        <v>209</v>
      </c>
      <c r="N1075" s="32" t="s">
        <v>207</v>
      </c>
    </row>
    <row r="1076" spans="1:14" s="32" customFormat="1" hidden="1" x14ac:dyDescent="0.3">
      <c r="A1076" s="38">
        <v>46218.398784722223</v>
      </c>
      <c r="B1076" s="32" t="s">
        <v>207</v>
      </c>
      <c r="C1076" s="32">
        <v>1157716650</v>
      </c>
      <c r="E1076" s="32">
        <v>6</v>
      </c>
      <c r="F1076" s="32">
        <v>0</v>
      </c>
      <c r="G1076" s="32" t="s">
        <v>63</v>
      </c>
      <c r="H1076" s="32" t="s">
        <v>1142</v>
      </c>
      <c r="I1076" s="32" t="s">
        <v>54</v>
      </c>
      <c r="J1076" s="32" t="s">
        <v>111</v>
      </c>
      <c r="M1076" s="32" t="s">
        <v>209</v>
      </c>
      <c r="N1076" s="32" t="s">
        <v>207</v>
      </c>
    </row>
    <row r="1077" spans="1:14" s="32" customFormat="1" hidden="1" x14ac:dyDescent="0.3">
      <c r="A1077" s="38">
        <v>46218.397106481483</v>
      </c>
      <c r="B1077" s="32">
        <v>4436281154</v>
      </c>
      <c r="C1077" s="32" t="s">
        <v>1038</v>
      </c>
      <c r="D1077" s="32">
        <v>4430265054</v>
      </c>
      <c r="E1077" s="32">
        <v>622</v>
      </c>
      <c r="F1077" s="32">
        <v>504</v>
      </c>
      <c r="G1077" s="32" t="s">
        <v>44</v>
      </c>
      <c r="H1077" s="32" t="s">
        <v>1143</v>
      </c>
      <c r="I1077" s="32" t="s">
        <v>40</v>
      </c>
      <c r="J1077" s="32" t="s">
        <v>46</v>
      </c>
      <c r="K1077" s="32" t="s">
        <v>42</v>
      </c>
      <c r="M1077" s="32" t="s">
        <v>1040</v>
      </c>
      <c r="N1077" s="32" t="s">
        <v>1038</v>
      </c>
    </row>
    <row r="1078" spans="1:14" s="32" customFormat="1" x14ac:dyDescent="0.3">
      <c r="A1078" s="38">
        <v>46218.38417824074</v>
      </c>
      <c r="B1078" s="32">
        <v>43999965552</v>
      </c>
      <c r="C1078" s="32" t="s">
        <v>49</v>
      </c>
      <c r="D1078" s="32">
        <v>4430265054</v>
      </c>
      <c r="E1078" s="32">
        <v>2792</v>
      </c>
      <c r="F1078" s="32">
        <v>2773</v>
      </c>
      <c r="G1078" s="32" t="s">
        <v>44</v>
      </c>
      <c r="H1078" s="32" t="s">
        <v>1144</v>
      </c>
      <c r="I1078" s="32" t="s">
        <v>40</v>
      </c>
      <c r="J1078" s="32" t="s">
        <v>46</v>
      </c>
      <c r="K1078" s="32" t="s">
        <v>42</v>
      </c>
      <c r="L1078" s="32">
        <v>5</v>
      </c>
      <c r="M1078" s="32" t="s">
        <v>51</v>
      </c>
      <c r="N1078" s="32" t="s">
        <v>49</v>
      </c>
    </row>
    <row r="1079" spans="1:14" s="32" customFormat="1" hidden="1" x14ac:dyDescent="0.3">
      <c r="A1079" s="38">
        <v>46218.380937499998</v>
      </c>
      <c r="B1079" s="32">
        <v>4436249360</v>
      </c>
      <c r="C1079" s="32" t="s">
        <v>1038</v>
      </c>
      <c r="D1079" s="32">
        <v>4430265054</v>
      </c>
      <c r="E1079" s="32">
        <v>350</v>
      </c>
      <c r="F1079" s="32">
        <v>314</v>
      </c>
      <c r="G1079" s="32" t="s">
        <v>44</v>
      </c>
      <c r="H1079" s="32" t="s">
        <v>1145</v>
      </c>
      <c r="I1079" s="32" t="s">
        <v>40</v>
      </c>
      <c r="J1079" s="32" t="s">
        <v>46</v>
      </c>
      <c r="K1079" s="32" t="s">
        <v>42</v>
      </c>
      <c r="M1079" s="32" t="s">
        <v>1040</v>
      </c>
      <c r="N1079" s="32" t="s">
        <v>1038</v>
      </c>
    </row>
    <row r="1080" spans="1:14" s="32" customFormat="1" hidden="1" x14ac:dyDescent="0.3">
      <c r="A1080" s="38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38</v>
      </c>
      <c r="H1080" s="32" t="s">
        <v>1146</v>
      </c>
      <c r="I1080" s="32" t="s">
        <v>40</v>
      </c>
      <c r="J1080" s="32" t="s">
        <v>41</v>
      </c>
    </row>
    <row r="1081" spans="1:14" s="32" customFormat="1" hidden="1" x14ac:dyDescent="0.3">
      <c r="A1081" s="38">
        <v>46218.374155092592</v>
      </c>
      <c r="B1081" s="32">
        <v>35998295948</v>
      </c>
      <c r="C1081" s="32" t="s">
        <v>43</v>
      </c>
      <c r="D1081" s="32">
        <v>4430265054</v>
      </c>
      <c r="E1081" s="32">
        <v>847</v>
      </c>
      <c r="F1081" s="32">
        <v>745</v>
      </c>
      <c r="G1081" s="32" t="s">
        <v>44</v>
      </c>
      <c r="H1081" s="32" t="s">
        <v>1147</v>
      </c>
      <c r="I1081" s="32" t="s">
        <v>40</v>
      </c>
      <c r="J1081" s="32" t="s">
        <v>46</v>
      </c>
      <c r="K1081" s="32" t="s">
        <v>42</v>
      </c>
      <c r="M1081" s="32" t="s">
        <v>47</v>
      </c>
      <c r="N1081" s="32" t="s">
        <v>43</v>
      </c>
    </row>
    <row r="1082" spans="1:14" s="32" customFormat="1" hidden="1" x14ac:dyDescent="0.3">
      <c r="A1082" s="38">
        <v>46218.364965277775</v>
      </c>
      <c r="B1082" s="32">
        <v>35998295948</v>
      </c>
      <c r="C1082" s="32" t="s">
        <v>49</v>
      </c>
      <c r="D1082" s="32">
        <v>4430265054</v>
      </c>
      <c r="E1082" s="32">
        <v>260</v>
      </c>
      <c r="F1082" s="32">
        <v>239</v>
      </c>
      <c r="G1082" s="32" t="s">
        <v>44</v>
      </c>
      <c r="H1082" s="32" t="s">
        <v>1148</v>
      </c>
      <c r="I1082" s="32" t="s">
        <v>40</v>
      </c>
      <c r="J1082" s="32" t="s">
        <v>46</v>
      </c>
      <c r="K1082" s="32" t="s">
        <v>42</v>
      </c>
      <c r="M1082" s="32" t="s">
        <v>51</v>
      </c>
      <c r="N1082" s="32" t="s">
        <v>49</v>
      </c>
    </row>
    <row r="1083" spans="1:14" s="32" customFormat="1" hidden="1" x14ac:dyDescent="0.3">
      <c r="A1083" s="38">
        <v>46218.360405092593</v>
      </c>
      <c r="B1083" s="32">
        <v>35998295948</v>
      </c>
      <c r="C1083" s="32" t="s">
        <v>1038</v>
      </c>
      <c r="D1083" s="32">
        <v>4430265054</v>
      </c>
      <c r="E1083" s="32">
        <v>206</v>
      </c>
      <c r="F1083" s="32">
        <v>146</v>
      </c>
      <c r="G1083" s="32" t="s">
        <v>44</v>
      </c>
      <c r="H1083" s="32" t="s">
        <v>1149</v>
      </c>
      <c r="I1083" s="32" t="s">
        <v>40</v>
      </c>
      <c r="J1083" s="32" t="s">
        <v>46</v>
      </c>
      <c r="K1083" s="32" t="s">
        <v>42</v>
      </c>
      <c r="M1083" s="32" t="s">
        <v>1040</v>
      </c>
      <c r="N1083" s="32" t="s">
        <v>1038</v>
      </c>
    </row>
    <row r="1084" spans="1:14" s="32" customFormat="1" hidden="1" x14ac:dyDescent="0.3">
      <c r="A1084" s="38">
        <v>46218.358217592591</v>
      </c>
      <c r="B1084" s="32">
        <v>44999497001</v>
      </c>
      <c r="C1084" s="32" t="s">
        <v>49</v>
      </c>
      <c r="D1084" s="32">
        <v>4430265054</v>
      </c>
      <c r="E1084" s="32">
        <v>269</v>
      </c>
      <c r="F1084" s="32">
        <v>234</v>
      </c>
      <c r="G1084" s="32" t="s">
        <v>44</v>
      </c>
      <c r="H1084" s="32" t="s">
        <v>1150</v>
      </c>
      <c r="I1084" s="32" t="s">
        <v>40</v>
      </c>
      <c r="J1084" s="32" t="s">
        <v>46</v>
      </c>
      <c r="K1084" s="32" t="s">
        <v>42</v>
      </c>
      <c r="M1084" s="32" t="s">
        <v>51</v>
      </c>
      <c r="N1084" s="32" t="s">
        <v>49</v>
      </c>
    </row>
    <row r="1085" spans="1:14" s="32" customFormat="1" hidden="1" x14ac:dyDescent="0.3">
      <c r="A1085" s="38">
        <v>46218.357025462959</v>
      </c>
      <c r="B1085" s="32">
        <v>1140330393</v>
      </c>
      <c r="C1085" s="32" t="s">
        <v>43</v>
      </c>
      <c r="D1085" s="32">
        <v>4430265054</v>
      </c>
      <c r="E1085" s="32">
        <v>460</v>
      </c>
      <c r="F1085" s="32">
        <v>395</v>
      </c>
      <c r="G1085" s="32" t="s">
        <v>44</v>
      </c>
      <c r="H1085" s="32" t="s">
        <v>1151</v>
      </c>
      <c r="I1085" s="32" t="s">
        <v>40</v>
      </c>
      <c r="J1085" s="32" t="s">
        <v>46</v>
      </c>
      <c r="K1085" s="32" t="s">
        <v>42</v>
      </c>
      <c r="L1085" s="32">
        <v>5</v>
      </c>
      <c r="M1085" s="32" t="s">
        <v>47</v>
      </c>
      <c r="N1085" s="32" t="s">
        <v>43</v>
      </c>
    </row>
    <row r="1086" spans="1:14" s="32" customFormat="1" hidden="1" x14ac:dyDescent="0.3">
      <c r="A1086" s="38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38</v>
      </c>
      <c r="H1086" s="32" t="s">
        <v>1152</v>
      </c>
      <c r="I1086" s="32" t="s">
        <v>40</v>
      </c>
      <c r="J1086" s="32" t="s">
        <v>41</v>
      </c>
    </row>
    <row r="1087" spans="1:14" s="32" customFormat="1" hidden="1" x14ac:dyDescent="0.3">
      <c r="A1087" s="38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38</v>
      </c>
      <c r="H1087" s="32" t="s">
        <v>1153</v>
      </c>
      <c r="I1087" s="32" t="s">
        <v>40</v>
      </c>
      <c r="J1087" s="32" t="s">
        <v>41</v>
      </c>
    </row>
    <row r="1088" spans="1:14" s="32" customFormat="1" hidden="1" x14ac:dyDescent="0.3">
      <c r="A1088" s="38">
        <v>46217.745648148149</v>
      </c>
      <c r="B1088" s="32">
        <v>41997840159</v>
      </c>
      <c r="C1088" s="32" t="s">
        <v>43</v>
      </c>
      <c r="D1088" s="32">
        <v>4431268225</v>
      </c>
      <c r="E1088" s="32">
        <v>364</v>
      </c>
      <c r="F1088" s="32">
        <v>246</v>
      </c>
      <c r="G1088" s="32" t="s">
        <v>44</v>
      </c>
      <c r="H1088" s="32" t="s">
        <v>1154</v>
      </c>
      <c r="I1088" s="32" t="s">
        <v>40</v>
      </c>
      <c r="J1088" s="32" t="s">
        <v>46</v>
      </c>
      <c r="K1088" s="32" t="s">
        <v>42</v>
      </c>
      <c r="M1088" s="32" t="s">
        <v>47</v>
      </c>
      <c r="N1088" s="32" t="s">
        <v>43</v>
      </c>
    </row>
    <row r="1089" spans="1:14" s="32" customFormat="1" hidden="1" x14ac:dyDescent="0.3">
      <c r="A1089" s="38">
        <v>46217.734398148146</v>
      </c>
      <c r="B1089" s="32">
        <v>44999449519</v>
      </c>
      <c r="C1089" s="32" t="s">
        <v>43</v>
      </c>
      <c r="D1089" s="32">
        <v>4430265054</v>
      </c>
      <c r="E1089" s="32">
        <v>272</v>
      </c>
      <c r="F1089" s="32">
        <v>230</v>
      </c>
      <c r="G1089" s="32" t="s">
        <v>44</v>
      </c>
      <c r="H1089" s="32" t="s">
        <v>1155</v>
      </c>
      <c r="I1089" s="32" t="s">
        <v>40</v>
      </c>
      <c r="J1089" s="32" t="s">
        <v>46</v>
      </c>
      <c r="K1089" s="32" t="s">
        <v>42</v>
      </c>
      <c r="M1089" s="32" t="s">
        <v>47</v>
      </c>
      <c r="N1089" s="32" t="s">
        <v>43</v>
      </c>
    </row>
    <row r="1090" spans="1:14" s="32" customFormat="1" hidden="1" x14ac:dyDescent="0.3">
      <c r="A1090" s="38">
        <v>46217.728310185186</v>
      </c>
      <c r="B1090" s="32" t="s">
        <v>49</v>
      </c>
      <c r="C1090" s="32">
        <v>44988067937</v>
      </c>
      <c r="E1090" s="32">
        <v>683</v>
      </c>
      <c r="F1090" s="32">
        <v>670</v>
      </c>
      <c r="G1090" s="32" t="s">
        <v>44</v>
      </c>
      <c r="H1090" s="32" t="s">
        <v>1156</v>
      </c>
      <c r="I1090" s="32" t="s">
        <v>54</v>
      </c>
      <c r="J1090" s="32" t="s">
        <v>46</v>
      </c>
      <c r="M1090" s="32" t="s">
        <v>51</v>
      </c>
      <c r="N1090" s="32" t="s">
        <v>49</v>
      </c>
    </row>
    <row r="1091" spans="1:14" s="32" customFormat="1" hidden="1" x14ac:dyDescent="0.3">
      <c r="A1091" s="38">
        <v>46217.728171296294</v>
      </c>
      <c r="B1091" s="32" t="s">
        <v>49</v>
      </c>
      <c r="C1091" s="32">
        <v>44988067937</v>
      </c>
      <c r="E1091" s="32">
        <v>9</v>
      </c>
      <c r="F1091" s="32">
        <v>0</v>
      </c>
      <c r="G1091" s="32" t="s">
        <v>63</v>
      </c>
      <c r="H1091" s="32" t="s">
        <v>1157</v>
      </c>
      <c r="I1091" s="32" t="s">
        <v>54</v>
      </c>
      <c r="J1091" s="32" t="s">
        <v>46</v>
      </c>
      <c r="M1091" s="32" t="s">
        <v>51</v>
      </c>
      <c r="N1091" s="32" t="s">
        <v>49</v>
      </c>
    </row>
    <row r="1092" spans="1:14" s="32" customFormat="1" hidden="1" x14ac:dyDescent="0.3">
      <c r="A1092" s="38">
        <v>46217.718229166669</v>
      </c>
      <c r="B1092" s="32" t="s">
        <v>207</v>
      </c>
      <c r="C1092" s="32">
        <v>91999910605</v>
      </c>
      <c r="E1092" s="32">
        <v>38</v>
      </c>
      <c r="F1092" s="32">
        <v>4</v>
      </c>
      <c r="G1092" s="32" t="s">
        <v>44</v>
      </c>
      <c r="H1092" s="32" t="s">
        <v>1158</v>
      </c>
      <c r="I1092" s="32" t="s">
        <v>54</v>
      </c>
      <c r="J1092" s="32" t="s">
        <v>111</v>
      </c>
      <c r="M1092" s="32" t="s">
        <v>209</v>
      </c>
      <c r="N1092" s="32" t="s">
        <v>207</v>
      </c>
    </row>
    <row r="1093" spans="1:14" s="32" customFormat="1" hidden="1" x14ac:dyDescent="0.3">
      <c r="A1093" s="38">
        <v>46217.717615740738</v>
      </c>
      <c r="B1093" s="32" t="s">
        <v>207</v>
      </c>
      <c r="C1093" s="32">
        <v>91980500055</v>
      </c>
      <c r="E1093" s="32">
        <v>42</v>
      </c>
      <c r="F1093" s="32">
        <v>0</v>
      </c>
      <c r="G1093" s="32" t="s">
        <v>44</v>
      </c>
      <c r="H1093" s="32" t="s">
        <v>1159</v>
      </c>
      <c r="I1093" s="32" t="s">
        <v>54</v>
      </c>
      <c r="J1093" s="32" t="s">
        <v>111</v>
      </c>
      <c r="M1093" s="32" t="s">
        <v>209</v>
      </c>
      <c r="N1093" s="32" t="s">
        <v>207</v>
      </c>
    </row>
    <row r="1094" spans="1:14" s="32" customFormat="1" hidden="1" x14ac:dyDescent="0.3">
      <c r="A1094" s="38">
        <v>46217.716782407406</v>
      </c>
      <c r="B1094" s="32" t="s">
        <v>1038</v>
      </c>
      <c r="C1094" s="32">
        <v>12988128432</v>
      </c>
      <c r="E1094" s="32">
        <v>9</v>
      </c>
      <c r="F1094" s="32">
        <v>0</v>
      </c>
      <c r="G1094" s="32" t="s">
        <v>63</v>
      </c>
      <c r="H1094" s="32" t="s">
        <v>1160</v>
      </c>
      <c r="I1094" s="32" t="s">
        <v>54</v>
      </c>
      <c r="J1094" s="32" t="s">
        <v>46</v>
      </c>
      <c r="M1094" s="32" t="s">
        <v>1040</v>
      </c>
      <c r="N1094" s="32" t="s">
        <v>1038</v>
      </c>
    </row>
    <row r="1095" spans="1:14" s="32" customFormat="1" hidden="1" x14ac:dyDescent="0.3">
      <c r="A1095" s="38">
        <v>46217.716099537036</v>
      </c>
      <c r="B1095" s="32" t="s">
        <v>1038</v>
      </c>
      <c r="C1095" s="32">
        <v>12997346335</v>
      </c>
      <c r="E1095" s="32">
        <v>56</v>
      </c>
      <c r="F1095" s="32">
        <v>0</v>
      </c>
      <c r="G1095" s="32" t="s">
        <v>63</v>
      </c>
      <c r="H1095" s="32" t="s">
        <v>1161</v>
      </c>
      <c r="I1095" s="32" t="s">
        <v>54</v>
      </c>
      <c r="J1095" s="32" t="s">
        <v>46</v>
      </c>
      <c r="M1095" s="32" t="s">
        <v>1040</v>
      </c>
      <c r="N1095" s="32" t="s">
        <v>1038</v>
      </c>
    </row>
    <row r="1096" spans="1:14" s="32" customFormat="1" hidden="1" x14ac:dyDescent="0.3">
      <c r="A1096" s="38">
        <v>46217.714375000003</v>
      </c>
      <c r="B1096" s="32" t="s">
        <v>207</v>
      </c>
      <c r="C1096" s="32">
        <v>4440092822</v>
      </c>
      <c r="E1096" s="32">
        <v>92</v>
      </c>
      <c r="F1096" s="32">
        <v>50</v>
      </c>
      <c r="G1096" s="32" t="s">
        <v>44</v>
      </c>
      <c r="H1096" s="32" t="s">
        <v>1162</v>
      </c>
      <c r="I1096" s="32" t="s">
        <v>54</v>
      </c>
      <c r="J1096" s="32" t="s">
        <v>111</v>
      </c>
      <c r="M1096" s="32" t="s">
        <v>209</v>
      </c>
      <c r="N1096" s="32" t="s">
        <v>207</v>
      </c>
    </row>
    <row r="1097" spans="1:14" s="32" customFormat="1" hidden="1" x14ac:dyDescent="0.3">
      <c r="A1097" s="38">
        <v>46217.713819444441</v>
      </c>
      <c r="B1097" s="32" t="s">
        <v>207</v>
      </c>
      <c r="C1097" s="32">
        <v>4440092822</v>
      </c>
      <c r="E1097" s="32">
        <v>41</v>
      </c>
      <c r="F1097" s="32">
        <v>31</v>
      </c>
      <c r="G1097" s="32" t="s">
        <v>44</v>
      </c>
      <c r="H1097" s="32" t="s">
        <v>1163</v>
      </c>
      <c r="I1097" s="32" t="s">
        <v>54</v>
      </c>
      <c r="J1097" s="32" t="s">
        <v>111</v>
      </c>
      <c r="M1097" s="32" t="s">
        <v>209</v>
      </c>
      <c r="N1097" s="32" t="s">
        <v>207</v>
      </c>
    </row>
    <row r="1098" spans="1:14" s="32" customFormat="1" hidden="1" x14ac:dyDescent="0.3">
      <c r="A1098" s="38">
        <v>46217.712592592594</v>
      </c>
      <c r="B1098" s="32" t="s">
        <v>207</v>
      </c>
      <c r="C1098" s="32">
        <v>4440092826</v>
      </c>
      <c r="E1098" s="32">
        <v>98</v>
      </c>
      <c r="F1098" s="32">
        <v>97</v>
      </c>
      <c r="G1098" s="32" t="s">
        <v>44</v>
      </c>
      <c r="H1098" s="32" t="s">
        <v>1164</v>
      </c>
      <c r="I1098" s="32" t="s">
        <v>54</v>
      </c>
      <c r="J1098" s="32" t="s">
        <v>111</v>
      </c>
      <c r="M1098" s="32" t="s">
        <v>209</v>
      </c>
      <c r="N1098" s="32" t="s">
        <v>207</v>
      </c>
    </row>
    <row r="1099" spans="1:14" s="32" customFormat="1" hidden="1" x14ac:dyDescent="0.3">
      <c r="A1099" s="38">
        <v>46217.711793981478</v>
      </c>
      <c r="B1099" s="32" t="s">
        <v>207</v>
      </c>
      <c r="C1099" s="32">
        <v>44984487531</v>
      </c>
      <c r="E1099" s="32">
        <v>15</v>
      </c>
      <c r="F1099" s="32">
        <v>5</v>
      </c>
      <c r="G1099" s="32" t="s">
        <v>44</v>
      </c>
      <c r="H1099" s="32" t="s">
        <v>1165</v>
      </c>
      <c r="I1099" s="32" t="s">
        <v>54</v>
      </c>
      <c r="J1099" s="32" t="s">
        <v>111</v>
      </c>
      <c r="M1099" s="32" t="s">
        <v>209</v>
      </c>
      <c r="N1099" s="32" t="s">
        <v>207</v>
      </c>
    </row>
    <row r="1100" spans="1:14" s="32" customFormat="1" hidden="1" x14ac:dyDescent="0.3">
      <c r="A1100" s="38">
        <v>46217.70957175926</v>
      </c>
      <c r="B1100" s="32">
        <v>44988067937</v>
      </c>
      <c r="C1100" s="32" t="s">
        <v>49</v>
      </c>
      <c r="D1100" s="32">
        <v>4430265054</v>
      </c>
      <c r="E1100" s="32">
        <v>725</v>
      </c>
      <c r="F1100" s="32">
        <v>672</v>
      </c>
      <c r="G1100" s="32" t="s">
        <v>44</v>
      </c>
      <c r="H1100" s="32" t="s">
        <v>1166</v>
      </c>
      <c r="I1100" s="32" t="s">
        <v>40</v>
      </c>
      <c r="J1100" s="32" t="s">
        <v>46</v>
      </c>
      <c r="K1100" s="32" t="s">
        <v>42</v>
      </c>
      <c r="M1100" s="32" t="s">
        <v>51</v>
      </c>
      <c r="N1100" s="32" t="s">
        <v>49</v>
      </c>
    </row>
    <row r="1101" spans="1:14" s="32" customFormat="1" hidden="1" x14ac:dyDescent="0.3">
      <c r="A1101" s="38">
        <v>46217.709456018521</v>
      </c>
      <c r="B1101" s="32" t="s">
        <v>207</v>
      </c>
      <c r="C1101" s="32">
        <v>4440092826</v>
      </c>
      <c r="E1101" s="32">
        <v>24</v>
      </c>
      <c r="F1101" s="32">
        <v>23</v>
      </c>
      <c r="G1101" s="32" t="s">
        <v>44</v>
      </c>
      <c r="H1101" s="32" t="s">
        <v>1167</v>
      </c>
      <c r="I1101" s="32" t="s">
        <v>54</v>
      </c>
      <c r="J1101" s="32" t="s">
        <v>111</v>
      </c>
      <c r="M1101" s="32" t="s">
        <v>209</v>
      </c>
      <c r="N1101" s="32" t="s">
        <v>207</v>
      </c>
    </row>
    <row r="1102" spans="1:14" s="32" customFormat="1" hidden="1" x14ac:dyDescent="0.3">
      <c r="A1102" s="38">
        <v>46217.703125</v>
      </c>
      <c r="B1102" s="32">
        <v>1128787060</v>
      </c>
      <c r="C1102" s="32" t="s">
        <v>207</v>
      </c>
      <c r="D1102" s="32">
        <v>4430265054</v>
      </c>
      <c r="E1102" s="32">
        <v>243</v>
      </c>
      <c r="F1102" s="32">
        <v>219</v>
      </c>
      <c r="G1102" s="32" t="s">
        <v>44</v>
      </c>
      <c r="H1102" s="32" t="s">
        <v>1168</v>
      </c>
      <c r="I1102" s="32" t="s">
        <v>40</v>
      </c>
      <c r="J1102" s="32" t="s">
        <v>111</v>
      </c>
      <c r="K1102" s="32" t="s">
        <v>212</v>
      </c>
      <c r="M1102" s="32" t="s">
        <v>209</v>
      </c>
      <c r="N1102" s="32" t="s">
        <v>207</v>
      </c>
    </row>
    <row r="1103" spans="1:14" s="32" customFormat="1" hidden="1" x14ac:dyDescent="0.3">
      <c r="A1103" s="38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44</v>
      </c>
      <c r="H1103" s="32" t="s">
        <v>1169</v>
      </c>
      <c r="I1103" s="32" t="s">
        <v>54</v>
      </c>
      <c r="J1103" s="32" t="s">
        <v>46</v>
      </c>
    </row>
    <row r="1104" spans="1:14" s="32" customFormat="1" hidden="1" x14ac:dyDescent="0.3">
      <c r="A1104" s="38">
        <v>46217.683692129627</v>
      </c>
      <c r="B1104" s="32" t="s">
        <v>1038</v>
      </c>
      <c r="C1104" s="32">
        <v>53981112780</v>
      </c>
      <c r="E1104" s="32">
        <v>121</v>
      </c>
      <c r="F1104" s="32">
        <v>116</v>
      </c>
      <c r="G1104" s="32" t="s">
        <v>44</v>
      </c>
      <c r="H1104" s="32" t="s">
        <v>1170</v>
      </c>
      <c r="I1104" s="32" t="s">
        <v>54</v>
      </c>
      <c r="J1104" s="32" t="s">
        <v>46</v>
      </c>
      <c r="L1104" s="32">
        <v>5</v>
      </c>
      <c r="M1104" s="32" t="s">
        <v>1040</v>
      </c>
      <c r="N1104" s="32" t="s">
        <v>1038</v>
      </c>
    </row>
    <row r="1105" spans="1:14" s="32" customFormat="1" hidden="1" x14ac:dyDescent="0.3">
      <c r="A1105" s="38">
        <v>46217.676064814812</v>
      </c>
      <c r="B1105" s="32">
        <v>1128787060</v>
      </c>
      <c r="C1105" s="32" t="s">
        <v>58</v>
      </c>
      <c r="D1105" s="32">
        <v>4430265054</v>
      </c>
      <c r="E1105" s="32">
        <v>633</v>
      </c>
      <c r="F1105" s="32">
        <v>581</v>
      </c>
      <c r="G1105" s="32" t="s">
        <v>44</v>
      </c>
      <c r="H1105" s="32" t="s">
        <v>1171</v>
      </c>
      <c r="I1105" s="32" t="s">
        <v>40</v>
      </c>
      <c r="J1105" s="32" t="s">
        <v>46</v>
      </c>
      <c r="K1105" s="32" t="s">
        <v>42</v>
      </c>
      <c r="M1105" s="32" t="s">
        <v>60</v>
      </c>
      <c r="N1105" s="32" t="s">
        <v>58</v>
      </c>
    </row>
    <row r="1106" spans="1:14" s="32" customFormat="1" hidden="1" x14ac:dyDescent="0.3">
      <c r="A1106" s="38">
        <v>46217.674259259256</v>
      </c>
      <c r="B1106" s="32">
        <v>44998417005</v>
      </c>
      <c r="C1106" s="32" t="s">
        <v>49</v>
      </c>
      <c r="D1106" s="32">
        <v>4430265054</v>
      </c>
      <c r="E1106" s="32">
        <v>306</v>
      </c>
      <c r="F1106" s="32">
        <v>263</v>
      </c>
      <c r="G1106" s="32" t="s">
        <v>44</v>
      </c>
      <c r="H1106" s="32" t="s">
        <v>1172</v>
      </c>
      <c r="I1106" s="32" t="s">
        <v>40</v>
      </c>
      <c r="J1106" s="32" t="s">
        <v>46</v>
      </c>
      <c r="K1106" s="32" t="s">
        <v>42</v>
      </c>
      <c r="M1106" s="32" t="s">
        <v>51</v>
      </c>
      <c r="N1106" s="32" t="s">
        <v>49</v>
      </c>
    </row>
    <row r="1107" spans="1:14" s="32" customFormat="1" hidden="1" x14ac:dyDescent="0.3">
      <c r="A1107" s="38">
        <v>46217.673981481479</v>
      </c>
      <c r="B1107" s="32">
        <v>1131043888</v>
      </c>
      <c r="C1107" s="32" t="s">
        <v>43</v>
      </c>
      <c r="D1107" s="32">
        <v>4430265054</v>
      </c>
      <c r="E1107" s="32">
        <v>212</v>
      </c>
      <c r="F1107" s="32">
        <v>191</v>
      </c>
      <c r="G1107" s="32" t="s">
        <v>44</v>
      </c>
      <c r="H1107" s="32" t="s">
        <v>1173</v>
      </c>
      <c r="I1107" s="32" t="s">
        <v>40</v>
      </c>
      <c r="J1107" s="32" t="s">
        <v>46</v>
      </c>
      <c r="K1107" s="32" t="s">
        <v>42</v>
      </c>
      <c r="M1107" s="32" t="s">
        <v>47</v>
      </c>
      <c r="N1107" s="32" t="s">
        <v>43</v>
      </c>
    </row>
    <row r="1108" spans="1:14" s="32" customFormat="1" hidden="1" x14ac:dyDescent="0.3">
      <c r="A1108" s="38">
        <v>46217.668287037035</v>
      </c>
      <c r="B1108" s="32" t="s">
        <v>58</v>
      </c>
      <c r="C1108" s="32">
        <v>4436313773</v>
      </c>
      <c r="E1108" s="32">
        <v>203</v>
      </c>
      <c r="F1108" s="32">
        <v>194</v>
      </c>
      <c r="G1108" s="32" t="s">
        <v>44</v>
      </c>
      <c r="H1108" s="32" t="s">
        <v>1174</v>
      </c>
      <c r="I1108" s="32" t="s">
        <v>54</v>
      </c>
      <c r="J1108" s="32" t="s">
        <v>46</v>
      </c>
      <c r="M1108" s="32" t="s">
        <v>60</v>
      </c>
      <c r="N1108" s="32" t="s">
        <v>58</v>
      </c>
    </row>
    <row r="1109" spans="1:14" s="32" customFormat="1" hidden="1" x14ac:dyDescent="0.3">
      <c r="A1109" s="38">
        <v>46217.661377314813</v>
      </c>
      <c r="B1109" s="32" t="s">
        <v>109</v>
      </c>
      <c r="C1109" s="32">
        <v>98984507887</v>
      </c>
      <c r="E1109" s="32">
        <v>12</v>
      </c>
      <c r="F1109" s="32">
        <v>0</v>
      </c>
      <c r="G1109" s="32" t="s">
        <v>63</v>
      </c>
      <c r="H1109" s="32" t="s">
        <v>1175</v>
      </c>
      <c r="I1109" s="32" t="s">
        <v>54</v>
      </c>
      <c r="J1109" s="32" t="s">
        <v>111</v>
      </c>
      <c r="M1109" s="32" t="s">
        <v>112</v>
      </c>
      <c r="N1109" s="32" t="s">
        <v>109</v>
      </c>
    </row>
    <row r="1110" spans="1:14" s="32" customFormat="1" hidden="1" x14ac:dyDescent="0.3">
      <c r="A1110" s="38">
        <v>46217.660543981481</v>
      </c>
      <c r="B1110" s="32" t="s">
        <v>109</v>
      </c>
      <c r="C1110" s="32">
        <v>51995665376</v>
      </c>
      <c r="E1110" s="32">
        <v>10</v>
      </c>
      <c r="F1110" s="32">
        <v>0</v>
      </c>
      <c r="G1110" s="32" t="s">
        <v>63</v>
      </c>
      <c r="H1110" s="32" t="s">
        <v>1176</v>
      </c>
      <c r="I1110" s="32" t="s">
        <v>54</v>
      </c>
      <c r="J1110" s="32" t="s">
        <v>111</v>
      </c>
      <c r="M1110" s="32" t="s">
        <v>112</v>
      </c>
      <c r="N1110" s="32" t="s">
        <v>109</v>
      </c>
    </row>
    <row r="1111" spans="1:14" s="32" customFormat="1" hidden="1" x14ac:dyDescent="0.3">
      <c r="A1111" s="38">
        <v>46217.659641203703</v>
      </c>
      <c r="B1111" s="32" t="s">
        <v>109</v>
      </c>
      <c r="C1111" s="32">
        <v>51993437497</v>
      </c>
      <c r="E1111" s="32">
        <v>9</v>
      </c>
      <c r="F1111" s="32">
        <v>0</v>
      </c>
      <c r="G1111" s="32" t="s">
        <v>63</v>
      </c>
      <c r="H1111" s="32" t="s">
        <v>1177</v>
      </c>
      <c r="I1111" s="32" t="s">
        <v>54</v>
      </c>
      <c r="J1111" s="32" t="s">
        <v>111</v>
      </c>
      <c r="M1111" s="32" t="s">
        <v>112</v>
      </c>
      <c r="N1111" s="32" t="s">
        <v>109</v>
      </c>
    </row>
    <row r="1112" spans="1:14" s="32" customFormat="1" hidden="1" x14ac:dyDescent="0.3">
      <c r="A1112" s="38">
        <v>46217.658055555556</v>
      </c>
      <c r="B1112" s="32" t="s">
        <v>207</v>
      </c>
      <c r="C1112" s="32">
        <v>1732146970</v>
      </c>
      <c r="E1112" s="32">
        <v>693</v>
      </c>
      <c r="F1112" s="32">
        <v>692</v>
      </c>
      <c r="G1112" s="32" t="s">
        <v>44</v>
      </c>
      <c r="H1112" s="32" t="s">
        <v>1178</v>
      </c>
      <c r="I1112" s="32" t="s">
        <v>54</v>
      </c>
      <c r="J1112" s="32" t="s">
        <v>111</v>
      </c>
      <c r="M1112" s="32" t="s">
        <v>209</v>
      </c>
      <c r="N1112" s="32" t="s">
        <v>207</v>
      </c>
    </row>
    <row r="1113" spans="1:14" s="32" customFormat="1" hidden="1" x14ac:dyDescent="0.3">
      <c r="A1113" s="38">
        <v>46217.654490740744</v>
      </c>
      <c r="B1113" s="32">
        <v>4430450103</v>
      </c>
      <c r="C1113" s="32" t="s">
        <v>43</v>
      </c>
      <c r="D1113" s="32">
        <v>4430265054</v>
      </c>
      <c r="E1113" s="32">
        <v>911</v>
      </c>
      <c r="F1113" s="32">
        <v>889</v>
      </c>
      <c r="G1113" s="32" t="s">
        <v>44</v>
      </c>
      <c r="H1113" s="32" t="s">
        <v>1179</v>
      </c>
      <c r="I1113" s="32" t="s">
        <v>40</v>
      </c>
      <c r="J1113" s="32" t="s">
        <v>46</v>
      </c>
      <c r="K1113" s="32" t="s">
        <v>42</v>
      </c>
      <c r="L1113" s="32">
        <v>5</v>
      </c>
      <c r="M1113" s="32" t="s">
        <v>47</v>
      </c>
      <c r="N1113" s="32" t="s">
        <v>43</v>
      </c>
    </row>
    <row r="1114" spans="1:14" s="32" customFormat="1" hidden="1" x14ac:dyDescent="0.3">
      <c r="A1114" s="38">
        <v>46217.652280092596</v>
      </c>
      <c r="B1114" s="32">
        <v>4436313773</v>
      </c>
      <c r="C1114" s="32" t="s">
        <v>58</v>
      </c>
      <c r="D1114" s="32">
        <v>4430265054</v>
      </c>
      <c r="E1114" s="32">
        <v>669</v>
      </c>
      <c r="F1114" s="32">
        <v>668</v>
      </c>
      <c r="G1114" s="32" t="s">
        <v>44</v>
      </c>
      <c r="H1114" s="32" t="s">
        <v>1180</v>
      </c>
      <c r="I1114" s="32" t="s">
        <v>40</v>
      </c>
      <c r="J1114" s="32" t="s">
        <v>46</v>
      </c>
      <c r="K1114" s="32" t="s">
        <v>42</v>
      </c>
      <c r="M1114" s="32" t="s">
        <v>60</v>
      </c>
      <c r="N1114" s="32" t="s">
        <v>58</v>
      </c>
    </row>
    <row r="1115" spans="1:14" s="32" customFormat="1" hidden="1" x14ac:dyDescent="0.3">
      <c r="A1115" s="38">
        <v>46217.651990740742</v>
      </c>
      <c r="B1115" s="32">
        <v>53981112780</v>
      </c>
      <c r="C1115" s="32" t="s">
        <v>1038</v>
      </c>
      <c r="D1115" s="32">
        <v>4430265054</v>
      </c>
      <c r="E1115" s="32">
        <v>2702</v>
      </c>
      <c r="F1115" s="32">
        <v>2659</v>
      </c>
      <c r="G1115" s="32" t="s">
        <v>44</v>
      </c>
      <c r="H1115" s="32" t="s">
        <v>1181</v>
      </c>
      <c r="I1115" s="32" t="s">
        <v>40</v>
      </c>
      <c r="J1115" s="32" t="s">
        <v>46</v>
      </c>
      <c r="K1115" s="32" t="s">
        <v>42</v>
      </c>
      <c r="M1115" s="32" t="s">
        <v>1040</v>
      </c>
      <c r="N1115" s="32" t="s">
        <v>1038</v>
      </c>
    </row>
    <row r="1116" spans="1:14" s="32" customFormat="1" hidden="1" x14ac:dyDescent="0.3">
      <c r="A1116" s="38">
        <v>46217.647881944446</v>
      </c>
      <c r="B1116" s="32" t="s">
        <v>109</v>
      </c>
      <c r="C1116" s="32">
        <v>34991430189</v>
      </c>
      <c r="E1116" s="32">
        <v>12</v>
      </c>
      <c r="F1116" s="32">
        <v>9</v>
      </c>
      <c r="G1116" s="32" t="s">
        <v>44</v>
      </c>
      <c r="H1116" s="32" t="s">
        <v>1182</v>
      </c>
      <c r="I1116" s="32" t="s">
        <v>54</v>
      </c>
      <c r="J1116" s="32" t="s">
        <v>111</v>
      </c>
      <c r="M1116" s="32" t="s">
        <v>112</v>
      </c>
      <c r="N1116" s="32" t="s">
        <v>109</v>
      </c>
    </row>
    <row r="1117" spans="1:14" s="32" customFormat="1" hidden="1" x14ac:dyDescent="0.3">
      <c r="A1117" s="38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38</v>
      </c>
      <c r="H1117" s="32" t="s">
        <v>1183</v>
      </c>
      <c r="I1117" s="32" t="s">
        <v>40</v>
      </c>
      <c r="J1117" s="32" t="s">
        <v>41</v>
      </c>
    </row>
    <row r="1118" spans="1:14" s="32" customFormat="1" hidden="1" x14ac:dyDescent="0.3">
      <c r="A1118" s="38">
        <v>46217.646828703706</v>
      </c>
      <c r="B1118" s="32" t="s">
        <v>109</v>
      </c>
      <c r="C1118" s="32">
        <v>65981121810</v>
      </c>
      <c r="E1118" s="32">
        <v>6</v>
      </c>
      <c r="F1118" s="32">
        <v>0</v>
      </c>
      <c r="G1118" s="32" t="s">
        <v>63</v>
      </c>
      <c r="H1118" s="32" t="s">
        <v>1184</v>
      </c>
      <c r="I1118" s="32" t="s">
        <v>54</v>
      </c>
      <c r="J1118" s="32" t="s">
        <v>111</v>
      </c>
      <c r="M1118" s="32" t="s">
        <v>112</v>
      </c>
      <c r="N1118" s="32" t="s">
        <v>109</v>
      </c>
    </row>
    <row r="1119" spans="1:14" s="32" customFormat="1" hidden="1" x14ac:dyDescent="0.3">
      <c r="A1119" s="38">
        <v>46217.64640046296</v>
      </c>
      <c r="B1119" s="32">
        <v>6234347959</v>
      </c>
      <c r="C1119" s="32" t="s">
        <v>58</v>
      </c>
      <c r="D1119" s="32">
        <v>4430265054</v>
      </c>
      <c r="E1119" s="32">
        <v>250</v>
      </c>
      <c r="F1119" s="32">
        <v>249</v>
      </c>
      <c r="G1119" s="32" t="s">
        <v>44</v>
      </c>
      <c r="H1119" s="32" t="s">
        <v>1185</v>
      </c>
      <c r="I1119" s="32" t="s">
        <v>40</v>
      </c>
      <c r="J1119" s="32" t="s">
        <v>46</v>
      </c>
      <c r="K1119" s="32" t="s">
        <v>42</v>
      </c>
      <c r="M1119" s="32" t="s">
        <v>60</v>
      </c>
      <c r="N1119" s="32" t="s">
        <v>58</v>
      </c>
    </row>
    <row r="1120" spans="1:14" s="32" customFormat="1" hidden="1" x14ac:dyDescent="0.3">
      <c r="A1120" s="38">
        <v>46217.643287037034</v>
      </c>
      <c r="B1120" s="32">
        <v>44999387742</v>
      </c>
      <c r="C1120" s="32" t="s">
        <v>43</v>
      </c>
      <c r="D1120" s="32">
        <v>4430265054</v>
      </c>
      <c r="E1120" s="32">
        <v>158</v>
      </c>
      <c r="F1120" s="32">
        <v>103</v>
      </c>
      <c r="G1120" s="32" t="s">
        <v>44</v>
      </c>
      <c r="H1120" s="32" t="s">
        <v>1186</v>
      </c>
      <c r="I1120" s="32" t="s">
        <v>40</v>
      </c>
      <c r="J1120" s="32" t="s">
        <v>46</v>
      </c>
      <c r="K1120" s="32" t="s">
        <v>42</v>
      </c>
      <c r="M1120" s="32" t="s">
        <v>47</v>
      </c>
      <c r="N1120" s="32" t="s">
        <v>43</v>
      </c>
    </row>
    <row r="1121" spans="1:14" s="32" customFormat="1" hidden="1" x14ac:dyDescent="0.3">
      <c r="A1121" s="38">
        <v>46217.638692129629</v>
      </c>
      <c r="B1121" s="32" t="s">
        <v>109</v>
      </c>
      <c r="C1121" s="32">
        <v>41991978709</v>
      </c>
      <c r="E1121" s="32">
        <v>34</v>
      </c>
      <c r="F1121" s="32">
        <v>0</v>
      </c>
      <c r="G1121" s="32" t="s">
        <v>63</v>
      </c>
      <c r="H1121" s="32" t="s">
        <v>1187</v>
      </c>
      <c r="I1121" s="32" t="s">
        <v>54</v>
      </c>
      <c r="J1121" s="32" t="s">
        <v>111</v>
      </c>
      <c r="M1121" s="32" t="s">
        <v>112</v>
      </c>
      <c r="N1121" s="32" t="s">
        <v>109</v>
      </c>
    </row>
    <row r="1122" spans="1:14" s="32" customFormat="1" hidden="1" x14ac:dyDescent="0.3">
      <c r="A1122" s="38">
        <v>46217.637800925928</v>
      </c>
      <c r="B1122" s="32" t="s">
        <v>207</v>
      </c>
      <c r="C1122" s="32">
        <v>44999807675</v>
      </c>
      <c r="E1122" s="32">
        <v>21</v>
      </c>
      <c r="F1122" s="32">
        <v>1</v>
      </c>
      <c r="G1122" s="32" t="s">
        <v>44</v>
      </c>
      <c r="H1122" s="32" t="s">
        <v>1188</v>
      </c>
      <c r="I1122" s="32" t="s">
        <v>54</v>
      </c>
      <c r="J1122" s="32" t="s">
        <v>111</v>
      </c>
      <c r="M1122" s="32" t="s">
        <v>209</v>
      </c>
      <c r="N1122" s="32" t="s">
        <v>207</v>
      </c>
    </row>
    <row r="1123" spans="1:14" s="32" customFormat="1" hidden="1" x14ac:dyDescent="0.3">
      <c r="A1123" s="38">
        <v>46217.636747685188</v>
      </c>
      <c r="B1123" s="32" t="s">
        <v>207</v>
      </c>
      <c r="C1123" s="32">
        <v>4432226677</v>
      </c>
      <c r="E1123" s="32">
        <v>73</v>
      </c>
      <c r="F1123" s="32">
        <v>0</v>
      </c>
      <c r="G1123" s="32" t="s">
        <v>63</v>
      </c>
      <c r="H1123" s="32" t="s">
        <v>1189</v>
      </c>
      <c r="I1123" s="32" t="s">
        <v>54</v>
      </c>
      <c r="J1123" s="32" t="s">
        <v>111</v>
      </c>
      <c r="M1123" s="32" t="s">
        <v>209</v>
      </c>
      <c r="N1123" s="32" t="s">
        <v>207</v>
      </c>
    </row>
    <row r="1124" spans="1:14" s="32" customFormat="1" hidden="1" x14ac:dyDescent="0.3">
      <c r="A1124" s="38">
        <v>46217.636631944442</v>
      </c>
      <c r="B1124" s="32" t="s">
        <v>207</v>
      </c>
      <c r="C1124" s="32">
        <v>4432227272</v>
      </c>
      <c r="E1124" s="32">
        <v>0</v>
      </c>
      <c r="F1124" s="32">
        <v>0</v>
      </c>
      <c r="G1124" s="32" t="s">
        <v>63</v>
      </c>
      <c r="H1124" s="32" t="s">
        <v>1190</v>
      </c>
      <c r="I1124" s="32" t="s">
        <v>54</v>
      </c>
      <c r="J1124" s="32" t="s">
        <v>111</v>
      </c>
      <c r="M1124" s="32" t="s">
        <v>209</v>
      </c>
      <c r="N1124" s="32" t="s">
        <v>207</v>
      </c>
    </row>
    <row r="1125" spans="1:14" s="32" customFormat="1" hidden="1" x14ac:dyDescent="0.3">
      <c r="A1125" s="38">
        <v>46217.634895833333</v>
      </c>
      <c r="B1125" s="32" t="s">
        <v>207</v>
      </c>
      <c r="C1125" s="32">
        <v>4432226677</v>
      </c>
      <c r="E1125" s="32">
        <v>73</v>
      </c>
      <c r="F1125" s="32">
        <v>0</v>
      </c>
      <c r="G1125" s="32" t="s">
        <v>63</v>
      </c>
      <c r="H1125" s="32" t="s">
        <v>1191</v>
      </c>
      <c r="I1125" s="32" t="s">
        <v>54</v>
      </c>
      <c r="J1125" s="32" t="s">
        <v>111</v>
      </c>
      <c r="M1125" s="32" t="s">
        <v>209</v>
      </c>
      <c r="N1125" s="32" t="s">
        <v>207</v>
      </c>
    </row>
    <row r="1126" spans="1:14" s="32" customFormat="1" hidden="1" x14ac:dyDescent="0.3">
      <c r="A1126" s="38">
        <v>46217.634722222225</v>
      </c>
      <c r="B1126" s="32">
        <v>4434239353</v>
      </c>
      <c r="C1126" s="32" t="s">
        <v>43</v>
      </c>
      <c r="D1126" s="32">
        <v>4430265054</v>
      </c>
      <c r="E1126" s="32">
        <v>644</v>
      </c>
      <c r="F1126" s="32">
        <v>567</v>
      </c>
      <c r="G1126" s="32" t="s">
        <v>44</v>
      </c>
      <c r="H1126" s="32" t="s">
        <v>1192</v>
      </c>
      <c r="I1126" s="32" t="s">
        <v>40</v>
      </c>
      <c r="J1126" s="32" t="s">
        <v>46</v>
      </c>
      <c r="K1126" s="32" t="s">
        <v>42</v>
      </c>
      <c r="L1126" s="32">
        <v>5</v>
      </c>
      <c r="M1126" s="32" t="s">
        <v>47</v>
      </c>
      <c r="N1126" s="32" t="s">
        <v>43</v>
      </c>
    </row>
    <row r="1127" spans="1:14" s="32" customFormat="1" hidden="1" x14ac:dyDescent="0.3">
      <c r="A1127" s="38">
        <v>46217.630300925928</v>
      </c>
      <c r="B1127" s="32">
        <v>1143744993</v>
      </c>
      <c r="C1127" s="32" t="s">
        <v>58</v>
      </c>
      <c r="D1127" s="32">
        <v>4431268225</v>
      </c>
      <c r="E1127" s="32">
        <v>764</v>
      </c>
      <c r="F1127" s="32">
        <v>633</v>
      </c>
      <c r="G1127" s="32" t="s">
        <v>44</v>
      </c>
      <c r="H1127" s="32" t="s">
        <v>1193</v>
      </c>
      <c r="I1127" s="32" t="s">
        <v>40</v>
      </c>
      <c r="J1127" s="32" t="s">
        <v>46</v>
      </c>
      <c r="K1127" s="32" t="s">
        <v>42</v>
      </c>
      <c r="L1127" s="32">
        <v>5</v>
      </c>
      <c r="M1127" s="32" t="s">
        <v>60</v>
      </c>
      <c r="N1127" s="32" t="s">
        <v>58</v>
      </c>
    </row>
    <row r="1128" spans="1:14" s="32" customFormat="1" x14ac:dyDescent="0.3">
      <c r="A1128" s="38">
        <v>46217.630115740743</v>
      </c>
      <c r="B1128" s="32">
        <v>44997215491</v>
      </c>
      <c r="C1128" s="32" t="s">
        <v>49</v>
      </c>
      <c r="D1128" s="32">
        <v>4430265054</v>
      </c>
      <c r="E1128" s="32">
        <v>1545</v>
      </c>
      <c r="F1128" s="32">
        <v>1395</v>
      </c>
      <c r="G1128" s="32" t="s">
        <v>44</v>
      </c>
      <c r="H1128" s="32" t="s">
        <v>1194</v>
      </c>
      <c r="I1128" s="32" t="s">
        <v>40</v>
      </c>
      <c r="J1128" s="32" t="s">
        <v>46</v>
      </c>
      <c r="K1128" s="32" t="s">
        <v>42</v>
      </c>
      <c r="L1128" s="32">
        <v>5</v>
      </c>
      <c r="M1128" s="32" t="s">
        <v>51</v>
      </c>
      <c r="N1128" s="32" t="s">
        <v>49</v>
      </c>
    </row>
    <row r="1129" spans="1:14" s="32" customFormat="1" hidden="1" x14ac:dyDescent="0.3">
      <c r="A1129" s="38">
        <v>46217.625752314816</v>
      </c>
      <c r="B1129" s="32">
        <v>1128897100</v>
      </c>
      <c r="C1129" s="32" t="s">
        <v>207</v>
      </c>
      <c r="D1129" s="32">
        <v>4430265054</v>
      </c>
      <c r="E1129" s="32">
        <v>212</v>
      </c>
      <c r="F1129" s="32">
        <v>198</v>
      </c>
      <c r="G1129" s="32" t="s">
        <v>44</v>
      </c>
      <c r="H1129" s="32" t="s">
        <v>1195</v>
      </c>
      <c r="I1129" s="32" t="s">
        <v>40</v>
      </c>
      <c r="J1129" s="32" t="s">
        <v>111</v>
      </c>
      <c r="K1129" s="32" t="s">
        <v>212</v>
      </c>
      <c r="M1129" s="32" t="s">
        <v>209</v>
      </c>
      <c r="N1129" s="32" t="s">
        <v>207</v>
      </c>
    </row>
    <row r="1130" spans="1:14" s="32" customFormat="1" hidden="1" x14ac:dyDescent="0.3">
      <c r="A1130" s="38">
        <v>46217.620821759258</v>
      </c>
      <c r="B1130" s="32" t="s">
        <v>109</v>
      </c>
      <c r="C1130" s="32">
        <v>61981041495</v>
      </c>
      <c r="E1130" s="32">
        <v>46</v>
      </c>
      <c r="F1130" s="32">
        <v>37</v>
      </c>
      <c r="G1130" s="32" t="s">
        <v>44</v>
      </c>
      <c r="H1130" s="32" t="s">
        <v>1196</v>
      </c>
      <c r="I1130" s="32" t="s">
        <v>54</v>
      </c>
      <c r="J1130" s="32" t="s">
        <v>111</v>
      </c>
      <c r="M1130" s="32" t="s">
        <v>112</v>
      </c>
      <c r="N1130" s="32" t="s">
        <v>109</v>
      </c>
    </row>
    <row r="1131" spans="1:14" s="32" customFormat="1" hidden="1" x14ac:dyDescent="0.3">
      <c r="A1131" s="38">
        <v>46217.619189814817</v>
      </c>
      <c r="B1131" s="32" t="s">
        <v>207</v>
      </c>
      <c r="C1131" s="32">
        <v>44999271285</v>
      </c>
      <c r="E1131" s="32">
        <v>11</v>
      </c>
      <c r="F1131" s="32">
        <v>7</v>
      </c>
      <c r="G1131" s="32" t="s">
        <v>44</v>
      </c>
      <c r="H1131" s="32" t="s">
        <v>1197</v>
      </c>
      <c r="I1131" s="32" t="s">
        <v>54</v>
      </c>
      <c r="J1131" s="32" t="s">
        <v>111</v>
      </c>
      <c r="M1131" s="32" t="s">
        <v>209</v>
      </c>
      <c r="N1131" s="32" t="s">
        <v>207</v>
      </c>
    </row>
    <row r="1132" spans="1:14" s="32" customFormat="1" hidden="1" x14ac:dyDescent="0.3">
      <c r="A1132" s="38">
        <v>46217.618993055556</v>
      </c>
      <c r="B1132" s="32" t="s">
        <v>207</v>
      </c>
      <c r="C1132" s="32">
        <v>4436761185</v>
      </c>
      <c r="E1132" s="32">
        <v>0</v>
      </c>
      <c r="F1132" s="32">
        <v>0</v>
      </c>
      <c r="G1132" s="32" t="s">
        <v>63</v>
      </c>
      <c r="H1132" s="32" t="s">
        <v>1198</v>
      </c>
      <c r="I1132" s="32" t="s">
        <v>54</v>
      </c>
      <c r="J1132" s="32" t="s">
        <v>111</v>
      </c>
      <c r="M1132" s="32" t="s">
        <v>209</v>
      </c>
      <c r="N1132" s="32" t="s">
        <v>207</v>
      </c>
    </row>
    <row r="1133" spans="1:14" s="32" customFormat="1" hidden="1" x14ac:dyDescent="0.3">
      <c r="A1133" s="38">
        <v>46217.618136574078</v>
      </c>
      <c r="B1133" s="32" t="s">
        <v>109</v>
      </c>
      <c r="C1133" s="32">
        <v>9238773870</v>
      </c>
      <c r="E1133" s="32">
        <v>12</v>
      </c>
      <c r="F1133" s="32">
        <v>0</v>
      </c>
      <c r="G1133" s="32" t="s">
        <v>63</v>
      </c>
      <c r="H1133" s="32" t="s">
        <v>1199</v>
      </c>
      <c r="I1133" s="32" t="s">
        <v>54</v>
      </c>
      <c r="J1133" s="32" t="s">
        <v>111</v>
      </c>
      <c r="M1133" s="32" t="s">
        <v>112</v>
      </c>
      <c r="N1133" s="32" t="s">
        <v>109</v>
      </c>
    </row>
    <row r="1134" spans="1:14" s="32" customFormat="1" hidden="1" x14ac:dyDescent="0.3">
      <c r="A1134" s="38">
        <v>46217.612881944442</v>
      </c>
      <c r="B1134" s="32">
        <v>53981112780</v>
      </c>
      <c r="C1134" s="32" t="s">
        <v>1038</v>
      </c>
      <c r="D1134" s="32">
        <v>4430265054</v>
      </c>
      <c r="E1134" s="32">
        <v>484</v>
      </c>
      <c r="F1134" s="32">
        <v>446</v>
      </c>
      <c r="G1134" s="32" t="s">
        <v>44</v>
      </c>
      <c r="H1134" s="32" t="s">
        <v>1200</v>
      </c>
      <c r="I1134" s="32" t="s">
        <v>40</v>
      </c>
      <c r="J1134" s="32" t="s">
        <v>46</v>
      </c>
      <c r="K1134" s="32" t="s">
        <v>42</v>
      </c>
      <c r="L1134" s="32">
        <v>5</v>
      </c>
      <c r="M1134" s="32" t="s">
        <v>1040</v>
      </c>
      <c r="N1134" s="32" t="s">
        <v>1038</v>
      </c>
    </row>
    <row r="1135" spans="1:14" s="32" customFormat="1" hidden="1" x14ac:dyDescent="0.3">
      <c r="A1135" s="38">
        <v>46217.605682870373</v>
      </c>
      <c r="B1135" s="32" t="s">
        <v>109</v>
      </c>
      <c r="C1135" s="32">
        <v>48999114866</v>
      </c>
      <c r="E1135" s="32">
        <v>7</v>
      </c>
      <c r="F1135" s="32">
        <v>2</v>
      </c>
      <c r="G1135" s="32" t="s">
        <v>44</v>
      </c>
      <c r="H1135" s="32" t="s">
        <v>1201</v>
      </c>
      <c r="I1135" s="32" t="s">
        <v>54</v>
      </c>
      <c r="J1135" s="32" t="s">
        <v>111</v>
      </c>
      <c r="M1135" s="32" t="s">
        <v>112</v>
      </c>
      <c r="N1135" s="32" t="s">
        <v>109</v>
      </c>
    </row>
    <row r="1136" spans="1:14" s="32" customFormat="1" hidden="1" x14ac:dyDescent="0.3">
      <c r="A1136" s="38">
        <v>46217.604803240742</v>
      </c>
      <c r="B1136" s="32" t="s">
        <v>109</v>
      </c>
      <c r="C1136" s="32">
        <v>21997920221</v>
      </c>
      <c r="E1136" s="32">
        <v>2</v>
      </c>
      <c r="F1136" s="32">
        <v>0</v>
      </c>
      <c r="G1136" s="32" t="s">
        <v>63</v>
      </c>
      <c r="H1136" s="32" t="s">
        <v>1202</v>
      </c>
      <c r="I1136" s="32" t="s">
        <v>54</v>
      </c>
      <c r="J1136" s="32" t="s">
        <v>111</v>
      </c>
      <c r="M1136" s="32" t="s">
        <v>112</v>
      </c>
      <c r="N1136" s="32" t="s">
        <v>109</v>
      </c>
    </row>
    <row r="1137" spans="1:14" s="32" customFormat="1" hidden="1" x14ac:dyDescent="0.3">
      <c r="A1137" s="38">
        <v>46217.603055555555</v>
      </c>
      <c r="B1137" s="32" t="s">
        <v>109</v>
      </c>
      <c r="C1137" s="32">
        <v>21991494985</v>
      </c>
      <c r="E1137" s="32">
        <v>22</v>
      </c>
      <c r="F1137" s="32">
        <v>2</v>
      </c>
      <c r="G1137" s="32" t="s">
        <v>44</v>
      </c>
      <c r="H1137" s="32" t="s">
        <v>1203</v>
      </c>
      <c r="I1137" s="32" t="s">
        <v>54</v>
      </c>
      <c r="J1137" s="32" t="s">
        <v>111</v>
      </c>
      <c r="M1137" s="32" t="s">
        <v>112</v>
      </c>
      <c r="N1137" s="32" t="s">
        <v>109</v>
      </c>
    </row>
    <row r="1138" spans="1:14" s="32" customFormat="1" hidden="1" x14ac:dyDescent="0.3">
      <c r="A1138" s="38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44</v>
      </c>
      <c r="H1138" s="32" t="s">
        <v>1204</v>
      </c>
      <c r="I1138" s="32" t="s">
        <v>40</v>
      </c>
      <c r="J1138" s="32" t="s">
        <v>41</v>
      </c>
      <c r="K1138" s="32" t="s">
        <v>42</v>
      </c>
    </row>
    <row r="1139" spans="1:14" s="32" customFormat="1" hidden="1" x14ac:dyDescent="0.3">
      <c r="A1139" s="38">
        <v>46217.597337962965</v>
      </c>
      <c r="B1139" s="32">
        <v>44998068281</v>
      </c>
      <c r="C1139" s="32" t="s">
        <v>1038</v>
      </c>
      <c r="D1139" s="32">
        <v>4430265054</v>
      </c>
      <c r="E1139" s="32">
        <v>864</v>
      </c>
      <c r="F1139" s="32">
        <v>763</v>
      </c>
      <c r="G1139" s="32" t="s">
        <v>44</v>
      </c>
      <c r="H1139" s="32" t="s">
        <v>1205</v>
      </c>
      <c r="I1139" s="32" t="s">
        <v>40</v>
      </c>
      <c r="J1139" s="32" t="s">
        <v>46</v>
      </c>
      <c r="K1139" s="32" t="s">
        <v>42</v>
      </c>
      <c r="M1139" s="32" t="s">
        <v>1040</v>
      </c>
      <c r="N1139" s="32" t="s">
        <v>1038</v>
      </c>
    </row>
    <row r="1140" spans="1:14" s="32" customFormat="1" hidden="1" x14ac:dyDescent="0.3">
      <c r="A1140" s="38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38</v>
      </c>
      <c r="H1140" s="32" t="s">
        <v>1206</v>
      </c>
      <c r="I1140" s="32" t="s">
        <v>40</v>
      </c>
      <c r="J1140" s="32" t="s">
        <v>41</v>
      </c>
    </row>
    <row r="1141" spans="1:14" s="32" customFormat="1" hidden="1" x14ac:dyDescent="0.3">
      <c r="A1141" s="38">
        <v>46217.58871527778</v>
      </c>
      <c r="B1141" s="32">
        <v>1143744993</v>
      </c>
      <c r="C1141" s="32" t="s">
        <v>43</v>
      </c>
      <c r="D1141" s="32">
        <v>4431268225</v>
      </c>
      <c r="E1141" s="32">
        <v>1285</v>
      </c>
      <c r="F1141" s="32">
        <v>1238</v>
      </c>
      <c r="G1141" s="32" t="s">
        <v>44</v>
      </c>
      <c r="H1141" s="32" t="s">
        <v>1207</v>
      </c>
      <c r="I1141" s="32" t="s">
        <v>40</v>
      </c>
      <c r="J1141" s="32" t="s">
        <v>46</v>
      </c>
      <c r="K1141" s="32" t="s">
        <v>42</v>
      </c>
      <c r="L1141" s="32">
        <v>4</v>
      </c>
      <c r="M1141" s="32" t="s">
        <v>47</v>
      </c>
      <c r="N1141" s="32" t="s">
        <v>43</v>
      </c>
    </row>
    <row r="1142" spans="1:14" s="32" customFormat="1" hidden="1" x14ac:dyDescent="0.3">
      <c r="A1142" s="38">
        <v>46217.569282407407</v>
      </c>
      <c r="B1142" s="32">
        <v>44999497001</v>
      </c>
      <c r="C1142" s="32" t="s">
        <v>1038</v>
      </c>
      <c r="D1142" s="32">
        <v>4430265054</v>
      </c>
      <c r="E1142" s="32">
        <v>2075</v>
      </c>
      <c r="F1142" s="32">
        <v>1947</v>
      </c>
      <c r="G1142" s="32" t="s">
        <v>44</v>
      </c>
      <c r="H1142" s="32" t="s">
        <v>1208</v>
      </c>
      <c r="I1142" s="32" t="s">
        <v>40</v>
      </c>
      <c r="J1142" s="32" t="s">
        <v>46</v>
      </c>
      <c r="K1142" s="32" t="s">
        <v>42</v>
      </c>
      <c r="M1142" s="32" t="s">
        <v>1040</v>
      </c>
      <c r="N1142" s="32" t="s">
        <v>1038</v>
      </c>
    </row>
    <row r="1143" spans="1:14" s="32" customFormat="1" hidden="1" x14ac:dyDescent="0.3">
      <c r="A1143" s="38">
        <v>46217.563067129631</v>
      </c>
      <c r="B1143" s="32">
        <v>43999965552</v>
      </c>
      <c r="C1143" s="32" t="s">
        <v>43</v>
      </c>
      <c r="D1143" s="32">
        <v>4430265054</v>
      </c>
      <c r="E1143" s="32">
        <v>292</v>
      </c>
      <c r="F1143" s="32">
        <v>225</v>
      </c>
      <c r="G1143" s="32" t="s">
        <v>44</v>
      </c>
      <c r="H1143" s="32" t="s">
        <v>1209</v>
      </c>
      <c r="I1143" s="32" t="s">
        <v>40</v>
      </c>
      <c r="J1143" s="32" t="s">
        <v>46</v>
      </c>
      <c r="K1143" s="32" t="s">
        <v>42</v>
      </c>
      <c r="M1143" s="32" t="s">
        <v>47</v>
      </c>
      <c r="N1143" s="32" t="s">
        <v>43</v>
      </c>
    </row>
    <row r="1144" spans="1:14" s="32" customFormat="1" hidden="1" x14ac:dyDescent="0.3">
      <c r="A1144" s="38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38</v>
      </c>
      <c r="H1144" s="32" t="s">
        <v>1210</v>
      </c>
      <c r="I1144" s="32" t="s">
        <v>40</v>
      </c>
      <c r="J1144" s="32" t="s">
        <v>41</v>
      </c>
    </row>
    <row r="1145" spans="1:14" s="32" customFormat="1" hidden="1" x14ac:dyDescent="0.3">
      <c r="A1145" s="38">
        <v>46217.554675925923</v>
      </c>
      <c r="B1145" s="32" t="s">
        <v>49</v>
      </c>
      <c r="C1145" s="32">
        <v>4432226677</v>
      </c>
      <c r="E1145" s="32">
        <v>1832</v>
      </c>
      <c r="F1145" s="32">
        <v>1824</v>
      </c>
      <c r="G1145" s="32" t="s">
        <v>44</v>
      </c>
      <c r="H1145" s="32" t="s">
        <v>1211</v>
      </c>
      <c r="I1145" s="32" t="s">
        <v>54</v>
      </c>
      <c r="J1145" s="32" t="s">
        <v>46</v>
      </c>
      <c r="M1145" s="32" t="s">
        <v>51</v>
      </c>
      <c r="N1145" s="32" t="s">
        <v>49</v>
      </c>
    </row>
    <row r="1146" spans="1:14" s="32" customFormat="1" hidden="1" x14ac:dyDescent="0.3">
      <c r="A1146" s="38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38</v>
      </c>
      <c r="H1146" s="32" t="s">
        <v>1212</v>
      </c>
      <c r="I1146" s="32" t="s">
        <v>40</v>
      </c>
      <c r="J1146" s="32" t="s">
        <v>41</v>
      </c>
    </row>
    <row r="1147" spans="1:14" s="32" customFormat="1" hidden="1" x14ac:dyDescent="0.3">
      <c r="A1147" s="38">
        <v>46217.497916666667</v>
      </c>
      <c r="B1147" s="32" t="s">
        <v>49</v>
      </c>
      <c r="C1147" s="32">
        <v>4432226677</v>
      </c>
      <c r="E1147" s="32">
        <v>70</v>
      </c>
      <c r="F1147" s="32">
        <v>0</v>
      </c>
      <c r="G1147" s="32" t="s">
        <v>63</v>
      </c>
      <c r="H1147" s="32" t="s">
        <v>1213</v>
      </c>
      <c r="I1147" s="32" t="s">
        <v>54</v>
      </c>
      <c r="J1147" s="32" t="s">
        <v>46</v>
      </c>
      <c r="M1147" s="32" t="s">
        <v>51</v>
      </c>
      <c r="N1147" s="32" t="s">
        <v>49</v>
      </c>
    </row>
    <row r="1148" spans="1:14" s="32" customFormat="1" hidden="1" x14ac:dyDescent="0.3">
      <c r="A1148" s="38">
        <v>46217.497858796298</v>
      </c>
      <c r="B1148" s="32" t="s">
        <v>49</v>
      </c>
      <c r="C1148" s="32">
        <v>4432226677</v>
      </c>
      <c r="E1148" s="32">
        <v>14</v>
      </c>
      <c r="F1148" s="32">
        <v>14</v>
      </c>
      <c r="G1148" s="32" t="s">
        <v>44</v>
      </c>
      <c r="H1148" s="32" t="s">
        <v>1214</v>
      </c>
      <c r="I1148" s="32" t="s">
        <v>54</v>
      </c>
      <c r="J1148" s="32" t="s">
        <v>46</v>
      </c>
      <c r="M1148" s="32" t="s">
        <v>51</v>
      </c>
      <c r="N1148" s="32" t="s">
        <v>49</v>
      </c>
    </row>
    <row r="1149" spans="1:14" s="32" customFormat="1" hidden="1" x14ac:dyDescent="0.3">
      <c r="A1149" s="38">
        <v>46217.496087962965</v>
      </c>
      <c r="B1149" s="32">
        <v>83988398480</v>
      </c>
      <c r="C1149" s="32" t="s">
        <v>43</v>
      </c>
      <c r="D1149" s="32">
        <v>4430265054</v>
      </c>
      <c r="E1149" s="32">
        <v>227</v>
      </c>
      <c r="F1149" s="32">
        <v>198</v>
      </c>
      <c r="G1149" s="32" t="s">
        <v>44</v>
      </c>
      <c r="H1149" s="32" t="s">
        <v>1215</v>
      </c>
      <c r="I1149" s="32" t="s">
        <v>40</v>
      </c>
      <c r="J1149" s="32" t="s">
        <v>46</v>
      </c>
      <c r="K1149" s="32" t="s">
        <v>42</v>
      </c>
      <c r="M1149" s="32" t="s">
        <v>47</v>
      </c>
      <c r="N1149" s="32" t="s">
        <v>43</v>
      </c>
    </row>
    <row r="1150" spans="1:14" s="32" customFormat="1" hidden="1" x14ac:dyDescent="0.3">
      <c r="A1150" s="38">
        <v>46217.495879629627</v>
      </c>
      <c r="B1150" s="32" t="s">
        <v>1038</v>
      </c>
      <c r="C1150" s="32">
        <v>44999689445</v>
      </c>
      <c r="E1150" s="32">
        <v>276</v>
      </c>
      <c r="F1150" s="32">
        <v>267</v>
      </c>
      <c r="G1150" s="32" t="s">
        <v>44</v>
      </c>
      <c r="H1150" s="32" t="s">
        <v>1216</v>
      </c>
      <c r="I1150" s="32" t="s">
        <v>54</v>
      </c>
      <c r="J1150" s="32" t="s">
        <v>46</v>
      </c>
      <c r="M1150" s="32" t="s">
        <v>1040</v>
      </c>
      <c r="N1150" s="32" t="s">
        <v>1038</v>
      </c>
    </row>
    <row r="1151" spans="1:14" s="32" customFormat="1" hidden="1" x14ac:dyDescent="0.3">
      <c r="A1151" s="38">
        <v>46217.495821759258</v>
      </c>
      <c r="B1151" s="32" t="s">
        <v>1038</v>
      </c>
      <c r="C1151" s="32">
        <v>4436281154</v>
      </c>
      <c r="E1151" s="32">
        <v>3</v>
      </c>
      <c r="F1151" s="32">
        <v>0</v>
      </c>
      <c r="G1151" s="32" t="s">
        <v>63</v>
      </c>
      <c r="H1151" s="32" t="s">
        <v>1217</v>
      </c>
      <c r="I1151" s="32" t="s">
        <v>54</v>
      </c>
      <c r="J1151" s="32" t="s">
        <v>46</v>
      </c>
      <c r="M1151" s="32" t="s">
        <v>1040</v>
      </c>
      <c r="N1151" s="32" t="s">
        <v>1038</v>
      </c>
    </row>
    <row r="1152" spans="1:14" s="32" customFormat="1" hidden="1" x14ac:dyDescent="0.3">
      <c r="A1152" s="38">
        <v>46217.495787037034</v>
      </c>
      <c r="B1152" s="32" t="s">
        <v>1038</v>
      </c>
      <c r="C1152" s="32">
        <v>4436281154</v>
      </c>
      <c r="E1152" s="32">
        <v>2</v>
      </c>
      <c r="F1152" s="32">
        <v>0</v>
      </c>
      <c r="G1152" s="32" t="s">
        <v>63</v>
      </c>
      <c r="H1152" s="32" t="s">
        <v>1218</v>
      </c>
      <c r="I1152" s="32" t="s">
        <v>54</v>
      </c>
      <c r="J1152" s="32" t="s">
        <v>46</v>
      </c>
      <c r="M1152" s="32" t="s">
        <v>1040</v>
      </c>
      <c r="N1152" s="32" t="s">
        <v>1038</v>
      </c>
    </row>
    <row r="1153" spans="1:14" s="32" customFormat="1" hidden="1" x14ac:dyDescent="0.3">
      <c r="A1153" s="38">
        <v>46217.495405092595</v>
      </c>
      <c r="B1153" s="32" t="s">
        <v>1038</v>
      </c>
      <c r="C1153" s="32">
        <v>44999689445</v>
      </c>
      <c r="E1153" s="32">
        <v>49</v>
      </c>
      <c r="F1153" s="32">
        <v>36</v>
      </c>
      <c r="G1153" s="32" t="s">
        <v>44</v>
      </c>
      <c r="H1153" s="32" t="s">
        <v>1219</v>
      </c>
      <c r="I1153" s="32" t="s">
        <v>54</v>
      </c>
      <c r="J1153" s="32" t="s">
        <v>46</v>
      </c>
      <c r="M1153" s="32" t="s">
        <v>1040</v>
      </c>
      <c r="N1153" s="32" t="s">
        <v>1038</v>
      </c>
    </row>
    <row r="1154" spans="1:14" s="32" customFormat="1" hidden="1" x14ac:dyDescent="0.3">
      <c r="A1154" s="38">
        <v>46217.495162037034</v>
      </c>
      <c r="B1154" s="32" t="s">
        <v>1038</v>
      </c>
      <c r="C1154" s="32">
        <v>4436281154</v>
      </c>
      <c r="E1154" s="32">
        <v>2</v>
      </c>
      <c r="F1154" s="32">
        <v>0</v>
      </c>
      <c r="G1154" s="32" t="s">
        <v>63</v>
      </c>
      <c r="H1154" s="32" t="s">
        <v>1220</v>
      </c>
      <c r="I1154" s="32" t="s">
        <v>54</v>
      </c>
      <c r="J1154" s="32" t="s">
        <v>46</v>
      </c>
      <c r="M1154" s="32" t="s">
        <v>1040</v>
      </c>
      <c r="N1154" s="32" t="s">
        <v>1038</v>
      </c>
    </row>
    <row r="1155" spans="1:14" s="32" customFormat="1" hidden="1" x14ac:dyDescent="0.3">
      <c r="A1155" s="38">
        <v>46217.495000000003</v>
      </c>
      <c r="B1155" s="32" t="s">
        <v>1038</v>
      </c>
      <c r="C1155" s="32">
        <v>4436281154</v>
      </c>
      <c r="E1155" s="32">
        <v>3</v>
      </c>
      <c r="F1155" s="32">
        <v>0</v>
      </c>
      <c r="G1155" s="32" t="s">
        <v>63</v>
      </c>
      <c r="H1155" s="32" t="s">
        <v>1221</v>
      </c>
      <c r="I1155" s="32" t="s">
        <v>54</v>
      </c>
      <c r="J1155" s="32" t="s">
        <v>46</v>
      </c>
      <c r="M1155" s="32" t="s">
        <v>1040</v>
      </c>
      <c r="N1155" s="32" t="s">
        <v>1038</v>
      </c>
    </row>
    <row r="1156" spans="1:14" s="32" customFormat="1" hidden="1" x14ac:dyDescent="0.3">
      <c r="A1156" s="38">
        <v>46217.494606481479</v>
      </c>
      <c r="B1156" s="32" t="s">
        <v>1038</v>
      </c>
      <c r="C1156" s="32">
        <v>4436281154</v>
      </c>
      <c r="E1156" s="32">
        <v>8</v>
      </c>
      <c r="F1156" s="32">
        <v>0</v>
      </c>
      <c r="G1156" s="32" t="s">
        <v>63</v>
      </c>
      <c r="H1156" s="32" t="s">
        <v>1222</v>
      </c>
      <c r="I1156" s="32" t="s">
        <v>54</v>
      </c>
      <c r="J1156" s="32" t="s">
        <v>46</v>
      </c>
      <c r="M1156" s="32" t="s">
        <v>1040</v>
      </c>
      <c r="N1156" s="32" t="s">
        <v>1038</v>
      </c>
    </row>
    <row r="1157" spans="1:14" s="32" customFormat="1" hidden="1" x14ac:dyDescent="0.3">
      <c r="A1157" s="38">
        <v>46217.472986111112</v>
      </c>
      <c r="B1157" s="32">
        <v>1732146970</v>
      </c>
      <c r="C1157" s="32" t="s">
        <v>58</v>
      </c>
      <c r="D1157" s="32">
        <v>4431268225</v>
      </c>
      <c r="E1157" s="32">
        <v>888</v>
      </c>
      <c r="F1157" s="32">
        <v>864</v>
      </c>
      <c r="G1157" s="32" t="s">
        <v>44</v>
      </c>
      <c r="H1157" s="32" t="s">
        <v>1223</v>
      </c>
      <c r="I1157" s="32" t="s">
        <v>40</v>
      </c>
      <c r="J1157" s="32" t="s">
        <v>46</v>
      </c>
      <c r="K1157" s="32" t="s">
        <v>42</v>
      </c>
      <c r="M1157" s="32" t="s">
        <v>60</v>
      </c>
      <c r="N1157" s="32" t="s">
        <v>58</v>
      </c>
    </row>
    <row r="1158" spans="1:14" s="32" customFormat="1" hidden="1" x14ac:dyDescent="0.3">
      <c r="A1158" s="38">
        <v>46217.466967592591</v>
      </c>
      <c r="B1158" s="32">
        <v>4432226677</v>
      </c>
      <c r="C1158" s="32" t="s">
        <v>49</v>
      </c>
      <c r="D1158" s="32">
        <v>4430265054</v>
      </c>
      <c r="E1158" s="32">
        <v>1801</v>
      </c>
      <c r="F1158" s="32">
        <v>1761</v>
      </c>
      <c r="G1158" s="32" t="s">
        <v>44</v>
      </c>
      <c r="H1158" s="32" t="s">
        <v>1224</v>
      </c>
      <c r="I1158" s="32" t="s">
        <v>40</v>
      </c>
      <c r="J1158" s="32" t="s">
        <v>46</v>
      </c>
      <c r="K1158" s="32" t="s">
        <v>42</v>
      </c>
      <c r="M1158" s="32" t="s">
        <v>51</v>
      </c>
      <c r="N1158" s="32" t="s">
        <v>49</v>
      </c>
    </row>
    <row r="1159" spans="1:14" s="32" customFormat="1" hidden="1" x14ac:dyDescent="0.3">
      <c r="A1159" s="38">
        <v>46217.460682870369</v>
      </c>
      <c r="B1159" s="32" t="s">
        <v>109</v>
      </c>
      <c r="C1159" s="32">
        <v>35999079042</v>
      </c>
      <c r="E1159" s="32">
        <v>19</v>
      </c>
      <c r="F1159" s="32">
        <v>1</v>
      </c>
      <c r="G1159" s="32" t="s">
        <v>44</v>
      </c>
      <c r="H1159" s="32" t="s">
        <v>1225</v>
      </c>
      <c r="I1159" s="32" t="s">
        <v>54</v>
      </c>
      <c r="J1159" s="32" t="s">
        <v>111</v>
      </c>
      <c r="M1159" s="32" t="s">
        <v>112</v>
      </c>
      <c r="N1159" s="32" t="s">
        <v>109</v>
      </c>
    </row>
    <row r="1160" spans="1:14" s="32" customFormat="1" hidden="1" x14ac:dyDescent="0.3">
      <c r="A1160" s="38">
        <v>46217.460011574076</v>
      </c>
      <c r="B1160" s="32" t="s">
        <v>109</v>
      </c>
      <c r="C1160" s="32">
        <v>11982065909</v>
      </c>
      <c r="E1160" s="32">
        <v>16</v>
      </c>
      <c r="F1160" s="32">
        <v>10</v>
      </c>
      <c r="G1160" s="32" t="s">
        <v>44</v>
      </c>
      <c r="H1160" s="32" t="s">
        <v>1226</v>
      </c>
      <c r="I1160" s="32" t="s">
        <v>54</v>
      </c>
      <c r="J1160" s="32" t="s">
        <v>111</v>
      </c>
      <c r="M1160" s="32" t="s">
        <v>112</v>
      </c>
      <c r="N1160" s="32" t="s">
        <v>109</v>
      </c>
    </row>
    <row r="1161" spans="1:14" s="32" customFormat="1" hidden="1" x14ac:dyDescent="0.3">
      <c r="A1161" s="38">
        <v>46217.451956018522</v>
      </c>
      <c r="B1161" s="32" t="s">
        <v>58</v>
      </c>
      <c r="C1161" s="32">
        <v>4435228300</v>
      </c>
      <c r="E1161" s="32">
        <v>769</v>
      </c>
      <c r="F1161" s="32">
        <v>758</v>
      </c>
      <c r="G1161" s="32" t="s">
        <v>44</v>
      </c>
      <c r="H1161" s="32" t="s">
        <v>1227</v>
      </c>
      <c r="I1161" s="32" t="s">
        <v>54</v>
      </c>
      <c r="J1161" s="32" t="s">
        <v>46</v>
      </c>
      <c r="M1161" s="32" t="s">
        <v>60</v>
      </c>
      <c r="N1161" s="32" t="s">
        <v>58</v>
      </c>
    </row>
    <row r="1162" spans="1:14" s="32" customFormat="1" hidden="1" x14ac:dyDescent="0.3">
      <c r="A1162" s="38">
        <v>46217.449259259258</v>
      </c>
      <c r="B1162" s="32" t="s">
        <v>207</v>
      </c>
      <c r="C1162" s="32">
        <v>19997034825</v>
      </c>
      <c r="E1162" s="32">
        <v>14</v>
      </c>
      <c r="F1162" s="32">
        <v>0</v>
      </c>
      <c r="G1162" s="32" t="s">
        <v>63</v>
      </c>
      <c r="H1162" s="32" t="s">
        <v>1228</v>
      </c>
      <c r="I1162" s="32" t="s">
        <v>54</v>
      </c>
      <c r="J1162" s="32" t="s">
        <v>111</v>
      </c>
      <c r="M1162" s="32" t="s">
        <v>209</v>
      </c>
      <c r="N1162" s="32" t="s">
        <v>207</v>
      </c>
    </row>
    <row r="1163" spans="1:14" s="32" customFormat="1" hidden="1" x14ac:dyDescent="0.3">
      <c r="A1163" s="38">
        <v>46217.444618055553</v>
      </c>
      <c r="B1163" s="32" t="s">
        <v>43</v>
      </c>
      <c r="C1163" s="32">
        <v>6234347959</v>
      </c>
      <c r="E1163" s="32">
        <v>53</v>
      </c>
      <c r="F1163" s="32">
        <v>0</v>
      </c>
      <c r="G1163" s="32" t="s">
        <v>63</v>
      </c>
      <c r="H1163" s="32" t="s">
        <v>1229</v>
      </c>
      <c r="I1163" s="32" t="s">
        <v>54</v>
      </c>
      <c r="J1163" s="32" t="s">
        <v>46</v>
      </c>
      <c r="M1163" s="32" t="s">
        <v>47</v>
      </c>
      <c r="N1163" s="32" t="s">
        <v>43</v>
      </c>
    </row>
    <row r="1164" spans="1:14" s="32" customFormat="1" hidden="1" x14ac:dyDescent="0.3">
      <c r="A1164" s="38">
        <v>46217.443252314813</v>
      </c>
      <c r="B1164" s="32">
        <v>4430141092</v>
      </c>
      <c r="C1164" s="32" t="s">
        <v>49</v>
      </c>
      <c r="D1164" s="32">
        <v>4430265054</v>
      </c>
      <c r="E1164" s="32">
        <v>364</v>
      </c>
      <c r="F1164" s="32">
        <v>290</v>
      </c>
      <c r="G1164" s="32" t="s">
        <v>44</v>
      </c>
      <c r="H1164" s="32" t="s">
        <v>1230</v>
      </c>
      <c r="I1164" s="32" t="s">
        <v>40</v>
      </c>
      <c r="J1164" s="32" t="s">
        <v>46</v>
      </c>
      <c r="K1164" s="32" t="s">
        <v>42</v>
      </c>
      <c r="M1164" s="32" t="s">
        <v>51</v>
      </c>
      <c r="N1164" s="32" t="s">
        <v>49</v>
      </c>
    </row>
    <row r="1165" spans="1:14" s="32" customFormat="1" hidden="1" x14ac:dyDescent="0.3">
      <c r="A1165" s="38">
        <v>46217.443229166667</v>
      </c>
      <c r="B1165" s="32" t="s">
        <v>1038</v>
      </c>
      <c r="C1165" s="32">
        <v>44998782223</v>
      </c>
      <c r="E1165" s="32">
        <v>435</v>
      </c>
      <c r="F1165" s="32">
        <v>426</v>
      </c>
      <c r="G1165" s="32" t="s">
        <v>44</v>
      </c>
      <c r="H1165" s="32" t="s">
        <v>1231</v>
      </c>
      <c r="I1165" s="32" t="s">
        <v>54</v>
      </c>
      <c r="J1165" s="32" t="s">
        <v>46</v>
      </c>
      <c r="L1165" s="32">
        <v>5</v>
      </c>
      <c r="M1165" s="32" t="s">
        <v>1040</v>
      </c>
      <c r="N1165" s="32" t="s">
        <v>1038</v>
      </c>
    </row>
    <row r="1166" spans="1:14" s="32" customFormat="1" hidden="1" x14ac:dyDescent="0.3">
      <c r="A1166" s="38">
        <v>46217.442719907405</v>
      </c>
      <c r="B1166" s="32" t="s">
        <v>1038</v>
      </c>
      <c r="C1166" s="32">
        <v>44998547551</v>
      </c>
      <c r="E1166" s="32">
        <v>36</v>
      </c>
      <c r="F1166" s="32">
        <v>0</v>
      </c>
      <c r="G1166" s="32" t="s">
        <v>63</v>
      </c>
      <c r="H1166" s="32" t="s">
        <v>1232</v>
      </c>
      <c r="I1166" s="32" t="s">
        <v>54</v>
      </c>
      <c r="J1166" s="32" t="s">
        <v>46</v>
      </c>
      <c r="M1166" s="32" t="s">
        <v>1040</v>
      </c>
      <c r="N1166" s="32" t="s">
        <v>1038</v>
      </c>
    </row>
    <row r="1167" spans="1:14" s="32" customFormat="1" hidden="1" x14ac:dyDescent="0.3">
      <c r="A1167" s="38">
        <v>46217.44222222222</v>
      </c>
      <c r="B1167" s="32" t="s">
        <v>1038</v>
      </c>
      <c r="C1167" s="32">
        <v>4436313773</v>
      </c>
      <c r="E1167" s="32">
        <v>5</v>
      </c>
      <c r="F1167" s="32">
        <v>0</v>
      </c>
      <c r="G1167" s="32" t="s">
        <v>63</v>
      </c>
      <c r="H1167" s="32" t="s">
        <v>1233</v>
      </c>
      <c r="I1167" s="32" t="s">
        <v>54</v>
      </c>
      <c r="J1167" s="32" t="s">
        <v>46</v>
      </c>
      <c r="M1167" s="32" t="s">
        <v>1040</v>
      </c>
      <c r="N1167" s="32" t="s">
        <v>1038</v>
      </c>
    </row>
    <row r="1168" spans="1:14" s="32" customFormat="1" hidden="1" x14ac:dyDescent="0.3">
      <c r="A1168" s="38">
        <v>46217.442129629628</v>
      </c>
      <c r="B1168" s="32" t="s">
        <v>1038</v>
      </c>
      <c r="C1168" s="32">
        <v>4436313773</v>
      </c>
      <c r="E1168" s="32">
        <v>14</v>
      </c>
      <c r="F1168" s="32">
        <v>14</v>
      </c>
      <c r="G1168" s="32" t="s">
        <v>44</v>
      </c>
      <c r="H1168" s="32" t="s">
        <v>1234</v>
      </c>
      <c r="I1168" s="32" t="s">
        <v>54</v>
      </c>
      <c r="J1168" s="32" t="s">
        <v>46</v>
      </c>
      <c r="M1168" s="32" t="s">
        <v>1040</v>
      </c>
      <c r="N1168" s="32" t="s">
        <v>1038</v>
      </c>
    </row>
    <row r="1169" spans="1:14" s="32" customFormat="1" hidden="1" x14ac:dyDescent="0.3">
      <c r="A1169" s="38">
        <v>46217.442002314812</v>
      </c>
      <c r="B1169" s="32" t="s">
        <v>1038</v>
      </c>
      <c r="C1169" s="32">
        <v>4436313773</v>
      </c>
      <c r="E1169" s="32">
        <v>9</v>
      </c>
      <c r="F1169" s="32">
        <v>0</v>
      </c>
      <c r="G1169" s="32" t="s">
        <v>63</v>
      </c>
      <c r="H1169" s="32" t="s">
        <v>1235</v>
      </c>
      <c r="I1169" s="32" t="s">
        <v>54</v>
      </c>
      <c r="J1169" s="32" t="s">
        <v>46</v>
      </c>
      <c r="M1169" s="32" t="s">
        <v>1040</v>
      </c>
      <c r="N1169" s="32" t="s">
        <v>1038</v>
      </c>
    </row>
    <row r="1170" spans="1:14" s="32" customFormat="1" hidden="1" x14ac:dyDescent="0.3">
      <c r="A1170" s="38">
        <v>46217.440578703703</v>
      </c>
      <c r="B1170" s="32" t="s">
        <v>379</v>
      </c>
      <c r="C1170" s="32" t="s">
        <v>207</v>
      </c>
      <c r="E1170" s="32">
        <v>576</v>
      </c>
      <c r="F1170" s="32">
        <v>573</v>
      </c>
      <c r="G1170" s="32" t="s">
        <v>44</v>
      </c>
      <c r="H1170" s="32" t="s">
        <v>1236</v>
      </c>
      <c r="I1170" s="32" t="s">
        <v>694</v>
      </c>
      <c r="J1170" s="32" t="s">
        <v>111</v>
      </c>
      <c r="M1170" s="32" t="s">
        <v>381</v>
      </c>
      <c r="N1170" s="32" t="s">
        <v>379</v>
      </c>
    </row>
    <row r="1171" spans="1:14" s="32" customFormat="1" hidden="1" x14ac:dyDescent="0.3">
      <c r="A1171" s="38">
        <v>46217.437013888892</v>
      </c>
      <c r="B1171" s="32">
        <v>6234347959</v>
      </c>
      <c r="C1171" s="32" t="s">
        <v>43</v>
      </c>
      <c r="D1171" s="32">
        <v>4430265054</v>
      </c>
      <c r="E1171" s="32">
        <v>651</v>
      </c>
      <c r="F1171" s="32">
        <v>637</v>
      </c>
      <c r="G1171" s="32" t="s">
        <v>44</v>
      </c>
      <c r="H1171" s="32" t="s">
        <v>1237</v>
      </c>
      <c r="I1171" s="32" t="s">
        <v>40</v>
      </c>
      <c r="J1171" s="32" t="s">
        <v>46</v>
      </c>
      <c r="K1171" s="32" t="s">
        <v>42</v>
      </c>
      <c r="M1171" s="32" t="s">
        <v>47</v>
      </c>
      <c r="N1171" s="32" t="s">
        <v>43</v>
      </c>
    </row>
    <row r="1172" spans="1:14" s="32" customFormat="1" hidden="1" x14ac:dyDescent="0.3">
      <c r="A1172" s="38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38</v>
      </c>
      <c r="H1172" s="32" t="s">
        <v>1238</v>
      </c>
      <c r="I1172" s="32" t="s">
        <v>40</v>
      </c>
      <c r="J1172" s="32" t="s">
        <v>41</v>
      </c>
      <c r="K1172" s="32" t="s">
        <v>42</v>
      </c>
    </row>
    <row r="1173" spans="1:14" s="32" customFormat="1" hidden="1" x14ac:dyDescent="0.3">
      <c r="A1173" s="38">
        <v>46217.432083333333</v>
      </c>
      <c r="B1173" s="32" t="s">
        <v>58</v>
      </c>
      <c r="C1173" s="32">
        <v>4435228300</v>
      </c>
      <c r="E1173" s="32">
        <v>806</v>
      </c>
      <c r="F1173" s="32">
        <v>790</v>
      </c>
      <c r="G1173" s="32" t="s">
        <v>44</v>
      </c>
      <c r="H1173" s="32" t="s">
        <v>1239</v>
      </c>
      <c r="I1173" s="32" t="s">
        <v>54</v>
      </c>
      <c r="J1173" s="32" t="s">
        <v>46</v>
      </c>
      <c r="M1173" s="32" t="s">
        <v>60</v>
      </c>
      <c r="N1173" s="32" t="s">
        <v>58</v>
      </c>
    </row>
    <row r="1174" spans="1:14" s="32" customFormat="1" hidden="1" x14ac:dyDescent="0.3">
      <c r="A1174" s="38">
        <v>46217.429756944446</v>
      </c>
      <c r="B1174" s="32" t="s">
        <v>58</v>
      </c>
      <c r="C1174" s="32">
        <v>4433050408</v>
      </c>
      <c r="E1174" s="32">
        <v>88</v>
      </c>
      <c r="F1174" s="32">
        <v>71</v>
      </c>
      <c r="G1174" s="32" t="s">
        <v>44</v>
      </c>
      <c r="H1174" s="32" t="s">
        <v>1240</v>
      </c>
      <c r="I1174" s="32" t="s">
        <v>54</v>
      </c>
      <c r="J1174" s="32" t="s">
        <v>46</v>
      </c>
      <c r="M1174" s="32" t="s">
        <v>60</v>
      </c>
      <c r="N1174" s="32" t="s">
        <v>58</v>
      </c>
    </row>
    <row r="1175" spans="1:14" s="32" customFormat="1" hidden="1" x14ac:dyDescent="0.3">
      <c r="A1175" s="38">
        <v>46217.423113425924</v>
      </c>
      <c r="B1175" s="32">
        <v>4436281154</v>
      </c>
      <c r="C1175" s="32" t="s">
        <v>1038</v>
      </c>
      <c r="D1175" s="32">
        <v>4430265054</v>
      </c>
      <c r="E1175" s="32">
        <v>1175</v>
      </c>
      <c r="F1175" s="32">
        <v>1013</v>
      </c>
      <c r="G1175" s="32" t="s">
        <v>44</v>
      </c>
      <c r="H1175" s="32" t="s">
        <v>1241</v>
      </c>
      <c r="I1175" s="32" t="s">
        <v>40</v>
      </c>
      <c r="J1175" s="32" t="s">
        <v>46</v>
      </c>
      <c r="K1175" s="32" t="s">
        <v>42</v>
      </c>
      <c r="M1175" s="32" t="s">
        <v>1040</v>
      </c>
      <c r="N1175" s="32" t="s">
        <v>1038</v>
      </c>
    </row>
    <row r="1176" spans="1:14" s="32" customFormat="1" hidden="1" x14ac:dyDescent="0.3">
      <c r="A1176" s="38">
        <v>46217.415752314817</v>
      </c>
      <c r="B1176" s="32">
        <v>93991495484</v>
      </c>
      <c r="C1176" s="32" t="s">
        <v>58</v>
      </c>
      <c r="D1176" s="32">
        <v>4430265054</v>
      </c>
      <c r="E1176" s="32">
        <v>868</v>
      </c>
      <c r="F1176" s="32">
        <v>842</v>
      </c>
      <c r="G1176" s="32" t="s">
        <v>44</v>
      </c>
      <c r="H1176" s="32" t="s">
        <v>1242</v>
      </c>
      <c r="I1176" s="32" t="s">
        <v>40</v>
      </c>
      <c r="J1176" s="32" t="s">
        <v>46</v>
      </c>
      <c r="K1176" s="32" t="s">
        <v>42</v>
      </c>
      <c r="M1176" s="32" t="s">
        <v>60</v>
      </c>
      <c r="N1176" s="32" t="s">
        <v>58</v>
      </c>
    </row>
    <row r="1177" spans="1:14" s="32" customFormat="1" hidden="1" x14ac:dyDescent="0.3">
      <c r="A1177" s="38">
        <v>46217.411608796298</v>
      </c>
      <c r="B1177" s="32">
        <v>4435228300</v>
      </c>
      <c r="C1177" s="32" t="s">
        <v>43</v>
      </c>
      <c r="D1177" s="32">
        <v>4430265054</v>
      </c>
      <c r="E1177" s="32">
        <v>880</v>
      </c>
      <c r="F1177" s="32">
        <v>860</v>
      </c>
      <c r="G1177" s="32" t="s">
        <v>44</v>
      </c>
      <c r="H1177" s="32" t="s">
        <v>1243</v>
      </c>
      <c r="I1177" s="32" t="s">
        <v>40</v>
      </c>
      <c r="J1177" s="32" t="s">
        <v>46</v>
      </c>
      <c r="K1177" s="32" t="s">
        <v>42</v>
      </c>
      <c r="M1177" s="32" t="s">
        <v>47</v>
      </c>
      <c r="N1177" s="32" t="s">
        <v>43</v>
      </c>
    </row>
    <row r="1178" spans="1:14" s="32" customFormat="1" hidden="1" x14ac:dyDescent="0.3">
      <c r="A1178" s="38">
        <v>46217.410254629627</v>
      </c>
      <c r="B1178" s="32">
        <v>44998266194</v>
      </c>
      <c r="C1178" s="32" t="s">
        <v>49</v>
      </c>
      <c r="D1178" s="32">
        <v>4431268225</v>
      </c>
      <c r="E1178" s="32">
        <v>1320</v>
      </c>
      <c r="F1178" s="32">
        <v>1265</v>
      </c>
      <c r="G1178" s="32" t="s">
        <v>44</v>
      </c>
      <c r="H1178" s="32" t="s">
        <v>1244</v>
      </c>
      <c r="I1178" s="32" t="s">
        <v>40</v>
      </c>
      <c r="J1178" s="32" t="s">
        <v>46</v>
      </c>
      <c r="K1178" s="32" t="s">
        <v>42</v>
      </c>
      <c r="M1178" s="32" t="s">
        <v>51</v>
      </c>
      <c r="N1178" s="32" t="s">
        <v>49</v>
      </c>
    </row>
    <row r="1179" spans="1:14" s="32" customFormat="1" hidden="1" x14ac:dyDescent="0.3">
      <c r="A1179" s="38">
        <v>46217.409421296295</v>
      </c>
      <c r="B1179" s="32">
        <v>12997346335</v>
      </c>
      <c r="C1179" s="32" t="s">
        <v>1038</v>
      </c>
      <c r="D1179" s="32">
        <v>4430265054</v>
      </c>
      <c r="E1179" s="32">
        <v>1118</v>
      </c>
      <c r="F1179" s="32">
        <v>1001</v>
      </c>
      <c r="G1179" s="32" t="s">
        <v>44</v>
      </c>
      <c r="H1179" s="32" t="s">
        <v>1245</v>
      </c>
      <c r="I1179" s="32" t="s">
        <v>40</v>
      </c>
      <c r="J1179" s="32" t="s">
        <v>46</v>
      </c>
      <c r="K1179" s="32" t="s">
        <v>42</v>
      </c>
      <c r="M1179" s="32" t="s">
        <v>1040</v>
      </c>
      <c r="N1179" s="32" t="s">
        <v>1038</v>
      </c>
    </row>
    <row r="1180" spans="1:14" s="32" customFormat="1" hidden="1" x14ac:dyDescent="0.3">
      <c r="A1180" s="38">
        <v>46217.397858796299</v>
      </c>
      <c r="B1180" s="32">
        <v>4435226025</v>
      </c>
      <c r="C1180" s="32" t="s">
        <v>49</v>
      </c>
      <c r="D1180" s="32">
        <v>4430265054</v>
      </c>
      <c r="E1180" s="32">
        <v>151</v>
      </c>
      <c r="F1180" s="32">
        <v>123</v>
      </c>
      <c r="G1180" s="32" t="s">
        <v>44</v>
      </c>
      <c r="H1180" s="32" t="s">
        <v>1246</v>
      </c>
      <c r="I1180" s="32" t="s">
        <v>40</v>
      </c>
      <c r="J1180" s="32" t="s">
        <v>46</v>
      </c>
      <c r="K1180" s="32" t="s">
        <v>42</v>
      </c>
      <c r="M1180" s="32" t="s">
        <v>51</v>
      </c>
      <c r="N1180" s="32" t="s">
        <v>49</v>
      </c>
    </row>
    <row r="1181" spans="1:14" s="32" customFormat="1" hidden="1" x14ac:dyDescent="0.3">
      <c r="A1181" s="38">
        <v>46217.395729166667</v>
      </c>
      <c r="B1181" s="32" t="s">
        <v>58</v>
      </c>
      <c r="C1181" s="32">
        <v>4432541200</v>
      </c>
      <c r="E1181" s="32">
        <v>124</v>
      </c>
      <c r="F1181" s="32">
        <v>120</v>
      </c>
      <c r="G1181" s="32" t="s">
        <v>44</v>
      </c>
      <c r="H1181" s="32" t="s">
        <v>1247</v>
      </c>
      <c r="I1181" s="32" t="s">
        <v>54</v>
      </c>
      <c r="J1181" s="32" t="s">
        <v>46</v>
      </c>
      <c r="M1181" s="32" t="s">
        <v>60</v>
      </c>
      <c r="N1181" s="32" t="s">
        <v>58</v>
      </c>
    </row>
    <row r="1182" spans="1:14" s="32" customFormat="1" hidden="1" x14ac:dyDescent="0.3">
      <c r="A1182" s="38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38</v>
      </c>
      <c r="H1182" s="32" t="s">
        <v>1248</v>
      </c>
      <c r="I1182" s="32" t="s">
        <v>40</v>
      </c>
      <c r="J1182" s="32" t="s">
        <v>41</v>
      </c>
    </row>
    <row r="1183" spans="1:14" s="32" customFormat="1" hidden="1" x14ac:dyDescent="0.3">
      <c r="A1183" s="38">
        <v>46217.392152777778</v>
      </c>
      <c r="B1183" s="32">
        <v>4436313773</v>
      </c>
      <c r="C1183" s="32" t="s">
        <v>1038</v>
      </c>
      <c r="D1183" s="32">
        <v>4430265054</v>
      </c>
      <c r="E1183" s="32">
        <v>982</v>
      </c>
      <c r="F1183" s="32">
        <v>902</v>
      </c>
      <c r="G1183" s="32" t="s">
        <v>44</v>
      </c>
      <c r="H1183" s="32" t="s">
        <v>1249</v>
      </c>
      <c r="I1183" s="32" t="s">
        <v>40</v>
      </c>
      <c r="J1183" s="32" t="s">
        <v>46</v>
      </c>
      <c r="K1183" s="32" t="s">
        <v>42</v>
      </c>
      <c r="M1183" s="32" t="s">
        <v>1040</v>
      </c>
      <c r="N1183" s="32" t="s">
        <v>1038</v>
      </c>
    </row>
    <row r="1184" spans="1:14" s="32" customFormat="1" hidden="1" x14ac:dyDescent="0.3">
      <c r="A1184" s="38">
        <v>46217.382673611108</v>
      </c>
      <c r="B1184" s="32" t="s">
        <v>58</v>
      </c>
      <c r="C1184" s="32">
        <v>4432541200</v>
      </c>
      <c r="E1184" s="32">
        <v>453</v>
      </c>
      <c r="F1184" s="32">
        <v>448</v>
      </c>
      <c r="G1184" s="32" t="s">
        <v>44</v>
      </c>
      <c r="H1184" s="32" t="s">
        <v>1250</v>
      </c>
      <c r="I1184" s="32" t="s">
        <v>54</v>
      </c>
      <c r="J1184" s="32" t="s">
        <v>46</v>
      </c>
      <c r="M1184" s="32" t="s">
        <v>60</v>
      </c>
      <c r="N1184" s="32" t="s">
        <v>58</v>
      </c>
    </row>
    <row r="1185" spans="1:14" s="32" customFormat="1" hidden="1" x14ac:dyDescent="0.3">
      <c r="A1185" s="38">
        <v>46217.372719907406</v>
      </c>
      <c r="B1185" s="32">
        <v>4430288517</v>
      </c>
      <c r="C1185" s="32" t="s">
        <v>1038</v>
      </c>
      <c r="D1185" s="32">
        <v>4430265054</v>
      </c>
      <c r="E1185" s="32">
        <v>788</v>
      </c>
      <c r="F1185" s="32">
        <v>762</v>
      </c>
      <c r="G1185" s="32" t="s">
        <v>44</v>
      </c>
      <c r="H1185" s="32" t="s">
        <v>1251</v>
      </c>
      <c r="I1185" s="32" t="s">
        <v>40</v>
      </c>
      <c r="J1185" s="32" t="s">
        <v>46</v>
      </c>
      <c r="K1185" s="32" t="s">
        <v>42</v>
      </c>
      <c r="L1185" s="32">
        <v>5</v>
      </c>
      <c r="M1185" s="32" t="s">
        <v>1040</v>
      </c>
      <c r="N1185" s="32" t="s">
        <v>1038</v>
      </c>
    </row>
    <row r="1186" spans="1:14" s="32" customFormat="1" hidden="1" x14ac:dyDescent="0.3">
      <c r="A1186" s="38">
        <v>46217.369201388887</v>
      </c>
      <c r="B1186" s="32" t="s">
        <v>58</v>
      </c>
      <c r="C1186" s="32">
        <v>4433050408</v>
      </c>
      <c r="E1186" s="32">
        <v>60</v>
      </c>
      <c r="F1186" s="32">
        <v>43</v>
      </c>
      <c r="G1186" s="32" t="s">
        <v>44</v>
      </c>
      <c r="H1186" s="32" t="s">
        <v>1252</v>
      </c>
      <c r="I1186" s="32" t="s">
        <v>54</v>
      </c>
      <c r="J1186" s="32" t="s">
        <v>46</v>
      </c>
      <c r="M1186" s="32" t="s">
        <v>60</v>
      </c>
      <c r="N1186" s="32" t="s">
        <v>58</v>
      </c>
    </row>
    <row r="1187" spans="1:14" s="32" customFormat="1" hidden="1" x14ac:dyDescent="0.3">
      <c r="A1187" s="38">
        <v>46217.359803240739</v>
      </c>
      <c r="B1187" s="32" t="s">
        <v>43</v>
      </c>
      <c r="C1187" s="32">
        <v>53981112780</v>
      </c>
      <c r="E1187" s="32">
        <v>54</v>
      </c>
      <c r="F1187" s="32">
        <v>31</v>
      </c>
      <c r="G1187" s="32" t="s">
        <v>44</v>
      </c>
      <c r="H1187" s="32" t="s">
        <v>1253</v>
      </c>
      <c r="I1187" s="32" t="s">
        <v>54</v>
      </c>
      <c r="J1187" s="32" t="s">
        <v>46</v>
      </c>
      <c r="M1187" s="32" t="s">
        <v>47</v>
      </c>
      <c r="N1187" s="32" t="s">
        <v>43</v>
      </c>
    </row>
    <row r="1188" spans="1:14" s="32" customFormat="1" hidden="1" x14ac:dyDescent="0.3">
      <c r="A1188" s="38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38</v>
      </c>
      <c r="H1188" s="32" t="s">
        <v>1254</v>
      </c>
      <c r="I1188" s="32" t="s">
        <v>40</v>
      </c>
      <c r="J1188" s="32" t="s">
        <v>41</v>
      </c>
    </row>
    <row r="1189" spans="1:14" s="32" customFormat="1" hidden="1" x14ac:dyDescent="0.3">
      <c r="A1189" s="38">
        <v>46216.740266203706</v>
      </c>
      <c r="B1189" s="32" t="s">
        <v>109</v>
      </c>
      <c r="C1189" s="32">
        <v>91982083143</v>
      </c>
      <c r="E1189" s="32">
        <v>13</v>
      </c>
      <c r="F1189" s="32">
        <v>10</v>
      </c>
      <c r="G1189" s="32" t="s">
        <v>44</v>
      </c>
      <c r="H1189" s="32" t="s">
        <v>1255</v>
      </c>
      <c r="I1189" s="32" t="s">
        <v>54</v>
      </c>
      <c r="J1189" s="32" t="s">
        <v>111</v>
      </c>
      <c r="M1189" s="32" t="s">
        <v>112</v>
      </c>
      <c r="N1189" s="32" t="s">
        <v>109</v>
      </c>
    </row>
    <row r="1190" spans="1:14" s="32" customFormat="1" hidden="1" x14ac:dyDescent="0.3">
      <c r="A1190" s="38">
        <v>46216.73741898148</v>
      </c>
      <c r="B1190" s="32" t="s">
        <v>109</v>
      </c>
      <c r="C1190" s="32">
        <v>61991811002</v>
      </c>
      <c r="E1190" s="32">
        <v>8</v>
      </c>
      <c r="F1190" s="32">
        <v>0</v>
      </c>
      <c r="G1190" s="32" t="s">
        <v>63</v>
      </c>
      <c r="H1190" s="32" t="s">
        <v>1256</v>
      </c>
      <c r="I1190" s="32" t="s">
        <v>54</v>
      </c>
      <c r="J1190" s="32" t="s">
        <v>111</v>
      </c>
      <c r="M1190" s="32" t="s">
        <v>112</v>
      </c>
      <c r="N1190" s="32" t="s">
        <v>109</v>
      </c>
    </row>
    <row r="1191" spans="1:14" s="32" customFormat="1" hidden="1" x14ac:dyDescent="0.3">
      <c r="A1191" s="38">
        <v>46216.735671296294</v>
      </c>
      <c r="B1191" s="32" t="s">
        <v>109</v>
      </c>
      <c r="C1191" s="32">
        <v>6232887954</v>
      </c>
      <c r="E1191" s="32">
        <v>10</v>
      </c>
      <c r="F1191" s="32">
        <v>0</v>
      </c>
      <c r="G1191" s="32" t="s">
        <v>63</v>
      </c>
      <c r="H1191" s="32" t="s">
        <v>1257</v>
      </c>
      <c r="I1191" s="32" t="s">
        <v>54</v>
      </c>
      <c r="J1191" s="32" t="s">
        <v>111</v>
      </c>
      <c r="M1191" s="32" t="s">
        <v>112</v>
      </c>
      <c r="N1191" s="32" t="s">
        <v>109</v>
      </c>
    </row>
    <row r="1192" spans="1:14" s="32" customFormat="1" hidden="1" x14ac:dyDescent="0.3">
      <c r="A1192" s="38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38</v>
      </c>
      <c r="H1192" s="32" t="s">
        <v>1258</v>
      </c>
      <c r="I1192" s="32" t="s">
        <v>40</v>
      </c>
      <c r="J1192" s="32" t="s">
        <v>41</v>
      </c>
      <c r="K1192" s="32" t="s">
        <v>42</v>
      </c>
    </row>
    <row r="1193" spans="1:14" s="32" customFormat="1" hidden="1" x14ac:dyDescent="0.3">
      <c r="A1193" s="38">
        <v>46216.714826388888</v>
      </c>
      <c r="B1193" s="32">
        <v>4430450103</v>
      </c>
      <c r="C1193" s="32" t="s">
        <v>43</v>
      </c>
      <c r="D1193" s="32">
        <v>4430265054</v>
      </c>
      <c r="E1193" s="32">
        <v>247</v>
      </c>
      <c r="F1193" s="32">
        <v>130</v>
      </c>
      <c r="G1193" s="32" t="s">
        <v>44</v>
      </c>
      <c r="H1193" s="32" t="s">
        <v>1259</v>
      </c>
      <c r="I1193" s="32" t="s">
        <v>40</v>
      </c>
      <c r="J1193" s="32" t="s">
        <v>46</v>
      </c>
      <c r="K1193" s="32" t="s">
        <v>42</v>
      </c>
      <c r="L1193" s="32">
        <v>5</v>
      </c>
      <c r="M1193" s="32" t="s">
        <v>47</v>
      </c>
      <c r="N1193" s="32" t="s">
        <v>43</v>
      </c>
    </row>
    <row r="1194" spans="1:14" s="32" customFormat="1" hidden="1" x14ac:dyDescent="0.3">
      <c r="A1194" s="38">
        <v>46216.703923611109</v>
      </c>
      <c r="B1194" s="32" t="s">
        <v>109</v>
      </c>
      <c r="C1194" s="32">
        <v>3120045988</v>
      </c>
      <c r="E1194" s="32">
        <v>6</v>
      </c>
      <c r="F1194" s="32">
        <v>0</v>
      </c>
      <c r="G1194" s="32" t="s">
        <v>63</v>
      </c>
      <c r="H1194" s="32" t="s">
        <v>1260</v>
      </c>
      <c r="I1194" s="32" t="s">
        <v>54</v>
      </c>
      <c r="J1194" s="32" t="s">
        <v>111</v>
      </c>
      <c r="M1194" s="32" t="s">
        <v>112</v>
      </c>
      <c r="N1194" s="32" t="s">
        <v>109</v>
      </c>
    </row>
    <row r="1195" spans="1:14" s="32" customFormat="1" hidden="1" x14ac:dyDescent="0.3">
      <c r="A1195" s="38">
        <v>46216.696527777778</v>
      </c>
      <c r="B1195" s="32" t="s">
        <v>109</v>
      </c>
      <c r="C1195" s="32">
        <v>54999038120</v>
      </c>
      <c r="E1195" s="32">
        <v>11</v>
      </c>
      <c r="F1195" s="32">
        <v>1</v>
      </c>
      <c r="G1195" s="32" t="s">
        <v>44</v>
      </c>
      <c r="H1195" s="32" t="s">
        <v>1261</v>
      </c>
      <c r="I1195" s="32" t="s">
        <v>54</v>
      </c>
      <c r="J1195" s="32" t="s">
        <v>111</v>
      </c>
      <c r="M1195" s="32" t="s">
        <v>112</v>
      </c>
      <c r="N1195" s="32" t="s">
        <v>109</v>
      </c>
    </row>
    <row r="1196" spans="1:14" s="32" customFormat="1" hidden="1" x14ac:dyDescent="0.3">
      <c r="A1196" s="38">
        <v>46216.695671296293</v>
      </c>
      <c r="B1196" s="32" t="s">
        <v>109</v>
      </c>
      <c r="C1196" s="32">
        <v>21997377863</v>
      </c>
      <c r="E1196" s="32">
        <v>6</v>
      </c>
      <c r="F1196" s="32">
        <v>1</v>
      </c>
      <c r="G1196" s="32" t="s">
        <v>44</v>
      </c>
      <c r="H1196" s="32" t="s">
        <v>1262</v>
      </c>
      <c r="I1196" s="32" t="s">
        <v>54</v>
      </c>
      <c r="J1196" s="32" t="s">
        <v>111</v>
      </c>
      <c r="M1196" s="32" t="s">
        <v>112</v>
      </c>
      <c r="N1196" s="32" t="s">
        <v>109</v>
      </c>
    </row>
    <row r="1197" spans="1:14" s="32" customFormat="1" hidden="1" x14ac:dyDescent="0.3">
      <c r="A1197" s="38">
        <v>46216.694756944446</v>
      </c>
      <c r="B1197" s="32" t="s">
        <v>109</v>
      </c>
      <c r="C1197" s="32">
        <v>11988012408</v>
      </c>
      <c r="E1197" s="32">
        <v>2</v>
      </c>
      <c r="F1197" s="32">
        <v>0</v>
      </c>
      <c r="G1197" s="32" t="s">
        <v>63</v>
      </c>
      <c r="H1197" s="32" t="s">
        <v>1263</v>
      </c>
      <c r="I1197" s="32" t="s">
        <v>54</v>
      </c>
      <c r="J1197" s="32" t="s">
        <v>111</v>
      </c>
      <c r="M1197" s="32" t="s">
        <v>112</v>
      </c>
      <c r="N1197" s="32" t="s">
        <v>109</v>
      </c>
    </row>
    <row r="1198" spans="1:14" s="32" customFormat="1" x14ac:dyDescent="0.3">
      <c r="A1198" s="38">
        <v>46216.693391203706</v>
      </c>
      <c r="B1198" s="32">
        <v>4432520627</v>
      </c>
      <c r="C1198" s="32" t="s">
        <v>49</v>
      </c>
      <c r="D1198" s="32">
        <v>4430265054</v>
      </c>
      <c r="E1198" s="32">
        <v>225</v>
      </c>
      <c r="F1198" s="32">
        <v>162</v>
      </c>
      <c r="G1198" s="32" t="s">
        <v>44</v>
      </c>
      <c r="H1198" s="32" t="s">
        <v>1264</v>
      </c>
      <c r="I1198" s="32" t="s">
        <v>40</v>
      </c>
      <c r="J1198" s="32" t="s">
        <v>46</v>
      </c>
      <c r="K1198" s="32" t="s">
        <v>42</v>
      </c>
      <c r="L1198" s="32">
        <v>5</v>
      </c>
      <c r="M1198" s="32" t="s">
        <v>51</v>
      </c>
      <c r="N1198" s="32" t="s">
        <v>49</v>
      </c>
    </row>
    <row r="1199" spans="1:14" s="32" customFormat="1" hidden="1" x14ac:dyDescent="0.3">
      <c r="A1199" s="38">
        <v>46216.692129629628</v>
      </c>
      <c r="B1199" s="32" t="s">
        <v>58</v>
      </c>
      <c r="C1199" s="32">
        <v>1732146970</v>
      </c>
      <c r="E1199" s="32">
        <v>48</v>
      </c>
      <c r="F1199" s="32">
        <v>47</v>
      </c>
      <c r="G1199" s="32" t="s">
        <v>44</v>
      </c>
      <c r="H1199" s="32" t="s">
        <v>1265</v>
      </c>
      <c r="I1199" s="32" t="s">
        <v>54</v>
      </c>
      <c r="J1199" s="32" t="s">
        <v>46</v>
      </c>
      <c r="M1199" s="32" t="s">
        <v>60</v>
      </c>
      <c r="N1199" s="32" t="s">
        <v>58</v>
      </c>
    </row>
    <row r="1200" spans="1:14" s="32" customFormat="1" hidden="1" x14ac:dyDescent="0.3">
      <c r="A1200" s="38">
        <v>46216.689652777779</v>
      </c>
      <c r="B1200" s="32" t="s">
        <v>207</v>
      </c>
      <c r="C1200" s="32">
        <v>4130263118</v>
      </c>
      <c r="E1200" s="32">
        <v>1808</v>
      </c>
      <c r="F1200" s="32">
        <v>1800</v>
      </c>
      <c r="G1200" s="32" t="s">
        <v>44</v>
      </c>
      <c r="H1200" s="32" t="s">
        <v>1266</v>
      </c>
      <c r="I1200" s="32" t="s">
        <v>54</v>
      </c>
      <c r="J1200" s="32" t="s">
        <v>111</v>
      </c>
      <c r="M1200" s="32" t="s">
        <v>209</v>
      </c>
      <c r="N1200" s="32" t="s">
        <v>207</v>
      </c>
    </row>
    <row r="1201" spans="1:14" s="32" customFormat="1" hidden="1" x14ac:dyDescent="0.3">
      <c r="A1201" s="38">
        <v>46216.685578703706</v>
      </c>
      <c r="B1201" s="32">
        <v>62981535978</v>
      </c>
      <c r="C1201" s="32" t="s">
        <v>43</v>
      </c>
      <c r="D1201" s="32">
        <v>4430265054</v>
      </c>
      <c r="E1201" s="32">
        <v>1174</v>
      </c>
      <c r="F1201" s="32">
        <v>1150</v>
      </c>
      <c r="G1201" s="32" t="s">
        <v>44</v>
      </c>
      <c r="H1201" s="32" t="s">
        <v>1267</v>
      </c>
      <c r="I1201" s="32" t="s">
        <v>40</v>
      </c>
      <c r="J1201" s="32" t="s">
        <v>46</v>
      </c>
      <c r="K1201" s="32" t="s">
        <v>42</v>
      </c>
      <c r="L1201" s="32">
        <v>5</v>
      </c>
      <c r="M1201" s="32" t="s">
        <v>47</v>
      </c>
      <c r="N1201" s="32" t="s">
        <v>43</v>
      </c>
    </row>
    <row r="1202" spans="1:14" s="32" customFormat="1" hidden="1" x14ac:dyDescent="0.3">
      <c r="A1202" s="38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38</v>
      </c>
      <c r="H1202" s="32" t="s">
        <v>1268</v>
      </c>
      <c r="I1202" s="32" t="s">
        <v>40</v>
      </c>
      <c r="J1202" s="32" t="s">
        <v>41</v>
      </c>
      <c r="K1202" s="32" t="s">
        <v>42</v>
      </c>
    </row>
    <row r="1203" spans="1:14" s="32" customFormat="1" hidden="1" x14ac:dyDescent="0.3">
      <c r="A1203" s="38">
        <v>46216.681863425925</v>
      </c>
      <c r="B1203" s="32">
        <v>62981535978</v>
      </c>
      <c r="C1203" s="32" t="s">
        <v>43</v>
      </c>
      <c r="D1203" s="32">
        <v>4430265054</v>
      </c>
      <c r="E1203" s="32">
        <v>307</v>
      </c>
      <c r="F1203" s="32">
        <v>53</v>
      </c>
      <c r="G1203" s="32" t="s">
        <v>44</v>
      </c>
      <c r="H1203" s="32" t="s">
        <v>1269</v>
      </c>
      <c r="I1203" s="32" t="s">
        <v>40</v>
      </c>
      <c r="J1203" s="32" t="s">
        <v>46</v>
      </c>
      <c r="K1203" s="32" t="s">
        <v>42</v>
      </c>
      <c r="M1203" s="32" t="s">
        <v>47</v>
      </c>
      <c r="N1203" s="32" t="s">
        <v>43</v>
      </c>
    </row>
    <row r="1204" spans="1:14" s="32" customFormat="1" hidden="1" x14ac:dyDescent="0.3">
      <c r="A1204" s="38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38</v>
      </c>
      <c r="H1204" s="32" t="s">
        <v>1270</v>
      </c>
      <c r="I1204" s="32" t="s">
        <v>40</v>
      </c>
      <c r="J1204" s="32" t="s">
        <v>41</v>
      </c>
      <c r="K1204" s="32" t="s">
        <v>42</v>
      </c>
    </row>
    <row r="1205" spans="1:14" s="32" customFormat="1" hidden="1" x14ac:dyDescent="0.3">
      <c r="A1205" s="38">
        <v>46216.673449074071</v>
      </c>
      <c r="B1205" s="32">
        <v>44999632140</v>
      </c>
      <c r="C1205" s="32" t="s">
        <v>43</v>
      </c>
      <c r="D1205" s="32">
        <v>4430265054</v>
      </c>
      <c r="E1205" s="32">
        <v>850</v>
      </c>
      <c r="F1205" s="32">
        <v>689</v>
      </c>
      <c r="G1205" s="32" t="s">
        <v>44</v>
      </c>
      <c r="H1205" s="32" t="s">
        <v>1271</v>
      </c>
      <c r="I1205" s="32" t="s">
        <v>40</v>
      </c>
      <c r="J1205" s="32" t="s">
        <v>46</v>
      </c>
      <c r="K1205" s="32" t="s">
        <v>42</v>
      </c>
      <c r="M1205" s="32" t="s">
        <v>47</v>
      </c>
      <c r="N1205" s="32" t="s">
        <v>43</v>
      </c>
    </row>
    <row r="1206" spans="1:14" s="32" customFormat="1" hidden="1" x14ac:dyDescent="0.3">
      <c r="A1206" s="38">
        <v>46216.671331018515</v>
      </c>
      <c r="B1206" s="32">
        <v>44999646909</v>
      </c>
      <c r="C1206" s="32" t="s">
        <v>43</v>
      </c>
      <c r="D1206" s="32">
        <v>4430265054</v>
      </c>
      <c r="E1206" s="32">
        <v>471</v>
      </c>
      <c r="F1206" s="32">
        <v>459</v>
      </c>
      <c r="G1206" s="32" t="s">
        <v>44</v>
      </c>
      <c r="H1206" s="32" t="s">
        <v>1272</v>
      </c>
      <c r="I1206" s="32" t="s">
        <v>40</v>
      </c>
      <c r="J1206" s="32" t="s">
        <v>46</v>
      </c>
      <c r="K1206" s="32" t="s">
        <v>42</v>
      </c>
      <c r="M1206" s="32" t="s">
        <v>47</v>
      </c>
      <c r="N1206" s="32" t="s">
        <v>43</v>
      </c>
    </row>
    <row r="1207" spans="1:14" s="32" customFormat="1" hidden="1" x14ac:dyDescent="0.3">
      <c r="A1207" s="38">
        <v>46216.667025462964</v>
      </c>
      <c r="B1207" s="32">
        <v>93991495484</v>
      </c>
      <c r="C1207" s="32" t="s">
        <v>1038</v>
      </c>
      <c r="D1207" s="32">
        <v>4430265054</v>
      </c>
      <c r="E1207" s="32">
        <v>967</v>
      </c>
      <c r="F1207" s="32">
        <v>899</v>
      </c>
      <c r="G1207" s="32" t="s">
        <v>44</v>
      </c>
      <c r="H1207" s="32" t="s">
        <v>1273</v>
      </c>
      <c r="I1207" s="32" t="s">
        <v>40</v>
      </c>
      <c r="J1207" s="32" t="s">
        <v>46</v>
      </c>
      <c r="K1207" s="32" t="s">
        <v>42</v>
      </c>
      <c r="M1207" s="32" t="s">
        <v>1040</v>
      </c>
      <c r="N1207" s="32" t="s">
        <v>1038</v>
      </c>
    </row>
    <row r="1208" spans="1:14" s="32" customFormat="1" hidden="1" x14ac:dyDescent="0.3">
      <c r="A1208" s="38">
        <v>46216.66679398148</v>
      </c>
      <c r="B1208" s="32">
        <v>4436311970</v>
      </c>
      <c r="C1208" s="32" t="s">
        <v>49</v>
      </c>
      <c r="D1208" s="32">
        <v>4430265054</v>
      </c>
      <c r="E1208" s="32">
        <v>677</v>
      </c>
      <c r="F1208" s="32">
        <v>630</v>
      </c>
      <c r="G1208" s="32" t="s">
        <v>44</v>
      </c>
      <c r="H1208" s="32" t="s">
        <v>1274</v>
      </c>
      <c r="I1208" s="32" t="s">
        <v>40</v>
      </c>
      <c r="J1208" s="32" t="s">
        <v>46</v>
      </c>
      <c r="K1208" s="32" t="s">
        <v>42</v>
      </c>
      <c r="M1208" s="32" t="s">
        <v>51</v>
      </c>
      <c r="N1208" s="32" t="s">
        <v>49</v>
      </c>
    </row>
    <row r="1209" spans="1:14" s="32" customFormat="1" hidden="1" x14ac:dyDescent="0.3">
      <c r="A1209" s="38">
        <v>46216.653935185182</v>
      </c>
      <c r="B1209" s="32">
        <v>62981535978</v>
      </c>
      <c r="C1209" s="32" t="s">
        <v>1038</v>
      </c>
      <c r="D1209" s="32">
        <v>4430265054</v>
      </c>
      <c r="E1209" s="32">
        <v>523</v>
      </c>
      <c r="F1209" s="32">
        <v>470</v>
      </c>
      <c r="G1209" s="32" t="s">
        <v>44</v>
      </c>
      <c r="H1209" s="32" t="s">
        <v>1275</v>
      </c>
      <c r="I1209" s="32" t="s">
        <v>40</v>
      </c>
      <c r="J1209" s="32" t="s">
        <v>46</v>
      </c>
      <c r="K1209" s="32" t="s">
        <v>42</v>
      </c>
      <c r="M1209" s="32" t="s">
        <v>1040</v>
      </c>
      <c r="N1209" s="32" t="s">
        <v>1038</v>
      </c>
    </row>
    <row r="1210" spans="1:14" s="32" customFormat="1" hidden="1" x14ac:dyDescent="0.3">
      <c r="A1210" s="38">
        <v>46216.653101851851</v>
      </c>
      <c r="B1210" s="32" t="s">
        <v>747</v>
      </c>
      <c r="C1210" s="32">
        <v>44999400051</v>
      </c>
      <c r="E1210" s="32">
        <v>377</v>
      </c>
      <c r="F1210" s="32">
        <v>359</v>
      </c>
      <c r="G1210" s="32" t="s">
        <v>44</v>
      </c>
      <c r="H1210" s="32" t="s">
        <v>1276</v>
      </c>
      <c r="I1210" s="32" t="s">
        <v>54</v>
      </c>
      <c r="J1210" s="32" t="s">
        <v>46</v>
      </c>
      <c r="M1210" s="32" t="s">
        <v>749</v>
      </c>
      <c r="N1210" s="32" t="s">
        <v>747</v>
      </c>
    </row>
    <row r="1211" spans="1:14" s="32" customFormat="1" hidden="1" x14ac:dyDescent="0.3">
      <c r="A1211" s="38">
        <v>46216.647534722222</v>
      </c>
      <c r="B1211" s="32">
        <v>4436372125</v>
      </c>
      <c r="C1211" s="32" t="s">
        <v>43</v>
      </c>
      <c r="D1211" s="32">
        <v>4430265054</v>
      </c>
      <c r="E1211" s="32">
        <v>825</v>
      </c>
      <c r="F1211" s="32">
        <v>803</v>
      </c>
      <c r="G1211" s="32" t="s">
        <v>44</v>
      </c>
      <c r="H1211" s="32" t="s">
        <v>1277</v>
      </c>
      <c r="I1211" s="32" t="s">
        <v>40</v>
      </c>
      <c r="J1211" s="32" t="s">
        <v>46</v>
      </c>
      <c r="K1211" s="32" t="s">
        <v>42</v>
      </c>
      <c r="L1211" s="32">
        <v>5</v>
      </c>
      <c r="M1211" s="32" t="s">
        <v>47</v>
      </c>
      <c r="N1211" s="32" t="s">
        <v>43</v>
      </c>
    </row>
    <row r="1212" spans="1:14" s="32" customFormat="1" hidden="1" x14ac:dyDescent="0.3">
      <c r="A1212" s="38">
        <v>46216.646921296298</v>
      </c>
      <c r="B1212" s="32">
        <v>77999014770</v>
      </c>
      <c r="C1212" s="32" t="s">
        <v>1038</v>
      </c>
      <c r="D1212" s="32">
        <v>4430265054</v>
      </c>
      <c r="E1212" s="32">
        <v>431</v>
      </c>
      <c r="F1212" s="32">
        <v>370</v>
      </c>
      <c r="G1212" s="32" t="s">
        <v>44</v>
      </c>
      <c r="H1212" s="32" t="s">
        <v>1278</v>
      </c>
      <c r="I1212" s="32" t="s">
        <v>40</v>
      </c>
      <c r="J1212" s="32" t="s">
        <v>46</v>
      </c>
      <c r="K1212" s="32" t="s">
        <v>42</v>
      </c>
      <c r="M1212" s="32" t="s">
        <v>1040</v>
      </c>
      <c r="N1212" s="32" t="s">
        <v>1038</v>
      </c>
    </row>
    <row r="1213" spans="1:14" s="32" customFormat="1" hidden="1" x14ac:dyDescent="0.3">
      <c r="A1213" s="38">
        <v>46216.644780092596</v>
      </c>
      <c r="B1213" s="32" t="s">
        <v>43</v>
      </c>
      <c r="C1213" s="32">
        <v>83988398480</v>
      </c>
      <c r="E1213" s="32">
        <v>177</v>
      </c>
      <c r="F1213" s="32">
        <v>161</v>
      </c>
      <c r="G1213" s="32" t="s">
        <v>44</v>
      </c>
      <c r="H1213" s="32" t="s">
        <v>1279</v>
      </c>
      <c r="I1213" s="32" t="s">
        <v>54</v>
      </c>
      <c r="J1213" s="32" t="s">
        <v>46</v>
      </c>
      <c r="M1213" s="32" t="s">
        <v>47</v>
      </c>
      <c r="N1213" s="32" t="s">
        <v>43</v>
      </c>
    </row>
    <row r="1214" spans="1:14" s="32" customFormat="1" x14ac:dyDescent="0.3">
      <c r="A1214" s="38">
        <v>46216.644328703704</v>
      </c>
      <c r="B1214" s="32">
        <v>44998266194</v>
      </c>
      <c r="C1214" s="32" t="s">
        <v>49</v>
      </c>
      <c r="D1214" s="32">
        <v>4430265054</v>
      </c>
      <c r="E1214" s="32">
        <v>385</v>
      </c>
      <c r="F1214" s="32">
        <v>328</v>
      </c>
      <c r="G1214" s="32" t="s">
        <v>44</v>
      </c>
      <c r="H1214" s="32" t="s">
        <v>1280</v>
      </c>
      <c r="I1214" s="32" t="s">
        <v>40</v>
      </c>
      <c r="J1214" s="32" t="s">
        <v>46</v>
      </c>
      <c r="K1214" s="32" t="s">
        <v>42</v>
      </c>
      <c r="L1214" s="32">
        <v>5</v>
      </c>
      <c r="M1214" s="32" t="s">
        <v>51</v>
      </c>
      <c r="N1214" s="32" t="s">
        <v>49</v>
      </c>
    </row>
    <row r="1215" spans="1:14" s="32" customFormat="1" hidden="1" x14ac:dyDescent="0.3">
      <c r="A1215" s="38">
        <v>46216.638483796298</v>
      </c>
      <c r="B1215" s="32">
        <v>44991668902</v>
      </c>
      <c r="C1215" s="32" t="s">
        <v>43</v>
      </c>
      <c r="D1215" s="32">
        <v>4430265054</v>
      </c>
      <c r="E1215" s="32">
        <v>499</v>
      </c>
      <c r="F1215" s="32">
        <v>474</v>
      </c>
      <c r="G1215" s="32" t="s">
        <v>44</v>
      </c>
      <c r="H1215" s="32" t="s">
        <v>1281</v>
      </c>
      <c r="I1215" s="32" t="s">
        <v>40</v>
      </c>
      <c r="J1215" s="32" t="s">
        <v>46</v>
      </c>
      <c r="K1215" s="32" t="s">
        <v>42</v>
      </c>
      <c r="M1215" s="32" t="s">
        <v>47</v>
      </c>
      <c r="N1215" s="32" t="s">
        <v>43</v>
      </c>
    </row>
    <row r="1216" spans="1:14" s="32" customFormat="1" hidden="1" x14ac:dyDescent="0.3">
      <c r="A1216" s="38">
        <v>46216.635613425926</v>
      </c>
      <c r="B1216" s="32">
        <v>14997225372</v>
      </c>
      <c r="C1216" s="32" t="s">
        <v>1038</v>
      </c>
      <c r="D1216" s="32">
        <v>4430265054</v>
      </c>
      <c r="E1216" s="32">
        <v>605</v>
      </c>
      <c r="F1216" s="32">
        <v>577</v>
      </c>
      <c r="G1216" s="32" t="s">
        <v>44</v>
      </c>
      <c r="H1216" s="32" t="s">
        <v>1282</v>
      </c>
      <c r="I1216" s="32" t="s">
        <v>40</v>
      </c>
      <c r="J1216" s="32" t="s">
        <v>46</v>
      </c>
      <c r="K1216" s="32" t="s">
        <v>42</v>
      </c>
      <c r="L1216" s="32">
        <v>5</v>
      </c>
      <c r="M1216" s="32" t="s">
        <v>1040</v>
      </c>
      <c r="N1216" s="32" t="s">
        <v>1038</v>
      </c>
    </row>
    <row r="1217" spans="1:14" s="32" customFormat="1" x14ac:dyDescent="0.3">
      <c r="A1217" s="38">
        <v>46216.634965277779</v>
      </c>
      <c r="B1217" s="32">
        <v>44988064675</v>
      </c>
      <c r="C1217" s="32" t="s">
        <v>49</v>
      </c>
      <c r="D1217" s="32">
        <v>4430265054</v>
      </c>
      <c r="E1217" s="32">
        <v>774</v>
      </c>
      <c r="F1217" s="32">
        <v>743</v>
      </c>
      <c r="G1217" s="32" t="s">
        <v>44</v>
      </c>
      <c r="H1217" s="32" t="s">
        <v>1283</v>
      </c>
      <c r="I1217" s="32" t="s">
        <v>40</v>
      </c>
      <c r="J1217" s="32" t="s">
        <v>46</v>
      </c>
      <c r="K1217" s="32" t="s">
        <v>42</v>
      </c>
      <c r="L1217" s="32">
        <v>5</v>
      </c>
      <c r="M1217" s="32" t="s">
        <v>51</v>
      </c>
      <c r="N1217" s="32" t="s">
        <v>49</v>
      </c>
    </row>
    <row r="1218" spans="1:14" s="32" customFormat="1" hidden="1" x14ac:dyDescent="0.3">
      <c r="A1218" s="38">
        <v>46216.617673611108</v>
      </c>
      <c r="B1218" s="32">
        <v>11989293711</v>
      </c>
      <c r="C1218" s="32" t="s">
        <v>58</v>
      </c>
      <c r="D1218" s="32">
        <v>4430265054</v>
      </c>
      <c r="E1218" s="32">
        <v>149</v>
      </c>
      <c r="F1218" s="32">
        <v>148</v>
      </c>
      <c r="G1218" s="32" t="s">
        <v>44</v>
      </c>
      <c r="H1218" s="32" t="s">
        <v>1284</v>
      </c>
      <c r="I1218" s="32" t="s">
        <v>40</v>
      </c>
      <c r="J1218" s="32" t="s">
        <v>46</v>
      </c>
      <c r="K1218" s="32" t="s">
        <v>42</v>
      </c>
      <c r="M1218" s="32" t="s">
        <v>60</v>
      </c>
      <c r="N1218" s="32" t="s">
        <v>58</v>
      </c>
    </row>
    <row r="1219" spans="1:14" s="32" customFormat="1" hidden="1" x14ac:dyDescent="0.3">
      <c r="A1219" s="38">
        <v>46216.616030092591</v>
      </c>
      <c r="B1219" s="32" t="s">
        <v>109</v>
      </c>
      <c r="C1219" s="32">
        <v>6634233534</v>
      </c>
      <c r="E1219" s="32">
        <v>46</v>
      </c>
      <c r="F1219" s="32">
        <v>26</v>
      </c>
      <c r="G1219" s="32" t="s">
        <v>44</v>
      </c>
      <c r="H1219" s="32" t="s">
        <v>1285</v>
      </c>
      <c r="I1219" s="32" t="s">
        <v>54</v>
      </c>
      <c r="J1219" s="32" t="s">
        <v>111</v>
      </c>
      <c r="M1219" s="32" t="s">
        <v>112</v>
      </c>
      <c r="N1219" s="32" t="s">
        <v>109</v>
      </c>
    </row>
    <row r="1220" spans="1:14" s="32" customFormat="1" hidden="1" x14ac:dyDescent="0.3">
      <c r="A1220" s="38">
        <v>46216.612303240741</v>
      </c>
      <c r="B1220" s="32">
        <v>44988067937</v>
      </c>
      <c r="C1220" s="32" t="s">
        <v>58</v>
      </c>
      <c r="D1220" s="32">
        <v>4430265054</v>
      </c>
      <c r="E1220" s="32">
        <v>306</v>
      </c>
      <c r="F1220" s="32">
        <v>305</v>
      </c>
      <c r="G1220" s="32" t="s">
        <v>44</v>
      </c>
      <c r="H1220" s="32" t="s">
        <v>1286</v>
      </c>
      <c r="I1220" s="32" t="s">
        <v>40</v>
      </c>
      <c r="J1220" s="32" t="s">
        <v>46</v>
      </c>
      <c r="K1220" s="32" t="s">
        <v>42</v>
      </c>
      <c r="M1220" s="32" t="s">
        <v>60</v>
      </c>
      <c r="N1220" s="32" t="s">
        <v>58</v>
      </c>
    </row>
    <row r="1221" spans="1:14" s="32" customFormat="1" hidden="1" x14ac:dyDescent="0.3">
      <c r="A1221" s="38">
        <v>46216.610555555555</v>
      </c>
      <c r="B1221" s="32">
        <v>62981535978</v>
      </c>
      <c r="C1221" s="32" t="s">
        <v>43</v>
      </c>
      <c r="D1221" s="32">
        <v>4430265054</v>
      </c>
      <c r="E1221" s="32">
        <v>1898</v>
      </c>
      <c r="F1221" s="32">
        <v>1862</v>
      </c>
      <c r="G1221" s="32" t="s">
        <v>44</v>
      </c>
      <c r="H1221" s="32" t="s">
        <v>1287</v>
      </c>
      <c r="I1221" s="32" t="s">
        <v>40</v>
      </c>
      <c r="J1221" s="32" t="s">
        <v>46</v>
      </c>
      <c r="K1221" s="32" t="s">
        <v>42</v>
      </c>
      <c r="L1221" s="32">
        <v>5</v>
      </c>
      <c r="M1221" s="32" t="s">
        <v>47</v>
      </c>
      <c r="N1221" s="32" t="s">
        <v>43</v>
      </c>
    </row>
    <row r="1222" spans="1:14" s="32" customFormat="1" hidden="1" x14ac:dyDescent="0.3">
      <c r="A1222" s="38">
        <v>46216.609884259262</v>
      </c>
      <c r="B1222" s="32" t="s">
        <v>109</v>
      </c>
      <c r="C1222" s="32">
        <v>28999368861</v>
      </c>
      <c r="E1222" s="32">
        <v>8</v>
      </c>
      <c r="F1222" s="32">
        <v>0</v>
      </c>
      <c r="G1222" s="32" t="s">
        <v>63</v>
      </c>
      <c r="H1222" s="32" t="s">
        <v>1288</v>
      </c>
      <c r="I1222" s="32" t="s">
        <v>54</v>
      </c>
      <c r="J1222" s="32" t="s">
        <v>111</v>
      </c>
      <c r="M1222" s="32" t="s">
        <v>112</v>
      </c>
      <c r="N1222" s="32" t="s">
        <v>109</v>
      </c>
    </row>
    <row r="1223" spans="1:14" s="32" customFormat="1" hidden="1" x14ac:dyDescent="0.3">
      <c r="A1223" s="38">
        <v>46216.608391203707</v>
      </c>
      <c r="B1223" s="32">
        <v>13997709868</v>
      </c>
      <c r="C1223" s="32" t="s">
        <v>1038</v>
      </c>
      <c r="D1223" s="32">
        <v>4430265054</v>
      </c>
      <c r="E1223" s="32">
        <v>1186</v>
      </c>
      <c r="F1223" s="32">
        <v>1109</v>
      </c>
      <c r="G1223" s="32" t="s">
        <v>44</v>
      </c>
      <c r="H1223" s="32" t="s">
        <v>1289</v>
      </c>
      <c r="I1223" s="32" t="s">
        <v>40</v>
      </c>
      <c r="J1223" s="32" t="s">
        <v>46</v>
      </c>
      <c r="K1223" s="32" t="s">
        <v>42</v>
      </c>
      <c r="M1223" s="32" t="s">
        <v>1040</v>
      </c>
      <c r="N1223" s="32" t="s">
        <v>1038</v>
      </c>
    </row>
    <row r="1224" spans="1:14" s="32" customFormat="1" hidden="1" x14ac:dyDescent="0.3">
      <c r="A1224" s="38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38</v>
      </c>
      <c r="H1224" s="32" t="s">
        <v>1290</v>
      </c>
      <c r="I1224" s="32" t="s">
        <v>40</v>
      </c>
      <c r="J1224" s="32" t="s">
        <v>41</v>
      </c>
    </row>
    <row r="1225" spans="1:14" s="32" customFormat="1" hidden="1" x14ac:dyDescent="0.3">
      <c r="A1225" s="38">
        <v>46216.604479166665</v>
      </c>
      <c r="B1225" s="32" t="s">
        <v>109</v>
      </c>
      <c r="C1225" s="32">
        <v>34997810701</v>
      </c>
      <c r="E1225" s="32">
        <v>41</v>
      </c>
      <c r="F1225" s="32">
        <v>15</v>
      </c>
      <c r="G1225" s="32" t="s">
        <v>44</v>
      </c>
      <c r="H1225" s="32" t="s">
        <v>1291</v>
      </c>
      <c r="I1225" s="32" t="s">
        <v>54</v>
      </c>
      <c r="J1225" s="32" t="s">
        <v>111</v>
      </c>
      <c r="M1225" s="32" t="s">
        <v>112</v>
      </c>
      <c r="N1225" s="32" t="s">
        <v>109</v>
      </c>
    </row>
    <row r="1226" spans="1:14" s="32" customFormat="1" hidden="1" x14ac:dyDescent="0.3">
      <c r="A1226" s="38">
        <v>46216.603472222225</v>
      </c>
      <c r="B1226" s="32" t="s">
        <v>109</v>
      </c>
      <c r="C1226" s="32">
        <v>63992144296</v>
      </c>
      <c r="E1226" s="32">
        <v>17</v>
      </c>
      <c r="F1226" s="32">
        <v>3</v>
      </c>
      <c r="G1226" s="32" t="s">
        <v>44</v>
      </c>
      <c r="H1226" s="32" t="s">
        <v>1292</v>
      </c>
      <c r="I1226" s="32" t="s">
        <v>54</v>
      </c>
      <c r="J1226" s="32" t="s">
        <v>111</v>
      </c>
      <c r="M1226" s="32" t="s">
        <v>112</v>
      </c>
      <c r="N1226" s="32" t="s">
        <v>109</v>
      </c>
    </row>
    <row r="1227" spans="1:14" s="32" customFormat="1" hidden="1" x14ac:dyDescent="0.3">
      <c r="A1227" s="38">
        <v>46216.599421296298</v>
      </c>
      <c r="B1227" s="32" t="s">
        <v>109</v>
      </c>
      <c r="C1227" s="32">
        <v>4733198006</v>
      </c>
      <c r="E1227" s="32">
        <v>44</v>
      </c>
      <c r="F1227" s="32">
        <v>0</v>
      </c>
      <c r="G1227" s="32" t="s">
        <v>63</v>
      </c>
      <c r="H1227" s="32" t="s">
        <v>1293</v>
      </c>
      <c r="I1227" s="32" t="s">
        <v>54</v>
      </c>
      <c r="J1227" s="32" t="s">
        <v>111</v>
      </c>
      <c r="M1227" s="32" t="s">
        <v>112</v>
      </c>
      <c r="N1227" s="32" t="s">
        <v>109</v>
      </c>
    </row>
    <row r="1228" spans="1:14" s="32" customFormat="1" hidden="1" x14ac:dyDescent="0.3">
      <c r="A1228" s="38">
        <v>46216.598055555558</v>
      </c>
      <c r="B1228" s="32" t="s">
        <v>109</v>
      </c>
      <c r="C1228" s="32">
        <v>11983501847</v>
      </c>
      <c r="E1228" s="32">
        <v>29</v>
      </c>
      <c r="F1228" s="32">
        <v>0</v>
      </c>
      <c r="G1228" s="32" t="s">
        <v>63</v>
      </c>
      <c r="H1228" s="32" t="s">
        <v>1294</v>
      </c>
      <c r="I1228" s="32" t="s">
        <v>54</v>
      </c>
      <c r="J1228" s="32" t="s">
        <v>111</v>
      </c>
      <c r="M1228" s="32" t="s">
        <v>112</v>
      </c>
      <c r="N1228" s="32" t="s">
        <v>109</v>
      </c>
    </row>
    <row r="1229" spans="1:14" s="32" customFormat="1" hidden="1" x14ac:dyDescent="0.3">
      <c r="A1229" s="38">
        <v>46216.598020833335</v>
      </c>
      <c r="B1229" s="32">
        <v>62981535978</v>
      </c>
      <c r="C1229" s="32" t="s">
        <v>43</v>
      </c>
      <c r="D1229" s="32">
        <v>4430265054</v>
      </c>
      <c r="E1229" s="32">
        <v>1057</v>
      </c>
      <c r="F1229" s="32">
        <v>966</v>
      </c>
      <c r="G1229" s="32" t="s">
        <v>44</v>
      </c>
      <c r="H1229" s="32" t="s">
        <v>1295</v>
      </c>
      <c r="I1229" s="32" t="s">
        <v>40</v>
      </c>
      <c r="J1229" s="32" t="s">
        <v>46</v>
      </c>
      <c r="K1229" s="32" t="s">
        <v>42</v>
      </c>
      <c r="M1229" s="32" t="s">
        <v>47</v>
      </c>
      <c r="N1229" s="32" t="s">
        <v>43</v>
      </c>
    </row>
    <row r="1230" spans="1:14" s="32" customFormat="1" hidden="1" x14ac:dyDescent="0.3">
      <c r="A1230" s="38">
        <v>46216.596458333333</v>
      </c>
      <c r="B1230" s="32" t="s">
        <v>109</v>
      </c>
      <c r="C1230" s="32">
        <v>91980472979</v>
      </c>
      <c r="E1230" s="32">
        <v>24</v>
      </c>
      <c r="F1230" s="32">
        <v>19</v>
      </c>
      <c r="G1230" s="32" t="s">
        <v>44</v>
      </c>
      <c r="H1230" s="32" t="s">
        <v>1296</v>
      </c>
      <c r="I1230" s="32" t="s">
        <v>54</v>
      </c>
      <c r="J1230" s="32" t="s">
        <v>111</v>
      </c>
      <c r="M1230" s="32" t="s">
        <v>112</v>
      </c>
      <c r="N1230" s="32" t="s">
        <v>109</v>
      </c>
    </row>
    <row r="1231" spans="1:14" s="32" customFormat="1" hidden="1" x14ac:dyDescent="0.3">
      <c r="A1231" s="38">
        <v>46216.595995370371</v>
      </c>
      <c r="B1231" s="32" t="s">
        <v>49</v>
      </c>
      <c r="C1231" s="32">
        <v>41999717893</v>
      </c>
      <c r="E1231" s="32">
        <v>72</v>
      </c>
      <c r="F1231" s="32">
        <v>29</v>
      </c>
      <c r="G1231" s="32" t="s">
        <v>44</v>
      </c>
      <c r="H1231" s="32" t="s">
        <v>1297</v>
      </c>
      <c r="I1231" s="32" t="s">
        <v>54</v>
      </c>
      <c r="J1231" s="32" t="s">
        <v>46</v>
      </c>
      <c r="M1231" s="32" t="s">
        <v>51</v>
      </c>
      <c r="N1231" s="32" t="s">
        <v>49</v>
      </c>
    </row>
    <row r="1232" spans="1:14" s="32" customFormat="1" hidden="1" x14ac:dyDescent="0.3">
      <c r="A1232" s="38">
        <v>46216.593981481485</v>
      </c>
      <c r="B1232" s="32" t="s">
        <v>109</v>
      </c>
      <c r="C1232" s="32">
        <v>62992384094</v>
      </c>
      <c r="E1232" s="32">
        <v>12</v>
      </c>
      <c r="F1232" s="32">
        <v>8</v>
      </c>
      <c r="G1232" s="32" t="s">
        <v>44</v>
      </c>
      <c r="H1232" s="32" t="s">
        <v>1298</v>
      </c>
      <c r="I1232" s="32" t="s">
        <v>54</v>
      </c>
      <c r="J1232" s="32" t="s">
        <v>111</v>
      </c>
      <c r="M1232" s="32" t="s">
        <v>112</v>
      </c>
      <c r="N1232" s="32" t="s">
        <v>109</v>
      </c>
    </row>
    <row r="1233" spans="1:14" s="32" customFormat="1" hidden="1" x14ac:dyDescent="0.3">
      <c r="A1233" s="38">
        <v>46216.593715277777</v>
      </c>
      <c r="B1233" s="32" t="s">
        <v>49</v>
      </c>
      <c r="C1233" s="32">
        <v>41999717893</v>
      </c>
      <c r="E1233" s="32">
        <v>72</v>
      </c>
      <c r="F1233" s="32">
        <v>32</v>
      </c>
      <c r="G1233" s="32" t="s">
        <v>44</v>
      </c>
      <c r="H1233" s="32" t="s">
        <v>1299</v>
      </c>
      <c r="I1233" s="32" t="s">
        <v>54</v>
      </c>
      <c r="J1233" s="32" t="s">
        <v>46</v>
      </c>
      <c r="M1233" s="32" t="s">
        <v>51</v>
      </c>
      <c r="N1233" s="32" t="s">
        <v>49</v>
      </c>
    </row>
    <row r="1234" spans="1:14" s="32" customFormat="1" hidden="1" x14ac:dyDescent="0.3">
      <c r="A1234" s="38">
        <v>46216.592835648145</v>
      </c>
      <c r="B1234" s="32" t="s">
        <v>43</v>
      </c>
      <c r="C1234" s="32">
        <v>44999689445</v>
      </c>
      <c r="E1234" s="32">
        <v>235</v>
      </c>
      <c r="F1234" s="32">
        <v>226</v>
      </c>
      <c r="G1234" s="32" t="s">
        <v>44</v>
      </c>
      <c r="H1234" s="32" t="s">
        <v>1300</v>
      </c>
      <c r="I1234" s="32" t="s">
        <v>54</v>
      </c>
      <c r="J1234" s="32" t="s">
        <v>46</v>
      </c>
      <c r="M1234" s="32" t="s">
        <v>47</v>
      </c>
      <c r="N1234" s="32" t="s">
        <v>43</v>
      </c>
    </row>
    <row r="1235" spans="1:14" s="32" customFormat="1" hidden="1" x14ac:dyDescent="0.3">
      <c r="A1235" s="38">
        <v>46216.592662037037</v>
      </c>
      <c r="B1235" s="32" t="s">
        <v>109</v>
      </c>
      <c r="C1235" s="32">
        <v>91984292383</v>
      </c>
      <c r="E1235" s="32">
        <v>14</v>
      </c>
      <c r="F1235" s="32">
        <v>0</v>
      </c>
      <c r="G1235" s="32" t="s">
        <v>63</v>
      </c>
      <c r="H1235" s="32" t="s">
        <v>1301</v>
      </c>
      <c r="I1235" s="32" t="s">
        <v>54</v>
      </c>
      <c r="J1235" s="32" t="s">
        <v>111</v>
      </c>
      <c r="M1235" s="32" t="s">
        <v>112</v>
      </c>
      <c r="N1235" s="32" t="s">
        <v>109</v>
      </c>
    </row>
    <row r="1236" spans="1:14" s="32" customFormat="1" hidden="1" x14ac:dyDescent="0.3">
      <c r="A1236" s="38">
        <v>46216.59175925926</v>
      </c>
      <c r="B1236" s="32" t="s">
        <v>43</v>
      </c>
      <c r="C1236" s="32">
        <v>4436281154</v>
      </c>
      <c r="E1236" s="32">
        <v>14</v>
      </c>
      <c r="F1236" s="32">
        <v>14</v>
      </c>
      <c r="G1236" s="32" t="s">
        <v>44</v>
      </c>
      <c r="H1236" s="32" t="s">
        <v>1302</v>
      </c>
      <c r="I1236" s="32" t="s">
        <v>54</v>
      </c>
      <c r="J1236" s="32" t="s">
        <v>46</v>
      </c>
      <c r="M1236" s="32" t="s">
        <v>47</v>
      </c>
      <c r="N1236" s="32" t="s">
        <v>43</v>
      </c>
    </row>
    <row r="1237" spans="1:14" s="32" customFormat="1" hidden="1" x14ac:dyDescent="0.3">
      <c r="A1237" s="38">
        <v>46216.591435185182</v>
      </c>
      <c r="B1237" s="32" t="s">
        <v>43</v>
      </c>
      <c r="C1237" s="32">
        <v>4436281154</v>
      </c>
      <c r="E1237" s="32">
        <v>4</v>
      </c>
      <c r="F1237" s="32">
        <v>0</v>
      </c>
      <c r="G1237" s="32" t="s">
        <v>63</v>
      </c>
      <c r="H1237" s="32" t="s">
        <v>1303</v>
      </c>
      <c r="I1237" s="32" t="s">
        <v>54</v>
      </c>
      <c r="J1237" s="32" t="s">
        <v>46</v>
      </c>
      <c r="M1237" s="32" t="s">
        <v>47</v>
      </c>
      <c r="N1237" s="32" t="s">
        <v>43</v>
      </c>
    </row>
    <row r="1238" spans="1:14" s="32" customFormat="1" hidden="1" x14ac:dyDescent="0.3">
      <c r="A1238" s="38">
        <v>46216.591365740744</v>
      </c>
      <c r="B1238" s="32" t="s">
        <v>43</v>
      </c>
      <c r="C1238" s="32">
        <v>4436281154</v>
      </c>
      <c r="E1238" s="32">
        <v>14</v>
      </c>
      <c r="F1238" s="32">
        <v>14</v>
      </c>
      <c r="G1238" s="32" t="s">
        <v>44</v>
      </c>
      <c r="H1238" s="32" t="s">
        <v>1304</v>
      </c>
      <c r="I1238" s="32" t="s">
        <v>54</v>
      </c>
      <c r="J1238" s="32" t="s">
        <v>46</v>
      </c>
      <c r="M1238" s="32" t="s">
        <v>47</v>
      </c>
      <c r="N1238" s="32" t="s">
        <v>43</v>
      </c>
    </row>
    <row r="1239" spans="1:14" s="32" customFormat="1" hidden="1" x14ac:dyDescent="0.3">
      <c r="A1239" s="38">
        <v>46216.591296296298</v>
      </c>
      <c r="B1239" s="32" t="s">
        <v>43</v>
      </c>
      <c r="C1239" s="32">
        <v>4436281154</v>
      </c>
      <c r="E1239" s="32">
        <v>2</v>
      </c>
      <c r="F1239" s="32">
        <v>0</v>
      </c>
      <c r="G1239" s="32" t="s">
        <v>63</v>
      </c>
      <c r="H1239" s="32" t="s">
        <v>1305</v>
      </c>
      <c r="I1239" s="32" t="s">
        <v>54</v>
      </c>
      <c r="J1239" s="32" t="s">
        <v>46</v>
      </c>
      <c r="M1239" s="32" t="s">
        <v>47</v>
      </c>
      <c r="N1239" s="32" t="s">
        <v>43</v>
      </c>
    </row>
    <row r="1240" spans="1:14" s="32" customFormat="1" hidden="1" x14ac:dyDescent="0.3">
      <c r="A1240" s="38">
        <v>46216.575115740743</v>
      </c>
      <c r="B1240" s="32">
        <v>41997840159</v>
      </c>
      <c r="C1240" s="32" t="s">
        <v>58</v>
      </c>
      <c r="D1240" s="32">
        <v>4431268225</v>
      </c>
      <c r="E1240" s="32">
        <v>673</v>
      </c>
      <c r="F1240" s="32">
        <v>604</v>
      </c>
      <c r="G1240" s="32" t="s">
        <v>44</v>
      </c>
      <c r="H1240" s="32" t="s">
        <v>1306</v>
      </c>
      <c r="I1240" s="32" t="s">
        <v>40</v>
      </c>
      <c r="J1240" s="32" t="s">
        <v>46</v>
      </c>
      <c r="K1240" s="32" t="s">
        <v>42</v>
      </c>
      <c r="L1240" s="32">
        <v>5</v>
      </c>
      <c r="M1240" s="32" t="s">
        <v>60</v>
      </c>
      <c r="N1240" s="32" t="s">
        <v>58</v>
      </c>
    </row>
    <row r="1241" spans="1:14" s="32" customFormat="1" x14ac:dyDescent="0.3">
      <c r="A1241" s="38">
        <v>46216.573587962965</v>
      </c>
      <c r="B1241" s="32">
        <v>11985836640</v>
      </c>
      <c r="C1241" s="32" t="s">
        <v>49</v>
      </c>
      <c r="D1241" s="32">
        <v>4430265054</v>
      </c>
      <c r="E1241" s="32">
        <v>776</v>
      </c>
      <c r="F1241" s="32">
        <v>620</v>
      </c>
      <c r="G1241" s="32" t="s">
        <v>44</v>
      </c>
      <c r="H1241" s="32" t="s">
        <v>1307</v>
      </c>
      <c r="I1241" s="32" t="s">
        <v>40</v>
      </c>
      <c r="J1241" s="32" t="s">
        <v>46</v>
      </c>
      <c r="K1241" s="32" t="s">
        <v>42</v>
      </c>
      <c r="L1241" s="32">
        <v>5</v>
      </c>
      <c r="M1241" s="32" t="s">
        <v>51</v>
      </c>
      <c r="N1241" s="32" t="s">
        <v>49</v>
      </c>
    </row>
    <row r="1242" spans="1:14" s="32" customFormat="1" hidden="1" x14ac:dyDescent="0.3">
      <c r="A1242" s="38">
        <v>46216.569976851853</v>
      </c>
      <c r="B1242" s="32">
        <v>4436281154</v>
      </c>
      <c r="C1242" s="32" t="s">
        <v>43</v>
      </c>
      <c r="D1242" s="32">
        <v>4430265054</v>
      </c>
      <c r="E1242" s="32">
        <v>529</v>
      </c>
      <c r="F1242" s="32">
        <v>509</v>
      </c>
      <c r="G1242" s="32" t="s">
        <v>44</v>
      </c>
      <c r="H1242" s="32" t="s">
        <v>1308</v>
      </c>
      <c r="I1242" s="32" t="s">
        <v>40</v>
      </c>
      <c r="J1242" s="32" t="s">
        <v>46</v>
      </c>
      <c r="K1242" s="32" t="s">
        <v>42</v>
      </c>
      <c r="M1242" s="32" t="s">
        <v>47</v>
      </c>
      <c r="N1242" s="32" t="s">
        <v>43</v>
      </c>
    </row>
    <row r="1243" spans="1:14" s="32" customFormat="1" hidden="1" x14ac:dyDescent="0.3">
      <c r="A1243" s="38">
        <v>46216.568287037036</v>
      </c>
      <c r="B1243" s="32">
        <v>44998802935</v>
      </c>
      <c r="C1243" s="32" t="s">
        <v>1038</v>
      </c>
      <c r="D1243" s="32">
        <v>4431268225</v>
      </c>
      <c r="E1243" s="32">
        <v>665</v>
      </c>
      <c r="F1243" s="32">
        <v>579</v>
      </c>
      <c r="G1243" s="32" t="s">
        <v>44</v>
      </c>
      <c r="H1243" s="32" t="s">
        <v>1309</v>
      </c>
      <c r="I1243" s="32" t="s">
        <v>40</v>
      </c>
      <c r="J1243" s="32" t="s">
        <v>46</v>
      </c>
      <c r="K1243" s="32" t="s">
        <v>42</v>
      </c>
      <c r="M1243" s="32" t="s">
        <v>1040</v>
      </c>
      <c r="N1243" s="32" t="s">
        <v>1038</v>
      </c>
    </row>
    <row r="1244" spans="1:14" s="32" customFormat="1" hidden="1" x14ac:dyDescent="0.3">
      <c r="A1244" s="38">
        <v>46216.563877314817</v>
      </c>
      <c r="B1244" s="32">
        <v>47999115463</v>
      </c>
      <c r="C1244" s="32" t="s">
        <v>1038</v>
      </c>
      <c r="D1244" s="32">
        <v>4430265054</v>
      </c>
      <c r="E1244" s="32">
        <v>341</v>
      </c>
      <c r="F1244" s="32">
        <v>230</v>
      </c>
      <c r="G1244" s="32" t="s">
        <v>44</v>
      </c>
      <c r="H1244" s="32" t="s">
        <v>1310</v>
      </c>
      <c r="I1244" s="32" t="s">
        <v>40</v>
      </c>
      <c r="J1244" s="32" t="s">
        <v>46</v>
      </c>
      <c r="K1244" s="32" t="s">
        <v>42</v>
      </c>
      <c r="M1244" s="32" t="s">
        <v>1040</v>
      </c>
      <c r="N1244" s="32" t="s">
        <v>1038</v>
      </c>
    </row>
    <row r="1245" spans="1:14" s="32" customFormat="1" hidden="1" x14ac:dyDescent="0.3">
      <c r="A1245" s="38">
        <v>46216.498749999999</v>
      </c>
      <c r="B1245" s="32" t="s">
        <v>49</v>
      </c>
      <c r="C1245" s="32">
        <v>41999717893</v>
      </c>
      <c r="E1245" s="32">
        <v>38</v>
      </c>
      <c r="F1245" s="32">
        <v>0</v>
      </c>
      <c r="G1245" s="32" t="s">
        <v>63</v>
      </c>
      <c r="H1245" s="32" t="s">
        <v>1311</v>
      </c>
      <c r="I1245" s="32" t="s">
        <v>54</v>
      </c>
      <c r="J1245" s="32" t="s">
        <v>46</v>
      </c>
      <c r="M1245" s="32" t="s">
        <v>51</v>
      </c>
      <c r="N1245" s="32" t="s">
        <v>49</v>
      </c>
    </row>
    <row r="1246" spans="1:14" s="32" customFormat="1" hidden="1" x14ac:dyDescent="0.3">
      <c r="A1246" s="38">
        <v>46216.496631944443</v>
      </c>
      <c r="B1246" s="32" t="s">
        <v>109</v>
      </c>
      <c r="C1246" s="32">
        <v>85999822782</v>
      </c>
      <c r="E1246" s="32">
        <v>12</v>
      </c>
      <c r="F1246" s="32">
        <v>0</v>
      </c>
      <c r="G1246" s="32" t="s">
        <v>63</v>
      </c>
      <c r="H1246" s="32" t="s">
        <v>1312</v>
      </c>
      <c r="I1246" s="32" t="s">
        <v>54</v>
      </c>
      <c r="J1246" s="32" t="s">
        <v>111</v>
      </c>
      <c r="M1246" s="32" t="s">
        <v>112</v>
      </c>
      <c r="N1246" s="32" t="s">
        <v>109</v>
      </c>
    </row>
    <row r="1247" spans="1:14" s="32" customFormat="1" hidden="1" x14ac:dyDescent="0.3">
      <c r="A1247" s="38">
        <v>46216.494155092594</v>
      </c>
      <c r="B1247" s="32" t="s">
        <v>109</v>
      </c>
      <c r="C1247" s="32">
        <v>62985508294</v>
      </c>
      <c r="E1247" s="32">
        <v>22</v>
      </c>
      <c r="F1247" s="32">
        <v>14</v>
      </c>
      <c r="G1247" s="32" t="s">
        <v>44</v>
      </c>
      <c r="H1247" s="32" t="s">
        <v>1313</v>
      </c>
      <c r="I1247" s="32" t="s">
        <v>54</v>
      </c>
      <c r="J1247" s="32" t="s">
        <v>111</v>
      </c>
      <c r="M1247" s="32" t="s">
        <v>112</v>
      </c>
      <c r="N1247" s="32" t="s">
        <v>109</v>
      </c>
    </row>
    <row r="1248" spans="1:14" s="32" customFormat="1" hidden="1" x14ac:dyDescent="0.3">
      <c r="A1248" s="38">
        <v>46216.477673611109</v>
      </c>
      <c r="B1248" s="32">
        <v>41997840159</v>
      </c>
      <c r="C1248" s="32" t="s">
        <v>1038</v>
      </c>
      <c r="D1248" s="32">
        <v>4431268225</v>
      </c>
      <c r="E1248" s="32">
        <v>662</v>
      </c>
      <c r="F1248" s="32">
        <v>624</v>
      </c>
      <c r="G1248" s="32" t="s">
        <v>44</v>
      </c>
      <c r="H1248" s="32" t="s">
        <v>1314</v>
      </c>
      <c r="I1248" s="32" t="s">
        <v>40</v>
      </c>
      <c r="J1248" s="32" t="s">
        <v>46</v>
      </c>
      <c r="K1248" s="32" t="s">
        <v>42</v>
      </c>
      <c r="M1248" s="32" t="s">
        <v>1040</v>
      </c>
      <c r="N1248" s="32" t="s">
        <v>1038</v>
      </c>
    </row>
    <row r="1249" spans="1:14" s="32" customFormat="1" hidden="1" x14ac:dyDescent="0.3">
      <c r="A1249" s="38">
        <v>46216.474444444444</v>
      </c>
      <c r="B1249" s="32">
        <v>83988398480</v>
      </c>
      <c r="C1249" s="32" t="s">
        <v>43</v>
      </c>
      <c r="D1249" s="32">
        <v>4430265054</v>
      </c>
      <c r="E1249" s="32">
        <v>546</v>
      </c>
      <c r="F1249" s="32">
        <v>530</v>
      </c>
      <c r="G1249" s="32" t="s">
        <v>44</v>
      </c>
      <c r="H1249" s="32" t="s">
        <v>1315</v>
      </c>
      <c r="I1249" s="32" t="s">
        <v>40</v>
      </c>
      <c r="J1249" s="32" t="s">
        <v>46</v>
      </c>
      <c r="K1249" s="32" t="s">
        <v>42</v>
      </c>
      <c r="M1249" s="32" t="s">
        <v>47</v>
      </c>
      <c r="N1249" s="32" t="s">
        <v>43</v>
      </c>
    </row>
    <row r="1250" spans="1:14" s="32" customFormat="1" hidden="1" x14ac:dyDescent="0.3">
      <c r="A1250" s="38">
        <v>46216.472905092596</v>
      </c>
      <c r="B1250" s="32" t="s">
        <v>109</v>
      </c>
      <c r="C1250" s="32">
        <v>32987019526</v>
      </c>
      <c r="E1250" s="32">
        <v>10</v>
      </c>
      <c r="F1250" s="32">
        <v>0</v>
      </c>
      <c r="G1250" s="32" t="s">
        <v>63</v>
      </c>
      <c r="H1250" s="32" t="s">
        <v>1316</v>
      </c>
      <c r="I1250" s="32" t="s">
        <v>54</v>
      </c>
      <c r="J1250" s="32" t="s">
        <v>111</v>
      </c>
      <c r="M1250" s="32" t="s">
        <v>112</v>
      </c>
      <c r="N1250" s="32" t="s">
        <v>109</v>
      </c>
    </row>
    <row r="1251" spans="1:14" s="32" customFormat="1" hidden="1" x14ac:dyDescent="0.3">
      <c r="A1251" s="38">
        <v>46216.468055555553</v>
      </c>
      <c r="B1251" s="32">
        <v>99985068235</v>
      </c>
      <c r="C1251" s="32" t="s">
        <v>1038</v>
      </c>
      <c r="D1251" s="32">
        <v>4430265054</v>
      </c>
      <c r="E1251" s="32">
        <v>334</v>
      </c>
      <c r="F1251" s="32">
        <v>309</v>
      </c>
      <c r="G1251" s="32" t="s">
        <v>44</v>
      </c>
      <c r="H1251" s="32" t="s">
        <v>1317</v>
      </c>
      <c r="I1251" s="32" t="s">
        <v>40</v>
      </c>
      <c r="J1251" s="32" t="s">
        <v>46</v>
      </c>
      <c r="K1251" s="32" t="s">
        <v>42</v>
      </c>
      <c r="L1251" s="32">
        <v>5</v>
      </c>
      <c r="M1251" s="32" t="s">
        <v>1040</v>
      </c>
      <c r="N1251" s="32" t="s">
        <v>1038</v>
      </c>
    </row>
    <row r="1252" spans="1:14" s="32" customFormat="1" hidden="1" x14ac:dyDescent="0.3">
      <c r="A1252" s="38">
        <v>46216.464907407404</v>
      </c>
      <c r="B1252" s="32" t="s">
        <v>109</v>
      </c>
      <c r="C1252" s="32">
        <v>11972245880</v>
      </c>
      <c r="E1252" s="32">
        <v>26</v>
      </c>
      <c r="F1252" s="32">
        <v>0</v>
      </c>
      <c r="G1252" s="32" t="s">
        <v>63</v>
      </c>
      <c r="H1252" s="32" t="s">
        <v>1318</v>
      </c>
      <c r="I1252" s="32" t="s">
        <v>54</v>
      </c>
      <c r="J1252" s="32" t="s">
        <v>111</v>
      </c>
      <c r="M1252" s="32" t="s">
        <v>112</v>
      </c>
      <c r="N1252" s="32" t="s">
        <v>109</v>
      </c>
    </row>
    <row r="1253" spans="1:14" s="32" customFormat="1" hidden="1" x14ac:dyDescent="0.3">
      <c r="A1253" s="38">
        <v>46216.464016203703</v>
      </c>
      <c r="B1253" s="32" t="s">
        <v>109</v>
      </c>
      <c r="C1253" s="32">
        <v>44941371909</v>
      </c>
      <c r="E1253" s="32">
        <v>0</v>
      </c>
      <c r="F1253" s="32">
        <v>0</v>
      </c>
      <c r="G1253" s="32" t="s">
        <v>63</v>
      </c>
      <c r="H1253" s="32" t="s">
        <v>1319</v>
      </c>
      <c r="I1253" s="32" t="s">
        <v>54</v>
      </c>
      <c r="J1253" s="32" t="s">
        <v>111</v>
      </c>
      <c r="M1253" s="32" t="s">
        <v>112</v>
      </c>
      <c r="N1253" s="32" t="s">
        <v>109</v>
      </c>
    </row>
    <row r="1254" spans="1:14" s="32" customFormat="1" hidden="1" x14ac:dyDescent="0.3">
      <c r="A1254" s="38">
        <v>46216.45412037037</v>
      </c>
      <c r="B1254" s="32">
        <v>4436281154</v>
      </c>
      <c r="C1254" s="32" t="s">
        <v>1038</v>
      </c>
      <c r="D1254" s="32">
        <v>4430265054</v>
      </c>
      <c r="E1254" s="32">
        <v>752</v>
      </c>
      <c r="F1254" s="32">
        <v>729</v>
      </c>
      <c r="G1254" s="32" t="s">
        <v>44</v>
      </c>
      <c r="H1254" s="32" t="s">
        <v>1320</v>
      </c>
      <c r="I1254" s="32" t="s">
        <v>40</v>
      </c>
      <c r="J1254" s="32" t="s">
        <v>46</v>
      </c>
      <c r="K1254" s="32" t="s">
        <v>42</v>
      </c>
      <c r="M1254" s="32" t="s">
        <v>1040</v>
      </c>
      <c r="N1254" s="32" t="s">
        <v>1038</v>
      </c>
    </row>
    <row r="1255" spans="1:14" s="32" customFormat="1" hidden="1" x14ac:dyDescent="0.3">
      <c r="A1255" s="38">
        <v>46216.448842592596</v>
      </c>
      <c r="B1255" s="32" t="s">
        <v>207</v>
      </c>
      <c r="C1255" s="32">
        <v>3133399000</v>
      </c>
      <c r="E1255" s="32">
        <v>432</v>
      </c>
      <c r="F1255" s="32">
        <v>431</v>
      </c>
      <c r="G1255" s="32" t="s">
        <v>44</v>
      </c>
      <c r="H1255" s="32" t="s">
        <v>1321</v>
      </c>
      <c r="I1255" s="32" t="s">
        <v>54</v>
      </c>
      <c r="J1255" s="32" t="s">
        <v>111</v>
      </c>
      <c r="M1255" s="32" t="s">
        <v>209</v>
      </c>
      <c r="N1255" s="32" t="s">
        <v>207</v>
      </c>
    </row>
    <row r="1256" spans="1:14" s="32" customFormat="1" hidden="1" x14ac:dyDescent="0.3">
      <c r="A1256" s="38">
        <v>46216.445393518516</v>
      </c>
      <c r="B1256" s="32" t="s">
        <v>207</v>
      </c>
      <c r="C1256" s="32">
        <v>3140202675</v>
      </c>
      <c r="E1256" s="32">
        <v>286</v>
      </c>
      <c r="F1256" s="32">
        <v>284</v>
      </c>
      <c r="G1256" s="32" t="s">
        <v>44</v>
      </c>
      <c r="H1256" s="32" t="s">
        <v>1322</v>
      </c>
      <c r="I1256" s="32" t="s">
        <v>54</v>
      </c>
      <c r="J1256" s="32" t="s">
        <v>111</v>
      </c>
      <c r="M1256" s="32" t="s">
        <v>209</v>
      </c>
      <c r="N1256" s="32" t="s">
        <v>207</v>
      </c>
    </row>
    <row r="1257" spans="1:14" s="32" customFormat="1" hidden="1" x14ac:dyDescent="0.3">
      <c r="A1257" s="38">
        <v>46216.442291666666</v>
      </c>
      <c r="B1257" s="32">
        <v>53981112780</v>
      </c>
      <c r="C1257" s="32" t="s">
        <v>43</v>
      </c>
      <c r="D1257" s="32">
        <v>4430265054</v>
      </c>
      <c r="E1257" s="32">
        <v>608</v>
      </c>
      <c r="F1257" s="32">
        <v>583</v>
      </c>
      <c r="G1257" s="32" t="s">
        <v>44</v>
      </c>
      <c r="H1257" s="32" t="s">
        <v>1323</v>
      </c>
      <c r="I1257" s="32" t="s">
        <v>40</v>
      </c>
      <c r="J1257" s="32" t="s">
        <v>46</v>
      </c>
      <c r="K1257" s="32" t="s">
        <v>42</v>
      </c>
      <c r="M1257" s="32" t="s">
        <v>47</v>
      </c>
      <c r="N1257" s="32" t="s">
        <v>43</v>
      </c>
    </row>
    <row r="1258" spans="1:14" s="32" customFormat="1" hidden="1" x14ac:dyDescent="0.3">
      <c r="A1258" s="38">
        <v>46216.442210648151</v>
      </c>
      <c r="B1258" s="32" t="s">
        <v>207</v>
      </c>
      <c r="C1258" s="32">
        <v>3132730443</v>
      </c>
      <c r="E1258" s="32">
        <v>142</v>
      </c>
      <c r="F1258" s="32">
        <v>138</v>
      </c>
      <c r="G1258" s="32" t="s">
        <v>44</v>
      </c>
      <c r="H1258" s="32" t="s">
        <v>1324</v>
      </c>
      <c r="I1258" s="32" t="s">
        <v>54</v>
      </c>
      <c r="J1258" s="32" t="s">
        <v>111</v>
      </c>
      <c r="M1258" s="32" t="s">
        <v>209</v>
      </c>
      <c r="N1258" s="32" t="s">
        <v>207</v>
      </c>
    </row>
    <row r="1259" spans="1:14" s="32" customFormat="1" hidden="1" x14ac:dyDescent="0.3">
      <c r="A1259" s="38">
        <v>46216.442118055558</v>
      </c>
      <c r="B1259" s="32">
        <v>83988398480</v>
      </c>
      <c r="C1259" s="32" t="s">
        <v>58</v>
      </c>
      <c r="D1259" s="32">
        <v>4430265054</v>
      </c>
      <c r="E1259" s="32">
        <v>922</v>
      </c>
      <c r="F1259" s="32">
        <v>922</v>
      </c>
      <c r="G1259" s="32" t="s">
        <v>44</v>
      </c>
      <c r="H1259" s="32" t="s">
        <v>1325</v>
      </c>
      <c r="I1259" s="32" t="s">
        <v>40</v>
      </c>
      <c r="J1259" s="32" t="s">
        <v>46</v>
      </c>
      <c r="K1259" s="32" t="s">
        <v>42</v>
      </c>
      <c r="M1259" s="32" t="s">
        <v>60</v>
      </c>
      <c r="N1259" s="32" t="s">
        <v>58</v>
      </c>
    </row>
    <row r="1260" spans="1:14" s="32" customFormat="1" hidden="1" x14ac:dyDescent="0.3">
      <c r="A1260" s="38">
        <v>46216.440393518518</v>
      </c>
      <c r="B1260" s="32">
        <v>41999717893</v>
      </c>
      <c r="C1260" s="32" t="s">
        <v>49</v>
      </c>
      <c r="D1260" s="32">
        <v>4430265054</v>
      </c>
      <c r="E1260" s="32">
        <v>3087</v>
      </c>
      <c r="F1260" s="32">
        <v>3026</v>
      </c>
      <c r="G1260" s="32" t="s">
        <v>44</v>
      </c>
      <c r="H1260" s="32" t="s">
        <v>1326</v>
      </c>
      <c r="I1260" s="32" t="s">
        <v>40</v>
      </c>
      <c r="J1260" s="32" t="s">
        <v>46</v>
      </c>
      <c r="K1260" s="32" t="s">
        <v>42</v>
      </c>
      <c r="M1260" s="32" t="s">
        <v>51</v>
      </c>
      <c r="N1260" s="32" t="s">
        <v>49</v>
      </c>
    </row>
    <row r="1261" spans="1:14" s="32" customFormat="1" hidden="1" x14ac:dyDescent="0.3">
      <c r="A1261" s="38">
        <v>46216.439733796295</v>
      </c>
      <c r="B1261" s="32" t="s">
        <v>207</v>
      </c>
      <c r="C1261" s="32">
        <v>3132170800</v>
      </c>
      <c r="E1261" s="32">
        <v>202</v>
      </c>
      <c r="F1261" s="32">
        <v>200</v>
      </c>
      <c r="G1261" s="32" t="s">
        <v>44</v>
      </c>
      <c r="H1261" s="32" t="s">
        <v>1327</v>
      </c>
      <c r="I1261" s="32" t="s">
        <v>54</v>
      </c>
      <c r="J1261" s="32" t="s">
        <v>111</v>
      </c>
      <c r="M1261" s="32" t="s">
        <v>209</v>
      </c>
      <c r="N1261" s="32" t="s">
        <v>207</v>
      </c>
    </row>
    <row r="1262" spans="1:14" s="32" customFormat="1" hidden="1" x14ac:dyDescent="0.3">
      <c r="A1262" s="38">
        <v>46216.435590277775</v>
      </c>
      <c r="B1262" s="32">
        <v>41995255119</v>
      </c>
      <c r="C1262" s="32" t="s">
        <v>1038</v>
      </c>
      <c r="D1262" s="32">
        <v>4430265054</v>
      </c>
      <c r="E1262" s="32">
        <v>1097</v>
      </c>
      <c r="F1262" s="32">
        <v>1077</v>
      </c>
      <c r="G1262" s="32" t="s">
        <v>44</v>
      </c>
      <c r="H1262" s="32" t="s">
        <v>1328</v>
      </c>
      <c r="I1262" s="32" t="s">
        <v>40</v>
      </c>
      <c r="J1262" s="32" t="s">
        <v>46</v>
      </c>
      <c r="K1262" s="32" t="s">
        <v>42</v>
      </c>
      <c r="L1262" s="32">
        <v>5</v>
      </c>
      <c r="M1262" s="32" t="s">
        <v>1040</v>
      </c>
      <c r="N1262" s="32" t="s">
        <v>1038</v>
      </c>
    </row>
    <row r="1263" spans="1:14" s="32" customFormat="1" hidden="1" x14ac:dyDescent="0.3">
      <c r="A1263" s="38">
        <v>46216.434884259259</v>
      </c>
      <c r="B1263" s="32">
        <v>53981112780</v>
      </c>
      <c r="C1263" s="32" t="s">
        <v>49</v>
      </c>
      <c r="D1263" s="32">
        <v>4430265054</v>
      </c>
      <c r="E1263" s="32">
        <v>269</v>
      </c>
      <c r="F1263" s="32">
        <v>231</v>
      </c>
      <c r="G1263" s="32" t="s">
        <v>44</v>
      </c>
      <c r="H1263" s="32" t="s">
        <v>1329</v>
      </c>
      <c r="I1263" s="32" t="s">
        <v>40</v>
      </c>
      <c r="J1263" s="32" t="s">
        <v>46</v>
      </c>
      <c r="K1263" s="32" t="s">
        <v>42</v>
      </c>
      <c r="M1263" s="32" t="s">
        <v>51</v>
      </c>
      <c r="N1263" s="32" t="s">
        <v>49</v>
      </c>
    </row>
    <row r="1264" spans="1:14" s="32" customFormat="1" hidden="1" x14ac:dyDescent="0.3">
      <c r="A1264" s="38">
        <v>46216.433252314811</v>
      </c>
      <c r="B1264" s="32">
        <v>44998464499</v>
      </c>
      <c r="C1264" s="32" t="s">
        <v>43</v>
      </c>
      <c r="D1264" s="32">
        <v>4430265054</v>
      </c>
      <c r="E1264" s="32">
        <v>256</v>
      </c>
      <c r="F1264" s="32">
        <v>175</v>
      </c>
      <c r="G1264" s="32" t="s">
        <v>44</v>
      </c>
      <c r="H1264" s="32" t="s">
        <v>1330</v>
      </c>
      <c r="I1264" s="32" t="s">
        <v>40</v>
      </c>
      <c r="J1264" s="32" t="s">
        <v>46</v>
      </c>
      <c r="K1264" s="32" t="s">
        <v>42</v>
      </c>
      <c r="L1264" s="32">
        <v>5</v>
      </c>
      <c r="M1264" s="32" t="s">
        <v>47</v>
      </c>
      <c r="N1264" s="32" t="s">
        <v>43</v>
      </c>
    </row>
    <row r="1265" spans="1:14" s="32" customFormat="1" hidden="1" x14ac:dyDescent="0.3">
      <c r="A1265" s="38">
        <v>46216.427662037036</v>
      </c>
      <c r="B1265" s="32">
        <v>53981112780</v>
      </c>
      <c r="C1265" s="32" t="s">
        <v>1038</v>
      </c>
      <c r="D1265" s="32">
        <v>4430265054</v>
      </c>
      <c r="E1265" s="32">
        <v>507</v>
      </c>
      <c r="F1265" s="32">
        <v>418</v>
      </c>
      <c r="G1265" s="32" t="s">
        <v>44</v>
      </c>
      <c r="H1265" s="32" t="s">
        <v>1331</v>
      </c>
      <c r="I1265" s="32" t="s">
        <v>40</v>
      </c>
      <c r="J1265" s="32" t="s">
        <v>46</v>
      </c>
      <c r="K1265" s="32" t="s">
        <v>42</v>
      </c>
      <c r="L1265" s="32">
        <v>5</v>
      </c>
      <c r="M1265" s="32" t="s">
        <v>1040</v>
      </c>
      <c r="N1265" s="32" t="s">
        <v>1038</v>
      </c>
    </row>
    <row r="1266" spans="1:14" s="32" customFormat="1" hidden="1" x14ac:dyDescent="0.3">
      <c r="A1266" s="38">
        <v>46216.41978009259</v>
      </c>
      <c r="B1266" s="32">
        <v>83988398480</v>
      </c>
      <c r="C1266" s="32" t="s">
        <v>43</v>
      </c>
      <c r="D1266" s="32">
        <v>4430265054</v>
      </c>
      <c r="E1266" s="32">
        <v>445</v>
      </c>
      <c r="F1266" s="32">
        <v>347</v>
      </c>
      <c r="G1266" s="32" t="s">
        <v>44</v>
      </c>
      <c r="H1266" s="32" t="s">
        <v>1332</v>
      </c>
      <c r="I1266" s="32" t="s">
        <v>40</v>
      </c>
      <c r="J1266" s="32" t="s">
        <v>46</v>
      </c>
      <c r="K1266" s="32" t="s">
        <v>42</v>
      </c>
      <c r="M1266" s="32" t="s">
        <v>47</v>
      </c>
      <c r="N1266" s="32" t="s">
        <v>43</v>
      </c>
    </row>
    <row r="1267" spans="1:14" s="32" customFormat="1" x14ac:dyDescent="0.3">
      <c r="A1267" s="38">
        <v>46216.416967592595</v>
      </c>
      <c r="B1267" s="32">
        <v>4436281154</v>
      </c>
      <c r="C1267" s="32" t="s">
        <v>49</v>
      </c>
      <c r="D1267" s="32">
        <v>4430265054</v>
      </c>
      <c r="E1267" s="32">
        <v>766</v>
      </c>
      <c r="F1267" s="32">
        <v>722</v>
      </c>
      <c r="G1267" s="32" t="s">
        <v>44</v>
      </c>
      <c r="H1267" s="32" t="s">
        <v>1333</v>
      </c>
      <c r="I1267" s="32" t="s">
        <v>40</v>
      </c>
      <c r="J1267" s="32" t="s">
        <v>46</v>
      </c>
      <c r="K1267" s="32" t="s">
        <v>42</v>
      </c>
      <c r="L1267" s="32">
        <v>5</v>
      </c>
      <c r="M1267" s="32" t="s">
        <v>51</v>
      </c>
      <c r="N1267" s="32" t="s">
        <v>49</v>
      </c>
    </row>
    <row r="1268" spans="1:14" s="32" customFormat="1" hidden="1" x14ac:dyDescent="0.3">
      <c r="A1268" s="38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38</v>
      </c>
      <c r="H1268" s="32" t="s">
        <v>1334</v>
      </c>
      <c r="I1268" s="32" t="s">
        <v>40</v>
      </c>
      <c r="J1268" s="32" t="s">
        <v>41</v>
      </c>
    </row>
    <row r="1269" spans="1:14" s="32" customFormat="1" hidden="1" x14ac:dyDescent="0.3">
      <c r="A1269" s="38">
        <v>46216.414861111109</v>
      </c>
      <c r="B1269" s="32">
        <v>53981112780</v>
      </c>
      <c r="C1269" s="32" t="s">
        <v>49</v>
      </c>
      <c r="D1269" s="32">
        <v>4430265054</v>
      </c>
      <c r="E1269" s="32">
        <v>188</v>
      </c>
      <c r="F1269" s="32">
        <v>41</v>
      </c>
      <c r="G1269" s="32" t="s">
        <v>44</v>
      </c>
      <c r="H1269" s="32" t="s">
        <v>1335</v>
      </c>
      <c r="I1269" s="32" t="s">
        <v>40</v>
      </c>
      <c r="J1269" s="32" t="s">
        <v>46</v>
      </c>
      <c r="K1269" s="32" t="s">
        <v>42</v>
      </c>
      <c r="M1269" s="32" t="s">
        <v>51</v>
      </c>
      <c r="N1269" s="32" t="s">
        <v>49</v>
      </c>
    </row>
    <row r="1270" spans="1:14" s="32" customFormat="1" hidden="1" x14ac:dyDescent="0.3">
      <c r="A1270" s="38">
        <v>46216.414155092592</v>
      </c>
      <c r="B1270" s="32" t="s">
        <v>58</v>
      </c>
      <c r="C1270" s="32">
        <v>1732146970</v>
      </c>
      <c r="E1270" s="32">
        <v>258</v>
      </c>
      <c r="F1270" s="32">
        <v>257</v>
      </c>
      <c r="G1270" s="32" t="s">
        <v>44</v>
      </c>
      <c r="H1270" s="32" t="s">
        <v>1336</v>
      </c>
      <c r="I1270" s="32" t="s">
        <v>54</v>
      </c>
      <c r="J1270" s="32" t="s">
        <v>46</v>
      </c>
      <c r="M1270" s="32" t="s">
        <v>60</v>
      </c>
      <c r="N1270" s="32" t="s">
        <v>58</v>
      </c>
    </row>
    <row r="1271" spans="1:14" s="32" customFormat="1" hidden="1" x14ac:dyDescent="0.3">
      <c r="A1271" s="38">
        <v>46216.411689814813</v>
      </c>
      <c r="B1271" s="32" t="s">
        <v>58</v>
      </c>
      <c r="C1271" s="32">
        <v>4430318515</v>
      </c>
      <c r="E1271" s="32">
        <v>82</v>
      </c>
      <c r="F1271" s="32">
        <v>68</v>
      </c>
      <c r="G1271" s="32" t="s">
        <v>44</v>
      </c>
      <c r="H1271" s="32" t="s">
        <v>1337</v>
      </c>
      <c r="I1271" s="32" t="s">
        <v>54</v>
      </c>
      <c r="J1271" s="32" t="s">
        <v>46</v>
      </c>
      <c r="M1271" s="32" t="s">
        <v>60</v>
      </c>
      <c r="N1271" s="32" t="s">
        <v>58</v>
      </c>
    </row>
    <row r="1272" spans="1:14" s="32" customFormat="1" hidden="1" x14ac:dyDescent="0.3">
      <c r="A1272" s="38">
        <v>46216.402361111112</v>
      </c>
      <c r="B1272" s="32">
        <v>41997840159</v>
      </c>
      <c r="C1272" s="32" t="s">
        <v>49</v>
      </c>
      <c r="D1272" s="32">
        <v>4431268225</v>
      </c>
      <c r="E1272" s="32">
        <v>543</v>
      </c>
      <c r="F1272" s="32">
        <v>486</v>
      </c>
      <c r="G1272" s="32" t="s">
        <v>44</v>
      </c>
      <c r="H1272" s="32" t="s">
        <v>1338</v>
      </c>
      <c r="I1272" s="32" t="s">
        <v>40</v>
      </c>
      <c r="J1272" s="32" t="s">
        <v>46</v>
      </c>
      <c r="K1272" s="32" t="s">
        <v>42</v>
      </c>
      <c r="M1272" s="32" t="s">
        <v>51</v>
      </c>
      <c r="N1272" s="32" t="s">
        <v>49</v>
      </c>
    </row>
    <row r="1273" spans="1:14" s="32" customFormat="1" hidden="1" x14ac:dyDescent="0.3">
      <c r="A1273" s="38">
        <v>46216.396099537036</v>
      </c>
      <c r="B1273" s="32" t="s">
        <v>379</v>
      </c>
      <c r="C1273" s="32" t="s">
        <v>207</v>
      </c>
      <c r="E1273" s="32">
        <v>548</v>
      </c>
      <c r="F1273" s="32">
        <v>545</v>
      </c>
      <c r="G1273" s="32" t="s">
        <v>44</v>
      </c>
      <c r="H1273" s="32" t="s">
        <v>1339</v>
      </c>
      <c r="I1273" s="32" t="s">
        <v>694</v>
      </c>
      <c r="J1273" s="32" t="s">
        <v>111</v>
      </c>
      <c r="M1273" s="32" t="s">
        <v>381</v>
      </c>
      <c r="N1273" s="32" t="s">
        <v>379</v>
      </c>
    </row>
    <row r="1274" spans="1:14" s="32" customFormat="1" hidden="1" x14ac:dyDescent="0.3">
      <c r="A1274" s="38">
        <v>46216.393310185187</v>
      </c>
      <c r="B1274" s="32">
        <v>53981112780</v>
      </c>
      <c r="C1274" s="32" t="s">
        <v>43</v>
      </c>
      <c r="D1274" s="32">
        <v>4430265054</v>
      </c>
      <c r="E1274" s="32">
        <v>542</v>
      </c>
      <c r="F1274" s="32">
        <v>499</v>
      </c>
      <c r="G1274" s="32" t="s">
        <v>44</v>
      </c>
      <c r="H1274" s="32" t="s">
        <v>1340</v>
      </c>
      <c r="I1274" s="32" t="s">
        <v>40</v>
      </c>
      <c r="J1274" s="32" t="s">
        <v>46</v>
      </c>
      <c r="K1274" s="32" t="s">
        <v>42</v>
      </c>
      <c r="L1274" s="32">
        <v>5</v>
      </c>
      <c r="M1274" s="32" t="s">
        <v>47</v>
      </c>
      <c r="N1274" s="32" t="s">
        <v>43</v>
      </c>
    </row>
    <row r="1275" spans="1:14" s="32" customFormat="1" hidden="1" x14ac:dyDescent="0.3">
      <c r="A1275" s="38">
        <v>46216.383692129632</v>
      </c>
      <c r="B1275" s="32" t="s">
        <v>49</v>
      </c>
      <c r="C1275" s="32">
        <v>4432637197</v>
      </c>
      <c r="E1275" s="32">
        <v>54</v>
      </c>
      <c r="F1275" s="32">
        <v>44</v>
      </c>
      <c r="G1275" s="32" t="s">
        <v>44</v>
      </c>
      <c r="H1275" s="32" t="s">
        <v>1341</v>
      </c>
      <c r="I1275" s="32" t="s">
        <v>54</v>
      </c>
      <c r="J1275" s="32" t="s">
        <v>46</v>
      </c>
      <c r="M1275" s="32" t="s">
        <v>51</v>
      </c>
      <c r="N1275" s="32" t="s">
        <v>49</v>
      </c>
    </row>
    <row r="1276" spans="1:14" s="32" customFormat="1" hidden="1" x14ac:dyDescent="0.3">
      <c r="A1276" s="38">
        <v>46216.383599537039</v>
      </c>
      <c r="B1276" s="32" t="s">
        <v>49</v>
      </c>
      <c r="C1276" s="32">
        <v>4432637197</v>
      </c>
      <c r="E1276" s="32">
        <v>14</v>
      </c>
      <c r="F1276" s="32">
        <v>13</v>
      </c>
      <c r="G1276" s="32" t="s">
        <v>44</v>
      </c>
      <c r="H1276" s="32" t="s">
        <v>1342</v>
      </c>
      <c r="I1276" s="32" t="s">
        <v>54</v>
      </c>
      <c r="J1276" s="32" t="s">
        <v>46</v>
      </c>
      <c r="M1276" s="32" t="s">
        <v>51</v>
      </c>
      <c r="N1276" s="32" t="s">
        <v>49</v>
      </c>
    </row>
    <row r="1277" spans="1:14" s="32" customFormat="1" hidden="1" x14ac:dyDescent="0.3">
      <c r="A1277" s="38">
        <v>46216.373449074075</v>
      </c>
      <c r="B1277" s="32">
        <v>41997840159</v>
      </c>
      <c r="C1277" s="32" t="s">
        <v>58</v>
      </c>
      <c r="D1277" s="32">
        <v>4431268225</v>
      </c>
      <c r="E1277" s="32">
        <v>639</v>
      </c>
      <c r="F1277" s="32">
        <v>602</v>
      </c>
      <c r="G1277" s="32" t="s">
        <v>44</v>
      </c>
      <c r="H1277" s="32" t="s">
        <v>1343</v>
      </c>
      <c r="I1277" s="32" t="s">
        <v>40</v>
      </c>
      <c r="J1277" s="32" t="s">
        <v>46</v>
      </c>
      <c r="K1277" s="32" t="s">
        <v>42</v>
      </c>
      <c r="M1277" s="32" t="s">
        <v>60</v>
      </c>
      <c r="N1277" s="32" t="s">
        <v>58</v>
      </c>
    </row>
    <row r="1278" spans="1:14" s="32" customFormat="1" hidden="1" x14ac:dyDescent="0.3">
      <c r="A1278" s="38">
        <v>46216.372870370367</v>
      </c>
      <c r="B1278" s="32">
        <v>44998581219</v>
      </c>
      <c r="C1278" s="32" t="s">
        <v>43</v>
      </c>
      <c r="D1278" s="32">
        <v>4430265054</v>
      </c>
      <c r="E1278" s="32">
        <v>337</v>
      </c>
      <c r="F1278" s="32">
        <v>317</v>
      </c>
      <c r="G1278" s="32" t="s">
        <v>44</v>
      </c>
      <c r="H1278" s="32" t="s">
        <v>1344</v>
      </c>
      <c r="I1278" s="32" t="s">
        <v>40</v>
      </c>
      <c r="J1278" s="32" t="s">
        <v>46</v>
      </c>
      <c r="K1278" s="32" t="s">
        <v>42</v>
      </c>
      <c r="L1278" s="32">
        <v>5</v>
      </c>
      <c r="M1278" s="32" t="s">
        <v>47</v>
      </c>
      <c r="N1278" s="32" t="s">
        <v>43</v>
      </c>
    </row>
    <row r="1279" spans="1:14" s="32" customFormat="1" hidden="1" x14ac:dyDescent="0.3">
      <c r="A1279" s="38">
        <v>46216.371412037035</v>
      </c>
      <c r="B1279" s="32">
        <v>4432637197</v>
      </c>
      <c r="C1279" s="32" t="s">
        <v>49</v>
      </c>
      <c r="D1279" s="32">
        <v>4430265054</v>
      </c>
      <c r="E1279" s="32">
        <v>862</v>
      </c>
      <c r="F1279" s="32">
        <v>785</v>
      </c>
      <c r="G1279" s="32" t="s">
        <v>44</v>
      </c>
      <c r="H1279" s="32" t="s">
        <v>1345</v>
      </c>
      <c r="I1279" s="32" t="s">
        <v>40</v>
      </c>
      <c r="J1279" s="32" t="s">
        <v>46</v>
      </c>
      <c r="K1279" s="32" t="s">
        <v>42</v>
      </c>
      <c r="M1279" s="32" t="s">
        <v>51</v>
      </c>
      <c r="N1279" s="32" t="s">
        <v>49</v>
      </c>
    </row>
    <row r="1280" spans="1:14" s="32" customFormat="1" hidden="1" x14ac:dyDescent="0.3">
      <c r="A1280" s="38">
        <v>46216.366064814814</v>
      </c>
      <c r="B1280" s="32">
        <v>4130263118</v>
      </c>
      <c r="C1280" s="32" t="s">
        <v>43</v>
      </c>
      <c r="D1280" s="32">
        <v>4430265054</v>
      </c>
      <c r="E1280" s="32">
        <v>196</v>
      </c>
      <c r="F1280" s="32">
        <v>174</v>
      </c>
      <c r="G1280" s="32" t="s">
        <v>44</v>
      </c>
      <c r="H1280" s="32" t="s">
        <v>1346</v>
      </c>
      <c r="I1280" s="32" t="s">
        <v>40</v>
      </c>
      <c r="J1280" s="32" t="s">
        <v>46</v>
      </c>
      <c r="K1280" s="32" t="s">
        <v>42</v>
      </c>
      <c r="L1280" s="32">
        <v>5</v>
      </c>
      <c r="M1280" s="32" t="s">
        <v>47</v>
      </c>
      <c r="N1280" s="32" t="s">
        <v>43</v>
      </c>
    </row>
    <row r="1281" spans="1:14" s="32" customFormat="1" x14ac:dyDescent="0.3">
      <c r="A1281" s="38">
        <v>46216.36074074074</v>
      </c>
      <c r="B1281" s="32">
        <v>4436249360</v>
      </c>
      <c r="C1281" s="32" t="s">
        <v>49</v>
      </c>
      <c r="D1281" s="32">
        <v>4430265054</v>
      </c>
      <c r="E1281" s="32">
        <v>794</v>
      </c>
      <c r="F1281" s="32">
        <v>760</v>
      </c>
      <c r="G1281" s="32" t="s">
        <v>44</v>
      </c>
      <c r="H1281" s="32" t="s">
        <v>1347</v>
      </c>
      <c r="I1281" s="32" t="s">
        <v>40</v>
      </c>
      <c r="J1281" s="32" t="s">
        <v>46</v>
      </c>
      <c r="K1281" s="32" t="s">
        <v>42</v>
      </c>
      <c r="L1281" s="32">
        <v>5</v>
      </c>
      <c r="M1281" s="32" t="s">
        <v>51</v>
      </c>
      <c r="N1281" s="32" t="s">
        <v>49</v>
      </c>
    </row>
    <row r="1282" spans="1:14" s="32" customFormat="1" hidden="1" x14ac:dyDescent="0.3">
      <c r="A1282" s="38">
        <v>46216.357060185182</v>
      </c>
      <c r="B1282" s="32" t="s">
        <v>43</v>
      </c>
      <c r="C1282" s="32">
        <v>44999632140</v>
      </c>
      <c r="E1282" s="32">
        <v>53</v>
      </c>
      <c r="F1282" s="32">
        <v>32</v>
      </c>
      <c r="G1282" s="32" t="s">
        <v>44</v>
      </c>
      <c r="H1282" s="32" t="s">
        <v>1348</v>
      </c>
      <c r="I1282" s="32" t="s">
        <v>54</v>
      </c>
      <c r="J1282" s="32" t="s">
        <v>46</v>
      </c>
      <c r="M1282" s="32" t="s">
        <v>47</v>
      </c>
      <c r="N1282" s="32" t="s">
        <v>43</v>
      </c>
    </row>
    <row r="1283" spans="1:14" s="32" customFormat="1" hidden="1" x14ac:dyDescent="0.3">
      <c r="A1283" s="38">
        <v>46216.355474537035</v>
      </c>
      <c r="B1283" s="32">
        <v>4430562296</v>
      </c>
      <c r="C1283" s="32" t="s">
        <v>49</v>
      </c>
      <c r="D1283" s="32">
        <v>4430265054</v>
      </c>
      <c r="E1283" s="32">
        <v>293</v>
      </c>
      <c r="F1283" s="32">
        <v>271</v>
      </c>
      <c r="G1283" s="32" t="s">
        <v>44</v>
      </c>
      <c r="H1283" s="32" t="s">
        <v>1349</v>
      </c>
      <c r="I1283" s="32" t="s">
        <v>40</v>
      </c>
      <c r="J1283" s="32" t="s">
        <v>46</v>
      </c>
      <c r="K1283" s="32" t="s">
        <v>42</v>
      </c>
      <c r="M1283" s="32" t="s">
        <v>51</v>
      </c>
      <c r="N1283" s="32" t="s">
        <v>49</v>
      </c>
    </row>
    <row r="1284" spans="1:14" s="32" customFormat="1" hidden="1" x14ac:dyDescent="0.3">
      <c r="A1284" s="38">
        <v>46213.735335648147</v>
      </c>
      <c r="B1284" s="32">
        <v>44999632140</v>
      </c>
      <c r="C1284" s="32" t="s">
        <v>43</v>
      </c>
      <c r="D1284" s="32">
        <v>4430265054</v>
      </c>
      <c r="E1284" s="32">
        <v>784</v>
      </c>
      <c r="F1284" s="32">
        <v>763</v>
      </c>
      <c r="G1284" s="32" t="s">
        <v>44</v>
      </c>
      <c r="H1284" s="32" t="s">
        <v>1350</v>
      </c>
      <c r="I1284" s="32" t="s">
        <v>40</v>
      </c>
      <c r="J1284" s="32" t="s">
        <v>46</v>
      </c>
      <c r="K1284" s="32" t="s">
        <v>42</v>
      </c>
      <c r="M1284" s="32" t="s">
        <v>47</v>
      </c>
      <c r="N1284" s="32" t="s">
        <v>43</v>
      </c>
    </row>
    <row r="1285" spans="1:14" s="32" customFormat="1" hidden="1" x14ac:dyDescent="0.3">
      <c r="A1285" s="38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38</v>
      </c>
      <c r="H1285" s="32" t="s">
        <v>1351</v>
      </c>
      <c r="I1285" s="32" t="s">
        <v>40</v>
      </c>
      <c r="J1285" s="32" t="s">
        <v>41</v>
      </c>
    </row>
    <row r="1286" spans="1:14" s="32" customFormat="1" hidden="1" x14ac:dyDescent="0.3">
      <c r="A1286" s="38">
        <v>46213.729062500002</v>
      </c>
      <c r="B1286" s="32">
        <v>44999689445</v>
      </c>
      <c r="C1286" s="32" t="s">
        <v>1352</v>
      </c>
      <c r="D1286" s="32">
        <v>4430265054</v>
      </c>
      <c r="E1286" s="32">
        <v>294</v>
      </c>
      <c r="F1286" s="32">
        <v>253</v>
      </c>
      <c r="G1286" s="32" t="s">
        <v>44</v>
      </c>
      <c r="H1286" s="32" t="s">
        <v>1353</v>
      </c>
      <c r="I1286" s="32" t="s">
        <v>40</v>
      </c>
      <c r="J1286" s="32" t="s">
        <v>46</v>
      </c>
      <c r="K1286" s="32" t="s">
        <v>42</v>
      </c>
      <c r="M1286" s="32" t="s">
        <v>1354</v>
      </c>
      <c r="N1286" s="32" t="s">
        <v>1352</v>
      </c>
    </row>
    <row r="1287" spans="1:14" s="32" customFormat="1" hidden="1" x14ac:dyDescent="0.3">
      <c r="A1287" s="38">
        <v>46213.726666666669</v>
      </c>
      <c r="B1287" s="32" t="s">
        <v>109</v>
      </c>
      <c r="C1287" s="32">
        <v>61984489631</v>
      </c>
      <c r="E1287" s="32">
        <v>16</v>
      </c>
      <c r="F1287" s="32">
        <v>0</v>
      </c>
      <c r="G1287" s="32" t="s">
        <v>63</v>
      </c>
      <c r="H1287" s="32" t="s">
        <v>1355</v>
      </c>
      <c r="I1287" s="32" t="s">
        <v>54</v>
      </c>
      <c r="J1287" s="32" t="s">
        <v>111</v>
      </c>
      <c r="M1287" s="32" t="s">
        <v>112</v>
      </c>
      <c r="N1287" s="32" t="s">
        <v>109</v>
      </c>
    </row>
    <row r="1288" spans="1:14" s="32" customFormat="1" hidden="1" x14ac:dyDescent="0.3">
      <c r="A1288" s="38">
        <v>46213.726469907408</v>
      </c>
      <c r="B1288" s="32">
        <v>77999014770</v>
      </c>
      <c r="C1288" s="32" t="s">
        <v>1038</v>
      </c>
      <c r="D1288" s="32">
        <v>4430265054</v>
      </c>
      <c r="E1288" s="32">
        <v>1313</v>
      </c>
      <c r="F1288" s="32">
        <v>1218</v>
      </c>
      <c r="G1288" s="32" t="s">
        <v>44</v>
      </c>
      <c r="H1288" s="32" t="s">
        <v>1356</v>
      </c>
      <c r="I1288" s="32" t="s">
        <v>40</v>
      </c>
      <c r="J1288" s="32" t="s">
        <v>46</v>
      </c>
      <c r="K1288" s="32" t="s">
        <v>42</v>
      </c>
      <c r="L1288" s="32">
        <v>5</v>
      </c>
      <c r="M1288" s="32" t="s">
        <v>1040</v>
      </c>
      <c r="N1288" s="32" t="s">
        <v>1038</v>
      </c>
    </row>
    <row r="1289" spans="1:14" s="32" customFormat="1" hidden="1" x14ac:dyDescent="0.3">
      <c r="A1289" s="38">
        <v>46213.723113425927</v>
      </c>
      <c r="B1289" s="32">
        <v>4334226481</v>
      </c>
      <c r="C1289" s="32" t="s">
        <v>43</v>
      </c>
      <c r="D1289" s="32">
        <v>4430265054</v>
      </c>
      <c r="E1289" s="32">
        <v>143</v>
      </c>
      <c r="F1289" s="32">
        <v>129</v>
      </c>
      <c r="G1289" s="32" t="s">
        <v>44</v>
      </c>
      <c r="H1289" s="32" t="s">
        <v>1357</v>
      </c>
      <c r="I1289" s="32" t="s">
        <v>40</v>
      </c>
      <c r="J1289" s="32" t="s">
        <v>46</v>
      </c>
      <c r="K1289" s="32" t="s">
        <v>42</v>
      </c>
      <c r="M1289" s="32" t="s">
        <v>47</v>
      </c>
      <c r="N1289" s="32" t="s">
        <v>43</v>
      </c>
    </row>
    <row r="1290" spans="1:14" s="32" customFormat="1" hidden="1" x14ac:dyDescent="0.3">
      <c r="A1290" s="38">
        <v>46213.721099537041</v>
      </c>
      <c r="B1290" s="32">
        <v>4435228300</v>
      </c>
      <c r="C1290" s="32" t="s">
        <v>43</v>
      </c>
      <c r="D1290" s="32">
        <v>4430265054</v>
      </c>
      <c r="E1290" s="32">
        <v>152</v>
      </c>
      <c r="F1290" s="32">
        <v>119</v>
      </c>
      <c r="G1290" s="32" t="s">
        <v>44</v>
      </c>
      <c r="H1290" s="32" t="s">
        <v>1358</v>
      </c>
      <c r="I1290" s="32" t="s">
        <v>40</v>
      </c>
      <c r="J1290" s="32" t="s">
        <v>46</v>
      </c>
      <c r="K1290" s="32" t="s">
        <v>42</v>
      </c>
      <c r="M1290" s="32" t="s">
        <v>47</v>
      </c>
      <c r="N1290" s="32" t="s">
        <v>43</v>
      </c>
    </row>
    <row r="1291" spans="1:14" s="32" customFormat="1" hidden="1" x14ac:dyDescent="0.3">
      <c r="A1291" s="38">
        <v>46213.720960648148</v>
      </c>
      <c r="B1291" s="32">
        <v>44999632140</v>
      </c>
      <c r="C1291" s="32" t="s">
        <v>1352</v>
      </c>
      <c r="D1291" s="32">
        <v>4430265054</v>
      </c>
      <c r="E1291" s="32">
        <v>475</v>
      </c>
      <c r="F1291" s="32">
        <v>436</v>
      </c>
      <c r="G1291" s="32" t="s">
        <v>44</v>
      </c>
      <c r="H1291" s="32" t="s">
        <v>1359</v>
      </c>
      <c r="I1291" s="32" t="s">
        <v>40</v>
      </c>
      <c r="J1291" s="32" t="s">
        <v>46</v>
      </c>
      <c r="K1291" s="32" t="s">
        <v>42</v>
      </c>
      <c r="M1291" s="32" t="s">
        <v>1354</v>
      </c>
      <c r="N1291" s="32" t="s">
        <v>1352</v>
      </c>
    </row>
    <row r="1292" spans="1:14" s="32" customFormat="1" hidden="1" x14ac:dyDescent="0.3">
      <c r="A1292" s="38">
        <v>46213.716099537036</v>
      </c>
      <c r="B1292" s="32">
        <v>44988067937</v>
      </c>
      <c r="C1292" s="32" t="s">
        <v>43</v>
      </c>
      <c r="D1292" s="32">
        <v>4430265054</v>
      </c>
      <c r="E1292" s="32">
        <v>124</v>
      </c>
      <c r="F1292" s="32">
        <v>65</v>
      </c>
      <c r="G1292" s="32" t="s">
        <v>44</v>
      </c>
      <c r="H1292" s="32" t="s">
        <v>1360</v>
      </c>
      <c r="I1292" s="32" t="s">
        <v>40</v>
      </c>
      <c r="J1292" s="32" t="s">
        <v>46</v>
      </c>
      <c r="K1292" s="32" t="s">
        <v>42</v>
      </c>
      <c r="M1292" s="32" t="s">
        <v>47</v>
      </c>
      <c r="N1292" s="32" t="s">
        <v>43</v>
      </c>
    </row>
    <row r="1293" spans="1:14" s="32" customFormat="1" hidden="1" x14ac:dyDescent="0.3">
      <c r="A1293" s="38">
        <v>46213.712083333332</v>
      </c>
      <c r="B1293" s="32" t="s">
        <v>58</v>
      </c>
      <c r="C1293" s="32">
        <v>1732146970</v>
      </c>
      <c r="E1293" s="32">
        <v>223</v>
      </c>
      <c r="F1293" s="32">
        <v>222</v>
      </c>
      <c r="G1293" s="32" t="s">
        <v>44</v>
      </c>
      <c r="H1293" s="32" t="s">
        <v>1361</v>
      </c>
      <c r="I1293" s="32" t="s">
        <v>54</v>
      </c>
      <c r="J1293" s="32" t="s">
        <v>46</v>
      </c>
      <c r="M1293" s="32" t="s">
        <v>60</v>
      </c>
      <c r="N1293" s="32" t="s">
        <v>58</v>
      </c>
    </row>
    <row r="1294" spans="1:14" s="32" customFormat="1" hidden="1" x14ac:dyDescent="0.3">
      <c r="A1294" s="38">
        <v>46213.703541666669</v>
      </c>
      <c r="B1294" s="32">
        <v>91981481202</v>
      </c>
      <c r="C1294" s="32" t="s">
        <v>58</v>
      </c>
      <c r="D1294" s="32">
        <v>4430265054</v>
      </c>
      <c r="E1294" s="32">
        <v>59</v>
      </c>
      <c r="F1294" s="32">
        <v>58</v>
      </c>
      <c r="G1294" s="32" t="s">
        <v>44</v>
      </c>
      <c r="H1294" s="32" t="s">
        <v>1362</v>
      </c>
      <c r="I1294" s="32" t="s">
        <v>40</v>
      </c>
      <c r="J1294" s="32" t="s">
        <v>46</v>
      </c>
      <c r="K1294" s="32" t="s">
        <v>42</v>
      </c>
      <c r="L1294" s="32">
        <v>5</v>
      </c>
      <c r="M1294" s="32" t="s">
        <v>60</v>
      </c>
      <c r="N1294" s="32" t="s">
        <v>58</v>
      </c>
    </row>
    <row r="1295" spans="1:14" s="32" customFormat="1" hidden="1" x14ac:dyDescent="0.3">
      <c r="A1295" s="38">
        <v>46213.70108796296</v>
      </c>
      <c r="B1295" s="32">
        <v>91981481202</v>
      </c>
      <c r="C1295" s="32" t="s">
        <v>58</v>
      </c>
      <c r="D1295" s="32">
        <v>4430265054</v>
      </c>
      <c r="E1295" s="32">
        <v>204</v>
      </c>
      <c r="F1295" s="32">
        <v>203</v>
      </c>
      <c r="G1295" s="32" t="s">
        <v>44</v>
      </c>
      <c r="H1295" s="32" t="s">
        <v>1363</v>
      </c>
      <c r="I1295" s="32" t="s">
        <v>40</v>
      </c>
      <c r="J1295" s="32" t="s">
        <v>46</v>
      </c>
      <c r="K1295" s="32" t="s">
        <v>42</v>
      </c>
      <c r="M1295" s="32" t="s">
        <v>60</v>
      </c>
      <c r="N1295" s="32" t="s">
        <v>58</v>
      </c>
    </row>
    <row r="1296" spans="1:14" s="32" customFormat="1" hidden="1" x14ac:dyDescent="0.3">
      <c r="A1296" s="38">
        <v>46213.701006944444</v>
      </c>
      <c r="B1296" s="32">
        <v>44999976008</v>
      </c>
      <c r="C1296" s="32" t="s">
        <v>1038</v>
      </c>
      <c r="D1296" s="32">
        <v>4430265054</v>
      </c>
      <c r="E1296" s="32">
        <v>2016</v>
      </c>
      <c r="F1296" s="32">
        <v>1982</v>
      </c>
      <c r="G1296" s="32" t="s">
        <v>44</v>
      </c>
      <c r="H1296" s="32" t="s">
        <v>1364</v>
      </c>
      <c r="I1296" s="32" t="s">
        <v>40</v>
      </c>
      <c r="J1296" s="32" t="s">
        <v>46</v>
      </c>
      <c r="K1296" s="32" t="s">
        <v>42</v>
      </c>
      <c r="L1296" s="32">
        <v>5</v>
      </c>
      <c r="M1296" s="32" t="s">
        <v>1040</v>
      </c>
      <c r="N1296" s="32" t="s">
        <v>1038</v>
      </c>
    </row>
    <row r="1297" spans="1:14" s="32" customFormat="1" hidden="1" x14ac:dyDescent="0.3">
      <c r="A1297" s="38">
        <v>46213.698333333334</v>
      </c>
      <c r="B1297" s="32">
        <v>44997456641</v>
      </c>
      <c r="C1297" s="32" t="s">
        <v>1352</v>
      </c>
      <c r="D1297" s="32">
        <v>4430265054</v>
      </c>
      <c r="E1297" s="32">
        <v>962</v>
      </c>
      <c r="F1297" s="32">
        <v>868</v>
      </c>
      <c r="G1297" s="32" t="s">
        <v>44</v>
      </c>
      <c r="H1297" s="32" t="s">
        <v>1365</v>
      </c>
      <c r="I1297" s="32" t="s">
        <v>40</v>
      </c>
      <c r="J1297" s="32" t="s">
        <v>46</v>
      </c>
      <c r="K1297" s="32" t="s">
        <v>42</v>
      </c>
      <c r="M1297" s="32" t="s">
        <v>1354</v>
      </c>
      <c r="N1297" s="32" t="s">
        <v>1352</v>
      </c>
    </row>
    <row r="1298" spans="1:14" s="32" customFormat="1" hidden="1" x14ac:dyDescent="0.3">
      <c r="A1298" s="38">
        <v>46213.692233796297</v>
      </c>
      <c r="B1298" s="32">
        <v>44997079838</v>
      </c>
      <c r="C1298" s="32" t="s">
        <v>1038</v>
      </c>
      <c r="D1298" s="32">
        <v>4430265054</v>
      </c>
      <c r="E1298" s="32">
        <v>426</v>
      </c>
      <c r="F1298" s="32">
        <v>328</v>
      </c>
      <c r="G1298" s="32" t="s">
        <v>44</v>
      </c>
      <c r="H1298" s="32" t="s">
        <v>1366</v>
      </c>
      <c r="I1298" s="32" t="s">
        <v>40</v>
      </c>
      <c r="J1298" s="32" t="s">
        <v>46</v>
      </c>
      <c r="K1298" s="32" t="s">
        <v>42</v>
      </c>
      <c r="L1298" s="32">
        <v>5</v>
      </c>
      <c r="M1298" s="32" t="s">
        <v>1040</v>
      </c>
      <c r="N1298" s="32" t="s">
        <v>1038</v>
      </c>
    </row>
    <row r="1299" spans="1:14" s="32" customFormat="1" hidden="1" x14ac:dyDescent="0.3">
      <c r="A1299" s="38">
        <v>46213.689652777779</v>
      </c>
      <c r="B1299" s="32" t="s">
        <v>58</v>
      </c>
      <c r="C1299" s="32">
        <v>4436196400</v>
      </c>
      <c r="E1299" s="32">
        <v>143</v>
      </c>
      <c r="F1299" s="32">
        <v>134</v>
      </c>
      <c r="G1299" s="32" t="s">
        <v>44</v>
      </c>
      <c r="H1299" s="32" t="s">
        <v>1367</v>
      </c>
      <c r="I1299" s="32" t="s">
        <v>54</v>
      </c>
      <c r="J1299" s="32" t="s">
        <v>46</v>
      </c>
      <c r="M1299" s="32" t="s">
        <v>60</v>
      </c>
      <c r="N1299" s="32" t="s">
        <v>58</v>
      </c>
    </row>
    <row r="1300" spans="1:14" s="32" customFormat="1" hidden="1" x14ac:dyDescent="0.3">
      <c r="A1300" s="38">
        <v>46213.672800925924</v>
      </c>
      <c r="B1300" s="32">
        <v>4432269849</v>
      </c>
      <c r="C1300" s="32" t="s">
        <v>1352</v>
      </c>
      <c r="D1300" s="32">
        <v>4430265054</v>
      </c>
      <c r="E1300" s="32">
        <v>1697</v>
      </c>
      <c r="F1300" s="32">
        <v>1606</v>
      </c>
      <c r="G1300" s="32" t="s">
        <v>44</v>
      </c>
      <c r="H1300" s="32" t="s">
        <v>1368</v>
      </c>
      <c r="I1300" s="32" t="s">
        <v>40</v>
      </c>
      <c r="J1300" s="32" t="s">
        <v>46</v>
      </c>
      <c r="K1300" s="32" t="s">
        <v>42</v>
      </c>
      <c r="L1300" s="32">
        <v>5</v>
      </c>
      <c r="M1300" s="32" t="s">
        <v>1354</v>
      </c>
      <c r="N1300" s="32" t="s">
        <v>1352</v>
      </c>
    </row>
    <row r="1301" spans="1:14" s="32" customFormat="1" hidden="1" x14ac:dyDescent="0.3">
      <c r="A1301" s="38">
        <v>46213.65792824074</v>
      </c>
      <c r="B1301" s="32">
        <v>53981112780</v>
      </c>
      <c r="C1301" s="32" t="s">
        <v>1038</v>
      </c>
      <c r="D1301" s="32">
        <v>4430265054</v>
      </c>
      <c r="E1301" s="32">
        <v>215</v>
      </c>
      <c r="F1301" s="32">
        <v>183</v>
      </c>
      <c r="G1301" s="32" t="s">
        <v>44</v>
      </c>
      <c r="H1301" s="32" t="s">
        <v>1369</v>
      </c>
      <c r="I1301" s="32" t="s">
        <v>40</v>
      </c>
      <c r="J1301" s="32" t="s">
        <v>46</v>
      </c>
      <c r="K1301" s="32" t="s">
        <v>42</v>
      </c>
      <c r="M1301" s="32" t="s">
        <v>1040</v>
      </c>
      <c r="N1301" s="32" t="s">
        <v>1038</v>
      </c>
    </row>
    <row r="1302" spans="1:14" s="32" customFormat="1" hidden="1" x14ac:dyDescent="0.3">
      <c r="A1302" s="38">
        <v>46213.64947916667</v>
      </c>
      <c r="B1302" s="32" t="s">
        <v>109</v>
      </c>
      <c r="C1302" s="32">
        <v>62982652888</v>
      </c>
      <c r="E1302" s="32">
        <v>3</v>
      </c>
      <c r="F1302" s="32">
        <v>0</v>
      </c>
      <c r="G1302" s="32" t="s">
        <v>63</v>
      </c>
      <c r="H1302" s="32" t="s">
        <v>1370</v>
      </c>
      <c r="I1302" s="32" t="s">
        <v>54</v>
      </c>
      <c r="J1302" s="32" t="s">
        <v>111</v>
      </c>
      <c r="M1302" s="32" t="s">
        <v>112</v>
      </c>
      <c r="N1302" s="32" t="s">
        <v>109</v>
      </c>
    </row>
    <row r="1303" spans="1:14" s="32" customFormat="1" hidden="1" x14ac:dyDescent="0.3">
      <c r="A1303" s="38">
        <v>46213.645833333336</v>
      </c>
      <c r="B1303" s="32">
        <v>41988796768</v>
      </c>
      <c r="C1303" s="32" t="s">
        <v>1038</v>
      </c>
      <c r="D1303" s="32">
        <v>4430265054</v>
      </c>
      <c r="E1303" s="32">
        <v>446</v>
      </c>
      <c r="F1303" s="32">
        <v>427</v>
      </c>
      <c r="G1303" s="32" t="s">
        <v>44</v>
      </c>
      <c r="H1303" s="32" t="s">
        <v>1371</v>
      </c>
      <c r="I1303" s="32" t="s">
        <v>40</v>
      </c>
      <c r="J1303" s="32" t="s">
        <v>46</v>
      </c>
      <c r="K1303" s="32" t="s">
        <v>42</v>
      </c>
      <c r="L1303" s="32">
        <v>5</v>
      </c>
      <c r="M1303" s="32" t="s">
        <v>1040</v>
      </c>
      <c r="N1303" s="32" t="s">
        <v>1038</v>
      </c>
    </row>
    <row r="1304" spans="1:14" s="32" customFormat="1" hidden="1" x14ac:dyDescent="0.3">
      <c r="A1304" s="38">
        <v>46213.641168981485</v>
      </c>
      <c r="B1304" s="32" t="s">
        <v>1038</v>
      </c>
      <c r="C1304" s="32">
        <v>4430282545</v>
      </c>
      <c r="E1304" s="32">
        <v>237</v>
      </c>
      <c r="F1304" s="32">
        <v>212</v>
      </c>
      <c r="G1304" s="32" t="s">
        <v>44</v>
      </c>
      <c r="H1304" s="32" t="s">
        <v>1372</v>
      </c>
      <c r="I1304" s="32" t="s">
        <v>54</v>
      </c>
      <c r="J1304" s="32" t="s">
        <v>46</v>
      </c>
      <c r="M1304" s="32" t="s">
        <v>1040</v>
      </c>
      <c r="N1304" s="32" t="s">
        <v>1038</v>
      </c>
    </row>
    <row r="1305" spans="1:14" s="32" customFormat="1" hidden="1" x14ac:dyDescent="0.3">
      <c r="A1305" s="38">
        <v>46213.639305555553</v>
      </c>
      <c r="B1305" s="32">
        <v>53981112780</v>
      </c>
      <c r="C1305" s="32" t="s">
        <v>1352</v>
      </c>
      <c r="D1305" s="32">
        <v>4430265054</v>
      </c>
      <c r="E1305" s="32">
        <v>358</v>
      </c>
      <c r="F1305" s="32">
        <v>333</v>
      </c>
      <c r="G1305" s="32" t="s">
        <v>44</v>
      </c>
      <c r="H1305" s="32" t="s">
        <v>1373</v>
      </c>
      <c r="I1305" s="32" t="s">
        <v>40</v>
      </c>
      <c r="J1305" s="32" t="s">
        <v>46</v>
      </c>
      <c r="K1305" s="32" t="s">
        <v>42</v>
      </c>
      <c r="L1305" s="32">
        <v>5</v>
      </c>
      <c r="M1305" s="32" t="s">
        <v>1354</v>
      </c>
      <c r="N1305" s="32" t="s">
        <v>1352</v>
      </c>
    </row>
    <row r="1306" spans="1:14" s="32" customFormat="1" hidden="1" x14ac:dyDescent="0.3">
      <c r="A1306" s="38">
        <v>46213.638599537036</v>
      </c>
      <c r="B1306" s="32" t="s">
        <v>1038</v>
      </c>
      <c r="C1306" s="32">
        <v>1732146970</v>
      </c>
      <c r="E1306" s="32">
        <v>128</v>
      </c>
      <c r="F1306" s="32">
        <v>126</v>
      </c>
      <c r="G1306" s="32" t="s">
        <v>44</v>
      </c>
      <c r="H1306" s="32" t="s">
        <v>1374</v>
      </c>
      <c r="I1306" s="32" t="s">
        <v>54</v>
      </c>
      <c r="J1306" s="32" t="s">
        <v>46</v>
      </c>
      <c r="M1306" s="32" t="s">
        <v>1040</v>
      </c>
      <c r="N1306" s="32" t="s">
        <v>1038</v>
      </c>
    </row>
    <row r="1307" spans="1:14" s="32" customFormat="1" hidden="1" x14ac:dyDescent="0.3">
      <c r="A1307" s="38">
        <v>46213.630289351851</v>
      </c>
      <c r="B1307" s="32">
        <v>44999827582</v>
      </c>
      <c r="C1307" s="32" t="s">
        <v>1352</v>
      </c>
      <c r="D1307" s="32">
        <v>4430265054</v>
      </c>
      <c r="E1307" s="32">
        <v>128</v>
      </c>
      <c r="F1307" s="32">
        <v>85</v>
      </c>
      <c r="G1307" s="32" t="s">
        <v>44</v>
      </c>
      <c r="H1307" s="32" t="s">
        <v>1375</v>
      </c>
      <c r="I1307" s="32" t="s">
        <v>40</v>
      </c>
      <c r="J1307" s="32" t="s">
        <v>46</v>
      </c>
      <c r="K1307" s="32" t="s">
        <v>42</v>
      </c>
      <c r="L1307" s="32">
        <v>5</v>
      </c>
      <c r="M1307" s="32" t="s">
        <v>1354</v>
      </c>
      <c r="N1307" s="32" t="s">
        <v>1352</v>
      </c>
    </row>
    <row r="1308" spans="1:14" s="32" customFormat="1" hidden="1" x14ac:dyDescent="0.3">
      <c r="A1308" s="38">
        <v>46213.628148148149</v>
      </c>
      <c r="B1308" s="32" t="s">
        <v>58</v>
      </c>
      <c r="C1308" s="32">
        <v>44991770203</v>
      </c>
      <c r="E1308" s="32">
        <v>36</v>
      </c>
      <c r="F1308" s="32">
        <v>0</v>
      </c>
      <c r="G1308" s="32" t="s">
        <v>63</v>
      </c>
      <c r="H1308" s="32" t="s">
        <v>1376</v>
      </c>
      <c r="I1308" s="32" t="s">
        <v>54</v>
      </c>
      <c r="J1308" s="32" t="s">
        <v>46</v>
      </c>
      <c r="M1308" s="32" t="s">
        <v>60</v>
      </c>
      <c r="N1308" s="32" t="s">
        <v>58</v>
      </c>
    </row>
    <row r="1309" spans="1:14" s="32" customFormat="1" hidden="1" x14ac:dyDescent="0.3">
      <c r="A1309" s="38">
        <v>46213.624155092592</v>
      </c>
      <c r="B1309" s="32">
        <v>99985068235</v>
      </c>
      <c r="C1309" s="32" t="s">
        <v>43</v>
      </c>
      <c r="D1309" s="32">
        <v>4430265054</v>
      </c>
      <c r="E1309" s="32">
        <v>1595</v>
      </c>
      <c r="F1309" s="32">
        <v>1565</v>
      </c>
      <c r="G1309" s="32" t="s">
        <v>44</v>
      </c>
      <c r="H1309" s="32" t="s">
        <v>1377</v>
      </c>
      <c r="I1309" s="32" t="s">
        <v>40</v>
      </c>
      <c r="J1309" s="32" t="s">
        <v>46</v>
      </c>
      <c r="K1309" s="32" t="s">
        <v>42</v>
      </c>
      <c r="M1309" s="32" t="s">
        <v>47</v>
      </c>
      <c r="N1309" s="32" t="s">
        <v>43</v>
      </c>
    </row>
    <row r="1310" spans="1:14" s="32" customFormat="1" hidden="1" x14ac:dyDescent="0.3">
      <c r="A1310" s="38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38</v>
      </c>
      <c r="H1310" s="32" t="s">
        <v>1378</v>
      </c>
      <c r="I1310" s="32" t="s">
        <v>40</v>
      </c>
      <c r="J1310" s="32" t="s">
        <v>41</v>
      </c>
    </row>
    <row r="1311" spans="1:14" s="32" customFormat="1" hidden="1" x14ac:dyDescent="0.3">
      <c r="A1311" s="38">
        <v>46213.604444444441</v>
      </c>
      <c r="B1311" s="32">
        <v>44997456641</v>
      </c>
      <c r="C1311" s="32" t="s">
        <v>1352</v>
      </c>
      <c r="D1311" s="32">
        <v>4430265054</v>
      </c>
      <c r="E1311" s="32">
        <v>1041</v>
      </c>
      <c r="F1311" s="32">
        <v>1003</v>
      </c>
      <c r="G1311" s="32" t="s">
        <v>44</v>
      </c>
      <c r="H1311" s="32" t="s">
        <v>1379</v>
      </c>
      <c r="I1311" s="32" t="s">
        <v>40</v>
      </c>
      <c r="J1311" s="32" t="s">
        <v>46</v>
      </c>
      <c r="K1311" s="32" t="s">
        <v>42</v>
      </c>
      <c r="L1311" s="32">
        <v>5</v>
      </c>
      <c r="M1311" s="32" t="s">
        <v>1354</v>
      </c>
      <c r="N1311" s="32" t="s">
        <v>1352</v>
      </c>
    </row>
    <row r="1312" spans="1:14" s="32" customFormat="1" hidden="1" x14ac:dyDescent="0.3">
      <c r="A1312" s="38">
        <v>46213.602222222224</v>
      </c>
      <c r="B1312" s="32">
        <v>53981112780</v>
      </c>
      <c r="C1312" s="32" t="s">
        <v>1038</v>
      </c>
      <c r="D1312" s="32">
        <v>4430265054</v>
      </c>
      <c r="E1312" s="32">
        <v>1975</v>
      </c>
      <c r="F1312" s="32">
        <v>1921</v>
      </c>
      <c r="G1312" s="32" t="s">
        <v>44</v>
      </c>
      <c r="H1312" s="32" t="s">
        <v>1380</v>
      </c>
      <c r="I1312" s="32" t="s">
        <v>40</v>
      </c>
      <c r="J1312" s="32" t="s">
        <v>46</v>
      </c>
      <c r="K1312" s="32" t="s">
        <v>42</v>
      </c>
      <c r="L1312" s="32">
        <v>5</v>
      </c>
      <c r="M1312" s="32" t="s">
        <v>1040</v>
      </c>
      <c r="N1312" s="32" t="s">
        <v>1038</v>
      </c>
    </row>
    <row r="1313" spans="1:14" s="32" customFormat="1" hidden="1" x14ac:dyDescent="0.3">
      <c r="A1313" s="38">
        <v>46213.600937499999</v>
      </c>
      <c r="B1313" s="32" t="s">
        <v>58</v>
      </c>
      <c r="C1313" s="32">
        <v>44999680829</v>
      </c>
      <c r="E1313" s="32">
        <v>411</v>
      </c>
      <c r="F1313" s="32">
        <v>406</v>
      </c>
      <c r="G1313" s="32" t="s">
        <v>44</v>
      </c>
      <c r="H1313" s="32" t="s">
        <v>1381</v>
      </c>
      <c r="I1313" s="32" t="s">
        <v>54</v>
      </c>
      <c r="J1313" s="32" t="s">
        <v>46</v>
      </c>
      <c r="L1313" s="32">
        <v>5</v>
      </c>
      <c r="M1313" s="32" t="s">
        <v>60</v>
      </c>
      <c r="N1313" s="32" t="s">
        <v>58</v>
      </c>
    </row>
    <row r="1314" spans="1:14" s="32" customFormat="1" hidden="1" x14ac:dyDescent="0.3">
      <c r="A1314" s="38">
        <v>46213.60087962963</v>
      </c>
      <c r="B1314" s="32" t="s">
        <v>58</v>
      </c>
      <c r="C1314" s="32">
        <v>44999680829</v>
      </c>
      <c r="E1314" s="32">
        <v>1</v>
      </c>
      <c r="F1314" s="32">
        <v>0</v>
      </c>
      <c r="G1314" s="32" t="s">
        <v>63</v>
      </c>
      <c r="H1314" s="32" t="s">
        <v>1382</v>
      </c>
      <c r="I1314" s="32" t="s">
        <v>54</v>
      </c>
      <c r="J1314" s="32" t="s">
        <v>46</v>
      </c>
      <c r="M1314" s="32" t="s">
        <v>60</v>
      </c>
      <c r="N1314" s="32" t="s">
        <v>58</v>
      </c>
    </row>
    <row r="1315" spans="1:14" s="32" customFormat="1" hidden="1" x14ac:dyDescent="0.3">
      <c r="A1315" s="38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38</v>
      </c>
      <c r="H1315" s="32" t="s">
        <v>1383</v>
      </c>
      <c r="I1315" s="32" t="s">
        <v>40</v>
      </c>
      <c r="J1315" s="32" t="s">
        <v>41</v>
      </c>
      <c r="K1315" s="32" t="s">
        <v>42</v>
      </c>
    </row>
    <row r="1316" spans="1:14" s="32" customFormat="1" hidden="1" x14ac:dyDescent="0.3">
      <c r="A1316" s="38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38</v>
      </c>
      <c r="H1316" s="32" t="s">
        <v>1384</v>
      </c>
      <c r="I1316" s="32" t="s">
        <v>40</v>
      </c>
      <c r="J1316" s="32" t="s">
        <v>41</v>
      </c>
      <c r="K1316" s="32" t="s">
        <v>42</v>
      </c>
    </row>
    <row r="1317" spans="1:14" s="32" customFormat="1" hidden="1" x14ac:dyDescent="0.3">
      <c r="A1317" s="38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38</v>
      </c>
      <c r="H1317" s="32" t="s">
        <v>1385</v>
      </c>
      <c r="I1317" s="32" t="s">
        <v>40</v>
      </c>
      <c r="J1317" s="32" t="s">
        <v>41</v>
      </c>
    </row>
    <row r="1318" spans="1:14" s="32" customFormat="1" hidden="1" x14ac:dyDescent="0.3">
      <c r="A1318" s="38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38</v>
      </c>
      <c r="H1318" s="32" t="s">
        <v>1386</v>
      </c>
      <c r="I1318" s="32" t="s">
        <v>40</v>
      </c>
      <c r="J1318" s="32" t="s">
        <v>41</v>
      </c>
    </row>
    <row r="1319" spans="1:14" s="32" customFormat="1" hidden="1" x14ac:dyDescent="0.3">
      <c r="A1319" s="38">
        <v>46213.594097222223</v>
      </c>
      <c r="B1319" s="32">
        <v>11985836640</v>
      </c>
      <c r="C1319" s="32" t="s">
        <v>43</v>
      </c>
      <c r="D1319" s="32">
        <v>4430265054</v>
      </c>
      <c r="E1319" s="32">
        <v>228</v>
      </c>
      <c r="F1319" s="32">
        <v>191</v>
      </c>
      <c r="G1319" s="32" t="s">
        <v>44</v>
      </c>
      <c r="H1319" s="32" t="s">
        <v>1387</v>
      </c>
      <c r="I1319" s="32" t="s">
        <v>40</v>
      </c>
      <c r="J1319" s="32" t="s">
        <v>46</v>
      </c>
      <c r="K1319" s="32" t="s">
        <v>42</v>
      </c>
      <c r="M1319" s="32" t="s">
        <v>47</v>
      </c>
      <c r="N1319" s="32" t="s">
        <v>43</v>
      </c>
    </row>
    <row r="1320" spans="1:14" s="32" customFormat="1" hidden="1" x14ac:dyDescent="0.3">
      <c r="A1320" s="38">
        <v>46213.591678240744</v>
      </c>
      <c r="B1320" s="32">
        <v>44999976008</v>
      </c>
      <c r="C1320" s="32" t="s">
        <v>58</v>
      </c>
      <c r="D1320" s="32">
        <v>4430265054</v>
      </c>
      <c r="E1320" s="32">
        <v>737</v>
      </c>
      <c r="F1320" s="32">
        <v>737</v>
      </c>
      <c r="G1320" s="32" t="s">
        <v>44</v>
      </c>
      <c r="H1320" s="32" t="s">
        <v>1388</v>
      </c>
      <c r="I1320" s="32" t="s">
        <v>40</v>
      </c>
      <c r="J1320" s="32" t="s">
        <v>46</v>
      </c>
      <c r="K1320" s="32" t="s">
        <v>42</v>
      </c>
      <c r="L1320" s="32">
        <v>5</v>
      </c>
      <c r="M1320" s="32" t="s">
        <v>60</v>
      </c>
      <c r="N1320" s="32" t="s">
        <v>58</v>
      </c>
    </row>
    <row r="1321" spans="1:14" s="32" customFormat="1" hidden="1" x14ac:dyDescent="0.3">
      <c r="A1321" s="38">
        <v>46213.588020833333</v>
      </c>
      <c r="B1321" s="32">
        <v>44999976008</v>
      </c>
      <c r="C1321" s="32" t="s">
        <v>43</v>
      </c>
      <c r="D1321" s="32">
        <v>4430265054</v>
      </c>
      <c r="E1321" s="32">
        <v>175</v>
      </c>
      <c r="F1321" s="32">
        <v>158</v>
      </c>
      <c r="G1321" s="32" t="s">
        <v>44</v>
      </c>
      <c r="H1321" s="32" t="s">
        <v>1389</v>
      </c>
      <c r="I1321" s="32" t="s">
        <v>40</v>
      </c>
      <c r="J1321" s="32" t="s">
        <v>46</v>
      </c>
      <c r="K1321" s="32" t="s">
        <v>42</v>
      </c>
      <c r="M1321" s="32" t="s">
        <v>47</v>
      </c>
      <c r="N1321" s="32" t="s">
        <v>43</v>
      </c>
    </row>
    <row r="1322" spans="1:14" s="32" customFormat="1" hidden="1" x14ac:dyDescent="0.3">
      <c r="A1322" s="38">
        <v>46213.587592592594</v>
      </c>
      <c r="B1322" s="32">
        <v>44998640313</v>
      </c>
      <c r="C1322" s="32" t="s">
        <v>1352</v>
      </c>
      <c r="D1322" s="32">
        <v>4430265054</v>
      </c>
      <c r="E1322" s="32">
        <v>465</v>
      </c>
      <c r="F1322" s="32">
        <v>428</v>
      </c>
      <c r="G1322" s="32" t="s">
        <v>44</v>
      </c>
      <c r="H1322" s="32" t="s">
        <v>1390</v>
      </c>
      <c r="I1322" s="32" t="s">
        <v>40</v>
      </c>
      <c r="J1322" s="32" t="s">
        <v>46</v>
      </c>
      <c r="K1322" s="32" t="s">
        <v>42</v>
      </c>
      <c r="M1322" s="32" t="s">
        <v>1354</v>
      </c>
      <c r="N1322" s="32" t="s">
        <v>1352</v>
      </c>
    </row>
    <row r="1323" spans="1:14" s="32" customFormat="1" hidden="1" x14ac:dyDescent="0.3">
      <c r="A1323" s="38">
        <v>46213.585798611108</v>
      </c>
      <c r="B1323" s="32">
        <v>44998640313</v>
      </c>
      <c r="C1323" s="32" t="s">
        <v>1352</v>
      </c>
      <c r="D1323" s="32">
        <v>4430265054</v>
      </c>
      <c r="E1323" s="32">
        <v>128</v>
      </c>
      <c r="F1323" s="32">
        <v>50</v>
      </c>
      <c r="G1323" s="32" t="s">
        <v>44</v>
      </c>
      <c r="H1323" s="32" t="s">
        <v>1391</v>
      </c>
      <c r="I1323" s="32" t="s">
        <v>40</v>
      </c>
      <c r="J1323" s="32" t="s">
        <v>46</v>
      </c>
      <c r="K1323" s="32" t="s">
        <v>42</v>
      </c>
      <c r="M1323" s="32" t="s">
        <v>1354</v>
      </c>
      <c r="N1323" s="32" t="s">
        <v>1352</v>
      </c>
    </row>
    <row r="1324" spans="1:14" s="32" customFormat="1" hidden="1" x14ac:dyDescent="0.3">
      <c r="A1324" s="38">
        <v>46213.57712962963</v>
      </c>
      <c r="B1324" s="32" t="s">
        <v>58</v>
      </c>
      <c r="C1324" s="32">
        <v>4330333542</v>
      </c>
      <c r="E1324" s="32">
        <v>676</v>
      </c>
      <c r="F1324" s="32">
        <v>664</v>
      </c>
      <c r="G1324" s="32" t="s">
        <v>44</v>
      </c>
      <c r="H1324" s="32" t="s">
        <v>1392</v>
      </c>
      <c r="I1324" s="32" t="s">
        <v>54</v>
      </c>
      <c r="J1324" s="32" t="s">
        <v>46</v>
      </c>
      <c r="M1324" s="32" t="s">
        <v>60</v>
      </c>
      <c r="N1324" s="32" t="s">
        <v>58</v>
      </c>
    </row>
    <row r="1325" spans="1:14" s="32" customFormat="1" hidden="1" x14ac:dyDescent="0.3">
      <c r="A1325" s="38">
        <v>46213.576979166668</v>
      </c>
      <c r="B1325" s="32" t="s">
        <v>58</v>
      </c>
      <c r="C1325" s="32">
        <v>4430333542</v>
      </c>
      <c r="E1325" s="32">
        <v>5</v>
      </c>
      <c r="F1325" s="32">
        <v>0</v>
      </c>
      <c r="G1325" s="32" t="s">
        <v>63</v>
      </c>
      <c r="H1325" s="32" t="s">
        <v>1393</v>
      </c>
      <c r="I1325" s="32" t="s">
        <v>54</v>
      </c>
      <c r="J1325" s="32" t="s">
        <v>46</v>
      </c>
      <c r="M1325" s="32" t="s">
        <v>60</v>
      </c>
      <c r="N1325" s="32" t="s">
        <v>58</v>
      </c>
    </row>
    <row r="1326" spans="1:14" s="32" customFormat="1" hidden="1" x14ac:dyDescent="0.3">
      <c r="A1326" s="38">
        <v>46213.576932870368</v>
      </c>
      <c r="B1326" s="32" t="s">
        <v>58</v>
      </c>
      <c r="C1326" s="32">
        <v>4330333542</v>
      </c>
      <c r="E1326" s="32">
        <v>1</v>
      </c>
      <c r="F1326" s="32">
        <v>0</v>
      </c>
      <c r="G1326" s="32" t="s">
        <v>63</v>
      </c>
      <c r="H1326" s="32" t="s">
        <v>1394</v>
      </c>
      <c r="I1326" s="32" t="s">
        <v>54</v>
      </c>
      <c r="J1326" s="32" t="s">
        <v>46</v>
      </c>
      <c r="M1326" s="32" t="s">
        <v>60</v>
      </c>
      <c r="N1326" s="32" t="s">
        <v>58</v>
      </c>
    </row>
    <row r="1327" spans="1:14" s="32" customFormat="1" hidden="1" x14ac:dyDescent="0.3">
      <c r="A1327" s="38">
        <v>46213.57539351852</v>
      </c>
      <c r="B1327" s="32">
        <v>4430141092</v>
      </c>
      <c r="C1327" s="32" t="s">
        <v>1352</v>
      </c>
      <c r="D1327" s="32">
        <v>4430265054</v>
      </c>
      <c r="E1327" s="32">
        <v>300</v>
      </c>
      <c r="F1327" s="32">
        <v>286</v>
      </c>
      <c r="G1327" s="32" t="s">
        <v>44</v>
      </c>
      <c r="H1327" s="32" t="s">
        <v>1395</v>
      </c>
      <c r="I1327" s="32" t="s">
        <v>40</v>
      </c>
      <c r="J1327" s="32" t="s">
        <v>46</v>
      </c>
      <c r="K1327" s="32" t="s">
        <v>42</v>
      </c>
      <c r="L1327" s="32">
        <v>5</v>
      </c>
      <c r="M1327" s="32" t="s">
        <v>1354</v>
      </c>
      <c r="N1327" s="32" t="s">
        <v>1352</v>
      </c>
    </row>
    <row r="1328" spans="1:14" s="32" customFormat="1" hidden="1" x14ac:dyDescent="0.3">
      <c r="A1328" s="38">
        <v>46213.571828703702</v>
      </c>
      <c r="B1328" s="32" t="s">
        <v>1352</v>
      </c>
      <c r="C1328" s="32">
        <v>4430459032</v>
      </c>
      <c r="E1328" s="32">
        <v>2</v>
      </c>
      <c r="F1328" s="32">
        <v>0</v>
      </c>
      <c r="G1328" s="32" t="s">
        <v>63</v>
      </c>
      <c r="H1328" s="32" t="s">
        <v>1396</v>
      </c>
      <c r="I1328" s="32" t="s">
        <v>54</v>
      </c>
      <c r="J1328" s="32" t="s">
        <v>46</v>
      </c>
      <c r="M1328" s="32" t="s">
        <v>1354</v>
      </c>
      <c r="N1328" s="32" t="s">
        <v>1352</v>
      </c>
    </row>
    <row r="1329" spans="1:14" s="32" customFormat="1" hidden="1" x14ac:dyDescent="0.3">
      <c r="A1329" s="38">
        <v>46213.571782407409</v>
      </c>
      <c r="B1329" s="32" t="s">
        <v>1352</v>
      </c>
      <c r="C1329" s="32">
        <v>4430459032</v>
      </c>
      <c r="E1329" s="32">
        <v>14</v>
      </c>
      <c r="F1329" s="32">
        <v>13</v>
      </c>
      <c r="G1329" s="32" t="s">
        <v>44</v>
      </c>
      <c r="H1329" s="32" t="s">
        <v>1397</v>
      </c>
      <c r="I1329" s="32" t="s">
        <v>54</v>
      </c>
      <c r="J1329" s="32" t="s">
        <v>46</v>
      </c>
      <c r="M1329" s="32" t="s">
        <v>1354</v>
      </c>
      <c r="N1329" s="32" t="s">
        <v>1352</v>
      </c>
    </row>
    <row r="1330" spans="1:14" s="32" customFormat="1" hidden="1" x14ac:dyDescent="0.3">
      <c r="A1330" s="38">
        <v>46213.570694444446</v>
      </c>
      <c r="B1330" s="32">
        <v>44998802935</v>
      </c>
      <c r="C1330" s="32" t="s">
        <v>1038</v>
      </c>
      <c r="D1330" s="32">
        <v>4431268225</v>
      </c>
      <c r="E1330" s="32">
        <v>1882</v>
      </c>
      <c r="F1330" s="32">
        <v>1810</v>
      </c>
      <c r="G1330" s="32" t="s">
        <v>44</v>
      </c>
      <c r="H1330" s="32" t="s">
        <v>1398</v>
      </c>
      <c r="I1330" s="32" t="s">
        <v>40</v>
      </c>
      <c r="J1330" s="32" t="s">
        <v>46</v>
      </c>
      <c r="K1330" s="32" t="s">
        <v>42</v>
      </c>
      <c r="M1330" s="32" t="s">
        <v>1040</v>
      </c>
      <c r="N1330" s="32" t="s">
        <v>1038</v>
      </c>
    </row>
    <row r="1331" spans="1:14" s="32" customFormat="1" hidden="1" x14ac:dyDescent="0.3">
      <c r="A1331" s="38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38</v>
      </c>
      <c r="H1331" s="32" t="s">
        <v>1399</v>
      </c>
      <c r="I1331" s="32" t="s">
        <v>40</v>
      </c>
      <c r="J1331" s="32" t="s">
        <v>41</v>
      </c>
    </row>
    <row r="1332" spans="1:14" s="32" customFormat="1" hidden="1" x14ac:dyDescent="0.3">
      <c r="A1332" s="38">
        <v>46213.495428240742</v>
      </c>
      <c r="B1332" s="32" t="s">
        <v>1352</v>
      </c>
      <c r="C1332" s="32">
        <v>4130263118</v>
      </c>
      <c r="E1332" s="32">
        <v>102</v>
      </c>
      <c r="F1332" s="32">
        <v>92</v>
      </c>
      <c r="G1332" s="32" t="s">
        <v>44</v>
      </c>
      <c r="H1332" s="32" t="s">
        <v>1400</v>
      </c>
      <c r="I1332" s="32" t="s">
        <v>54</v>
      </c>
      <c r="J1332" s="32" t="s">
        <v>46</v>
      </c>
      <c r="M1332" s="32" t="s">
        <v>1354</v>
      </c>
      <c r="N1332" s="32" t="s">
        <v>1352</v>
      </c>
    </row>
    <row r="1333" spans="1:14" s="32" customFormat="1" hidden="1" x14ac:dyDescent="0.3">
      <c r="A1333" s="38">
        <v>46213.482037037036</v>
      </c>
      <c r="B1333" s="32" t="s">
        <v>58</v>
      </c>
      <c r="C1333" s="32">
        <v>44999676705</v>
      </c>
      <c r="E1333" s="32">
        <v>730</v>
      </c>
      <c r="F1333" s="32">
        <v>712</v>
      </c>
      <c r="G1333" s="32" t="s">
        <v>44</v>
      </c>
      <c r="H1333" s="32" t="s">
        <v>1401</v>
      </c>
      <c r="I1333" s="32" t="s">
        <v>54</v>
      </c>
      <c r="J1333" s="32" t="s">
        <v>46</v>
      </c>
      <c r="M1333" s="32" t="s">
        <v>60</v>
      </c>
      <c r="N1333" s="32" t="s">
        <v>58</v>
      </c>
    </row>
    <row r="1334" spans="1:14" s="32" customFormat="1" hidden="1" x14ac:dyDescent="0.3">
      <c r="A1334" s="38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38</v>
      </c>
      <c r="H1334" s="32" t="s">
        <v>1402</v>
      </c>
      <c r="I1334" s="32" t="s">
        <v>40</v>
      </c>
      <c r="J1334" s="32" t="s">
        <v>41</v>
      </c>
    </row>
    <row r="1335" spans="1:14" s="32" customFormat="1" hidden="1" x14ac:dyDescent="0.3">
      <c r="A1335" s="38">
        <v>46213.465011574073</v>
      </c>
      <c r="B1335" s="32" t="s">
        <v>747</v>
      </c>
      <c r="C1335" s="32">
        <v>65996747163</v>
      </c>
      <c r="E1335" s="32">
        <v>594</v>
      </c>
      <c r="F1335" s="32">
        <v>580</v>
      </c>
      <c r="G1335" s="32" t="s">
        <v>44</v>
      </c>
      <c r="H1335" s="32" t="s">
        <v>1403</v>
      </c>
      <c r="I1335" s="32" t="s">
        <v>54</v>
      </c>
      <c r="J1335" s="32" t="s">
        <v>46</v>
      </c>
      <c r="M1335" s="32" t="s">
        <v>749</v>
      </c>
      <c r="N1335" s="32" t="s">
        <v>747</v>
      </c>
    </row>
    <row r="1336" spans="1:14" s="32" customFormat="1" hidden="1" x14ac:dyDescent="0.3">
      <c r="A1336" s="38">
        <v>46213.464618055557</v>
      </c>
      <c r="B1336" s="32" t="s">
        <v>747</v>
      </c>
      <c r="C1336" s="32">
        <v>65996747163</v>
      </c>
      <c r="E1336" s="32">
        <v>28</v>
      </c>
      <c r="F1336" s="32">
        <v>0</v>
      </c>
      <c r="G1336" s="32" t="s">
        <v>63</v>
      </c>
      <c r="H1336" s="32" t="s">
        <v>1404</v>
      </c>
      <c r="I1336" s="32" t="s">
        <v>54</v>
      </c>
      <c r="J1336" s="32" t="s">
        <v>46</v>
      </c>
      <c r="M1336" s="32" t="s">
        <v>749</v>
      </c>
      <c r="N1336" s="32" t="s">
        <v>747</v>
      </c>
    </row>
    <row r="1337" spans="1:14" s="32" customFormat="1" hidden="1" x14ac:dyDescent="0.3">
      <c r="A1337" s="38">
        <v>46213.462013888886</v>
      </c>
      <c r="B1337" s="32">
        <v>4130263118</v>
      </c>
      <c r="C1337" s="32" t="s">
        <v>1352</v>
      </c>
      <c r="D1337" s="32">
        <v>4430265054</v>
      </c>
      <c r="E1337" s="32">
        <v>212</v>
      </c>
      <c r="F1337" s="32">
        <v>173</v>
      </c>
      <c r="G1337" s="32" t="s">
        <v>44</v>
      </c>
      <c r="H1337" s="32" t="s">
        <v>1405</v>
      </c>
      <c r="I1337" s="32" t="s">
        <v>40</v>
      </c>
      <c r="J1337" s="32" t="s">
        <v>46</v>
      </c>
      <c r="K1337" s="32" t="s">
        <v>42</v>
      </c>
      <c r="M1337" s="32" t="s">
        <v>1354</v>
      </c>
      <c r="N1337" s="32" t="s">
        <v>1352</v>
      </c>
    </row>
    <row r="1338" spans="1:14" s="32" customFormat="1" hidden="1" x14ac:dyDescent="0.3">
      <c r="A1338" s="38">
        <v>46213.456203703703</v>
      </c>
      <c r="B1338" s="32">
        <v>4130775695</v>
      </c>
      <c r="C1338" s="32" t="s">
        <v>1352</v>
      </c>
      <c r="D1338" s="32">
        <v>4430265054</v>
      </c>
      <c r="E1338" s="32">
        <v>486</v>
      </c>
      <c r="F1338" s="32">
        <v>455</v>
      </c>
      <c r="G1338" s="32" t="s">
        <v>44</v>
      </c>
      <c r="H1338" s="32" t="s">
        <v>1406</v>
      </c>
      <c r="I1338" s="32" t="s">
        <v>40</v>
      </c>
      <c r="J1338" s="32" t="s">
        <v>46</v>
      </c>
      <c r="K1338" s="32" t="s">
        <v>42</v>
      </c>
      <c r="L1338" s="32">
        <v>5</v>
      </c>
      <c r="M1338" s="32" t="s">
        <v>1354</v>
      </c>
      <c r="N1338" s="32" t="s">
        <v>1352</v>
      </c>
    </row>
    <row r="1339" spans="1:14" s="32" customFormat="1" hidden="1" x14ac:dyDescent="0.3">
      <c r="A1339" s="38">
        <v>46213.454976851855</v>
      </c>
      <c r="B1339" s="32">
        <v>45999334612</v>
      </c>
      <c r="C1339" s="32" t="s">
        <v>43</v>
      </c>
      <c r="D1339" s="32">
        <v>4430265054</v>
      </c>
      <c r="E1339" s="32">
        <v>1092</v>
      </c>
      <c r="F1339" s="32">
        <v>1049</v>
      </c>
      <c r="G1339" s="32" t="s">
        <v>44</v>
      </c>
      <c r="H1339" s="32" t="s">
        <v>1407</v>
      </c>
      <c r="I1339" s="32" t="s">
        <v>40</v>
      </c>
      <c r="J1339" s="32" t="s">
        <v>46</v>
      </c>
      <c r="K1339" s="32" t="s">
        <v>42</v>
      </c>
      <c r="L1339" s="32">
        <v>5</v>
      </c>
      <c r="M1339" s="32" t="s">
        <v>47</v>
      </c>
      <c r="N1339" s="32" t="s">
        <v>43</v>
      </c>
    </row>
    <row r="1340" spans="1:14" s="32" customFormat="1" hidden="1" x14ac:dyDescent="0.3">
      <c r="A1340" s="38">
        <v>46213.454016203701</v>
      </c>
      <c r="B1340" s="32">
        <v>44999976008</v>
      </c>
      <c r="C1340" s="32" t="s">
        <v>1038</v>
      </c>
      <c r="D1340" s="32">
        <v>4430265054</v>
      </c>
      <c r="E1340" s="32">
        <v>1862</v>
      </c>
      <c r="F1340" s="32">
        <v>1845</v>
      </c>
      <c r="G1340" s="32" t="s">
        <v>44</v>
      </c>
      <c r="H1340" s="32" t="s">
        <v>1408</v>
      </c>
      <c r="I1340" s="32" t="s">
        <v>40</v>
      </c>
      <c r="J1340" s="32" t="s">
        <v>46</v>
      </c>
      <c r="K1340" s="32" t="s">
        <v>42</v>
      </c>
      <c r="L1340" s="32">
        <v>5</v>
      </c>
      <c r="M1340" s="32" t="s">
        <v>1040</v>
      </c>
      <c r="N1340" s="32" t="s">
        <v>1038</v>
      </c>
    </row>
    <row r="1341" spans="1:14" s="32" customFormat="1" hidden="1" x14ac:dyDescent="0.3">
      <c r="A1341" s="38">
        <v>46213.446342592593</v>
      </c>
      <c r="B1341" s="32">
        <v>44999917849</v>
      </c>
      <c r="C1341" s="32" t="s">
        <v>1352</v>
      </c>
      <c r="D1341" s="32">
        <v>4430265054</v>
      </c>
      <c r="E1341" s="32">
        <v>241</v>
      </c>
      <c r="F1341" s="32">
        <v>214</v>
      </c>
      <c r="G1341" s="32" t="s">
        <v>44</v>
      </c>
      <c r="H1341" s="32" t="s">
        <v>1409</v>
      </c>
      <c r="I1341" s="32" t="s">
        <v>40</v>
      </c>
      <c r="J1341" s="32" t="s">
        <v>46</v>
      </c>
      <c r="K1341" s="32" t="s">
        <v>42</v>
      </c>
      <c r="M1341" s="32" t="s">
        <v>1354</v>
      </c>
      <c r="N1341" s="32" t="s">
        <v>1352</v>
      </c>
    </row>
    <row r="1342" spans="1:14" s="32" customFormat="1" hidden="1" x14ac:dyDescent="0.3">
      <c r="A1342" s="38">
        <v>46213.443969907406</v>
      </c>
      <c r="B1342" s="32" t="s">
        <v>109</v>
      </c>
      <c r="C1342" s="32">
        <v>31993151774</v>
      </c>
      <c r="E1342" s="32">
        <v>6</v>
      </c>
      <c r="F1342" s="32">
        <v>3</v>
      </c>
      <c r="G1342" s="32" t="s">
        <v>44</v>
      </c>
      <c r="H1342" s="32" t="s">
        <v>1410</v>
      </c>
      <c r="I1342" s="32" t="s">
        <v>54</v>
      </c>
      <c r="J1342" s="32" t="s">
        <v>111</v>
      </c>
      <c r="M1342" s="32" t="s">
        <v>112</v>
      </c>
      <c r="N1342" s="32" t="s">
        <v>109</v>
      </c>
    </row>
    <row r="1343" spans="1:14" s="32" customFormat="1" hidden="1" x14ac:dyDescent="0.3">
      <c r="A1343" s="38">
        <v>46213.443414351852</v>
      </c>
      <c r="B1343" s="32">
        <v>44999976008</v>
      </c>
      <c r="C1343" s="32" t="s">
        <v>1352</v>
      </c>
      <c r="D1343" s="32">
        <v>4430265054</v>
      </c>
      <c r="E1343" s="32">
        <v>56</v>
      </c>
      <c r="F1343" s="32">
        <v>26</v>
      </c>
      <c r="G1343" s="32" t="s">
        <v>44</v>
      </c>
      <c r="H1343" s="32" t="s">
        <v>1411</v>
      </c>
      <c r="I1343" s="32" t="s">
        <v>40</v>
      </c>
      <c r="J1343" s="32" t="s">
        <v>46</v>
      </c>
      <c r="K1343" s="32" t="s">
        <v>42</v>
      </c>
      <c r="M1343" s="32" t="s">
        <v>1354</v>
      </c>
      <c r="N1343" s="32" t="s">
        <v>1352</v>
      </c>
    </row>
    <row r="1344" spans="1:14" s="32" customFormat="1" hidden="1" x14ac:dyDescent="0.3">
      <c r="A1344" s="38">
        <v>46213.443414351852</v>
      </c>
      <c r="B1344" s="32">
        <v>41999717893</v>
      </c>
      <c r="C1344" s="32" t="s">
        <v>43</v>
      </c>
      <c r="D1344" s="32">
        <v>4430265054</v>
      </c>
      <c r="E1344" s="32">
        <v>950</v>
      </c>
      <c r="F1344" s="32">
        <v>923</v>
      </c>
      <c r="G1344" s="32" t="s">
        <v>44</v>
      </c>
      <c r="H1344" s="32" t="s">
        <v>1412</v>
      </c>
      <c r="I1344" s="32" t="s">
        <v>40</v>
      </c>
      <c r="J1344" s="32" t="s">
        <v>46</v>
      </c>
      <c r="K1344" s="32" t="s">
        <v>42</v>
      </c>
      <c r="M1344" s="32" t="s">
        <v>47</v>
      </c>
      <c r="N1344" s="32" t="s">
        <v>43</v>
      </c>
    </row>
    <row r="1345" spans="1:14" s="32" customFormat="1" hidden="1" x14ac:dyDescent="0.3">
      <c r="A1345" s="38">
        <v>46213.442025462966</v>
      </c>
      <c r="B1345" s="32" t="s">
        <v>109</v>
      </c>
      <c r="C1345" s="32">
        <v>88991384860</v>
      </c>
      <c r="E1345" s="32">
        <v>4</v>
      </c>
      <c r="F1345" s="32">
        <v>0</v>
      </c>
      <c r="G1345" s="32" t="s">
        <v>63</v>
      </c>
      <c r="H1345" s="32" t="s">
        <v>1413</v>
      </c>
      <c r="I1345" s="32" t="s">
        <v>54</v>
      </c>
      <c r="J1345" s="32" t="s">
        <v>111</v>
      </c>
      <c r="M1345" s="32" t="s">
        <v>112</v>
      </c>
      <c r="N1345" s="32" t="s">
        <v>109</v>
      </c>
    </row>
    <row r="1346" spans="1:14" s="32" customFormat="1" hidden="1" x14ac:dyDescent="0.3">
      <c r="A1346" s="38">
        <v>46213.441481481481</v>
      </c>
      <c r="B1346" s="32">
        <v>4330333542</v>
      </c>
      <c r="C1346" s="32" t="s">
        <v>58</v>
      </c>
      <c r="D1346" s="32">
        <v>4430265054</v>
      </c>
      <c r="E1346" s="32">
        <v>1457</v>
      </c>
      <c r="F1346" s="32">
        <v>1457</v>
      </c>
      <c r="G1346" s="32" t="s">
        <v>44</v>
      </c>
      <c r="H1346" s="32" t="s">
        <v>1414</v>
      </c>
      <c r="I1346" s="32" t="s">
        <v>40</v>
      </c>
      <c r="J1346" s="32" t="s">
        <v>46</v>
      </c>
      <c r="K1346" s="32" t="s">
        <v>42</v>
      </c>
      <c r="M1346" s="32" t="s">
        <v>60</v>
      </c>
      <c r="N1346" s="32" t="s">
        <v>58</v>
      </c>
    </row>
    <row r="1347" spans="1:14" s="32" customFormat="1" hidden="1" x14ac:dyDescent="0.3">
      <c r="A1347" s="38">
        <v>46213.436388888891</v>
      </c>
      <c r="B1347" s="32" t="s">
        <v>43</v>
      </c>
      <c r="C1347" s="32">
        <v>11985836640</v>
      </c>
      <c r="E1347" s="32">
        <v>134</v>
      </c>
      <c r="F1347" s="32">
        <v>126</v>
      </c>
      <c r="G1347" s="32" t="s">
        <v>44</v>
      </c>
      <c r="H1347" s="32" t="s">
        <v>1415</v>
      </c>
      <c r="I1347" s="32" t="s">
        <v>54</v>
      </c>
      <c r="J1347" s="32" t="s">
        <v>46</v>
      </c>
      <c r="L1347" s="32">
        <v>5</v>
      </c>
      <c r="M1347" s="32" t="s">
        <v>47</v>
      </c>
      <c r="N1347" s="32" t="s">
        <v>43</v>
      </c>
    </row>
    <row r="1348" spans="1:14" s="32" customFormat="1" hidden="1" x14ac:dyDescent="0.3">
      <c r="A1348" s="38">
        <v>46213.434791666667</v>
      </c>
      <c r="B1348" s="32">
        <v>11985836640</v>
      </c>
      <c r="C1348" s="32" t="s">
        <v>1352</v>
      </c>
      <c r="D1348" s="32">
        <v>4430265054</v>
      </c>
      <c r="E1348" s="32">
        <v>88</v>
      </c>
      <c r="F1348" s="32">
        <v>67</v>
      </c>
      <c r="G1348" s="32" t="s">
        <v>44</v>
      </c>
      <c r="H1348" s="32" t="s">
        <v>1416</v>
      </c>
      <c r="I1348" s="32" t="s">
        <v>40</v>
      </c>
      <c r="J1348" s="32" t="s">
        <v>46</v>
      </c>
      <c r="K1348" s="32" t="s">
        <v>42</v>
      </c>
      <c r="M1348" s="32" t="s">
        <v>1354</v>
      </c>
      <c r="N1348" s="32" t="s">
        <v>1352</v>
      </c>
    </row>
    <row r="1349" spans="1:14" s="32" customFormat="1" hidden="1" x14ac:dyDescent="0.3">
      <c r="A1349" s="38">
        <v>46213.433657407404</v>
      </c>
      <c r="B1349" s="32">
        <v>62994546858</v>
      </c>
      <c r="C1349" s="32" t="s">
        <v>58</v>
      </c>
      <c r="D1349" s="32">
        <v>4431268225</v>
      </c>
      <c r="E1349" s="32">
        <v>234</v>
      </c>
      <c r="F1349" s="32">
        <v>234</v>
      </c>
      <c r="G1349" s="32" t="s">
        <v>44</v>
      </c>
      <c r="H1349" s="32" t="s">
        <v>1417</v>
      </c>
      <c r="I1349" s="32" t="s">
        <v>40</v>
      </c>
      <c r="J1349" s="32" t="s">
        <v>46</v>
      </c>
      <c r="K1349" s="32" t="s">
        <v>42</v>
      </c>
      <c r="M1349" s="32" t="s">
        <v>60</v>
      </c>
      <c r="N1349" s="32" t="s">
        <v>58</v>
      </c>
    </row>
    <row r="1350" spans="1:14" s="32" customFormat="1" hidden="1" x14ac:dyDescent="0.3">
      <c r="A1350" s="38">
        <v>46213.430891203701</v>
      </c>
      <c r="B1350" s="32">
        <v>62981535978</v>
      </c>
      <c r="C1350" s="32" t="s">
        <v>43</v>
      </c>
      <c r="D1350" s="32">
        <v>4430265054</v>
      </c>
      <c r="E1350" s="32">
        <v>255</v>
      </c>
      <c r="F1350" s="32">
        <v>204</v>
      </c>
      <c r="G1350" s="32" t="s">
        <v>44</v>
      </c>
      <c r="H1350" s="32" t="s">
        <v>1418</v>
      </c>
      <c r="I1350" s="32" t="s">
        <v>40</v>
      </c>
      <c r="J1350" s="32" t="s">
        <v>46</v>
      </c>
      <c r="K1350" s="32" t="s">
        <v>42</v>
      </c>
      <c r="M1350" s="32" t="s">
        <v>47</v>
      </c>
      <c r="N1350" s="32" t="s">
        <v>43</v>
      </c>
    </row>
    <row r="1351" spans="1:14" s="32" customFormat="1" hidden="1" x14ac:dyDescent="0.3">
      <c r="A1351" s="38">
        <v>46213.428391203706</v>
      </c>
      <c r="B1351" s="32" t="s">
        <v>1352</v>
      </c>
      <c r="C1351" s="32">
        <v>4430459032</v>
      </c>
      <c r="E1351" s="32">
        <v>3</v>
      </c>
      <c r="F1351" s="32">
        <v>0</v>
      </c>
      <c r="G1351" s="32" t="s">
        <v>63</v>
      </c>
      <c r="H1351" s="32" t="s">
        <v>1419</v>
      </c>
      <c r="I1351" s="32" t="s">
        <v>54</v>
      </c>
      <c r="J1351" s="32" t="s">
        <v>46</v>
      </c>
      <c r="M1351" s="32" t="s">
        <v>1354</v>
      </c>
      <c r="N1351" s="32" t="s">
        <v>1352</v>
      </c>
    </row>
    <row r="1352" spans="1:14" s="32" customFormat="1" hidden="1" x14ac:dyDescent="0.3">
      <c r="A1352" s="38">
        <v>46213.428356481483</v>
      </c>
      <c r="B1352" s="32" t="s">
        <v>1352</v>
      </c>
      <c r="C1352" s="32">
        <v>4430459032</v>
      </c>
      <c r="E1352" s="32">
        <v>1</v>
      </c>
      <c r="F1352" s="32">
        <v>0</v>
      </c>
      <c r="G1352" s="32" t="s">
        <v>63</v>
      </c>
      <c r="H1352" s="32" t="s">
        <v>1420</v>
      </c>
      <c r="I1352" s="32" t="s">
        <v>54</v>
      </c>
      <c r="J1352" s="32" t="s">
        <v>46</v>
      </c>
      <c r="M1352" s="32" t="s">
        <v>1354</v>
      </c>
      <c r="N1352" s="32" t="s">
        <v>1352</v>
      </c>
    </row>
    <row r="1353" spans="1:14" s="32" customFormat="1" hidden="1" x14ac:dyDescent="0.3">
      <c r="A1353" s="38">
        <v>46213.428287037037</v>
      </c>
      <c r="B1353" s="32" t="s">
        <v>1352</v>
      </c>
      <c r="C1353" s="32">
        <v>4430459032</v>
      </c>
      <c r="E1353" s="32">
        <v>4</v>
      </c>
      <c r="F1353" s="32">
        <v>0</v>
      </c>
      <c r="G1353" s="32" t="s">
        <v>63</v>
      </c>
      <c r="H1353" s="32" t="s">
        <v>1421</v>
      </c>
      <c r="I1353" s="32" t="s">
        <v>54</v>
      </c>
      <c r="J1353" s="32" t="s">
        <v>46</v>
      </c>
      <c r="M1353" s="32" t="s">
        <v>1354</v>
      </c>
      <c r="N1353" s="32" t="s">
        <v>1352</v>
      </c>
    </row>
    <row r="1354" spans="1:14" s="32" customFormat="1" hidden="1" x14ac:dyDescent="0.3">
      <c r="A1354" s="38">
        <v>46213.428124999999</v>
      </c>
      <c r="B1354" s="32" t="s">
        <v>1352</v>
      </c>
      <c r="C1354" s="32">
        <v>4430459032</v>
      </c>
      <c r="E1354" s="32">
        <v>14</v>
      </c>
      <c r="F1354" s="32">
        <v>13</v>
      </c>
      <c r="G1354" s="32" t="s">
        <v>44</v>
      </c>
      <c r="H1354" s="32" t="s">
        <v>1422</v>
      </c>
      <c r="I1354" s="32" t="s">
        <v>54</v>
      </c>
      <c r="J1354" s="32" t="s">
        <v>46</v>
      </c>
      <c r="M1354" s="32" t="s">
        <v>1354</v>
      </c>
      <c r="N1354" s="32" t="s">
        <v>1352</v>
      </c>
    </row>
    <row r="1355" spans="1:14" s="32" customFormat="1" hidden="1" x14ac:dyDescent="0.3">
      <c r="A1355" s="38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38</v>
      </c>
      <c r="H1355" s="32" t="s">
        <v>1423</v>
      </c>
      <c r="I1355" s="32" t="s">
        <v>40</v>
      </c>
      <c r="J1355" s="32" t="s">
        <v>41</v>
      </c>
    </row>
    <row r="1356" spans="1:14" s="32" customFormat="1" hidden="1" x14ac:dyDescent="0.3">
      <c r="A1356" s="38">
        <v>46213.421180555553</v>
      </c>
      <c r="B1356" s="32">
        <v>4432522019</v>
      </c>
      <c r="C1356" s="32" t="s">
        <v>58</v>
      </c>
      <c r="D1356" s="32">
        <v>4430265054</v>
      </c>
      <c r="E1356" s="32">
        <v>408</v>
      </c>
      <c r="F1356" s="32">
        <v>279</v>
      </c>
      <c r="G1356" s="32" t="s">
        <v>44</v>
      </c>
      <c r="H1356" s="32" t="s">
        <v>1424</v>
      </c>
      <c r="I1356" s="32" t="s">
        <v>40</v>
      </c>
      <c r="J1356" s="32" t="s">
        <v>46</v>
      </c>
      <c r="K1356" s="32" t="s">
        <v>42</v>
      </c>
      <c r="M1356" s="32" t="s">
        <v>60</v>
      </c>
      <c r="N1356" s="32" t="s">
        <v>58</v>
      </c>
    </row>
    <row r="1357" spans="1:14" s="32" customFormat="1" hidden="1" x14ac:dyDescent="0.3">
      <c r="A1357" s="38">
        <v>46213.420115740744</v>
      </c>
      <c r="B1357" s="32">
        <v>11985836640</v>
      </c>
      <c r="C1357" s="32" t="s">
        <v>43</v>
      </c>
      <c r="D1357" s="32">
        <v>4430265054</v>
      </c>
      <c r="E1357" s="32">
        <v>191</v>
      </c>
      <c r="F1357" s="32">
        <v>85</v>
      </c>
      <c r="G1357" s="32" t="s">
        <v>44</v>
      </c>
      <c r="H1357" s="32" t="s">
        <v>1425</v>
      </c>
      <c r="I1357" s="32" t="s">
        <v>40</v>
      </c>
      <c r="J1357" s="32" t="s">
        <v>46</v>
      </c>
      <c r="K1357" s="32" t="s">
        <v>42</v>
      </c>
      <c r="M1357" s="32" t="s">
        <v>47</v>
      </c>
      <c r="N1357" s="32" t="s">
        <v>43</v>
      </c>
    </row>
    <row r="1358" spans="1:14" s="32" customFormat="1" hidden="1" x14ac:dyDescent="0.3">
      <c r="A1358" s="38">
        <v>46213.420081018521</v>
      </c>
      <c r="B1358" s="32">
        <v>4436281154</v>
      </c>
      <c r="C1358" s="32" t="s">
        <v>58</v>
      </c>
      <c r="D1358" s="32">
        <v>4430265054</v>
      </c>
      <c r="E1358" s="32">
        <v>193</v>
      </c>
      <c r="F1358" s="32">
        <v>133</v>
      </c>
      <c r="G1358" s="32" t="s">
        <v>44</v>
      </c>
      <c r="H1358" s="32" t="s">
        <v>1426</v>
      </c>
      <c r="I1358" s="32" t="s">
        <v>40</v>
      </c>
      <c r="J1358" s="32" t="s">
        <v>46</v>
      </c>
      <c r="K1358" s="32" t="s">
        <v>42</v>
      </c>
      <c r="M1358" s="32" t="s">
        <v>60</v>
      </c>
      <c r="N1358" s="32" t="s">
        <v>58</v>
      </c>
    </row>
    <row r="1359" spans="1:14" s="32" customFormat="1" hidden="1" x14ac:dyDescent="0.3">
      <c r="A1359" s="38">
        <v>46213.418113425927</v>
      </c>
      <c r="B1359" s="32">
        <v>44997734943</v>
      </c>
      <c r="C1359" s="32" t="s">
        <v>43</v>
      </c>
      <c r="D1359" s="32">
        <v>4430265054</v>
      </c>
      <c r="E1359" s="32">
        <v>297</v>
      </c>
      <c r="F1359" s="32">
        <v>256</v>
      </c>
      <c r="G1359" s="32" t="s">
        <v>44</v>
      </c>
      <c r="H1359" s="32" t="s">
        <v>1427</v>
      </c>
      <c r="I1359" s="32" t="s">
        <v>40</v>
      </c>
      <c r="J1359" s="32" t="s">
        <v>46</v>
      </c>
      <c r="K1359" s="32" t="s">
        <v>42</v>
      </c>
      <c r="L1359" s="32">
        <v>5</v>
      </c>
      <c r="M1359" s="32" t="s">
        <v>47</v>
      </c>
      <c r="N1359" s="32" t="s">
        <v>43</v>
      </c>
    </row>
    <row r="1360" spans="1:14" s="32" customFormat="1" hidden="1" x14ac:dyDescent="0.3">
      <c r="A1360" s="38">
        <v>46213.415613425925</v>
      </c>
      <c r="B1360" s="32" t="s">
        <v>1352</v>
      </c>
      <c r="C1360" s="32">
        <v>4430291622</v>
      </c>
      <c r="E1360" s="32">
        <v>607</v>
      </c>
      <c r="F1360" s="32">
        <v>600</v>
      </c>
      <c r="G1360" s="32" t="s">
        <v>44</v>
      </c>
      <c r="H1360" s="32" t="s">
        <v>1428</v>
      </c>
      <c r="I1360" s="32" t="s">
        <v>54</v>
      </c>
      <c r="J1360" s="32" t="s">
        <v>46</v>
      </c>
      <c r="M1360" s="32" t="s">
        <v>1354</v>
      </c>
      <c r="N1360" s="32" t="s">
        <v>1352</v>
      </c>
    </row>
    <row r="1361" spans="1:14" s="32" customFormat="1" hidden="1" x14ac:dyDescent="0.3">
      <c r="A1361" s="38">
        <v>46213.415567129632</v>
      </c>
      <c r="B1361" s="32" t="s">
        <v>1352</v>
      </c>
      <c r="C1361" s="32">
        <v>4430291622</v>
      </c>
      <c r="E1361" s="32">
        <v>14</v>
      </c>
      <c r="F1361" s="32">
        <v>14</v>
      </c>
      <c r="G1361" s="32" t="s">
        <v>44</v>
      </c>
      <c r="H1361" s="32" t="s">
        <v>1429</v>
      </c>
      <c r="I1361" s="32" t="s">
        <v>54</v>
      </c>
      <c r="J1361" s="32" t="s">
        <v>46</v>
      </c>
      <c r="M1361" s="32" t="s">
        <v>1354</v>
      </c>
      <c r="N1361" s="32" t="s">
        <v>1352</v>
      </c>
    </row>
    <row r="1362" spans="1:14" s="32" customFormat="1" hidden="1" x14ac:dyDescent="0.3">
      <c r="A1362" s="38">
        <v>46213.411990740744</v>
      </c>
      <c r="B1362" s="32">
        <v>44999976008</v>
      </c>
      <c r="C1362" s="32" t="s">
        <v>1038</v>
      </c>
      <c r="D1362" s="32">
        <v>4430265054</v>
      </c>
      <c r="E1362" s="32">
        <v>1908</v>
      </c>
      <c r="F1362" s="32">
        <v>1712</v>
      </c>
      <c r="G1362" s="32" t="s">
        <v>44</v>
      </c>
      <c r="H1362" s="32" t="s">
        <v>1430</v>
      </c>
      <c r="I1362" s="32" t="s">
        <v>40</v>
      </c>
      <c r="J1362" s="32" t="s">
        <v>46</v>
      </c>
      <c r="K1362" s="32" t="s">
        <v>42</v>
      </c>
      <c r="L1362" s="32">
        <v>5</v>
      </c>
      <c r="M1362" s="32" t="s">
        <v>1040</v>
      </c>
      <c r="N1362" s="32" t="s">
        <v>1038</v>
      </c>
    </row>
    <row r="1363" spans="1:14" s="32" customFormat="1" hidden="1" x14ac:dyDescent="0.3">
      <c r="A1363" s="38">
        <v>46213.406550925924</v>
      </c>
      <c r="B1363" s="32">
        <v>44998802935</v>
      </c>
      <c r="C1363" s="32" t="s">
        <v>1038</v>
      </c>
      <c r="D1363" s="32">
        <v>4431268225</v>
      </c>
      <c r="E1363" s="32">
        <v>411</v>
      </c>
      <c r="F1363" s="32">
        <v>315</v>
      </c>
      <c r="G1363" s="32" t="s">
        <v>44</v>
      </c>
      <c r="H1363" s="32" t="s">
        <v>1431</v>
      </c>
      <c r="I1363" s="32" t="s">
        <v>40</v>
      </c>
      <c r="J1363" s="32" t="s">
        <v>46</v>
      </c>
      <c r="K1363" s="32" t="s">
        <v>42</v>
      </c>
      <c r="M1363" s="32" t="s">
        <v>1040</v>
      </c>
      <c r="N1363" s="32" t="s">
        <v>1038</v>
      </c>
    </row>
    <row r="1364" spans="1:14" s="32" customFormat="1" hidden="1" x14ac:dyDescent="0.3">
      <c r="A1364" s="38">
        <v>46213.399224537039</v>
      </c>
      <c r="B1364" s="32" t="s">
        <v>207</v>
      </c>
      <c r="C1364" s="32">
        <v>17999107938</v>
      </c>
      <c r="E1364" s="32">
        <v>5</v>
      </c>
      <c r="F1364" s="32">
        <v>0</v>
      </c>
      <c r="G1364" s="32" t="s">
        <v>63</v>
      </c>
      <c r="H1364" s="32" t="s">
        <v>1432</v>
      </c>
      <c r="I1364" s="32" t="s">
        <v>54</v>
      </c>
      <c r="J1364" s="32" t="s">
        <v>111</v>
      </c>
      <c r="M1364" s="32" t="s">
        <v>209</v>
      </c>
      <c r="N1364" s="32" t="s">
        <v>207</v>
      </c>
    </row>
    <row r="1365" spans="1:14" s="32" customFormat="1" hidden="1" x14ac:dyDescent="0.3">
      <c r="A1365" s="38">
        <v>46213.399004629631</v>
      </c>
      <c r="B1365" s="32" t="s">
        <v>207</v>
      </c>
      <c r="C1365" s="32">
        <v>1732225026</v>
      </c>
      <c r="E1365" s="32">
        <v>7</v>
      </c>
      <c r="F1365" s="32">
        <v>0</v>
      </c>
      <c r="G1365" s="32" t="s">
        <v>63</v>
      </c>
      <c r="H1365" s="32" t="s">
        <v>1433</v>
      </c>
      <c r="I1365" s="32" t="s">
        <v>54</v>
      </c>
      <c r="J1365" s="32" t="s">
        <v>111</v>
      </c>
      <c r="M1365" s="32" t="s">
        <v>209</v>
      </c>
      <c r="N1365" s="32" t="s">
        <v>207</v>
      </c>
    </row>
    <row r="1366" spans="1:14" s="32" customFormat="1" hidden="1" x14ac:dyDescent="0.3">
      <c r="A1366" s="38">
        <v>46213.398773148147</v>
      </c>
      <c r="B1366" s="32" t="s">
        <v>207</v>
      </c>
      <c r="C1366" s="32">
        <v>1732225034</v>
      </c>
      <c r="E1366" s="32">
        <v>8</v>
      </c>
      <c r="F1366" s="32">
        <v>0</v>
      </c>
      <c r="G1366" s="32" t="s">
        <v>63</v>
      </c>
      <c r="H1366" s="32" t="s">
        <v>1434</v>
      </c>
      <c r="I1366" s="32" t="s">
        <v>54</v>
      </c>
      <c r="J1366" s="32" t="s">
        <v>111</v>
      </c>
      <c r="M1366" s="32" t="s">
        <v>209</v>
      </c>
      <c r="N1366" s="32" t="s">
        <v>207</v>
      </c>
    </row>
    <row r="1367" spans="1:14" s="32" customFormat="1" hidden="1" x14ac:dyDescent="0.3">
      <c r="A1367" s="38">
        <v>46213.398009259261</v>
      </c>
      <c r="B1367" s="32">
        <v>44999906855</v>
      </c>
      <c r="C1367" s="32" t="s">
        <v>1038</v>
      </c>
      <c r="D1367" s="32">
        <v>4430265054</v>
      </c>
      <c r="E1367" s="32">
        <v>374</v>
      </c>
      <c r="F1367" s="32">
        <v>229</v>
      </c>
      <c r="G1367" s="32" t="s">
        <v>44</v>
      </c>
      <c r="H1367" s="32" t="s">
        <v>1435</v>
      </c>
      <c r="I1367" s="32" t="s">
        <v>40</v>
      </c>
      <c r="J1367" s="32" t="s">
        <v>46</v>
      </c>
      <c r="K1367" s="32" t="s">
        <v>42</v>
      </c>
      <c r="M1367" s="32" t="s">
        <v>1040</v>
      </c>
      <c r="N1367" s="32" t="s">
        <v>1038</v>
      </c>
    </row>
    <row r="1368" spans="1:14" s="32" customFormat="1" hidden="1" x14ac:dyDescent="0.3">
      <c r="A1368" s="38">
        <v>46213.397696759261</v>
      </c>
      <c r="B1368" s="32" t="s">
        <v>207</v>
      </c>
      <c r="C1368" s="32">
        <v>17991329769</v>
      </c>
      <c r="E1368" s="32">
        <v>30</v>
      </c>
      <c r="F1368" s="32">
        <v>6</v>
      </c>
      <c r="G1368" s="32" t="s">
        <v>44</v>
      </c>
      <c r="H1368" s="32" t="s">
        <v>1436</v>
      </c>
      <c r="I1368" s="32" t="s">
        <v>54</v>
      </c>
      <c r="J1368" s="32" t="s">
        <v>111</v>
      </c>
      <c r="M1368" s="32" t="s">
        <v>209</v>
      </c>
      <c r="N1368" s="32" t="s">
        <v>207</v>
      </c>
    </row>
    <row r="1369" spans="1:14" s="32" customFormat="1" hidden="1" x14ac:dyDescent="0.3">
      <c r="A1369" s="38">
        <v>46213.394930555558</v>
      </c>
      <c r="B1369" s="32">
        <v>44991484476</v>
      </c>
      <c r="C1369" s="32" t="s">
        <v>58</v>
      </c>
      <c r="D1369" s="32">
        <v>4430265054</v>
      </c>
      <c r="E1369" s="32">
        <v>1173</v>
      </c>
      <c r="F1369" s="32">
        <v>1150</v>
      </c>
      <c r="G1369" s="32" t="s">
        <v>44</v>
      </c>
      <c r="H1369" s="32" t="s">
        <v>1437</v>
      </c>
      <c r="I1369" s="32" t="s">
        <v>40</v>
      </c>
      <c r="J1369" s="32" t="s">
        <v>46</v>
      </c>
      <c r="K1369" s="32" t="s">
        <v>42</v>
      </c>
      <c r="M1369" s="32" t="s">
        <v>60</v>
      </c>
      <c r="N1369" s="32" t="s">
        <v>58</v>
      </c>
    </row>
    <row r="1370" spans="1:14" s="32" customFormat="1" hidden="1" x14ac:dyDescent="0.3">
      <c r="A1370" s="38">
        <v>46213.394409722219</v>
      </c>
      <c r="B1370" s="32" t="s">
        <v>207</v>
      </c>
      <c r="C1370" s="32">
        <v>4432226677</v>
      </c>
      <c r="E1370" s="32">
        <v>35</v>
      </c>
      <c r="F1370" s="32">
        <v>25</v>
      </c>
      <c r="G1370" s="32" t="s">
        <v>44</v>
      </c>
      <c r="H1370" s="32" t="s">
        <v>1438</v>
      </c>
      <c r="I1370" s="32" t="s">
        <v>54</v>
      </c>
      <c r="J1370" s="32" t="s">
        <v>111</v>
      </c>
      <c r="M1370" s="32" t="s">
        <v>209</v>
      </c>
      <c r="N1370" s="32" t="s">
        <v>207</v>
      </c>
    </row>
    <row r="1371" spans="1:14" s="32" customFormat="1" hidden="1" x14ac:dyDescent="0.3">
      <c r="A1371" s="38">
        <v>46213.394201388888</v>
      </c>
      <c r="B1371" s="32" t="s">
        <v>207</v>
      </c>
      <c r="C1371" s="32">
        <v>4432227272</v>
      </c>
      <c r="E1371" s="32">
        <v>1</v>
      </c>
      <c r="F1371" s="32">
        <v>0</v>
      </c>
      <c r="G1371" s="32" t="s">
        <v>63</v>
      </c>
      <c r="H1371" s="32" t="s">
        <v>1439</v>
      </c>
      <c r="I1371" s="32" t="s">
        <v>54</v>
      </c>
      <c r="J1371" s="32" t="s">
        <v>111</v>
      </c>
      <c r="M1371" s="32" t="s">
        <v>209</v>
      </c>
      <c r="N1371" s="32" t="s">
        <v>207</v>
      </c>
    </row>
    <row r="1372" spans="1:14" s="32" customFormat="1" hidden="1" x14ac:dyDescent="0.3">
      <c r="A1372" s="38">
        <v>46213.393726851849</v>
      </c>
      <c r="B1372" s="32" t="s">
        <v>109</v>
      </c>
      <c r="C1372" s="32">
        <v>44991484476</v>
      </c>
      <c r="E1372" s="32">
        <v>1</v>
      </c>
      <c r="F1372" s="32">
        <v>0</v>
      </c>
      <c r="G1372" s="32" t="s">
        <v>63</v>
      </c>
      <c r="H1372" s="32" t="s">
        <v>1440</v>
      </c>
      <c r="I1372" s="32" t="s">
        <v>54</v>
      </c>
      <c r="J1372" s="32" t="s">
        <v>111</v>
      </c>
      <c r="M1372" s="32" t="s">
        <v>112</v>
      </c>
      <c r="N1372" s="32" t="s">
        <v>109</v>
      </c>
    </row>
    <row r="1373" spans="1:14" s="32" customFormat="1" hidden="1" x14ac:dyDescent="0.3">
      <c r="A1373" s="38">
        <v>46213.393495370372</v>
      </c>
      <c r="B1373" s="32" t="s">
        <v>109</v>
      </c>
      <c r="C1373" s="32">
        <v>44991484476</v>
      </c>
      <c r="E1373" s="32">
        <v>0</v>
      </c>
      <c r="F1373" s="32">
        <v>0</v>
      </c>
      <c r="G1373" s="32" t="s">
        <v>63</v>
      </c>
      <c r="H1373" s="32" t="s">
        <v>1441</v>
      </c>
      <c r="I1373" s="32" t="s">
        <v>54</v>
      </c>
      <c r="J1373" s="32" t="s">
        <v>111</v>
      </c>
      <c r="M1373" s="32" t="s">
        <v>112</v>
      </c>
      <c r="N1373" s="32" t="s">
        <v>109</v>
      </c>
    </row>
    <row r="1374" spans="1:14" s="32" customFormat="1" hidden="1" x14ac:dyDescent="0.3">
      <c r="A1374" s="38">
        <v>46213.393437500003</v>
      </c>
      <c r="B1374" s="32">
        <v>4434221675</v>
      </c>
      <c r="C1374" s="32" t="s">
        <v>58</v>
      </c>
      <c r="D1374" s="32">
        <v>4430265054</v>
      </c>
      <c r="E1374" s="32">
        <v>546</v>
      </c>
      <c r="F1374" s="32">
        <v>545</v>
      </c>
      <c r="G1374" s="32" t="s">
        <v>44</v>
      </c>
      <c r="H1374" s="32" t="s">
        <v>1442</v>
      </c>
      <c r="I1374" s="32" t="s">
        <v>40</v>
      </c>
      <c r="J1374" s="32" t="s">
        <v>46</v>
      </c>
      <c r="K1374" s="32" t="s">
        <v>42</v>
      </c>
      <c r="M1374" s="32" t="s">
        <v>60</v>
      </c>
      <c r="N1374" s="32" t="s">
        <v>58</v>
      </c>
    </row>
    <row r="1375" spans="1:14" s="32" customFormat="1" hidden="1" x14ac:dyDescent="0.3">
      <c r="A1375" s="38">
        <v>46213.39340277778</v>
      </c>
      <c r="B1375" s="32" t="s">
        <v>109</v>
      </c>
      <c r="C1375" s="32">
        <v>44991484476</v>
      </c>
      <c r="E1375" s="32">
        <v>1</v>
      </c>
      <c r="F1375" s="32">
        <v>0</v>
      </c>
      <c r="G1375" s="32" t="s">
        <v>63</v>
      </c>
      <c r="H1375" s="32" t="s">
        <v>1443</v>
      </c>
      <c r="I1375" s="32" t="s">
        <v>54</v>
      </c>
      <c r="J1375" s="32" t="s">
        <v>111</v>
      </c>
      <c r="M1375" s="32" t="s">
        <v>112</v>
      </c>
      <c r="N1375" s="32" t="s">
        <v>109</v>
      </c>
    </row>
    <row r="1376" spans="1:14" s="32" customFormat="1" hidden="1" x14ac:dyDescent="0.3">
      <c r="A1376" s="38">
        <v>46213.393090277779</v>
      </c>
      <c r="B1376" s="32" t="s">
        <v>207</v>
      </c>
      <c r="C1376" s="32">
        <v>44999807675</v>
      </c>
      <c r="E1376" s="32">
        <v>37</v>
      </c>
      <c r="F1376" s="32">
        <v>0</v>
      </c>
      <c r="G1376" s="32" t="s">
        <v>63</v>
      </c>
      <c r="H1376" s="32" t="s">
        <v>1444</v>
      </c>
      <c r="I1376" s="32" t="s">
        <v>54</v>
      </c>
      <c r="J1376" s="32" t="s">
        <v>111</v>
      </c>
      <c r="M1376" s="32" t="s">
        <v>209</v>
      </c>
      <c r="N1376" s="32" t="s">
        <v>207</v>
      </c>
    </row>
    <row r="1377" spans="1:14" s="32" customFormat="1" hidden="1" x14ac:dyDescent="0.3">
      <c r="A1377" s="38">
        <v>46213.392916666664</v>
      </c>
      <c r="B1377" s="32" t="s">
        <v>207</v>
      </c>
      <c r="C1377" s="32">
        <v>4432226677</v>
      </c>
      <c r="E1377" s="32">
        <v>2</v>
      </c>
      <c r="F1377" s="32">
        <v>0</v>
      </c>
      <c r="G1377" s="32" t="s">
        <v>63</v>
      </c>
      <c r="H1377" s="32" t="s">
        <v>1445</v>
      </c>
      <c r="I1377" s="32" t="s">
        <v>54</v>
      </c>
      <c r="J1377" s="32" t="s">
        <v>111</v>
      </c>
      <c r="M1377" s="32" t="s">
        <v>209</v>
      </c>
      <c r="N1377" s="32" t="s">
        <v>207</v>
      </c>
    </row>
    <row r="1378" spans="1:14" s="32" customFormat="1" hidden="1" x14ac:dyDescent="0.3">
      <c r="A1378" s="38">
        <v>46213.392638888887</v>
      </c>
      <c r="B1378" s="32" t="s">
        <v>207</v>
      </c>
      <c r="C1378" s="32">
        <v>2132226677</v>
      </c>
      <c r="E1378" s="32">
        <v>7</v>
      </c>
      <c r="F1378" s="32">
        <v>0</v>
      </c>
      <c r="G1378" s="32" t="s">
        <v>63</v>
      </c>
      <c r="H1378" s="32" t="s">
        <v>1446</v>
      </c>
      <c r="I1378" s="32" t="s">
        <v>54</v>
      </c>
      <c r="J1378" s="32" t="s">
        <v>111</v>
      </c>
      <c r="M1378" s="32" t="s">
        <v>209</v>
      </c>
      <c r="N1378" s="32" t="s">
        <v>207</v>
      </c>
    </row>
    <row r="1379" spans="1:14" s="32" customFormat="1" hidden="1" x14ac:dyDescent="0.3">
      <c r="A1379" s="38">
        <v>46213.392488425925</v>
      </c>
      <c r="B1379" s="32" t="s">
        <v>207</v>
      </c>
      <c r="C1379" s="32">
        <v>21999807675</v>
      </c>
      <c r="E1379" s="32">
        <v>3</v>
      </c>
      <c r="F1379" s="32">
        <v>0</v>
      </c>
      <c r="G1379" s="32" t="s">
        <v>63</v>
      </c>
      <c r="H1379" s="32" t="s">
        <v>1447</v>
      </c>
      <c r="I1379" s="32" t="s">
        <v>54</v>
      </c>
      <c r="J1379" s="32" t="s">
        <v>111</v>
      </c>
      <c r="M1379" s="32" t="s">
        <v>209</v>
      </c>
      <c r="N1379" s="32" t="s">
        <v>207</v>
      </c>
    </row>
    <row r="1380" spans="1:14" s="32" customFormat="1" hidden="1" x14ac:dyDescent="0.3">
      <c r="A1380" s="38">
        <v>46213.392314814817</v>
      </c>
      <c r="B1380" s="32" t="s">
        <v>207</v>
      </c>
      <c r="C1380" s="32">
        <v>21999807675</v>
      </c>
      <c r="E1380" s="32">
        <v>4</v>
      </c>
      <c r="F1380" s="32">
        <v>0</v>
      </c>
      <c r="G1380" s="32" t="s">
        <v>63</v>
      </c>
      <c r="H1380" s="32" t="s">
        <v>1448</v>
      </c>
      <c r="I1380" s="32" t="s">
        <v>54</v>
      </c>
      <c r="J1380" s="32" t="s">
        <v>111</v>
      </c>
      <c r="M1380" s="32" t="s">
        <v>209</v>
      </c>
      <c r="N1380" s="32" t="s">
        <v>207</v>
      </c>
    </row>
    <row r="1381" spans="1:14" s="32" customFormat="1" hidden="1" x14ac:dyDescent="0.3">
      <c r="A1381" s="38">
        <v>46213.391979166663</v>
      </c>
      <c r="B1381" s="32">
        <v>44988657373</v>
      </c>
      <c r="C1381" s="32" t="s">
        <v>43</v>
      </c>
      <c r="D1381" s="32">
        <v>4430265054</v>
      </c>
      <c r="E1381" s="32">
        <v>1338</v>
      </c>
      <c r="F1381" s="32">
        <v>1260</v>
      </c>
      <c r="G1381" s="32" t="s">
        <v>44</v>
      </c>
      <c r="H1381" s="32" t="s">
        <v>1449</v>
      </c>
      <c r="I1381" s="32" t="s">
        <v>40</v>
      </c>
      <c r="J1381" s="32" t="s">
        <v>46</v>
      </c>
      <c r="K1381" s="32" t="s">
        <v>42</v>
      </c>
      <c r="M1381" s="32" t="s">
        <v>47</v>
      </c>
      <c r="N1381" s="32" t="s">
        <v>43</v>
      </c>
    </row>
    <row r="1382" spans="1:14" s="32" customFormat="1" hidden="1" x14ac:dyDescent="0.3">
      <c r="A1382" s="38">
        <v>46213.391932870371</v>
      </c>
      <c r="B1382" s="32">
        <v>44999976008</v>
      </c>
      <c r="C1382" s="32" t="s">
        <v>1038</v>
      </c>
      <c r="D1382" s="32">
        <v>4430265054</v>
      </c>
      <c r="E1382" s="32">
        <v>546</v>
      </c>
      <c r="F1382" s="32">
        <v>488</v>
      </c>
      <c r="G1382" s="32" t="s">
        <v>44</v>
      </c>
      <c r="H1382" s="32" t="s">
        <v>1450</v>
      </c>
      <c r="I1382" s="32" t="s">
        <v>40</v>
      </c>
      <c r="J1382" s="32" t="s">
        <v>46</v>
      </c>
      <c r="K1382" s="32" t="s">
        <v>42</v>
      </c>
      <c r="M1382" s="32" t="s">
        <v>1040</v>
      </c>
      <c r="N1382" s="32" t="s">
        <v>1038</v>
      </c>
    </row>
    <row r="1383" spans="1:14" s="32" customFormat="1" hidden="1" x14ac:dyDescent="0.3">
      <c r="A1383" s="38">
        <v>46213.385405092595</v>
      </c>
      <c r="B1383" s="32" t="s">
        <v>207</v>
      </c>
      <c r="C1383" s="32">
        <v>43988529537</v>
      </c>
      <c r="E1383" s="32">
        <v>237</v>
      </c>
      <c r="F1383" s="32">
        <v>224</v>
      </c>
      <c r="G1383" s="32" t="s">
        <v>44</v>
      </c>
      <c r="H1383" s="32" t="s">
        <v>1451</v>
      </c>
      <c r="I1383" s="32" t="s">
        <v>54</v>
      </c>
      <c r="J1383" s="32" t="s">
        <v>111</v>
      </c>
      <c r="M1383" s="32" t="s">
        <v>209</v>
      </c>
      <c r="N1383" s="32" t="s">
        <v>207</v>
      </c>
    </row>
    <row r="1384" spans="1:14" s="32" customFormat="1" hidden="1" x14ac:dyDescent="0.3">
      <c r="A1384" s="38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38</v>
      </c>
      <c r="H1384" s="32" t="s">
        <v>1452</v>
      </c>
      <c r="I1384" s="32" t="s">
        <v>40</v>
      </c>
      <c r="J1384" s="32" t="s">
        <v>41</v>
      </c>
      <c r="K1384" s="32" t="s">
        <v>42</v>
      </c>
    </row>
    <row r="1385" spans="1:14" s="32" customFormat="1" hidden="1" x14ac:dyDescent="0.3">
      <c r="A1385" s="38">
        <v>46213.378750000003</v>
      </c>
      <c r="B1385" s="32" t="s">
        <v>43</v>
      </c>
      <c r="C1385" s="32">
        <v>44997215491</v>
      </c>
      <c r="E1385" s="32">
        <v>325</v>
      </c>
      <c r="F1385" s="32">
        <v>310</v>
      </c>
      <c r="G1385" s="32" t="s">
        <v>44</v>
      </c>
      <c r="H1385" s="32" t="s">
        <v>1453</v>
      </c>
      <c r="I1385" s="32" t="s">
        <v>54</v>
      </c>
      <c r="J1385" s="32" t="s">
        <v>46</v>
      </c>
      <c r="L1385" s="32">
        <v>5</v>
      </c>
      <c r="M1385" s="32" t="s">
        <v>47</v>
      </c>
      <c r="N1385" s="32" t="s">
        <v>43</v>
      </c>
    </row>
    <row r="1386" spans="1:14" s="32" customFormat="1" hidden="1" x14ac:dyDescent="0.3">
      <c r="A1386" s="38">
        <v>46213.376111111109</v>
      </c>
      <c r="B1386" s="32" t="s">
        <v>58</v>
      </c>
      <c r="C1386" s="32">
        <v>1131043888</v>
      </c>
      <c r="E1386" s="32">
        <v>33</v>
      </c>
      <c r="F1386" s="32">
        <v>31</v>
      </c>
      <c r="G1386" s="32" t="s">
        <v>44</v>
      </c>
      <c r="H1386" s="32" t="s">
        <v>1454</v>
      </c>
      <c r="I1386" s="32" t="s">
        <v>54</v>
      </c>
      <c r="J1386" s="32" t="s">
        <v>46</v>
      </c>
      <c r="M1386" s="32" t="s">
        <v>60</v>
      </c>
      <c r="N1386" s="32" t="s">
        <v>58</v>
      </c>
    </row>
    <row r="1387" spans="1:14" s="32" customFormat="1" hidden="1" x14ac:dyDescent="0.3">
      <c r="A1387" s="38">
        <v>46213.375787037039</v>
      </c>
      <c r="B1387" s="32" t="s">
        <v>58</v>
      </c>
      <c r="C1387" s="32">
        <v>1131043888</v>
      </c>
      <c r="E1387" s="32">
        <v>43</v>
      </c>
      <c r="F1387" s="32">
        <v>42</v>
      </c>
      <c r="G1387" s="32" t="s">
        <v>44</v>
      </c>
      <c r="H1387" s="32" t="s">
        <v>1455</v>
      </c>
      <c r="I1387" s="32" t="s">
        <v>54</v>
      </c>
      <c r="J1387" s="32" t="s">
        <v>46</v>
      </c>
      <c r="M1387" s="32" t="s">
        <v>60</v>
      </c>
      <c r="N1387" s="32" t="s">
        <v>58</v>
      </c>
    </row>
    <row r="1388" spans="1:14" s="32" customFormat="1" hidden="1" x14ac:dyDescent="0.3">
      <c r="A1388" s="38">
        <v>46213.375520833331</v>
      </c>
      <c r="B1388" s="32" t="s">
        <v>58</v>
      </c>
      <c r="C1388" s="32">
        <v>44998267320</v>
      </c>
      <c r="E1388" s="32">
        <v>45</v>
      </c>
      <c r="F1388" s="32">
        <v>36</v>
      </c>
      <c r="G1388" s="32" t="s">
        <v>44</v>
      </c>
      <c r="H1388" s="32" t="s">
        <v>1456</v>
      </c>
      <c r="I1388" s="32" t="s">
        <v>54</v>
      </c>
      <c r="J1388" s="32" t="s">
        <v>46</v>
      </c>
      <c r="M1388" s="32" t="s">
        <v>60</v>
      </c>
      <c r="N1388" s="32" t="s">
        <v>58</v>
      </c>
    </row>
    <row r="1389" spans="1:14" s="32" customFormat="1" hidden="1" x14ac:dyDescent="0.3">
      <c r="A1389" s="38">
        <v>46213.371307870373</v>
      </c>
      <c r="B1389" s="32">
        <v>44998802935</v>
      </c>
      <c r="C1389" s="32" t="s">
        <v>58</v>
      </c>
      <c r="D1389" s="32">
        <v>4431268225</v>
      </c>
      <c r="E1389" s="32">
        <v>365</v>
      </c>
      <c r="F1389" s="32">
        <v>365</v>
      </c>
      <c r="G1389" s="32" t="s">
        <v>44</v>
      </c>
      <c r="H1389" s="32" t="s">
        <v>1457</v>
      </c>
      <c r="I1389" s="32" t="s">
        <v>40</v>
      </c>
      <c r="J1389" s="32" t="s">
        <v>46</v>
      </c>
      <c r="K1389" s="32" t="s">
        <v>42</v>
      </c>
      <c r="M1389" s="32" t="s">
        <v>60</v>
      </c>
      <c r="N1389" s="32" t="s">
        <v>58</v>
      </c>
    </row>
    <row r="1390" spans="1:14" s="32" customFormat="1" hidden="1" x14ac:dyDescent="0.3">
      <c r="A1390" s="38">
        <v>46213.367430555554</v>
      </c>
      <c r="B1390" s="32">
        <v>44997215491</v>
      </c>
      <c r="C1390" s="32" t="s">
        <v>43</v>
      </c>
      <c r="D1390" s="32">
        <v>4430265054</v>
      </c>
      <c r="E1390" s="32">
        <v>668</v>
      </c>
      <c r="F1390" s="32">
        <v>595</v>
      </c>
      <c r="G1390" s="32" t="s">
        <v>44</v>
      </c>
      <c r="H1390" s="32" t="s">
        <v>1458</v>
      </c>
      <c r="I1390" s="32" t="s">
        <v>40</v>
      </c>
      <c r="J1390" s="32" t="s">
        <v>46</v>
      </c>
      <c r="K1390" s="32" t="s">
        <v>42</v>
      </c>
      <c r="M1390" s="32" t="s">
        <v>47</v>
      </c>
      <c r="N1390" s="32" t="s">
        <v>43</v>
      </c>
    </row>
    <row r="1391" spans="1:14" s="32" customFormat="1" hidden="1" x14ac:dyDescent="0.3">
      <c r="A1391" s="38">
        <v>46213.36209490741</v>
      </c>
      <c r="B1391" s="32">
        <v>44988300360</v>
      </c>
      <c r="C1391" s="32" t="s">
        <v>1038</v>
      </c>
      <c r="D1391" s="32">
        <v>4430265054</v>
      </c>
      <c r="E1391" s="32">
        <v>1163</v>
      </c>
      <c r="F1391" s="32">
        <v>1093</v>
      </c>
      <c r="G1391" s="32" t="s">
        <v>44</v>
      </c>
      <c r="H1391" s="32" t="s">
        <v>1459</v>
      </c>
      <c r="I1391" s="32" t="s">
        <v>40</v>
      </c>
      <c r="J1391" s="32" t="s">
        <v>46</v>
      </c>
      <c r="K1391" s="32" t="s">
        <v>42</v>
      </c>
      <c r="L1391" s="32">
        <v>5</v>
      </c>
      <c r="M1391" s="32" t="s">
        <v>1040</v>
      </c>
      <c r="N1391" s="32" t="s">
        <v>1038</v>
      </c>
    </row>
    <row r="1392" spans="1:14" s="32" customFormat="1" hidden="1" x14ac:dyDescent="0.3">
      <c r="A1392" s="38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38</v>
      </c>
      <c r="H1392" s="32" t="s">
        <v>1460</v>
      </c>
      <c r="I1392" s="32" t="s">
        <v>40</v>
      </c>
      <c r="J1392" s="32" t="s">
        <v>41</v>
      </c>
    </row>
    <row r="1393" spans="1:14" s="32" customFormat="1" hidden="1" x14ac:dyDescent="0.3">
      <c r="A1393" s="38">
        <v>46213.35528935185</v>
      </c>
      <c r="B1393" s="32">
        <v>4430459032</v>
      </c>
      <c r="C1393" s="32" t="s">
        <v>1352</v>
      </c>
      <c r="D1393" s="32">
        <v>4430265054</v>
      </c>
      <c r="E1393" s="32">
        <v>353</v>
      </c>
      <c r="F1393" s="32">
        <v>277</v>
      </c>
      <c r="G1393" s="32" t="s">
        <v>44</v>
      </c>
      <c r="H1393" s="32" t="s">
        <v>1461</v>
      </c>
      <c r="I1393" s="32" t="s">
        <v>40</v>
      </c>
      <c r="J1393" s="32" t="s">
        <v>46</v>
      </c>
      <c r="K1393" s="32" t="s">
        <v>42</v>
      </c>
      <c r="M1393" s="32" t="s">
        <v>1354</v>
      </c>
      <c r="N1393" s="32" t="s">
        <v>1352</v>
      </c>
    </row>
    <row r="1394" spans="1:14" s="32" customFormat="1" hidden="1" x14ac:dyDescent="0.3">
      <c r="A1394" s="38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38</v>
      </c>
      <c r="H1394" s="32" t="s">
        <v>1462</v>
      </c>
      <c r="I1394" s="32" t="s">
        <v>40</v>
      </c>
      <c r="J1394" s="32" t="s">
        <v>41</v>
      </c>
    </row>
    <row r="1395" spans="1:14" s="32" customFormat="1" hidden="1" x14ac:dyDescent="0.3">
      <c r="A1395" s="38">
        <v>46212.737303240741</v>
      </c>
      <c r="B1395" s="32">
        <v>44999680829</v>
      </c>
      <c r="C1395" s="32" t="s">
        <v>43</v>
      </c>
      <c r="D1395" s="32">
        <v>4431268225</v>
      </c>
      <c r="E1395" s="32">
        <v>539</v>
      </c>
      <c r="F1395" s="32">
        <v>416</v>
      </c>
      <c r="G1395" s="32" t="s">
        <v>44</v>
      </c>
      <c r="H1395" s="32" t="s">
        <v>1463</v>
      </c>
      <c r="I1395" s="32" t="s">
        <v>40</v>
      </c>
      <c r="J1395" s="32" t="s">
        <v>46</v>
      </c>
      <c r="K1395" s="32" t="s">
        <v>42</v>
      </c>
      <c r="L1395" s="32">
        <v>5</v>
      </c>
      <c r="M1395" s="32" t="s">
        <v>47</v>
      </c>
      <c r="N1395" s="32" t="s">
        <v>43</v>
      </c>
    </row>
    <row r="1396" spans="1:14" s="32" customFormat="1" hidden="1" x14ac:dyDescent="0.3">
      <c r="A1396" s="38">
        <v>46212.720347222225</v>
      </c>
      <c r="B1396" s="32" t="s">
        <v>58</v>
      </c>
      <c r="C1396" s="32">
        <v>4532541802</v>
      </c>
      <c r="E1396" s="32">
        <v>244</v>
      </c>
      <c r="F1396" s="32">
        <v>243</v>
      </c>
      <c r="G1396" s="32" t="s">
        <v>44</v>
      </c>
      <c r="H1396" s="32" t="s">
        <v>1464</v>
      </c>
      <c r="I1396" s="32" t="s">
        <v>54</v>
      </c>
      <c r="J1396" s="32" t="s">
        <v>46</v>
      </c>
      <c r="M1396" s="32" t="s">
        <v>60</v>
      </c>
      <c r="N1396" s="32" t="s">
        <v>58</v>
      </c>
    </row>
    <row r="1397" spans="1:14" s="32" customFormat="1" hidden="1" x14ac:dyDescent="0.3">
      <c r="A1397" s="38">
        <v>46212.716261574074</v>
      </c>
      <c r="B1397" s="32">
        <v>44999906855</v>
      </c>
      <c r="C1397" s="32" t="s">
        <v>1352</v>
      </c>
      <c r="D1397" s="32">
        <v>4430265054</v>
      </c>
      <c r="E1397" s="32">
        <v>1920</v>
      </c>
      <c r="F1397" s="32">
        <v>1850</v>
      </c>
      <c r="G1397" s="32" t="s">
        <v>44</v>
      </c>
      <c r="H1397" s="32" t="s">
        <v>1465</v>
      </c>
      <c r="I1397" s="32" t="s">
        <v>40</v>
      </c>
      <c r="J1397" s="32" t="s">
        <v>46</v>
      </c>
      <c r="K1397" s="32" t="s">
        <v>42</v>
      </c>
      <c r="M1397" s="32" t="s">
        <v>1354</v>
      </c>
      <c r="N1397" s="32" t="s">
        <v>1352</v>
      </c>
    </row>
    <row r="1398" spans="1:14" s="32" customFormat="1" hidden="1" x14ac:dyDescent="0.3">
      <c r="A1398" s="38">
        <v>46212.715011574073</v>
      </c>
      <c r="B1398" s="32" t="s">
        <v>379</v>
      </c>
      <c r="C1398" s="32">
        <v>4332529065</v>
      </c>
      <c r="E1398" s="32">
        <v>18</v>
      </c>
      <c r="F1398" s="32">
        <v>3</v>
      </c>
      <c r="G1398" s="32" t="s">
        <v>44</v>
      </c>
      <c r="H1398" s="32" t="s">
        <v>1466</v>
      </c>
      <c r="I1398" s="32" t="s">
        <v>54</v>
      </c>
      <c r="J1398" s="32" t="s">
        <v>111</v>
      </c>
      <c r="M1398" s="32" t="s">
        <v>381</v>
      </c>
      <c r="N1398" s="32" t="s">
        <v>379</v>
      </c>
    </row>
    <row r="1399" spans="1:14" s="32" customFormat="1" hidden="1" x14ac:dyDescent="0.3">
      <c r="A1399" s="38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38</v>
      </c>
      <c r="H1399" s="32" t="s">
        <v>1467</v>
      </c>
      <c r="I1399" s="32" t="s">
        <v>40</v>
      </c>
      <c r="J1399" s="32" t="s">
        <v>41</v>
      </c>
      <c r="K1399" s="32" t="s">
        <v>42</v>
      </c>
    </row>
    <row r="1400" spans="1:14" s="32" customFormat="1" hidden="1" x14ac:dyDescent="0.3">
      <c r="A1400" s="38">
        <v>46212.714085648149</v>
      </c>
      <c r="B1400" s="32">
        <v>4334728840</v>
      </c>
      <c r="C1400" s="32" t="s">
        <v>58</v>
      </c>
      <c r="D1400" s="32">
        <v>4430265054</v>
      </c>
      <c r="E1400" s="32">
        <v>334</v>
      </c>
      <c r="F1400" s="32">
        <v>334</v>
      </c>
      <c r="G1400" s="32" t="s">
        <v>44</v>
      </c>
      <c r="H1400" s="32" t="s">
        <v>1468</v>
      </c>
      <c r="I1400" s="32" t="s">
        <v>40</v>
      </c>
      <c r="J1400" s="32" t="s">
        <v>46</v>
      </c>
      <c r="K1400" s="32" t="s">
        <v>42</v>
      </c>
      <c r="M1400" s="32" t="s">
        <v>60</v>
      </c>
      <c r="N1400" s="32" t="s">
        <v>58</v>
      </c>
    </row>
    <row r="1401" spans="1:14" s="32" customFormat="1" hidden="1" x14ac:dyDescent="0.3">
      <c r="A1401" s="38">
        <v>46212.712488425925</v>
      </c>
      <c r="B1401" s="32" t="s">
        <v>109</v>
      </c>
      <c r="C1401" s="32">
        <v>2121114151</v>
      </c>
      <c r="E1401" s="32">
        <v>43</v>
      </c>
      <c r="F1401" s="32">
        <v>33</v>
      </c>
      <c r="G1401" s="32" t="s">
        <v>44</v>
      </c>
      <c r="H1401" s="32" t="s">
        <v>1469</v>
      </c>
      <c r="I1401" s="32" t="s">
        <v>54</v>
      </c>
      <c r="J1401" s="32" t="s">
        <v>111</v>
      </c>
      <c r="M1401" s="32" t="s">
        <v>112</v>
      </c>
      <c r="N1401" s="32" t="s">
        <v>109</v>
      </c>
    </row>
    <row r="1402" spans="1:14" s="32" customFormat="1" hidden="1" x14ac:dyDescent="0.3">
      <c r="A1402" s="38">
        <v>46212.705682870372</v>
      </c>
      <c r="B1402" s="32" t="s">
        <v>379</v>
      </c>
      <c r="C1402" s="32">
        <v>44999144903</v>
      </c>
      <c r="E1402" s="32">
        <v>7</v>
      </c>
      <c r="F1402" s="32">
        <v>0</v>
      </c>
      <c r="G1402" s="32" t="s">
        <v>63</v>
      </c>
      <c r="H1402" s="32" t="s">
        <v>1470</v>
      </c>
      <c r="I1402" s="32" t="s">
        <v>54</v>
      </c>
      <c r="J1402" s="32" t="s">
        <v>111</v>
      </c>
      <c r="M1402" s="32" t="s">
        <v>381</v>
      </c>
      <c r="N1402" s="32" t="s">
        <v>379</v>
      </c>
    </row>
    <row r="1403" spans="1:14" s="32" customFormat="1" hidden="1" x14ac:dyDescent="0.3">
      <c r="A1403" s="38">
        <v>46212.701793981483</v>
      </c>
      <c r="B1403" s="32" t="s">
        <v>379</v>
      </c>
      <c r="C1403" s="32">
        <v>16997190170</v>
      </c>
      <c r="E1403" s="32">
        <v>14</v>
      </c>
      <c r="F1403" s="32">
        <v>0</v>
      </c>
      <c r="G1403" s="32" t="s">
        <v>63</v>
      </c>
      <c r="H1403" s="32" t="s">
        <v>1471</v>
      </c>
      <c r="I1403" s="32" t="s">
        <v>54</v>
      </c>
      <c r="J1403" s="32" t="s">
        <v>111</v>
      </c>
      <c r="M1403" s="32" t="s">
        <v>381</v>
      </c>
      <c r="N1403" s="32" t="s">
        <v>379</v>
      </c>
    </row>
    <row r="1404" spans="1:14" s="32" customFormat="1" hidden="1" x14ac:dyDescent="0.3">
      <c r="A1404" s="38">
        <v>46212.700752314813</v>
      </c>
      <c r="B1404" s="32" t="s">
        <v>58</v>
      </c>
      <c r="C1404" s="32">
        <v>4532541802</v>
      </c>
      <c r="E1404" s="32">
        <v>656</v>
      </c>
      <c r="F1404" s="32">
        <v>656</v>
      </c>
      <c r="G1404" s="32" t="s">
        <v>44</v>
      </c>
      <c r="H1404" s="32" t="s">
        <v>1472</v>
      </c>
      <c r="I1404" s="32" t="s">
        <v>54</v>
      </c>
      <c r="J1404" s="32" t="s">
        <v>46</v>
      </c>
      <c r="M1404" s="32" t="s">
        <v>60</v>
      </c>
      <c r="N1404" s="32" t="s">
        <v>58</v>
      </c>
    </row>
    <row r="1405" spans="1:14" s="32" customFormat="1" hidden="1" x14ac:dyDescent="0.3">
      <c r="A1405" s="38">
        <v>46212.700300925928</v>
      </c>
      <c r="B1405" s="32">
        <v>4435228300</v>
      </c>
      <c r="C1405" s="32" t="s">
        <v>1352</v>
      </c>
      <c r="D1405" s="32">
        <v>4430265054</v>
      </c>
      <c r="E1405" s="32">
        <v>501</v>
      </c>
      <c r="F1405" s="32">
        <v>464</v>
      </c>
      <c r="G1405" s="32" t="s">
        <v>44</v>
      </c>
      <c r="H1405" s="32" t="s">
        <v>1473</v>
      </c>
      <c r="I1405" s="32" t="s">
        <v>40</v>
      </c>
      <c r="J1405" s="32" t="s">
        <v>46</v>
      </c>
      <c r="K1405" s="32" t="s">
        <v>42</v>
      </c>
      <c r="M1405" s="32" t="s">
        <v>1354</v>
      </c>
      <c r="N1405" s="32" t="s">
        <v>1352</v>
      </c>
    </row>
    <row r="1406" spans="1:14" s="32" customFormat="1" hidden="1" x14ac:dyDescent="0.3">
      <c r="A1406" s="38">
        <v>46212.699247685188</v>
      </c>
      <c r="B1406" s="32" t="s">
        <v>379</v>
      </c>
      <c r="C1406" s="32">
        <v>16991230126</v>
      </c>
      <c r="E1406" s="32">
        <v>8</v>
      </c>
      <c r="F1406" s="32">
        <v>0</v>
      </c>
      <c r="G1406" s="32" t="s">
        <v>63</v>
      </c>
      <c r="H1406" s="32" t="s">
        <v>1474</v>
      </c>
      <c r="I1406" s="32" t="s">
        <v>54</v>
      </c>
      <c r="J1406" s="32" t="s">
        <v>111</v>
      </c>
      <c r="M1406" s="32" t="s">
        <v>381</v>
      </c>
      <c r="N1406" s="32" t="s">
        <v>379</v>
      </c>
    </row>
    <row r="1407" spans="1:14" s="32" customFormat="1" hidden="1" x14ac:dyDescent="0.3">
      <c r="A1407" s="38">
        <v>46212.697789351849</v>
      </c>
      <c r="B1407" s="32">
        <v>44999717086</v>
      </c>
      <c r="C1407" s="32" t="s">
        <v>43</v>
      </c>
      <c r="D1407" s="32">
        <v>4430265054</v>
      </c>
      <c r="E1407" s="32">
        <v>789</v>
      </c>
      <c r="F1407" s="32">
        <v>704</v>
      </c>
      <c r="G1407" s="32" t="s">
        <v>44</v>
      </c>
      <c r="H1407" s="32" t="s">
        <v>1475</v>
      </c>
      <c r="I1407" s="32" t="s">
        <v>40</v>
      </c>
      <c r="J1407" s="32" t="s">
        <v>46</v>
      </c>
      <c r="K1407" s="32" t="s">
        <v>42</v>
      </c>
      <c r="M1407" s="32" t="s">
        <v>47</v>
      </c>
      <c r="N1407" s="32" t="s">
        <v>43</v>
      </c>
    </row>
    <row r="1408" spans="1:14" s="32" customFormat="1" hidden="1" x14ac:dyDescent="0.3">
      <c r="A1408" s="38">
        <v>46212.69635416667</v>
      </c>
      <c r="B1408" s="32">
        <v>44988605867</v>
      </c>
      <c r="C1408" s="32" t="s">
        <v>1038</v>
      </c>
      <c r="D1408" s="32">
        <v>4430265054</v>
      </c>
      <c r="E1408" s="32">
        <v>1560</v>
      </c>
      <c r="F1408" s="32">
        <v>1528</v>
      </c>
      <c r="G1408" s="32" t="s">
        <v>44</v>
      </c>
      <c r="H1408" s="32" t="s">
        <v>1476</v>
      </c>
      <c r="I1408" s="32" t="s">
        <v>40</v>
      </c>
      <c r="J1408" s="32" t="s">
        <v>46</v>
      </c>
      <c r="K1408" s="32" t="s">
        <v>42</v>
      </c>
      <c r="M1408" s="32" t="s">
        <v>1040</v>
      </c>
      <c r="N1408" s="32" t="s">
        <v>1038</v>
      </c>
    </row>
    <row r="1409" spans="1:14" s="32" customFormat="1" hidden="1" x14ac:dyDescent="0.3">
      <c r="A1409" s="38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38</v>
      </c>
      <c r="H1409" s="32" t="s">
        <v>1477</v>
      </c>
      <c r="I1409" s="32" t="s">
        <v>40</v>
      </c>
      <c r="J1409" s="32" t="s">
        <v>41</v>
      </c>
    </row>
    <row r="1410" spans="1:14" s="32" customFormat="1" hidden="1" x14ac:dyDescent="0.3">
      <c r="A1410" s="38">
        <v>46212.693599537037</v>
      </c>
      <c r="B1410" s="32">
        <v>4334226481</v>
      </c>
      <c r="C1410" s="32" t="s">
        <v>43</v>
      </c>
      <c r="D1410" s="32">
        <v>4430265054</v>
      </c>
      <c r="E1410" s="32">
        <v>375</v>
      </c>
      <c r="F1410" s="32">
        <v>298</v>
      </c>
      <c r="G1410" s="32" t="s">
        <v>44</v>
      </c>
      <c r="H1410" s="32" t="s">
        <v>1478</v>
      </c>
      <c r="I1410" s="32" t="s">
        <v>40</v>
      </c>
      <c r="J1410" s="32" t="s">
        <v>46</v>
      </c>
      <c r="K1410" s="32" t="s">
        <v>42</v>
      </c>
      <c r="M1410" s="32" t="s">
        <v>47</v>
      </c>
      <c r="N1410" s="32" t="s">
        <v>43</v>
      </c>
    </row>
    <row r="1411" spans="1:14" s="32" customFormat="1" hidden="1" x14ac:dyDescent="0.3">
      <c r="A1411" s="38">
        <v>46212.692777777775</v>
      </c>
      <c r="B1411" s="32">
        <v>44988067937</v>
      </c>
      <c r="C1411" s="32" t="s">
        <v>1352</v>
      </c>
      <c r="D1411" s="32">
        <v>4430265054</v>
      </c>
      <c r="E1411" s="32">
        <v>253</v>
      </c>
      <c r="F1411" s="32">
        <v>156</v>
      </c>
      <c r="G1411" s="32" t="s">
        <v>44</v>
      </c>
      <c r="H1411" s="32" t="s">
        <v>1479</v>
      </c>
      <c r="I1411" s="32" t="s">
        <v>40</v>
      </c>
      <c r="J1411" s="32" t="s">
        <v>46</v>
      </c>
      <c r="K1411" s="32" t="s">
        <v>42</v>
      </c>
      <c r="M1411" s="32" t="s">
        <v>1354</v>
      </c>
      <c r="N1411" s="32" t="s">
        <v>1352</v>
      </c>
    </row>
    <row r="1412" spans="1:14" s="32" customFormat="1" hidden="1" x14ac:dyDescent="0.3">
      <c r="A1412" s="38">
        <v>46212.689675925925</v>
      </c>
      <c r="B1412" s="32">
        <v>44997456641</v>
      </c>
      <c r="C1412" s="32" t="s">
        <v>1038</v>
      </c>
      <c r="D1412" s="32">
        <v>4430265054</v>
      </c>
      <c r="E1412" s="32">
        <v>516</v>
      </c>
      <c r="F1412" s="32">
        <v>421</v>
      </c>
      <c r="G1412" s="32" t="s">
        <v>44</v>
      </c>
      <c r="H1412" s="32" t="s">
        <v>1480</v>
      </c>
      <c r="I1412" s="32" t="s">
        <v>40</v>
      </c>
      <c r="J1412" s="32" t="s">
        <v>46</v>
      </c>
      <c r="K1412" s="32" t="s">
        <v>42</v>
      </c>
      <c r="L1412" s="32">
        <v>5</v>
      </c>
      <c r="M1412" s="32" t="s">
        <v>1040</v>
      </c>
      <c r="N1412" s="32" t="s">
        <v>1038</v>
      </c>
    </row>
    <row r="1413" spans="1:14" s="32" customFormat="1" hidden="1" x14ac:dyDescent="0.3">
      <c r="A1413" s="38">
        <v>46212.687928240739</v>
      </c>
      <c r="B1413" s="32">
        <v>4130775695</v>
      </c>
      <c r="C1413" s="32" t="s">
        <v>58</v>
      </c>
      <c r="D1413" s="32">
        <v>4430265054</v>
      </c>
      <c r="E1413" s="32">
        <v>545</v>
      </c>
      <c r="F1413" s="32">
        <v>506</v>
      </c>
      <c r="G1413" s="32" t="s">
        <v>44</v>
      </c>
      <c r="H1413" s="32" t="s">
        <v>1481</v>
      </c>
      <c r="I1413" s="32" t="s">
        <v>40</v>
      </c>
      <c r="J1413" s="32" t="s">
        <v>46</v>
      </c>
      <c r="K1413" s="32" t="s">
        <v>42</v>
      </c>
      <c r="L1413" s="32">
        <v>5</v>
      </c>
      <c r="M1413" s="32" t="s">
        <v>60</v>
      </c>
      <c r="N1413" s="32" t="s">
        <v>58</v>
      </c>
    </row>
    <row r="1414" spans="1:14" s="32" customFormat="1" hidden="1" x14ac:dyDescent="0.3">
      <c r="A1414" s="38">
        <v>46212.687835648147</v>
      </c>
      <c r="B1414" s="32">
        <v>4430141533</v>
      </c>
      <c r="C1414" s="32" t="s">
        <v>43</v>
      </c>
      <c r="D1414" s="32">
        <v>4430265054</v>
      </c>
      <c r="E1414" s="32">
        <v>191</v>
      </c>
      <c r="F1414" s="32">
        <v>102</v>
      </c>
      <c r="G1414" s="32" t="s">
        <v>44</v>
      </c>
      <c r="H1414" s="32" t="s">
        <v>1482</v>
      </c>
      <c r="I1414" s="32" t="s">
        <v>40</v>
      </c>
      <c r="J1414" s="32" t="s">
        <v>46</v>
      </c>
      <c r="K1414" s="32" t="s">
        <v>42</v>
      </c>
      <c r="M1414" s="32" t="s">
        <v>47</v>
      </c>
      <c r="N1414" s="32" t="s">
        <v>43</v>
      </c>
    </row>
    <row r="1415" spans="1:14" s="32" customFormat="1" hidden="1" x14ac:dyDescent="0.3">
      <c r="A1415" s="38">
        <v>46212.687754629631</v>
      </c>
      <c r="B1415" s="32" t="s">
        <v>109</v>
      </c>
      <c r="C1415" s="32">
        <v>81994429005</v>
      </c>
      <c r="E1415" s="32">
        <v>7</v>
      </c>
      <c r="F1415" s="32">
        <v>3</v>
      </c>
      <c r="G1415" s="32" t="s">
        <v>44</v>
      </c>
      <c r="H1415" s="32" t="s">
        <v>1483</v>
      </c>
      <c r="I1415" s="32" t="s">
        <v>54</v>
      </c>
      <c r="J1415" s="32" t="s">
        <v>111</v>
      </c>
      <c r="M1415" s="32" t="s">
        <v>112</v>
      </c>
      <c r="N1415" s="32" t="s">
        <v>109</v>
      </c>
    </row>
    <row r="1416" spans="1:14" s="32" customFormat="1" hidden="1" x14ac:dyDescent="0.3">
      <c r="A1416" s="38">
        <v>46212.686122685183</v>
      </c>
      <c r="B1416" s="32" t="s">
        <v>109</v>
      </c>
      <c r="C1416" s="32">
        <v>1139005005</v>
      </c>
      <c r="E1416" s="32">
        <v>42</v>
      </c>
      <c r="F1416" s="32">
        <v>40</v>
      </c>
      <c r="G1416" s="32" t="s">
        <v>44</v>
      </c>
      <c r="H1416" s="32" t="s">
        <v>1484</v>
      </c>
      <c r="I1416" s="32" t="s">
        <v>54</v>
      </c>
      <c r="J1416" s="32" t="s">
        <v>111</v>
      </c>
      <c r="M1416" s="32" t="s">
        <v>112</v>
      </c>
      <c r="N1416" s="32" t="s">
        <v>109</v>
      </c>
    </row>
    <row r="1417" spans="1:14" s="32" customFormat="1" hidden="1" x14ac:dyDescent="0.3">
      <c r="A1417" s="38">
        <v>46212.685034722221</v>
      </c>
      <c r="B1417" s="32" t="s">
        <v>109</v>
      </c>
      <c r="C1417" s="32">
        <v>17991921641</v>
      </c>
      <c r="E1417" s="32">
        <v>14</v>
      </c>
      <c r="F1417" s="32">
        <v>0</v>
      </c>
      <c r="G1417" s="32" t="s">
        <v>63</v>
      </c>
      <c r="H1417" s="32" t="s">
        <v>1485</v>
      </c>
      <c r="I1417" s="32" t="s">
        <v>54</v>
      </c>
      <c r="J1417" s="32" t="s">
        <v>111</v>
      </c>
      <c r="M1417" s="32" t="s">
        <v>112</v>
      </c>
      <c r="N1417" s="32" t="s">
        <v>109</v>
      </c>
    </row>
    <row r="1418" spans="1:14" s="32" customFormat="1" hidden="1" x14ac:dyDescent="0.3">
      <c r="A1418" s="38">
        <v>46212.683842592596</v>
      </c>
      <c r="B1418" s="32" t="s">
        <v>109</v>
      </c>
      <c r="C1418" s="32">
        <v>51991687254</v>
      </c>
      <c r="E1418" s="32">
        <v>6</v>
      </c>
      <c r="F1418" s="32">
        <v>0</v>
      </c>
      <c r="G1418" s="32" t="s">
        <v>63</v>
      </c>
      <c r="H1418" s="32" t="s">
        <v>1486</v>
      </c>
      <c r="I1418" s="32" t="s">
        <v>54</v>
      </c>
      <c r="J1418" s="32" t="s">
        <v>111</v>
      </c>
      <c r="M1418" s="32" t="s">
        <v>112</v>
      </c>
      <c r="N1418" s="32" t="s">
        <v>109</v>
      </c>
    </row>
    <row r="1419" spans="1:14" s="32" customFormat="1" hidden="1" x14ac:dyDescent="0.3">
      <c r="A1419" s="38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38</v>
      </c>
      <c r="H1419" s="32" t="s">
        <v>1487</v>
      </c>
      <c r="I1419" s="32" t="s">
        <v>40</v>
      </c>
      <c r="J1419" s="32" t="s">
        <v>41</v>
      </c>
      <c r="K1419" s="32" t="s">
        <v>42</v>
      </c>
    </row>
    <row r="1420" spans="1:14" s="32" customFormat="1" hidden="1" x14ac:dyDescent="0.3">
      <c r="A1420" s="38">
        <v>46212.680509259262</v>
      </c>
      <c r="B1420" s="32" t="s">
        <v>109</v>
      </c>
      <c r="C1420" s="32">
        <v>1132280751</v>
      </c>
      <c r="E1420" s="32">
        <v>3</v>
      </c>
      <c r="F1420" s="32">
        <v>0</v>
      </c>
      <c r="G1420" s="32" t="s">
        <v>63</v>
      </c>
      <c r="H1420" s="32" t="s">
        <v>1488</v>
      </c>
      <c r="I1420" s="32" t="s">
        <v>54</v>
      </c>
      <c r="J1420" s="32" t="s">
        <v>111</v>
      </c>
      <c r="M1420" s="32" t="s">
        <v>112</v>
      </c>
      <c r="N1420" s="32" t="s">
        <v>109</v>
      </c>
    </row>
    <row r="1421" spans="1:14" s="32" customFormat="1" hidden="1" x14ac:dyDescent="0.3">
      <c r="A1421" s="38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38</v>
      </c>
      <c r="H1421" s="32" t="s">
        <v>1489</v>
      </c>
      <c r="I1421" s="32" t="s">
        <v>40</v>
      </c>
      <c r="J1421" s="32" t="s">
        <v>41</v>
      </c>
    </row>
    <row r="1422" spans="1:14" s="32" customFormat="1" hidden="1" x14ac:dyDescent="0.3">
      <c r="A1422" s="38">
        <v>46212.672083333331</v>
      </c>
      <c r="B1422" s="32" t="s">
        <v>109</v>
      </c>
      <c r="C1422" s="32">
        <v>13997818760</v>
      </c>
      <c r="E1422" s="32">
        <v>19</v>
      </c>
      <c r="F1422" s="32">
        <v>3</v>
      </c>
      <c r="G1422" s="32" t="s">
        <v>44</v>
      </c>
      <c r="H1422" s="32" t="s">
        <v>1490</v>
      </c>
      <c r="I1422" s="32" t="s">
        <v>54</v>
      </c>
      <c r="J1422" s="32" t="s">
        <v>111</v>
      </c>
      <c r="M1422" s="32" t="s">
        <v>112</v>
      </c>
      <c r="N1422" s="32" t="s">
        <v>109</v>
      </c>
    </row>
    <row r="1423" spans="1:14" s="32" customFormat="1" hidden="1" x14ac:dyDescent="0.3">
      <c r="A1423" s="38">
        <v>46212.671099537038</v>
      </c>
      <c r="B1423" s="32" t="s">
        <v>109</v>
      </c>
      <c r="C1423" s="32">
        <v>6239262600</v>
      </c>
      <c r="E1423" s="32">
        <v>4</v>
      </c>
      <c r="F1423" s="32">
        <v>0</v>
      </c>
      <c r="G1423" s="32" t="s">
        <v>63</v>
      </c>
      <c r="H1423" s="32" t="s">
        <v>1491</v>
      </c>
      <c r="I1423" s="32" t="s">
        <v>54</v>
      </c>
      <c r="J1423" s="32" t="s">
        <v>111</v>
      </c>
      <c r="M1423" s="32" t="s">
        <v>112</v>
      </c>
      <c r="N1423" s="32" t="s">
        <v>109</v>
      </c>
    </row>
    <row r="1424" spans="1:14" s="32" customFormat="1" hidden="1" x14ac:dyDescent="0.3">
      <c r="A1424" s="38">
        <v>46212.66914351852</v>
      </c>
      <c r="B1424" s="32" t="s">
        <v>109</v>
      </c>
      <c r="C1424" s="32">
        <v>17981178040</v>
      </c>
      <c r="E1424" s="32">
        <v>31</v>
      </c>
      <c r="F1424" s="32">
        <v>4</v>
      </c>
      <c r="G1424" s="32" t="s">
        <v>44</v>
      </c>
      <c r="H1424" s="32" t="s">
        <v>1492</v>
      </c>
      <c r="I1424" s="32" t="s">
        <v>54</v>
      </c>
      <c r="J1424" s="32" t="s">
        <v>111</v>
      </c>
      <c r="M1424" s="32" t="s">
        <v>112</v>
      </c>
      <c r="N1424" s="32" t="s">
        <v>109</v>
      </c>
    </row>
    <row r="1425" spans="1:14" s="32" customFormat="1" hidden="1" x14ac:dyDescent="0.3">
      <c r="A1425" s="38">
        <v>46212.667893518519</v>
      </c>
      <c r="B1425" s="32" t="s">
        <v>109</v>
      </c>
      <c r="C1425" s="32">
        <v>21983066124</v>
      </c>
      <c r="E1425" s="32">
        <v>25</v>
      </c>
      <c r="F1425" s="32">
        <v>0</v>
      </c>
      <c r="G1425" s="32" t="s">
        <v>63</v>
      </c>
      <c r="H1425" s="32" t="s">
        <v>1493</v>
      </c>
      <c r="I1425" s="32" t="s">
        <v>54</v>
      </c>
      <c r="J1425" s="32" t="s">
        <v>111</v>
      </c>
      <c r="M1425" s="32" t="s">
        <v>112</v>
      </c>
      <c r="N1425" s="32" t="s">
        <v>109</v>
      </c>
    </row>
    <row r="1426" spans="1:14" s="32" customFormat="1" hidden="1" x14ac:dyDescent="0.3">
      <c r="A1426" s="38">
        <v>46212.660601851851</v>
      </c>
      <c r="B1426" s="32">
        <v>44997456641</v>
      </c>
      <c r="C1426" s="32" t="s">
        <v>1038</v>
      </c>
      <c r="D1426" s="32">
        <v>4430265054</v>
      </c>
      <c r="E1426" s="32">
        <v>559</v>
      </c>
      <c r="F1426" s="32">
        <v>458</v>
      </c>
      <c r="G1426" s="32" t="s">
        <v>44</v>
      </c>
      <c r="H1426" s="32" t="s">
        <v>1494</v>
      </c>
      <c r="I1426" s="32" t="s">
        <v>40</v>
      </c>
      <c r="J1426" s="32" t="s">
        <v>46</v>
      </c>
      <c r="K1426" s="32" t="s">
        <v>42</v>
      </c>
      <c r="L1426" s="32">
        <v>5</v>
      </c>
      <c r="M1426" s="32" t="s">
        <v>1040</v>
      </c>
      <c r="N1426" s="32" t="s">
        <v>1038</v>
      </c>
    </row>
    <row r="1427" spans="1:14" s="32" customFormat="1" hidden="1" x14ac:dyDescent="0.3">
      <c r="A1427" s="38">
        <v>46212.660312499997</v>
      </c>
      <c r="B1427" s="32" t="s">
        <v>58</v>
      </c>
      <c r="C1427" s="32">
        <v>4434212150</v>
      </c>
      <c r="E1427" s="32">
        <v>319</v>
      </c>
      <c r="F1427" s="32">
        <v>313</v>
      </c>
      <c r="G1427" s="32" t="s">
        <v>44</v>
      </c>
      <c r="H1427" s="32" t="s">
        <v>1495</v>
      </c>
      <c r="I1427" s="32" t="s">
        <v>54</v>
      </c>
      <c r="J1427" s="32" t="s">
        <v>46</v>
      </c>
      <c r="M1427" s="32" t="s">
        <v>60</v>
      </c>
      <c r="N1427" s="32" t="s">
        <v>58</v>
      </c>
    </row>
    <row r="1428" spans="1:14" s="32" customFormat="1" hidden="1" x14ac:dyDescent="0.3">
      <c r="A1428" s="38">
        <v>46212.658553240741</v>
      </c>
      <c r="B1428" s="32">
        <v>41997840159</v>
      </c>
      <c r="C1428" s="32" t="s">
        <v>1352</v>
      </c>
      <c r="D1428" s="32">
        <v>4431268225</v>
      </c>
      <c r="E1428" s="32">
        <v>1044</v>
      </c>
      <c r="F1428" s="32">
        <v>956</v>
      </c>
      <c r="G1428" s="32" t="s">
        <v>44</v>
      </c>
      <c r="H1428" s="32" t="s">
        <v>1496</v>
      </c>
      <c r="I1428" s="32" t="s">
        <v>40</v>
      </c>
      <c r="J1428" s="32" t="s">
        <v>46</v>
      </c>
      <c r="K1428" s="32" t="s">
        <v>42</v>
      </c>
      <c r="L1428" s="32">
        <v>5</v>
      </c>
      <c r="M1428" s="32" t="s">
        <v>1354</v>
      </c>
      <c r="N1428" s="32" t="s">
        <v>1352</v>
      </c>
    </row>
    <row r="1429" spans="1:14" s="32" customFormat="1" hidden="1" x14ac:dyDescent="0.3">
      <c r="A1429" s="38">
        <v>46212.657372685186</v>
      </c>
      <c r="B1429" s="32" t="s">
        <v>109</v>
      </c>
      <c r="C1429" s="32">
        <v>2124313163</v>
      </c>
      <c r="E1429" s="32">
        <v>33</v>
      </c>
      <c r="F1429" s="32">
        <v>32</v>
      </c>
      <c r="G1429" s="32" t="s">
        <v>44</v>
      </c>
      <c r="H1429" s="32" t="s">
        <v>1497</v>
      </c>
      <c r="I1429" s="32" t="s">
        <v>54</v>
      </c>
      <c r="J1429" s="32" t="s">
        <v>111</v>
      </c>
      <c r="M1429" s="32" t="s">
        <v>112</v>
      </c>
      <c r="N1429" s="32" t="s">
        <v>109</v>
      </c>
    </row>
    <row r="1430" spans="1:14" s="32" customFormat="1" hidden="1" x14ac:dyDescent="0.3">
      <c r="A1430" s="38">
        <v>46212.655081018522</v>
      </c>
      <c r="B1430" s="32">
        <v>44984241715</v>
      </c>
      <c r="C1430" s="32" t="s">
        <v>58</v>
      </c>
      <c r="D1430" s="32">
        <v>4430265054</v>
      </c>
      <c r="E1430" s="32">
        <v>314</v>
      </c>
      <c r="F1430" s="32">
        <v>313</v>
      </c>
      <c r="G1430" s="32" t="s">
        <v>44</v>
      </c>
      <c r="H1430" s="32" t="s">
        <v>1498</v>
      </c>
      <c r="I1430" s="32" t="s">
        <v>40</v>
      </c>
      <c r="J1430" s="32" t="s">
        <v>46</v>
      </c>
      <c r="K1430" s="32" t="s">
        <v>42</v>
      </c>
      <c r="M1430" s="32" t="s">
        <v>60</v>
      </c>
      <c r="N1430" s="32" t="s">
        <v>58</v>
      </c>
    </row>
    <row r="1431" spans="1:14" s="32" customFormat="1" hidden="1" x14ac:dyDescent="0.3">
      <c r="A1431" s="38">
        <v>46212.645312499997</v>
      </c>
      <c r="B1431" s="32">
        <v>4330332823</v>
      </c>
      <c r="C1431" s="32" t="s">
        <v>1352</v>
      </c>
      <c r="D1431" s="32">
        <v>4430265054</v>
      </c>
      <c r="E1431" s="32">
        <v>845</v>
      </c>
      <c r="F1431" s="32">
        <v>683</v>
      </c>
      <c r="G1431" s="32" t="s">
        <v>44</v>
      </c>
      <c r="H1431" s="32" t="s">
        <v>1499</v>
      </c>
      <c r="I1431" s="32" t="s">
        <v>40</v>
      </c>
      <c r="J1431" s="32" t="s">
        <v>46</v>
      </c>
      <c r="K1431" s="32" t="s">
        <v>42</v>
      </c>
      <c r="M1431" s="32" t="s">
        <v>1354</v>
      </c>
      <c r="N1431" s="32" t="s">
        <v>1352</v>
      </c>
    </row>
    <row r="1432" spans="1:14" s="32" customFormat="1" hidden="1" x14ac:dyDescent="0.3">
      <c r="A1432" s="38">
        <v>46212.643449074072</v>
      </c>
      <c r="B1432" s="32" t="s">
        <v>43</v>
      </c>
      <c r="C1432" s="32">
        <v>6234347959</v>
      </c>
      <c r="E1432" s="32">
        <v>47</v>
      </c>
      <c r="F1432" s="32">
        <v>41</v>
      </c>
      <c r="G1432" s="32" t="s">
        <v>44</v>
      </c>
      <c r="H1432" s="32" t="s">
        <v>1500</v>
      </c>
      <c r="I1432" s="32" t="s">
        <v>54</v>
      </c>
      <c r="J1432" s="32" t="s">
        <v>46</v>
      </c>
      <c r="M1432" s="32" t="s">
        <v>47</v>
      </c>
      <c r="N1432" s="32" t="s">
        <v>43</v>
      </c>
    </row>
    <row r="1433" spans="1:14" s="32" customFormat="1" hidden="1" x14ac:dyDescent="0.3">
      <c r="A1433" s="38">
        <v>46212.636932870373</v>
      </c>
      <c r="B1433" s="32">
        <v>6234347959</v>
      </c>
      <c r="C1433" s="32" t="s">
        <v>43</v>
      </c>
      <c r="D1433" s="32">
        <v>4430265054</v>
      </c>
      <c r="E1433" s="32">
        <v>552</v>
      </c>
      <c r="F1433" s="32">
        <v>514</v>
      </c>
      <c r="G1433" s="32" t="s">
        <v>44</v>
      </c>
      <c r="H1433" s="32" t="s">
        <v>1501</v>
      </c>
      <c r="I1433" s="32" t="s">
        <v>40</v>
      </c>
      <c r="J1433" s="32" t="s">
        <v>46</v>
      </c>
      <c r="K1433" s="32" t="s">
        <v>42</v>
      </c>
      <c r="M1433" s="32" t="s">
        <v>47</v>
      </c>
      <c r="N1433" s="32" t="s">
        <v>43</v>
      </c>
    </row>
    <row r="1434" spans="1:14" s="32" customFormat="1" hidden="1" x14ac:dyDescent="0.3">
      <c r="A1434" s="38">
        <v>46212.634687500002</v>
      </c>
      <c r="B1434" s="32">
        <v>4334234629</v>
      </c>
      <c r="C1434" s="32" t="s">
        <v>1352</v>
      </c>
      <c r="D1434" s="32">
        <v>4430265054</v>
      </c>
      <c r="E1434" s="32">
        <v>309</v>
      </c>
      <c r="F1434" s="32">
        <v>182</v>
      </c>
      <c r="G1434" s="32" t="s">
        <v>44</v>
      </c>
      <c r="H1434" s="32" t="s">
        <v>1502</v>
      </c>
      <c r="I1434" s="32" t="s">
        <v>40</v>
      </c>
      <c r="J1434" s="32" t="s">
        <v>46</v>
      </c>
      <c r="K1434" s="32" t="s">
        <v>42</v>
      </c>
      <c r="M1434" s="32" t="s">
        <v>1354</v>
      </c>
      <c r="N1434" s="32" t="s">
        <v>1352</v>
      </c>
    </row>
    <row r="1435" spans="1:14" s="32" customFormat="1" hidden="1" x14ac:dyDescent="0.3">
      <c r="A1435" s="38">
        <v>46212.626342592594</v>
      </c>
      <c r="B1435" s="32">
        <v>44998107650</v>
      </c>
      <c r="C1435" s="32" t="s">
        <v>43</v>
      </c>
      <c r="D1435" s="32">
        <v>4431268225</v>
      </c>
      <c r="E1435" s="32">
        <v>658</v>
      </c>
      <c r="F1435" s="32">
        <v>592</v>
      </c>
      <c r="G1435" s="32" t="s">
        <v>44</v>
      </c>
      <c r="H1435" s="32" t="s">
        <v>1503</v>
      </c>
      <c r="I1435" s="32" t="s">
        <v>40</v>
      </c>
      <c r="J1435" s="32" t="s">
        <v>46</v>
      </c>
      <c r="K1435" s="32" t="s">
        <v>42</v>
      </c>
      <c r="L1435" s="32">
        <v>5</v>
      </c>
      <c r="M1435" s="32" t="s">
        <v>47</v>
      </c>
      <c r="N1435" s="32" t="s">
        <v>43</v>
      </c>
    </row>
    <row r="1436" spans="1:14" s="32" customFormat="1" hidden="1" x14ac:dyDescent="0.3">
      <c r="A1436" s="38">
        <v>46212.617384259262</v>
      </c>
      <c r="B1436" s="32" t="s">
        <v>43</v>
      </c>
      <c r="C1436" s="32">
        <v>44999195785</v>
      </c>
      <c r="E1436" s="32">
        <v>91</v>
      </c>
      <c r="F1436" s="32">
        <v>84</v>
      </c>
      <c r="G1436" s="32" t="s">
        <v>44</v>
      </c>
      <c r="H1436" s="32" t="s">
        <v>1504</v>
      </c>
      <c r="I1436" s="32" t="s">
        <v>54</v>
      </c>
      <c r="J1436" s="32" t="s">
        <v>46</v>
      </c>
      <c r="M1436" s="32" t="s">
        <v>47</v>
      </c>
      <c r="N1436" s="32" t="s">
        <v>43</v>
      </c>
    </row>
    <row r="1437" spans="1:14" s="32" customFormat="1" hidden="1" x14ac:dyDescent="0.3">
      <c r="A1437" s="38">
        <v>46212.608136574076</v>
      </c>
      <c r="B1437" s="32">
        <v>44999195785</v>
      </c>
      <c r="C1437" s="32" t="s">
        <v>43</v>
      </c>
      <c r="D1437" s="32">
        <v>4430265054</v>
      </c>
      <c r="E1437" s="32">
        <v>309</v>
      </c>
      <c r="F1437" s="32">
        <v>248</v>
      </c>
      <c r="G1437" s="32" t="s">
        <v>44</v>
      </c>
      <c r="H1437" s="32" t="s">
        <v>1505</v>
      </c>
      <c r="I1437" s="32" t="s">
        <v>40</v>
      </c>
      <c r="J1437" s="32" t="s">
        <v>46</v>
      </c>
      <c r="K1437" s="32" t="s">
        <v>42</v>
      </c>
      <c r="M1437" s="32" t="s">
        <v>47</v>
      </c>
      <c r="N1437" s="32" t="s">
        <v>43</v>
      </c>
    </row>
    <row r="1438" spans="1:14" s="32" customFormat="1" hidden="1" x14ac:dyDescent="0.3">
      <c r="A1438" s="38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38</v>
      </c>
      <c r="H1438" s="32" t="s">
        <v>1506</v>
      </c>
      <c r="I1438" s="32" t="s">
        <v>40</v>
      </c>
      <c r="J1438" s="32" t="s">
        <v>41</v>
      </c>
    </row>
    <row r="1439" spans="1:14" s="32" customFormat="1" hidden="1" x14ac:dyDescent="0.3">
      <c r="A1439" s="38">
        <v>46212.607453703706</v>
      </c>
      <c r="B1439" s="32">
        <v>4430468252</v>
      </c>
      <c r="C1439" s="32" t="s">
        <v>1038</v>
      </c>
      <c r="D1439" s="32">
        <v>4430265054</v>
      </c>
      <c r="E1439" s="32">
        <v>775</v>
      </c>
      <c r="F1439" s="32">
        <v>674</v>
      </c>
      <c r="G1439" s="32" t="s">
        <v>44</v>
      </c>
      <c r="H1439" s="32" t="s">
        <v>1507</v>
      </c>
      <c r="I1439" s="32" t="s">
        <v>40</v>
      </c>
      <c r="J1439" s="32" t="s">
        <v>46</v>
      </c>
      <c r="K1439" s="32" t="s">
        <v>42</v>
      </c>
      <c r="L1439" s="32">
        <v>5</v>
      </c>
      <c r="M1439" s="32" t="s">
        <v>1040</v>
      </c>
      <c r="N1439" s="32" t="s">
        <v>1038</v>
      </c>
    </row>
    <row r="1440" spans="1:14" s="32" customFormat="1" hidden="1" x14ac:dyDescent="0.3">
      <c r="A1440" s="38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38</v>
      </c>
      <c r="H1440" s="32" t="s">
        <v>1508</v>
      </c>
      <c r="I1440" s="32" t="s">
        <v>40</v>
      </c>
      <c r="J1440" s="32" t="s">
        <v>41</v>
      </c>
    </row>
    <row r="1441" spans="1:14" s="32" customFormat="1" hidden="1" x14ac:dyDescent="0.3">
      <c r="A1441" s="38">
        <v>46212.594525462962</v>
      </c>
      <c r="B1441" s="32">
        <v>4430291622</v>
      </c>
      <c r="C1441" s="32" t="s">
        <v>1352</v>
      </c>
      <c r="D1441" s="32">
        <v>4430265054</v>
      </c>
      <c r="E1441" s="32">
        <v>502</v>
      </c>
      <c r="F1441" s="32">
        <v>414</v>
      </c>
      <c r="G1441" s="32" t="s">
        <v>44</v>
      </c>
      <c r="H1441" s="32" t="s">
        <v>1509</v>
      </c>
      <c r="I1441" s="32" t="s">
        <v>40</v>
      </c>
      <c r="J1441" s="32" t="s">
        <v>46</v>
      </c>
      <c r="K1441" s="32" t="s">
        <v>42</v>
      </c>
      <c r="M1441" s="32" t="s">
        <v>1354</v>
      </c>
      <c r="N1441" s="32" t="s">
        <v>1352</v>
      </c>
    </row>
    <row r="1442" spans="1:14" s="32" customFormat="1" hidden="1" x14ac:dyDescent="0.3">
      <c r="A1442" s="38">
        <v>46212.591157407405</v>
      </c>
      <c r="B1442" s="32">
        <v>4532541802</v>
      </c>
      <c r="C1442" s="32" t="s">
        <v>43</v>
      </c>
      <c r="D1442" s="32">
        <v>4430265054</v>
      </c>
      <c r="E1442" s="32">
        <v>626</v>
      </c>
      <c r="F1442" s="32">
        <v>519</v>
      </c>
      <c r="G1442" s="32" t="s">
        <v>44</v>
      </c>
      <c r="H1442" s="32" t="s">
        <v>1510</v>
      </c>
      <c r="I1442" s="32" t="s">
        <v>40</v>
      </c>
      <c r="J1442" s="32" t="s">
        <v>46</v>
      </c>
      <c r="K1442" s="32" t="s">
        <v>42</v>
      </c>
      <c r="M1442" s="32" t="s">
        <v>47</v>
      </c>
      <c r="N1442" s="32" t="s">
        <v>43</v>
      </c>
    </row>
    <row r="1443" spans="1:14" s="32" customFormat="1" hidden="1" x14ac:dyDescent="0.3">
      <c r="A1443" s="38">
        <v>46212.584351851852</v>
      </c>
      <c r="B1443" s="32">
        <v>4130760170</v>
      </c>
      <c r="C1443" s="32" t="s">
        <v>43</v>
      </c>
      <c r="D1443" s="32">
        <v>4430265054</v>
      </c>
      <c r="E1443" s="32">
        <v>295</v>
      </c>
      <c r="F1443" s="32">
        <v>150</v>
      </c>
      <c r="G1443" s="32" t="s">
        <v>44</v>
      </c>
      <c r="H1443" s="32" t="s">
        <v>1511</v>
      </c>
      <c r="I1443" s="32" t="s">
        <v>40</v>
      </c>
      <c r="J1443" s="32" t="s">
        <v>46</v>
      </c>
      <c r="K1443" s="32" t="s">
        <v>42</v>
      </c>
      <c r="M1443" s="32" t="s">
        <v>47</v>
      </c>
      <c r="N1443" s="32" t="s">
        <v>43</v>
      </c>
    </row>
    <row r="1444" spans="1:14" s="32" customFormat="1" hidden="1" x14ac:dyDescent="0.3">
      <c r="A1444" s="38">
        <v>46212.578819444447</v>
      </c>
      <c r="B1444" s="32">
        <v>44997456641</v>
      </c>
      <c r="C1444" s="32" t="s">
        <v>1038</v>
      </c>
      <c r="D1444" s="32">
        <v>4430265054</v>
      </c>
      <c r="E1444" s="32">
        <v>126</v>
      </c>
      <c r="F1444" s="32">
        <v>105</v>
      </c>
      <c r="G1444" s="32" t="s">
        <v>44</v>
      </c>
      <c r="H1444" s="32" t="s">
        <v>1512</v>
      </c>
      <c r="I1444" s="32" t="s">
        <v>40</v>
      </c>
      <c r="J1444" s="32" t="s">
        <v>46</v>
      </c>
      <c r="K1444" s="32" t="s">
        <v>42</v>
      </c>
      <c r="L1444" s="32">
        <v>5</v>
      </c>
      <c r="M1444" s="32" t="s">
        <v>1040</v>
      </c>
      <c r="N1444" s="32" t="s">
        <v>1038</v>
      </c>
    </row>
    <row r="1445" spans="1:14" s="32" customFormat="1" hidden="1" x14ac:dyDescent="0.3">
      <c r="A1445" s="38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38</v>
      </c>
      <c r="H1445" s="32" t="s">
        <v>1513</v>
      </c>
      <c r="I1445" s="32" t="s">
        <v>40</v>
      </c>
      <c r="J1445" s="32" t="s">
        <v>41</v>
      </c>
    </row>
    <row r="1446" spans="1:14" s="32" customFormat="1" hidden="1" x14ac:dyDescent="0.3">
      <c r="A1446" s="38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38</v>
      </c>
      <c r="H1446" s="32" t="s">
        <v>1514</v>
      </c>
      <c r="I1446" s="32" t="s">
        <v>40</v>
      </c>
      <c r="J1446" s="32" t="s">
        <v>41</v>
      </c>
    </row>
    <row r="1447" spans="1:14" s="32" customFormat="1" hidden="1" x14ac:dyDescent="0.3">
      <c r="A1447" s="38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38</v>
      </c>
      <c r="H1447" s="32" t="s">
        <v>1515</v>
      </c>
      <c r="I1447" s="32" t="s">
        <v>40</v>
      </c>
      <c r="J1447" s="32" t="s">
        <v>41</v>
      </c>
    </row>
    <row r="1448" spans="1:14" s="32" customFormat="1" hidden="1" x14ac:dyDescent="0.3">
      <c r="A1448" s="38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38</v>
      </c>
      <c r="H1448" s="32" t="s">
        <v>1516</v>
      </c>
      <c r="I1448" s="32" t="s">
        <v>40</v>
      </c>
      <c r="J1448" s="32" t="s">
        <v>41</v>
      </c>
    </row>
    <row r="1449" spans="1:14" s="32" customFormat="1" hidden="1" x14ac:dyDescent="0.3">
      <c r="A1449" s="38">
        <v>46212.478842592594</v>
      </c>
      <c r="B1449" s="32">
        <v>4432541200</v>
      </c>
      <c r="C1449" s="32" t="s">
        <v>1038</v>
      </c>
      <c r="D1449" s="32">
        <v>4430265054</v>
      </c>
      <c r="E1449" s="32">
        <v>189</v>
      </c>
      <c r="F1449" s="32">
        <v>105</v>
      </c>
      <c r="G1449" s="32" t="s">
        <v>44</v>
      </c>
      <c r="H1449" s="32" t="s">
        <v>1517</v>
      </c>
      <c r="I1449" s="32" t="s">
        <v>40</v>
      </c>
      <c r="J1449" s="32" t="s">
        <v>46</v>
      </c>
      <c r="K1449" s="32" t="s">
        <v>42</v>
      </c>
      <c r="L1449" s="32">
        <v>5</v>
      </c>
      <c r="M1449" s="32" t="s">
        <v>1040</v>
      </c>
      <c r="N1449" s="32" t="s">
        <v>1038</v>
      </c>
    </row>
    <row r="1450" spans="1:14" s="32" customFormat="1" hidden="1" x14ac:dyDescent="0.3">
      <c r="A1450" s="38">
        <v>46212.467673611114</v>
      </c>
      <c r="B1450" s="32">
        <v>44999976008</v>
      </c>
      <c r="C1450" s="32" t="s">
        <v>1038</v>
      </c>
      <c r="D1450" s="32">
        <v>4430265054</v>
      </c>
      <c r="E1450" s="32">
        <v>256</v>
      </c>
      <c r="F1450" s="32">
        <v>199</v>
      </c>
      <c r="G1450" s="32" t="s">
        <v>44</v>
      </c>
      <c r="H1450" s="32" t="s">
        <v>1518</v>
      </c>
      <c r="I1450" s="32" t="s">
        <v>40</v>
      </c>
      <c r="J1450" s="32" t="s">
        <v>46</v>
      </c>
      <c r="K1450" s="32" t="s">
        <v>42</v>
      </c>
      <c r="M1450" s="32" t="s">
        <v>1040</v>
      </c>
      <c r="N1450" s="32" t="s">
        <v>1038</v>
      </c>
    </row>
    <row r="1451" spans="1:14" s="32" customFormat="1" hidden="1" x14ac:dyDescent="0.3">
      <c r="A1451" s="38">
        <v>46212.453483796293</v>
      </c>
      <c r="B1451" s="32" t="s">
        <v>109</v>
      </c>
      <c r="C1451" s="32">
        <v>69992321100</v>
      </c>
      <c r="E1451" s="32">
        <v>7</v>
      </c>
      <c r="F1451" s="32">
        <v>0</v>
      </c>
      <c r="G1451" s="32" t="s">
        <v>63</v>
      </c>
      <c r="H1451" s="32" t="s">
        <v>1519</v>
      </c>
      <c r="I1451" s="32" t="s">
        <v>54</v>
      </c>
      <c r="J1451" s="32" t="s">
        <v>111</v>
      </c>
      <c r="M1451" s="32" t="s">
        <v>112</v>
      </c>
      <c r="N1451" s="32" t="s">
        <v>109</v>
      </c>
    </row>
    <row r="1452" spans="1:14" s="32" customFormat="1" hidden="1" x14ac:dyDescent="0.3">
      <c r="A1452" s="38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38</v>
      </c>
      <c r="H1452" s="32" t="s">
        <v>1520</v>
      </c>
      <c r="I1452" s="32" t="s">
        <v>40</v>
      </c>
      <c r="J1452" s="32" t="s">
        <v>41</v>
      </c>
      <c r="K1452" s="32" t="s">
        <v>42</v>
      </c>
    </row>
    <row r="1453" spans="1:14" s="32" customFormat="1" hidden="1" x14ac:dyDescent="0.3">
      <c r="A1453" s="38">
        <v>46212.441157407404</v>
      </c>
      <c r="B1453" s="32">
        <v>44991396687</v>
      </c>
      <c r="C1453" s="32" t="s">
        <v>43</v>
      </c>
      <c r="D1453" s="32">
        <v>4430265054</v>
      </c>
      <c r="E1453" s="32">
        <v>306</v>
      </c>
      <c r="F1453" s="32">
        <v>260</v>
      </c>
      <c r="G1453" s="32" t="s">
        <v>44</v>
      </c>
      <c r="H1453" s="32" t="s">
        <v>1521</v>
      </c>
      <c r="I1453" s="32" t="s">
        <v>40</v>
      </c>
      <c r="J1453" s="32" t="s">
        <v>46</v>
      </c>
      <c r="K1453" s="32" t="s">
        <v>42</v>
      </c>
      <c r="L1453" s="32">
        <v>5</v>
      </c>
      <c r="M1453" s="32" t="s">
        <v>47</v>
      </c>
      <c r="N1453" s="32" t="s">
        <v>43</v>
      </c>
    </row>
    <row r="1454" spans="1:14" s="32" customFormat="1" hidden="1" x14ac:dyDescent="0.3">
      <c r="A1454" s="38">
        <v>46212.437025462961</v>
      </c>
      <c r="B1454" s="32">
        <v>99984754234</v>
      </c>
      <c r="C1454" s="32" t="s">
        <v>1038</v>
      </c>
      <c r="D1454" s="32">
        <v>4430265054</v>
      </c>
      <c r="E1454" s="32">
        <v>854</v>
      </c>
      <c r="F1454" s="32">
        <v>753</v>
      </c>
      <c r="G1454" s="32" t="s">
        <v>44</v>
      </c>
      <c r="H1454" s="32" t="s">
        <v>1522</v>
      </c>
      <c r="I1454" s="32" t="s">
        <v>40</v>
      </c>
      <c r="J1454" s="32" t="s">
        <v>46</v>
      </c>
      <c r="K1454" s="32" t="s">
        <v>42</v>
      </c>
      <c r="L1454" s="32">
        <v>5</v>
      </c>
      <c r="M1454" s="32" t="s">
        <v>1040</v>
      </c>
      <c r="N1454" s="32" t="s">
        <v>1038</v>
      </c>
    </row>
    <row r="1455" spans="1:14" s="32" customFormat="1" hidden="1" x14ac:dyDescent="0.3">
      <c r="A1455" s="38">
        <v>46212.433738425927</v>
      </c>
      <c r="B1455" s="32">
        <v>44991396687</v>
      </c>
      <c r="C1455" s="32" t="s">
        <v>43</v>
      </c>
      <c r="D1455" s="32">
        <v>4430265054</v>
      </c>
      <c r="E1455" s="32">
        <v>490</v>
      </c>
      <c r="F1455" s="32">
        <v>450</v>
      </c>
      <c r="G1455" s="32" t="s">
        <v>44</v>
      </c>
      <c r="H1455" s="32" t="s">
        <v>1523</v>
      </c>
      <c r="I1455" s="32" t="s">
        <v>40</v>
      </c>
      <c r="J1455" s="32" t="s">
        <v>46</v>
      </c>
      <c r="K1455" s="32" t="s">
        <v>42</v>
      </c>
      <c r="L1455" s="32">
        <v>5</v>
      </c>
      <c r="M1455" s="32" t="s">
        <v>47</v>
      </c>
      <c r="N1455" s="32" t="s">
        <v>43</v>
      </c>
    </row>
    <row r="1456" spans="1:14" s="32" customFormat="1" hidden="1" x14ac:dyDescent="0.3">
      <c r="A1456" s="38">
        <v>46212.43304398148</v>
      </c>
      <c r="B1456" s="32">
        <v>4430145151</v>
      </c>
      <c r="C1456" s="32" t="s">
        <v>1352</v>
      </c>
      <c r="D1456" s="32">
        <v>4430265054</v>
      </c>
      <c r="E1456" s="32">
        <v>665</v>
      </c>
      <c r="F1456" s="32">
        <v>586</v>
      </c>
      <c r="G1456" s="32" t="s">
        <v>44</v>
      </c>
      <c r="H1456" s="32" t="s">
        <v>1524</v>
      </c>
      <c r="I1456" s="32" t="s">
        <v>40</v>
      </c>
      <c r="J1456" s="32" t="s">
        <v>46</v>
      </c>
      <c r="K1456" s="32" t="s">
        <v>42</v>
      </c>
      <c r="M1456" s="32" t="s">
        <v>1354</v>
      </c>
      <c r="N1456" s="32" t="s">
        <v>1352</v>
      </c>
    </row>
    <row r="1457" spans="1:14" s="32" customFormat="1" hidden="1" x14ac:dyDescent="0.3">
      <c r="A1457" s="38">
        <v>46212.425706018519</v>
      </c>
      <c r="B1457" s="32">
        <v>4430141092</v>
      </c>
      <c r="C1457" s="32" t="s">
        <v>1038</v>
      </c>
      <c r="D1457" s="32">
        <v>4430265054</v>
      </c>
      <c r="E1457" s="32">
        <v>937</v>
      </c>
      <c r="F1457" s="32">
        <v>760</v>
      </c>
      <c r="G1457" s="32" t="s">
        <v>44</v>
      </c>
      <c r="H1457" s="32" t="s">
        <v>1525</v>
      </c>
      <c r="I1457" s="32" t="s">
        <v>40</v>
      </c>
      <c r="J1457" s="32" t="s">
        <v>46</v>
      </c>
      <c r="K1457" s="32" t="s">
        <v>42</v>
      </c>
      <c r="L1457" s="32">
        <v>5</v>
      </c>
      <c r="M1457" s="32" t="s">
        <v>1040</v>
      </c>
      <c r="N1457" s="32" t="s">
        <v>1038</v>
      </c>
    </row>
    <row r="1458" spans="1:14" s="32" customFormat="1" hidden="1" x14ac:dyDescent="0.3">
      <c r="A1458" s="38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38</v>
      </c>
      <c r="H1458" s="32" t="s">
        <v>1526</v>
      </c>
      <c r="I1458" s="32" t="s">
        <v>40</v>
      </c>
      <c r="J1458" s="32" t="s">
        <v>41</v>
      </c>
      <c r="K1458" s="32" t="s">
        <v>42</v>
      </c>
    </row>
    <row r="1459" spans="1:14" s="32" customFormat="1" hidden="1" x14ac:dyDescent="0.3">
      <c r="A1459" s="38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38</v>
      </c>
      <c r="H1459" s="32" t="s">
        <v>1527</v>
      </c>
      <c r="I1459" s="32" t="s">
        <v>40</v>
      </c>
      <c r="J1459" s="32" t="s">
        <v>41</v>
      </c>
    </row>
    <row r="1460" spans="1:14" s="32" customFormat="1" hidden="1" x14ac:dyDescent="0.3">
      <c r="A1460" s="38">
        <v>46212.417928240742</v>
      </c>
      <c r="B1460" s="32">
        <v>4130760170</v>
      </c>
      <c r="C1460" s="32" t="s">
        <v>43</v>
      </c>
      <c r="D1460" s="32">
        <v>4430265054</v>
      </c>
      <c r="E1460" s="32">
        <v>350</v>
      </c>
      <c r="F1460" s="32">
        <v>269</v>
      </c>
      <c r="G1460" s="32" t="s">
        <v>44</v>
      </c>
      <c r="H1460" s="32" t="s">
        <v>1528</v>
      </c>
      <c r="I1460" s="32" t="s">
        <v>40</v>
      </c>
      <c r="J1460" s="32" t="s">
        <v>46</v>
      </c>
      <c r="K1460" s="32" t="s">
        <v>42</v>
      </c>
      <c r="L1460" s="32">
        <v>5</v>
      </c>
      <c r="M1460" s="32" t="s">
        <v>47</v>
      </c>
      <c r="N1460" s="32" t="s">
        <v>43</v>
      </c>
    </row>
    <row r="1461" spans="1:14" s="32" customFormat="1" hidden="1" x14ac:dyDescent="0.3">
      <c r="A1461" s="38">
        <v>46212.417824074073</v>
      </c>
      <c r="B1461" s="32">
        <v>44997735525</v>
      </c>
      <c r="C1461" s="32" t="s">
        <v>58</v>
      </c>
      <c r="D1461" s="32">
        <v>4430265054</v>
      </c>
      <c r="E1461" s="32">
        <v>885</v>
      </c>
      <c r="F1461" s="32">
        <v>884</v>
      </c>
      <c r="G1461" s="32" t="s">
        <v>44</v>
      </c>
      <c r="H1461" s="32" t="s">
        <v>1529</v>
      </c>
      <c r="I1461" s="32" t="s">
        <v>40</v>
      </c>
      <c r="J1461" s="32" t="s">
        <v>46</v>
      </c>
      <c r="K1461" s="32" t="s">
        <v>42</v>
      </c>
      <c r="L1461" s="32">
        <v>5</v>
      </c>
      <c r="M1461" s="32" t="s">
        <v>60</v>
      </c>
      <c r="N1461" s="32" t="s">
        <v>58</v>
      </c>
    </row>
    <row r="1462" spans="1:14" s="32" customFormat="1" hidden="1" x14ac:dyDescent="0.3">
      <c r="A1462" s="38">
        <v>46212.415162037039</v>
      </c>
      <c r="B1462" s="32" t="s">
        <v>1038</v>
      </c>
      <c r="C1462" s="32">
        <v>1131043888</v>
      </c>
      <c r="E1462" s="32">
        <v>261</v>
      </c>
      <c r="F1462" s="32">
        <v>260</v>
      </c>
      <c r="G1462" s="32" t="s">
        <v>44</v>
      </c>
      <c r="H1462" s="32" t="s">
        <v>1530</v>
      </c>
      <c r="I1462" s="32" t="s">
        <v>54</v>
      </c>
      <c r="J1462" s="32" t="s">
        <v>46</v>
      </c>
      <c r="M1462" s="32" t="s">
        <v>1040</v>
      </c>
      <c r="N1462" s="32" t="s">
        <v>1038</v>
      </c>
    </row>
    <row r="1463" spans="1:14" s="32" customFormat="1" hidden="1" x14ac:dyDescent="0.3">
      <c r="A1463" s="38">
        <v>46212.41505787037</v>
      </c>
      <c r="B1463" s="32">
        <v>93991495484</v>
      </c>
      <c r="C1463" s="32" t="s">
        <v>1352</v>
      </c>
      <c r="D1463" s="32">
        <v>4430265054</v>
      </c>
      <c r="E1463" s="32">
        <v>1135</v>
      </c>
      <c r="F1463" s="32">
        <v>991</v>
      </c>
      <c r="G1463" s="32" t="s">
        <v>44</v>
      </c>
      <c r="H1463" s="32" t="s">
        <v>1531</v>
      </c>
      <c r="I1463" s="32" t="s">
        <v>40</v>
      </c>
      <c r="J1463" s="32" t="s">
        <v>46</v>
      </c>
      <c r="K1463" s="32" t="s">
        <v>42</v>
      </c>
      <c r="L1463" s="32">
        <v>5</v>
      </c>
      <c r="M1463" s="32" t="s">
        <v>1354</v>
      </c>
      <c r="N1463" s="32" t="s">
        <v>1352</v>
      </c>
    </row>
    <row r="1464" spans="1:14" s="32" customFormat="1" hidden="1" x14ac:dyDescent="0.3">
      <c r="A1464" s="38">
        <v>46212.403055555558</v>
      </c>
      <c r="B1464" s="32">
        <v>4434230642</v>
      </c>
      <c r="C1464" s="32" t="s">
        <v>1352</v>
      </c>
      <c r="D1464" s="32">
        <v>4430265054</v>
      </c>
      <c r="E1464" s="32">
        <v>142</v>
      </c>
      <c r="F1464" s="32">
        <v>126</v>
      </c>
      <c r="G1464" s="32" t="s">
        <v>44</v>
      </c>
      <c r="H1464" s="32" t="s">
        <v>1532</v>
      </c>
      <c r="I1464" s="32" t="s">
        <v>40</v>
      </c>
      <c r="J1464" s="32" t="s">
        <v>46</v>
      </c>
      <c r="K1464" s="32" t="s">
        <v>42</v>
      </c>
      <c r="M1464" s="32" t="s">
        <v>1354</v>
      </c>
      <c r="N1464" s="32" t="s">
        <v>1352</v>
      </c>
    </row>
    <row r="1465" spans="1:14" s="32" customFormat="1" hidden="1" x14ac:dyDescent="0.3">
      <c r="A1465" s="38">
        <v>46212.401585648149</v>
      </c>
      <c r="B1465" s="32">
        <v>4430456242</v>
      </c>
      <c r="C1465" s="32" t="s">
        <v>1352</v>
      </c>
      <c r="D1465" s="32">
        <v>4430265054</v>
      </c>
      <c r="E1465" s="32">
        <v>115</v>
      </c>
      <c r="F1465" s="32">
        <v>3</v>
      </c>
      <c r="G1465" s="32" t="s">
        <v>44</v>
      </c>
      <c r="H1465" s="32" t="s">
        <v>1533</v>
      </c>
      <c r="I1465" s="32" t="s">
        <v>40</v>
      </c>
      <c r="J1465" s="32" t="s">
        <v>46</v>
      </c>
      <c r="K1465" s="32" t="s">
        <v>42</v>
      </c>
      <c r="M1465" s="32" t="s">
        <v>1354</v>
      </c>
      <c r="N1465" s="32" t="s">
        <v>1352</v>
      </c>
    </row>
    <row r="1466" spans="1:14" s="32" customFormat="1" hidden="1" x14ac:dyDescent="0.3">
      <c r="A1466" s="38">
        <v>46212.397615740738</v>
      </c>
      <c r="B1466" s="32">
        <v>44999430528</v>
      </c>
      <c r="C1466" s="32" t="s">
        <v>1038</v>
      </c>
      <c r="D1466" s="32">
        <v>4430265054</v>
      </c>
      <c r="E1466" s="32">
        <v>210</v>
      </c>
      <c r="F1466" s="32">
        <v>120</v>
      </c>
      <c r="G1466" s="32" t="s">
        <v>44</v>
      </c>
      <c r="H1466" s="32" t="s">
        <v>1534</v>
      </c>
      <c r="I1466" s="32" t="s">
        <v>40</v>
      </c>
      <c r="J1466" s="32" t="s">
        <v>46</v>
      </c>
      <c r="K1466" s="32" t="s">
        <v>42</v>
      </c>
      <c r="M1466" s="32" t="s">
        <v>1040</v>
      </c>
      <c r="N1466" s="32" t="s">
        <v>1038</v>
      </c>
    </row>
    <row r="1467" spans="1:14" s="32" customFormat="1" hidden="1" x14ac:dyDescent="0.3">
      <c r="A1467" s="38">
        <v>46212.388784722221</v>
      </c>
      <c r="B1467" s="32">
        <v>4430153709</v>
      </c>
      <c r="C1467" s="32" t="s">
        <v>1038</v>
      </c>
      <c r="D1467" s="32">
        <v>4430265054</v>
      </c>
      <c r="E1467" s="32">
        <v>99</v>
      </c>
      <c r="F1467" s="32">
        <v>43</v>
      </c>
      <c r="G1467" s="32" t="s">
        <v>44</v>
      </c>
      <c r="H1467" s="32" t="s">
        <v>1535</v>
      </c>
      <c r="I1467" s="32" t="s">
        <v>40</v>
      </c>
      <c r="J1467" s="32" t="s">
        <v>46</v>
      </c>
      <c r="K1467" s="32" t="s">
        <v>42</v>
      </c>
      <c r="M1467" s="32" t="s">
        <v>1040</v>
      </c>
      <c r="N1467" s="32" t="s">
        <v>1038</v>
      </c>
    </row>
    <row r="1468" spans="1:14" s="32" customFormat="1" hidden="1" x14ac:dyDescent="0.3">
      <c r="A1468" s="38">
        <v>46212.381724537037</v>
      </c>
      <c r="B1468" s="32" t="s">
        <v>43</v>
      </c>
      <c r="C1468" s="32">
        <v>4430414545</v>
      </c>
      <c r="E1468" s="32">
        <v>496</v>
      </c>
      <c r="F1468" s="32">
        <v>490</v>
      </c>
      <c r="G1468" s="32" t="s">
        <v>44</v>
      </c>
      <c r="H1468" s="32" t="s">
        <v>1536</v>
      </c>
      <c r="I1468" s="32" t="s">
        <v>54</v>
      </c>
      <c r="J1468" s="32" t="s">
        <v>46</v>
      </c>
      <c r="M1468" s="32" t="s">
        <v>47</v>
      </c>
      <c r="N1468" s="32" t="s">
        <v>43</v>
      </c>
    </row>
    <row r="1469" spans="1:14" s="32" customFormat="1" hidden="1" x14ac:dyDescent="0.3">
      <c r="A1469" s="38">
        <v>46212.379467592589</v>
      </c>
      <c r="B1469" s="32" t="s">
        <v>1038</v>
      </c>
      <c r="C1469" s="32">
        <v>93991495484</v>
      </c>
      <c r="E1469" s="32">
        <v>71</v>
      </c>
      <c r="F1469" s="32">
        <v>29</v>
      </c>
      <c r="G1469" s="32" t="s">
        <v>44</v>
      </c>
      <c r="H1469" s="32" t="s">
        <v>1537</v>
      </c>
      <c r="I1469" s="32" t="s">
        <v>54</v>
      </c>
      <c r="J1469" s="32" t="s">
        <v>46</v>
      </c>
      <c r="M1469" s="32" t="s">
        <v>1040</v>
      </c>
      <c r="N1469" s="32" t="s">
        <v>1038</v>
      </c>
    </row>
    <row r="1470" spans="1:14" s="32" customFormat="1" hidden="1" x14ac:dyDescent="0.3">
      <c r="A1470" s="38">
        <v>46212.378819444442</v>
      </c>
      <c r="B1470" s="32" t="s">
        <v>1038</v>
      </c>
      <c r="C1470" s="32">
        <v>93991495484</v>
      </c>
      <c r="E1470" s="32">
        <v>38</v>
      </c>
      <c r="F1470" s="32">
        <v>0</v>
      </c>
      <c r="G1470" s="32" t="s">
        <v>63</v>
      </c>
      <c r="H1470" s="32" t="s">
        <v>1538</v>
      </c>
      <c r="I1470" s="32" t="s">
        <v>54</v>
      </c>
      <c r="J1470" s="32" t="s">
        <v>46</v>
      </c>
      <c r="M1470" s="32" t="s">
        <v>1040</v>
      </c>
      <c r="N1470" s="32" t="s">
        <v>1038</v>
      </c>
    </row>
    <row r="1471" spans="1:14" s="32" customFormat="1" hidden="1" x14ac:dyDescent="0.3">
      <c r="A1471" s="38">
        <v>46212.374398148146</v>
      </c>
      <c r="B1471" s="32">
        <v>44997456641</v>
      </c>
      <c r="C1471" s="32" t="s">
        <v>1352</v>
      </c>
      <c r="D1471" s="32">
        <v>4430265054</v>
      </c>
      <c r="E1471" s="32">
        <v>264</v>
      </c>
      <c r="F1471" s="32">
        <v>238</v>
      </c>
      <c r="G1471" s="32" t="s">
        <v>44</v>
      </c>
      <c r="H1471" s="32" t="s">
        <v>1539</v>
      </c>
      <c r="I1471" s="32" t="s">
        <v>40</v>
      </c>
      <c r="J1471" s="32" t="s">
        <v>46</v>
      </c>
      <c r="K1471" s="32" t="s">
        <v>42</v>
      </c>
      <c r="L1471" s="32">
        <v>5</v>
      </c>
      <c r="M1471" s="32" t="s">
        <v>1354</v>
      </c>
      <c r="N1471" s="32" t="s">
        <v>1352</v>
      </c>
    </row>
    <row r="1472" spans="1:14" s="32" customFormat="1" hidden="1" x14ac:dyDescent="0.3">
      <c r="A1472" s="38">
        <v>46212.363391203704</v>
      </c>
      <c r="B1472" s="32" t="s">
        <v>1038</v>
      </c>
      <c r="C1472" s="32">
        <v>4430562296</v>
      </c>
      <c r="E1472" s="32">
        <v>524</v>
      </c>
      <c r="F1472" s="32">
        <v>512</v>
      </c>
      <c r="G1472" s="32" t="s">
        <v>44</v>
      </c>
      <c r="H1472" s="32" t="s">
        <v>1540</v>
      </c>
      <c r="I1472" s="32" t="s">
        <v>54</v>
      </c>
      <c r="J1472" s="32" t="s">
        <v>46</v>
      </c>
      <c r="L1472" s="32">
        <v>5</v>
      </c>
      <c r="M1472" s="32" t="s">
        <v>1040</v>
      </c>
      <c r="N1472" s="32" t="s">
        <v>1038</v>
      </c>
    </row>
    <row r="1473" spans="1:14" s="32" customFormat="1" hidden="1" x14ac:dyDescent="0.3">
      <c r="A1473" s="38">
        <v>46212.362256944441</v>
      </c>
      <c r="B1473" s="32" t="s">
        <v>43</v>
      </c>
      <c r="C1473" s="32">
        <v>44991041123</v>
      </c>
      <c r="E1473" s="32">
        <v>8</v>
      </c>
      <c r="F1473" s="32">
        <v>0</v>
      </c>
      <c r="G1473" s="32" t="s">
        <v>63</v>
      </c>
      <c r="H1473" s="32" t="s">
        <v>1541</v>
      </c>
      <c r="I1473" s="32" t="s">
        <v>54</v>
      </c>
      <c r="J1473" s="32" t="s">
        <v>46</v>
      </c>
      <c r="M1473" s="32" t="s">
        <v>47</v>
      </c>
      <c r="N1473" s="32" t="s">
        <v>43</v>
      </c>
    </row>
    <row r="1474" spans="1:14" s="32" customFormat="1" hidden="1" x14ac:dyDescent="0.3">
      <c r="A1474" s="38">
        <v>46211.744004629632</v>
      </c>
      <c r="B1474" s="32">
        <v>41999717893</v>
      </c>
      <c r="C1474" s="32" t="s">
        <v>1352</v>
      </c>
      <c r="D1474" s="32">
        <v>4430265054</v>
      </c>
      <c r="E1474" s="32">
        <v>426</v>
      </c>
      <c r="F1474" s="32">
        <v>367</v>
      </c>
      <c r="G1474" s="32" t="s">
        <v>44</v>
      </c>
      <c r="H1474" s="32" t="s">
        <v>1542</v>
      </c>
      <c r="I1474" s="32" t="s">
        <v>40</v>
      </c>
      <c r="J1474" s="32" t="s">
        <v>46</v>
      </c>
      <c r="K1474" s="32" t="s">
        <v>42</v>
      </c>
      <c r="M1474" s="32" t="s">
        <v>1354</v>
      </c>
      <c r="N1474" s="32" t="s">
        <v>1352</v>
      </c>
    </row>
    <row r="1475" spans="1:14" s="32" customFormat="1" hidden="1" x14ac:dyDescent="0.3">
      <c r="A1475" s="38">
        <v>46211.731817129628</v>
      </c>
      <c r="B1475" s="32">
        <v>53981112780</v>
      </c>
      <c r="C1475" s="32" t="s">
        <v>43</v>
      </c>
      <c r="D1475" s="32">
        <v>4430265054</v>
      </c>
      <c r="E1475" s="32">
        <v>147</v>
      </c>
      <c r="F1475" s="32">
        <v>108</v>
      </c>
      <c r="G1475" s="32" t="s">
        <v>44</v>
      </c>
      <c r="H1475" s="32" t="s">
        <v>1543</v>
      </c>
      <c r="I1475" s="32" t="s">
        <v>40</v>
      </c>
      <c r="J1475" s="32" t="s">
        <v>46</v>
      </c>
      <c r="K1475" s="32" t="s">
        <v>42</v>
      </c>
      <c r="L1475" s="32">
        <v>4</v>
      </c>
      <c r="M1475" s="32" t="s">
        <v>47</v>
      </c>
      <c r="N1475" s="32" t="s">
        <v>43</v>
      </c>
    </row>
    <row r="1476" spans="1:14" s="32" customFormat="1" hidden="1" x14ac:dyDescent="0.3">
      <c r="A1476" s="38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38</v>
      </c>
      <c r="H1476" s="32" t="s">
        <v>1544</v>
      </c>
      <c r="I1476" s="32" t="s">
        <v>40</v>
      </c>
      <c r="J1476" s="32" t="s">
        <v>41</v>
      </c>
      <c r="K1476" s="32" t="s">
        <v>42</v>
      </c>
    </row>
    <row r="1477" spans="1:14" s="32" customFormat="1" hidden="1" x14ac:dyDescent="0.3">
      <c r="A1477" s="38">
        <v>46211.726238425923</v>
      </c>
      <c r="B1477" s="32">
        <v>4436313773</v>
      </c>
      <c r="C1477" s="32" t="s">
        <v>43</v>
      </c>
      <c r="D1477" s="32">
        <v>4430265054</v>
      </c>
      <c r="E1477" s="32">
        <v>153</v>
      </c>
      <c r="F1477" s="32">
        <v>112</v>
      </c>
      <c r="G1477" s="32" t="s">
        <v>44</v>
      </c>
      <c r="H1477" s="32" t="s">
        <v>1545</v>
      </c>
      <c r="I1477" s="32" t="s">
        <v>40</v>
      </c>
      <c r="J1477" s="32" t="s">
        <v>46</v>
      </c>
      <c r="K1477" s="32" t="s">
        <v>42</v>
      </c>
      <c r="M1477" s="32" t="s">
        <v>47</v>
      </c>
      <c r="N1477" s="32" t="s">
        <v>43</v>
      </c>
    </row>
    <row r="1478" spans="1:14" s="32" customFormat="1" hidden="1" x14ac:dyDescent="0.3">
      <c r="A1478" s="38">
        <v>46211.724826388891</v>
      </c>
      <c r="B1478" s="32">
        <v>93991495484</v>
      </c>
      <c r="C1478" s="32" t="s">
        <v>1038</v>
      </c>
      <c r="D1478" s="32">
        <v>4430265054</v>
      </c>
      <c r="E1478" s="32">
        <v>2757</v>
      </c>
      <c r="F1478" s="32">
        <v>2660</v>
      </c>
      <c r="G1478" s="32" t="s">
        <v>44</v>
      </c>
      <c r="H1478" s="32" t="s">
        <v>1546</v>
      </c>
      <c r="I1478" s="32" t="s">
        <v>40</v>
      </c>
      <c r="J1478" s="32" t="s">
        <v>46</v>
      </c>
      <c r="K1478" s="32" t="s">
        <v>42</v>
      </c>
      <c r="M1478" s="32" t="s">
        <v>1040</v>
      </c>
      <c r="N1478" s="32" t="s">
        <v>1038</v>
      </c>
    </row>
    <row r="1479" spans="1:14" s="32" customFormat="1" hidden="1" x14ac:dyDescent="0.3">
      <c r="A1479" s="38">
        <v>46211.715810185182</v>
      </c>
      <c r="B1479" s="32">
        <v>4430459032</v>
      </c>
      <c r="C1479" s="32" t="s">
        <v>1352</v>
      </c>
      <c r="D1479" s="32">
        <v>4430265054</v>
      </c>
      <c r="E1479" s="32">
        <v>370</v>
      </c>
      <c r="F1479" s="32">
        <v>211</v>
      </c>
      <c r="G1479" s="32" t="s">
        <v>44</v>
      </c>
      <c r="H1479" s="32" t="s">
        <v>1547</v>
      </c>
      <c r="I1479" s="32" t="s">
        <v>40</v>
      </c>
      <c r="J1479" s="32" t="s">
        <v>46</v>
      </c>
      <c r="K1479" s="32" t="s">
        <v>42</v>
      </c>
      <c r="M1479" s="32" t="s">
        <v>1354</v>
      </c>
      <c r="N1479" s="32" t="s">
        <v>1352</v>
      </c>
    </row>
    <row r="1480" spans="1:14" s="32" customFormat="1" hidden="1" x14ac:dyDescent="0.3">
      <c r="A1480" s="38">
        <v>46211.695486111108</v>
      </c>
      <c r="B1480" s="32">
        <v>1732146970</v>
      </c>
      <c r="C1480" s="32" t="s">
        <v>1038</v>
      </c>
      <c r="D1480" s="32">
        <v>4431268225</v>
      </c>
      <c r="E1480" s="32">
        <v>456</v>
      </c>
      <c r="F1480" s="32">
        <v>403</v>
      </c>
      <c r="G1480" s="32" t="s">
        <v>44</v>
      </c>
      <c r="H1480" s="32" t="s">
        <v>1548</v>
      </c>
      <c r="I1480" s="32" t="s">
        <v>40</v>
      </c>
      <c r="J1480" s="32" t="s">
        <v>46</v>
      </c>
      <c r="K1480" s="32" t="s">
        <v>42</v>
      </c>
      <c r="M1480" s="32" t="s">
        <v>1040</v>
      </c>
      <c r="N1480" s="32" t="s">
        <v>1038</v>
      </c>
    </row>
    <row r="1481" spans="1:14" s="32" customFormat="1" hidden="1" x14ac:dyDescent="0.3">
      <c r="A1481" s="38">
        <v>46211.681319444448</v>
      </c>
      <c r="B1481" s="32">
        <v>4432672194</v>
      </c>
      <c r="C1481" s="32" t="s">
        <v>747</v>
      </c>
      <c r="D1481" s="32">
        <v>4430265054</v>
      </c>
      <c r="E1481" s="32">
        <v>309</v>
      </c>
      <c r="F1481" s="32">
        <v>272</v>
      </c>
      <c r="G1481" s="32" t="s">
        <v>44</v>
      </c>
      <c r="H1481" s="32" t="s">
        <v>1549</v>
      </c>
      <c r="I1481" s="32" t="s">
        <v>40</v>
      </c>
      <c r="J1481" s="32" t="s">
        <v>46</v>
      </c>
      <c r="K1481" s="32" t="s">
        <v>42</v>
      </c>
      <c r="M1481" s="32" t="s">
        <v>749</v>
      </c>
      <c r="N1481" s="32" t="s">
        <v>747</v>
      </c>
    </row>
    <row r="1482" spans="1:14" s="32" customFormat="1" hidden="1" x14ac:dyDescent="0.3">
      <c r="A1482" s="38">
        <v>46211.667488425926</v>
      </c>
      <c r="B1482" s="32">
        <v>4430162384</v>
      </c>
      <c r="C1482" s="32" t="s">
        <v>1352</v>
      </c>
      <c r="D1482" s="32">
        <v>4430265054</v>
      </c>
      <c r="E1482" s="32">
        <v>1417</v>
      </c>
      <c r="F1482" s="32">
        <v>1329</v>
      </c>
      <c r="G1482" s="32" t="s">
        <v>44</v>
      </c>
      <c r="H1482" s="32" t="s">
        <v>1550</v>
      </c>
      <c r="I1482" s="32" t="s">
        <v>40</v>
      </c>
      <c r="J1482" s="32" t="s">
        <v>46</v>
      </c>
      <c r="K1482" s="32" t="s">
        <v>42</v>
      </c>
      <c r="L1482" s="32">
        <v>5</v>
      </c>
      <c r="M1482" s="32" t="s">
        <v>1354</v>
      </c>
      <c r="N1482" s="32" t="s">
        <v>1352</v>
      </c>
    </row>
    <row r="1483" spans="1:14" s="32" customFormat="1" hidden="1" x14ac:dyDescent="0.3">
      <c r="A1483" s="38">
        <v>46211.66306712963</v>
      </c>
      <c r="B1483" s="32">
        <v>44984580581</v>
      </c>
      <c r="C1483" s="32" t="s">
        <v>1038</v>
      </c>
      <c r="D1483" s="32">
        <v>4430265054</v>
      </c>
      <c r="E1483" s="32">
        <v>318</v>
      </c>
      <c r="F1483" s="32">
        <v>233</v>
      </c>
      <c r="G1483" s="32" t="s">
        <v>44</v>
      </c>
      <c r="H1483" s="32" t="s">
        <v>1551</v>
      </c>
      <c r="I1483" s="32" t="s">
        <v>40</v>
      </c>
      <c r="J1483" s="32" t="s">
        <v>46</v>
      </c>
      <c r="K1483" s="32" t="s">
        <v>42</v>
      </c>
      <c r="L1483" s="32">
        <v>5</v>
      </c>
      <c r="M1483" s="32" t="s">
        <v>1040</v>
      </c>
      <c r="N1483" s="32" t="s">
        <v>1038</v>
      </c>
    </row>
    <row r="1484" spans="1:14" s="32" customFormat="1" hidden="1" x14ac:dyDescent="0.3">
      <c r="A1484" s="38">
        <v>46211.660844907405</v>
      </c>
      <c r="B1484" s="32" t="s">
        <v>207</v>
      </c>
      <c r="C1484" s="32">
        <v>43988529537</v>
      </c>
      <c r="E1484" s="32">
        <v>40</v>
      </c>
      <c r="F1484" s="32">
        <v>1</v>
      </c>
      <c r="G1484" s="32" t="s">
        <v>44</v>
      </c>
      <c r="H1484" s="32" t="s">
        <v>1552</v>
      </c>
      <c r="I1484" s="32" t="s">
        <v>54</v>
      </c>
      <c r="J1484" s="32" t="s">
        <v>111</v>
      </c>
      <c r="M1484" s="32" t="s">
        <v>209</v>
      </c>
      <c r="N1484" s="32" t="s">
        <v>207</v>
      </c>
    </row>
    <row r="1485" spans="1:14" s="32" customFormat="1" hidden="1" x14ac:dyDescent="0.3">
      <c r="A1485" s="38">
        <v>46211.659768518519</v>
      </c>
      <c r="B1485" s="32" t="s">
        <v>207</v>
      </c>
      <c r="C1485" s="32">
        <v>43988523737</v>
      </c>
      <c r="E1485" s="32">
        <v>25</v>
      </c>
      <c r="F1485" s="32">
        <v>6</v>
      </c>
      <c r="G1485" s="32" t="s">
        <v>44</v>
      </c>
      <c r="H1485" s="32" t="s">
        <v>1553</v>
      </c>
      <c r="I1485" s="32" t="s">
        <v>54</v>
      </c>
      <c r="J1485" s="32" t="s">
        <v>111</v>
      </c>
      <c r="M1485" s="32" t="s">
        <v>209</v>
      </c>
      <c r="N1485" s="32" t="s">
        <v>207</v>
      </c>
    </row>
    <row r="1486" spans="1:14" s="32" customFormat="1" hidden="1" x14ac:dyDescent="0.3">
      <c r="A1486" s="38">
        <v>46211.658668981479</v>
      </c>
      <c r="B1486" s="32" t="s">
        <v>207</v>
      </c>
      <c r="C1486" s="32">
        <v>4330261969</v>
      </c>
      <c r="E1486" s="32">
        <v>86</v>
      </c>
      <c r="F1486" s="32">
        <v>0</v>
      </c>
      <c r="G1486" s="32" t="s">
        <v>63</v>
      </c>
      <c r="H1486" s="32" t="s">
        <v>1554</v>
      </c>
      <c r="I1486" s="32" t="s">
        <v>54</v>
      </c>
      <c r="J1486" s="32" t="s">
        <v>111</v>
      </c>
      <c r="M1486" s="32" t="s">
        <v>209</v>
      </c>
      <c r="N1486" s="32" t="s">
        <v>207</v>
      </c>
    </row>
    <row r="1487" spans="1:14" s="32" customFormat="1" hidden="1" x14ac:dyDescent="0.3">
      <c r="A1487" s="38">
        <v>46211.654317129629</v>
      </c>
      <c r="B1487" s="32">
        <v>4430253334</v>
      </c>
      <c r="C1487" s="32" t="s">
        <v>58</v>
      </c>
      <c r="D1487" s="32">
        <v>4430265054</v>
      </c>
      <c r="E1487" s="32">
        <v>823</v>
      </c>
      <c r="F1487" s="32">
        <v>822</v>
      </c>
      <c r="G1487" s="32" t="s">
        <v>44</v>
      </c>
      <c r="H1487" s="32" t="s">
        <v>1555</v>
      </c>
      <c r="I1487" s="32" t="s">
        <v>40</v>
      </c>
      <c r="J1487" s="32" t="s">
        <v>46</v>
      </c>
      <c r="K1487" s="32" t="s">
        <v>42</v>
      </c>
      <c r="L1487" s="32">
        <v>5</v>
      </c>
      <c r="M1487" s="32" t="s">
        <v>60</v>
      </c>
      <c r="N1487" s="32" t="s">
        <v>58</v>
      </c>
    </row>
    <row r="1488" spans="1:14" s="32" customFormat="1" hidden="1" x14ac:dyDescent="0.3">
      <c r="A1488" s="38">
        <v>46211.654178240744</v>
      </c>
      <c r="B1488" s="32">
        <v>44999030755</v>
      </c>
      <c r="C1488" s="32" t="s">
        <v>58</v>
      </c>
      <c r="D1488" s="32">
        <v>4430265054</v>
      </c>
      <c r="E1488" s="32">
        <v>110</v>
      </c>
      <c r="F1488" s="32">
        <v>80</v>
      </c>
      <c r="G1488" s="32" t="s">
        <v>44</v>
      </c>
      <c r="H1488" s="32" t="s">
        <v>1556</v>
      </c>
      <c r="I1488" s="32" t="s">
        <v>40</v>
      </c>
      <c r="J1488" s="32" t="s">
        <v>46</v>
      </c>
      <c r="K1488" s="32" t="s">
        <v>42</v>
      </c>
      <c r="M1488" s="32" t="s">
        <v>60</v>
      </c>
      <c r="N1488" s="32" t="s">
        <v>58</v>
      </c>
    </row>
    <row r="1489" spans="1:14" s="32" customFormat="1" hidden="1" x14ac:dyDescent="0.3">
      <c r="A1489" s="38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38</v>
      </c>
      <c r="H1489" s="32" t="s">
        <v>1557</v>
      </c>
      <c r="I1489" s="32" t="s">
        <v>40</v>
      </c>
      <c r="J1489" s="32" t="s">
        <v>41</v>
      </c>
    </row>
    <row r="1490" spans="1:14" s="32" customFormat="1" hidden="1" x14ac:dyDescent="0.3">
      <c r="A1490" s="38">
        <v>46211.651990740742</v>
      </c>
      <c r="B1490" s="32">
        <v>41995960655</v>
      </c>
      <c r="C1490" s="32" t="s">
        <v>1352</v>
      </c>
      <c r="D1490" s="32">
        <v>4430265054</v>
      </c>
      <c r="E1490" s="32">
        <v>1264</v>
      </c>
      <c r="F1490" s="32">
        <v>1176</v>
      </c>
      <c r="G1490" s="32" t="s">
        <v>44</v>
      </c>
      <c r="H1490" s="32" t="s">
        <v>1558</v>
      </c>
      <c r="I1490" s="32" t="s">
        <v>40</v>
      </c>
      <c r="J1490" s="32" t="s">
        <v>46</v>
      </c>
      <c r="K1490" s="32" t="s">
        <v>42</v>
      </c>
      <c r="M1490" s="32" t="s">
        <v>1354</v>
      </c>
      <c r="N1490" s="32" t="s">
        <v>1352</v>
      </c>
    </row>
    <row r="1491" spans="1:14" s="32" customFormat="1" hidden="1" x14ac:dyDescent="0.3">
      <c r="A1491" s="38">
        <v>46211.651956018519</v>
      </c>
      <c r="B1491" s="32">
        <v>4334234629</v>
      </c>
      <c r="C1491" s="32" t="s">
        <v>1038</v>
      </c>
      <c r="D1491" s="32">
        <v>4430265054</v>
      </c>
      <c r="E1491" s="32">
        <v>318</v>
      </c>
      <c r="F1491" s="32">
        <v>253</v>
      </c>
      <c r="G1491" s="32" t="s">
        <v>44</v>
      </c>
      <c r="H1491" s="32" t="s">
        <v>1559</v>
      </c>
      <c r="I1491" s="32" t="s">
        <v>40</v>
      </c>
      <c r="J1491" s="32" t="s">
        <v>46</v>
      </c>
      <c r="K1491" s="32" t="s">
        <v>42</v>
      </c>
      <c r="M1491" s="32" t="s">
        <v>1040</v>
      </c>
      <c r="N1491" s="32" t="s">
        <v>1038</v>
      </c>
    </row>
    <row r="1492" spans="1:14" s="32" customFormat="1" hidden="1" x14ac:dyDescent="0.3">
      <c r="A1492" s="38">
        <v>46211.651724537034</v>
      </c>
      <c r="B1492" s="32" t="s">
        <v>207</v>
      </c>
      <c r="C1492" s="32">
        <v>77991542920</v>
      </c>
      <c r="E1492" s="32">
        <v>7</v>
      </c>
      <c r="F1492" s="32">
        <v>0</v>
      </c>
      <c r="G1492" s="32" t="s">
        <v>63</v>
      </c>
      <c r="H1492" s="32" t="s">
        <v>1560</v>
      </c>
      <c r="I1492" s="32" t="s">
        <v>54</v>
      </c>
      <c r="J1492" s="32" t="s">
        <v>111</v>
      </c>
      <c r="M1492" s="32" t="s">
        <v>209</v>
      </c>
      <c r="N1492" s="32" t="s">
        <v>207</v>
      </c>
    </row>
    <row r="1493" spans="1:14" s="32" customFormat="1" hidden="1" x14ac:dyDescent="0.3">
      <c r="A1493" s="38">
        <v>46211.651145833333</v>
      </c>
      <c r="B1493" s="32" t="s">
        <v>207</v>
      </c>
      <c r="C1493" s="32">
        <v>77999250878</v>
      </c>
      <c r="E1493" s="32">
        <v>43</v>
      </c>
      <c r="F1493" s="32">
        <v>5</v>
      </c>
      <c r="G1493" s="32" t="s">
        <v>44</v>
      </c>
      <c r="H1493" s="32" t="s">
        <v>1561</v>
      </c>
      <c r="I1493" s="32" t="s">
        <v>54</v>
      </c>
      <c r="J1493" s="32" t="s">
        <v>111</v>
      </c>
      <c r="M1493" s="32" t="s">
        <v>209</v>
      </c>
      <c r="N1493" s="32" t="s">
        <v>207</v>
      </c>
    </row>
    <row r="1494" spans="1:14" s="32" customFormat="1" hidden="1" x14ac:dyDescent="0.3">
      <c r="A1494" s="38">
        <v>46211.650312500002</v>
      </c>
      <c r="B1494" s="32" t="s">
        <v>207</v>
      </c>
      <c r="C1494" s="32">
        <v>77999250878</v>
      </c>
      <c r="E1494" s="32">
        <v>36</v>
      </c>
      <c r="F1494" s="32">
        <v>0</v>
      </c>
      <c r="G1494" s="32" t="s">
        <v>63</v>
      </c>
      <c r="H1494" s="32" t="s">
        <v>1562</v>
      </c>
      <c r="I1494" s="32" t="s">
        <v>54</v>
      </c>
      <c r="J1494" s="32" t="s">
        <v>111</v>
      </c>
      <c r="M1494" s="32" t="s">
        <v>209</v>
      </c>
      <c r="N1494" s="32" t="s">
        <v>207</v>
      </c>
    </row>
    <row r="1495" spans="1:14" s="32" customFormat="1" hidden="1" x14ac:dyDescent="0.3">
      <c r="A1495" s="38">
        <v>46211.650196759256</v>
      </c>
      <c r="B1495" s="32">
        <v>41999853283</v>
      </c>
      <c r="C1495" s="32" t="s">
        <v>43</v>
      </c>
      <c r="D1495" s="32">
        <v>4430265054</v>
      </c>
      <c r="E1495" s="32">
        <v>645</v>
      </c>
      <c r="F1495" s="32">
        <v>569</v>
      </c>
      <c r="G1495" s="32" t="s">
        <v>44</v>
      </c>
      <c r="H1495" s="32" t="s">
        <v>1563</v>
      </c>
      <c r="I1495" s="32" t="s">
        <v>40</v>
      </c>
      <c r="J1495" s="32" t="s">
        <v>46</v>
      </c>
      <c r="K1495" s="32" t="s">
        <v>42</v>
      </c>
      <c r="L1495" s="32">
        <v>5</v>
      </c>
      <c r="M1495" s="32" t="s">
        <v>47</v>
      </c>
      <c r="N1495" s="32" t="s">
        <v>43</v>
      </c>
    </row>
    <row r="1496" spans="1:14" s="32" customFormat="1" hidden="1" x14ac:dyDescent="0.3">
      <c r="A1496" s="38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38</v>
      </c>
      <c r="H1496" s="32" t="s">
        <v>1564</v>
      </c>
      <c r="I1496" s="32" t="s">
        <v>40</v>
      </c>
      <c r="J1496" s="32" t="s">
        <v>41</v>
      </c>
    </row>
    <row r="1497" spans="1:14" s="32" customFormat="1" hidden="1" x14ac:dyDescent="0.3">
      <c r="A1497" s="38">
        <v>46211.646331018521</v>
      </c>
      <c r="B1497" s="32" t="s">
        <v>58</v>
      </c>
      <c r="C1497" s="32">
        <v>4430450100</v>
      </c>
      <c r="E1497" s="32">
        <v>42</v>
      </c>
      <c r="F1497" s="32">
        <v>22</v>
      </c>
      <c r="G1497" s="32" t="s">
        <v>44</v>
      </c>
      <c r="H1497" s="32" t="s">
        <v>1565</v>
      </c>
      <c r="I1497" s="32" t="s">
        <v>54</v>
      </c>
      <c r="J1497" s="32" t="s">
        <v>46</v>
      </c>
      <c r="M1497" s="32" t="s">
        <v>60</v>
      </c>
      <c r="N1497" s="32" t="s">
        <v>58</v>
      </c>
    </row>
    <row r="1498" spans="1:14" s="32" customFormat="1" hidden="1" x14ac:dyDescent="0.3">
      <c r="A1498" s="38">
        <v>46211.645451388889</v>
      </c>
      <c r="B1498" s="32">
        <v>44998802935</v>
      </c>
      <c r="C1498" s="32" t="s">
        <v>1038</v>
      </c>
      <c r="D1498" s="32">
        <v>4431268225</v>
      </c>
      <c r="E1498" s="32">
        <v>385</v>
      </c>
      <c r="F1498" s="32">
        <v>227</v>
      </c>
      <c r="G1498" s="32" t="s">
        <v>44</v>
      </c>
      <c r="H1498" s="32" t="s">
        <v>1566</v>
      </c>
      <c r="I1498" s="32" t="s">
        <v>40</v>
      </c>
      <c r="J1498" s="32" t="s">
        <v>46</v>
      </c>
      <c r="K1498" s="32" t="s">
        <v>42</v>
      </c>
      <c r="L1498" s="32">
        <v>5</v>
      </c>
      <c r="M1498" s="32" t="s">
        <v>1040</v>
      </c>
      <c r="N1498" s="32" t="s">
        <v>1038</v>
      </c>
    </row>
    <row r="1499" spans="1:14" s="32" customFormat="1" hidden="1" x14ac:dyDescent="0.3">
      <c r="A1499" s="38">
        <v>46211.645138888889</v>
      </c>
      <c r="B1499" s="32">
        <v>4430141092</v>
      </c>
      <c r="C1499" s="32" t="s">
        <v>1352</v>
      </c>
      <c r="D1499" s="32">
        <v>4430265054</v>
      </c>
      <c r="E1499" s="32">
        <v>576</v>
      </c>
      <c r="F1499" s="32">
        <v>454</v>
      </c>
      <c r="G1499" s="32" t="s">
        <v>44</v>
      </c>
      <c r="H1499" s="32" t="s">
        <v>1567</v>
      </c>
      <c r="I1499" s="32" t="s">
        <v>40</v>
      </c>
      <c r="J1499" s="32" t="s">
        <v>46</v>
      </c>
      <c r="K1499" s="32" t="s">
        <v>42</v>
      </c>
      <c r="L1499" s="32">
        <v>5</v>
      </c>
      <c r="M1499" s="32" t="s">
        <v>1354</v>
      </c>
      <c r="N1499" s="32" t="s">
        <v>1352</v>
      </c>
    </row>
    <row r="1500" spans="1:14" s="32" customFormat="1" hidden="1" x14ac:dyDescent="0.3">
      <c r="A1500" s="38">
        <v>46211.641018518516</v>
      </c>
      <c r="B1500" s="32" t="s">
        <v>58</v>
      </c>
      <c r="C1500" s="32">
        <v>4430450100</v>
      </c>
      <c r="E1500" s="32">
        <v>128</v>
      </c>
      <c r="F1500" s="32">
        <v>104</v>
      </c>
      <c r="G1500" s="32" t="s">
        <v>44</v>
      </c>
      <c r="H1500" s="32" t="s">
        <v>1568</v>
      </c>
      <c r="I1500" s="32" t="s">
        <v>54</v>
      </c>
      <c r="J1500" s="32" t="s">
        <v>46</v>
      </c>
      <c r="M1500" s="32" t="s">
        <v>60</v>
      </c>
      <c r="N1500" s="32" t="s">
        <v>58</v>
      </c>
    </row>
    <row r="1501" spans="1:14" s="32" customFormat="1" hidden="1" x14ac:dyDescent="0.3">
      <c r="A1501" s="38">
        <v>46211.639652777776</v>
      </c>
      <c r="B1501" s="32">
        <v>44997735525</v>
      </c>
      <c r="C1501" s="32" t="s">
        <v>1038</v>
      </c>
      <c r="D1501" s="32">
        <v>4430265054</v>
      </c>
      <c r="E1501" s="32">
        <v>283</v>
      </c>
      <c r="F1501" s="32">
        <v>230</v>
      </c>
      <c r="G1501" s="32" t="s">
        <v>44</v>
      </c>
      <c r="H1501" s="32" t="s">
        <v>1569</v>
      </c>
      <c r="I1501" s="32" t="s">
        <v>40</v>
      </c>
      <c r="J1501" s="32" t="s">
        <v>46</v>
      </c>
      <c r="K1501" s="32" t="s">
        <v>42</v>
      </c>
      <c r="L1501" s="32">
        <v>5</v>
      </c>
      <c r="M1501" s="32" t="s">
        <v>1040</v>
      </c>
      <c r="N1501" s="32" t="s">
        <v>1038</v>
      </c>
    </row>
    <row r="1502" spans="1:14" s="32" customFormat="1" hidden="1" x14ac:dyDescent="0.3">
      <c r="A1502" s="38">
        <v>46211.633634259262</v>
      </c>
      <c r="B1502" s="32" t="s">
        <v>207</v>
      </c>
      <c r="C1502" s="32">
        <v>4432226677</v>
      </c>
      <c r="E1502" s="32">
        <v>38</v>
      </c>
      <c r="F1502" s="32">
        <v>28</v>
      </c>
      <c r="G1502" s="32" t="s">
        <v>44</v>
      </c>
      <c r="H1502" s="32" t="s">
        <v>1570</v>
      </c>
      <c r="I1502" s="32" t="s">
        <v>54</v>
      </c>
      <c r="J1502" s="32" t="s">
        <v>111</v>
      </c>
      <c r="M1502" s="32" t="s">
        <v>209</v>
      </c>
      <c r="N1502" s="32" t="s">
        <v>207</v>
      </c>
    </row>
    <row r="1503" spans="1:14" s="32" customFormat="1" hidden="1" x14ac:dyDescent="0.3">
      <c r="A1503" s="38">
        <v>46211.632743055554</v>
      </c>
      <c r="B1503" s="32" t="s">
        <v>1038</v>
      </c>
      <c r="C1503" s="32">
        <v>44997561804</v>
      </c>
      <c r="E1503" s="32">
        <v>105</v>
      </c>
      <c r="F1503" s="32">
        <v>101</v>
      </c>
      <c r="G1503" s="32" t="s">
        <v>44</v>
      </c>
      <c r="H1503" s="32" t="s">
        <v>1571</v>
      </c>
      <c r="I1503" s="32" t="s">
        <v>54</v>
      </c>
      <c r="J1503" s="32" t="s">
        <v>46</v>
      </c>
      <c r="M1503" s="32" t="s">
        <v>1040</v>
      </c>
      <c r="N1503" s="32" t="s">
        <v>1038</v>
      </c>
    </row>
    <row r="1504" spans="1:14" s="32" customFormat="1" hidden="1" x14ac:dyDescent="0.3">
      <c r="A1504" s="38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38</v>
      </c>
      <c r="H1504" s="32" t="s">
        <v>1572</v>
      </c>
      <c r="I1504" s="32" t="s">
        <v>40</v>
      </c>
      <c r="J1504" s="32" t="s">
        <v>41</v>
      </c>
      <c r="K1504" s="32" t="s">
        <v>42</v>
      </c>
    </row>
    <row r="1505" spans="1:14" s="32" customFormat="1" hidden="1" x14ac:dyDescent="0.3">
      <c r="A1505" s="38">
        <v>46211.626180555555</v>
      </c>
      <c r="B1505" s="32" t="s">
        <v>207</v>
      </c>
      <c r="C1505" s="32">
        <v>4436761185</v>
      </c>
      <c r="E1505" s="32">
        <v>1</v>
      </c>
      <c r="F1505" s="32">
        <v>0</v>
      </c>
      <c r="G1505" s="32" t="s">
        <v>63</v>
      </c>
      <c r="H1505" s="32" t="s">
        <v>1573</v>
      </c>
      <c r="I1505" s="32" t="s">
        <v>54</v>
      </c>
      <c r="J1505" s="32" t="s">
        <v>111</v>
      </c>
      <c r="M1505" s="32" t="s">
        <v>209</v>
      </c>
      <c r="N1505" s="32" t="s">
        <v>207</v>
      </c>
    </row>
    <row r="1506" spans="1:14" s="32" customFormat="1" hidden="1" x14ac:dyDescent="0.3">
      <c r="A1506" s="38">
        <v>46211.625868055555</v>
      </c>
      <c r="B1506" s="32" t="s">
        <v>207</v>
      </c>
      <c r="C1506" s="32">
        <v>44999271285</v>
      </c>
      <c r="E1506" s="32">
        <v>23</v>
      </c>
      <c r="F1506" s="32">
        <v>2</v>
      </c>
      <c r="G1506" s="32" t="s">
        <v>44</v>
      </c>
      <c r="H1506" s="32" t="s">
        <v>1574</v>
      </c>
      <c r="I1506" s="32" t="s">
        <v>54</v>
      </c>
      <c r="J1506" s="32" t="s">
        <v>111</v>
      </c>
      <c r="M1506" s="32" t="s">
        <v>209</v>
      </c>
      <c r="N1506" s="32" t="s">
        <v>207</v>
      </c>
    </row>
    <row r="1507" spans="1:14" s="32" customFormat="1" hidden="1" x14ac:dyDescent="0.3">
      <c r="A1507" s="38">
        <v>46211.625590277778</v>
      </c>
      <c r="B1507" s="32" t="s">
        <v>207</v>
      </c>
      <c r="C1507" s="32">
        <v>44999271285</v>
      </c>
      <c r="E1507" s="32">
        <v>17</v>
      </c>
      <c r="F1507" s="32">
        <v>12</v>
      </c>
      <c r="G1507" s="32" t="s">
        <v>44</v>
      </c>
      <c r="H1507" s="32" t="s">
        <v>1575</v>
      </c>
      <c r="I1507" s="32" t="s">
        <v>54</v>
      </c>
      <c r="J1507" s="32" t="s">
        <v>111</v>
      </c>
      <c r="M1507" s="32" t="s">
        <v>209</v>
      </c>
      <c r="N1507" s="32" t="s">
        <v>207</v>
      </c>
    </row>
    <row r="1508" spans="1:14" s="32" customFormat="1" hidden="1" x14ac:dyDescent="0.3">
      <c r="A1508" s="38">
        <v>46211.624664351853</v>
      </c>
      <c r="B1508" s="32" t="s">
        <v>207</v>
      </c>
      <c r="C1508" s="32">
        <v>44999192702</v>
      </c>
      <c r="E1508" s="32">
        <v>47</v>
      </c>
      <c r="F1508" s="32">
        <v>39</v>
      </c>
      <c r="G1508" s="32" t="s">
        <v>44</v>
      </c>
      <c r="H1508" s="32" t="s">
        <v>1576</v>
      </c>
      <c r="I1508" s="32" t="s">
        <v>54</v>
      </c>
      <c r="J1508" s="32" t="s">
        <v>111</v>
      </c>
      <c r="M1508" s="32" t="s">
        <v>209</v>
      </c>
      <c r="N1508" s="32" t="s">
        <v>207</v>
      </c>
    </row>
    <row r="1509" spans="1:14" s="32" customFormat="1" hidden="1" x14ac:dyDescent="0.3">
      <c r="A1509" s="38">
        <v>46211.624606481484</v>
      </c>
      <c r="B1509" s="32">
        <v>44991041123</v>
      </c>
      <c r="C1509" s="32" t="s">
        <v>43</v>
      </c>
      <c r="D1509" s="32">
        <v>4430265054</v>
      </c>
      <c r="E1509" s="32">
        <v>510</v>
      </c>
      <c r="F1509" s="32">
        <v>430</v>
      </c>
      <c r="G1509" s="32" t="s">
        <v>44</v>
      </c>
      <c r="H1509" s="32" t="s">
        <v>1577</v>
      </c>
      <c r="I1509" s="32" t="s">
        <v>40</v>
      </c>
      <c r="J1509" s="32" t="s">
        <v>46</v>
      </c>
      <c r="K1509" s="32" t="s">
        <v>42</v>
      </c>
      <c r="M1509" s="32" t="s">
        <v>47</v>
      </c>
      <c r="N1509" s="32" t="s">
        <v>43</v>
      </c>
    </row>
    <row r="1510" spans="1:14" s="32" customFormat="1" hidden="1" x14ac:dyDescent="0.3">
      <c r="A1510" s="38">
        <v>46211.624560185184</v>
      </c>
      <c r="B1510" s="32" t="s">
        <v>207</v>
      </c>
      <c r="C1510" s="32">
        <v>4436761185</v>
      </c>
      <c r="E1510" s="32">
        <v>1</v>
      </c>
      <c r="F1510" s="32">
        <v>0</v>
      </c>
      <c r="G1510" s="32" t="s">
        <v>63</v>
      </c>
      <c r="H1510" s="32" t="s">
        <v>1578</v>
      </c>
      <c r="I1510" s="32" t="s">
        <v>54</v>
      </c>
      <c r="J1510" s="32" t="s">
        <v>111</v>
      </c>
      <c r="M1510" s="32" t="s">
        <v>209</v>
      </c>
      <c r="N1510" s="32" t="s">
        <v>207</v>
      </c>
    </row>
    <row r="1511" spans="1:14" s="32" customFormat="1" hidden="1" x14ac:dyDescent="0.3">
      <c r="A1511" s="38">
        <v>46211.624386574076</v>
      </c>
      <c r="B1511" s="32" t="s">
        <v>207</v>
      </c>
      <c r="C1511" s="32">
        <v>4436761185</v>
      </c>
      <c r="E1511" s="32">
        <v>2</v>
      </c>
      <c r="F1511" s="32">
        <v>0</v>
      </c>
      <c r="G1511" s="32" t="s">
        <v>63</v>
      </c>
      <c r="H1511" s="32" t="s">
        <v>1579</v>
      </c>
      <c r="I1511" s="32" t="s">
        <v>54</v>
      </c>
      <c r="J1511" s="32" t="s">
        <v>111</v>
      </c>
      <c r="M1511" s="32" t="s">
        <v>209</v>
      </c>
      <c r="N1511" s="32" t="s">
        <v>207</v>
      </c>
    </row>
    <row r="1512" spans="1:14" s="32" customFormat="1" hidden="1" x14ac:dyDescent="0.3">
      <c r="A1512" s="38">
        <v>46211.609976851854</v>
      </c>
      <c r="B1512" s="32">
        <v>62991155122</v>
      </c>
      <c r="C1512" s="32" t="s">
        <v>1038</v>
      </c>
      <c r="D1512" s="32">
        <v>4430265054</v>
      </c>
      <c r="E1512" s="32">
        <v>294</v>
      </c>
      <c r="F1512" s="32">
        <v>266</v>
      </c>
      <c r="G1512" s="32" t="s">
        <v>44</v>
      </c>
      <c r="H1512" s="32" t="s">
        <v>1580</v>
      </c>
      <c r="I1512" s="32" t="s">
        <v>40</v>
      </c>
      <c r="J1512" s="32" t="s">
        <v>46</v>
      </c>
      <c r="K1512" s="32" t="s">
        <v>42</v>
      </c>
      <c r="M1512" s="32" t="s">
        <v>1040</v>
      </c>
      <c r="N1512" s="32" t="s">
        <v>1038</v>
      </c>
    </row>
    <row r="1513" spans="1:14" s="32" customFormat="1" hidden="1" x14ac:dyDescent="0.3">
      <c r="A1513" s="38">
        <v>46211.60701388889</v>
      </c>
      <c r="B1513" s="32">
        <v>4436372125</v>
      </c>
      <c r="C1513" s="32" t="s">
        <v>58</v>
      </c>
      <c r="D1513" s="32">
        <v>4430265054</v>
      </c>
      <c r="E1513" s="32">
        <v>197</v>
      </c>
      <c r="F1513" s="32">
        <v>196</v>
      </c>
      <c r="G1513" s="32" t="s">
        <v>44</v>
      </c>
      <c r="H1513" s="32" t="s">
        <v>1581</v>
      </c>
      <c r="I1513" s="32" t="s">
        <v>40</v>
      </c>
      <c r="J1513" s="32" t="s">
        <v>46</v>
      </c>
      <c r="K1513" s="32" t="s">
        <v>42</v>
      </c>
      <c r="M1513" s="32" t="s">
        <v>60</v>
      </c>
      <c r="N1513" s="32" t="s">
        <v>58</v>
      </c>
    </row>
    <row r="1514" spans="1:14" s="32" customFormat="1" hidden="1" x14ac:dyDescent="0.3">
      <c r="A1514" s="38">
        <v>46211.599814814814</v>
      </c>
      <c r="B1514" s="32">
        <v>4433235524</v>
      </c>
      <c r="C1514" s="32" t="s">
        <v>1352</v>
      </c>
      <c r="D1514" s="32">
        <v>4430265054</v>
      </c>
      <c r="E1514" s="32">
        <v>1023</v>
      </c>
      <c r="F1514" s="32">
        <v>910</v>
      </c>
      <c r="G1514" s="32" t="s">
        <v>44</v>
      </c>
      <c r="H1514" s="32" t="s">
        <v>1582</v>
      </c>
      <c r="I1514" s="32" t="s">
        <v>40</v>
      </c>
      <c r="J1514" s="32" t="s">
        <v>46</v>
      </c>
      <c r="K1514" s="32" t="s">
        <v>42</v>
      </c>
      <c r="M1514" s="32" t="s">
        <v>1354</v>
      </c>
      <c r="N1514" s="32" t="s">
        <v>1352</v>
      </c>
    </row>
    <row r="1515" spans="1:14" s="32" customFormat="1" hidden="1" x14ac:dyDescent="0.3">
      <c r="A1515" s="38">
        <v>46211.599351851852</v>
      </c>
      <c r="B1515" s="32" t="s">
        <v>747</v>
      </c>
      <c r="C1515" s="32">
        <v>4430291622</v>
      </c>
      <c r="E1515" s="32">
        <v>40</v>
      </c>
      <c r="F1515" s="32">
        <v>32</v>
      </c>
      <c r="G1515" s="32" t="s">
        <v>44</v>
      </c>
      <c r="H1515" s="32" t="s">
        <v>1583</v>
      </c>
      <c r="I1515" s="32" t="s">
        <v>54</v>
      </c>
      <c r="J1515" s="32" t="s">
        <v>46</v>
      </c>
      <c r="M1515" s="32" t="s">
        <v>749</v>
      </c>
      <c r="N1515" s="32" t="s">
        <v>747</v>
      </c>
    </row>
    <row r="1516" spans="1:14" s="32" customFormat="1" hidden="1" x14ac:dyDescent="0.3">
      <c r="A1516" s="38">
        <v>46211.599247685182</v>
      </c>
      <c r="B1516" s="32">
        <v>4430414545</v>
      </c>
      <c r="C1516" s="32" t="s">
        <v>43</v>
      </c>
      <c r="D1516" s="32">
        <v>4430265054</v>
      </c>
      <c r="E1516" s="32">
        <v>692</v>
      </c>
      <c r="F1516" s="32">
        <v>672</v>
      </c>
      <c r="G1516" s="32" t="s">
        <v>44</v>
      </c>
      <c r="H1516" s="32" t="s">
        <v>1584</v>
      </c>
      <c r="I1516" s="32" t="s">
        <v>40</v>
      </c>
      <c r="J1516" s="32" t="s">
        <v>46</v>
      </c>
      <c r="K1516" s="32" t="s">
        <v>42</v>
      </c>
      <c r="M1516" s="32" t="s">
        <v>47</v>
      </c>
      <c r="N1516" s="32" t="s">
        <v>43</v>
      </c>
    </row>
    <row r="1517" spans="1:14" s="32" customFormat="1" hidden="1" x14ac:dyDescent="0.3">
      <c r="A1517" s="38">
        <v>46211.599247685182</v>
      </c>
      <c r="B1517" s="32" t="s">
        <v>747</v>
      </c>
      <c r="C1517" s="32">
        <v>4430291622</v>
      </c>
      <c r="E1517" s="32">
        <v>14</v>
      </c>
      <c r="F1517" s="32">
        <v>14</v>
      </c>
      <c r="G1517" s="32" t="s">
        <v>44</v>
      </c>
      <c r="H1517" s="32" t="s">
        <v>1585</v>
      </c>
      <c r="I1517" s="32" t="s">
        <v>54</v>
      </c>
      <c r="J1517" s="32" t="s">
        <v>46</v>
      </c>
      <c r="M1517" s="32" t="s">
        <v>749</v>
      </c>
      <c r="N1517" s="32" t="s">
        <v>747</v>
      </c>
    </row>
    <row r="1518" spans="1:14" s="32" customFormat="1" hidden="1" x14ac:dyDescent="0.3">
      <c r="A1518" s="38">
        <v>46211.59915509259</v>
      </c>
      <c r="B1518" s="32" t="s">
        <v>747</v>
      </c>
      <c r="C1518" s="32">
        <v>4430291622</v>
      </c>
      <c r="E1518" s="32">
        <v>13</v>
      </c>
      <c r="F1518" s="32">
        <v>13</v>
      </c>
      <c r="G1518" s="32" t="s">
        <v>44</v>
      </c>
      <c r="H1518" s="32" t="s">
        <v>1586</v>
      </c>
      <c r="I1518" s="32" t="s">
        <v>54</v>
      </c>
      <c r="J1518" s="32" t="s">
        <v>46</v>
      </c>
      <c r="M1518" s="32" t="s">
        <v>749</v>
      </c>
      <c r="N1518" s="32" t="s">
        <v>747</v>
      </c>
    </row>
    <row r="1519" spans="1:14" s="32" customFormat="1" hidden="1" x14ac:dyDescent="0.3">
      <c r="A1519" s="38">
        <v>46211.597094907411</v>
      </c>
      <c r="B1519" s="32">
        <v>4430291622</v>
      </c>
      <c r="C1519" s="32" t="s">
        <v>747</v>
      </c>
      <c r="D1519" s="32">
        <v>4430265054</v>
      </c>
      <c r="E1519" s="32">
        <v>175</v>
      </c>
      <c r="F1519" s="32">
        <v>19</v>
      </c>
      <c r="G1519" s="32" t="s">
        <v>44</v>
      </c>
      <c r="H1519" s="32" t="s">
        <v>1587</v>
      </c>
      <c r="I1519" s="32" t="s">
        <v>40</v>
      </c>
      <c r="J1519" s="32" t="s">
        <v>46</v>
      </c>
      <c r="K1519" s="32" t="s">
        <v>42</v>
      </c>
      <c r="M1519" s="32" t="s">
        <v>749</v>
      </c>
      <c r="N1519" s="32" t="s">
        <v>747</v>
      </c>
    </row>
    <row r="1520" spans="1:14" s="32" customFormat="1" hidden="1" x14ac:dyDescent="0.3">
      <c r="A1520" s="38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38</v>
      </c>
      <c r="H1520" s="32" t="s">
        <v>1588</v>
      </c>
      <c r="I1520" s="32" t="s">
        <v>40</v>
      </c>
      <c r="J1520" s="32" t="s">
        <v>41</v>
      </c>
      <c r="K1520" s="32" t="s">
        <v>42</v>
      </c>
    </row>
    <row r="1521" spans="1:14" s="32" customFormat="1" hidden="1" x14ac:dyDescent="0.3">
      <c r="A1521" s="38">
        <v>46211.594629629632</v>
      </c>
      <c r="B1521" s="32">
        <v>4432269849</v>
      </c>
      <c r="C1521" s="32" t="s">
        <v>1038</v>
      </c>
      <c r="D1521" s="32">
        <v>4430265054</v>
      </c>
      <c r="E1521" s="32">
        <v>879</v>
      </c>
      <c r="F1521" s="32">
        <v>727</v>
      </c>
      <c r="G1521" s="32" t="s">
        <v>44</v>
      </c>
      <c r="H1521" s="32" t="s">
        <v>1589</v>
      </c>
      <c r="I1521" s="32" t="s">
        <v>40</v>
      </c>
      <c r="J1521" s="32" t="s">
        <v>46</v>
      </c>
      <c r="K1521" s="32" t="s">
        <v>42</v>
      </c>
      <c r="L1521" s="32">
        <v>5</v>
      </c>
      <c r="M1521" s="32" t="s">
        <v>1040</v>
      </c>
      <c r="N1521" s="32" t="s">
        <v>1038</v>
      </c>
    </row>
    <row r="1522" spans="1:14" s="32" customFormat="1" hidden="1" x14ac:dyDescent="0.3">
      <c r="A1522" s="38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38</v>
      </c>
      <c r="H1522" s="32" t="s">
        <v>1590</v>
      </c>
      <c r="I1522" s="32" t="s">
        <v>40</v>
      </c>
      <c r="J1522" s="32" t="s">
        <v>41</v>
      </c>
    </row>
    <row r="1523" spans="1:14" s="32" customFormat="1" hidden="1" x14ac:dyDescent="0.3">
      <c r="A1523" s="38">
        <v>46211.592997685184</v>
      </c>
      <c r="B1523" s="32">
        <v>44999680829</v>
      </c>
      <c r="C1523" s="32" t="s">
        <v>58</v>
      </c>
      <c r="D1523" s="32">
        <v>4431268225</v>
      </c>
      <c r="E1523" s="32">
        <v>876</v>
      </c>
      <c r="F1523" s="32">
        <v>875</v>
      </c>
      <c r="G1523" s="32" t="s">
        <v>44</v>
      </c>
      <c r="H1523" s="32" t="s">
        <v>1591</v>
      </c>
      <c r="I1523" s="32" t="s">
        <v>40</v>
      </c>
      <c r="J1523" s="32" t="s">
        <v>46</v>
      </c>
      <c r="K1523" s="32" t="s">
        <v>42</v>
      </c>
      <c r="M1523" s="32" t="s">
        <v>60</v>
      </c>
      <c r="N1523" s="32" t="s">
        <v>58</v>
      </c>
    </row>
    <row r="1524" spans="1:14" s="32" customFormat="1" hidden="1" x14ac:dyDescent="0.3">
      <c r="A1524" s="38">
        <v>46211.592291666668</v>
      </c>
      <c r="B1524" s="32">
        <v>6234347959</v>
      </c>
      <c r="C1524" s="32" t="s">
        <v>43</v>
      </c>
      <c r="D1524" s="32">
        <v>4430265054</v>
      </c>
      <c r="E1524" s="32">
        <v>587</v>
      </c>
      <c r="F1524" s="32">
        <v>532</v>
      </c>
      <c r="G1524" s="32" t="s">
        <v>44</v>
      </c>
      <c r="H1524" s="32" t="s">
        <v>1592</v>
      </c>
      <c r="I1524" s="32" t="s">
        <v>40</v>
      </c>
      <c r="J1524" s="32" t="s">
        <v>46</v>
      </c>
      <c r="K1524" s="32" t="s">
        <v>42</v>
      </c>
      <c r="M1524" s="32" t="s">
        <v>47</v>
      </c>
      <c r="N1524" s="32" t="s">
        <v>43</v>
      </c>
    </row>
    <row r="1525" spans="1:14" s="32" customFormat="1" hidden="1" x14ac:dyDescent="0.3">
      <c r="A1525" s="38">
        <v>46211.584432870368</v>
      </c>
      <c r="B1525" s="32">
        <v>1128897100</v>
      </c>
      <c r="C1525" s="32" t="s">
        <v>207</v>
      </c>
      <c r="D1525" s="32">
        <v>4430265054</v>
      </c>
      <c r="E1525" s="32">
        <v>128</v>
      </c>
      <c r="F1525" s="32">
        <v>105</v>
      </c>
      <c r="G1525" s="32" t="s">
        <v>44</v>
      </c>
      <c r="H1525" s="32" t="s">
        <v>1593</v>
      </c>
      <c r="I1525" s="32" t="s">
        <v>40</v>
      </c>
      <c r="J1525" s="32" t="s">
        <v>111</v>
      </c>
      <c r="K1525" s="32" t="s">
        <v>212</v>
      </c>
      <c r="M1525" s="32" t="s">
        <v>209</v>
      </c>
      <c r="N1525" s="32" t="s">
        <v>207</v>
      </c>
    </row>
    <row r="1526" spans="1:14" s="32" customFormat="1" hidden="1" x14ac:dyDescent="0.3">
      <c r="A1526" s="38">
        <v>46211.580497685187</v>
      </c>
      <c r="B1526" s="32">
        <v>4334226481</v>
      </c>
      <c r="C1526" s="32" t="s">
        <v>1352</v>
      </c>
      <c r="D1526" s="32">
        <v>4430265054</v>
      </c>
      <c r="E1526" s="32">
        <v>1738</v>
      </c>
      <c r="F1526" s="32">
        <v>1704</v>
      </c>
      <c r="G1526" s="32" t="s">
        <v>44</v>
      </c>
      <c r="H1526" s="32" t="s">
        <v>1594</v>
      </c>
      <c r="I1526" s="32" t="s">
        <v>40</v>
      </c>
      <c r="J1526" s="32" t="s">
        <v>46</v>
      </c>
      <c r="K1526" s="32" t="s">
        <v>42</v>
      </c>
      <c r="M1526" s="32" t="s">
        <v>1354</v>
      </c>
      <c r="N1526" s="32" t="s">
        <v>1352</v>
      </c>
    </row>
    <row r="1527" spans="1:14" s="32" customFormat="1" hidden="1" x14ac:dyDescent="0.3">
      <c r="A1527" s="38">
        <v>46211.577847222223</v>
      </c>
      <c r="B1527" s="32">
        <v>41999853283</v>
      </c>
      <c r="C1527" s="32" t="s">
        <v>43</v>
      </c>
      <c r="D1527" s="32">
        <v>4430265054</v>
      </c>
      <c r="E1527" s="32">
        <v>573</v>
      </c>
      <c r="F1527" s="32">
        <v>457</v>
      </c>
      <c r="G1527" s="32" t="s">
        <v>44</v>
      </c>
      <c r="H1527" s="32" t="s">
        <v>1595</v>
      </c>
      <c r="I1527" s="32" t="s">
        <v>40</v>
      </c>
      <c r="J1527" s="32" t="s">
        <v>46</v>
      </c>
      <c r="K1527" s="32" t="s">
        <v>42</v>
      </c>
      <c r="L1527" s="32">
        <v>5</v>
      </c>
      <c r="M1527" s="32" t="s">
        <v>47</v>
      </c>
      <c r="N1527" s="32" t="s">
        <v>43</v>
      </c>
    </row>
    <row r="1528" spans="1:14" s="32" customFormat="1" hidden="1" x14ac:dyDescent="0.3">
      <c r="A1528" s="38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38</v>
      </c>
      <c r="H1528" s="32" t="s">
        <v>1596</v>
      </c>
      <c r="I1528" s="32" t="s">
        <v>40</v>
      </c>
      <c r="J1528" s="32" t="s">
        <v>41</v>
      </c>
    </row>
    <row r="1529" spans="1:14" s="32" customFormat="1" hidden="1" x14ac:dyDescent="0.3">
      <c r="A1529" s="38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38</v>
      </c>
      <c r="H1529" s="32" t="s">
        <v>1597</v>
      </c>
      <c r="I1529" s="32" t="s">
        <v>40</v>
      </c>
      <c r="J1529" s="32" t="s">
        <v>41</v>
      </c>
    </row>
    <row r="1530" spans="1:14" s="32" customFormat="1" hidden="1" x14ac:dyDescent="0.3">
      <c r="A1530" s="38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38</v>
      </c>
      <c r="H1530" s="32" t="s">
        <v>1598</v>
      </c>
      <c r="I1530" s="32" t="s">
        <v>40</v>
      </c>
      <c r="J1530" s="32" t="s">
        <v>41</v>
      </c>
    </row>
    <row r="1531" spans="1:14" s="32" customFormat="1" hidden="1" x14ac:dyDescent="0.3">
      <c r="A1531" s="38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38</v>
      </c>
      <c r="H1531" s="32" t="s">
        <v>1599</v>
      </c>
      <c r="I1531" s="32" t="s">
        <v>40</v>
      </c>
      <c r="J1531" s="32" t="s">
        <v>41</v>
      </c>
    </row>
    <row r="1532" spans="1:14" s="32" customFormat="1" hidden="1" x14ac:dyDescent="0.3">
      <c r="A1532" s="38">
        <v>46211.498043981483</v>
      </c>
      <c r="B1532" s="32" t="s">
        <v>379</v>
      </c>
      <c r="C1532" s="32" t="s">
        <v>207</v>
      </c>
      <c r="E1532" s="32">
        <v>113</v>
      </c>
      <c r="F1532" s="32">
        <v>108</v>
      </c>
      <c r="G1532" s="32" t="s">
        <v>44</v>
      </c>
      <c r="H1532" s="32" t="s">
        <v>1600</v>
      </c>
      <c r="I1532" s="32" t="s">
        <v>694</v>
      </c>
      <c r="J1532" s="32" t="s">
        <v>111</v>
      </c>
      <c r="M1532" s="32" t="s">
        <v>381</v>
      </c>
      <c r="N1532" s="32" t="s">
        <v>379</v>
      </c>
    </row>
    <row r="1533" spans="1:14" s="32" customFormat="1" hidden="1" x14ac:dyDescent="0.3">
      <c r="A1533" s="38">
        <v>46211.49423611111</v>
      </c>
      <c r="B1533" s="32">
        <v>35998295948</v>
      </c>
      <c r="C1533" s="32" t="s">
        <v>1038</v>
      </c>
      <c r="D1533" s="32">
        <v>4430265054</v>
      </c>
      <c r="E1533" s="32">
        <v>440</v>
      </c>
      <c r="F1533" s="32">
        <v>302</v>
      </c>
      <c r="G1533" s="32" t="s">
        <v>44</v>
      </c>
      <c r="H1533" s="32" t="s">
        <v>1601</v>
      </c>
      <c r="I1533" s="32" t="s">
        <v>40</v>
      </c>
      <c r="J1533" s="32" t="s">
        <v>46</v>
      </c>
      <c r="K1533" s="32" t="s">
        <v>42</v>
      </c>
      <c r="L1533" s="32">
        <v>5</v>
      </c>
      <c r="M1533" s="32" t="s">
        <v>1040</v>
      </c>
      <c r="N1533" s="32" t="s">
        <v>1038</v>
      </c>
    </row>
    <row r="1534" spans="1:14" s="32" customFormat="1" hidden="1" x14ac:dyDescent="0.3">
      <c r="A1534" s="38">
        <v>46211.493888888886</v>
      </c>
      <c r="B1534" s="32">
        <v>44991680681</v>
      </c>
      <c r="C1534" s="32" t="s">
        <v>207</v>
      </c>
      <c r="D1534" s="32">
        <v>4430265054</v>
      </c>
      <c r="E1534" s="32">
        <v>123</v>
      </c>
      <c r="F1534" s="32">
        <v>42</v>
      </c>
      <c r="G1534" s="32" t="s">
        <v>44</v>
      </c>
      <c r="H1534" s="32" t="s">
        <v>1602</v>
      </c>
      <c r="I1534" s="32" t="s">
        <v>40</v>
      </c>
      <c r="J1534" s="32" t="s">
        <v>111</v>
      </c>
      <c r="K1534" s="32" t="s">
        <v>212</v>
      </c>
      <c r="M1534" s="32" t="s">
        <v>209</v>
      </c>
      <c r="N1534" s="32" t="s">
        <v>207</v>
      </c>
    </row>
    <row r="1535" spans="1:14" s="32" customFormat="1" hidden="1" x14ac:dyDescent="0.3">
      <c r="A1535" s="38">
        <v>46211.487407407411</v>
      </c>
      <c r="B1535" s="32">
        <v>41999717893</v>
      </c>
      <c r="C1535" s="32" t="s">
        <v>43</v>
      </c>
      <c r="D1535" s="32">
        <v>4430265054</v>
      </c>
      <c r="E1535" s="32">
        <v>226</v>
      </c>
      <c r="F1535" s="32">
        <v>185</v>
      </c>
      <c r="G1535" s="32" t="s">
        <v>44</v>
      </c>
      <c r="H1535" s="32" t="s">
        <v>1603</v>
      </c>
      <c r="I1535" s="32" t="s">
        <v>40</v>
      </c>
      <c r="J1535" s="32" t="s">
        <v>46</v>
      </c>
      <c r="K1535" s="32" t="s">
        <v>42</v>
      </c>
      <c r="M1535" s="32" t="s">
        <v>47</v>
      </c>
      <c r="N1535" s="32" t="s">
        <v>43</v>
      </c>
    </row>
    <row r="1536" spans="1:14" s="32" customFormat="1" hidden="1" x14ac:dyDescent="0.3">
      <c r="A1536" s="38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44</v>
      </c>
      <c r="H1536" s="32" t="s">
        <v>1604</v>
      </c>
      <c r="I1536" s="32" t="s">
        <v>40</v>
      </c>
      <c r="J1536" s="32" t="s">
        <v>41</v>
      </c>
      <c r="K1536" s="32" t="s">
        <v>42</v>
      </c>
    </row>
    <row r="1537" spans="1:14" s="32" customFormat="1" hidden="1" x14ac:dyDescent="0.3">
      <c r="A1537" s="38">
        <v>46211.484907407408</v>
      </c>
      <c r="B1537" s="32">
        <v>4330333558</v>
      </c>
      <c r="C1537" s="32" t="s">
        <v>58</v>
      </c>
      <c r="D1537" s="32">
        <v>4430265054</v>
      </c>
      <c r="E1537" s="32">
        <v>447</v>
      </c>
      <c r="F1537" s="32">
        <v>447</v>
      </c>
      <c r="G1537" s="32" t="s">
        <v>44</v>
      </c>
      <c r="H1537" s="32" t="s">
        <v>1605</v>
      </c>
      <c r="I1537" s="32" t="s">
        <v>40</v>
      </c>
      <c r="J1537" s="32" t="s">
        <v>46</v>
      </c>
      <c r="K1537" s="32" t="s">
        <v>42</v>
      </c>
      <c r="M1537" s="32" t="s">
        <v>60</v>
      </c>
      <c r="N1537" s="32" t="s">
        <v>58</v>
      </c>
    </row>
    <row r="1538" spans="1:14" s="32" customFormat="1" hidden="1" x14ac:dyDescent="0.3">
      <c r="A1538" s="38">
        <v>46211.479016203702</v>
      </c>
      <c r="B1538" s="32">
        <v>35998295948</v>
      </c>
      <c r="C1538" s="32" t="s">
        <v>1038</v>
      </c>
      <c r="D1538" s="32">
        <v>4430265054</v>
      </c>
      <c r="E1538" s="32">
        <v>690</v>
      </c>
      <c r="F1538" s="32">
        <v>569</v>
      </c>
      <c r="G1538" s="32" t="s">
        <v>44</v>
      </c>
      <c r="H1538" s="32" t="s">
        <v>1606</v>
      </c>
      <c r="I1538" s="32" t="s">
        <v>40</v>
      </c>
      <c r="J1538" s="32" t="s">
        <v>46</v>
      </c>
      <c r="K1538" s="32" t="s">
        <v>42</v>
      </c>
      <c r="M1538" s="32" t="s">
        <v>1040</v>
      </c>
      <c r="N1538" s="32" t="s">
        <v>1038</v>
      </c>
    </row>
    <row r="1539" spans="1:14" s="32" customFormat="1" hidden="1" x14ac:dyDescent="0.3">
      <c r="A1539" s="38">
        <v>46211.470833333333</v>
      </c>
      <c r="B1539" s="32" t="s">
        <v>1038</v>
      </c>
      <c r="C1539" s="32">
        <v>44997687156</v>
      </c>
      <c r="E1539" s="32">
        <v>648</v>
      </c>
      <c r="F1539" s="32">
        <v>638</v>
      </c>
      <c r="G1539" s="32" t="s">
        <v>44</v>
      </c>
      <c r="H1539" s="32" t="s">
        <v>1607</v>
      </c>
      <c r="I1539" s="32" t="s">
        <v>54</v>
      </c>
      <c r="J1539" s="32" t="s">
        <v>46</v>
      </c>
      <c r="L1539" s="32">
        <v>5</v>
      </c>
      <c r="M1539" s="32" t="s">
        <v>1040</v>
      </c>
      <c r="N1539" s="32" t="s">
        <v>1038</v>
      </c>
    </row>
    <row r="1540" spans="1:14" s="32" customFormat="1" hidden="1" x14ac:dyDescent="0.3">
      <c r="A1540" s="38">
        <v>46211.470312500001</v>
      </c>
      <c r="B1540" s="32" t="s">
        <v>1038</v>
      </c>
      <c r="C1540" s="32">
        <v>44999065969</v>
      </c>
      <c r="E1540" s="32">
        <v>37</v>
      </c>
      <c r="F1540" s="32">
        <v>0</v>
      </c>
      <c r="G1540" s="32" t="s">
        <v>63</v>
      </c>
      <c r="H1540" s="32" t="s">
        <v>1608</v>
      </c>
      <c r="I1540" s="32" t="s">
        <v>54</v>
      </c>
      <c r="J1540" s="32" t="s">
        <v>46</v>
      </c>
      <c r="M1540" s="32" t="s">
        <v>1040</v>
      </c>
      <c r="N1540" s="32" t="s">
        <v>1038</v>
      </c>
    </row>
    <row r="1541" spans="1:14" s="32" customFormat="1" hidden="1" x14ac:dyDescent="0.3">
      <c r="A1541" s="38">
        <v>46211.46979166667</v>
      </c>
      <c r="B1541" s="32" t="s">
        <v>1038</v>
      </c>
      <c r="C1541" s="32">
        <v>44999065969</v>
      </c>
      <c r="E1541" s="32">
        <v>39</v>
      </c>
      <c r="F1541" s="32">
        <v>0</v>
      </c>
      <c r="G1541" s="32" t="s">
        <v>63</v>
      </c>
      <c r="H1541" s="32" t="s">
        <v>1609</v>
      </c>
      <c r="I1541" s="32" t="s">
        <v>54</v>
      </c>
      <c r="J1541" s="32" t="s">
        <v>46</v>
      </c>
      <c r="M1541" s="32" t="s">
        <v>1040</v>
      </c>
      <c r="N1541" s="32" t="s">
        <v>1038</v>
      </c>
    </row>
    <row r="1542" spans="1:14" s="32" customFormat="1" hidden="1" x14ac:dyDescent="0.3">
      <c r="A1542" s="38">
        <v>46211.469525462962</v>
      </c>
      <c r="B1542" s="32" t="s">
        <v>1038</v>
      </c>
      <c r="C1542" s="32">
        <v>44997006780</v>
      </c>
      <c r="E1542" s="32">
        <v>11</v>
      </c>
      <c r="F1542" s="32">
        <v>0</v>
      </c>
      <c r="G1542" s="32" t="s">
        <v>63</v>
      </c>
      <c r="H1542" s="32" t="s">
        <v>1610</v>
      </c>
      <c r="I1542" s="32" t="s">
        <v>54</v>
      </c>
      <c r="J1542" s="32" t="s">
        <v>46</v>
      </c>
      <c r="M1542" s="32" t="s">
        <v>1040</v>
      </c>
      <c r="N1542" s="32" t="s">
        <v>1038</v>
      </c>
    </row>
    <row r="1543" spans="1:14" s="32" customFormat="1" hidden="1" x14ac:dyDescent="0.3">
      <c r="A1543" s="38">
        <v>46211.467523148145</v>
      </c>
      <c r="B1543" s="32" t="s">
        <v>747</v>
      </c>
      <c r="C1543" s="32">
        <v>19996468864</v>
      </c>
      <c r="E1543" s="32">
        <v>6</v>
      </c>
      <c r="F1543" s="32">
        <v>0</v>
      </c>
      <c r="G1543" s="32" t="s">
        <v>63</v>
      </c>
      <c r="H1543" s="32" t="s">
        <v>1611</v>
      </c>
      <c r="I1543" s="32" t="s">
        <v>54</v>
      </c>
      <c r="J1543" s="32" t="s">
        <v>46</v>
      </c>
      <c r="M1543" s="32" t="s">
        <v>749</v>
      </c>
      <c r="N1543" s="32" t="s">
        <v>747</v>
      </c>
    </row>
    <row r="1544" spans="1:14" s="32" customFormat="1" hidden="1" x14ac:dyDescent="0.3">
      <c r="A1544" s="38">
        <v>46211.467476851853</v>
      </c>
      <c r="B1544" s="32" t="s">
        <v>747</v>
      </c>
      <c r="C1544" s="32">
        <v>19996468864</v>
      </c>
      <c r="E1544" s="32">
        <v>1</v>
      </c>
      <c r="F1544" s="32">
        <v>0</v>
      </c>
      <c r="G1544" s="32" t="s">
        <v>63</v>
      </c>
      <c r="H1544" s="32" t="s">
        <v>1612</v>
      </c>
      <c r="I1544" s="32" t="s">
        <v>54</v>
      </c>
      <c r="J1544" s="32" t="s">
        <v>46</v>
      </c>
      <c r="M1544" s="32" t="s">
        <v>749</v>
      </c>
      <c r="N1544" s="32" t="s">
        <v>747</v>
      </c>
    </row>
    <row r="1545" spans="1:14" s="32" customFormat="1" hidden="1" x14ac:dyDescent="0.3">
      <c r="A1545" s="38">
        <v>46211.466863425929</v>
      </c>
      <c r="B1545" s="32" t="s">
        <v>747</v>
      </c>
      <c r="C1545" s="32">
        <v>19996468864</v>
      </c>
      <c r="E1545" s="32">
        <v>48</v>
      </c>
      <c r="F1545" s="32">
        <v>27</v>
      </c>
      <c r="G1545" s="32" t="s">
        <v>44</v>
      </c>
      <c r="H1545" s="32" t="s">
        <v>1613</v>
      </c>
      <c r="I1545" s="32" t="s">
        <v>54</v>
      </c>
      <c r="J1545" s="32" t="s">
        <v>46</v>
      </c>
      <c r="M1545" s="32" t="s">
        <v>749</v>
      </c>
      <c r="N1545" s="32" t="s">
        <v>747</v>
      </c>
    </row>
    <row r="1546" spans="1:14" s="32" customFormat="1" hidden="1" x14ac:dyDescent="0.3">
      <c r="A1546" s="38">
        <v>46211.466446759259</v>
      </c>
      <c r="B1546" s="32">
        <v>4433235524</v>
      </c>
      <c r="C1546" s="32" t="s">
        <v>58</v>
      </c>
      <c r="D1546" s="32">
        <v>4430265054</v>
      </c>
      <c r="E1546" s="32">
        <v>137</v>
      </c>
      <c r="F1546" s="32">
        <v>115</v>
      </c>
      <c r="G1546" s="32" t="s">
        <v>44</v>
      </c>
      <c r="H1546" s="32" t="s">
        <v>1614</v>
      </c>
      <c r="I1546" s="32" t="s">
        <v>40</v>
      </c>
      <c r="J1546" s="32" t="s">
        <v>46</v>
      </c>
      <c r="K1546" s="32" t="s">
        <v>42</v>
      </c>
      <c r="M1546" s="32" t="s">
        <v>60</v>
      </c>
      <c r="N1546" s="32" t="s">
        <v>58</v>
      </c>
    </row>
    <row r="1547" spans="1:14" s="32" customFormat="1" hidden="1" x14ac:dyDescent="0.3">
      <c r="A1547" s="38">
        <v>46211.46634259259</v>
      </c>
      <c r="B1547" s="32">
        <v>6234347959</v>
      </c>
      <c r="C1547" s="32" t="s">
        <v>43</v>
      </c>
      <c r="D1547" s="32">
        <v>4430265054</v>
      </c>
      <c r="E1547" s="32">
        <v>862</v>
      </c>
      <c r="F1547" s="32">
        <v>836</v>
      </c>
      <c r="G1547" s="32" t="s">
        <v>44</v>
      </c>
      <c r="H1547" s="32" t="s">
        <v>1615</v>
      </c>
      <c r="I1547" s="32" t="s">
        <v>40</v>
      </c>
      <c r="J1547" s="32" t="s">
        <v>46</v>
      </c>
      <c r="K1547" s="32" t="s">
        <v>42</v>
      </c>
      <c r="L1547" s="32">
        <v>5</v>
      </c>
      <c r="M1547" s="32" t="s">
        <v>47</v>
      </c>
      <c r="N1547" s="32" t="s">
        <v>43</v>
      </c>
    </row>
    <row r="1548" spans="1:14" s="32" customFormat="1" hidden="1" x14ac:dyDescent="0.3">
      <c r="A1548" s="38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38</v>
      </c>
      <c r="H1548" s="32" t="s">
        <v>1616</v>
      </c>
      <c r="I1548" s="32" t="s">
        <v>40</v>
      </c>
      <c r="J1548" s="32" t="s">
        <v>41</v>
      </c>
      <c r="K1548" s="32" t="s">
        <v>42</v>
      </c>
    </row>
    <row r="1549" spans="1:14" s="32" customFormat="1" hidden="1" x14ac:dyDescent="0.3">
      <c r="A1549" s="38">
        <v>46211.464999999997</v>
      </c>
      <c r="B1549" s="32" t="s">
        <v>747</v>
      </c>
      <c r="C1549" s="32">
        <v>19996468864</v>
      </c>
      <c r="E1549" s="32">
        <v>38</v>
      </c>
      <c r="F1549" s="32">
        <v>0</v>
      </c>
      <c r="G1549" s="32" t="s">
        <v>63</v>
      </c>
      <c r="H1549" s="32" t="s">
        <v>1617</v>
      </c>
      <c r="I1549" s="32" t="s">
        <v>54</v>
      </c>
      <c r="J1549" s="32" t="s">
        <v>46</v>
      </c>
      <c r="M1549" s="32" t="s">
        <v>749</v>
      </c>
      <c r="N1549" s="32" t="s">
        <v>747</v>
      </c>
    </row>
    <row r="1550" spans="1:14" s="32" customFormat="1" hidden="1" x14ac:dyDescent="0.3">
      <c r="A1550" s="38">
        <v>46211.464479166665</v>
      </c>
      <c r="B1550" s="32" t="s">
        <v>747</v>
      </c>
      <c r="C1550" s="32">
        <v>19996468864</v>
      </c>
      <c r="E1550" s="32">
        <v>41</v>
      </c>
      <c r="F1550" s="32">
        <v>0</v>
      </c>
      <c r="G1550" s="32" t="s">
        <v>63</v>
      </c>
      <c r="H1550" s="32" t="s">
        <v>1618</v>
      </c>
      <c r="I1550" s="32" t="s">
        <v>54</v>
      </c>
      <c r="J1550" s="32" t="s">
        <v>46</v>
      </c>
      <c r="M1550" s="32" t="s">
        <v>749</v>
      </c>
      <c r="N1550" s="32" t="s">
        <v>747</v>
      </c>
    </row>
    <row r="1551" spans="1:14" s="32" customFormat="1" hidden="1" x14ac:dyDescent="0.3">
      <c r="A1551" s="38">
        <v>46211.464166666665</v>
      </c>
      <c r="B1551" s="32">
        <v>4430459032</v>
      </c>
      <c r="C1551" s="32" t="s">
        <v>1352</v>
      </c>
      <c r="D1551" s="32">
        <v>4430265054</v>
      </c>
      <c r="E1551" s="32">
        <v>1014</v>
      </c>
      <c r="F1551" s="32">
        <v>942</v>
      </c>
      <c r="G1551" s="32" t="s">
        <v>44</v>
      </c>
      <c r="H1551" s="32" t="s">
        <v>1619</v>
      </c>
      <c r="I1551" s="32" t="s">
        <v>40</v>
      </c>
      <c r="J1551" s="32" t="s">
        <v>46</v>
      </c>
      <c r="K1551" s="32" t="s">
        <v>42</v>
      </c>
      <c r="L1551" s="32">
        <v>5</v>
      </c>
      <c r="M1551" s="32" t="s">
        <v>1354</v>
      </c>
      <c r="N1551" s="32" t="s">
        <v>1352</v>
      </c>
    </row>
    <row r="1552" spans="1:14" s="32" customFormat="1" hidden="1" x14ac:dyDescent="0.3">
      <c r="A1552" s="38">
        <v>46211.461226851854</v>
      </c>
      <c r="B1552" s="32">
        <v>4432637197</v>
      </c>
      <c r="C1552" s="32" t="s">
        <v>43</v>
      </c>
      <c r="D1552" s="32">
        <v>4430265054</v>
      </c>
      <c r="E1552" s="32">
        <v>267</v>
      </c>
      <c r="F1552" s="32">
        <v>221</v>
      </c>
      <c r="G1552" s="32" t="s">
        <v>44</v>
      </c>
      <c r="H1552" s="32" t="s">
        <v>1620</v>
      </c>
      <c r="I1552" s="32" t="s">
        <v>40</v>
      </c>
      <c r="J1552" s="32" t="s">
        <v>46</v>
      </c>
      <c r="K1552" s="32" t="s">
        <v>42</v>
      </c>
      <c r="M1552" s="32" t="s">
        <v>47</v>
      </c>
      <c r="N1552" s="32" t="s">
        <v>43</v>
      </c>
    </row>
    <row r="1553" spans="1:14" s="32" customFormat="1" hidden="1" x14ac:dyDescent="0.3">
      <c r="A1553" s="38">
        <v>46211.458321759259</v>
      </c>
      <c r="B1553" s="32">
        <v>4432322192</v>
      </c>
      <c r="C1553" s="32" t="s">
        <v>1038</v>
      </c>
      <c r="D1553" s="32">
        <v>4430265054</v>
      </c>
      <c r="E1553" s="32">
        <v>480</v>
      </c>
      <c r="F1553" s="32">
        <v>448</v>
      </c>
      <c r="G1553" s="32" t="s">
        <v>44</v>
      </c>
      <c r="H1553" s="32" t="s">
        <v>1621</v>
      </c>
      <c r="I1553" s="32" t="s">
        <v>40</v>
      </c>
      <c r="J1553" s="32" t="s">
        <v>46</v>
      </c>
      <c r="K1553" s="32" t="s">
        <v>42</v>
      </c>
      <c r="L1553" s="32">
        <v>5</v>
      </c>
      <c r="M1553" s="32" t="s">
        <v>1040</v>
      </c>
      <c r="N1553" s="32" t="s">
        <v>1038</v>
      </c>
    </row>
    <row r="1554" spans="1:14" s="32" customFormat="1" hidden="1" x14ac:dyDescent="0.3">
      <c r="A1554" s="38">
        <v>46211.457256944443</v>
      </c>
      <c r="B1554" s="32">
        <v>91989363636</v>
      </c>
      <c r="C1554" s="32" t="s">
        <v>43</v>
      </c>
      <c r="D1554" s="32">
        <v>4430265054</v>
      </c>
      <c r="E1554" s="32">
        <v>149</v>
      </c>
      <c r="F1554" s="32">
        <v>126</v>
      </c>
      <c r="G1554" s="32" t="s">
        <v>44</v>
      </c>
      <c r="H1554" s="32" t="s">
        <v>1622</v>
      </c>
      <c r="I1554" s="32" t="s">
        <v>40</v>
      </c>
      <c r="J1554" s="32" t="s">
        <v>46</v>
      </c>
      <c r="K1554" s="32" t="s">
        <v>42</v>
      </c>
      <c r="L1554" s="32">
        <v>5</v>
      </c>
      <c r="M1554" s="32" t="s">
        <v>47</v>
      </c>
      <c r="N1554" s="32" t="s">
        <v>43</v>
      </c>
    </row>
    <row r="1555" spans="1:14" s="32" customFormat="1" hidden="1" x14ac:dyDescent="0.3">
      <c r="A1555" s="38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38</v>
      </c>
      <c r="H1555" s="32" t="s">
        <v>1623</v>
      </c>
      <c r="I1555" s="32" t="s">
        <v>40</v>
      </c>
      <c r="J1555" s="32" t="s">
        <v>41</v>
      </c>
    </row>
    <row r="1556" spans="1:14" s="32" customFormat="1" hidden="1" x14ac:dyDescent="0.3">
      <c r="A1556" s="38">
        <v>46211.450312499997</v>
      </c>
      <c r="B1556" s="32" t="s">
        <v>747</v>
      </c>
      <c r="C1556" s="32">
        <v>41999209313</v>
      </c>
      <c r="E1556" s="32">
        <v>782</v>
      </c>
      <c r="F1556" s="32">
        <v>762</v>
      </c>
      <c r="G1556" s="32" t="s">
        <v>44</v>
      </c>
      <c r="H1556" s="32" t="s">
        <v>1624</v>
      </c>
      <c r="I1556" s="32" t="s">
        <v>54</v>
      </c>
      <c r="J1556" s="32" t="s">
        <v>46</v>
      </c>
      <c r="M1556" s="32" t="s">
        <v>749</v>
      </c>
      <c r="N1556" s="32" t="s">
        <v>747</v>
      </c>
    </row>
    <row r="1557" spans="1:14" s="32" customFormat="1" hidden="1" x14ac:dyDescent="0.3">
      <c r="A1557" s="38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38</v>
      </c>
      <c r="H1557" s="32" t="s">
        <v>1625</v>
      </c>
      <c r="I1557" s="32" t="s">
        <v>40</v>
      </c>
      <c r="J1557" s="32" t="s">
        <v>41</v>
      </c>
      <c r="K1557" s="32" t="s">
        <v>42</v>
      </c>
    </row>
    <row r="1558" spans="1:14" s="32" customFormat="1" hidden="1" x14ac:dyDescent="0.3">
      <c r="A1558" s="38">
        <v>46211.449606481481</v>
      </c>
      <c r="B1558" s="32" t="s">
        <v>1038</v>
      </c>
      <c r="C1558" s="32">
        <v>44997687156</v>
      </c>
      <c r="E1558" s="32">
        <v>34</v>
      </c>
      <c r="F1558" s="32">
        <v>27</v>
      </c>
      <c r="G1558" s="32" t="s">
        <v>44</v>
      </c>
      <c r="H1558" s="32" t="s">
        <v>1626</v>
      </c>
      <c r="I1558" s="32" t="s">
        <v>54</v>
      </c>
      <c r="J1558" s="32" t="s">
        <v>46</v>
      </c>
      <c r="M1558" s="32" t="s">
        <v>1040</v>
      </c>
      <c r="N1558" s="32" t="s">
        <v>1038</v>
      </c>
    </row>
    <row r="1559" spans="1:14" s="32" customFormat="1" hidden="1" x14ac:dyDescent="0.3">
      <c r="A1559" s="38">
        <v>46211.449340277781</v>
      </c>
      <c r="B1559" s="32" t="s">
        <v>1038</v>
      </c>
      <c r="C1559" s="32">
        <v>44997687156</v>
      </c>
      <c r="E1559" s="32">
        <v>15</v>
      </c>
      <c r="F1559" s="32">
        <v>0</v>
      </c>
      <c r="G1559" s="32" t="s">
        <v>63</v>
      </c>
      <c r="H1559" s="32" t="s">
        <v>1627</v>
      </c>
      <c r="I1559" s="32" t="s">
        <v>54</v>
      </c>
      <c r="J1559" s="32" t="s">
        <v>46</v>
      </c>
      <c r="M1559" s="32" t="s">
        <v>1040</v>
      </c>
      <c r="N1559" s="32" t="s">
        <v>1038</v>
      </c>
    </row>
    <row r="1560" spans="1:14" s="32" customFormat="1" hidden="1" x14ac:dyDescent="0.3">
      <c r="A1560" s="38">
        <v>46211.448784722219</v>
      </c>
      <c r="B1560" s="32" t="s">
        <v>747</v>
      </c>
      <c r="C1560" s="32">
        <v>44998342598</v>
      </c>
      <c r="E1560" s="32">
        <v>12</v>
      </c>
      <c r="F1560" s="32">
        <v>0</v>
      </c>
      <c r="G1560" s="32" t="s">
        <v>63</v>
      </c>
      <c r="H1560" s="32" t="s">
        <v>1628</v>
      </c>
      <c r="I1560" s="32" t="s">
        <v>54</v>
      </c>
      <c r="J1560" s="32" t="s">
        <v>46</v>
      </c>
      <c r="M1560" s="32" t="s">
        <v>749</v>
      </c>
      <c r="N1560" s="32" t="s">
        <v>747</v>
      </c>
    </row>
    <row r="1561" spans="1:14" s="32" customFormat="1" hidden="1" x14ac:dyDescent="0.3">
      <c r="A1561" s="38">
        <v>46211.447650462964</v>
      </c>
      <c r="B1561" s="32" t="s">
        <v>1038</v>
      </c>
      <c r="C1561" s="32">
        <v>44999065969</v>
      </c>
      <c r="E1561" s="32">
        <v>34</v>
      </c>
      <c r="F1561" s="32">
        <v>0</v>
      </c>
      <c r="G1561" s="32" t="s">
        <v>63</v>
      </c>
      <c r="H1561" s="32" t="s">
        <v>1629</v>
      </c>
      <c r="I1561" s="32" t="s">
        <v>54</v>
      </c>
      <c r="J1561" s="32" t="s">
        <v>46</v>
      </c>
      <c r="M1561" s="32" t="s">
        <v>1040</v>
      </c>
      <c r="N1561" s="32" t="s">
        <v>1038</v>
      </c>
    </row>
    <row r="1562" spans="1:14" s="32" customFormat="1" hidden="1" x14ac:dyDescent="0.3">
      <c r="A1562" s="38">
        <v>46211.447129629632</v>
      </c>
      <c r="B1562" s="32" t="s">
        <v>1038</v>
      </c>
      <c r="C1562" s="32">
        <v>4434531529</v>
      </c>
      <c r="E1562" s="32">
        <v>14</v>
      </c>
      <c r="F1562" s="32">
        <v>14</v>
      </c>
      <c r="G1562" s="32" t="s">
        <v>44</v>
      </c>
      <c r="H1562" s="32" t="s">
        <v>1630</v>
      </c>
      <c r="I1562" s="32" t="s">
        <v>54</v>
      </c>
      <c r="J1562" s="32" t="s">
        <v>46</v>
      </c>
      <c r="M1562" s="32" t="s">
        <v>1040</v>
      </c>
      <c r="N1562" s="32" t="s">
        <v>1038</v>
      </c>
    </row>
    <row r="1563" spans="1:14" s="32" customFormat="1" hidden="1" x14ac:dyDescent="0.3">
      <c r="A1563" s="38">
        <v>46211.446956018517</v>
      </c>
      <c r="B1563" s="32" t="s">
        <v>1038</v>
      </c>
      <c r="C1563" s="32">
        <v>4434531529</v>
      </c>
      <c r="E1563" s="32">
        <v>8</v>
      </c>
      <c r="F1563" s="32">
        <v>0</v>
      </c>
      <c r="G1563" s="32" t="s">
        <v>63</v>
      </c>
      <c r="H1563" s="32" t="s">
        <v>1631</v>
      </c>
      <c r="I1563" s="32" t="s">
        <v>54</v>
      </c>
      <c r="J1563" s="32" t="s">
        <v>46</v>
      </c>
      <c r="M1563" s="32" t="s">
        <v>1040</v>
      </c>
      <c r="N1563" s="32" t="s">
        <v>1038</v>
      </c>
    </row>
    <row r="1564" spans="1:14" s="32" customFormat="1" hidden="1" x14ac:dyDescent="0.3">
      <c r="A1564" s="38">
        <v>46211.446574074071</v>
      </c>
      <c r="B1564" s="32" t="s">
        <v>58</v>
      </c>
      <c r="C1564" s="32">
        <v>4540639075</v>
      </c>
      <c r="E1564" s="32">
        <v>233</v>
      </c>
      <c r="F1564" s="32">
        <v>231</v>
      </c>
      <c r="G1564" s="32" t="s">
        <v>44</v>
      </c>
      <c r="H1564" s="32" t="s">
        <v>1632</v>
      </c>
      <c r="I1564" s="32" t="s">
        <v>54</v>
      </c>
      <c r="J1564" s="32" t="s">
        <v>46</v>
      </c>
      <c r="M1564" s="32" t="s">
        <v>60</v>
      </c>
      <c r="N1564" s="32" t="s">
        <v>58</v>
      </c>
    </row>
    <row r="1565" spans="1:14" s="32" customFormat="1" hidden="1" x14ac:dyDescent="0.3">
      <c r="A1565" s="38">
        <v>46211.446458333332</v>
      </c>
      <c r="B1565" s="32" t="s">
        <v>58</v>
      </c>
      <c r="C1565" s="32">
        <v>4440639075</v>
      </c>
      <c r="E1565" s="32">
        <v>3</v>
      </c>
      <c r="F1565" s="32">
        <v>0</v>
      </c>
      <c r="G1565" s="32" t="s">
        <v>63</v>
      </c>
      <c r="H1565" s="32" t="s">
        <v>1633</v>
      </c>
      <c r="I1565" s="32" t="s">
        <v>54</v>
      </c>
      <c r="J1565" s="32" t="s">
        <v>46</v>
      </c>
      <c r="M1565" s="32" t="s">
        <v>60</v>
      </c>
      <c r="N1565" s="32" t="s">
        <v>58</v>
      </c>
    </row>
    <row r="1566" spans="1:14" s="32" customFormat="1" hidden="1" x14ac:dyDescent="0.3">
      <c r="A1566" s="38">
        <v>46211.446423611109</v>
      </c>
      <c r="B1566" s="32" t="s">
        <v>1038</v>
      </c>
      <c r="C1566" s="32">
        <v>44999065969</v>
      </c>
      <c r="E1566" s="32">
        <v>34</v>
      </c>
      <c r="F1566" s="32">
        <v>0</v>
      </c>
      <c r="G1566" s="32" t="s">
        <v>63</v>
      </c>
      <c r="H1566" s="32" t="s">
        <v>1634</v>
      </c>
      <c r="I1566" s="32" t="s">
        <v>54</v>
      </c>
      <c r="J1566" s="32" t="s">
        <v>46</v>
      </c>
      <c r="M1566" s="32" t="s">
        <v>1040</v>
      </c>
      <c r="N1566" s="32" t="s">
        <v>1038</v>
      </c>
    </row>
    <row r="1567" spans="1:14" s="32" customFormat="1" hidden="1" x14ac:dyDescent="0.3">
      <c r="A1567" s="38">
        <v>46211.445972222224</v>
      </c>
      <c r="B1567" s="32">
        <v>4430141092</v>
      </c>
      <c r="C1567" s="32" t="s">
        <v>1352</v>
      </c>
      <c r="D1567" s="32">
        <v>4430265054</v>
      </c>
      <c r="E1567" s="32">
        <v>270</v>
      </c>
      <c r="F1567" s="32">
        <v>150</v>
      </c>
      <c r="G1567" s="32" t="s">
        <v>44</v>
      </c>
      <c r="H1567" s="32" t="s">
        <v>1635</v>
      </c>
      <c r="I1567" s="32" t="s">
        <v>40</v>
      </c>
      <c r="J1567" s="32" t="s">
        <v>46</v>
      </c>
      <c r="K1567" s="32" t="s">
        <v>42</v>
      </c>
      <c r="L1567" s="32">
        <v>5</v>
      </c>
      <c r="M1567" s="32" t="s">
        <v>1354</v>
      </c>
      <c r="N1567" s="32" t="s">
        <v>1352</v>
      </c>
    </row>
    <row r="1568" spans="1:14" s="32" customFormat="1" hidden="1" x14ac:dyDescent="0.3">
      <c r="A1568" s="38">
        <v>46211.445960648147</v>
      </c>
      <c r="B1568" s="32" t="s">
        <v>1038</v>
      </c>
      <c r="C1568" s="32">
        <v>44999065969</v>
      </c>
      <c r="E1568" s="32">
        <v>36</v>
      </c>
      <c r="F1568" s="32">
        <v>0</v>
      </c>
      <c r="G1568" s="32" t="s">
        <v>63</v>
      </c>
      <c r="H1568" s="32" t="s">
        <v>1636</v>
      </c>
      <c r="I1568" s="32" t="s">
        <v>54</v>
      </c>
      <c r="J1568" s="32" t="s">
        <v>46</v>
      </c>
      <c r="M1568" s="32" t="s">
        <v>1040</v>
      </c>
      <c r="N1568" s="32" t="s">
        <v>1038</v>
      </c>
    </row>
    <row r="1569" spans="1:14" s="32" customFormat="1" hidden="1" x14ac:dyDescent="0.3">
      <c r="A1569" s="38">
        <v>46211.444108796299</v>
      </c>
      <c r="B1569" s="32" t="s">
        <v>58</v>
      </c>
      <c r="C1569" s="32">
        <v>41999209313</v>
      </c>
      <c r="E1569" s="32">
        <v>9</v>
      </c>
      <c r="F1569" s="32">
        <v>0</v>
      </c>
      <c r="G1569" s="32" t="s">
        <v>63</v>
      </c>
      <c r="H1569" s="32" t="s">
        <v>1637</v>
      </c>
      <c r="I1569" s="32" t="s">
        <v>54</v>
      </c>
      <c r="J1569" s="32" t="s">
        <v>46</v>
      </c>
      <c r="M1569" s="32" t="s">
        <v>60</v>
      </c>
      <c r="N1569" s="32" t="s">
        <v>58</v>
      </c>
    </row>
    <row r="1570" spans="1:14" s="32" customFormat="1" hidden="1" x14ac:dyDescent="0.3">
      <c r="A1570" s="38">
        <v>46211.442476851851</v>
      </c>
      <c r="B1570" s="32" t="s">
        <v>43</v>
      </c>
      <c r="C1570" s="32">
        <v>44999065969</v>
      </c>
      <c r="E1570" s="32">
        <v>34</v>
      </c>
      <c r="F1570" s="32">
        <v>0</v>
      </c>
      <c r="G1570" s="32" t="s">
        <v>63</v>
      </c>
      <c r="H1570" s="32" t="s">
        <v>1638</v>
      </c>
      <c r="I1570" s="32" t="s">
        <v>54</v>
      </c>
      <c r="J1570" s="32" t="s">
        <v>46</v>
      </c>
      <c r="M1570" s="32" t="s">
        <v>47</v>
      </c>
      <c r="N1570" s="32" t="s">
        <v>43</v>
      </c>
    </row>
    <row r="1571" spans="1:14" s="32" customFormat="1" hidden="1" x14ac:dyDescent="0.3">
      <c r="A1571" s="38">
        <v>46211.441840277781</v>
      </c>
      <c r="B1571" s="32">
        <v>41988796768</v>
      </c>
      <c r="C1571" s="32" t="s">
        <v>43</v>
      </c>
      <c r="D1571" s="32">
        <v>4430265054</v>
      </c>
      <c r="E1571" s="32">
        <v>1032</v>
      </c>
      <c r="F1571" s="32">
        <v>907</v>
      </c>
      <c r="G1571" s="32" t="s">
        <v>44</v>
      </c>
      <c r="H1571" s="32" t="s">
        <v>1639</v>
      </c>
      <c r="I1571" s="32" t="s">
        <v>40</v>
      </c>
      <c r="J1571" s="32" t="s">
        <v>46</v>
      </c>
      <c r="K1571" s="32" t="s">
        <v>42</v>
      </c>
      <c r="M1571" s="32" t="s">
        <v>47</v>
      </c>
      <c r="N1571" s="32" t="s">
        <v>43</v>
      </c>
    </row>
    <row r="1572" spans="1:14" s="32" customFormat="1" hidden="1" x14ac:dyDescent="0.3">
      <c r="A1572" s="38">
        <v>46211.43787037037</v>
      </c>
      <c r="B1572" s="32">
        <v>44984241715</v>
      </c>
      <c r="C1572" s="32" t="s">
        <v>58</v>
      </c>
      <c r="D1572" s="32">
        <v>4430265054</v>
      </c>
      <c r="E1572" s="32">
        <v>509</v>
      </c>
      <c r="F1572" s="32">
        <v>509</v>
      </c>
      <c r="G1572" s="32" t="s">
        <v>44</v>
      </c>
      <c r="H1572" s="32" t="s">
        <v>1640</v>
      </c>
      <c r="I1572" s="32" t="s">
        <v>40</v>
      </c>
      <c r="J1572" s="32" t="s">
        <v>46</v>
      </c>
      <c r="K1572" s="32" t="s">
        <v>42</v>
      </c>
      <c r="M1572" s="32" t="s">
        <v>60</v>
      </c>
      <c r="N1572" s="32" t="s">
        <v>58</v>
      </c>
    </row>
    <row r="1573" spans="1:14" s="32" customFormat="1" hidden="1" x14ac:dyDescent="0.3">
      <c r="A1573" s="38">
        <v>46211.437418981484</v>
      </c>
      <c r="B1573" s="32" t="s">
        <v>58</v>
      </c>
      <c r="C1573" s="32">
        <v>44999065969</v>
      </c>
      <c r="E1573" s="32">
        <v>67</v>
      </c>
      <c r="F1573" s="32">
        <v>29</v>
      </c>
      <c r="G1573" s="32" t="s">
        <v>44</v>
      </c>
      <c r="H1573" s="32" t="s">
        <v>1641</v>
      </c>
      <c r="I1573" s="32" t="s">
        <v>54</v>
      </c>
      <c r="J1573" s="32" t="s">
        <v>46</v>
      </c>
      <c r="M1573" s="32" t="s">
        <v>60</v>
      </c>
      <c r="N1573" s="32" t="s">
        <v>58</v>
      </c>
    </row>
    <row r="1574" spans="1:14" s="32" customFormat="1" hidden="1" x14ac:dyDescent="0.3">
      <c r="A1574" s="38">
        <v>46211.437395833331</v>
      </c>
      <c r="B1574" s="32">
        <v>1131043888</v>
      </c>
      <c r="C1574" s="32" t="s">
        <v>43</v>
      </c>
      <c r="D1574" s="32">
        <v>4431268225</v>
      </c>
      <c r="E1574" s="32">
        <v>229</v>
      </c>
      <c r="F1574" s="32">
        <v>166</v>
      </c>
      <c r="G1574" s="32" t="s">
        <v>44</v>
      </c>
      <c r="H1574" s="32" t="s">
        <v>1642</v>
      </c>
      <c r="I1574" s="32" t="s">
        <v>40</v>
      </c>
      <c r="J1574" s="32" t="s">
        <v>46</v>
      </c>
      <c r="K1574" s="32" t="s">
        <v>42</v>
      </c>
      <c r="M1574" s="32" t="s">
        <v>47</v>
      </c>
      <c r="N1574" s="32" t="s">
        <v>43</v>
      </c>
    </row>
    <row r="1575" spans="1:14" s="32" customFormat="1" hidden="1" x14ac:dyDescent="0.3">
      <c r="A1575" s="38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38</v>
      </c>
      <c r="H1575" s="32" t="s">
        <v>1643</v>
      </c>
      <c r="I1575" s="32" t="s">
        <v>40</v>
      </c>
      <c r="J1575" s="32" t="s">
        <v>41</v>
      </c>
    </row>
    <row r="1576" spans="1:14" s="32" customFormat="1" hidden="1" x14ac:dyDescent="0.3">
      <c r="A1576" s="38">
        <v>46211.43650462963</v>
      </c>
      <c r="B1576" s="32">
        <v>44998267320</v>
      </c>
      <c r="C1576" s="32" t="s">
        <v>747</v>
      </c>
      <c r="D1576" s="32">
        <v>4430265054</v>
      </c>
      <c r="E1576" s="32">
        <v>22</v>
      </c>
      <c r="F1576" s="32">
        <v>11</v>
      </c>
      <c r="G1576" s="32" t="s">
        <v>44</v>
      </c>
      <c r="H1576" s="32" t="s">
        <v>1644</v>
      </c>
      <c r="I1576" s="32" t="s">
        <v>40</v>
      </c>
      <c r="J1576" s="32" t="s">
        <v>46</v>
      </c>
      <c r="K1576" s="32" t="s">
        <v>42</v>
      </c>
      <c r="M1576" s="32" t="s">
        <v>749</v>
      </c>
      <c r="N1576" s="32" t="s">
        <v>747</v>
      </c>
    </row>
    <row r="1577" spans="1:14" s="32" customFormat="1" hidden="1" x14ac:dyDescent="0.3">
      <c r="A1577" s="38">
        <v>46211.434861111113</v>
      </c>
      <c r="B1577" s="32" t="s">
        <v>1038</v>
      </c>
      <c r="C1577" s="32">
        <v>44999732630</v>
      </c>
      <c r="E1577" s="32">
        <v>41</v>
      </c>
      <c r="F1577" s="32">
        <v>31</v>
      </c>
      <c r="G1577" s="32" t="s">
        <v>44</v>
      </c>
      <c r="H1577" s="32" t="s">
        <v>1645</v>
      </c>
      <c r="I1577" s="32" t="s">
        <v>54</v>
      </c>
      <c r="J1577" s="32" t="s">
        <v>46</v>
      </c>
      <c r="M1577" s="32" t="s">
        <v>1040</v>
      </c>
      <c r="N1577" s="32" t="s">
        <v>1038</v>
      </c>
    </row>
    <row r="1578" spans="1:14" s="32" customFormat="1" hidden="1" x14ac:dyDescent="0.3">
      <c r="A1578" s="38">
        <v>46211.434444444443</v>
      </c>
      <c r="B1578" s="32" t="s">
        <v>1038</v>
      </c>
      <c r="C1578" s="32">
        <v>1000</v>
      </c>
      <c r="E1578" s="32">
        <v>22</v>
      </c>
      <c r="F1578" s="32">
        <v>4</v>
      </c>
      <c r="G1578" s="32" t="s">
        <v>44</v>
      </c>
      <c r="H1578" s="32" t="s">
        <v>1646</v>
      </c>
      <c r="I1578" s="32" t="s">
        <v>54</v>
      </c>
      <c r="J1578" s="32" t="s">
        <v>46</v>
      </c>
      <c r="M1578" s="32" t="s">
        <v>1040</v>
      </c>
      <c r="N1578" s="32" t="s">
        <v>1038</v>
      </c>
    </row>
    <row r="1579" spans="1:14" s="32" customFormat="1" hidden="1" x14ac:dyDescent="0.3">
      <c r="A1579" s="38">
        <v>46211.434189814812</v>
      </c>
      <c r="B1579" s="32">
        <v>44997235101</v>
      </c>
      <c r="C1579" s="32" t="s">
        <v>1038</v>
      </c>
      <c r="D1579" s="32">
        <v>4431268225</v>
      </c>
      <c r="E1579" s="32">
        <v>627</v>
      </c>
      <c r="F1579" s="32">
        <v>626</v>
      </c>
      <c r="G1579" s="32" t="s">
        <v>44</v>
      </c>
      <c r="H1579" s="32" t="s">
        <v>1647</v>
      </c>
      <c r="I1579" s="32" t="s">
        <v>40</v>
      </c>
      <c r="J1579" s="32" t="s">
        <v>46</v>
      </c>
      <c r="K1579" s="32" t="s">
        <v>42</v>
      </c>
      <c r="M1579" s="32" t="s">
        <v>1040</v>
      </c>
      <c r="N1579" s="32" t="s">
        <v>1038</v>
      </c>
    </row>
    <row r="1580" spans="1:14" s="32" customFormat="1" hidden="1" x14ac:dyDescent="0.3">
      <c r="A1580" s="38">
        <v>46211.433171296296</v>
      </c>
      <c r="B1580" s="32" t="s">
        <v>1038</v>
      </c>
      <c r="C1580" s="32">
        <v>44997235101</v>
      </c>
      <c r="E1580" s="32">
        <v>75</v>
      </c>
      <c r="F1580" s="32">
        <v>70</v>
      </c>
      <c r="G1580" s="32" t="s">
        <v>44</v>
      </c>
      <c r="H1580" s="32" t="s">
        <v>1648</v>
      </c>
      <c r="I1580" s="32" t="s">
        <v>54</v>
      </c>
      <c r="J1580" s="32" t="s">
        <v>46</v>
      </c>
      <c r="M1580" s="32" t="s">
        <v>1040</v>
      </c>
      <c r="N1580" s="32" t="s">
        <v>1038</v>
      </c>
    </row>
    <row r="1581" spans="1:14" s="32" customFormat="1" hidden="1" x14ac:dyDescent="0.3">
      <c r="A1581" s="38">
        <v>46211.431550925925</v>
      </c>
      <c r="B1581" s="32" t="s">
        <v>1038</v>
      </c>
      <c r="C1581" s="32">
        <v>44997235101</v>
      </c>
      <c r="E1581" s="32">
        <v>90</v>
      </c>
      <c r="F1581" s="32">
        <v>86</v>
      </c>
      <c r="G1581" s="32" t="s">
        <v>44</v>
      </c>
      <c r="H1581" s="32" t="s">
        <v>1649</v>
      </c>
      <c r="I1581" s="32" t="s">
        <v>54</v>
      </c>
      <c r="J1581" s="32" t="s">
        <v>46</v>
      </c>
      <c r="M1581" s="32" t="s">
        <v>1040</v>
      </c>
      <c r="N1581" s="32" t="s">
        <v>1038</v>
      </c>
    </row>
    <row r="1582" spans="1:14" s="32" customFormat="1" hidden="1" x14ac:dyDescent="0.3">
      <c r="A1582" s="38">
        <v>46211.425347222219</v>
      </c>
      <c r="B1582" s="32" t="s">
        <v>1038</v>
      </c>
      <c r="C1582" s="32">
        <v>94991088231</v>
      </c>
      <c r="E1582" s="32">
        <v>340</v>
      </c>
      <c r="F1582" s="32">
        <v>327</v>
      </c>
      <c r="G1582" s="32" t="s">
        <v>44</v>
      </c>
      <c r="H1582" s="32" t="s">
        <v>1650</v>
      </c>
      <c r="I1582" s="32" t="s">
        <v>54</v>
      </c>
      <c r="J1582" s="32" t="s">
        <v>46</v>
      </c>
      <c r="L1582" s="32">
        <v>5</v>
      </c>
      <c r="M1582" s="32" t="s">
        <v>1040</v>
      </c>
      <c r="N1582" s="32" t="s">
        <v>1038</v>
      </c>
    </row>
    <row r="1583" spans="1:14" s="32" customFormat="1" hidden="1" x14ac:dyDescent="0.3">
      <c r="A1583" s="38">
        <v>46211.422268518516</v>
      </c>
      <c r="B1583" s="32" t="s">
        <v>1352</v>
      </c>
      <c r="C1583" s="32">
        <v>44998147868</v>
      </c>
      <c r="E1583" s="32">
        <v>1099</v>
      </c>
      <c r="F1583" s="32">
        <v>1089</v>
      </c>
      <c r="G1583" s="32" t="s">
        <v>44</v>
      </c>
      <c r="H1583" s="32" t="s">
        <v>1651</v>
      </c>
      <c r="I1583" s="32" t="s">
        <v>54</v>
      </c>
      <c r="J1583" s="32" t="s">
        <v>46</v>
      </c>
      <c r="M1583" s="32" t="s">
        <v>1354</v>
      </c>
      <c r="N1583" s="32" t="s">
        <v>1352</v>
      </c>
    </row>
    <row r="1584" spans="1:14" s="32" customFormat="1" hidden="1" x14ac:dyDescent="0.3">
      <c r="A1584" s="38">
        <v>46211.417881944442</v>
      </c>
      <c r="B1584" s="32" t="s">
        <v>1352</v>
      </c>
      <c r="C1584" s="32">
        <v>44997710242</v>
      </c>
      <c r="E1584" s="32">
        <v>91</v>
      </c>
      <c r="F1584" s="32">
        <v>78</v>
      </c>
      <c r="G1584" s="32" t="s">
        <v>44</v>
      </c>
      <c r="H1584" s="32" t="s">
        <v>1652</v>
      </c>
      <c r="I1584" s="32" t="s">
        <v>54</v>
      </c>
      <c r="J1584" s="32" t="s">
        <v>46</v>
      </c>
      <c r="M1584" s="32" t="s">
        <v>1354</v>
      </c>
      <c r="N1584" s="32" t="s">
        <v>1352</v>
      </c>
    </row>
    <row r="1585" spans="1:14" s="32" customFormat="1" hidden="1" x14ac:dyDescent="0.3">
      <c r="A1585" s="38">
        <v>46211.414548611108</v>
      </c>
      <c r="B1585" s="32">
        <v>44998849102</v>
      </c>
      <c r="C1585" s="32" t="s">
        <v>43</v>
      </c>
      <c r="D1585" s="32">
        <v>4430265054</v>
      </c>
      <c r="E1585" s="32">
        <v>792</v>
      </c>
      <c r="F1585" s="32">
        <v>757</v>
      </c>
      <c r="G1585" s="32" t="s">
        <v>44</v>
      </c>
      <c r="H1585" s="32" t="s">
        <v>1653</v>
      </c>
      <c r="I1585" s="32" t="s">
        <v>40</v>
      </c>
      <c r="J1585" s="32" t="s">
        <v>46</v>
      </c>
      <c r="K1585" s="32" t="s">
        <v>42</v>
      </c>
      <c r="M1585" s="32" t="s">
        <v>47</v>
      </c>
      <c r="N1585" s="32" t="s">
        <v>43</v>
      </c>
    </row>
    <row r="1586" spans="1:14" s="32" customFormat="1" hidden="1" x14ac:dyDescent="0.3">
      <c r="A1586" s="38">
        <v>46211.414340277777</v>
      </c>
      <c r="B1586" s="32" t="s">
        <v>207</v>
      </c>
      <c r="C1586" s="32">
        <v>44999260131</v>
      </c>
      <c r="E1586" s="32">
        <v>14</v>
      </c>
      <c r="F1586" s="32">
        <v>8</v>
      </c>
      <c r="G1586" s="32" t="s">
        <v>44</v>
      </c>
      <c r="H1586" s="32" t="s">
        <v>1654</v>
      </c>
      <c r="I1586" s="32" t="s">
        <v>54</v>
      </c>
      <c r="J1586" s="32" t="s">
        <v>111</v>
      </c>
      <c r="M1586" s="32" t="s">
        <v>209</v>
      </c>
      <c r="N1586" s="32" t="s">
        <v>207</v>
      </c>
    </row>
    <row r="1587" spans="1:14" s="32" customFormat="1" hidden="1" x14ac:dyDescent="0.3">
      <c r="A1587" s="38">
        <v>46211.414155092592</v>
      </c>
      <c r="B1587" s="32" t="s">
        <v>207</v>
      </c>
      <c r="C1587" s="32">
        <v>44999260131</v>
      </c>
      <c r="E1587" s="32">
        <v>8</v>
      </c>
      <c r="F1587" s="32">
        <v>2</v>
      </c>
      <c r="G1587" s="32" t="s">
        <v>44</v>
      </c>
      <c r="H1587" s="32" t="s">
        <v>1655</v>
      </c>
      <c r="I1587" s="32" t="s">
        <v>54</v>
      </c>
      <c r="J1587" s="32" t="s">
        <v>111</v>
      </c>
      <c r="M1587" s="32" t="s">
        <v>209</v>
      </c>
      <c r="N1587" s="32" t="s">
        <v>207</v>
      </c>
    </row>
    <row r="1588" spans="1:14" s="32" customFormat="1" hidden="1" x14ac:dyDescent="0.3">
      <c r="A1588" s="38">
        <v>46211.411192129628</v>
      </c>
      <c r="B1588" s="32" t="s">
        <v>1038</v>
      </c>
      <c r="C1588" s="32">
        <v>1131043888</v>
      </c>
      <c r="E1588" s="32">
        <v>423</v>
      </c>
      <c r="F1588" s="32">
        <v>422</v>
      </c>
      <c r="G1588" s="32" t="s">
        <v>44</v>
      </c>
      <c r="H1588" s="32" t="s">
        <v>1656</v>
      </c>
      <c r="I1588" s="32" t="s">
        <v>54</v>
      </c>
      <c r="J1588" s="32" t="s">
        <v>46</v>
      </c>
      <c r="M1588" s="32" t="s">
        <v>1040</v>
      </c>
      <c r="N1588" s="32" t="s">
        <v>1038</v>
      </c>
    </row>
    <row r="1589" spans="1:14" s="32" customFormat="1" hidden="1" x14ac:dyDescent="0.3">
      <c r="A1589" s="38">
        <v>46211.411122685182</v>
      </c>
      <c r="B1589" s="32">
        <v>44991041123</v>
      </c>
      <c r="C1589" s="32" t="s">
        <v>58</v>
      </c>
      <c r="D1589" s="32">
        <v>4430265054</v>
      </c>
      <c r="E1589" s="32">
        <v>254</v>
      </c>
      <c r="F1589" s="32">
        <v>129</v>
      </c>
      <c r="G1589" s="32" t="s">
        <v>44</v>
      </c>
      <c r="H1589" s="32" t="s">
        <v>1657</v>
      </c>
      <c r="I1589" s="32" t="s">
        <v>40</v>
      </c>
      <c r="J1589" s="32" t="s">
        <v>46</v>
      </c>
      <c r="K1589" s="32" t="s">
        <v>42</v>
      </c>
      <c r="M1589" s="32" t="s">
        <v>60</v>
      </c>
      <c r="N1589" s="32" t="s">
        <v>58</v>
      </c>
    </row>
    <row r="1590" spans="1:14" s="32" customFormat="1" hidden="1" x14ac:dyDescent="0.3">
      <c r="A1590" s="38">
        <v>46211.409837962965</v>
      </c>
      <c r="B1590" s="32">
        <v>4432672194</v>
      </c>
      <c r="C1590" s="32" t="s">
        <v>43</v>
      </c>
      <c r="D1590" s="32">
        <v>4430265054</v>
      </c>
      <c r="E1590" s="32">
        <v>245</v>
      </c>
      <c r="F1590" s="32">
        <v>195</v>
      </c>
      <c r="G1590" s="32" t="s">
        <v>44</v>
      </c>
      <c r="H1590" s="32" t="s">
        <v>1658</v>
      </c>
      <c r="I1590" s="32" t="s">
        <v>40</v>
      </c>
      <c r="J1590" s="32" t="s">
        <v>46</v>
      </c>
      <c r="K1590" s="32" t="s">
        <v>42</v>
      </c>
      <c r="M1590" s="32" t="s">
        <v>47</v>
      </c>
      <c r="N1590" s="32" t="s">
        <v>43</v>
      </c>
    </row>
    <row r="1591" spans="1:14" s="32" customFormat="1" hidden="1" x14ac:dyDescent="0.3">
      <c r="A1591" s="38">
        <v>46211.409803240742</v>
      </c>
      <c r="B1591" s="32" t="s">
        <v>207</v>
      </c>
      <c r="C1591" s="32">
        <v>44999260131</v>
      </c>
      <c r="E1591" s="32">
        <v>19</v>
      </c>
      <c r="F1591" s="32">
        <v>11</v>
      </c>
      <c r="G1591" s="32" t="s">
        <v>44</v>
      </c>
      <c r="H1591" s="32" t="s">
        <v>1659</v>
      </c>
      <c r="I1591" s="32" t="s">
        <v>54</v>
      </c>
      <c r="J1591" s="32" t="s">
        <v>111</v>
      </c>
      <c r="M1591" s="32" t="s">
        <v>209</v>
      </c>
      <c r="N1591" s="32" t="s">
        <v>207</v>
      </c>
    </row>
    <row r="1592" spans="1:14" s="32" customFormat="1" hidden="1" x14ac:dyDescent="0.3">
      <c r="A1592" s="38">
        <v>46211.409259259257</v>
      </c>
      <c r="B1592" s="32" t="s">
        <v>207</v>
      </c>
      <c r="C1592" s="32">
        <v>44999260131</v>
      </c>
      <c r="E1592" s="32">
        <v>25</v>
      </c>
      <c r="F1592" s="32">
        <v>19</v>
      </c>
      <c r="G1592" s="32" t="s">
        <v>44</v>
      </c>
      <c r="H1592" s="32" t="s">
        <v>1660</v>
      </c>
      <c r="I1592" s="32" t="s">
        <v>54</v>
      </c>
      <c r="J1592" s="32" t="s">
        <v>111</v>
      </c>
      <c r="M1592" s="32" t="s">
        <v>209</v>
      </c>
      <c r="N1592" s="32" t="s">
        <v>207</v>
      </c>
    </row>
    <row r="1593" spans="1:14" s="32" customFormat="1" hidden="1" x14ac:dyDescent="0.3">
      <c r="A1593" s="38">
        <v>46211.406678240739</v>
      </c>
      <c r="B1593" s="32">
        <v>44998464499</v>
      </c>
      <c r="C1593" s="32" t="s">
        <v>43</v>
      </c>
      <c r="D1593" s="32">
        <v>4430265054</v>
      </c>
      <c r="E1593" s="32">
        <v>321</v>
      </c>
      <c r="F1593" s="32">
        <v>303</v>
      </c>
      <c r="G1593" s="32" t="s">
        <v>44</v>
      </c>
      <c r="H1593" s="32" t="s">
        <v>1661</v>
      </c>
      <c r="I1593" s="32" t="s">
        <v>40</v>
      </c>
      <c r="J1593" s="32" t="s">
        <v>46</v>
      </c>
      <c r="K1593" s="32" t="s">
        <v>42</v>
      </c>
      <c r="L1593" s="32">
        <v>5</v>
      </c>
      <c r="M1593" s="32" t="s">
        <v>47</v>
      </c>
      <c r="N1593" s="32" t="s">
        <v>43</v>
      </c>
    </row>
    <row r="1594" spans="1:14" s="32" customFormat="1" hidden="1" x14ac:dyDescent="0.3">
      <c r="A1594" s="38">
        <v>46211.404386574075</v>
      </c>
      <c r="B1594" s="32">
        <v>4436249360</v>
      </c>
      <c r="C1594" s="32" t="s">
        <v>1038</v>
      </c>
      <c r="D1594" s="32">
        <v>4430265054</v>
      </c>
      <c r="E1594" s="32">
        <v>387</v>
      </c>
      <c r="F1594" s="32">
        <v>354</v>
      </c>
      <c r="G1594" s="32" t="s">
        <v>44</v>
      </c>
      <c r="H1594" s="32" t="s">
        <v>1662</v>
      </c>
      <c r="I1594" s="32" t="s">
        <v>40</v>
      </c>
      <c r="J1594" s="32" t="s">
        <v>46</v>
      </c>
      <c r="K1594" s="32" t="s">
        <v>42</v>
      </c>
      <c r="M1594" s="32" t="s">
        <v>1040</v>
      </c>
      <c r="N1594" s="32" t="s">
        <v>1038</v>
      </c>
    </row>
    <row r="1595" spans="1:14" s="32" customFormat="1" hidden="1" x14ac:dyDescent="0.3">
      <c r="A1595" s="38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38</v>
      </c>
      <c r="H1595" s="32" t="s">
        <v>1663</v>
      </c>
      <c r="I1595" s="32" t="s">
        <v>40</v>
      </c>
      <c r="J1595" s="32" t="s">
        <v>41</v>
      </c>
    </row>
    <row r="1596" spans="1:14" s="32" customFormat="1" hidden="1" x14ac:dyDescent="0.3">
      <c r="A1596" s="38">
        <v>46211.401932870373</v>
      </c>
      <c r="B1596" s="32" t="s">
        <v>1352</v>
      </c>
      <c r="C1596" s="32">
        <v>4434231198</v>
      </c>
      <c r="E1596" s="32">
        <v>1174</v>
      </c>
      <c r="F1596" s="32">
        <v>1170</v>
      </c>
      <c r="G1596" s="32" t="s">
        <v>44</v>
      </c>
      <c r="H1596" s="32" t="s">
        <v>1664</v>
      </c>
      <c r="I1596" s="32" t="s">
        <v>54</v>
      </c>
      <c r="J1596" s="32" t="s">
        <v>46</v>
      </c>
      <c r="M1596" s="32" t="s">
        <v>1354</v>
      </c>
      <c r="N1596" s="32" t="s">
        <v>1352</v>
      </c>
    </row>
    <row r="1597" spans="1:14" s="32" customFormat="1" hidden="1" x14ac:dyDescent="0.3">
      <c r="A1597" s="38">
        <v>46211.393194444441</v>
      </c>
      <c r="B1597" s="32" t="s">
        <v>1352</v>
      </c>
      <c r="C1597" s="32">
        <v>44998703003</v>
      </c>
      <c r="E1597" s="32">
        <v>13</v>
      </c>
      <c r="F1597" s="32">
        <v>0</v>
      </c>
      <c r="G1597" s="32" t="s">
        <v>63</v>
      </c>
      <c r="H1597" s="32" t="s">
        <v>1665</v>
      </c>
      <c r="I1597" s="32" t="s">
        <v>54</v>
      </c>
      <c r="J1597" s="32" t="s">
        <v>46</v>
      </c>
      <c r="M1597" s="32" t="s">
        <v>1354</v>
      </c>
      <c r="N1597" s="32" t="s">
        <v>1352</v>
      </c>
    </row>
    <row r="1598" spans="1:14" s="32" customFormat="1" hidden="1" x14ac:dyDescent="0.3">
      <c r="A1598" s="38">
        <v>46211.392627314817</v>
      </c>
      <c r="B1598" s="32" t="s">
        <v>1352</v>
      </c>
      <c r="C1598" s="32">
        <v>44998703003</v>
      </c>
      <c r="E1598" s="32">
        <v>18</v>
      </c>
      <c r="F1598" s="32">
        <v>4</v>
      </c>
      <c r="G1598" s="32" t="s">
        <v>44</v>
      </c>
      <c r="H1598" s="32" t="s">
        <v>1666</v>
      </c>
      <c r="I1598" s="32" t="s">
        <v>54</v>
      </c>
      <c r="J1598" s="32" t="s">
        <v>46</v>
      </c>
      <c r="M1598" s="32" t="s">
        <v>1354</v>
      </c>
      <c r="N1598" s="32" t="s">
        <v>1352</v>
      </c>
    </row>
    <row r="1599" spans="1:14" s="32" customFormat="1" hidden="1" x14ac:dyDescent="0.3">
      <c r="A1599" s="38">
        <v>46211.379976851851</v>
      </c>
      <c r="B1599" s="32">
        <v>1732146970</v>
      </c>
      <c r="C1599" s="32" t="s">
        <v>1352</v>
      </c>
      <c r="D1599" s="32">
        <v>4431268225</v>
      </c>
      <c r="E1599" s="32">
        <v>847</v>
      </c>
      <c r="F1599" s="32">
        <v>807</v>
      </c>
      <c r="G1599" s="32" t="s">
        <v>44</v>
      </c>
      <c r="H1599" s="32" t="s">
        <v>1667</v>
      </c>
      <c r="I1599" s="32" t="s">
        <v>40</v>
      </c>
      <c r="J1599" s="32" t="s">
        <v>46</v>
      </c>
      <c r="K1599" s="32" t="s">
        <v>42</v>
      </c>
      <c r="M1599" s="32" t="s">
        <v>1354</v>
      </c>
      <c r="N1599" s="32" t="s">
        <v>1352</v>
      </c>
    </row>
    <row r="1600" spans="1:14" s="32" customFormat="1" hidden="1" x14ac:dyDescent="0.3">
      <c r="A1600" s="38">
        <v>46211.379074074073</v>
      </c>
      <c r="B1600" s="32">
        <v>41997840159</v>
      </c>
      <c r="C1600" s="32" t="s">
        <v>43</v>
      </c>
      <c r="D1600" s="32">
        <v>4431268225</v>
      </c>
      <c r="E1600" s="32">
        <v>179</v>
      </c>
      <c r="F1600" s="32">
        <v>116</v>
      </c>
      <c r="G1600" s="32" t="s">
        <v>44</v>
      </c>
      <c r="H1600" s="32" t="s">
        <v>1668</v>
      </c>
      <c r="I1600" s="32" t="s">
        <v>40</v>
      </c>
      <c r="J1600" s="32" t="s">
        <v>46</v>
      </c>
      <c r="K1600" s="32" t="s">
        <v>42</v>
      </c>
      <c r="M1600" s="32" t="s">
        <v>47</v>
      </c>
      <c r="N1600" s="32" t="s">
        <v>43</v>
      </c>
    </row>
    <row r="1601" spans="1:14" s="32" customFormat="1" hidden="1" x14ac:dyDescent="0.3">
      <c r="A1601" s="38">
        <v>46211.37164351852</v>
      </c>
      <c r="B1601" s="32">
        <v>44997134514</v>
      </c>
      <c r="C1601" s="32" t="s">
        <v>43</v>
      </c>
      <c r="D1601" s="32">
        <v>4430265054</v>
      </c>
      <c r="E1601" s="32">
        <v>163</v>
      </c>
      <c r="F1601" s="32">
        <v>116</v>
      </c>
      <c r="G1601" s="32" t="s">
        <v>44</v>
      </c>
      <c r="H1601" s="32" t="s">
        <v>1669</v>
      </c>
      <c r="I1601" s="32" t="s">
        <v>40</v>
      </c>
      <c r="J1601" s="32" t="s">
        <v>46</v>
      </c>
      <c r="K1601" s="32" t="s">
        <v>42</v>
      </c>
      <c r="M1601" s="32" t="s">
        <v>47</v>
      </c>
      <c r="N1601" s="32" t="s">
        <v>43</v>
      </c>
    </row>
    <row r="1602" spans="1:14" s="32" customFormat="1" hidden="1" x14ac:dyDescent="0.3">
      <c r="A1602" s="38">
        <v>46211.367083333331</v>
      </c>
      <c r="B1602" s="32">
        <v>41997840159</v>
      </c>
      <c r="C1602" s="32" t="s">
        <v>1038</v>
      </c>
      <c r="D1602" s="32">
        <v>4431268225</v>
      </c>
      <c r="E1602" s="32">
        <v>216</v>
      </c>
      <c r="F1602" s="32">
        <v>133</v>
      </c>
      <c r="G1602" s="32" t="s">
        <v>44</v>
      </c>
      <c r="H1602" s="32" t="s">
        <v>1670</v>
      </c>
      <c r="I1602" s="32" t="s">
        <v>40</v>
      </c>
      <c r="J1602" s="32" t="s">
        <v>46</v>
      </c>
      <c r="K1602" s="32" t="s">
        <v>42</v>
      </c>
      <c r="M1602" s="32" t="s">
        <v>1040</v>
      </c>
      <c r="N1602" s="32" t="s">
        <v>1038</v>
      </c>
    </row>
    <row r="1603" spans="1:14" s="32" customFormat="1" hidden="1" x14ac:dyDescent="0.3">
      <c r="A1603" s="38">
        <v>46211.365706018521</v>
      </c>
      <c r="B1603" s="32">
        <v>4430153709</v>
      </c>
      <c r="C1603" s="32" t="s">
        <v>1352</v>
      </c>
      <c r="D1603" s="32">
        <v>4430265054</v>
      </c>
      <c r="E1603" s="32">
        <v>1024</v>
      </c>
      <c r="F1603" s="32">
        <v>924</v>
      </c>
      <c r="G1603" s="32" t="s">
        <v>44</v>
      </c>
      <c r="H1603" s="32" t="s">
        <v>1671</v>
      </c>
      <c r="I1603" s="32" t="s">
        <v>40</v>
      </c>
      <c r="J1603" s="32" t="s">
        <v>46</v>
      </c>
      <c r="K1603" s="32" t="s">
        <v>42</v>
      </c>
      <c r="M1603" s="32" t="s">
        <v>1354</v>
      </c>
      <c r="N1603" s="32" t="s">
        <v>1352</v>
      </c>
    </row>
    <row r="1604" spans="1:14" s="32" customFormat="1" hidden="1" x14ac:dyDescent="0.3">
      <c r="A1604" s="38">
        <v>46211.358587962961</v>
      </c>
      <c r="B1604" s="32">
        <v>4430141092</v>
      </c>
      <c r="C1604" s="32" t="s">
        <v>1352</v>
      </c>
      <c r="D1604" s="32">
        <v>4430265054</v>
      </c>
      <c r="E1604" s="32">
        <v>411</v>
      </c>
      <c r="F1604" s="32">
        <v>386</v>
      </c>
      <c r="G1604" s="32" t="s">
        <v>44</v>
      </c>
      <c r="H1604" s="32" t="s">
        <v>1672</v>
      </c>
      <c r="I1604" s="32" t="s">
        <v>40</v>
      </c>
      <c r="J1604" s="32" t="s">
        <v>46</v>
      </c>
      <c r="K1604" s="32" t="s">
        <v>42</v>
      </c>
      <c r="L1604" s="32">
        <v>5</v>
      </c>
      <c r="M1604" s="32" t="s">
        <v>1354</v>
      </c>
      <c r="N1604" s="32" t="s">
        <v>1352</v>
      </c>
    </row>
    <row r="1605" spans="1:14" s="32" customFormat="1" hidden="1" x14ac:dyDescent="0.3">
      <c r="A1605" s="38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38</v>
      </c>
      <c r="H1605" s="32" t="s">
        <v>1673</v>
      </c>
      <c r="I1605" s="32" t="s">
        <v>40</v>
      </c>
      <c r="J1605" s="32" t="s">
        <v>41</v>
      </c>
    </row>
    <row r="1606" spans="1:14" s="32" customFormat="1" hidden="1" x14ac:dyDescent="0.3">
      <c r="A1606" s="38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38</v>
      </c>
      <c r="H1606" s="32" t="s">
        <v>1674</v>
      </c>
      <c r="I1606" s="32" t="s">
        <v>40</v>
      </c>
      <c r="J1606" s="32" t="s">
        <v>41</v>
      </c>
    </row>
    <row r="1607" spans="1:14" s="32" customFormat="1" hidden="1" x14ac:dyDescent="0.3">
      <c r="A1607" s="38">
        <v>46210.711539351854</v>
      </c>
      <c r="B1607" s="32">
        <v>4436249360</v>
      </c>
      <c r="C1607" s="32" t="s">
        <v>1038</v>
      </c>
      <c r="D1607" s="32">
        <v>4430265054</v>
      </c>
      <c r="E1607" s="32">
        <v>656</v>
      </c>
      <c r="F1607" s="32">
        <v>611</v>
      </c>
      <c r="G1607" s="32" t="s">
        <v>44</v>
      </c>
      <c r="H1607" s="32" t="s">
        <v>1675</v>
      </c>
      <c r="I1607" s="32" t="s">
        <v>40</v>
      </c>
      <c r="J1607" s="32" t="s">
        <v>46</v>
      </c>
      <c r="K1607" s="32" t="s">
        <v>42</v>
      </c>
      <c r="M1607" s="32" t="s">
        <v>1040</v>
      </c>
      <c r="N1607" s="32" t="s">
        <v>1038</v>
      </c>
    </row>
    <row r="1608" spans="1:14" s="32" customFormat="1" hidden="1" x14ac:dyDescent="0.3">
      <c r="A1608" s="38">
        <v>46210.70579861111</v>
      </c>
      <c r="B1608" s="32">
        <v>91981481202</v>
      </c>
      <c r="C1608" s="32" t="s">
        <v>43</v>
      </c>
      <c r="D1608" s="32">
        <v>4430265054</v>
      </c>
      <c r="E1608" s="32">
        <v>234</v>
      </c>
      <c r="F1608" s="32">
        <v>166</v>
      </c>
      <c r="G1608" s="32" t="s">
        <v>44</v>
      </c>
      <c r="H1608" s="32" t="s">
        <v>1676</v>
      </c>
      <c r="I1608" s="32" t="s">
        <v>40</v>
      </c>
      <c r="J1608" s="32" t="s">
        <v>46</v>
      </c>
      <c r="K1608" s="32" t="s">
        <v>42</v>
      </c>
      <c r="L1608" s="32">
        <v>5</v>
      </c>
      <c r="M1608" s="32" t="s">
        <v>47</v>
      </c>
      <c r="N1608" s="32" t="s">
        <v>43</v>
      </c>
    </row>
    <row r="1609" spans="1:14" s="32" customFormat="1" hidden="1" x14ac:dyDescent="0.3">
      <c r="A1609" s="38">
        <v>46210.701168981483</v>
      </c>
      <c r="B1609" s="32">
        <v>4430459001</v>
      </c>
      <c r="C1609" s="32" t="s">
        <v>58</v>
      </c>
      <c r="D1609" s="32">
        <v>4430265054</v>
      </c>
      <c r="E1609" s="32">
        <v>346</v>
      </c>
      <c r="F1609" s="32">
        <v>345</v>
      </c>
      <c r="G1609" s="32" t="s">
        <v>44</v>
      </c>
      <c r="H1609" s="32" t="s">
        <v>1677</v>
      </c>
      <c r="I1609" s="32" t="s">
        <v>40</v>
      </c>
      <c r="J1609" s="32" t="s">
        <v>46</v>
      </c>
      <c r="K1609" s="32" t="s">
        <v>42</v>
      </c>
      <c r="M1609" s="32" t="s">
        <v>60</v>
      </c>
      <c r="N1609" s="32" t="s">
        <v>58</v>
      </c>
    </row>
    <row r="1610" spans="1:14" s="32" customFormat="1" hidden="1" x14ac:dyDescent="0.3">
      <c r="A1610" s="38">
        <v>46210.698125000003</v>
      </c>
      <c r="B1610" s="32">
        <v>1140330393</v>
      </c>
      <c r="C1610" s="32" t="s">
        <v>43</v>
      </c>
      <c r="D1610" s="32">
        <v>4430265054</v>
      </c>
      <c r="E1610" s="32">
        <v>544</v>
      </c>
      <c r="F1610" s="32">
        <v>326</v>
      </c>
      <c r="G1610" s="32" t="s">
        <v>44</v>
      </c>
      <c r="H1610" s="32" t="s">
        <v>1678</v>
      </c>
      <c r="I1610" s="32" t="s">
        <v>40</v>
      </c>
      <c r="J1610" s="32" t="s">
        <v>46</v>
      </c>
      <c r="K1610" s="32" t="s">
        <v>42</v>
      </c>
      <c r="M1610" s="32" t="s">
        <v>47</v>
      </c>
      <c r="N1610" s="32" t="s">
        <v>43</v>
      </c>
    </row>
    <row r="1611" spans="1:14" s="32" customFormat="1" hidden="1" x14ac:dyDescent="0.3">
      <c r="A1611" s="38">
        <v>46210.690405092595</v>
      </c>
      <c r="B1611" s="32">
        <v>4430459032</v>
      </c>
      <c r="C1611" s="32" t="s">
        <v>1038</v>
      </c>
      <c r="D1611" s="32">
        <v>4430265054</v>
      </c>
      <c r="E1611" s="32">
        <v>1350</v>
      </c>
      <c r="F1611" s="32">
        <v>1287</v>
      </c>
      <c r="G1611" s="32" t="s">
        <v>44</v>
      </c>
      <c r="H1611" s="32" t="s">
        <v>1679</v>
      </c>
      <c r="I1611" s="32" t="s">
        <v>40</v>
      </c>
      <c r="J1611" s="32" t="s">
        <v>46</v>
      </c>
      <c r="K1611" s="32" t="s">
        <v>42</v>
      </c>
      <c r="L1611" s="32">
        <v>4</v>
      </c>
      <c r="M1611" s="32" t="s">
        <v>1040</v>
      </c>
      <c r="N1611" s="32" t="s">
        <v>1038</v>
      </c>
    </row>
    <row r="1612" spans="1:14" s="32" customFormat="1" hidden="1" x14ac:dyDescent="0.3">
      <c r="A1612" s="38">
        <v>46210.676342592589</v>
      </c>
      <c r="B1612" s="32">
        <v>4432322192</v>
      </c>
      <c r="C1612" s="32" t="s">
        <v>43</v>
      </c>
      <c r="D1612" s="32">
        <v>4430265054</v>
      </c>
      <c r="E1612" s="32">
        <v>996</v>
      </c>
      <c r="F1612" s="32">
        <v>894</v>
      </c>
      <c r="G1612" s="32" t="s">
        <v>44</v>
      </c>
      <c r="H1612" s="32" t="s">
        <v>1680</v>
      </c>
      <c r="I1612" s="32" t="s">
        <v>40</v>
      </c>
      <c r="J1612" s="32" t="s">
        <v>46</v>
      </c>
      <c r="K1612" s="32" t="s">
        <v>42</v>
      </c>
      <c r="L1612" s="32">
        <v>5</v>
      </c>
      <c r="M1612" s="32" t="s">
        <v>47</v>
      </c>
      <c r="N1612" s="32" t="s">
        <v>43</v>
      </c>
    </row>
    <row r="1613" spans="1:14" s="32" customFormat="1" hidden="1" x14ac:dyDescent="0.3">
      <c r="A1613" s="38">
        <v>46210.671481481484</v>
      </c>
      <c r="B1613" s="32">
        <v>4334226481</v>
      </c>
      <c r="C1613" s="32" t="s">
        <v>1352</v>
      </c>
      <c r="D1613" s="32">
        <v>4430265054</v>
      </c>
      <c r="E1613" s="32">
        <v>980</v>
      </c>
      <c r="F1613" s="32">
        <v>924</v>
      </c>
      <c r="G1613" s="32" t="s">
        <v>44</v>
      </c>
      <c r="H1613" s="32" t="s">
        <v>1681</v>
      </c>
      <c r="I1613" s="32" t="s">
        <v>40</v>
      </c>
      <c r="J1613" s="32" t="s">
        <v>46</v>
      </c>
      <c r="K1613" s="32" t="s">
        <v>42</v>
      </c>
      <c r="L1613" s="32">
        <v>5</v>
      </c>
      <c r="M1613" s="32" t="s">
        <v>1354</v>
      </c>
      <c r="N1613" s="32" t="s">
        <v>1352</v>
      </c>
    </row>
    <row r="1614" spans="1:14" s="32" customFormat="1" hidden="1" x14ac:dyDescent="0.3">
      <c r="A1614" s="38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38</v>
      </c>
      <c r="H1614" s="32" t="s">
        <v>1682</v>
      </c>
      <c r="I1614" s="32" t="s">
        <v>40</v>
      </c>
      <c r="J1614" s="32" t="s">
        <v>41</v>
      </c>
      <c r="K1614" s="32" t="s">
        <v>42</v>
      </c>
    </row>
    <row r="1615" spans="1:14" s="32" customFormat="1" hidden="1" x14ac:dyDescent="0.3">
      <c r="A1615" s="38">
        <v>46210.662326388891</v>
      </c>
      <c r="B1615" s="32" t="s">
        <v>1038</v>
      </c>
      <c r="C1615" s="32">
        <v>44999976008</v>
      </c>
      <c r="E1615" s="32">
        <v>303</v>
      </c>
      <c r="F1615" s="32">
        <v>296</v>
      </c>
      <c r="G1615" s="32" t="s">
        <v>44</v>
      </c>
      <c r="H1615" s="32" t="s">
        <v>1683</v>
      </c>
      <c r="I1615" s="32" t="s">
        <v>54</v>
      </c>
      <c r="J1615" s="32" t="s">
        <v>46</v>
      </c>
      <c r="M1615" s="32" t="s">
        <v>1040</v>
      </c>
      <c r="N1615" s="32" t="s">
        <v>1038</v>
      </c>
    </row>
    <row r="1616" spans="1:14" s="32" customFormat="1" hidden="1" x14ac:dyDescent="0.3">
      <c r="A1616" s="38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38</v>
      </c>
      <c r="H1616" s="32" t="s">
        <v>1684</v>
      </c>
      <c r="I1616" s="32" t="s">
        <v>40</v>
      </c>
      <c r="J1616" s="32" t="s">
        <v>41</v>
      </c>
    </row>
    <row r="1617" spans="1:14" s="32" customFormat="1" hidden="1" x14ac:dyDescent="0.3">
      <c r="A1617" s="38">
        <v>46210.657418981478</v>
      </c>
      <c r="B1617" s="32">
        <v>4130760170</v>
      </c>
      <c r="C1617" s="32" t="s">
        <v>1352</v>
      </c>
      <c r="D1617" s="32">
        <v>4430265054</v>
      </c>
      <c r="E1617" s="32">
        <v>389</v>
      </c>
      <c r="F1617" s="32">
        <v>245</v>
      </c>
      <c r="G1617" s="32" t="s">
        <v>44</v>
      </c>
      <c r="H1617" s="32" t="s">
        <v>1685</v>
      </c>
      <c r="I1617" s="32" t="s">
        <v>40</v>
      </c>
      <c r="J1617" s="32" t="s">
        <v>46</v>
      </c>
      <c r="K1617" s="32" t="s">
        <v>42</v>
      </c>
      <c r="M1617" s="32" t="s">
        <v>1354</v>
      </c>
      <c r="N1617" s="32" t="s">
        <v>1352</v>
      </c>
    </row>
    <row r="1618" spans="1:14" s="32" customFormat="1" hidden="1" x14ac:dyDescent="0.3">
      <c r="A1618" s="38">
        <v>46210.650173611109</v>
      </c>
      <c r="B1618" s="32" t="s">
        <v>58</v>
      </c>
      <c r="C1618" s="32">
        <v>44998068281</v>
      </c>
      <c r="E1618" s="32">
        <v>226</v>
      </c>
      <c r="F1618" s="32">
        <v>208</v>
      </c>
      <c r="G1618" s="32" t="s">
        <v>44</v>
      </c>
      <c r="H1618" s="32" t="s">
        <v>1686</v>
      </c>
      <c r="I1618" s="32" t="s">
        <v>54</v>
      </c>
      <c r="J1618" s="32" t="s">
        <v>46</v>
      </c>
      <c r="M1618" s="32" t="s">
        <v>60</v>
      </c>
      <c r="N1618" s="32" t="s">
        <v>58</v>
      </c>
    </row>
    <row r="1619" spans="1:14" s="32" customFormat="1" hidden="1" x14ac:dyDescent="0.3">
      <c r="A1619" s="38">
        <v>46210.650011574071</v>
      </c>
      <c r="B1619" s="32" t="s">
        <v>58</v>
      </c>
      <c r="C1619" s="32">
        <v>44998068281</v>
      </c>
      <c r="E1619" s="32">
        <v>2</v>
      </c>
      <c r="F1619" s="32">
        <v>0</v>
      </c>
      <c r="G1619" s="32" t="s">
        <v>63</v>
      </c>
      <c r="H1619" s="32" t="s">
        <v>1687</v>
      </c>
      <c r="I1619" s="32" t="s">
        <v>54</v>
      </c>
      <c r="J1619" s="32" t="s">
        <v>46</v>
      </c>
      <c r="M1619" s="32" t="s">
        <v>60</v>
      </c>
      <c r="N1619" s="32" t="s">
        <v>58</v>
      </c>
    </row>
    <row r="1620" spans="1:14" s="32" customFormat="1" hidden="1" x14ac:dyDescent="0.3">
      <c r="A1620" s="38">
        <v>46210.647291666668</v>
      </c>
      <c r="B1620" s="32">
        <v>1143744993</v>
      </c>
      <c r="C1620" s="32" t="s">
        <v>43</v>
      </c>
      <c r="D1620" s="32">
        <v>4431268225</v>
      </c>
      <c r="E1620" s="32">
        <v>1442</v>
      </c>
      <c r="F1620" s="32">
        <v>1400</v>
      </c>
      <c r="G1620" s="32" t="s">
        <v>44</v>
      </c>
      <c r="H1620" s="32" t="s">
        <v>1688</v>
      </c>
      <c r="I1620" s="32" t="s">
        <v>40</v>
      </c>
      <c r="J1620" s="32" t="s">
        <v>46</v>
      </c>
      <c r="K1620" s="32" t="s">
        <v>42</v>
      </c>
      <c r="L1620" s="32">
        <v>5</v>
      </c>
      <c r="M1620" s="32" t="s">
        <v>47</v>
      </c>
      <c r="N1620" s="32" t="s">
        <v>43</v>
      </c>
    </row>
    <row r="1621" spans="1:14" s="32" customFormat="1" hidden="1" x14ac:dyDescent="0.3">
      <c r="A1621" s="38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38</v>
      </c>
      <c r="H1621" s="32" t="s">
        <v>1689</v>
      </c>
      <c r="I1621" s="32" t="s">
        <v>40</v>
      </c>
      <c r="J1621" s="32" t="s">
        <v>41</v>
      </c>
    </row>
    <row r="1622" spans="1:14" s="32" customFormat="1" hidden="1" x14ac:dyDescent="0.3">
      <c r="A1622" s="38">
        <v>46210.645370370374</v>
      </c>
      <c r="B1622" s="32">
        <v>44997650834</v>
      </c>
      <c r="C1622" s="32" t="s">
        <v>1352</v>
      </c>
      <c r="D1622" s="32">
        <v>4430265054</v>
      </c>
      <c r="E1622" s="32">
        <v>193</v>
      </c>
      <c r="F1622" s="32">
        <v>148</v>
      </c>
      <c r="G1622" s="32" t="s">
        <v>44</v>
      </c>
      <c r="H1622" s="32" t="s">
        <v>1690</v>
      </c>
      <c r="I1622" s="32" t="s">
        <v>40</v>
      </c>
      <c r="J1622" s="32" t="s">
        <v>46</v>
      </c>
      <c r="K1622" s="32" t="s">
        <v>42</v>
      </c>
      <c r="L1622" s="32">
        <v>5</v>
      </c>
      <c r="M1622" s="32" t="s">
        <v>1354</v>
      </c>
      <c r="N1622" s="32" t="s">
        <v>1352</v>
      </c>
    </row>
    <row r="1623" spans="1:14" s="32" customFormat="1" hidden="1" x14ac:dyDescent="0.3">
      <c r="A1623" s="38">
        <v>46210.642164351855</v>
      </c>
      <c r="B1623" s="32">
        <v>44999976008</v>
      </c>
      <c r="C1623" s="32" t="s">
        <v>1352</v>
      </c>
      <c r="D1623" s="32">
        <v>4430265054</v>
      </c>
      <c r="E1623" s="32">
        <v>157</v>
      </c>
      <c r="F1623" s="32">
        <v>26</v>
      </c>
      <c r="G1623" s="32" t="s">
        <v>44</v>
      </c>
      <c r="H1623" s="32" t="s">
        <v>1691</v>
      </c>
      <c r="I1623" s="32" t="s">
        <v>40</v>
      </c>
      <c r="J1623" s="32" t="s">
        <v>46</v>
      </c>
      <c r="K1623" s="32" t="s">
        <v>42</v>
      </c>
      <c r="M1623" s="32" t="s">
        <v>1354</v>
      </c>
      <c r="N1623" s="32" t="s">
        <v>1352</v>
      </c>
    </row>
    <row r="1624" spans="1:14" s="32" customFormat="1" hidden="1" x14ac:dyDescent="0.3">
      <c r="A1624" s="38">
        <v>46210.641840277778</v>
      </c>
      <c r="B1624" s="32">
        <v>93991495484</v>
      </c>
      <c r="C1624" s="32" t="s">
        <v>1038</v>
      </c>
      <c r="D1624" s="32">
        <v>4430265054</v>
      </c>
      <c r="E1624" s="32">
        <v>667</v>
      </c>
      <c r="F1624" s="32">
        <v>647</v>
      </c>
      <c r="G1624" s="32" t="s">
        <v>44</v>
      </c>
      <c r="H1624" s="32" t="s">
        <v>1692</v>
      </c>
      <c r="I1624" s="32" t="s">
        <v>40</v>
      </c>
      <c r="J1624" s="32" t="s">
        <v>46</v>
      </c>
      <c r="K1624" s="32" t="s">
        <v>42</v>
      </c>
      <c r="L1624" s="32">
        <v>5</v>
      </c>
      <c r="M1624" s="32" t="s">
        <v>1040</v>
      </c>
      <c r="N1624" s="32" t="s">
        <v>1038</v>
      </c>
    </row>
    <row r="1625" spans="1:14" s="32" customFormat="1" hidden="1" x14ac:dyDescent="0.3">
      <c r="A1625" s="38">
        <v>46210.641006944446</v>
      </c>
      <c r="B1625" s="32" t="s">
        <v>1352</v>
      </c>
      <c r="C1625" s="32">
        <v>43988030048</v>
      </c>
      <c r="E1625" s="32">
        <v>182</v>
      </c>
      <c r="F1625" s="32">
        <v>166</v>
      </c>
      <c r="G1625" s="32" t="s">
        <v>44</v>
      </c>
      <c r="H1625" s="32" t="s">
        <v>1693</v>
      </c>
      <c r="I1625" s="32" t="s">
        <v>54</v>
      </c>
      <c r="J1625" s="32" t="s">
        <v>46</v>
      </c>
      <c r="M1625" s="32" t="s">
        <v>1354</v>
      </c>
      <c r="N1625" s="32" t="s">
        <v>1352</v>
      </c>
    </row>
    <row r="1626" spans="1:14" s="32" customFormat="1" hidden="1" x14ac:dyDescent="0.3">
      <c r="A1626" s="38">
        <v>46210.639953703707</v>
      </c>
      <c r="B1626" s="32" t="s">
        <v>43</v>
      </c>
      <c r="C1626" s="32">
        <v>44997123083</v>
      </c>
      <c r="E1626" s="32">
        <v>7</v>
      </c>
      <c r="F1626" s="32">
        <v>0</v>
      </c>
      <c r="G1626" s="32" t="s">
        <v>63</v>
      </c>
      <c r="H1626" s="32" t="s">
        <v>1694</v>
      </c>
      <c r="I1626" s="32" t="s">
        <v>54</v>
      </c>
      <c r="J1626" s="32" t="s">
        <v>46</v>
      </c>
      <c r="M1626" s="32" t="s">
        <v>47</v>
      </c>
      <c r="N1626" s="32" t="s">
        <v>43</v>
      </c>
    </row>
    <row r="1627" spans="1:14" s="32" customFormat="1" hidden="1" x14ac:dyDescent="0.3">
      <c r="A1627" s="38">
        <v>46210.63989583333</v>
      </c>
      <c r="B1627" s="32" t="s">
        <v>43</v>
      </c>
      <c r="C1627" s="32">
        <v>44997123083</v>
      </c>
      <c r="E1627" s="32">
        <v>4</v>
      </c>
      <c r="F1627" s="32">
        <v>0</v>
      </c>
      <c r="G1627" s="32" t="s">
        <v>63</v>
      </c>
      <c r="H1627" s="32" t="s">
        <v>1695</v>
      </c>
      <c r="I1627" s="32" t="s">
        <v>54</v>
      </c>
      <c r="J1627" s="32" t="s">
        <v>46</v>
      </c>
      <c r="M1627" s="32" t="s">
        <v>47</v>
      </c>
      <c r="N1627" s="32" t="s">
        <v>43</v>
      </c>
    </row>
    <row r="1628" spans="1:14" s="32" customFormat="1" hidden="1" x14ac:dyDescent="0.3">
      <c r="A1628" s="38">
        <v>46210.637916666667</v>
      </c>
      <c r="B1628" s="32">
        <v>44997123083</v>
      </c>
      <c r="C1628" s="32" t="s">
        <v>43</v>
      </c>
      <c r="D1628" s="32">
        <v>4430265054</v>
      </c>
      <c r="E1628" s="32">
        <v>114</v>
      </c>
      <c r="F1628" s="32">
        <v>90</v>
      </c>
      <c r="G1628" s="32" t="s">
        <v>44</v>
      </c>
      <c r="H1628" s="32" t="s">
        <v>1696</v>
      </c>
      <c r="I1628" s="32" t="s">
        <v>40</v>
      </c>
      <c r="J1628" s="32" t="s">
        <v>46</v>
      </c>
      <c r="K1628" s="32" t="s">
        <v>42</v>
      </c>
      <c r="M1628" s="32" t="s">
        <v>47</v>
      </c>
      <c r="N1628" s="32" t="s">
        <v>43</v>
      </c>
    </row>
    <row r="1629" spans="1:14" s="32" customFormat="1" hidden="1" x14ac:dyDescent="0.3">
      <c r="A1629" s="38">
        <v>46210.634942129633</v>
      </c>
      <c r="B1629" s="32">
        <v>53981112780</v>
      </c>
      <c r="C1629" s="32" t="s">
        <v>109</v>
      </c>
      <c r="D1629" s="32">
        <v>4430265054</v>
      </c>
      <c r="E1629" s="32">
        <v>473</v>
      </c>
      <c r="F1629" s="32">
        <v>452</v>
      </c>
      <c r="G1629" s="32" t="s">
        <v>44</v>
      </c>
      <c r="H1629" s="32" t="s">
        <v>1697</v>
      </c>
      <c r="I1629" s="32" t="s">
        <v>40</v>
      </c>
      <c r="J1629" s="32" t="s">
        <v>111</v>
      </c>
      <c r="K1629" s="32" t="s">
        <v>212</v>
      </c>
      <c r="M1629" s="32" t="s">
        <v>112</v>
      </c>
      <c r="N1629" s="32" t="s">
        <v>109</v>
      </c>
    </row>
    <row r="1630" spans="1:14" s="32" customFormat="1" hidden="1" x14ac:dyDescent="0.3">
      <c r="A1630" s="38">
        <v>46210.632870370369</v>
      </c>
      <c r="B1630" s="32">
        <v>12988128432</v>
      </c>
      <c r="C1630" s="32" t="s">
        <v>1352</v>
      </c>
      <c r="D1630" s="32">
        <v>4430265054</v>
      </c>
      <c r="E1630" s="32">
        <v>464</v>
      </c>
      <c r="F1630" s="32">
        <v>336</v>
      </c>
      <c r="G1630" s="32" t="s">
        <v>44</v>
      </c>
      <c r="H1630" s="32" t="s">
        <v>1698</v>
      </c>
      <c r="I1630" s="32" t="s">
        <v>40</v>
      </c>
      <c r="J1630" s="32" t="s">
        <v>46</v>
      </c>
      <c r="K1630" s="32" t="s">
        <v>42</v>
      </c>
      <c r="M1630" s="32" t="s">
        <v>1354</v>
      </c>
      <c r="N1630" s="32" t="s">
        <v>1352</v>
      </c>
    </row>
    <row r="1631" spans="1:14" s="32" customFormat="1" hidden="1" x14ac:dyDescent="0.3">
      <c r="A1631" s="38">
        <v>46210.624826388892</v>
      </c>
      <c r="B1631" s="32" t="s">
        <v>207</v>
      </c>
      <c r="C1631" s="32">
        <v>4434231198</v>
      </c>
      <c r="E1631" s="32">
        <v>620</v>
      </c>
      <c r="F1631" s="32">
        <v>615</v>
      </c>
      <c r="G1631" s="32" t="s">
        <v>44</v>
      </c>
      <c r="H1631" s="32" t="s">
        <v>1699</v>
      </c>
      <c r="I1631" s="32" t="s">
        <v>54</v>
      </c>
      <c r="J1631" s="32" t="s">
        <v>111</v>
      </c>
      <c r="M1631" s="32" t="s">
        <v>209</v>
      </c>
      <c r="N1631" s="32" t="s">
        <v>207</v>
      </c>
    </row>
    <row r="1632" spans="1:14" s="32" customFormat="1" hidden="1" x14ac:dyDescent="0.3">
      <c r="A1632" s="38">
        <v>46210.6247337963</v>
      </c>
      <c r="B1632" s="32" t="s">
        <v>207</v>
      </c>
      <c r="C1632" s="32">
        <v>4432231198</v>
      </c>
      <c r="E1632" s="32">
        <v>1</v>
      </c>
      <c r="F1632" s="32">
        <v>0</v>
      </c>
      <c r="G1632" s="32" t="s">
        <v>63</v>
      </c>
      <c r="H1632" s="32" t="s">
        <v>1700</v>
      </c>
      <c r="I1632" s="32" t="s">
        <v>54</v>
      </c>
      <c r="J1632" s="32" t="s">
        <v>111</v>
      </c>
      <c r="M1632" s="32" t="s">
        <v>209</v>
      </c>
      <c r="N1632" s="32" t="s">
        <v>207</v>
      </c>
    </row>
    <row r="1633" spans="1:14" s="32" customFormat="1" hidden="1" x14ac:dyDescent="0.3">
      <c r="A1633" s="38">
        <v>46210.623194444444</v>
      </c>
      <c r="B1633" s="32" t="s">
        <v>109</v>
      </c>
      <c r="C1633" s="32">
        <v>98988850994</v>
      </c>
      <c r="E1633" s="32">
        <v>12</v>
      </c>
      <c r="F1633" s="32">
        <v>0</v>
      </c>
      <c r="G1633" s="32" t="s">
        <v>63</v>
      </c>
      <c r="H1633" s="32" t="s">
        <v>1701</v>
      </c>
      <c r="I1633" s="32" t="s">
        <v>54</v>
      </c>
      <c r="J1633" s="32" t="s">
        <v>111</v>
      </c>
      <c r="M1633" s="32" t="s">
        <v>112</v>
      </c>
      <c r="N1633" s="32" t="s">
        <v>109</v>
      </c>
    </row>
    <row r="1634" spans="1:14" s="32" customFormat="1" hidden="1" x14ac:dyDescent="0.3">
      <c r="A1634" s="38">
        <v>46210.621712962966</v>
      </c>
      <c r="B1634" s="32" t="s">
        <v>109</v>
      </c>
      <c r="C1634" s="32">
        <v>31995935759</v>
      </c>
      <c r="E1634" s="32">
        <v>8</v>
      </c>
      <c r="F1634" s="32">
        <v>4</v>
      </c>
      <c r="G1634" s="32" t="s">
        <v>44</v>
      </c>
      <c r="H1634" s="32" t="s">
        <v>1702</v>
      </c>
      <c r="I1634" s="32" t="s">
        <v>54</v>
      </c>
      <c r="J1634" s="32" t="s">
        <v>111</v>
      </c>
      <c r="M1634" s="32" t="s">
        <v>112</v>
      </c>
      <c r="N1634" s="32" t="s">
        <v>109</v>
      </c>
    </row>
    <row r="1635" spans="1:14" s="32" customFormat="1" hidden="1" x14ac:dyDescent="0.3">
      <c r="A1635" s="38">
        <v>46210.620208333334</v>
      </c>
      <c r="B1635" s="32" t="s">
        <v>109</v>
      </c>
      <c r="C1635" s="32">
        <v>62984508080</v>
      </c>
      <c r="E1635" s="32">
        <v>8</v>
      </c>
      <c r="F1635" s="32">
        <v>1</v>
      </c>
      <c r="G1635" s="32" t="s">
        <v>44</v>
      </c>
      <c r="H1635" s="32" t="s">
        <v>1703</v>
      </c>
      <c r="I1635" s="32" t="s">
        <v>54</v>
      </c>
      <c r="J1635" s="32" t="s">
        <v>111</v>
      </c>
      <c r="M1635" s="32" t="s">
        <v>112</v>
      </c>
      <c r="N1635" s="32" t="s">
        <v>109</v>
      </c>
    </row>
    <row r="1636" spans="1:14" s="32" customFormat="1" hidden="1" x14ac:dyDescent="0.3">
      <c r="A1636" s="38">
        <v>46210.618321759262</v>
      </c>
      <c r="B1636" s="32" t="s">
        <v>109</v>
      </c>
      <c r="C1636" s="32">
        <v>11951250649</v>
      </c>
      <c r="E1636" s="32">
        <v>4</v>
      </c>
      <c r="F1636" s="32">
        <v>0</v>
      </c>
      <c r="G1636" s="32" t="s">
        <v>63</v>
      </c>
      <c r="H1636" s="32" t="s">
        <v>1704</v>
      </c>
      <c r="I1636" s="32" t="s">
        <v>54</v>
      </c>
      <c r="J1636" s="32" t="s">
        <v>111</v>
      </c>
      <c r="M1636" s="32" t="s">
        <v>112</v>
      </c>
      <c r="N1636" s="32" t="s">
        <v>109</v>
      </c>
    </row>
    <row r="1637" spans="1:14" s="32" customFormat="1" hidden="1" x14ac:dyDescent="0.3">
      <c r="A1637" s="38">
        <v>46210.616678240738</v>
      </c>
      <c r="B1637" s="32">
        <v>41997840159</v>
      </c>
      <c r="C1637" s="32" t="s">
        <v>58</v>
      </c>
      <c r="D1637" s="32">
        <v>4431268225</v>
      </c>
      <c r="E1637" s="32">
        <v>245</v>
      </c>
      <c r="F1637" s="32">
        <v>244</v>
      </c>
      <c r="G1637" s="32" t="s">
        <v>44</v>
      </c>
      <c r="H1637" s="32" t="s">
        <v>1705</v>
      </c>
      <c r="I1637" s="32" t="s">
        <v>40</v>
      </c>
      <c r="J1637" s="32" t="s">
        <v>46</v>
      </c>
      <c r="K1637" s="32" t="s">
        <v>42</v>
      </c>
      <c r="M1637" s="32" t="s">
        <v>60</v>
      </c>
      <c r="N1637" s="32" t="s">
        <v>58</v>
      </c>
    </row>
    <row r="1638" spans="1:14" s="32" customFormat="1" hidden="1" x14ac:dyDescent="0.3">
      <c r="A1638" s="38">
        <v>46210.616099537037</v>
      </c>
      <c r="B1638" s="32">
        <v>44998107650</v>
      </c>
      <c r="C1638" s="32" t="s">
        <v>43</v>
      </c>
      <c r="D1638" s="32">
        <v>4431268225</v>
      </c>
      <c r="E1638" s="32">
        <v>648</v>
      </c>
      <c r="F1638" s="32">
        <v>623</v>
      </c>
      <c r="G1638" s="32" t="s">
        <v>44</v>
      </c>
      <c r="H1638" s="32" t="s">
        <v>1706</v>
      </c>
      <c r="I1638" s="32" t="s">
        <v>40</v>
      </c>
      <c r="J1638" s="32" t="s">
        <v>46</v>
      </c>
      <c r="K1638" s="32" t="s">
        <v>42</v>
      </c>
      <c r="L1638" s="32">
        <v>5</v>
      </c>
      <c r="M1638" s="32" t="s">
        <v>47</v>
      </c>
      <c r="N1638" s="32" t="s">
        <v>43</v>
      </c>
    </row>
    <row r="1639" spans="1:14" s="32" customFormat="1" hidden="1" x14ac:dyDescent="0.3">
      <c r="A1639" s="38">
        <v>46210.607673611114</v>
      </c>
      <c r="B1639" s="32" t="s">
        <v>109</v>
      </c>
      <c r="C1639" s="32">
        <v>1936563111</v>
      </c>
      <c r="E1639" s="32">
        <v>11</v>
      </c>
      <c r="F1639" s="32">
        <v>2</v>
      </c>
      <c r="G1639" s="32" t="s">
        <v>44</v>
      </c>
      <c r="H1639" s="32" t="s">
        <v>1707</v>
      </c>
      <c r="I1639" s="32" t="s">
        <v>54</v>
      </c>
      <c r="J1639" s="32" t="s">
        <v>111</v>
      </c>
      <c r="M1639" s="32" t="s">
        <v>112</v>
      </c>
      <c r="N1639" s="32" t="s">
        <v>109</v>
      </c>
    </row>
    <row r="1640" spans="1:14" s="32" customFormat="1" hidden="1" x14ac:dyDescent="0.3">
      <c r="A1640" s="38">
        <v>46210.607060185182</v>
      </c>
      <c r="B1640" s="32">
        <v>91989363636</v>
      </c>
      <c r="C1640" s="32" t="s">
        <v>1352</v>
      </c>
      <c r="D1640" s="32">
        <v>4430265054</v>
      </c>
      <c r="E1640" s="32">
        <v>939</v>
      </c>
      <c r="F1640" s="32">
        <v>810</v>
      </c>
      <c r="G1640" s="32" t="s">
        <v>44</v>
      </c>
      <c r="H1640" s="32" t="s">
        <v>1708</v>
      </c>
      <c r="I1640" s="32" t="s">
        <v>40</v>
      </c>
      <c r="J1640" s="32" t="s">
        <v>46</v>
      </c>
      <c r="K1640" s="32" t="s">
        <v>42</v>
      </c>
      <c r="L1640" s="32">
        <v>5</v>
      </c>
      <c r="M1640" s="32" t="s">
        <v>1354</v>
      </c>
      <c r="N1640" s="32" t="s">
        <v>1352</v>
      </c>
    </row>
    <row r="1641" spans="1:14" s="32" customFormat="1" hidden="1" x14ac:dyDescent="0.3">
      <c r="A1641" s="38">
        <v>46210.606956018521</v>
      </c>
      <c r="B1641" s="32">
        <v>44997134514</v>
      </c>
      <c r="C1641" s="32" t="s">
        <v>1352</v>
      </c>
      <c r="D1641" s="32">
        <v>4430265054</v>
      </c>
      <c r="E1641" s="32">
        <v>117</v>
      </c>
      <c r="F1641" s="32">
        <v>57</v>
      </c>
      <c r="G1641" s="32" t="s">
        <v>44</v>
      </c>
      <c r="H1641" s="32" t="s">
        <v>1709</v>
      </c>
      <c r="I1641" s="32" t="s">
        <v>40</v>
      </c>
      <c r="J1641" s="32" t="s">
        <v>46</v>
      </c>
      <c r="K1641" s="32" t="s">
        <v>42</v>
      </c>
      <c r="M1641" s="32" t="s">
        <v>1354</v>
      </c>
      <c r="N1641" s="32" t="s">
        <v>1352</v>
      </c>
    </row>
    <row r="1642" spans="1:14" s="32" customFormat="1" hidden="1" x14ac:dyDescent="0.3">
      <c r="A1642" s="38">
        <v>46210.606365740743</v>
      </c>
      <c r="B1642" s="32">
        <v>41997840159</v>
      </c>
      <c r="C1642" s="32" t="s">
        <v>43</v>
      </c>
      <c r="D1642" s="32">
        <v>4430265054</v>
      </c>
      <c r="E1642" s="32">
        <v>594</v>
      </c>
      <c r="F1642" s="32">
        <v>535</v>
      </c>
      <c r="G1642" s="32" t="s">
        <v>44</v>
      </c>
      <c r="H1642" s="32" t="s">
        <v>1710</v>
      </c>
      <c r="I1642" s="32" t="s">
        <v>40</v>
      </c>
      <c r="J1642" s="32" t="s">
        <v>46</v>
      </c>
      <c r="K1642" s="32" t="s">
        <v>42</v>
      </c>
      <c r="M1642" s="32" t="s">
        <v>47</v>
      </c>
      <c r="N1642" s="32" t="s">
        <v>43</v>
      </c>
    </row>
    <row r="1643" spans="1:14" s="32" customFormat="1" hidden="1" x14ac:dyDescent="0.3">
      <c r="A1643" s="38">
        <v>46210.605196759258</v>
      </c>
      <c r="B1643" s="32">
        <v>44999670264</v>
      </c>
      <c r="C1643" s="32" t="s">
        <v>1038</v>
      </c>
      <c r="D1643" s="32">
        <v>4430265054</v>
      </c>
      <c r="E1643" s="32">
        <v>1007</v>
      </c>
      <c r="F1643" s="32">
        <v>943</v>
      </c>
      <c r="G1643" s="32" t="s">
        <v>44</v>
      </c>
      <c r="H1643" s="32" t="s">
        <v>1711</v>
      </c>
      <c r="I1643" s="32" t="s">
        <v>40</v>
      </c>
      <c r="J1643" s="32" t="s">
        <v>46</v>
      </c>
      <c r="K1643" s="32" t="s">
        <v>42</v>
      </c>
      <c r="L1643" s="32">
        <v>4</v>
      </c>
      <c r="M1643" s="32" t="s">
        <v>1040</v>
      </c>
      <c r="N1643" s="32" t="s">
        <v>1038</v>
      </c>
    </row>
    <row r="1644" spans="1:14" s="32" customFormat="1" hidden="1" x14ac:dyDescent="0.3">
      <c r="A1644" s="38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38</v>
      </c>
      <c r="H1644" s="32" t="s">
        <v>1712</v>
      </c>
      <c r="I1644" s="32" t="s">
        <v>40</v>
      </c>
      <c r="J1644" s="32" t="s">
        <v>41</v>
      </c>
      <c r="K1644" s="32" t="s">
        <v>42</v>
      </c>
    </row>
    <row r="1645" spans="1:14" s="32" customFormat="1" hidden="1" x14ac:dyDescent="0.3">
      <c r="A1645" s="38">
        <v>46210.60491898148</v>
      </c>
      <c r="B1645" s="32" t="s">
        <v>109</v>
      </c>
      <c r="C1645" s="32">
        <v>62992288499</v>
      </c>
      <c r="E1645" s="32">
        <v>18</v>
      </c>
      <c r="F1645" s="32">
        <v>0</v>
      </c>
      <c r="G1645" s="32" t="s">
        <v>63</v>
      </c>
      <c r="H1645" s="32" t="s">
        <v>1713</v>
      </c>
      <c r="I1645" s="32" t="s">
        <v>54</v>
      </c>
      <c r="J1645" s="32" t="s">
        <v>111</v>
      </c>
      <c r="M1645" s="32" t="s">
        <v>112</v>
      </c>
      <c r="N1645" s="32" t="s">
        <v>109</v>
      </c>
    </row>
    <row r="1646" spans="1:14" s="32" customFormat="1" hidden="1" x14ac:dyDescent="0.3">
      <c r="A1646" s="38">
        <v>46210.603993055556</v>
      </c>
      <c r="B1646" s="32" t="s">
        <v>43</v>
      </c>
      <c r="C1646" s="32">
        <v>44997134514</v>
      </c>
      <c r="E1646" s="32">
        <v>27</v>
      </c>
      <c r="F1646" s="32">
        <v>17</v>
      </c>
      <c r="G1646" s="32" t="s">
        <v>44</v>
      </c>
      <c r="H1646" s="32" t="s">
        <v>1714</v>
      </c>
      <c r="I1646" s="32" t="s">
        <v>54</v>
      </c>
      <c r="J1646" s="32" t="s">
        <v>46</v>
      </c>
      <c r="M1646" s="32" t="s">
        <v>47</v>
      </c>
      <c r="N1646" s="32" t="s">
        <v>43</v>
      </c>
    </row>
    <row r="1647" spans="1:14" s="32" customFormat="1" hidden="1" x14ac:dyDescent="0.3">
      <c r="A1647" s="38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38</v>
      </c>
      <c r="H1647" s="32" t="s">
        <v>1715</v>
      </c>
      <c r="I1647" s="32" t="s">
        <v>40</v>
      </c>
      <c r="J1647" s="32" t="s">
        <v>41</v>
      </c>
      <c r="K1647" s="32" t="s">
        <v>42</v>
      </c>
    </row>
    <row r="1648" spans="1:14" s="32" customFormat="1" hidden="1" x14ac:dyDescent="0.3">
      <c r="A1648" s="38">
        <v>46210.594849537039</v>
      </c>
      <c r="B1648" s="32" t="s">
        <v>109</v>
      </c>
      <c r="C1648" s="32">
        <v>44988195534</v>
      </c>
      <c r="E1648" s="32">
        <v>1</v>
      </c>
      <c r="F1648" s="32">
        <v>0</v>
      </c>
      <c r="G1648" s="32" t="s">
        <v>63</v>
      </c>
      <c r="H1648" s="32" t="s">
        <v>1716</v>
      </c>
      <c r="I1648" s="32" t="s">
        <v>54</v>
      </c>
      <c r="J1648" s="32" t="s">
        <v>111</v>
      </c>
      <c r="M1648" s="32" t="s">
        <v>112</v>
      </c>
      <c r="N1648" s="32" t="s">
        <v>109</v>
      </c>
    </row>
    <row r="1649" spans="1:14" s="32" customFormat="1" hidden="1" x14ac:dyDescent="0.3">
      <c r="A1649" s="38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38</v>
      </c>
      <c r="H1649" s="32" t="s">
        <v>1717</v>
      </c>
      <c r="I1649" s="32" t="s">
        <v>40</v>
      </c>
      <c r="J1649" s="32" t="s">
        <v>41</v>
      </c>
      <c r="K1649" s="32" t="s">
        <v>42</v>
      </c>
    </row>
    <row r="1650" spans="1:14" s="32" customFormat="1" hidden="1" x14ac:dyDescent="0.3">
      <c r="A1650" s="38">
        <v>46210.589074074072</v>
      </c>
      <c r="B1650" s="32">
        <v>4430414545</v>
      </c>
      <c r="C1650" s="32" t="s">
        <v>1352</v>
      </c>
      <c r="D1650" s="32">
        <v>4430265054</v>
      </c>
      <c r="E1650" s="32">
        <v>225</v>
      </c>
      <c r="F1650" s="32">
        <v>192</v>
      </c>
      <c r="G1650" s="32" t="s">
        <v>44</v>
      </c>
      <c r="H1650" s="32" t="s">
        <v>1718</v>
      </c>
      <c r="I1650" s="32" t="s">
        <v>40</v>
      </c>
      <c r="J1650" s="32" t="s">
        <v>46</v>
      </c>
      <c r="K1650" s="32" t="s">
        <v>42</v>
      </c>
      <c r="M1650" s="32" t="s">
        <v>1354</v>
      </c>
      <c r="N1650" s="32" t="s">
        <v>1352</v>
      </c>
    </row>
    <row r="1651" spans="1:14" s="32" customFormat="1" hidden="1" x14ac:dyDescent="0.3">
      <c r="A1651" s="38">
        <v>46210.589050925926</v>
      </c>
      <c r="B1651" s="32">
        <v>44997134514</v>
      </c>
      <c r="C1651" s="32" t="s">
        <v>43</v>
      </c>
      <c r="D1651" s="32">
        <v>4430265054</v>
      </c>
      <c r="E1651" s="32">
        <v>221</v>
      </c>
      <c r="F1651" s="32">
        <v>176</v>
      </c>
      <c r="G1651" s="32" t="s">
        <v>44</v>
      </c>
      <c r="H1651" s="32" t="s">
        <v>1719</v>
      </c>
      <c r="I1651" s="32" t="s">
        <v>40</v>
      </c>
      <c r="J1651" s="32" t="s">
        <v>46</v>
      </c>
      <c r="K1651" s="32" t="s">
        <v>42</v>
      </c>
      <c r="M1651" s="32" t="s">
        <v>47</v>
      </c>
      <c r="N1651" s="32" t="s">
        <v>43</v>
      </c>
    </row>
    <row r="1652" spans="1:14" s="32" customFormat="1" hidden="1" x14ac:dyDescent="0.3">
      <c r="A1652" s="38">
        <v>46210.585300925923</v>
      </c>
      <c r="B1652" s="32" t="s">
        <v>1038</v>
      </c>
      <c r="C1652" s="32">
        <v>44999976008</v>
      </c>
      <c r="E1652" s="32">
        <v>1510</v>
      </c>
      <c r="F1652" s="32">
        <v>1505</v>
      </c>
      <c r="G1652" s="32" t="s">
        <v>44</v>
      </c>
      <c r="H1652" s="32" t="s">
        <v>1720</v>
      </c>
      <c r="I1652" s="32" t="s">
        <v>54</v>
      </c>
      <c r="J1652" s="32" t="s">
        <v>46</v>
      </c>
      <c r="M1652" s="32" t="s">
        <v>1040</v>
      </c>
      <c r="N1652" s="32" t="s">
        <v>1038</v>
      </c>
    </row>
    <row r="1653" spans="1:14" s="32" customFormat="1" hidden="1" x14ac:dyDescent="0.3">
      <c r="A1653" s="38">
        <v>46210.581759259258</v>
      </c>
      <c r="B1653" s="32">
        <v>4330332823</v>
      </c>
      <c r="C1653" s="32" t="s">
        <v>1038</v>
      </c>
      <c r="D1653" s="32">
        <v>4430265054</v>
      </c>
      <c r="E1653" s="32">
        <v>195</v>
      </c>
      <c r="F1653" s="32">
        <v>170</v>
      </c>
      <c r="G1653" s="32" t="s">
        <v>44</v>
      </c>
      <c r="H1653" s="32" t="s">
        <v>1721</v>
      </c>
      <c r="I1653" s="32" t="s">
        <v>40</v>
      </c>
      <c r="J1653" s="32" t="s">
        <v>46</v>
      </c>
      <c r="K1653" s="32" t="s">
        <v>42</v>
      </c>
      <c r="M1653" s="32" t="s">
        <v>1040</v>
      </c>
      <c r="N1653" s="32" t="s">
        <v>1038</v>
      </c>
    </row>
    <row r="1654" spans="1:14" s="32" customFormat="1" hidden="1" x14ac:dyDescent="0.3">
      <c r="A1654" s="38">
        <v>46210.581562500003</v>
      </c>
      <c r="B1654" s="32" t="s">
        <v>1038</v>
      </c>
      <c r="C1654" s="32">
        <v>44999976008</v>
      </c>
      <c r="E1654" s="32">
        <v>44</v>
      </c>
      <c r="F1654" s="32">
        <v>39</v>
      </c>
      <c r="G1654" s="32" t="s">
        <v>44</v>
      </c>
      <c r="H1654" s="32" t="s">
        <v>1722</v>
      </c>
      <c r="I1654" s="32" t="s">
        <v>54</v>
      </c>
      <c r="J1654" s="32" t="s">
        <v>46</v>
      </c>
      <c r="M1654" s="32" t="s">
        <v>1040</v>
      </c>
      <c r="N1654" s="32" t="s">
        <v>1038</v>
      </c>
    </row>
    <row r="1655" spans="1:14" s="32" customFormat="1" hidden="1" x14ac:dyDescent="0.3">
      <c r="A1655" s="38">
        <v>46210.572835648149</v>
      </c>
      <c r="B1655" s="32">
        <v>1131515685</v>
      </c>
      <c r="C1655" s="32" t="s">
        <v>1038</v>
      </c>
      <c r="D1655" s="32">
        <v>4430265054</v>
      </c>
      <c r="E1655" s="32">
        <v>649</v>
      </c>
      <c r="F1655" s="32">
        <v>556</v>
      </c>
      <c r="G1655" s="32" t="s">
        <v>44</v>
      </c>
      <c r="H1655" s="32" t="s">
        <v>1723</v>
      </c>
      <c r="I1655" s="32" t="s">
        <v>40</v>
      </c>
      <c r="J1655" s="32" t="s">
        <v>46</v>
      </c>
      <c r="K1655" s="32" t="s">
        <v>42</v>
      </c>
      <c r="L1655" s="32">
        <v>5</v>
      </c>
      <c r="M1655" s="32" t="s">
        <v>1040</v>
      </c>
      <c r="N1655" s="32" t="s">
        <v>1038</v>
      </c>
    </row>
    <row r="1656" spans="1:14" s="32" customFormat="1" hidden="1" x14ac:dyDescent="0.3">
      <c r="A1656" s="38">
        <v>46210.572835648149</v>
      </c>
      <c r="B1656" s="32">
        <v>44997450437</v>
      </c>
      <c r="C1656" s="32" t="s">
        <v>43</v>
      </c>
      <c r="D1656" s="32">
        <v>4430265054</v>
      </c>
      <c r="E1656" s="32">
        <v>621</v>
      </c>
      <c r="F1656" s="32">
        <v>600</v>
      </c>
      <c r="G1656" s="32" t="s">
        <v>44</v>
      </c>
      <c r="H1656" s="32" t="s">
        <v>1724</v>
      </c>
      <c r="I1656" s="32" t="s">
        <v>40</v>
      </c>
      <c r="J1656" s="32" t="s">
        <v>46</v>
      </c>
      <c r="K1656" s="32" t="s">
        <v>42</v>
      </c>
      <c r="L1656" s="32">
        <v>5</v>
      </c>
      <c r="M1656" s="32" t="s">
        <v>47</v>
      </c>
      <c r="N1656" s="32" t="s">
        <v>43</v>
      </c>
    </row>
    <row r="1657" spans="1:14" s="32" customFormat="1" hidden="1" x14ac:dyDescent="0.3">
      <c r="A1657" s="38">
        <v>46210.572638888887</v>
      </c>
      <c r="B1657" s="32">
        <v>4430414545</v>
      </c>
      <c r="C1657" s="32" t="s">
        <v>1352</v>
      </c>
      <c r="D1657" s="32">
        <v>4430265054</v>
      </c>
      <c r="E1657" s="32">
        <v>881</v>
      </c>
      <c r="F1657" s="32">
        <v>847</v>
      </c>
      <c r="G1657" s="32" t="s">
        <v>44</v>
      </c>
      <c r="H1657" s="32" t="s">
        <v>1725</v>
      </c>
      <c r="I1657" s="32" t="s">
        <v>40</v>
      </c>
      <c r="J1657" s="32" t="s">
        <v>46</v>
      </c>
      <c r="K1657" s="32" t="s">
        <v>42</v>
      </c>
      <c r="M1657" s="32" t="s">
        <v>1354</v>
      </c>
      <c r="N1657" s="32" t="s">
        <v>1352</v>
      </c>
    </row>
    <row r="1658" spans="1:14" s="32" customFormat="1" hidden="1" x14ac:dyDescent="0.3">
      <c r="A1658" s="38">
        <v>46210.57135416667</v>
      </c>
      <c r="B1658" s="32" t="s">
        <v>1352</v>
      </c>
      <c r="C1658" s="32">
        <v>44999493534</v>
      </c>
      <c r="E1658" s="32">
        <v>50</v>
      </c>
      <c r="F1658" s="32">
        <v>31</v>
      </c>
      <c r="G1658" s="32" t="s">
        <v>44</v>
      </c>
      <c r="H1658" s="32" t="s">
        <v>1726</v>
      </c>
      <c r="I1658" s="32" t="s">
        <v>54</v>
      </c>
      <c r="J1658" s="32" t="s">
        <v>46</v>
      </c>
      <c r="M1658" s="32" t="s">
        <v>1354</v>
      </c>
      <c r="N1658" s="32" t="s">
        <v>1352</v>
      </c>
    </row>
    <row r="1659" spans="1:14" s="32" customFormat="1" hidden="1" x14ac:dyDescent="0.3">
      <c r="A1659" s="38">
        <v>46210.57130787037</v>
      </c>
      <c r="B1659" s="32" t="s">
        <v>1352</v>
      </c>
      <c r="C1659" s="32">
        <v>44999493534</v>
      </c>
      <c r="E1659" s="32">
        <v>4</v>
      </c>
      <c r="F1659" s="32">
        <v>0</v>
      </c>
      <c r="G1659" s="32" t="s">
        <v>63</v>
      </c>
      <c r="H1659" s="32" t="s">
        <v>1727</v>
      </c>
      <c r="I1659" s="32" t="s">
        <v>54</v>
      </c>
      <c r="J1659" s="32" t="s">
        <v>46</v>
      </c>
      <c r="M1659" s="32" t="s">
        <v>1354</v>
      </c>
      <c r="N1659" s="32" t="s">
        <v>1352</v>
      </c>
    </row>
    <row r="1660" spans="1:14" s="32" customFormat="1" hidden="1" x14ac:dyDescent="0.3">
      <c r="A1660" s="38">
        <v>46210.571284722224</v>
      </c>
      <c r="B1660" s="32">
        <v>44998429890</v>
      </c>
      <c r="C1660" s="32" t="s">
        <v>58</v>
      </c>
      <c r="D1660" s="32">
        <v>4430265054</v>
      </c>
      <c r="E1660" s="32">
        <v>526</v>
      </c>
      <c r="F1660" s="32">
        <v>525</v>
      </c>
      <c r="G1660" s="32" t="s">
        <v>44</v>
      </c>
      <c r="H1660" s="32" t="s">
        <v>1728</v>
      </c>
      <c r="I1660" s="32" t="s">
        <v>40</v>
      </c>
      <c r="J1660" s="32" t="s">
        <v>46</v>
      </c>
      <c r="K1660" s="32" t="s">
        <v>42</v>
      </c>
      <c r="M1660" s="32" t="s">
        <v>60</v>
      </c>
      <c r="N1660" s="32" t="s">
        <v>58</v>
      </c>
    </row>
    <row r="1661" spans="1:14" s="32" customFormat="1" hidden="1" x14ac:dyDescent="0.3">
      <c r="A1661" s="38">
        <v>46210.570185185185</v>
      </c>
      <c r="B1661" s="32">
        <v>44999976008</v>
      </c>
      <c r="C1661" s="32" t="s">
        <v>1352</v>
      </c>
      <c r="D1661" s="32">
        <v>4430265054</v>
      </c>
      <c r="E1661" s="32">
        <v>56</v>
      </c>
      <c r="F1661" s="32">
        <v>28</v>
      </c>
      <c r="G1661" s="32" t="s">
        <v>44</v>
      </c>
      <c r="H1661" s="32" t="s">
        <v>1729</v>
      </c>
      <c r="I1661" s="32" t="s">
        <v>40</v>
      </c>
      <c r="J1661" s="32" t="s">
        <v>46</v>
      </c>
      <c r="K1661" s="32" t="s">
        <v>42</v>
      </c>
      <c r="M1661" s="32" t="s">
        <v>1354</v>
      </c>
      <c r="N1661" s="32" t="s">
        <v>1352</v>
      </c>
    </row>
    <row r="1662" spans="1:14" s="32" customFormat="1" hidden="1" x14ac:dyDescent="0.3">
      <c r="A1662" s="38">
        <v>46210.567743055559</v>
      </c>
      <c r="B1662" s="32" t="s">
        <v>43</v>
      </c>
      <c r="C1662" s="32">
        <v>1131043888</v>
      </c>
      <c r="E1662" s="32">
        <v>286</v>
      </c>
      <c r="F1662" s="32">
        <v>284</v>
      </c>
      <c r="G1662" s="32" t="s">
        <v>44</v>
      </c>
      <c r="H1662" s="32" t="s">
        <v>1730</v>
      </c>
      <c r="I1662" s="32" t="s">
        <v>54</v>
      </c>
      <c r="J1662" s="32" t="s">
        <v>46</v>
      </c>
      <c r="M1662" s="32" t="s">
        <v>47</v>
      </c>
      <c r="N1662" s="32" t="s">
        <v>43</v>
      </c>
    </row>
    <row r="1663" spans="1:14" s="32" customFormat="1" hidden="1" x14ac:dyDescent="0.3">
      <c r="A1663" s="38">
        <v>46210.567418981482</v>
      </c>
      <c r="B1663" s="32">
        <v>1143744993</v>
      </c>
      <c r="C1663" s="32" t="s">
        <v>1038</v>
      </c>
      <c r="D1663" s="32">
        <v>4431268225</v>
      </c>
      <c r="E1663" s="32">
        <v>320</v>
      </c>
      <c r="F1663" s="32">
        <v>261</v>
      </c>
      <c r="G1663" s="32" t="s">
        <v>44</v>
      </c>
      <c r="H1663" s="32" t="s">
        <v>1731</v>
      </c>
      <c r="I1663" s="32" t="s">
        <v>40</v>
      </c>
      <c r="J1663" s="32" t="s">
        <v>46</v>
      </c>
      <c r="K1663" s="32" t="s">
        <v>42</v>
      </c>
      <c r="L1663" s="32">
        <v>5</v>
      </c>
      <c r="M1663" s="32" t="s">
        <v>1040</v>
      </c>
      <c r="N1663" s="32" t="s">
        <v>1038</v>
      </c>
    </row>
    <row r="1664" spans="1:14" s="32" customFormat="1" hidden="1" x14ac:dyDescent="0.3">
      <c r="A1664" s="38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38</v>
      </c>
      <c r="H1664" s="32" t="s">
        <v>1732</v>
      </c>
      <c r="I1664" s="32" t="s">
        <v>40</v>
      </c>
      <c r="J1664" s="32" t="s">
        <v>41</v>
      </c>
    </row>
    <row r="1665" spans="1:14" s="32" customFormat="1" hidden="1" x14ac:dyDescent="0.3">
      <c r="A1665" s="38">
        <v>46210.487175925926</v>
      </c>
      <c r="B1665" s="32">
        <v>1128897100</v>
      </c>
      <c r="C1665" s="32" t="s">
        <v>207</v>
      </c>
      <c r="D1665" s="32">
        <v>4430265054</v>
      </c>
      <c r="E1665" s="32">
        <v>194</v>
      </c>
      <c r="F1665" s="32">
        <v>161</v>
      </c>
      <c r="G1665" s="32" t="s">
        <v>44</v>
      </c>
      <c r="H1665" s="32" t="s">
        <v>1733</v>
      </c>
      <c r="I1665" s="32" t="s">
        <v>40</v>
      </c>
      <c r="J1665" s="32" t="s">
        <v>111</v>
      </c>
      <c r="K1665" s="32" t="s">
        <v>212</v>
      </c>
      <c r="M1665" s="32" t="s">
        <v>209</v>
      </c>
      <c r="N1665" s="32" t="s">
        <v>207</v>
      </c>
    </row>
    <row r="1666" spans="1:14" s="32" customFormat="1" hidden="1" x14ac:dyDescent="0.3">
      <c r="A1666" s="38">
        <v>46210.482638888891</v>
      </c>
      <c r="B1666" s="32">
        <v>1131043888</v>
      </c>
      <c r="C1666" s="32" t="s">
        <v>43</v>
      </c>
      <c r="D1666" s="32">
        <v>4430265054</v>
      </c>
      <c r="E1666" s="32">
        <v>656</v>
      </c>
      <c r="F1666" s="32">
        <v>612</v>
      </c>
      <c r="G1666" s="32" t="s">
        <v>44</v>
      </c>
      <c r="H1666" s="32" t="s">
        <v>1734</v>
      </c>
      <c r="I1666" s="32" t="s">
        <v>40</v>
      </c>
      <c r="J1666" s="32" t="s">
        <v>46</v>
      </c>
      <c r="K1666" s="32" t="s">
        <v>42</v>
      </c>
      <c r="M1666" s="32" t="s">
        <v>47</v>
      </c>
      <c r="N1666" s="32" t="s">
        <v>43</v>
      </c>
    </row>
    <row r="1667" spans="1:14" s="32" customFormat="1" hidden="1" x14ac:dyDescent="0.3">
      <c r="A1667" s="38">
        <v>46210.482314814813</v>
      </c>
      <c r="B1667" s="32">
        <v>4433543396</v>
      </c>
      <c r="C1667" s="32" t="s">
        <v>1038</v>
      </c>
      <c r="D1667" s="32">
        <v>4430265054</v>
      </c>
      <c r="E1667" s="32">
        <v>537</v>
      </c>
      <c r="F1667" s="32">
        <v>485</v>
      </c>
      <c r="G1667" s="32" t="s">
        <v>44</v>
      </c>
      <c r="H1667" s="32" t="s">
        <v>1735</v>
      </c>
      <c r="I1667" s="32" t="s">
        <v>40</v>
      </c>
      <c r="J1667" s="32" t="s">
        <v>46</v>
      </c>
      <c r="K1667" s="32" t="s">
        <v>42</v>
      </c>
      <c r="M1667" s="32" t="s">
        <v>1040</v>
      </c>
      <c r="N1667" s="32" t="s">
        <v>1038</v>
      </c>
    </row>
    <row r="1668" spans="1:14" s="32" customFormat="1" hidden="1" x14ac:dyDescent="0.3">
      <c r="A1668" s="38">
        <v>46210.480185185188</v>
      </c>
      <c r="B1668" s="32" t="s">
        <v>109</v>
      </c>
      <c r="C1668" s="32">
        <v>33998533378</v>
      </c>
      <c r="E1668" s="32">
        <v>18</v>
      </c>
      <c r="F1668" s="32">
        <v>0</v>
      </c>
      <c r="G1668" s="32" t="s">
        <v>63</v>
      </c>
      <c r="H1668" s="32" t="s">
        <v>1736</v>
      </c>
      <c r="I1668" s="32" t="s">
        <v>54</v>
      </c>
      <c r="J1668" s="32" t="s">
        <v>111</v>
      </c>
      <c r="M1668" s="32" t="s">
        <v>112</v>
      </c>
      <c r="N1668" s="32" t="s">
        <v>109</v>
      </c>
    </row>
    <row r="1669" spans="1:14" s="32" customFormat="1" hidden="1" x14ac:dyDescent="0.3">
      <c r="A1669" s="38">
        <v>46210.478113425925</v>
      </c>
      <c r="B1669" s="32" t="s">
        <v>109</v>
      </c>
      <c r="C1669" s="32">
        <v>11994434477</v>
      </c>
      <c r="E1669" s="32">
        <v>46</v>
      </c>
      <c r="F1669" s="32">
        <v>33</v>
      </c>
      <c r="G1669" s="32" t="s">
        <v>44</v>
      </c>
      <c r="H1669" s="32" t="s">
        <v>1737</v>
      </c>
      <c r="I1669" s="32" t="s">
        <v>54</v>
      </c>
      <c r="J1669" s="32" t="s">
        <v>111</v>
      </c>
      <c r="M1669" s="32" t="s">
        <v>112</v>
      </c>
      <c r="N1669" s="32" t="s">
        <v>109</v>
      </c>
    </row>
    <row r="1670" spans="1:14" s="32" customFormat="1" hidden="1" x14ac:dyDescent="0.3">
      <c r="A1670" s="38">
        <v>46210.475995370369</v>
      </c>
      <c r="B1670" s="32">
        <v>44997450437</v>
      </c>
      <c r="C1670" s="32" t="s">
        <v>1352</v>
      </c>
      <c r="D1670" s="32">
        <v>4430265054</v>
      </c>
      <c r="E1670" s="32">
        <v>1594</v>
      </c>
      <c r="F1670" s="32">
        <v>1515</v>
      </c>
      <c r="G1670" s="32" t="s">
        <v>44</v>
      </c>
      <c r="H1670" s="32" t="s">
        <v>1738</v>
      </c>
      <c r="I1670" s="32" t="s">
        <v>40</v>
      </c>
      <c r="J1670" s="32" t="s">
        <v>46</v>
      </c>
      <c r="K1670" s="32" t="s">
        <v>42</v>
      </c>
      <c r="L1670" s="32">
        <v>5</v>
      </c>
      <c r="M1670" s="32" t="s">
        <v>1354</v>
      </c>
      <c r="N1670" s="32" t="s">
        <v>1352</v>
      </c>
    </row>
    <row r="1671" spans="1:14" s="32" customFormat="1" hidden="1" x14ac:dyDescent="0.3">
      <c r="A1671" s="38">
        <v>46210.475023148145</v>
      </c>
      <c r="B1671" s="32">
        <v>91981481202</v>
      </c>
      <c r="C1671" s="32" t="s">
        <v>43</v>
      </c>
      <c r="D1671" s="32">
        <v>4430265054</v>
      </c>
      <c r="E1671" s="32">
        <v>156</v>
      </c>
      <c r="F1671" s="32">
        <v>86</v>
      </c>
      <c r="G1671" s="32" t="s">
        <v>44</v>
      </c>
      <c r="H1671" s="32" t="s">
        <v>1739</v>
      </c>
      <c r="I1671" s="32" t="s">
        <v>40</v>
      </c>
      <c r="J1671" s="32" t="s">
        <v>46</v>
      </c>
      <c r="K1671" s="32" t="s">
        <v>42</v>
      </c>
      <c r="M1671" s="32" t="s">
        <v>47</v>
      </c>
      <c r="N1671" s="32" t="s">
        <v>43</v>
      </c>
    </row>
    <row r="1672" spans="1:14" s="32" customFormat="1" hidden="1" x14ac:dyDescent="0.3">
      <c r="A1672" s="38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38</v>
      </c>
      <c r="H1672" s="32" t="s">
        <v>1740</v>
      </c>
      <c r="I1672" s="32" t="s">
        <v>40</v>
      </c>
      <c r="J1672" s="32" t="s">
        <v>41</v>
      </c>
      <c r="K1672" s="32" t="s">
        <v>42</v>
      </c>
    </row>
    <row r="1673" spans="1:14" s="32" customFormat="1" hidden="1" x14ac:dyDescent="0.3">
      <c r="A1673" s="38">
        <v>46210.472199074073</v>
      </c>
      <c r="B1673" s="32">
        <v>44997426611</v>
      </c>
      <c r="C1673" s="32" t="s">
        <v>43</v>
      </c>
      <c r="D1673" s="32">
        <v>4430265054</v>
      </c>
      <c r="E1673" s="32">
        <v>309</v>
      </c>
      <c r="F1673" s="32">
        <v>248</v>
      </c>
      <c r="G1673" s="32" t="s">
        <v>44</v>
      </c>
      <c r="H1673" s="32" t="s">
        <v>1741</v>
      </c>
      <c r="I1673" s="32" t="s">
        <v>40</v>
      </c>
      <c r="J1673" s="32" t="s">
        <v>46</v>
      </c>
      <c r="K1673" s="32" t="s">
        <v>42</v>
      </c>
      <c r="L1673" s="32">
        <v>5</v>
      </c>
      <c r="M1673" s="32" t="s">
        <v>47</v>
      </c>
      <c r="N1673" s="32" t="s">
        <v>43</v>
      </c>
    </row>
    <row r="1674" spans="1:14" s="32" customFormat="1" hidden="1" x14ac:dyDescent="0.3">
      <c r="A1674" s="38">
        <v>46210.471967592595</v>
      </c>
      <c r="B1674" s="32">
        <v>4436281154</v>
      </c>
      <c r="C1674" s="32" t="s">
        <v>1038</v>
      </c>
      <c r="D1674" s="32">
        <v>4430265054</v>
      </c>
      <c r="E1674" s="32">
        <v>420</v>
      </c>
      <c r="F1674" s="32">
        <v>352</v>
      </c>
      <c r="G1674" s="32" t="s">
        <v>44</v>
      </c>
      <c r="H1674" s="32" t="s">
        <v>1742</v>
      </c>
      <c r="I1674" s="32" t="s">
        <v>40</v>
      </c>
      <c r="J1674" s="32" t="s">
        <v>46</v>
      </c>
      <c r="K1674" s="32" t="s">
        <v>42</v>
      </c>
      <c r="M1674" s="32" t="s">
        <v>1040</v>
      </c>
      <c r="N1674" s="32" t="s">
        <v>1038</v>
      </c>
    </row>
    <row r="1675" spans="1:14" s="32" customFormat="1" hidden="1" x14ac:dyDescent="0.3">
      <c r="A1675" s="38">
        <v>46210.467048611114</v>
      </c>
      <c r="B1675" s="32">
        <v>44999629349</v>
      </c>
      <c r="C1675" s="32" t="s">
        <v>1352</v>
      </c>
      <c r="D1675" s="32">
        <v>4430265054</v>
      </c>
      <c r="E1675" s="32">
        <v>545</v>
      </c>
      <c r="F1675" s="32">
        <v>440</v>
      </c>
      <c r="G1675" s="32" t="s">
        <v>44</v>
      </c>
      <c r="H1675" s="32" t="s">
        <v>1743</v>
      </c>
      <c r="I1675" s="32" t="s">
        <v>40</v>
      </c>
      <c r="J1675" s="32" t="s">
        <v>46</v>
      </c>
      <c r="K1675" s="32" t="s">
        <v>42</v>
      </c>
      <c r="M1675" s="32" t="s">
        <v>1354</v>
      </c>
      <c r="N1675" s="32" t="s">
        <v>1352</v>
      </c>
    </row>
    <row r="1676" spans="1:14" s="32" customFormat="1" hidden="1" x14ac:dyDescent="0.3">
      <c r="A1676" s="38">
        <v>46210.464641203704</v>
      </c>
      <c r="B1676" s="32">
        <v>4433543396</v>
      </c>
      <c r="C1676" s="32" t="s">
        <v>43</v>
      </c>
      <c r="D1676" s="32">
        <v>4430265054</v>
      </c>
      <c r="E1676" s="32">
        <v>321</v>
      </c>
      <c r="F1676" s="32">
        <v>307</v>
      </c>
      <c r="G1676" s="32" t="s">
        <v>44</v>
      </c>
      <c r="H1676" s="32" t="s">
        <v>1744</v>
      </c>
      <c r="I1676" s="32" t="s">
        <v>40</v>
      </c>
      <c r="J1676" s="32" t="s">
        <v>46</v>
      </c>
      <c r="K1676" s="32" t="s">
        <v>42</v>
      </c>
      <c r="M1676" s="32" t="s">
        <v>47</v>
      </c>
      <c r="N1676" s="32" t="s">
        <v>43</v>
      </c>
    </row>
    <row r="1677" spans="1:14" s="32" customFormat="1" hidden="1" x14ac:dyDescent="0.3">
      <c r="A1677" s="38">
        <v>46210.464050925926</v>
      </c>
      <c r="B1677" s="32">
        <v>44999976008</v>
      </c>
      <c r="C1677" s="32" t="s">
        <v>43</v>
      </c>
      <c r="D1677" s="32">
        <v>4430265054</v>
      </c>
      <c r="E1677" s="32">
        <v>55</v>
      </c>
      <c r="F1677" s="32">
        <v>20</v>
      </c>
      <c r="G1677" s="32" t="s">
        <v>44</v>
      </c>
      <c r="H1677" s="32" t="s">
        <v>1745</v>
      </c>
      <c r="I1677" s="32" t="s">
        <v>40</v>
      </c>
      <c r="J1677" s="32" t="s">
        <v>46</v>
      </c>
      <c r="K1677" s="32" t="s">
        <v>42</v>
      </c>
      <c r="M1677" s="32" t="s">
        <v>47</v>
      </c>
      <c r="N1677" s="32" t="s">
        <v>43</v>
      </c>
    </row>
    <row r="1678" spans="1:14" s="32" customFormat="1" hidden="1" x14ac:dyDescent="0.3">
      <c r="A1678" s="38">
        <v>46210.462326388886</v>
      </c>
      <c r="B1678" s="32">
        <v>44997450437</v>
      </c>
      <c r="C1678" s="32" t="s">
        <v>1038</v>
      </c>
      <c r="D1678" s="32">
        <v>4430265054</v>
      </c>
      <c r="E1678" s="32">
        <v>501</v>
      </c>
      <c r="F1678" s="32">
        <v>481</v>
      </c>
      <c r="G1678" s="32" t="s">
        <v>44</v>
      </c>
      <c r="H1678" s="32" t="s">
        <v>1746</v>
      </c>
      <c r="I1678" s="32" t="s">
        <v>40</v>
      </c>
      <c r="J1678" s="32" t="s">
        <v>46</v>
      </c>
      <c r="K1678" s="32" t="s">
        <v>42</v>
      </c>
      <c r="M1678" s="32" t="s">
        <v>1040</v>
      </c>
      <c r="N1678" s="32" t="s">
        <v>1038</v>
      </c>
    </row>
    <row r="1679" spans="1:14" s="32" customFormat="1" hidden="1" x14ac:dyDescent="0.3">
      <c r="A1679" s="38">
        <v>46210.462210648147</v>
      </c>
      <c r="B1679" s="32">
        <v>1143744993</v>
      </c>
      <c r="C1679" s="32" t="s">
        <v>58</v>
      </c>
      <c r="D1679" s="32">
        <v>4431268225</v>
      </c>
      <c r="E1679" s="32">
        <v>165</v>
      </c>
      <c r="F1679" s="32">
        <v>126</v>
      </c>
      <c r="G1679" s="32" t="s">
        <v>44</v>
      </c>
      <c r="H1679" s="32" t="s">
        <v>1747</v>
      </c>
      <c r="I1679" s="32" t="s">
        <v>40</v>
      </c>
      <c r="J1679" s="32" t="s">
        <v>46</v>
      </c>
      <c r="K1679" s="32" t="s">
        <v>42</v>
      </c>
      <c r="M1679" s="32" t="s">
        <v>60</v>
      </c>
      <c r="N1679" s="32" t="s">
        <v>58</v>
      </c>
    </row>
    <row r="1680" spans="1:14" s="32" customFormat="1" hidden="1" x14ac:dyDescent="0.3">
      <c r="A1680" s="38">
        <v>46210.460706018515</v>
      </c>
      <c r="B1680" s="32">
        <v>1131043888</v>
      </c>
      <c r="C1680" s="32" t="s">
        <v>43</v>
      </c>
      <c r="D1680" s="32">
        <v>4430265054</v>
      </c>
      <c r="E1680" s="32">
        <v>301</v>
      </c>
      <c r="F1680" s="32">
        <v>279</v>
      </c>
      <c r="G1680" s="32" t="s">
        <v>44</v>
      </c>
      <c r="H1680" s="32" t="s">
        <v>1748</v>
      </c>
      <c r="I1680" s="32" t="s">
        <v>40</v>
      </c>
      <c r="J1680" s="32" t="s">
        <v>46</v>
      </c>
      <c r="K1680" s="32" t="s">
        <v>42</v>
      </c>
      <c r="M1680" s="32" t="s">
        <v>47</v>
      </c>
      <c r="N1680" s="32" t="s">
        <v>43</v>
      </c>
    </row>
    <row r="1681" spans="1:14" s="32" customFormat="1" hidden="1" x14ac:dyDescent="0.3">
      <c r="A1681" s="38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38</v>
      </c>
      <c r="H1681" s="32" t="s">
        <v>1749</v>
      </c>
      <c r="I1681" s="32" t="s">
        <v>40</v>
      </c>
      <c r="J1681" s="32" t="s">
        <v>41</v>
      </c>
    </row>
    <row r="1682" spans="1:14" s="32" customFormat="1" hidden="1" x14ac:dyDescent="0.3">
      <c r="A1682" s="38">
        <v>46210.459583333337</v>
      </c>
      <c r="B1682" s="32">
        <v>43988030048</v>
      </c>
      <c r="C1682" s="32" t="s">
        <v>1352</v>
      </c>
      <c r="D1682" s="32">
        <v>4430265054</v>
      </c>
      <c r="E1682" s="32">
        <v>503</v>
      </c>
      <c r="F1682" s="32">
        <v>466</v>
      </c>
      <c r="G1682" s="32" t="s">
        <v>44</v>
      </c>
      <c r="H1682" s="32" t="s">
        <v>1750</v>
      </c>
      <c r="I1682" s="32" t="s">
        <v>40</v>
      </c>
      <c r="J1682" s="32" t="s">
        <v>46</v>
      </c>
      <c r="K1682" s="32" t="s">
        <v>42</v>
      </c>
      <c r="M1682" s="32" t="s">
        <v>1354</v>
      </c>
      <c r="N1682" s="32" t="s">
        <v>1352</v>
      </c>
    </row>
    <row r="1683" spans="1:14" s="32" customFormat="1" hidden="1" x14ac:dyDescent="0.3">
      <c r="A1683" s="38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38</v>
      </c>
      <c r="H1683" s="32" t="s">
        <v>1751</v>
      </c>
      <c r="I1683" s="32" t="s">
        <v>40</v>
      </c>
      <c r="J1683" s="32" t="s">
        <v>41</v>
      </c>
      <c r="K1683" s="32" t="s">
        <v>42</v>
      </c>
    </row>
    <row r="1684" spans="1:14" s="32" customFormat="1" hidden="1" x14ac:dyDescent="0.3">
      <c r="A1684" s="38">
        <v>46210.456203703703</v>
      </c>
      <c r="B1684" s="32">
        <v>43999965552</v>
      </c>
      <c r="C1684" s="32" t="s">
        <v>43</v>
      </c>
      <c r="D1684" s="32">
        <v>4430265054</v>
      </c>
      <c r="E1684" s="32">
        <v>413</v>
      </c>
      <c r="F1684" s="32">
        <v>314</v>
      </c>
      <c r="G1684" s="32" t="s">
        <v>44</v>
      </c>
      <c r="H1684" s="32" t="s">
        <v>1752</v>
      </c>
      <c r="I1684" s="32" t="s">
        <v>40</v>
      </c>
      <c r="J1684" s="32" t="s">
        <v>46</v>
      </c>
      <c r="K1684" s="32" t="s">
        <v>42</v>
      </c>
      <c r="L1684" s="32">
        <v>5</v>
      </c>
      <c r="M1684" s="32" t="s">
        <v>47</v>
      </c>
      <c r="N1684" s="32" t="s">
        <v>43</v>
      </c>
    </row>
    <row r="1685" spans="1:14" s="32" customFormat="1" hidden="1" x14ac:dyDescent="0.3">
      <c r="A1685" s="38">
        <v>46210.445960648147</v>
      </c>
      <c r="B1685" s="32">
        <v>4430562296</v>
      </c>
      <c r="C1685" s="32" t="s">
        <v>1038</v>
      </c>
      <c r="D1685" s="32">
        <v>4430265054</v>
      </c>
      <c r="E1685" s="32">
        <v>1135</v>
      </c>
      <c r="F1685" s="32">
        <v>1055</v>
      </c>
      <c r="G1685" s="32" t="s">
        <v>44</v>
      </c>
      <c r="H1685" s="32" t="s">
        <v>1753</v>
      </c>
      <c r="I1685" s="32" t="s">
        <v>40</v>
      </c>
      <c r="J1685" s="32" t="s">
        <v>46</v>
      </c>
      <c r="K1685" s="32" t="s">
        <v>42</v>
      </c>
      <c r="M1685" s="32" t="s">
        <v>1040</v>
      </c>
      <c r="N1685" s="32" t="s">
        <v>1038</v>
      </c>
    </row>
    <row r="1686" spans="1:14" s="32" customFormat="1" hidden="1" x14ac:dyDescent="0.3">
      <c r="A1686" s="38">
        <v>46210.445347222223</v>
      </c>
      <c r="B1686" s="32" t="s">
        <v>1038</v>
      </c>
      <c r="C1686" s="32">
        <v>44999976008</v>
      </c>
      <c r="E1686" s="32">
        <v>63</v>
      </c>
      <c r="F1686" s="32">
        <v>27</v>
      </c>
      <c r="G1686" s="32" t="s">
        <v>44</v>
      </c>
      <c r="H1686" s="32" t="s">
        <v>1754</v>
      </c>
      <c r="I1686" s="32" t="s">
        <v>54</v>
      </c>
      <c r="J1686" s="32" t="s">
        <v>46</v>
      </c>
      <c r="M1686" s="32" t="s">
        <v>1040</v>
      </c>
      <c r="N1686" s="32" t="s">
        <v>1038</v>
      </c>
    </row>
    <row r="1687" spans="1:14" s="32" customFormat="1" hidden="1" x14ac:dyDescent="0.3">
      <c r="A1687" s="38">
        <v>46210.445023148146</v>
      </c>
      <c r="B1687" s="32" t="s">
        <v>1038</v>
      </c>
      <c r="C1687" s="32">
        <v>44999976008</v>
      </c>
      <c r="E1687" s="32">
        <v>54</v>
      </c>
      <c r="F1687" s="32">
        <v>34</v>
      </c>
      <c r="G1687" s="32" t="s">
        <v>44</v>
      </c>
      <c r="H1687" s="32" t="s">
        <v>1755</v>
      </c>
      <c r="I1687" s="32" t="s">
        <v>54</v>
      </c>
      <c r="J1687" s="32" t="s">
        <v>46</v>
      </c>
      <c r="M1687" s="32" t="s">
        <v>1040</v>
      </c>
      <c r="N1687" s="32" t="s">
        <v>1038</v>
      </c>
    </row>
    <row r="1688" spans="1:14" s="32" customFormat="1" hidden="1" x14ac:dyDescent="0.3">
      <c r="A1688" s="38">
        <v>46210.437662037039</v>
      </c>
      <c r="B1688" s="32">
        <v>4433543396</v>
      </c>
      <c r="C1688" s="32" t="s">
        <v>58</v>
      </c>
      <c r="D1688" s="32">
        <v>4430265054</v>
      </c>
      <c r="E1688" s="32">
        <v>195</v>
      </c>
      <c r="F1688" s="32">
        <v>183</v>
      </c>
      <c r="G1688" s="32" t="s">
        <v>44</v>
      </c>
      <c r="H1688" s="32" t="s">
        <v>1756</v>
      </c>
      <c r="I1688" s="32" t="s">
        <v>40</v>
      </c>
      <c r="J1688" s="32" t="s">
        <v>46</v>
      </c>
      <c r="K1688" s="32" t="s">
        <v>42</v>
      </c>
      <c r="M1688" s="32" t="s">
        <v>60</v>
      </c>
      <c r="N1688" s="32" t="s">
        <v>58</v>
      </c>
    </row>
    <row r="1689" spans="1:14" s="32" customFormat="1" hidden="1" x14ac:dyDescent="0.3">
      <c r="A1689" s="38">
        <v>46210.436400462961</v>
      </c>
      <c r="B1689" s="32">
        <v>1143744993</v>
      </c>
      <c r="C1689" s="32" t="s">
        <v>43</v>
      </c>
      <c r="D1689" s="32">
        <v>4431268225</v>
      </c>
      <c r="E1689" s="32">
        <v>229</v>
      </c>
      <c r="F1689" s="32">
        <v>110</v>
      </c>
      <c r="G1689" s="32" t="s">
        <v>44</v>
      </c>
      <c r="H1689" s="32" t="s">
        <v>1757</v>
      </c>
      <c r="I1689" s="32" t="s">
        <v>40</v>
      </c>
      <c r="J1689" s="32" t="s">
        <v>46</v>
      </c>
      <c r="K1689" s="32" t="s">
        <v>42</v>
      </c>
      <c r="L1689" s="32">
        <v>5</v>
      </c>
      <c r="M1689" s="32" t="s">
        <v>47</v>
      </c>
      <c r="N1689" s="32" t="s">
        <v>43</v>
      </c>
    </row>
    <row r="1690" spans="1:14" s="32" customFormat="1" hidden="1" x14ac:dyDescent="0.3">
      <c r="A1690" s="38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38</v>
      </c>
      <c r="H1690" s="32" t="s">
        <v>1758</v>
      </c>
      <c r="I1690" s="32" t="s">
        <v>40</v>
      </c>
      <c r="J1690" s="32" t="s">
        <v>41</v>
      </c>
      <c r="K1690" s="32" t="s">
        <v>42</v>
      </c>
    </row>
    <row r="1691" spans="1:14" s="32" customFormat="1" hidden="1" x14ac:dyDescent="0.3">
      <c r="A1691" s="38">
        <v>46210.427511574075</v>
      </c>
      <c r="B1691" s="32">
        <v>44999493534</v>
      </c>
      <c r="C1691" s="32" t="s">
        <v>1352</v>
      </c>
      <c r="D1691" s="32">
        <v>4430265054</v>
      </c>
      <c r="E1691" s="32">
        <v>115</v>
      </c>
      <c r="F1691" s="32">
        <v>92</v>
      </c>
      <c r="G1691" s="32" t="s">
        <v>44</v>
      </c>
      <c r="H1691" s="32" t="s">
        <v>1759</v>
      </c>
      <c r="I1691" s="32" t="s">
        <v>40</v>
      </c>
      <c r="J1691" s="32" t="s">
        <v>46</v>
      </c>
      <c r="K1691" s="32" t="s">
        <v>42</v>
      </c>
      <c r="M1691" s="32" t="s">
        <v>1354</v>
      </c>
      <c r="N1691" s="32" t="s">
        <v>1352</v>
      </c>
    </row>
    <row r="1692" spans="1:14" s="32" customFormat="1" hidden="1" x14ac:dyDescent="0.3">
      <c r="A1692" s="38">
        <v>46210.425775462965</v>
      </c>
      <c r="B1692" s="32" t="s">
        <v>1038</v>
      </c>
      <c r="C1692" s="32">
        <v>44999976008</v>
      </c>
      <c r="E1692" s="32">
        <v>328</v>
      </c>
      <c r="F1692" s="32">
        <v>309</v>
      </c>
      <c r="G1692" s="32" t="s">
        <v>44</v>
      </c>
      <c r="H1692" s="32" t="s">
        <v>1760</v>
      </c>
      <c r="I1692" s="32" t="s">
        <v>54</v>
      </c>
      <c r="J1692" s="32" t="s">
        <v>46</v>
      </c>
      <c r="M1692" s="32" t="s">
        <v>1040</v>
      </c>
      <c r="N1692" s="32" t="s">
        <v>1038</v>
      </c>
    </row>
    <row r="1693" spans="1:14" s="32" customFormat="1" hidden="1" x14ac:dyDescent="0.3">
      <c r="A1693" s="38">
        <v>46210.42559027778</v>
      </c>
      <c r="B1693" s="32">
        <v>18997449617</v>
      </c>
      <c r="C1693" s="32" t="s">
        <v>58</v>
      </c>
      <c r="D1693" s="32">
        <v>4430265054</v>
      </c>
      <c r="E1693" s="32">
        <v>304</v>
      </c>
      <c r="F1693" s="32">
        <v>231</v>
      </c>
      <c r="G1693" s="32" t="s">
        <v>44</v>
      </c>
      <c r="H1693" s="32" t="s">
        <v>1761</v>
      </c>
      <c r="I1693" s="32" t="s">
        <v>40</v>
      </c>
      <c r="J1693" s="32" t="s">
        <v>46</v>
      </c>
      <c r="K1693" s="32" t="s">
        <v>42</v>
      </c>
      <c r="M1693" s="32" t="s">
        <v>60</v>
      </c>
      <c r="N1693" s="32" t="s">
        <v>58</v>
      </c>
    </row>
    <row r="1694" spans="1:14" s="32" customFormat="1" hidden="1" x14ac:dyDescent="0.3">
      <c r="A1694" s="38">
        <v>46210.424814814818</v>
      </c>
      <c r="B1694" s="32">
        <v>11947305571</v>
      </c>
      <c r="C1694" s="32" t="s">
        <v>43</v>
      </c>
      <c r="D1694" s="32">
        <v>4430265054</v>
      </c>
      <c r="E1694" s="32">
        <v>955</v>
      </c>
      <c r="F1694" s="32">
        <v>888</v>
      </c>
      <c r="G1694" s="32" t="s">
        <v>44</v>
      </c>
      <c r="H1694" s="32" t="s">
        <v>1762</v>
      </c>
      <c r="I1694" s="32" t="s">
        <v>40</v>
      </c>
      <c r="J1694" s="32" t="s">
        <v>46</v>
      </c>
      <c r="K1694" s="32" t="s">
        <v>42</v>
      </c>
      <c r="L1694" s="32">
        <v>5</v>
      </c>
      <c r="M1694" s="32" t="s">
        <v>47</v>
      </c>
      <c r="N1694" s="32" t="s">
        <v>43</v>
      </c>
    </row>
    <row r="1695" spans="1:14" s="32" customFormat="1" hidden="1" x14ac:dyDescent="0.3">
      <c r="A1695" s="38">
        <v>46210.418344907404</v>
      </c>
      <c r="B1695" s="32" t="s">
        <v>58</v>
      </c>
      <c r="C1695" s="32">
        <v>44999732630</v>
      </c>
      <c r="E1695" s="32">
        <v>14</v>
      </c>
      <c r="F1695" s="32">
        <v>0</v>
      </c>
      <c r="G1695" s="32" t="s">
        <v>63</v>
      </c>
      <c r="H1695" s="32" t="s">
        <v>1763</v>
      </c>
      <c r="I1695" s="32" t="s">
        <v>54</v>
      </c>
      <c r="J1695" s="32" t="s">
        <v>46</v>
      </c>
      <c r="M1695" s="32" t="s">
        <v>60</v>
      </c>
      <c r="N1695" s="32" t="s">
        <v>58</v>
      </c>
    </row>
    <row r="1696" spans="1:14" s="32" customFormat="1" hidden="1" x14ac:dyDescent="0.3">
      <c r="A1696" s="38">
        <v>46210.418298611112</v>
      </c>
      <c r="B1696" s="32" t="s">
        <v>58</v>
      </c>
      <c r="C1696" s="32">
        <v>44999732630</v>
      </c>
      <c r="E1696" s="32">
        <v>2</v>
      </c>
      <c r="F1696" s="32">
        <v>0</v>
      </c>
      <c r="G1696" s="32" t="s">
        <v>63</v>
      </c>
      <c r="H1696" s="32" t="s">
        <v>1764</v>
      </c>
      <c r="I1696" s="32" t="s">
        <v>54</v>
      </c>
      <c r="J1696" s="32" t="s">
        <v>46</v>
      </c>
      <c r="M1696" s="32" t="s">
        <v>60</v>
      </c>
      <c r="N1696" s="32" t="s">
        <v>58</v>
      </c>
    </row>
    <row r="1697" spans="1:14" s="32" customFormat="1" hidden="1" x14ac:dyDescent="0.3">
      <c r="A1697" s="38">
        <v>46210.417847222219</v>
      </c>
      <c r="B1697" s="32" t="s">
        <v>58</v>
      </c>
      <c r="C1697" s="32">
        <v>44999732630</v>
      </c>
      <c r="E1697" s="32">
        <v>18</v>
      </c>
      <c r="F1697" s="32">
        <v>0</v>
      </c>
      <c r="G1697" s="32" t="s">
        <v>63</v>
      </c>
      <c r="H1697" s="32" t="s">
        <v>1765</v>
      </c>
      <c r="I1697" s="32" t="s">
        <v>54</v>
      </c>
      <c r="J1697" s="32" t="s">
        <v>46</v>
      </c>
      <c r="M1697" s="32" t="s">
        <v>60</v>
      </c>
      <c r="N1697" s="32" t="s">
        <v>58</v>
      </c>
    </row>
    <row r="1698" spans="1:14" s="32" customFormat="1" hidden="1" x14ac:dyDescent="0.3">
      <c r="A1698" s="38">
        <v>46210.417372685188</v>
      </c>
      <c r="B1698" s="32" t="s">
        <v>58</v>
      </c>
      <c r="C1698" s="32">
        <v>44999732630</v>
      </c>
      <c r="E1698" s="32">
        <v>39</v>
      </c>
      <c r="F1698" s="32">
        <v>0</v>
      </c>
      <c r="G1698" s="32" t="s">
        <v>63</v>
      </c>
      <c r="H1698" s="32" t="s">
        <v>1766</v>
      </c>
      <c r="I1698" s="32" t="s">
        <v>54</v>
      </c>
      <c r="J1698" s="32" t="s">
        <v>46</v>
      </c>
      <c r="M1698" s="32" t="s">
        <v>60</v>
      </c>
      <c r="N1698" s="32" t="s">
        <v>58</v>
      </c>
    </row>
    <row r="1699" spans="1:14" s="32" customFormat="1" hidden="1" x14ac:dyDescent="0.3">
      <c r="A1699" s="38">
        <v>46210.415706018517</v>
      </c>
      <c r="B1699" s="32" t="s">
        <v>43</v>
      </c>
      <c r="C1699" s="32">
        <v>44998068281</v>
      </c>
      <c r="E1699" s="32">
        <v>35</v>
      </c>
      <c r="F1699" s="32">
        <v>0</v>
      </c>
      <c r="G1699" s="32" t="s">
        <v>63</v>
      </c>
      <c r="H1699" s="32" t="s">
        <v>1767</v>
      </c>
      <c r="I1699" s="32" t="s">
        <v>54</v>
      </c>
      <c r="J1699" s="32" t="s">
        <v>46</v>
      </c>
      <c r="M1699" s="32" t="s">
        <v>47</v>
      </c>
      <c r="N1699" s="32" t="s">
        <v>43</v>
      </c>
    </row>
    <row r="1700" spans="1:14" s="32" customFormat="1" hidden="1" x14ac:dyDescent="0.3">
      <c r="A1700" s="38">
        <v>46210.415636574071</v>
      </c>
      <c r="B1700" s="32" t="s">
        <v>43</v>
      </c>
      <c r="C1700" s="32">
        <v>44998068281</v>
      </c>
      <c r="E1700" s="32">
        <v>5</v>
      </c>
      <c r="F1700" s="32">
        <v>0</v>
      </c>
      <c r="G1700" s="32" t="s">
        <v>63</v>
      </c>
      <c r="H1700" s="32" t="s">
        <v>1768</v>
      </c>
      <c r="I1700" s="32" t="s">
        <v>54</v>
      </c>
      <c r="J1700" s="32" t="s">
        <v>46</v>
      </c>
      <c r="M1700" s="32" t="s">
        <v>47</v>
      </c>
      <c r="N1700" s="32" t="s">
        <v>43</v>
      </c>
    </row>
    <row r="1701" spans="1:14" s="32" customFormat="1" hidden="1" x14ac:dyDescent="0.3">
      <c r="A1701" s="38">
        <v>46210.414074074077</v>
      </c>
      <c r="B1701" s="32">
        <v>44998849102</v>
      </c>
      <c r="C1701" s="32" t="s">
        <v>1038</v>
      </c>
      <c r="D1701" s="32">
        <v>4430265054</v>
      </c>
      <c r="E1701" s="32">
        <v>501</v>
      </c>
      <c r="F1701" s="32">
        <v>452</v>
      </c>
      <c r="G1701" s="32" t="s">
        <v>44</v>
      </c>
      <c r="H1701" s="32" t="s">
        <v>1769</v>
      </c>
      <c r="I1701" s="32" t="s">
        <v>40</v>
      </c>
      <c r="J1701" s="32" t="s">
        <v>46</v>
      </c>
      <c r="K1701" s="32" t="s">
        <v>42</v>
      </c>
      <c r="M1701" s="32" t="s">
        <v>1040</v>
      </c>
      <c r="N1701" s="32" t="s">
        <v>1038</v>
      </c>
    </row>
    <row r="1702" spans="1:14" s="32" customFormat="1" hidden="1" x14ac:dyDescent="0.3">
      <c r="A1702" s="38">
        <v>46210.413587962961</v>
      </c>
      <c r="B1702" s="32">
        <v>44999629349</v>
      </c>
      <c r="C1702" s="32" t="s">
        <v>1038</v>
      </c>
      <c r="D1702" s="32">
        <v>4430265054</v>
      </c>
      <c r="E1702" s="32">
        <v>281</v>
      </c>
      <c r="F1702" s="32">
        <v>259</v>
      </c>
      <c r="G1702" s="32" t="s">
        <v>44</v>
      </c>
      <c r="H1702" s="32" t="s">
        <v>1770</v>
      </c>
      <c r="I1702" s="32" t="s">
        <v>40</v>
      </c>
      <c r="J1702" s="32" t="s">
        <v>46</v>
      </c>
      <c r="K1702" s="32" t="s">
        <v>42</v>
      </c>
      <c r="L1702" s="32">
        <v>5</v>
      </c>
      <c r="M1702" s="32" t="s">
        <v>1040</v>
      </c>
      <c r="N1702" s="32" t="s">
        <v>1038</v>
      </c>
    </row>
    <row r="1703" spans="1:14" s="32" customFormat="1" hidden="1" x14ac:dyDescent="0.3">
      <c r="A1703" s="38">
        <v>46210.413506944446</v>
      </c>
      <c r="B1703" s="32" t="s">
        <v>1038</v>
      </c>
      <c r="C1703" s="32">
        <v>44999629349</v>
      </c>
      <c r="E1703" s="32">
        <v>16</v>
      </c>
      <c r="F1703" s="32">
        <v>0</v>
      </c>
      <c r="G1703" s="32" t="s">
        <v>63</v>
      </c>
      <c r="H1703" s="32" t="s">
        <v>1771</v>
      </c>
      <c r="I1703" s="32" t="s">
        <v>54</v>
      </c>
      <c r="J1703" s="32" t="s">
        <v>46</v>
      </c>
      <c r="M1703" s="32" t="s">
        <v>1040</v>
      </c>
      <c r="N1703" s="32" t="s">
        <v>1038</v>
      </c>
    </row>
    <row r="1704" spans="1:14" s="32" customFormat="1" hidden="1" x14ac:dyDescent="0.3">
      <c r="A1704" s="38">
        <v>46210.409756944442</v>
      </c>
      <c r="B1704" s="32">
        <v>44998068281</v>
      </c>
      <c r="C1704" s="32" t="s">
        <v>43</v>
      </c>
      <c r="D1704" s="32">
        <v>4430265054</v>
      </c>
      <c r="E1704" s="32">
        <v>439</v>
      </c>
      <c r="F1704" s="32">
        <v>387</v>
      </c>
      <c r="G1704" s="32" t="s">
        <v>44</v>
      </c>
      <c r="H1704" s="32" t="s">
        <v>1772</v>
      </c>
      <c r="I1704" s="32" t="s">
        <v>40</v>
      </c>
      <c r="J1704" s="32" t="s">
        <v>46</v>
      </c>
      <c r="K1704" s="32" t="s">
        <v>42</v>
      </c>
      <c r="M1704" s="32" t="s">
        <v>47</v>
      </c>
      <c r="N1704" s="32" t="s">
        <v>43</v>
      </c>
    </row>
    <row r="1705" spans="1:14" s="32" customFormat="1" hidden="1" x14ac:dyDescent="0.3">
      <c r="A1705" s="38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38</v>
      </c>
      <c r="H1705" s="32" t="s">
        <v>1773</v>
      </c>
      <c r="I1705" s="32" t="s">
        <v>40</v>
      </c>
      <c r="J1705" s="32" t="s">
        <v>41</v>
      </c>
      <c r="K1705" s="32" t="s">
        <v>42</v>
      </c>
    </row>
    <row r="1706" spans="1:14" s="32" customFormat="1" hidden="1" x14ac:dyDescent="0.3">
      <c r="A1706" s="38">
        <v>46210.405462962961</v>
      </c>
      <c r="B1706" s="32">
        <v>44999629349</v>
      </c>
      <c r="C1706" s="32" t="s">
        <v>1038</v>
      </c>
      <c r="D1706" s="32">
        <v>4430265054</v>
      </c>
      <c r="E1706" s="32">
        <v>689</v>
      </c>
      <c r="F1706" s="32">
        <v>649</v>
      </c>
      <c r="G1706" s="32" t="s">
        <v>44</v>
      </c>
      <c r="H1706" s="32" t="s">
        <v>1774</v>
      </c>
      <c r="I1706" s="32" t="s">
        <v>40</v>
      </c>
      <c r="J1706" s="32" t="s">
        <v>46</v>
      </c>
      <c r="K1706" s="32" t="s">
        <v>42</v>
      </c>
      <c r="M1706" s="32" t="s">
        <v>1040</v>
      </c>
      <c r="N1706" s="32" t="s">
        <v>1038</v>
      </c>
    </row>
    <row r="1707" spans="1:14" s="32" customFormat="1" hidden="1" x14ac:dyDescent="0.3">
      <c r="A1707" s="38">
        <v>46210.402303240742</v>
      </c>
      <c r="B1707" s="32">
        <v>44998068281</v>
      </c>
      <c r="C1707" s="32" t="s">
        <v>43</v>
      </c>
      <c r="D1707" s="32">
        <v>4430265054</v>
      </c>
      <c r="E1707" s="32">
        <v>753</v>
      </c>
      <c r="F1707" s="32">
        <v>689</v>
      </c>
      <c r="G1707" s="32" t="s">
        <v>44</v>
      </c>
      <c r="H1707" s="32" t="s">
        <v>1775</v>
      </c>
      <c r="I1707" s="32" t="s">
        <v>40</v>
      </c>
      <c r="J1707" s="32" t="s">
        <v>46</v>
      </c>
      <c r="K1707" s="32" t="s">
        <v>42</v>
      </c>
      <c r="M1707" s="32" t="s">
        <v>47</v>
      </c>
      <c r="N1707" s="32" t="s">
        <v>43</v>
      </c>
    </row>
    <row r="1708" spans="1:14" s="32" customFormat="1" hidden="1" x14ac:dyDescent="0.3">
      <c r="A1708" s="38">
        <v>46210.396956018521</v>
      </c>
      <c r="B1708" s="32">
        <v>44998849102</v>
      </c>
      <c r="C1708" s="32" t="s">
        <v>1038</v>
      </c>
      <c r="D1708" s="32">
        <v>4430265054</v>
      </c>
      <c r="E1708" s="32">
        <v>565</v>
      </c>
      <c r="F1708" s="32">
        <v>508</v>
      </c>
      <c r="G1708" s="32" t="s">
        <v>44</v>
      </c>
      <c r="H1708" s="32" t="s">
        <v>1776</v>
      </c>
      <c r="I1708" s="32" t="s">
        <v>40</v>
      </c>
      <c r="J1708" s="32" t="s">
        <v>46</v>
      </c>
      <c r="K1708" s="32" t="s">
        <v>42</v>
      </c>
      <c r="M1708" s="32" t="s">
        <v>1040</v>
      </c>
      <c r="N1708" s="32" t="s">
        <v>1038</v>
      </c>
    </row>
    <row r="1709" spans="1:14" s="32" customFormat="1" hidden="1" x14ac:dyDescent="0.3">
      <c r="A1709" s="38">
        <v>46210.396354166667</v>
      </c>
      <c r="B1709" s="32">
        <v>4432637197</v>
      </c>
      <c r="C1709" s="32" t="s">
        <v>43</v>
      </c>
      <c r="D1709" s="32">
        <v>4430265054</v>
      </c>
      <c r="E1709" s="32">
        <v>439</v>
      </c>
      <c r="F1709" s="32">
        <v>364</v>
      </c>
      <c r="G1709" s="32" t="s">
        <v>44</v>
      </c>
      <c r="H1709" s="32" t="s">
        <v>1777</v>
      </c>
      <c r="I1709" s="32" t="s">
        <v>40</v>
      </c>
      <c r="J1709" s="32" t="s">
        <v>46</v>
      </c>
      <c r="K1709" s="32" t="s">
        <v>42</v>
      </c>
      <c r="M1709" s="32" t="s">
        <v>47</v>
      </c>
      <c r="N1709" s="32" t="s">
        <v>43</v>
      </c>
    </row>
    <row r="1710" spans="1:14" s="32" customFormat="1" hidden="1" x14ac:dyDescent="0.3">
      <c r="A1710" s="38">
        <v>46210.39634259259</v>
      </c>
      <c r="B1710" s="32">
        <v>4436372125</v>
      </c>
      <c r="C1710" s="32" t="s">
        <v>1352</v>
      </c>
      <c r="D1710" s="32">
        <v>4430265054</v>
      </c>
      <c r="E1710" s="32">
        <v>555</v>
      </c>
      <c r="F1710" s="32">
        <v>387</v>
      </c>
      <c r="G1710" s="32" t="s">
        <v>44</v>
      </c>
      <c r="H1710" s="32" t="s">
        <v>1778</v>
      </c>
      <c r="I1710" s="32" t="s">
        <v>40</v>
      </c>
      <c r="J1710" s="32" t="s">
        <v>46</v>
      </c>
      <c r="K1710" s="32" t="s">
        <v>42</v>
      </c>
      <c r="M1710" s="32" t="s">
        <v>1354</v>
      </c>
      <c r="N1710" s="32" t="s">
        <v>1352</v>
      </c>
    </row>
    <row r="1711" spans="1:14" s="32" customFormat="1" hidden="1" x14ac:dyDescent="0.3">
      <c r="A1711" s="38">
        <v>46210.370185185187</v>
      </c>
      <c r="B1711" s="32" t="s">
        <v>379</v>
      </c>
      <c r="C1711" s="32" t="s">
        <v>207</v>
      </c>
      <c r="E1711" s="32">
        <v>69</v>
      </c>
      <c r="F1711" s="32">
        <v>60</v>
      </c>
      <c r="G1711" s="32" t="s">
        <v>44</v>
      </c>
      <c r="H1711" s="32" t="s">
        <v>1779</v>
      </c>
      <c r="I1711" s="32" t="s">
        <v>694</v>
      </c>
      <c r="J1711" s="32" t="s">
        <v>111</v>
      </c>
      <c r="M1711" s="32" t="s">
        <v>381</v>
      </c>
      <c r="N1711" s="32" t="s">
        <v>379</v>
      </c>
    </row>
    <row r="1712" spans="1:14" s="32" customFormat="1" hidden="1" x14ac:dyDescent="0.3">
      <c r="A1712" s="38">
        <v>46210.367361111108</v>
      </c>
      <c r="B1712" s="32">
        <v>4432325260</v>
      </c>
      <c r="C1712" s="32" t="s">
        <v>1352</v>
      </c>
      <c r="D1712" s="32">
        <v>4430265054</v>
      </c>
      <c r="E1712" s="32">
        <v>327</v>
      </c>
      <c r="F1712" s="32">
        <v>290</v>
      </c>
      <c r="G1712" s="32" t="s">
        <v>44</v>
      </c>
      <c r="H1712" s="32" t="s">
        <v>1780</v>
      </c>
      <c r="I1712" s="32" t="s">
        <v>40</v>
      </c>
      <c r="J1712" s="32" t="s">
        <v>46</v>
      </c>
      <c r="K1712" s="32" t="s">
        <v>42</v>
      </c>
      <c r="L1712" s="32">
        <v>5</v>
      </c>
      <c r="M1712" s="32" t="s">
        <v>1354</v>
      </c>
      <c r="N1712" s="32" t="s">
        <v>1352</v>
      </c>
    </row>
    <row r="1713" spans="1:14" s="32" customFormat="1" hidden="1" x14ac:dyDescent="0.3">
      <c r="A1713" s="38">
        <v>46210.364918981482</v>
      </c>
      <c r="B1713" s="32">
        <v>44999976008</v>
      </c>
      <c r="C1713" s="32" t="s">
        <v>1038</v>
      </c>
      <c r="D1713" s="32">
        <v>4430265054</v>
      </c>
      <c r="E1713" s="32">
        <v>2357</v>
      </c>
      <c r="F1713" s="32">
        <v>2329</v>
      </c>
      <c r="G1713" s="32" t="s">
        <v>44</v>
      </c>
      <c r="H1713" s="32" t="s">
        <v>1781</v>
      </c>
      <c r="I1713" s="32" t="s">
        <v>40</v>
      </c>
      <c r="J1713" s="32" t="s">
        <v>46</v>
      </c>
      <c r="K1713" s="32" t="s">
        <v>42</v>
      </c>
      <c r="M1713" s="32" t="s">
        <v>1040</v>
      </c>
      <c r="N1713" s="32" t="s">
        <v>1038</v>
      </c>
    </row>
    <row r="1714" spans="1:14" s="32" customFormat="1" hidden="1" x14ac:dyDescent="0.3">
      <c r="A1714" s="38">
        <v>46210.358680555553</v>
      </c>
      <c r="B1714" s="32">
        <v>4434231198</v>
      </c>
      <c r="C1714" s="32" t="s">
        <v>43</v>
      </c>
      <c r="D1714" s="32">
        <v>4430265054</v>
      </c>
      <c r="E1714" s="32">
        <v>325</v>
      </c>
      <c r="F1714" s="32">
        <v>249</v>
      </c>
      <c r="G1714" s="32" t="s">
        <v>44</v>
      </c>
      <c r="H1714" s="32" t="s">
        <v>1782</v>
      </c>
      <c r="I1714" s="32" t="s">
        <v>40</v>
      </c>
      <c r="J1714" s="32" t="s">
        <v>46</v>
      </c>
      <c r="K1714" s="32" t="s">
        <v>42</v>
      </c>
      <c r="L1714" s="32">
        <v>5</v>
      </c>
      <c r="M1714" s="32" t="s">
        <v>47</v>
      </c>
      <c r="N1714" s="32" t="s">
        <v>43</v>
      </c>
    </row>
    <row r="1715" spans="1:14" s="32" customFormat="1" hidden="1" x14ac:dyDescent="0.3">
      <c r="A1715" s="38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38</v>
      </c>
      <c r="H1715" s="32" t="s">
        <v>1783</v>
      </c>
      <c r="I1715" s="32" t="s">
        <v>40</v>
      </c>
      <c r="J1715" s="32" t="s">
        <v>41</v>
      </c>
    </row>
    <row r="1716" spans="1:14" s="32" customFormat="1" hidden="1" x14ac:dyDescent="0.3">
      <c r="A1716" s="38">
        <v>46209.744456018518</v>
      </c>
      <c r="B1716" s="32">
        <v>1131515685</v>
      </c>
      <c r="C1716" s="32" t="s">
        <v>1038</v>
      </c>
      <c r="D1716" s="32">
        <v>4430265054</v>
      </c>
      <c r="E1716" s="32">
        <v>475</v>
      </c>
      <c r="F1716" s="32">
        <v>451</v>
      </c>
      <c r="G1716" s="32" t="s">
        <v>44</v>
      </c>
      <c r="H1716" s="32" t="s">
        <v>1784</v>
      </c>
      <c r="I1716" s="32" t="s">
        <v>40</v>
      </c>
      <c r="J1716" s="32" t="s">
        <v>46</v>
      </c>
      <c r="K1716" s="32" t="s">
        <v>42</v>
      </c>
      <c r="L1716" s="32">
        <v>5</v>
      </c>
      <c r="M1716" s="32" t="s">
        <v>1040</v>
      </c>
      <c r="N1716" s="32" t="s">
        <v>1038</v>
      </c>
    </row>
    <row r="1717" spans="1:14" s="32" customFormat="1" hidden="1" x14ac:dyDescent="0.3">
      <c r="A1717" s="38">
        <v>46209.734293981484</v>
      </c>
      <c r="B1717" s="32">
        <v>44999752325</v>
      </c>
      <c r="C1717" s="32" t="s">
        <v>43</v>
      </c>
      <c r="D1717" s="32">
        <v>4430265054</v>
      </c>
      <c r="E1717" s="32">
        <v>218</v>
      </c>
      <c r="F1717" s="32">
        <v>159</v>
      </c>
      <c r="G1717" s="32" t="s">
        <v>44</v>
      </c>
      <c r="H1717" s="32" t="s">
        <v>1785</v>
      </c>
      <c r="I1717" s="32" t="s">
        <v>40</v>
      </c>
      <c r="J1717" s="32" t="s">
        <v>46</v>
      </c>
      <c r="K1717" s="32" t="s">
        <v>42</v>
      </c>
      <c r="M1717" s="32" t="s">
        <v>47</v>
      </c>
      <c r="N1717" s="32" t="s">
        <v>43</v>
      </c>
    </row>
    <row r="1718" spans="1:14" s="32" customFormat="1" hidden="1" x14ac:dyDescent="0.3">
      <c r="A1718" s="38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38</v>
      </c>
      <c r="H1718" s="32" t="s">
        <v>1786</v>
      </c>
      <c r="I1718" s="32" t="s">
        <v>40</v>
      </c>
      <c r="J1718" s="32" t="s">
        <v>41</v>
      </c>
      <c r="K1718" s="32" t="s">
        <v>1787</v>
      </c>
    </row>
    <row r="1719" spans="1:14" s="32" customFormat="1" hidden="1" x14ac:dyDescent="0.3">
      <c r="A1719" s="38">
        <v>46209.725011574075</v>
      </c>
      <c r="B1719" s="32">
        <v>41997840159</v>
      </c>
      <c r="C1719" s="32" t="s">
        <v>1038</v>
      </c>
      <c r="D1719" s="32">
        <v>4430265054</v>
      </c>
      <c r="E1719" s="32">
        <v>1375</v>
      </c>
      <c r="F1719" s="32">
        <v>1247</v>
      </c>
      <c r="G1719" s="32" t="s">
        <v>44</v>
      </c>
      <c r="H1719" s="32" t="s">
        <v>1788</v>
      </c>
      <c r="I1719" s="32" t="s">
        <v>40</v>
      </c>
      <c r="J1719" s="32" t="s">
        <v>46</v>
      </c>
      <c r="K1719" s="32" t="s">
        <v>42</v>
      </c>
      <c r="M1719" s="32" t="s">
        <v>1040</v>
      </c>
      <c r="N1719" s="32" t="s">
        <v>1038</v>
      </c>
    </row>
    <row r="1720" spans="1:14" s="32" customFormat="1" hidden="1" x14ac:dyDescent="0.3">
      <c r="A1720" s="38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38</v>
      </c>
      <c r="H1720" s="32" t="s">
        <v>1789</v>
      </c>
      <c r="I1720" s="32" t="s">
        <v>40</v>
      </c>
      <c r="J1720" s="32" t="s">
        <v>41</v>
      </c>
      <c r="K1720" s="32" t="s">
        <v>42</v>
      </c>
    </row>
    <row r="1721" spans="1:14" s="32" customFormat="1" hidden="1" x14ac:dyDescent="0.3">
      <c r="A1721" s="38">
        <v>46209.692974537036</v>
      </c>
      <c r="B1721" s="32">
        <v>91981481202</v>
      </c>
      <c r="C1721" s="32" t="s">
        <v>1038</v>
      </c>
      <c r="D1721" s="32">
        <v>4430265054</v>
      </c>
      <c r="E1721" s="32">
        <v>308</v>
      </c>
      <c r="F1721" s="32">
        <v>274</v>
      </c>
      <c r="G1721" s="32" t="s">
        <v>44</v>
      </c>
      <c r="H1721" s="32" t="s">
        <v>1790</v>
      </c>
      <c r="I1721" s="32" t="s">
        <v>40</v>
      </c>
      <c r="J1721" s="32" t="s">
        <v>46</v>
      </c>
      <c r="K1721" s="32" t="s">
        <v>42</v>
      </c>
      <c r="M1721" s="32" t="s">
        <v>1040</v>
      </c>
      <c r="N1721" s="32" t="s">
        <v>1038</v>
      </c>
    </row>
    <row r="1722" spans="1:14" s="32" customFormat="1" hidden="1" x14ac:dyDescent="0.3">
      <c r="A1722" s="38">
        <v>46209.684293981481</v>
      </c>
      <c r="B1722" s="32">
        <v>44997650834</v>
      </c>
      <c r="C1722" s="32" t="s">
        <v>43</v>
      </c>
      <c r="D1722" s="32">
        <v>4430265054</v>
      </c>
      <c r="E1722" s="32">
        <v>458</v>
      </c>
      <c r="F1722" s="32">
        <v>417</v>
      </c>
      <c r="G1722" s="32" t="s">
        <v>44</v>
      </c>
      <c r="H1722" s="32" t="s">
        <v>1791</v>
      </c>
      <c r="I1722" s="32" t="s">
        <v>40</v>
      </c>
      <c r="J1722" s="32" t="s">
        <v>46</v>
      </c>
      <c r="K1722" s="32" t="s">
        <v>42</v>
      </c>
      <c r="L1722" s="32">
        <v>5</v>
      </c>
      <c r="M1722" s="32" t="s">
        <v>47</v>
      </c>
      <c r="N1722" s="32" t="s">
        <v>43</v>
      </c>
    </row>
    <row r="1723" spans="1:14" s="32" customFormat="1" hidden="1" x14ac:dyDescent="0.3">
      <c r="A1723" s="38">
        <v>46209.681261574071</v>
      </c>
      <c r="B1723" s="32">
        <v>44999497001</v>
      </c>
      <c r="C1723" s="32" t="s">
        <v>1038</v>
      </c>
      <c r="D1723" s="32">
        <v>4430265054</v>
      </c>
      <c r="E1723" s="32">
        <v>188</v>
      </c>
      <c r="F1723" s="32">
        <v>147</v>
      </c>
      <c r="G1723" s="32" t="s">
        <v>44</v>
      </c>
      <c r="H1723" s="32" t="s">
        <v>1792</v>
      </c>
      <c r="I1723" s="32" t="s">
        <v>40</v>
      </c>
      <c r="J1723" s="32" t="s">
        <v>46</v>
      </c>
      <c r="K1723" s="32" t="s">
        <v>42</v>
      </c>
      <c r="M1723" s="32" t="s">
        <v>1040</v>
      </c>
      <c r="N1723" s="32" t="s">
        <v>1038</v>
      </c>
    </row>
    <row r="1724" spans="1:14" s="32" customFormat="1" hidden="1" x14ac:dyDescent="0.3">
      <c r="A1724" s="38">
        <v>46209.675451388888</v>
      </c>
      <c r="B1724" s="32" t="s">
        <v>109</v>
      </c>
      <c r="C1724" s="32">
        <v>35998794485</v>
      </c>
      <c r="E1724" s="32">
        <v>10</v>
      </c>
      <c r="F1724" s="32">
        <v>0</v>
      </c>
      <c r="G1724" s="32" t="s">
        <v>63</v>
      </c>
      <c r="H1724" s="32" t="s">
        <v>1793</v>
      </c>
      <c r="I1724" s="32" t="s">
        <v>54</v>
      </c>
      <c r="J1724" s="32" t="s">
        <v>111</v>
      </c>
      <c r="M1724" s="32" t="s">
        <v>112</v>
      </c>
      <c r="N1724" s="32" t="s">
        <v>109</v>
      </c>
    </row>
    <row r="1725" spans="1:14" s="32" customFormat="1" hidden="1" x14ac:dyDescent="0.3">
      <c r="A1725" s="38">
        <v>46209.67491898148</v>
      </c>
      <c r="B1725" s="32" t="s">
        <v>109</v>
      </c>
      <c r="C1725" s="32">
        <v>35998794485</v>
      </c>
      <c r="E1725" s="32">
        <v>11</v>
      </c>
      <c r="F1725" s="32">
        <v>0</v>
      </c>
      <c r="G1725" s="32" t="s">
        <v>63</v>
      </c>
      <c r="H1725" s="32" t="s">
        <v>1794</v>
      </c>
      <c r="I1725" s="32" t="s">
        <v>54</v>
      </c>
      <c r="J1725" s="32" t="s">
        <v>111</v>
      </c>
      <c r="M1725" s="32" t="s">
        <v>112</v>
      </c>
      <c r="N1725" s="32" t="s">
        <v>109</v>
      </c>
    </row>
    <row r="1726" spans="1:14" s="32" customFormat="1" hidden="1" x14ac:dyDescent="0.3">
      <c r="A1726" s="38">
        <v>46209.674710648149</v>
      </c>
      <c r="B1726" s="32" t="s">
        <v>109</v>
      </c>
      <c r="C1726" s="32">
        <v>35998794485</v>
      </c>
      <c r="E1726" s="32">
        <v>8</v>
      </c>
      <c r="F1726" s="32">
        <v>0</v>
      </c>
      <c r="G1726" s="32" t="s">
        <v>63</v>
      </c>
      <c r="H1726" s="32" t="s">
        <v>1795</v>
      </c>
      <c r="I1726" s="32" t="s">
        <v>54</v>
      </c>
      <c r="J1726" s="32" t="s">
        <v>111</v>
      </c>
      <c r="M1726" s="32" t="s">
        <v>112</v>
      </c>
      <c r="N1726" s="32" t="s">
        <v>109</v>
      </c>
    </row>
    <row r="1727" spans="1:14" s="32" customFormat="1" hidden="1" x14ac:dyDescent="0.3">
      <c r="A1727" s="38">
        <v>46209.674259259256</v>
      </c>
      <c r="B1727" s="32" t="s">
        <v>109</v>
      </c>
      <c r="C1727" s="32">
        <v>35998794485</v>
      </c>
      <c r="E1727" s="32">
        <v>11</v>
      </c>
      <c r="F1727" s="32">
        <v>0</v>
      </c>
      <c r="G1727" s="32" t="s">
        <v>63</v>
      </c>
      <c r="H1727" s="32" t="s">
        <v>1796</v>
      </c>
      <c r="I1727" s="32" t="s">
        <v>54</v>
      </c>
      <c r="J1727" s="32" t="s">
        <v>111</v>
      </c>
      <c r="M1727" s="32" t="s">
        <v>112</v>
      </c>
      <c r="N1727" s="32" t="s">
        <v>109</v>
      </c>
    </row>
    <row r="1728" spans="1:14" s="32" customFormat="1" hidden="1" x14ac:dyDescent="0.3">
      <c r="A1728" s="38">
        <v>46209.674039351848</v>
      </c>
      <c r="B1728" s="32" t="s">
        <v>109</v>
      </c>
      <c r="C1728" s="32">
        <v>35998794485</v>
      </c>
      <c r="E1728" s="32">
        <v>9</v>
      </c>
      <c r="F1728" s="32">
        <v>0</v>
      </c>
      <c r="G1728" s="32" t="s">
        <v>63</v>
      </c>
      <c r="H1728" s="32" t="s">
        <v>1797</v>
      </c>
      <c r="I1728" s="32" t="s">
        <v>54</v>
      </c>
      <c r="J1728" s="32" t="s">
        <v>111</v>
      </c>
      <c r="M1728" s="32" t="s">
        <v>112</v>
      </c>
      <c r="N1728" s="32" t="s">
        <v>109</v>
      </c>
    </row>
    <row r="1729" spans="1:14" s="32" customFormat="1" hidden="1" x14ac:dyDescent="0.3">
      <c r="A1729" s="38">
        <v>46209.669907407406</v>
      </c>
      <c r="B1729" s="32" t="s">
        <v>58</v>
      </c>
      <c r="C1729" s="32">
        <v>4430263920</v>
      </c>
      <c r="E1729" s="32">
        <v>2</v>
      </c>
      <c r="F1729" s="32">
        <v>0</v>
      </c>
      <c r="G1729" s="32" t="s">
        <v>63</v>
      </c>
      <c r="H1729" s="32" t="s">
        <v>1798</v>
      </c>
      <c r="I1729" s="32" t="s">
        <v>54</v>
      </c>
      <c r="J1729" s="32" t="s">
        <v>46</v>
      </c>
      <c r="M1729" s="32" t="s">
        <v>60</v>
      </c>
      <c r="N1729" s="32" t="s">
        <v>58</v>
      </c>
    </row>
    <row r="1730" spans="1:14" s="32" customFormat="1" hidden="1" x14ac:dyDescent="0.3">
      <c r="A1730" s="38">
        <v>46209.669733796298</v>
      </c>
      <c r="B1730" s="32" t="s">
        <v>58</v>
      </c>
      <c r="C1730" s="32">
        <v>44999641190</v>
      </c>
      <c r="E1730" s="32">
        <v>8</v>
      </c>
      <c r="F1730" s="32">
        <v>0</v>
      </c>
      <c r="G1730" s="32" t="s">
        <v>63</v>
      </c>
      <c r="H1730" s="32" t="s">
        <v>1799</v>
      </c>
      <c r="I1730" s="32" t="s">
        <v>54</v>
      </c>
      <c r="J1730" s="32" t="s">
        <v>46</v>
      </c>
      <c r="M1730" s="32" t="s">
        <v>60</v>
      </c>
      <c r="N1730" s="32" t="s">
        <v>58</v>
      </c>
    </row>
    <row r="1731" spans="1:14" s="32" customFormat="1" hidden="1" x14ac:dyDescent="0.3">
      <c r="A1731" s="38">
        <v>46209.669699074075</v>
      </c>
      <c r="B1731" s="32">
        <v>6234347959</v>
      </c>
      <c r="C1731" s="32" t="s">
        <v>1352</v>
      </c>
      <c r="D1731" s="32">
        <v>4430265054</v>
      </c>
      <c r="E1731" s="32">
        <v>299</v>
      </c>
      <c r="F1731" s="32">
        <v>282</v>
      </c>
      <c r="G1731" s="32" t="s">
        <v>44</v>
      </c>
      <c r="H1731" s="32" t="s">
        <v>1800</v>
      </c>
      <c r="I1731" s="32" t="s">
        <v>40</v>
      </c>
      <c r="J1731" s="32" t="s">
        <v>46</v>
      </c>
      <c r="K1731" s="32" t="s">
        <v>42</v>
      </c>
      <c r="M1731" s="32" t="s">
        <v>1354</v>
      </c>
      <c r="N1731" s="32" t="s">
        <v>1352</v>
      </c>
    </row>
    <row r="1732" spans="1:14" s="32" customFormat="1" hidden="1" x14ac:dyDescent="0.3">
      <c r="A1732" s="38">
        <v>46209.669421296298</v>
      </c>
      <c r="B1732" s="32">
        <v>44998068281</v>
      </c>
      <c r="C1732" s="32" t="s">
        <v>58</v>
      </c>
      <c r="D1732" s="32">
        <v>4430265054</v>
      </c>
      <c r="E1732" s="32">
        <v>926</v>
      </c>
      <c r="F1732" s="32">
        <v>889</v>
      </c>
      <c r="G1732" s="32" t="s">
        <v>44</v>
      </c>
      <c r="H1732" s="32" t="s">
        <v>1801</v>
      </c>
      <c r="I1732" s="32" t="s">
        <v>40</v>
      </c>
      <c r="J1732" s="32" t="s">
        <v>46</v>
      </c>
      <c r="K1732" s="32" t="s">
        <v>42</v>
      </c>
      <c r="M1732" s="32" t="s">
        <v>60</v>
      </c>
      <c r="N1732" s="32" t="s">
        <v>58</v>
      </c>
    </row>
    <row r="1733" spans="1:14" s="32" customFormat="1" hidden="1" x14ac:dyDescent="0.3">
      <c r="A1733" s="38">
        <v>46209.668368055558</v>
      </c>
      <c r="B1733" s="32" t="s">
        <v>58</v>
      </c>
      <c r="C1733" s="32">
        <v>44999641190</v>
      </c>
      <c r="E1733" s="32">
        <v>7</v>
      </c>
      <c r="F1733" s="32">
        <v>0</v>
      </c>
      <c r="G1733" s="32" t="s">
        <v>63</v>
      </c>
      <c r="H1733" s="32" t="s">
        <v>1802</v>
      </c>
      <c r="I1733" s="32" t="s">
        <v>54</v>
      </c>
      <c r="J1733" s="32" t="s">
        <v>46</v>
      </c>
      <c r="M1733" s="32" t="s">
        <v>60</v>
      </c>
      <c r="N1733" s="32" t="s">
        <v>58</v>
      </c>
    </row>
    <row r="1734" spans="1:14" s="32" customFormat="1" hidden="1" x14ac:dyDescent="0.3">
      <c r="A1734" s="38">
        <v>46209.668171296296</v>
      </c>
      <c r="B1734" s="32" t="s">
        <v>58</v>
      </c>
      <c r="C1734" s="32">
        <v>44999641190</v>
      </c>
      <c r="E1734" s="32">
        <v>9</v>
      </c>
      <c r="F1734" s="32">
        <v>0</v>
      </c>
      <c r="G1734" s="32" t="s">
        <v>63</v>
      </c>
      <c r="H1734" s="32" t="s">
        <v>1803</v>
      </c>
      <c r="I1734" s="32" t="s">
        <v>54</v>
      </c>
      <c r="J1734" s="32" t="s">
        <v>46</v>
      </c>
      <c r="M1734" s="32" t="s">
        <v>60</v>
      </c>
      <c r="N1734" s="32" t="s">
        <v>58</v>
      </c>
    </row>
    <row r="1735" spans="1:14" s="32" customFormat="1" hidden="1" x14ac:dyDescent="0.3">
      <c r="A1735" s="38">
        <v>46209.667071759257</v>
      </c>
      <c r="B1735" s="32" t="s">
        <v>58</v>
      </c>
      <c r="C1735" s="32">
        <v>4430263920</v>
      </c>
      <c r="E1735" s="32">
        <v>93</v>
      </c>
      <c r="F1735" s="32">
        <v>74</v>
      </c>
      <c r="G1735" s="32" t="s">
        <v>44</v>
      </c>
      <c r="H1735" s="32" t="s">
        <v>1804</v>
      </c>
      <c r="I1735" s="32" t="s">
        <v>54</v>
      </c>
      <c r="J1735" s="32" t="s">
        <v>46</v>
      </c>
      <c r="M1735" s="32" t="s">
        <v>60</v>
      </c>
      <c r="N1735" s="32" t="s">
        <v>58</v>
      </c>
    </row>
    <row r="1736" spans="1:14" s="32" customFormat="1" hidden="1" x14ac:dyDescent="0.3">
      <c r="A1736" s="38">
        <v>46209.666620370372</v>
      </c>
      <c r="B1736" s="32" t="s">
        <v>58</v>
      </c>
      <c r="C1736" s="32">
        <v>4432481225</v>
      </c>
      <c r="E1736" s="32">
        <v>38</v>
      </c>
      <c r="F1736" s="32">
        <v>22</v>
      </c>
      <c r="G1736" s="32" t="s">
        <v>44</v>
      </c>
      <c r="H1736" s="32" t="s">
        <v>1805</v>
      </c>
      <c r="I1736" s="32" t="s">
        <v>54</v>
      </c>
      <c r="J1736" s="32" t="s">
        <v>46</v>
      </c>
      <c r="M1736" s="32" t="s">
        <v>60</v>
      </c>
      <c r="N1736" s="32" t="s">
        <v>58</v>
      </c>
    </row>
    <row r="1737" spans="1:14" s="32" customFormat="1" hidden="1" x14ac:dyDescent="0.3">
      <c r="A1737" s="38">
        <v>46209.662465277775</v>
      </c>
      <c r="B1737" s="32">
        <v>44997650834</v>
      </c>
      <c r="C1737" s="32" t="s">
        <v>1352</v>
      </c>
      <c r="D1737" s="32">
        <v>4430265054</v>
      </c>
      <c r="E1737" s="32">
        <v>151</v>
      </c>
      <c r="F1737" s="32">
        <v>127</v>
      </c>
      <c r="G1737" s="32" t="s">
        <v>44</v>
      </c>
      <c r="H1737" s="32" t="s">
        <v>1806</v>
      </c>
      <c r="I1737" s="32" t="s">
        <v>40</v>
      </c>
      <c r="J1737" s="32" t="s">
        <v>46</v>
      </c>
      <c r="K1737" s="32" t="s">
        <v>42</v>
      </c>
      <c r="M1737" s="32" t="s">
        <v>1354</v>
      </c>
      <c r="N1737" s="32" t="s">
        <v>1352</v>
      </c>
    </row>
    <row r="1738" spans="1:14" s="32" customFormat="1" hidden="1" x14ac:dyDescent="0.3">
      <c r="A1738" s="38">
        <v>46209.660902777781</v>
      </c>
      <c r="B1738" s="32">
        <v>93991495484</v>
      </c>
      <c r="C1738" s="32" t="s">
        <v>43</v>
      </c>
      <c r="D1738" s="32">
        <v>4430265054</v>
      </c>
      <c r="E1738" s="32">
        <v>189</v>
      </c>
      <c r="F1738" s="32">
        <v>160</v>
      </c>
      <c r="G1738" s="32" t="s">
        <v>44</v>
      </c>
      <c r="H1738" s="32" t="s">
        <v>1807</v>
      </c>
      <c r="I1738" s="32" t="s">
        <v>40</v>
      </c>
      <c r="J1738" s="32" t="s">
        <v>46</v>
      </c>
      <c r="K1738" s="32" t="s">
        <v>42</v>
      </c>
      <c r="L1738" s="32">
        <v>5</v>
      </c>
      <c r="M1738" s="32" t="s">
        <v>47</v>
      </c>
      <c r="N1738" s="32" t="s">
        <v>43</v>
      </c>
    </row>
    <row r="1739" spans="1:14" s="32" customFormat="1" hidden="1" x14ac:dyDescent="0.3">
      <c r="A1739" s="38">
        <v>46209.657673611109</v>
      </c>
      <c r="B1739" s="32">
        <v>4130263118</v>
      </c>
      <c r="C1739" s="32" t="s">
        <v>1038</v>
      </c>
      <c r="D1739" s="32">
        <v>4430265054</v>
      </c>
      <c r="E1739" s="32">
        <v>474</v>
      </c>
      <c r="F1739" s="32">
        <v>371</v>
      </c>
      <c r="G1739" s="32" t="s">
        <v>44</v>
      </c>
      <c r="H1739" s="32" t="s">
        <v>1808</v>
      </c>
      <c r="I1739" s="32" t="s">
        <v>40</v>
      </c>
      <c r="J1739" s="32" t="s">
        <v>46</v>
      </c>
      <c r="K1739" s="32" t="s">
        <v>42</v>
      </c>
      <c r="L1739" s="32">
        <v>5</v>
      </c>
      <c r="M1739" s="32" t="s">
        <v>1040</v>
      </c>
      <c r="N1739" s="32" t="s">
        <v>1038</v>
      </c>
    </row>
    <row r="1740" spans="1:14" s="32" customFormat="1" hidden="1" x14ac:dyDescent="0.3">
      <c r="A1740" s="38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38</v>
      </c>
      <c r="H1740" s="32" t="s">
        <v>1809</v>
      </c>
      <c r="I1740" s="32" t="s">
        <v>40</v>
      </c>
      <c r="J1740" s="32" t="s">
        <v>41</v>
      </c>
    </row>
    <row r="1741" spans="1:14" s="32" customFormat="1" hidden="1" x14ac:dyDescent="0.3">
      <c r="A1741" s="38">
        <v>46209.64576388889</v>
      </c>
      <c r="B1741" s="32">
        <v>93991495484</v>
      </c>
      <c r="C1741" s="32" t="s">
        <v>43</v>
      </c>
      <c r="D1741" s="32">
        <v>4430265054</v>
      </c>
      <c r="E1741" s="32">
        <v>81</v>
      </c>
      <c r="F1741" s="32">
        <v>42</v>
      </c>
      <c r="G1741" s="32" t="s">
        <v>44</v>
      </c>
      <c r="H1741" s="32" t="s">
        <v>1810</v>
      </c>
      <c r="I1741" s="32" t="s">
        <v>40</v>
      </c>
      <c r="J1741" s="32" t="s">
        <v>46</v>
      </c>
      <c r="K1741" s="32" t="s">
        <v>42</v>
      </c>
      <c r="M1741" s="32" t="s">
        <v>47</v>
      </c>
      <c r="N1741" s="32" t="s">
        <v>43</v>
      </c>
    </row>
    <row r="1742" spans="1:14" s="32" customFormat="1" hidden="1" x14ac:dyDescent="0.3">
      <c r="A1742" s="38">
        <v>46209.64439814815</v>
      </c>
      <c r="B1742" s="32">
        <v>41997840159</v>
      </c>
      <c r="C1742" s="32" t="s">
        <v>1038</v>
      </c>
      <c r="D1742" s="32">
        <v>4430265054</v>
      </c>
      <c r="E1742" s="32">
        <v>334</v>
      </c>
      <c r="F1742" s="32">
        <v>282</v>
      </c>
      <c r="G1742" s="32" t="s">
        <v>44</v>
      </c>
      <c r="H1742" s="32" t="s">
        <v>1811</v>
      </c>
      <c r="I1742" s="32" t="s">
        <v>40</v>
      </c>
      <c r="J1742" s="32" t="s">
        <v>46</v>
      </c>
      <c r="K1742" s="32" t="s">
        <v>42</v>
      </c>
      <c r="M1742" s="32" t="s">
        <v>1040</v>
      </c>
      <c r="N1742" s="32" t="s">
        <v>1038</v>
      </c>
    </row>
    <row r="1743" spans="1:14" s="32" customFormat="1" hidden="1" x14ac:dyDescent="0.3">
      <c r="A1743" s="38">
        <v>46209.64298611111</v>
      </c>
      <c r="B1743" s="32">
        <v>4436281154</v>
      </c>
      <c r="C1743" s="32" t="s">
        <v>1352</v>
      </c>
      <c r="D1743" s="32">
        <v>4430265054</v>
      </c>
      <c r="E1743" s="32">
        <v>561</v>
      </c>
      <c r="F1743" s="32">
        <v>490</v>
      </c>
      <c r="G1743" s="32" t="s">
        <v>44</v>
      </c>
      <c r="H1743" s="32" t="s">
        <v>1812</v>
      </c>
      <c r="I1743" s="32" t="s">
        <v>40</v>
      </c>
      <c r="J1743" s="32" t="s">
        <v>46</v>
      </c>
      <c r="K1743" s="32" t="s">
        <v>42</v>
      </c>
      <c r="M1743" s="32" t="s">
        <v>1354</v>
      </c>
      <c r="N1743" s="32" t="s">
        <v>1352</v>
      </c>
    </row>
    <row r="1744" spans="1:14" s="32" customFormat="1" hidden="1" x14ac:dyDescent="0.3">
      <c r="A1744" s="38">
        <v>46209.641122685185</v>
      </c>
      <c r="B1744" s="32" t="s">
        <v>1038</v>
      </c>
      <c r="C1744" s="32">
        <v>41997840159</v>
      </c>
      <c r="E1744" s="32">
        <v>0</v>
      </c>
      <c r="F1744" s="32">
        <v>0</v>
      </c>
      <c r="G1744" s="32" t="s">
        <v>63</v>
      </c>
      <c r="H1744" s="32" t="s">
        <v>1813</v>
      </c>
      <c r="I1744" s="32" t="s">
        <v>54</v>
      </c>
      <c r="J1744" s="32" t="s">
        <v>46</v>
      </c>
      <c r="M1744" s="32" t="s">
        <v>1040</v>
      </c>
      <c r="N1744" s="32" t="s">
        <v>1038</v>
      </c>
    </row>
    <row r="1745" spans="1:14" s="32" customFormat="1" hidden="1" x14ac:dyDescent="0.3">
      <c r="A1745" s="38">
        <v>46209.640347222223</v>
      </c>
      <c r="B1745" s="32" t="s">
        <v>1038</v>
      </c>
      <c r="C1745" s="32">
        <v>41997840159</v>
      </c>
      <c r="E1745" s="32">
        <v>53</v>
      </c>
      <c r="F1745" s="32">
        <v>36</v>
      </c>
      <c r="G1745" s="32" t="s">
        <v>44</v>
      </c>
      <c r="H1745" s="32" t="s">
        <v>1814</v>
      </c>
      <c r="I1745" s="32" t="s">
        <v>54</v>
      </c>
      <c r="J1745" s="32" t="s">
        <v>46</v>
      </c>
      <c r="M1745" s="32" t="s">
        <v>1040</v>
      </c>
      <c r="N1745" s="32" t="s">
        <v>1038</v>
      </c>
    </row>
    <row r="1746" spans="1:14" s="32" customFormat="1" hidden="1" x14ac:dyDescent="0.3">
      <c r="A1746" s="38">
        <v>46209.639537037037</v>
      </c>
      <c r="B1746" s="32" t="s">
        <v>1038</v>
      </c>
      <c r="C1746" s="32">
        <v>41997840159</v>
      </c>
      <c r="E1746" s="32">
        <v>9</v>
      </c>
      <c r="F1746" s="32">
        <v>0</v>
      </c>
      <c r="G1746" s="32" t="s">
        <v>63</v>
      </c>
      <c r="H1746" s="32" t="s">
        <v>1815</v>
      </c>
      <c r="I1746" s="32" t="s">
        <v>54</v>
      </c>
      <c r="J1746" s="32" t="s">
        <v>46</v>
      </c>
      <c r="M1746" s="32" t="s">
        <v>1040</v>
      </c>
      <c r="N1746" s="32" t="s">
        <v>1038</v>
      </c>
    </row>
    <row r="1747" spans="1:14" s="32" customFormat="1" hidden="1" x14ac:dyDescent="0.3">
      <c r="A1747" s="38">
        <v>46209.639004629629</v>
      </c>
      <c r="B1747" s="32" t="s">
        <v>1038</v>
      </c>
      <c r="C1747" s="32">
        <v>41997840159</v>
      </c>
      <c r="E1747" s="32">
        <v>0</v>
      </c>
      <c r="F1747" s="32">
        <v>0</v>
      </c>
      <c r="G1747" s="32" t="s">
        <v>63</v>
      </c>
      <c r="H1747" s="32" t="s">
        <v>1816</v>
      </c>
      <c r="I1747" s="32" t="s">
        <v>54</v>
      </c>
      <c r="J1747" s="32" t="s">
        <v>46</v>
      </c>
      <c r="M1747" s="32" t="s">
        <v>1040</v>
      </c>
      <c r="N1747" s="32" t="s">
        <v>1038</v>
      </c>
    </row>
    <row r="1748" spans="1:14" s="32" customFormat="1" hidden="1" x14ac:dyDescent="0.3">
      <c r="A1748" s="38">
        <v>46209.638865740744</v>
      </c>
      <c r="B1748" s="32" t="s">
        <v>1038</v>
      </c>
      <c r="C1748" s="32">
        <v>41997840159</v>
      </c>
      <c r="E1748" s="32">
        <v>0</v>
      </c>
      <c r="F1748" s="32">
        <v>0</v>
      </c>
      <c r="G1748" s="32" t="s">
        <v>63</v>
      </c>
      <c r="H1748" s="32" t="s">
        <v>1817</v>
      </c>
      <c r="I1748" s="32" t="s">
        <v>54</v>
      </c>
      <c r="J1748" s="32" t="s">
        <v>46</v>
      </c>
      <c r="M1748" s="32" t="s">
        <v>1040</v>
      </c>
      <c r="N1748" s="32" t="s">
        <v>1038</v>
      </c>
    </row>
    <row r="1749" spans="1:14" s="32" customFormat="1" hidden="1" x14ac:dyDescent="0.3">
      <c r="A1749" s="38">
        <v>46209.637731481482</v>
      </c>
      <c r="B1749" s="32" t="s">
        <v>1038</v>
      </c>
      <c r="C1749" s="32">
        <v>41997840159</v>
      </c>
      <c r="E1749" s="32">
        <v>62</v>
      </c>
      <c r="F1749" s="32">
        <v>23</v>
      </c>
      <c r="G1749" s="32" t="s">
        <v>44</v>
      </c>
      <c r="H1749" s="32" t="s">
        <v>1818</v>
      </c>
      <c r="I1749" s="32" t="s">
        <v>54</v>
      </c>
      <c r="J1749" s="32" t="s">
        <v>46</v>
      </c>
      <c r="M1749" s="32" t="s">
        <v>1040</v>
      </c>
      <c r="N1749" s="32" t="s">
        <v>1038</v>
      </c>
    </row>
    <row r="1750" spans="1:14" s="32" customFormat="1" hidden="1" x14ac:dyDescent="0.3">
      <c r="A1750" s="38">
        <v>46209.636643518519</v>
      </c>
      <c r="B1750" s="32" t="s">
        <v>1038</v>
      </c>
      <c r="C1750" s="32">
        <v>41997840159</v>
      </c>
      <c r="E1750" s="32">
        <v>85</v>
      </c>
      <c r="F1750" s="32">
        <v>74</v>
      </c>
      <c r="G1750" s="32" t="s">
        <v>44</v>
      </c>
      <c r="H1750" s="32" t="s">
        <v>1819</v>
      </c>
      <c r="I1750" s="32" t="s">
        <v>54</v>
      </c>
      <c r="J1750" s="32" t="s">
        <v>46</v>
      </c>
      <c r="M1750" s="32" t="s">
        <v>1040</v>
      </c>
      <c r="N1750" s="32" t="s">
        <v>1038</v>
      </c>
    </row>
    <row r="1751" spans="1:14" s="32" customFormat="1" hidden="1" x14ac:dyDescent="0.3">
      <c r="A1751" s="38">
        <v>46209.636377314811</v>
      </c>
      <c r="B1751" s="32" t="s">
        <v>1038</v>
      </c>
      <c r="C1751" s="32">
        <v>41997840159</v>
      </c>
      <c r="E1751" s="32">
        <v>0</v>
      </c>
      <c r="F1751" s="32">
        <v>0</v>
      </c>
      <c r="G1751" s="32" t="s">
        <v>63</v>
      </c>
      <c r="H1751" s="32" t="s">
        <v>1820</v>
      </c>
      <c r="I1751" s="32" t="s">
        <v>54</v>
      </c>
      <c r="J1751" s="32" t="s">
        <v>46</v>
      </c>
      <c r="M1751" s="32" t="s">
        <v>1040</v>
      </c>
      <c r="N1751" s="32" t="s">
        <v>1038</v>
      </c>
    </row>
    <row r="1752" spans="1:14" s="32" customFormat="1" hidden="1" x14ac:dyDescent="0.3">
      <c r="A1752" s="38">
        <v>46209.636261574073</v>
      </c>
      <c r="B1752" s="32" t="s">
        <v>1038</v>
      </c>
      <c r="C1752" s="32">
        <v>41997840159</v>
      </c>
      <c r="E1752" s="32">
        <v>0</v>
      </c>
      <c r="F1752" s="32">
        <v>0</v>
      </c>
      <c r="G1752" s="32" t="s">
        <v>63</v>
      </c>
      <c r="H1752" s="32" t="s">
        <v>1821</v>
      </c>
      <c r="I1752" s="32" t="s">
        <v>54</v>
      </c>
      <c r="J1752" s="32" t="s">
        <v>46</v>
      </c>
      <c r="M1752" s="32" t="s">
        <v>1040</v>
      </c>
      <c r="N1752" s="32" t="s">
        <v>1038</v>
      </c>
    </row>
    <row r="1753" spans="1:14" s="32" customFormat="1" hidden="1" x14ac:dyDescent="0.3">
      <c r="A1753" s="38">
        <v>46209.63621527778</v>
      </c>
      <c r="B1753" s="32" t="s">
        <v>1038</v>
      </c>
      <c r="C1753" s="32">
        <v>41997840159</v>
      </c>
      <c r="E1753" s="32">
        <v>1</v>
      </c>
      <c r="F1753" s="32">
        <v>0</v>
      </c>
      <c r="G1753" s="32" t="s">
        <v>63</v>
      </c>
      <c r="H1753" s="32" t="s">
        <v>1822</v>
      </c>
      <c r="I1753" s="32" t="s">
        <v>54</v>
      </c>
      <c r="J1753" s="32" t="s">
        <v>46</v>
      </c>
      <c r="M1753" s="32" t="s">
        <v>1040</v>
      </c>
      <c r="N1753" s="32" t="s">
        <v>1038</v>
      </c>
    </row>
    <row r="1754" spans="1:14" s="32" customFormat="1" hidden="1" x14ac:dyDescent="0.3">
      <c r="A1754" s="38">
        <v>46209.63616898148</v>
      </c>
      <c r="B1754" s="32" t="s">
        <v>1038</v>
      </c>
      <c r="C1754" s="32">
        <v>41997840159</v>
      </c>
      <c r="E1754" s="32">
        <v>0</v>
      </c>
      <c r="F1754" s="32">
        <v>0</v>
      </c>
      <c r="G1754" s="32" t="s">
        <v>63</v>
      </c>
      <c r="H1754" s="32" t="s">
        <v>1823</v>
      </c>
      <c r="I1754" s="32" t="s">
        <v>54</v>
      </c>
      <c r="J1754" s="32" t="s">
        <v>46</v>
      </c>
      <c r="M1754" s="32" t="s">
        <v>1040</v>
      </c>
      <c r="N1754" s="32" t="s">
        <v>1038</v>
      </c>
    </row>
    <row r="1755" spans="1:14" s="32" customFormat="1" hidden="1" x14ac:dyDescent="0.3">
      <c r="A1755" s="38">
        <v>46209.634583333333</v>
      </c>
      <c r="B1755" s="32" t="s">
        <v>1038</v>
      </c>
      <c r="C1755" s="32">
        <v>41997840159</v>
      </c>
      <c r="E1755" s="32">
        <v>38</v>
      </c>
      <c r="F1755" s="32">
        <v>0</v>
      </c>
      <c r="G1755" s="32" t="s">
        <v>63</v>
      </c>
      <c r="H1755" s="32" t="s">
        <v>1824</v>
      </c>
      <c r="I1755" s="32" t="s">
        <v>54</v>
      </c>
      <c r="J1755" s="32" t="s">
        <v>46</v>
      </c>
      <c r="M1755" s="32" t="s">
        <v>1040</v>
      </c>
      <c r="N1755" s="32" t="s">
        <v>1038</v>
      </c>
    </row>
    <row r="1756" spans="1:14" s="32" customFormat="1" hidden="1" x14ac:dyDescent="0.3">
      <c r="A1756" s="38">
        <v>46209.634259259263</v>
      </c>
      <c r="B1756" s="32">
        <v>4436281154</v>
      </c>
      <c r="C1756" s="32" t="s">
        <v>1352</v>
      </c>
      <c r="D1756" s="32">
        <v>4430265054</v>
      </c>
      <c r="E1756" s="32">
        <v>291</v>
      </c>
      <c r="F1756" s="32">
        <v>73</v>
      </c>
      <c r="G1756" s="32" t="s">
        <v>44</v>
      </c>
      <c r="H1756" s="32" t="s">
        <v>1825</v>
      </c>
      <c r="I1756" s="32" t="s">
        <v>40</v>
      </c>
      <c r="J1756" s="32" t="s">
        <v>46</v>
      </c>
      <c r="K1756" s="32" t="s">
        <v>42</v>
      </c>
      <c r="M1756" s="32" t="s">
        <v>1354</v>
      </c>
      <c r="N1756" s="32" t="s">
        <v>1352</v>
      </c>
    </row>
    <row r="1757" spans="1:14" s="32" customFormat="1" hidden="1" x14ac:dyDescent="0.3">
      <c r="A1757" s="38">
        <v>46209.634074074071</v>
      </c>
      <c r="B1757" s="32" t="s">
        <v>1038</v>
      </c>
      <c r="C1757" s="32">
        <v>41997840159</v>
      </c>
      <c r="E1757" s="32">
        <v>37</v>
      </c>
      <c r="F1757" s="32">
        <v>0</v>
      </c>
      <c r="G1757" s="32" t="s">
        <v>63</v>
      </c>
      <c r="H1757" s="32" t="s">
        <v>1826</v>
      </c>
      <c r="I1757" s="32" t="s">
        <v>54</v>
      </c>
      <c r="J1757" s="32" t="s">
        <v>46</v>
      </c>
      <c r="M1757" s="32" t="s">
        <v>1040</v>
      </c>
      <c r="N1757" s="32" t="s">
        <v>1038</v>
      </c>
    </row>
    <row r="1758" spans="1:14" s="32" customFormat="1" hidden="1" x14ac:dyDescent="0.3">
      <c r="A1758" s="38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38</v>
      </c>
      <c r="H1758" s="32" t="s">
        <v>1827</v>
      </c>
      <c r="I1758" s="32" t="s">
        <v>40</v>
      </c>
      <c r="J1758" s="32" t="s">
        <v>41</v>
      </c>
    </row>
    <row r="1759" spans="1:14" s="32" customFormat="1" hidden="1" x14ac:dyDescent="0.3">
      <c r="A1759" s="38">
        <v>46209.630300925928</v>
      </c>
      <c r="B1759" s="32">
        <v>44998068281</v>
      </c>
      <c r="C1759" s="32" t="s">
        <v>43</v>
      </c>
      <c r="D1759" s="32">
        <v>4430265054</v>
      </c>
      <c r="E1759" s="32">
        <v>141</v>
      </c>
      <c r="F1759" s="32">
        <v>73</v>
      </c>
      <c r="G1759" s="32" t="s">
        <v>44</v>
      </c>
      <c r="H1759" s="32" t="s">
        <v>1828</v>
      </c>
      <c r="I1759" s="32" t="s">
        <v>40</v>
      </c>
      <c r="J1759" s="32" t="s">
        <v>46</v>
      </c>
      <c r="K1759" s="32" t="s">
        <v>42</v>
      </c>
      <c r="M1759" s="32" t="s">
        <v>47</v>
      </c>
      <c r="N1759" s="32" t="s">
        <v>43</v>
      </c>
    </row>
    <row r="1760" spans="1:14" s="32" customFormat="1" hidden="1" x14ac:dyDescent="0.3">
      <c r="A1760" s="38">
        <v>46209.625706018516</v>
      </c>
      <c r="B1760" s="32" t="s">
        <v>43</v>
      </c>
      <c r="C1760" s="32">
        <v>4130760170</v>
      </c>
      <c r="E1760" s="32">
        <v>72</v>
      </c>
      <c r="F1760" s="32">
        <v>61</v>
      </c>
      <c r="G1760" s="32" t="s">
        <v>44</v>
      </c>
      <c r="H1760" s="32" t="s">
        <v>1829</v>
      </c>
      <c r="I1760" s="32" t="s">
        <v>54</v>
      </c>
      <c r="J1760" s="32" t="s">
        <v>46</v>
      </c>
      <c r="M1760" s="32" t="s">
        <v>47</v>
      </c>
      <c r="N1760" s="32" t="s">
        <v>43</v>
      </c>
    </row>
    <row r="1761" spans="1:14" s="32" customFormat="1" hidden="1" x14ac:dyDescent="0.3">
      <c r="A1761" s="38">
        <v>46209.618252314816</v>
      </c>
      <c r="B1761" s="32">
        <v>4334234629</v>
      </c>
      <c r="C1761" s="32" t="s">
        <v>1352</v>
      </c>
      <c r="D1761" s="32">
        <v>4430265054</v>
      </c>
      <c r="E1761" s="32">
        <v>315</v>
      </c>
      <c r="F1761" s="32">
        <v>270</v>
      </c>
      <c r="G1761" s="32" t="s">
        <v>44</v>
      </c>
      <c r="H1761" s="32" t="s">
        <v>1830</v>
      </c>
      <c r="I1761" s="32" t="s">
        <v>40</v>
      </c>
      <c r="J1761" s="32" t="s">
        <v>46</v>
      </c>
      <c r="K1761" s="32" t="s">
        <v>42</v>
      </c>
      <c r="M1761" s="32" t="s">
        <v>1354</v>
      </c>
      <c r="N1761" s="32" t="s">
        <v>1352</v>
      </c>
    </row>
    <row r="1762" spans="1:14" s="32" customFormat="1" hidden="1" x14ac:dyDescent="0.3">
      <c r="A1762" s="38">
        <v>46209.617164351854</v>
      </c>
      <c r="B1762" s="32" t="s">
        <v>207</v>
      </c>
      <c r="C1762" s="32">
        <v>16988095752</v>
      </c>
      <c r="E1762" s="32">
        <v>1089</v>
      </c>
      <c r="F1762" s="32">
        <v>1070</v>
      </c>
      <c r="G1762" s="32" t="s">
        <v>44</v>
      </c>
      <c r="H1762" s="32" t="s">
        <v>1831</v>
      </c>
      <c r="I1762" s="32" t="s">
        <v>54</v>
      </c>
      <c r="J1762" s="32" t="s">
        <v>111</v>
      </c>
      <c r="M1762" s="32" t="s">
        <v>209</v>
      </c>
      <c r="N1762" s="32" t="s">
        <v>207</v>
      </c>
    </row>
    <row r="1763" spans="1:14" s="32" customFormat="1" hidden="1" x14ac:dyDescent="0.3">
      <c r="A1763" s="38">
        <v>46209.615335648145</v>
      </c>
      <c r="B1763" s="32" t="s">
        <v>207</v>
      </c>
      <c r="C1763" s="32">
        <v>16988095752</v>
      </c>
      <c r="E1763" s="32">
        <v>41</v>
      </c>
      <c r="F1763" s="32">
        <v>0</v>
      </c>
      <c r="G1763" s="32" t="s">
        <v>63</v>
      </c>
      <c r="H1763" s="32" t="s">
        <v>1832</v>
      </c>
      <c r="I1763" s="32" t="s">
        <v>54</v>
      </c>
      <c r="J1763" s="32" t="s">
        <v>111</v>
      </c>
      <c r="M1763" s="32" t="s">
        <v>209</v>
      </c>
      <c r="N1763" s="32" t="s">
        <v>207</v>
      </c>
    </row>
    <row r="1764" spans="1:14" s="32" customFormat="1" hidden="1" x14ac:dyDescent="0.3">
      <c r="A1764" s="38">
        <v>46209.615023148152</v>
      </c>
      <c r="B1764" s="32">
        <v>4430282545</v>
      </c>
      <c r="C1764" s="32" t="s">
        <v>43</v>
      </c>
      <c r="D1764" s="32">
        <v>4430265054</v>
      </c>
      <c r="E1764" s="32">
        <v>425</v>
      </c>
      <c r="F1764" s="32">
        <v>313</v>
      </c>
      <c r="G1764" s="32" t="s">
        <v>44</v>
      </c>
      <c r="H1764" s="32" t="s">
        <v>1833</v>
      </c>
      <c r="I1764" s="32" t="s">
        <v>40</v>
      </c>
      <c r="J1764" s="32" t="s">
        <v>46</v>
      </c>
      <c r="K1764" s="32" t="s">
        <v>42</v>
      </c>
      <c r="M1764" s="32" t="s">
        <v>47</v>
      </c>
      <c r="N1764" s="32" t="s">
        <v>43</v>
      </c>
    </row>
    <row r="1765" spans="1:14" s="32" customFormat="1" hidden="1" x14ac:dyDescent="0.3">
      <c r="A1765" s="38">
        <v>46209.614953703705</v>
      </c>
      <c r="B1765" s="32">
        <v>41997840159</v>
      </c>
      <c r="C1765" s="32" t="s">
        <v>1038</v>
      </c>
      <c r="D1765" s="32">
        <v>4430265054</v>
      </c>
      <c r="E1765" s="32">
        <v>1379</v>
      </c>
      <c r="F1765" s="32">
        <v>1316</v>
      </c>
      <c r="G1765" s="32" t="s">
        <v>44</v>
      </c>
      <c r="H1765" s="32" t="s">
        <v>1834</v>
      </c>
      <c r="I1765" s="32" t="s">
        <v>40</v>
      </c>
      <c r="J1765" s="32" t="s">
        <v>46</v>
      </c>
      <c r="K1765" s="32" t="s">
        <v>42</v>
      </c>
      <c r="M1765" s="32" t="s">
        <v>1040</v>
      </c>
      <c r="N1765" s="32" t="s">
        <v>1038</v>
      </c>
    </row>
    <row r="1766" spans="1:14" s="32" customFormat="1" hidden="1" x14ac:dyDescent="0.3">
      <c r="A1766" s="38">
        <v>46209.614004629628</v>
      </c>
      <c r="B1766" s="32">
        <v>41997840159</v>
      </c>
      <c r="C1766" s="32" t="s">
        <v>1038</v>
      </c>
      <c r="D1766" s="32">
        <v>4430265054</v>
      </c>
      <c r="E1766" s="32">
        <v>76</v>
      </c>
      <c r="F1766" s="32">
        <v>32</v>
      </c>
      <c r="G1766" s="32" t="s">
        <v>44</v>
      </c>
      <c r="H1766" s="32" t="s">
        <v>1835</v>
      </c>
      <c r="I1766" s="32" t="s">
        <v>40</v>
      </c>
      <c r="J1766" s="32" t="s">
        <v>46</v>
      </c>
      <c r="K1766" s="32" t="s">
        <v>42</v>
      </c>
      <c r="M1766" s="32" t="s">
        <v>1040</v>
      </c>
      <c r="N1766" s="32" t="s">
        <v>1038</v>
      </c>
    </row>
    <row r="1767" spans="1:14" s="32" customFormat="1" hidden="1" x14ac:dyDescent="0.3">
      <c r="A1767" s="38">
        <v>46209.610671296294</v>
      </c>
      <c r="B1767" s="32">
        <v>44991396687</v>
      </c>
      <c r="C1767" s="32" t="s">
        <v>1352</v>
      </c>
      <c r="D1767" s="32">
        <v>4430265054</v>
      </c>
      <c r="E1767" s="32">
        <v>126</v>
      </c>
      <c r="F1767" s="32">
        <v>63</v>
      </c>
      <c r="G1767" s="32" t="s">
        <v>44</v>
      </c>
      <c r="H1767" s="32" t="s">
        <v>1836</v>
      </c>
      <c r="I1767" s="32" t="s">
        <v>40</v>
      </c>
      <c r="J1767" s="32" t="s">
        <v>46</v>
      </c>
      <c r="K1767" s="32" t="s">
        <v>42</v>
      </c>
      <c r="M1767" s="32" t="s">
        <v>1354</v>
      </c>
      <c r="N1767" s="32" t="s">
        <v>1352</v>
      </c>
    </row>
    <row r="1768" spans="1:14" s="32" customFormat="1" hidden="1" x14ac:dyDescent="0.3">
      <c r="A1768" s="38">
        <v>46209.60428240741</v>
      </c>
      <c r="B1768" s="32">
        <v>41997840159</v>
      </c>
      <c r="C1768" s="32" t="s">
        <v>1038</v>
      </c>
      <c r="D1768" s="32">
        <v>4430265054</v>
      </c>
      <c r="E1768" s="32">
        <v>28</v>
      </c>
      <c r="F1768" s="32">
        <v>7</v>
      </c>
      <c r="G1768" s="32" t="s">
        <v>44</v>
      </c>
      <c r="H1768" s="32" t="s">
        <v>1837</v>
      </c>
      <c r="I1768" s="32" t="s">
        <v>40</v>
      </c>
      <c r="J1768" s="32" t="s">
        <v>46</v>
      </c>
      <c r="K1768" s="32" t="s">
        <v>42</v>
      </c>
      <c r="M1768" s="32" t="s">
        <v>1040</v>
      </c>
      <c r="N1768" s="32" t="s">
        <v>1038</v>
      </c>
    </row>
    <row r="1769" spans="1:14" s="32" customFormat="1" hidden="1" x14ac:dyDescent="0.3">
      <c r="A1769" s="38">
        <v>46209.603356481479</v>
      </c>
      <c r="B1769" s="32">
        <v>43984810043</v>
      </c>
      <c r="C1769" s="32" t="s">
        <v>43</v>
      </c>
      <c r="D1769" s="32">
        <v>4430265054</v>
      </c>
      <c r="E1769" s="32">
        <v>611</v>
      </c>
      <c r="F1769" s="32">
        <v>558</v>
      </c>
      <c r="G1769" s="32" t="s">
        <v>44</v>
      </c>
      <c r="H1769" s="32" t="s">
        <v>1838</v>
      </c>
      <c r="I1769" s="32" t="s">
        <v>40</v>
      </c>
      <c r="J1769" s="32" t="s">
        <v>46</v>
      </c>
      <c r="K1769" s="32" t="s">
        <v>42</v>
      </c>
      <c r="M1769" s="32" t="s">
        <v>47</v>
      </c>
      <c r="N1769" s="32" t="s">
        <v>43</v>
      </c>
    </row>
    <row r="1770" spans="1:14" s="32" customFormat="1" hidden="1" x14ac:dyDescent="0.3">
      <c r="A1770" s="38">
        <v>46209.601863425924</v>
      </c>
      <c r="B1770" s="32">
        <v>4532541996</v>
      </c>
      <c r="C1770" s="32" t="s">
        <v>1352</v>
      </c>
      <c r="D1770" s="32">
        <v>4430265054</v>
      </c>
      <c r="E1770" s="32">
        <v>576</v>
      </c>
      <c r="F1770" s="32">
        <v>549</v>
      </c>
      <c r="G1770" s="32" t="s">
        <v>44</v>
      </c>
      <c r="H1770" s="32" t="s">
        <v>1839</v>
      </c>
      <c r="I1770" s="32" t="s">
        <v>40</v>
      </c>
      <c r="J1770" s="32" t="s">
        <v>46</v>
      </c>
      <c r="K1770" s="32" t="s">
        <v>42</v>
      </c>
      <c r="M1770" s="32" t="s">
        <v>1354</v>
      </c>
      <c r="N1770" s="32" t="s">
        <v>1352</v>
      </c>
    </row>
    <row r="1771" spans="1:14" s="32" customFormat="1" hidden="1" x14ac:dyDescent="0.3">
      <c r="A1771" s="38">
        <v>46209.600439814814</v>
      </c>
      <c r="B1771" s="32">
        <v>67992169496</v>
      </c>
      <c r="C1771" s="32" t="s">
        <v>43</v>
      </c>
      <c r="D1771" s="32">
        <v>4430265054</v>
      </c>
      <c r="E1771" s="32">
        <v>204</v>
      </c>
      <c r="F1771" s="32">
        <v>176</v>
      </c>
      <c r="G1771" s="32" t="s">
        <v>44</v>
      </c>
      <c r="H1771" s="32" t="s">
        <v>1840</v>
      </c>
      <c r="I1771" s="32" t="s">
        <v>40</v>
      </c>
      <c r="J1771" s="32" t="s">
        <v>46</v>
      </c>
      <c r="K1771" s="32" t="s">
        <v>42</v>
      </c>
      <c r="L1771" s="32">
        <v>5</v>
      </c>
      <c r="M1771" s="32" t="s">
        <v>47</v>
      </c>
      <c r="N1771" s="32" t="s">
        <v>43</v>
      </c>
    </row>
    <row r="1772" spans="1:14" s="32" customFormat="1" hidden="1" x14ac:dyDescent="0.3">
      <c r="A1772" s="38">
        <v>46209.595868055556</v>
      </c>
      <c r="B1772" s="32">
        <v>1131043888</v>
      </c>
      <c r="C1772" s="32" t="s">
        <v>43</v>
      </c>
      <c r="D1772" s="32">
        <v>4430265054</v>
      </c>
      <c r="E1772" s="32">
        <v>221</v>
      </c>
      <c r="F1772" s="32">
        <v>195</v>
      </c>
      <c r="G1772" s="32" t="s">
        <v>44</v>
      </c>
      <c r="H1772" s="32" t="s">
        <v>1841</v>
      </c>
      <c r="I1772" s="32" t="s">
        <v>40</v>
      </c>
      <c r="J1772" s="32" t="s">
        <v>46</v>
      </c>
      <c r="K1772" s="32" t="s">
        <v>42</v>
      </c>
      <c r="M1772" s="32" t="s">
        <v>47</v>
      </c>
      <c r="N1772" s="32" t="s">
        <v>43</v>
      </c>
    </row>
    <row r="1773" spans="1:14" s="32" customFormat="1" hidden="1" x14ac:dyDescent="0.3">
      <c r="A1773" s="38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38</v>
      </c>
      <c r="H1773" s="32" t="s">
        <v>1842</v>
      </c>
      <c r="I1773" s="32" t="s">
        <v>40</v>
      </c>
      <c r="J1773" s="32" t="s">
        <v>41</v>
      </c>
    </row>
    <row r="1774" spans="1:14" s="32" customFormat="1" hidden="1" x14ac:dyDescent="0.3">
      <c r="A1774" s="38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38</v>
      </c>
      <c r="H1774" s="32" t="s">
        <v>1843</v>
      </c>
      <c r="I1774" s="32" t="s">
        <v>40</v>
      </c>
      <c r="J1774" s="32" t="s">
        <v>41</v>
      </c>
    </row>
    <row r="1775" spans="1:14" s="32" customFormat="1" hidden="1" x14ac:dyDescent="0.3">
      <c r="A1775" s="38">
        <v>46209.590370370373</v>
      </c>
      <c r="B1775" s="32" t="s">
        <v>379</v>
      </c>
      <c r="C1775" s="32" t="s">
        <v>207</v>
      </c>
      <c r="E1775" s="32">
        <v>69</v>
      </c>
      <c r="F1775" s="32">
        <v>60</v>
      </c>
      <c r="G1775" s="32" t="s">
        <v>44</v>
      </c>
      <c r="H1775" s="32" t="s">
        <v>1844</v>
      </c>
      <c r="I1775" s="32" t="s">
        <v>694</v>
      </c>
      <c r="J1775" s="32" t="s">
        <v>111</v>
      </c>
      <c r="M1775" s="32" t="s">
        <v>381</v>
      </c>
      <c r="N1775" s="32" t="s">
        <v>379</v>
      </c>
    </row>
    <row r="1776" spans="1:14" s="32" customFormat="1" hidden="1" x14ac:dyDescent="0.3">
      <c r="A1776" s="38">
        <v>46209.589282407411</v>
      </c>
      <c r="B1776" s="32">
        <v>44988067937</v>
      </c>
      <c r="C1776" s="32" t="s">
        <v>58</v>
      </c>
      <c r="D1776" s="32">
        <v>4430265054</v>
      </c>
      <c r="E1776" s="32">
        <v>329</v>
      </c>
      <c r="F1776" s="32">
        <v>328</v>
      </c>
      <c r="G1776" s="32" t="s">
        <v>44</v>
      </c>
      <c r="H1776" s="32" t="s">
        <v>1845</v>
      </c>
      <c r="I1776" s="32" t="s">
        <v>40</v>
      </c>
      <c r="J1776" s="32" t="s">
        <v>46</v>
      </c>
      <c r="K1776" s="32" t="s">
        <v>42</v>
      </c>
      <c r="M1776" s="32" t="s">
        <v>60</v>
      </c>
      <c r="N1776" s="32" t="s">
        <v>58</v>
      </c>
    </row>
    <row r="1777" spans="1:14" s="32" customFormat="1" hidden="1" x14ac:dyDescent="0.3">
      <c r="A1777" s="38">
        <v>46209.583692129629</v>
      </c>
      <c r="B1777" s="32">
        <v>4432641415</v>
      </c>
      <c r="C1777" s="32" t="s">
        <v>1352</v>
      </c>
      <c r="D1777" s="32">
        <v>4430265054</v>
      </c>
      <c r="E1777" s="32">
        <v>713</v>
      </c>
      <c r="F1777" s="32">
        <v>599</v>
      </c>
      <c r="G1777" s="32" t="s">
        <v>44</v>
      </c>
      <c r="H1777" s="32" t="s">
        <v>1846</v>
      </c>
      <c r="I1777" s="32" t="s">
        <v>40</v>
      </c>
      <c r="J1777" s="32" t="s">
        <v>46</v>
      </c>
      <c r="K1777" s="32" t="s">
        <v>42</v>
      </c>
      <c r="M1777" s="32" t="s">
        <v>1354</v>
      </c>
      <c r="N1777" s="32" t="s">
        <v>1352</v>
      </c>
    </row>
    <row r="1778" spans="1:14" s="32" customFormat="1" hidden="1" x14ac:dyDescent="0.3">
      <c r="A1778" s="38">
        <v>46209.583460648151</v>
      </c>
      <c r="B1778" s="32">
        <v>91981481202</v>
      </c>
      <c r="C1778" s="32" t="s">
        <v>1038</v>
      </c>
      <c r="D1778" s="32">
        <v>4430265054</v>
      </c>
      <c r="E1778" s="32">
        <v>310</v>
      </c>
      <c r="F1778" s="32">
        <v>234</v>
      </c>
      <c r="G1778" s="32" t="s">
        <v>44</v>
      </c>
      <c r="H1778" s="32" t="s">
        <v>1847</v>
      </c>
      <c r="I1778" s="32" t="s">
        <v>40</v>
      </c>
      <c r="J1778" s="32" t="s">
        <v>46</v>
      </c>
      <c r="K1778" s="32" t="s">
        <v>42</v>
      </c>
      <c r="L1778" s="32">
        <v>5</v>
      </c>
      <c r="M1778" s="32" t="s">
        <v>1040</v>
      </c>
      <c r="N1778" s="32" t="s">
        <v>1038</v>
      </c>
    </row>
    <row r="1779" spans="1:14" s="32" customFormat="1" hidden="1" x14ac:dyDescent="0.3">
      <c r="A1779" s="38">
        <v>46209.579027777778</v>
      </c>
      <c r="B1779" s="32">
        <v>4432206400</v>
      </c>
      <c r="C1779" s="32" t="s">
        <v>43</v>
      </c>
      <c r="D1779" s="32">
        <v>4430265054</v>
      </c>
      <c r="E1779" s="32">
        <v>955</v>
      </c>
      <c r="F1779" s="32">
        <v>891</v>
      </c>
      <c r="G1779" s="32" t="s">
        <v>44</v>
      </c>
      <c r="H1779" s="32" t="s">
        <v>1848</v>
      </c>
      <c r="I1779" s="32" t="s">
        <v>40</v>
      </c>
      <c r="J1779" s="32" t="s">
        <v>46</v>
      </c>
      <c r="K1779" s="32" t="s">
        <v>42</v>
      </c>
      <c r="M1779" s="32" t="s">
        <v>47</v>
      </c>
      <c r="N1779" s="32" t="s">
        <v>43</v>
      </c>
    </row>
    <row r="1780" spans="1:14" s="32" customFormat="1" hidden="1" x14ac:dyDescent="0.3">
      <c r="A1780" s="38">
        <v>46209.562905092593</v>
      </c>
      <c r="B1780" s="32">
        <v>44997650834</v>
      </c>
      <c r="C1780" s="32" t="s">
        <v>43</v>
      </c>
      <c r="D1780" s="32">
        <v>4430265054</v>
      </c>
      <c r="E1780" s="32">
        <v>777</v>
      </c>
      <c r="F1780" s="32">
        <v>729</v>
      </c>
      <c r="G1780" s="32" t="s">
        <v>44</v>
      </c>
      <c r="H1780" s="32" t="s">
        <v>1849</v>
      </c>
      <c r="I1780" s="32" t="s">
        <v>40</v>
      </c>
      <c r="J1780" s="32" t="s">
        <v>46</v>
      </c>
      <c r="K1780" s="32" t="s">
        <v>42</v>
      </c>
      <c r="M1780" s="32" t="s">
        <v>47</v>
      </c>
      <c r="N1780" s="32" t="s">
        <v>43</v>
      </c>
    </row>
    <row r="1781" spans="1:14" s="32" customFormat="1" hidden="1" x14ac:dyDescent="0.3">
      <c r="A1781" s="38">
        <v>46209.494884259257</v>
      </c>
      <c r="B1781" s="32">
        <v>41997840159</v>
      </c>
      <c r="C1781" s="32" t="s">
        <v>1038</v>
      </c>
      <c r="D1781" s="32">
        <v>4430265054</v>
      </c>
      <c r="E1781" s="32">
        <v>644</v>
      </c>
      <c r="F1781" s="32">
        <v>616</v>
      </c>
      <c r="G1781" s="32" t="s">
        <v>44</v>
      </c>
      <c r="H1781" s="32" t="s">
        <v>1850</v>
      </c>
      <c r="I1781" s="32" t="s">
        <v>40</v>
      </c>
      <c r="J1781" s="32" t="s">
        <v>46</v>
      </c>
      <c r="K1781" s="32" t="s">
        <v>42</v>
      </c>
      <c r="M1781" s="32" t="s">
        <v>1040</v>
      </c>
      <c r="N1781" s="32" t="s">
        <v>1038</v>
      </c>
    </row>
    <row r="1782" spans="1:14" s="32" customFormat="1" hidden="1" x14ac:dyDescent="0.3">
      <c r="A1782" s="38">
        <v>46209.487500000003</v>
      </c>
      <c r="B1782" s="32">
        <v>35998295948</v>
      </c>
      <c r="C1782" s="32" t="s">
        <v>43</v>
      </c>
      <c r="D1782" s="32">
        <v>4430265054</v>
      </c>
      <c r="E1782" s="32">
        <v>272</v>
      </c>
      <c r="F1782" s="32">
        <v>254</v>
      </c>
      <c r="G1782" s="32" t="s">
        <v>44</v>
      </c>
      <c r="H1782" s="32" t="s">
        <v>1851</v>
      </c>
      <c r="I1782" s="32" t="s">
        <v>40</v>
      </c>
      <c r="J1782" s="32" t="s">
        <v>46</v>
      </c>
      <c r="K1782" s="32" t="s">
        <v>42</v>
      </c>
      <c r="M1782" s="32" t="s">
        <v>47</v>
      </c>
      <c r="N1782" s="32" t="s">
        <v>43</v>
      </c>
    </row>
    <row r="1783" spans="1:14" s="32" customFormat="1" hidden="1" x14ac:dyDescent="0.3">
      <c r="A1783" s="38">
        <v>46209.482060185182</v>
      </c>
      <c r="B1783" s="32">
        <v>4430141092</v>
      </c>
      <c r="C1783" s="32" t="s">
        <v>1352</v>
      </c>
      <c r="D1783" s="32">
        <v>4430265054</v>
      </c>
      <c r="E1783" s="32">
        <v>698</v>
      </c>
      <c r="F1783" s="32">
        <v>621</v>
      </c>
      <c r="G1783" s="32" t="s">
        <v>44</v>
      </c>
      <c r="H1783" s="32" t="s">
        <v>1852</v>
      </c>
      <c r="I1783" s="32" t="s">
        <v>40</v>
      </c>
      <c r="J1783" s="32" t="s">
        <v>46</v>
      </c>
      <c r="K1783" s="32" t="s">
        <v>42</v>
      </c>
      <c r="L1783" s="32">
        <v>5</v>
      </c>
      <c r="M1783" s="32" t="s">
        <v>1354</v>
      </c>
      <c r="N1783" s="32" t="s">
        <v>1352</v>
      </c>
    </row>
    <row r="1784" spans="1:14" s="32" customFormat="1" hidden="1" x14ac:dyDescent="0.3">
      <c r="A1784" s="38">
        <v>46209.481087962966</v>
      </c>
      <c r="B1784" s="32" t="s">
        <v>1038</v>
      </c>
      <c r="C1784" s="32">
        <v>44997561804</v>
      </c>
      <c r="E1784" s="32">
        <v>687</v>
      </c>
      <c r="F1784" s="32">
        <v>681</v>
      </c>
      <c r="G1784" s="32" t="s">
        <v>44</v>
      </c>
      <c r="H1784" s="32" t="s">
        <v>1853</v>
      </c>
      <c r="I1784" s="32" t="s">
        <v>54</v>
      </c>
      <c r="J1784" s="32" t="s">
        <v>46</v>
      </c>
      <c r="M1784" s="32" t="s">
        <v>1040</v>
      </c>
      <c r="N1784" s="32" t="s">
        <v>1038</v>
      </c>
    </row>
    <row r="1785" spans="1:14" s="32" customFormat="1" hidden="1" x14ac:dyDescent="0.3">
      <c r="A1785" s="38">
        <v>46209.476909722223</v>
      </c>
      <c r="B1785" s="32">
        <v>64984043469</v>
      </c>
      <c r="C1785" s="32" t="s">
        <v>43</v>
      </c>
      <c r="D1785" s="32">
        <v>4430265054</v>
      </c>
      <c r="E1785" s="32">
        <v>528</v>
      </c>
      <c r="F1785" s="32">
        <v>488</v>
      </c>
      <c r="G1785" s="32" t="s">
        <v>44</v>
      </c>
      <c r="H1785" s="32" t="s">
        <v>1854</v>
      </c>
      <c r="I1785" s="32" t="s">
        <v>40</v>
      </c>
      <c r="J1785" s="32" t="s">
        <v>46</v>
      </c>
      <c r="K1785" s="32" t="s">
        <v>42</v>
      </c>
      <c r="M1785" s="32" t="s">
        <v>47</v>
      </c>
      <c r="N1785" s="32" t="s">
        <v>43</v>
      </c>
    </row>
    <row r="1786" spans="1:14" s="32" customFormat="1" hidden="1" x14ac:dyDescent="0.3">
      <c r="A1786" s="38">
        <v>46209.473055555558</v>
      </c>
      <c r="B1786" s="32">
        <v>4435228300</v>
      </c>
      <c r="C1786" s="32" t="s">
        <v>1352</v>
      </c>
      <c r="D1786" s="32">
        <v>4430265054</v>
      </c>
      <c r="E1786" s="32">
        <v>339</v>
      </c>
      <c r="F1786" s="32">
        <v>221</v>
      </c>
      <c r="G1786" s="32" t="s">
        <v>44</v>
      </c>
      <c r="H1786" s="32" t="s">
        <v>1855</v>
      </c>
      <c r="I1786" s="32" t="s">
        <v>40</v>
      </c>
      <c r="J1786" s="32" t="s">
        <v>46</v>
      </c>
      <c r="K1786" s="32" t="s">
        <v>42</v>
      </c>
      <c r="M1786" s="32" t="s">
        <v>1354</v>
      </c>
      <c r="N1786" s="32" t="s">
        <v>1352</v>
      </c>
    </row>
    <row r="1787" spans="1:14" s="32" customFormat="1" hidden="1" x14ac:dyDescent="0.3">
      <c r="A1787" s="38">
        <v>46209.457511574074</v>
      </c>
      <c r="B1787" s="32">
        <v>91981481202</v>
      </c>
      <c r="C1787" s="32" t="s">
        <v>1352</v>
      </c>
      <c r="D1787" s="32">
        <v>4430265054</v>
      </c>
      <c r="E1787" s="32">
        <v>401</v>
      </c>
      <c r="F1787" s="32">
        <v>369</v>
      </c>
      <c r="G1787" s="32" t="s">
        <v>44</v>
      </c>
      <c r="H1787" s="32" t="s">
        <v>1856</v>
      </c>
      <c r="I1787" s="32" t="s">
        <v>40</v>
      </c>
      <c r="J1787" s="32" t="s">
        <v>46</v>
      </c>
      <c r="K1787" s="32" t="s">
        <v>42</v>
      </c>
      <c r="L1787" s="32">
        <v>5</v>
      </c>
      <c r="M1787" s="32" t="s">
        <v>1354</v>
      </c>
      <c r="N1787" s="32" t="s">
        <v>1352</v>
      </c>
    </row>
    <row r="1788" spans="1:14" s="32" customFormat="1" hidden="1" x14ac:dyDescent="0.3">
      <c r="A1788" s="38">
        <v>46209.453553240739</v>
      </c>
      <c r="B1788" s="32">
        <v>44991213399</v>
      </c>
      <c r="C1788" s="32" t="s">
        <v>43</v>
      </c>
      <c r="D1788" s="32">
        <v>4430265054</v>
      </c>
      <c r="E1788" s="32">
        <v>452</v>
      </c>
      <c r="F1788" s="32">
        <v>428</v>
      </c>
      <c r="G1788" s="32" t="s">
        <v>44</v>
      </c>
      <c r="H1788" s="32" t="s">
        <v>1857</v>
      </c>
      <c r="I1788" s="32" t="s">
        <v>40</v>
      </c>
      <c r="J1788" s="32" t="s">
        <v>46</v>
      </c>
      <c r="K1788" s="32" t="s">
        <v>42</v>
      </c>
      <c r="M1788" s="32" t="s">
        <v>47</v>
      </c>
      <c r="N1788" s="32" t="s">
        <v>43</v>
      </c>
    </row>
    <row r="1789" spans="1:14" s="32" customFormat="1" hidden="1" x14ac:dyDescent="0.3">
      <c r="A1789" s="38">
        <v>46209.451944444445</v>
      </c>
      <c r="B1789" s="32">
        <v>44991116911</v>
      </c>
      <c r="C1789" s="32" t="s">
        <v>58</v>
      </c>
      <c r="D1789" s="32">
        <v>4430265054</v>
      </c>
      <c r="E1789" s="32">
        <v>525</v>
      </c>
      <c r="F1789" s="32">
        <v>525</v>
      </c>
      <c r="G1789" s="32" t="s">
        <v>44</v>
      </c>
      <c r="H1789" s="32" t="s">
        <v>1858</v>
      </c>
      <c r="I1789" s="32" t="s">
        <v>40</v>
      </c>
      <c r="J1789" s="32" t="s">
        <v>46</v>
      </c>
      <c r="K1789" s="32" t="s">
        <v>42</v>
      </c>
      <c r="L1789" s="32">
        <v>5</v>
      </c>
      <c r="M1789" s="32" t="s">
        <v>60</v>
      </c>
      <c r="N1789" s="32" t="s">
        <v>58</v>
      </c>
    </row>
    <row r="1790" spans="1:14" s="32" customFormat="1" hidden="1" x14ac:dyDescent="0.3">
      <c r="A1790" s="38">
        <v>46209.443344907406</v>
      </c>
      <c r="B1790" s="32">
        <v>44997650834</v>
      </c>
      <c r="C1790" s="32" t="s">
        <v>1352</v>
      </c>
      <c r="D1790" s="32">
        <v>4430265054</v>
      </c>
      <c r="E1790" s="32">
        <v>1086</v>
      </c>
      <c r="F1790" s="32">
        <v>999</v>
      </c>
      <c r="G1790" s="32" t="s">
        <v>44</v>
      </c>
      <c r="H1790" s="32" t="s">
        <v>1859</v>
      </c>
      <c r="I1790" s="32" t="s">
        <v>40</v>
      </c>
      <c r="J1790" s="32" t="s">
        <v>46</v>
      </c>
      <c r="K1790" s="32" t="s">
        <v>42</v>
      </c>
      <c r="M1790" s="32" t="s">
        <v>1354</v>
      </c>
      <c r="N1790" s="32" t="s">
        <v>1352</v>
      </c>
    </row>
    <row r="1791" spans="1:14" s="32" customFormat="1" hidden="1" x14ac:dyDescent="0.3">
      <c r="A1791" s="38">
        <v>46209.441250000003</v>
      </c>
      <c r="B1791" s="32" t="s">
        <v>109</v>
      </c>
      <c r="C1791" s="32">
        <v>44981647738</v>
      </c>
      <c r="E1791" s="32">
        <v>1</v>
      </c>
      <c r="F1791" s="32">
        <v>0</v>
      </c>
      <c r="G1791" s="32" t="s">
        <v>63</v>
      </c>
      <c r="H1791" s="32" t="s">
        <v>1860</v>
      </c>
      <c r="I1791" s="32" t="s">
        <v>54</v>
      </c>
      <c r="J1791" s="32" t="s">
        <v>111</v>
      </c>
      <c r="M1791" s="32" t="s">
        <v>112</v>
      </c>
      <c r="N1791" s="32" t="s">
        <v>109</v>
      </c>
    </row>
    <row r="1792" spans="1:14" s="32" customFormat="1" hidden="1" x14ac:dyDescent="0.3">
      <c r="A1792" s="38">
        <v>46209.436284722222</v>
      </c>
      <c r="B1792" s="32">
        <v>4436281154</v>
      </c>
      <c r="C1792" s="32" t="s">
        <v>43</v>
      </c>
      <c r="D1792" s="32">
        <v>4430265054</v>
      </c>
      <c r="E1792" s="32">
        <v>321</v>
      </c>
      <c r="F1792" s="32">
        <v>253</v>
      </c>
      <c r="G1792" s="32" t="s">
        <v>44</v>
      </c>
      <c r="H1792" s="32" t="s">
        <v>1861</v>
      </c>
      <c r="I1792" s="32" t="s">
        <v>40</v>
      </c>
      <c r="J1792" s="32" t="s">
        <v>46</v>
      </c>
      <c r="K1792" s="32" t="s">
        <v>42</v>
      </c>
      <c r="M1792" s="32" t="s">
        <v>47</v>
      </c>
      <c r="N1792" s="32" t="s">
        <v>43</v>
      </c>
    </row>
    <row r="1793" spans="1:14" s="32" customFormat="1" hidden="1" x14ac:dyDescent="0.3">
      <c r="A1793" s="38">
        <v>46209.434965277775</v>
      </c>
      <c r="B1793" s="32" t="s">
        <v>58</v>
      </c>
      <c r="C1793" s="32">
        <v>44998761561</v>
      </c>
      <c r="E1793" s="32">
        <v>191</v>
      </c>
      <c r="F1793" s="32">
        <v>175</v>
      </c>
      <c r="G1793" s="32" t="s">
        <v>44</v>
      </c>
      <c r="H1793" s="32" t="s">
        <v>1862</v>
      </c>
      <c r="I1793" s="32" t="s">
        <v>54</v>
      </c>
      <c r="J1793" s="32" t="s">
        <v>46</v>
      </c>
      <c r="L1793" s="32">
        <v>5</v>
      </c>
      <c r="M1793" s="32" t="s">
        <v>60</v>
      </c>
      <c r="N1793" s="32" t="s">
        <v>58</v>
      </c>
    </row>
    <row r="1794" spans="1:14" s="32" customFormat="1" hidden="1" x14ac:dyDescent="0.3">
      <c r="A1794" s="38">
        <v>46209.434918981482</v>
      </c>
      <c r="B1794" s="32" t="s">
        <v>58</v>
      </c>
      <c r="C1794" s="32">
        <v>44998761561</v>
      </c>
      <c r="E1794" s="32">
        <v>2</v>
      </c>
      <c r="F1794" s="32">
        <v>0</v>
      </c>
      <c r="G1794" s="32" t="s">
        <v>63</v>
      </c>
      <c r="H1794" s="32" t="s">
        <v>1863</v>
      </c>
      <c r="I1794" s="32" t="s">
        <v>54</v>
      </c>
      <c r="J1794" s="32" t="s">
        <v>46</v>
      </c>
      <c r="M1794" s="32" t="s">
        <v>60</v>
      </c>
      <c r="N1794" s="32" t="s">
        <v>58</v>
      </c>
    </row>
    <row r="1795" spans="1:14" s="32" customFormat="1" hidden="1" x14ac:dyDescent="0.3">
      <c r="A1795" s="38">
        <v>46209.430995370371</v>
      </c>
      <c r="B1795" s="32">
        <v>35998295948</v>
      </c>
      <c r="C1795" s="32" t="s">
        <v>43</v>
      </c>
      <c r="D1795" s="32">
        <v>4430265054</v>
      </c>
      <c r="E1795" s="32">
        <v>216</v>
      </c>
      <c r="F1795" s="32">
        <v>161</v>
      </c>
      <c r="G1795" s="32" t="s">
        <v>44</v>
      </c>
      <c r="H1795" s="32" t="s">
        <v>1864</v>
      </c>
      <c r="I1795" s="32" t="s">
        <v>40</v>
      </c>
      <c r="J1795" s="32" t="s">
        <v>46</v>
      </c>
      <c r="K1795" s="32" t="s">
        <v>42</v>
      </c>
      <c r="M1795" s="32" t="s">
        <v>47</v>
      </c>
      <c r="N1795" s="32" t="s">
        <v>43</v>
      </c>
    </row>
    <row r="1796" spans="1:14" s="32" customFormat="1" hidden="1" x14ac:dyDescent="0.3">
      <c r="A1796" s="38">
        <v>46209.42496527778</v>
      </c>
      <c r="B1796" s="32">
        <v>4430315826</v>
      </c>
      <c r="C1796" s="32" t="s">
        <v>43</v>
      </c>
      <c r="D1796" s="32">
        <v>4430265054</v>
      </c>
      <c r="E1796" s="32">
        <v>441</v>
      </c>
      <c r="F1796" s="32">
        <v>372</v>
      </c>
      <c r="G1796" s="32" t="s">
        <v>44</v>
      </c>
      <c r="H1796" s="32" t="s">
        <v>1865</v>
      </c>
      <c r="I1796" s="32" t="s">
        <v>40</v>
      </c>
      <c r="J1796" s="32" t="s">
        <v>46</v>
      </c>
      <c r="K1796" s="32" t="s">
        <v>42</v>
      </c>
      <c r="L1796" s="32">
        <v>5</v>
      </c>
      <c r="M1796" s="32" t="s">
        <v>47</v>
      </c>
      <c r="N1796" s="32" t="s">
        <v>43</v>
      </c>
    </row>
    <row r="1797" spans="1:14" s="32" customFormat="1" hidden="1" x14ac:dyDescent="0.3">
      <c r="A1797" s="38">
        <v>46209.423796296294</v>
      </c>
      <c r="B1797" s="32">
        <v>35998295948</v>
      </c>
      <c r="C1797" s="32" t="s">
        <v>1038</v>
      </c>
      <c r="D1797" s="32">
        <v>4430265054</v>
      </c>
      <c r="E1797" s="32">
        <v>206</v>
      </c>
      <c r="F1797" s="32">
        <v>185</v>
      </c>
      <c r="G1797" s="32" t="s">
        <v>44</v>
      </c>
      <c r="H1797" s="32" t="s">
        <v>1866</v>
      </c>
      <c r="I1797" s="32" t="s">
        <v>40</v>
      </c>
      <c r="J1797" s="32" t="s">
        <v>46</v>
      </c>
      <c r="K1797" s="32" t="s">
        <v>42</v>
      </c>
      <c r="M1797" s="32" t="s">
        <v>1040</v>
      </c>
      <c r="N1797" s="32" t="s">
        <v>1038</v>
      </c>
    </row>
    <row r="1798" spans="1:14" s="32" customFormat="1" hidden="1" x14ac:dyDescent="0.3">
      <c r="A1798" s="38">
        <v>46209.412800925929</v>
      </c>
      <c r="B1798" s="32">
        <v>44997134514</v>
      </c>
      <c r="C1798" s="32" t="s">
        <v>43</v>
      </c>
      <c r="D1798" s="32">
        <v>4430265054</v>
      </c>
      <c r="E1798" s="32">
        <v>546</v>
      </c>
      <c r="F1798" s="32">
        <v>495</v>
      </c>
      <c r="G1798" s="32" t="s">
        <v>44</v>
      </c>
      <c r="H1798" s="32" t="s">
        <v>1867</v>
      </c>
      <c r="I1798" s="32" t="s">
        <v>40</v>
      </c>
      <c r="J1798" s="32" t="s">
        <v>46</v>
      </c>
      <c r="K1798" s="32" t="s">
        <v>42</v>
      </c>
      <c r="M1798" s="32" t="s">
        <v>47</v>
      </c>
      <c r="N1798" s="32" t="s">
        <v>43</v>
      </c>
    </row>
    <row r="1799" spans="1:14" s="32" customFormat="1" hidden="1" x14ac:dyDescent="0.3">
      <c r="A1799" s="38">
        <v>46209.408206018517</v>
      </c>
      <c r="B1799" s="32">
        <v>41997840159</v>
      </c>
      <c r="C1799" s="32" t="s">
        <v>1038</v>
      </c>
      <c r="D1799" s="32">
        <v>4430265054</v>
      </c>
      <c r="E1799" s="32">
        <v>938</v>
      </c>
      <c r="F1799" s="32">
        <v>895</v>
      </c>
      <c r="G1799" s="32" t="s">
        <v>44</v>
      </c>
      <c r="H1799" s="32" t="s">
        <v>1868</v>
      </c>
      <c r="I1799" s="32" t="s">
        <v>40</v>
      </c>
      <c r="J1799" s="32" t="s">
        <v>46</v>
      </c>
      <c r="K1799" s="32" t="s">
        <v>42</v>
      </c>
      <c r="L1799" s="32">
        <v>5</v>
      </c>
      <c r="M1799" s="32" t="s">
        <v>1040</v>
      </c>
      <c r="N1799" s="32" t="s">
        <v>1038</v>
      </c>
    </row>
    <row r="1800" spans="1:14" s="32" customFormat="1" hidden="1" x14ac:dyDescent="0.3">
      <c r="A1800" s="38">
        <v>46209.406585648147</v>
      </c>
      <c r="B1800" s="32">
        <v>4430141533</v>
      </c>
      <c r="C1800" s="32" t="s">
        <v>43</v>
      </c>
      <c r="D1800" s="32">
        <v>4430265054</v>
      </c>
      <c r="E1800" s="32">
        <v>250</v>
      </c>
      <c r="F1800" s="32">
        <v>235</v>
      </c>
      <c r="G1800" s="32" t="s">
        <v>44</v>
      </c>
      <c r="H1800" s="32" t="s">
        <v>1869</v>
      </c>
      <c r="I1800" s="32" t="s">
        <v>40</v>
      </c>
      <c r="J1800" s="32" t="s">
        <v>46</v>
      </c>
      <c r="K1800" s="32" t="s">
        <v>42</v>
      </c>
      <c r="M1800" s="32" t="s">
        <v>47</v>
      </c>
      <c r="N1800" s="32" t="s">
        <v>43</v>
      </c>
    </row>
    <row r="1801" spans="1:14" s="32" customFormat="1" hidden="1" x14ac:dyDescent="0.3">
      <c r="A1801" s="38">
        <v>46209.405844907407</v>
      </c>
      <c r="B1801" s="32">
        <v>4430253334</v>
      </c>
      <c r="C1801" s="32" t="s">
        <v>58</v>
      </c>
      <c r="D1801" s="32">
        <v>4430265054</v>
      </c>
      <c r="E1801" s="32">
        <v>660</v>
      </c>
      <c r="F1801" s="32">
        <v>659</v>
      </c>
      <c r="G1801" s="32" t="s">
        <v>44</v>
      </c>
      <c r="H1801" s="32" t="s">
        <v>1870</v>
      </c>
      <c r="I1801" s="32" t="s">
        <v>40</v>
      </c>
      <c r="J1801" s="32" t="s">
        <v>46</v>
      </c>
      <c r="K1801" s="32" t="s">
        <v>42</v>
      </c>
      <c r="L1801" s="32">
        <v>5</v>
      </c>
      <c r="M1801" s="32" t="s">
        <v>60</v>
      </c>
      <c r="N1801" s="32" t="s">
        <v>58</v>
      </c>
    </row>
    <row r="1802" spans="1:14" s="32" customFormat="1" hidden="1" x14ac:dyDescent="0.3">
      <c r="A1802" s="38">
        <v>46209.395960648151</v>
      </c>
      <c r="B1802" s="32" t="s">
        <v>1038</v>
      </c>
      <c r="C1802" s="32">
        <v>44997561804</v>
      </c>
      <c r="E1802" s="32">
        <v>277</v>
      </c>
      <c r="F1802" s="32">
        <v>270</v>
      </c>
      <c r="G1802" s="32" t="s">
        <v>44</v>
      </c>
      <c r="H1802" s="32" t="s">
        <v>1871</v>
      </c>
      <c r="I1802" s="32" t="s">
        <v>54</v>
      </c>
      <c r="J1802" s="32" t="s">
        <v>46</v>
      </c>
      <c r="M1802" s="32" t="s">
        <v>1040</v>
      </c>
      <c r="N1802" s="32" t="s">
        <v>1038</v>
      </c>
    </row>
    <row r="1803" spans="1:14" s="32" customFormat="1" hidden="1" x14ac:dyDescent="0.3">
      <c r="A1803" s="38">
        <v>46209.395520833335</v>
      </c>
      <c r="B1803" s="32">
        <v>4433542435</v>
      </c>
      <c r="C1803" s="32" t="s">
        <v>43</v>
      </c>
      <c r="D1803" s="32">
        <v>4430265054</v>
      </c>
      <c r="E1803" s="32">
        <v>306</v>
      </c>
      <c r="F1803" s="32">
        <v>242</v>
      </c>
      <c r="G1803" s="32" t="s">
        <v>44</v>
      </c>
      <c r="H1803" s="32" t="s">
        <v>1872</v>
      </c>
      <c r="I1803" s="32" t="s">
        <v>40</v>
      </c>
      <c r="J1803" s="32" t="s">
        <v>46</v>
      </c>
      <c r="K1803" s="32" t="s">
        <v>42</v>
      </c>
      <c r="M1803" s="32" t="s">
        <v>47</v>
      </c>
      <c r="N1803" s="32" t="s">
        <v>43</v>
      </c>
    </row>
    <row r="1804" spans="1:14" s="32" customFormat="1" hidden="1" x14ac:dyDescent="0.3">
      <c r="A1804" s="38">
        <v>46209.392962962964</v>
      </c>
      <c r="B1804" s="32">
        <v>44998068281</v>
      </c>
      <c r="C1804" s="32" t="s">
        <v>1352</v>
      </c>
      <c r="D1804" s="32">
        <v>4430265054</v>
      </c>
      <c r="E1804" s="32">
        <v>1190</v>
      </c>
      <c r="F1804" s="32">
        <v>1041</v>
      </c>
      <c r="G1804" s="32" t="s">
        <v>44</v>
      </c>
      <c r="H1804" s="32" t="s">
        <v>1873</v>
      </c>
      <c r="I1804" s="32" t="s">
        <v>40</v>
      </c>
      <c r="J1804" s="32" t="s">
        <v>46</v>
      </c>
      <c r="K1804" s="32" t="s">
        <v>42</v>
      </c>
      <c r="M1804" s="32" t="s">
        <v>1354</v>
      </c>
      <c r="N1804" s="32" t="s">
        <v>1352</v>
      </c>
    </row>
    <row r="1805" spans="1:14" s="32" customFormat="1" hidden="1" x14ac:dyDescent="0.3">
      <c r="A1805" s="38">
        <v>46209.392141203702</v>
      </c>
      <c r="B1805" s="32">
        <v>4430315826</v>
      </c>
      <c r="C1805" s="32" t="s">
        <v>58</v>
      </c>
      <c r="D1805" s="32">
        <v>4430265054</v>
      </c>
      <c r="E1805" s="32">
        <v>528</v>
      </c>
      <c r="F1805" s="32">
        <v>528</v>
      </c>
      <c r="G1805" s="32" t="s">
        <v>44</v>
      </c>
      <c r="H1805" s="32" t="s">
        <v>1874</v>
      </c>
      <c r="I1805" s="32" t="s">
        <v>40</v>
      </c>
      <c r="J1805" s="32" t="s">
        <v>46</v>
      </c>
      <c r="K1805" s="32" t="s">
        <v>42</v>
      </c>
      <c r="M1805" s="32" t="s">
        <v>60</v>
      </c>
      <c r="N1805" s="32" t="s">
        <v>58</v>
      </c>
    </row>
    <row r="1806" spans="1:14" s="32" customFormat="1" hidden="1" x14ac:dyDescent="0.3">
      <c r="A1806" s="38">
        <v>46209.391631944447</v>
      </c>
      <c r="B1806" s="32">
        <v>44988067937</v>
      </c>
      <c r="C1806" s="32" t="s">
        <v>1352</v>
      </c>
      <c r="D1806" s="32">
        <v>4430265054</v>
      </c>
      <c r="E1806" s="32">
        <v>182</v>
      </c>
      <c r="F1806" s="32">
        <v>122</v>
      </c>
      <c r="G1806" s="32" t="s">
        <v>44</v>
      </c>
      <c r="H1806" s="32" t="s">
        <v>1875</v>
      </c>
      <c r="I1806" s="32" t="s">
        <v>40</v>
      </c>
      <c r="J1806" s="32" t="s">
        <v>46</v>
      </c>
      <c r="K1806" s="32" t="s">
        <v>42</v>
      </c>
      <c r="M1806" s="32" t="s">
        <v>1354</v>
      </c>
      <c r="N1806" s="32" t="s">
        <v>1352</v>
      </c>
    </row>
    <row r="1807" spans="1:14" s="32" customFormat="1" hidden="1" x14ac:dyDescent="0.3">
      <c r="A1807" s="38">
        <v>46209.389884259261</v>
      </c>
      <c r="B1807" s="32">
        <v>44997561804</v>
      </c>
      <c r="C1807" s="32" t="s">
        <v>1038</v>
      </c>
      <c r="D1807" s="32">
        <v>4430265054</v>
      </c>
      <c r="E1807" s="32">
        <v>507</v>
      </c>
      <c r="F1807" s="32">
        <v>461</v>
      </c>
      <c r="G1807" s="32" t="s">
        <v>44</v>
      </c>
      <c r="H1807" s="32" t="s">
        <v>1876</v>
      </c>
      <c r="I1807" s="32" t="s">
        <v>40</v>
      </c>
      <c r="J1807" s="32" t="s">
        <v>46</v>
      </c>
      <c r="K1807" s="32" t="s">
        <v>42</v>
      </c>
      <c r="M1807" s="32" t="s">
        <v>1040</v>
      </c>
      <c r="N1807" s="32" t="s">
        <v>1038</v>
      </c>
    </row>
    <row r="1808" spans="1:14" s="32" customFormat="1" hidden="1" x14ac:dyDescent="0.3">
      <c r="A1808" s="38">
        <v>46209.385868055557</v>
      </c>
      <c r="B1808" s="32">
        <v>44998581219</v>
      </c>
      <c r="C1808" s="32" t="s">
        <v>58</v>
      </c>
      <c r="D1808" s="32">
        <v>4430265054</v>
      </c>
      <c r="E1808" s="32">
        <v>213</v>
      </c>
      <c r="F1808" s="32">
        <v>192</v>
      </c>
      <c r="G1808" s="32" t="s">
        <v>44</v>
      </c>
      <c r="H1808" s="32" t="s">
        <v>1877</v>
      </c>
      <c r="I1808" s="32" t="s">
        <v>40</v>
      </c>
      <c r="J1808" s="32" t="s">
        <v>46</v>
      </c>
      <c r="K1808" s="32" t="s">
        <v>42</v>
      </c>
      <c r="M1808" s="32" t="s">
        <v>60</v>
      </c>
      <c r="N1808" s="32" t="s">
        <v>58</v>
      </c>
    </row>
    <row r="1809" spans="1:14" s="32" customFormat="1" hidden="1" x14ac:dyDescent="0.3">
      <c r="A1809" s="38">
        <v>46209.384317129632</v>
      </c>
      <c r="B1809" s="32">
        <v>4430141533</v>
      </c>
      <c r="C1809" s="32" t="s">
        <v>1038</v>
      </c>
      <c r="D1809" s="32">
        <v>4430265054</v>
      </c>
      <c r="E1809" s="32">
        <v>256</v>
      </c>
      <c r="F1809" s="32">
        <v>169</v>
      </c>
      <c r="G1809" s="32" t="s">
        <v>44</v>
      </c>
      <c r="H1809" s="32" t="s">
        <v>1878</v>
      </c>
      <c r="I1809" s="32" t="s">
        <v>40</v>
      </c>
      <c r="J1809" s="32" t="s">
        <v>46</v>
      </c>
      <c r="K1809" s="32" t="s">
        <v>42</v>
      </c>
      <c r="M1809" s="32" t="s">
        <v>1040</v>
      </c>
      <c r="N1809" s="32" t="s">
        <v>1038</v>
      </c>
    </row>
    <row r="1810" spans="1:14" s="32" customFormat="1" hidden="1" x14ac:dyDescent="0.3">
      <c r="A1810" s="38">
        <v>46209.381793981483</v>
      </c>
      <c r="B1810" s="32">
        <v>1131043888</v>
      </c>
      <c r="C1810" s="32" t="s">
        <v>43</v>
      </c>
      <c r="D1810" s="32">
        <v>4430265054</v>
      </c>
      <c r="E1810" s="32">
        <v>513</v>
      </c>
      <c r="F1810" s="32">
        <v>496</v>
      </c>
      <c r="G1810" s="32" t="s">
        <v>44</v>
      </c>
      <c r="H1810" s="32" t="s">
        <v>1879</v>
      </c>
      <c r="I1810" s="32" t="s">
        <v>40</v>
      </c>
      <c r="J1810" s="32" t="s">
        <v>46</v>
      </c>
      <c r="K1810" s="32" t="s">
        <v>42</v>
      </c>
      <c r="M1810" s="32" t="s">
        <v>47</v>
      </c>
      <c r="N1810" s="32" t="s">
        <v>43</v>
      </c>
    </row>
    <row r="1811" spans="1:14" s="32" customFormat="1" hidden="1" x14ac:dyDescent="0.3">
      <c r="A1811" s="38">
        <v>46209.381423611114</v>
      </c>
      <c r="B1811" s="32">
        <v>4330333542</v>
      </c>
      <c r="C1811" s="32" t="s">
        <v>1038</v>
      </c>
      <c r="D1811" s="32">
        <v>4430265054</v>
      </c>
      <c r="E1811" s="32">
        <v>146</v>
      </c>
      <c r="F1811" s="32">
        <v>104</v>
      </c>
      <c r="G1811" s="32" t="s">
        <v>44</v>
      </c>
      <c r="H1811" s="32" t="s">
        <v>1880</v>
      </c>
      <c r="I1811" s="32" t="s">
        <v>40</v>
      </c>
      <c r="J1811" s="32" t="s">
        <v>46</v>
      </c>
      <c r="K1811" s="32" t="s">
        <v>42</v>
      </c>
      <c r="M1811" s="32" t="s">
        <v>1040</v>
      </c>
      <c r="N1811" s="32" t="s">
        <v>1038</v>
      </c>
    </row>
    <row r="1812" spans="1:14" s="32" customFormat="1" hidden="1" x14ac:dyDescent="0.3">
      <c r="A1812" s="38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38</v>
      </c>
      <c r="H1812" s="32" t="s">
        <v>1881</v>
      </c>
      <c r="I1812" s="32" t="s">
        <v>40</v>
      </c>
      <c r="J1812" s="32" t="s">
        <v>41</v>
      </c>
      <c r="K1812" s="32" t="s">
        <v>42</v>
      </c>
    </row>
    <row r="1813" spans="1:14" s="32" customFormat="1" hidden="1" x14ac:dyDescent="0.3">
      <c r="A1813" s="38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38</v>
      </c>
      <c r="H1813" s="32" t="s">
        <v>1882</v>
      </c>
      <c r="I1813" s="32" t="s">
        <v>40</v>
      </c>
      <c r="J1813" s="32" t="s">
        <v>41</v>
      </c>
      <c r="K1813" s="32" t="s">
        <v>42</v>
      </c>
    </row>
    <row r="1814" spans="1:14" s="32" customFormat="1" hidden="1" x14ac:dyDescent="0.3">
      <c r="A1814" s="38">
        <v>46209.362881944442</v>
      </c>
      <c r="B1814" s="32">
        <v>4434221675</v>
      </c>
      <c r="C1814" s="32" t="s">
        <v>43</v>
      </c>
      <c r="D1814" s="32">
        <v>4430265054</v>
      </c>
      <c r="E1814" s="32">
        <v>1225</v>
      </c>
      <c r="F1814" s="32">
        <v>1111</v>
      </c>
      <c r="G1814" s="32" t="s">
        <v>44</v>
      </c>
      <c r="H1814" s="32" t="s">
        <v>1883</v>
      </c>
      <c r="I1814" s="32" t="s">
        <v>40</v>
      </c>
      <c r="J1814" s="32" t="s">
        <v>46</v>
      </c>
      <c r="K1814" s="32" t="s">
        <v>42</v>
      </c>
      <c r="M1814" s="32" t="s">
        <v>47</v>
      </c>
      <c r="N1814" s="32" t="s">
        <v>43</v>
      </c>
    </row>
    <row r="1815" spans="1:14" s="32" customFormat="1" hidden="1" x14ac:dyDescent="0.3">
      <c r="A1815" s="38">
        <v>46209.361759259256</v>
      </c>
      <c r="B1815" s="32">
        <v>44991354005</v>
      </c>
      <c r="C1815" s="32" t="s">
        <v>1038</v>
      </c>
      <c r="D1815" s="32">
        <v>4430265054</v>
      </c>
      <c r="E1815" s="32">
        <v>793</v>
      </c>
      <c r="F1815" s="32">
        <v>658</v>
      </c>
      <c r="G1815" s="32" t="s">
        <v>44</v>
      </c>
      <c r="H1815" s="32" t="s">
        <v>1884</v>
      </c>
      <c r="I1815" s="32" t="s">
        <v>40</v>
      </c>
      <c r="J1815" s="32" t="s">
        <v>46</v>
      </c>
      <c r="K1815" s="32" t="s">
        <v>42</v>
      </c>
      <c r="L1815" s="32">
        <v>5</v>
      </c>
      <c r="M1815" s="32" t="s">
        <v>1040</v>
      </c>
      <c r="N1815" s="32" t="s">
        <v>1038</v>
      </c>
    </row>
    <row r="1816" spans="1:14" s="32" customFormat="1" hidden="1" x14ac:dyDescent="0.3">
      <c r="A1816" s="38">
        <v>46209.361562500002</v>
      </c>
      <c r="B1816" s="32">
        <v>44999497001</v>
      </c>
      <c r="C1816" s="32" t="s">
        <v>1352</v>
      </c>
      <c r="D1816" s="32">
        <v>4430265054</v>
      </c>
      <c r="E1816" s="32">
        <v>2433</v>
      </c>
      <c r="F1816" s="32">
        <v>2411</v>
      </c>
      <c r="G1816" s="32" t="s">
        <v>44</v>
      </c>
      <c r="H1816" s="32" t="s">
        <v>1885</v>
      </c>
      <c r="I1816" s="32" t="s">
        <v>40</v>
      </c>
      <c r="J1816" s="32" t="s">
        <v>46</v>
      </c>
      <c r="K1816" s="32" t="s">
        <v>42</v>
      </c>
      <c r="M1816" s="32" t="s">
        <v>1354</v>
      </c>
      <c r="N1816" s="32" t="s">
        <v>1352</v>
      </c>
    </row>
    <row r="1817" spans="1:14" s="32" customFormat="1" hidden="1" x14ac:dyDescent="0.3">
      <c r="A1817" s="38">
        <v>46209.361238425925</v>
      </c>
      <c r="B1817" s="32">
        <v>91981481202</v>
      </c>
      <c r="C1817" s="32" t="s">
        <v>43</v>
      </c>
      <c r="D1817" s="32">
        <v>4430265054</v>
      </c>
      <c r="E1817" s="32">
        <v>228</v>
      </c>
      <c r="F1817" s="32">
        <v>191</v>
      </c>
      <c r="G1817" s="32" t="s">
        <v>44</v>
      </c>
      <c r="H1817" s="32" t="s">
        <v>1886</v>
      </c>
      <c r="I1817" s="32" t="s">
        <v>40</v>
      </c>
      <c r="J1817" s="32" t="s">
        <v>46</v>
      </c>
      <c r="K1817" s="32" t="s">
        <v>42</v>
      </c>
      <c r="L1817" s="32">
        <v>5</v>
      </c>
      <c r="M1817" s="32" t="s">
        <v>47</v>
      </c>
      <c r="N1817" s="32" t="s">
        <v>43</v>
      </c>
    </row>
    <row r="1818" spans="1:14" s="32" customFormat="1" hidden="1" x14ac:dyDescent="0.3">
      <c r="A1818" s="38">
        <v>46209.360092592593</v>
      </c>
      <c r="B1818" s="32">
        <v>6234347959</v>
      </c>
      <c r="C1818" s="32" t="s">
        <v>1038</v>
      </c>
      <c r="D1818" s="32">
        <v>4430265054</v>
      </c>
      <c r="E1818" s="32">
        <v>220</v>
      </c>
      <c r="F1818" s="32">
        <v>208</v>
      </c>
      <c r="G1818" s="32" t="s">
        <v>44</v>
      </c>
      <c r="H1818" s="32" t="s">
        <v>1887</v>
      </c>
      <c r="I1818" s="32" t="s">
        <v>40</v>
      </c>
      <c r="J1818" s="32" t="s">
        <v>46</v>
      </c>
      <c r="K1818" s="32" t="s">
        <v>42</v>
      </c>
      <c r="M1818" s="32" t="s">
        <v>1040</v>
      </c>
      <c r="N1818" s="32" t="s">
        <v>1038</v>
      </c>
    </row>
    <row r="1819" spans="1:14" s="32" customFormat="1" hidden="1" x14ac:dyDescent="0.3">
      <c r="A1819" s="38">
        <v>46209.355127314811</v>
      </c>
      <c r="B1819" s="32">
        <v>4430317020</v>
      </c>
      <c r="C1819" s="32" t="s">
        <v>43</v>
      </c>
      <c r="D1819" s="32">
        <v>4430265054</v>
      </c>
      <c r="E1819" s="32">
        <v>386</v>
      </c>
      <c r="F1819" s="32">
        <v>266</v>
      </c>
      <c r="G1819" s="32" t="s">
        <v>44</v>
      </c>
      <c r="H1819" s="32" t="s">
        <v>1888</v>
      </c>
      <c r="I1819" s="32" t="s">
        <v>40</v>
      </c>
      <c r="J1819" s="32" t="s">
        <v>46</v>
      </c>
      <c r="K1819" s="32" t="s">
        <v>42</v>
      </c>
      <c r="M1819" s="32" t="s">
        <v>47</v>
      </c>
      <c r="N1819" s="32" t="s">
        <v>43</v>
      </c>
    </row>
    <row r="1820" spans="1:14" s="32" customFormat="1" hidden="1" x14ac:dyDescent="0.3">
      <c r="A1820" s="38">
        <v>46209.350555555553</v>
      </c>
      <c r="B1820" s="32" t="s">
        <v>43</v>
      </c>
      <c r="C1820" s="32">
        <v>4130760170</v>
      </c>
      <c r="E1820" s="32">
        <v>40</v>
      </c>
      <c r="F1820" s="32">
        <v>0</v>
      </c>
      <c r="G1820" s="32" t="s">
        <v>63</v>
      </c>
      <c r="H1820" s="32" t="s">
        <v>1889</v>
      </c>
      <c r="I1820" s="32" t="s">
        <v>54</v>
      </c>
      <c r="J1820" s="32" t="s">
        <v>46</v>
      </c>
      <c r="M1820" s="32" t="s">
        <v>47</v>
      </c>
      <c r="N1820" s="32" t="s">
        <v>43</v>
      </c>
    </row>
    <row r="1821" spans="1:14" s="32" customFormat="1" hidden="1" x14ac:dyDescent="0.3">
      <c r="A1821" s="38">
        <v>46209.349930555552</v>
      </c>
      <c r="B1821" s="32" t="s">
        <v>43</v>
      </c>
      <c r="C1821" s="32">
        <v>4130760170</v>
      </c>
      <c r="E1821" s="32">
        <v>49</v>
      </c>
      <c r="F1821" s="32">
        <v>0</v>
      </c>
      <c r="G1821" s="32" t="s">
        <v>63</v>
      </c>
      <c r="H1821" s="32" t="s">
        <v>1890</v>
      </c>
      <c r="I1821" s="32" t="s">
        <v>54</v>
      </c>
      <c r="J1821" s="32" t="s">
        <v>46</v>
      </c>
      <c r="M1821" s="32" t="s">
        <v>47</v>
      </c>
      <c r="N1821" s="32" t="s">
        <v>43</v>
      </c>
    </row>
    <row r="1822" spans="1:14" s="32" customFormat="1" hidden="1" x14ac:dyDescent="0.3">
      <c r="A1822" s="38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38</v>
      </c>
      <c r="H1822" s="32" t="s">
        <v>1891</v>
      </c>
      <c r="I1822" s="32" t="s">
        <v>40</v>
      </c>
      <c r="J1822" s="32" t="s">
        <v>41</v>
      </c>
    </row>
    <row r="1823" spans="1:14" s="32" customFormat="1" hidden="1" x14ac:dyDescent="0.3">
      <c r="A1823" s="38">
        <v>46206.730949074074</v>
      </c>
      <c r="B1823" s="32" t="s">
        <v>43</v>
      </c>
      <c r="C1823" s="32">
        <v>4130760170</v>
      </c>
      <c r="E1823" s="32">
        <v>48</v>
      </c>
      <c r="F1823" s="32">
        <v>0</v>
      </c>
      <c r="G1823" s="32" t="s">
        <v>63</v>
      </c>
      <c r="H1823" s="32" t="s">
        <v>1892</v>
      </c>
      <c r="I1823" s="32" t="s">
        <v>54</v>
      </c>
      <c r="J1823" s="32" t="s">
        <v>46</v>
      </c>
      <c r="M1823" s="32" t="s">
        <v>47</v>
      </c>
      <c r="N1823" s="32" t="s">
        <v>43</v>
      </c>
    </row>
    <row r="1824" spans="1:14" s="32" customFormat="1" hidden="1" x14ac:dyDescent="0.3">
      <c r="A1824" s="38">
        <v>46206.730798611112</v>
      </c>
      <c r="B1824" s="32" t="s">
        <v>43</v>
      </c>
      <c r="C1824" s="32">
        <v>4130760170</v>
      </c>
      <c r="E1824" s="32">
        <v>1</v>
      </c>
      <c r="F1824" s="32">
        <v>0</v>
      </c>
      <c r="G1824" s="32" t="s">
        <v>63</v>
      </c>
      <c r="H1824" s="32" t="s">
        <v>1893</v>
      </c>
      <c r="I1824" s="32" t="s">
        <v>54</v>
      </c>
      <c r="J1824" s="32" t="s">
        <v>46</v>
      </c>
      <c r="M1824" s="32" t="s">
        <v>47</v>
      </c>
      <c r="N1824" s="32" t="s">
        <v>43</v>
      </c>
    </row>
    <row r="1825" spans="1:14" s="32" customFormat="1" hidden="1" x14ac:dyDescent="0.3">
      <c r="A1825" s="38">
        <v>46206.723645833335</v>
      </c>
      <c r="B1825" s="32" t="s">
        <v>109</v>
      </c>
      <c r="C1825" s="32">
        <v>85992260409</v>
      </c>
      <c r="E1825" s="32">
        <v>23</v>
      </c>
      <c r="F1825" s="32">
        <v>18</v>
      </c>
      <c r="G1825" s="32" t="s">
        <v>44</v>
      </c>
      <c r="H1825" s="32" t="s">
        <v>1894</v>
      </c>
      <c r="I1825" s="32" t="s">
        <v>54</v>
      </c>
      <c r="J1825" s="32" t="s">
        <v>111</v>
      </c>
      <c r="M1825" s="32" t="s">
        <v>112</v>
      </c>
      <c r="N1825" s="32" t="s">
        <v>109</v>
      </c>
    </row>
    <row r="1826" spans="1:14" s="32" customFormat="1" hidden="1" x14ac:dyDescent="0.3">
      <c r="A1826" s="38">
        <v>46206.722627314812</v>
      </c>
      <c r="B1826" s="32" t="s">
        <v>109</v>
      </c>
      <c r="C1826" s="32">
        <v>87999648598</v>
      </c>
      <c r="E1826" s="32">
        <v>7</v>
      </c>
      <c r="F1826" s="32">
        <v>0</v>
      </c>
      <c r="G1826" s="32" t="s">
        <v>63</v>
      </c>
      <c r="H1826" s="32" t="s">
        <v>1895</v>
      </c>
      <c r="I1826" s="32" t="s">
        <v>54</v>
      </c>
      <c r="J1826" s="32" t="s">
        <v>111</v>
      </c>
      <c r="M1826" s="32" t="s">
        <v>112</v>
      </c>
      <c r="N1826" s="32" t="s">
        <v>109</v>
      </c>
    </row>
    <row r="1827" spans="1:14" s="32" customFormat="1" hidden="1" x14ac:dyDescent="0.3">
      <c r="A1827" s="38">
        <v>46206.720810185187</v>
      </c>
      <c r="B1827" s="32" t="s">
        <v>109</v>
      </c>
      <c r="C1827" s="32">
        <v>5441391545</v>
      </c>
      <c r="E1827" s="32">
        <v>8</v>
      </c>
      <c r="F1827" s="32">
        <v>0</v>
      </c>
      <c r="G1827" s="32" t="s">
        <v>63</v>
      </c>
      <c r="H1827" s="32" t="s">
        <v>1896</v>
      </c>
      <c r="I1827" s="32" t="s">
        <v>54</v>
      </c>
      <c r="J1827" s="32" t="s">
        <v>111</v>
      </c>
      <c r="M1827" s="32" t="s">
        <v>112</v>
      </c>
      <c r="N1827" s="32" t="s">
        <v>109</v>
      </c>
    </row>
    <row r="1828" spans="1:14" s="32" customFormat="1" hidden="1" x14ac:dyDescent="0.3">
      <c r="A1828" s="38">
        <v>46206.719097222223</v>
      </c>
      <c r="B1828" s="32" t="s">
        <v>109</v>
      </c>
      <c r="C1828" s="32">
        <v>6130286666</v>
      </c>
      <c r="E1828" s="32">
        <v>59</v>
      </c>
      <c r="F1828" s="32">
        <v>51</v>
      </c>
      <c r="G1828" s="32" t="s">
        <v>44</v>
      </c>
      <c r="H1828" s="32" t="s">
        <v>1897</v>
      </c>
      <c r="I1828" s="32" t="s">
        <v>54</v>
      </c>
      <c r="J1828" s="32" t="s">
        <v>111</v>
      </c>
      <c r="M1828" s="32" t="s">
        <v>112</v>
      </c>
      <c r="N1828" s="32" t="s">
        <v>109</v>
      </c>
    </row>
    <row r="1829" spans="1:14" s="32" customFormat="1" hidden="1" x14ac:dyDescent="0.3">
      <c r="A1829" s="38">
        <v>46206.718611111108</v>
      </c>
      <c r="B1829" s="32">
        <v>4434239353</v>
      </c>
      <c r="C1829" s="32" t="s">
        <v>1038</v>
      </c>
      <c r="D1829" s="32">
        <v>4430265054</v>
      </c>
      <c r="E1829" s="32">
        <v>1132</v>
      </c>
      <c r="F1829" s="32">
        <v>1005</v>
      </c>
      <c r="G1829" s="32" t="s">
        <v>44</v>
      </c>
      <c r="H1829" s="32" t="s">
        <v>1898</v>
      </c>
      <c r="I1829" s="32" t="s">
        <v>40</v>
      </c>
      <c r="J1829" s="32" t="s">
        <v>46</v>
      </c>
      <c r="K1829" s="32" t="s">
        <v>42</v>
      </c>
      <c r="L1829" s="32">
        <v>5</v>
      </c>
      <c r="M1829" s="32" t="s">
        <v>1040</v>
      </c>
      <c r="N1829" s="32" t="s">
        <v>1038</v>
      </c>
    </row>
    <row r="1830" spans="1:14" s="32" customFormat="1" hidden="1" x14ac:dyDescent="0.3">
      <c r="A1830" s="38">
        <v>46206.71707175926</v>
      </c>
      <c r="B1830" s="32" t="s">
        <v>109</v>
      </c>
      <c r="C1830" s="32">
        <v>5433135107</v>
      </c>
      <c r="E1830" s="32">
        <v>19</v>
      </c>
      <c r="F1830" s="32">
        <v>1</v>
      </c>
      <c r="G1830" s="32" t="s">
        <v>44</v>
      </c>
      <c r="H1830" s="32" t="s">
        <v>1899</v>
      </c>
      <c r="I1830" s="32" t="s">
        <v>54</v>
      </c>
      <c r="J1830" s="32" t="s">
        <v>111</v>
      </c>
      <c r="M1830" s="32" t="s">
        <v>112</v>
      </c>
      <c r="N1830" s="32" t="s">
        <v>109</v>
      </c>
    </row>
    <row r="1831" spans="1:14" s="32" customFormat="1" hidden="1" x14ac:dyDescent="0.3">
      <c r="A1831" s="38">
        <v>46206.712326388886</v>
      </c>
      <c r="B1831" s="32" t="s">
        <v>109</v>
      </c>
      <c r="C1831" s="32">
        <v>88999237888</v>
      </c>
      <c r="E1831" s="32">
        <v>7</v>
      </c>
      <c r="F1831" s="32">
        <v>0</v>
      </c>
      <c r="G1831" s="32" t="s">
        <v>63</v>
      </c>
      <c r="H1831" s="32" t="s">
        <v>1900</v>
      </c>
      <c r="I1831" s="32" t="s">
        <v>54</v>
      </c>
      <c r="J1831" s="32" t="s">
        <v>111</v>
      </c>
      <c r="M1831" s="32" t="s">
        <v>112</v>
      </c>
      <c r="N1831" s="32" t="s">
        <v>109</v>
      </c>
    </row>
    <row r="1832" spans="1:14" s="32" customFormat="1" hidden="1" x14ac:dyDescent="0.3">
      <c r="A1832" s="38">
        <v>46206.7106712963</v>
      </c>
      <c r="B1832" s="32" t="s">
        <v>109</v>
      </c>
      <c r="C1832" s="32">
        <v>4132866525</v>
      </c>
      <c r="E1832" s="32">
        <v>2</v>
      </c>
      <c r="F1832" s="32">
        <v>0</v>
      </c>
      <c r="G1832" s="32" t="s">
        <v>63</v>
      </c>
      <c r="H1832" s="32" t="s">
        <v>1901</v>
      </c>
      <c r="I1832" s="32" t="s">
        <v>54</v>
      </c>
      <c r="J1832" s="32" t="s">
        <v>111</v>
      </c>
      <c r="M1832" s="32" t="s">
        <v>112</v>
      </c>
      <c r="N1832" s="32" t="s">
        <v>109</v>
      </c>
    </row>
    <row r="1833" spans="1:14" s="32" customFormat="1" hidden="1" x14ac:dyDescent="0.3">
      <c r="A1833" s="38">
        <v>46206.7106712963</v>
      </c>
      <c r="B1833" s="32">
        <v>45999334612</v>
      </c>
      <c r="C1833" s="32" t="s">
        <v>1352</v>
      </c>
      <c r="D1833" s="32">
        <v>4430265054</v>
      </c>
      <c r="E1833" s="32">
        <v>1654</v>
      </c>
      <c r="F1833" s="32">
        <v>1528</v>
      </c>
      <c r="G1833" s="32" t="s">
        <v>44</v>
      </c>
      <c r="H1833" s="32" t="s">
        <v>1902</v>
      </c>
      <c r="I1833" s="32" t="s">
        <v>40</v>
      </c>
      <c r="J1833" s="32" t="s">
        <v>46</v>
      </c>
      <c r="K1833" s="32" t="s">
        <v>42</v>
      </c>
      <c r="L1833" s="32">
        <v>5</v>
      </c>
      <c r="M1833" s="32" t="s">
        <v>1354</v>
      </c>
      <c r="N1833" s="32" t="s">
        <v>1352</v>
      </c>
    </row>
    <row r="1834" spans="1:14" s="32" customFormat="1" hidden="1" x14ac:dyDescent="0.3">
      <c r="A1834" s="38">
        <v>46206.709930555553</v>
      </c>
      <c r="B1834" s="32" t="s">
        <v>109</v>
      </c>
      <c r="C1834" s="32">
        <v>2125467676</v>
      </c>
      <c r="E1834" s="32">
        <v>9</v>
      </c>
      <c r="F1834" s="32">
        <v>0</v>
      </c>
      <c r="G1834" s="32" t="s">
        <v>63</v>
      </c>
      <c r="H1834" s="32" t="s">
        <v>1903</v>
      </c>
      <c r="I1834" s="32" t="s">
        <v>54</v>
      </c>
      <c r="J1834" s="32" t="s">
        <v>111</v>
      </c>
      <c r="M1834" s="32" t="s">
        <v>112</v>
      </c>
      <c r="N1834" s="32" t="s">
        <v>109</v>
      </c>
    </row>
    <row r="1835" spans="1:14" s="32" customFormat="1" hidden="1" x14ac:dyDescent="0.3">
      <c r="A1835" s="38">
        <v>46206.704039351855</v>
      </c>
      <c r="B1835" s="32">
        <v>44997650834</v>
      </c>
      <c r="C1835" s="32" t="s">
        <v>1038</v>
      </c>
      <c r="D1835" s="32">
        <v>4430265054</v>
      </c>
      <c r="E1835" s="32">
        <v>346</v>
      </c>
      <c r="F1835" s="32">
        <v>243</v>
      </c>
      <c r="G1835" s="32" t="s">
        <v>44</v>
      </c>
      <c r="H1835" s="32" t="s">
        <v>1904</v>
      </c>
      <c r="I1835" s="32" t="s">
        <v>40</v>
      </c>
      <c r="J1835" s="32" t="s">
        <v>46</v>
      </c>
      <c r="K1835" s="32" t="s">
        <v>42</v>
      </c>
      <c r="L1835" s="32">
        <v>5</v>
      </c>
      <c r="M1835" s="32" t="s">
        <v>1040</v>
      </c>
      <c r="N1835" s="32" t="s">
        <v>1038</v>
      </c>
    </row>
    <row r="1836" spans="1:14" s="32" customFormat="1" hidden="1" x14ac:dyDescent="0.3">
      <c r="A1836" s="38">
        <v>46206.7030787037</v>
      </c>
      <c r="B1836" s="32" t="s">
        <v>43</v>
      </c>
      <c r="C1836" s="32">
        <v>41992021794</v>
      </c>
      <c r="E1836" s="32">
        <v>1053</v>
      </c>
      <c r="F1836" s="32">
        <v>1034</v>
      </c>
      <c r="G1836" s="32" t="s">
        <v>44</v>
      </c>
      <c r="H1836" s="32" t="s">
        <v>1905</v>
      </c>
      <c r="I1836" s="32" t="s">
        <v>54</v>
      </c>
      <c r="J1836" s="32" t="s">
        <v>46</v>
      </c>
      <c r="L1836" s="32">
        <v>5</v>
      </c>
      <c r="M1836" s="32" t="s">
        <v>47</v>
      </c>
      <c r="N1836" s="32" t="s">
        <v>43</v>
      </c>
    </row>
    <row r="1837" spans="1:14" s="32" customFormat="1" hidden="1" x14ac:dyDescent="0.3">
      <c r="A1837" s="38">
        <v>46206.702534722222</v>
      </c>
      <c r="B1837" s="32" t="s">
        <v>43</v>
      </c>
      <c r="C1837" s="32">
        <v>41992021794</v>
      </c>
      <c r="E1837" s="32">
        <v>38</v>
      </c>
      <c r="F1837" s="32">
        <v>0</v>
      </c>
      <c r="G1837" s="32" t="s">
        <v>63</v>
      </c>
      <c r="H1837" s="32" t="s">
        <v>1906</v>
      </c>
      <c r="I1837" s="32" t="s">
        <v>54</v>
      </c>
      <c r="J1837" s="32" t="s">
        <v>46</v>
      </c>
      <c r="M1837" s="32" t="s">
        <v>47</v>
      </c>
      <c r="N1837" s="32" t="s">
        <v>43</v>
      </c>
    </row>
    <row r="1838" spans="1:14" s="32" customFormat="1" hidden="1" x14ac:dyDescent="0.3">
      <c r="A1838" s="38">
        <v>46206.701932870368</v>
      </c>
      <c r="B1838" s="32" t="s">
        <v>58</v>
      </c>
      <c r="C1838" s="32">
        <v>44998849102</v>
      </c>
      <c r="E1838" s="32">
        <v>415</v>
      </c>
      <c r="F1838" s="32">
        <v>407</v>
      </c>
      <c r="G1838" s="32" t="s">
        <v>44</v>
      </c>
      <c r="H1838" s="32" t="s">
        <v>1907</v>
      </c>
      <c r="I1838" s="32" t="s">
        <v>54</v>
      </c>
      <c r="J1838" s="32" t="s">
        <v>46</v>
      </c>
      <c r="M1838" s="32" t="s">
        <v>60</v>
      </c>
      <c r="N1838" s="32" t="s">
        <v>58</v>
      </c>
    </row>
    <row r="1839" spans="1:14" s="32" customFormat="1" hidden="1" x14ac:dyDescent="0.3">
      <c r="A1839" s="38">
        <v>46206.691701388889</v>
      </c>
      <c r="B1839" s="32" t="s">
        <v>43</v>
      </c>
      <c r="C1839" s="32">
        <v>4130760170</v>
      </c>
      <c r="E1839" s="32">
        <v>25</v>
      </c>
      <c r="F1839" s="32">
        <v>0</v>
      </c>
      <c r="G1839" s="32" t="s">
        <v>63</v>
      </c>
      <c r="H1839" s="32" t="s">
        <v>1908</v>
      </c>
      <c r="I1839" s="32" t="s">
        <v>54</v>
      </c>
      <c r="J1839" s="32" t="s">
        <v>46</v>
      </c>
      <c r="M1839" s="32" t="s">
        <v>47</v>
      </c>
      <c r="N1839" s="32" t="s">
        <v>43</v>
      </c>
    </row>
    <row r="1840" spans="1:14" s="32" customFormat="1" hidden="1" x14ac:dyDescent="0.3">
      <c r="A1840" s="38">
        <v>46206.691284722219</v>
      </c>
      <c r="B1840" s="32" t="s">
        <v>43</v>
      </c>
      <c r="C1840" s="32">
        <v>4130760170</v>
      </c>
      <c r="E1840" s="32">
        <v>33</v>
      </c>
      <c r="F1840" s="32">
        <v>0</v>
      </c>
      <c r="G1840" s="32" t="s">
        <v>63</v>
      </c>
      <c r="H1840" s="32" t="s">
        <v>1909</v>
      </c>
      <c r="I1840" s="32" t="s">
        <v>54</v>
      </c>
      <c r="J1840" s="32" t="s">
        <v>46</v>
      </c>
      <c r="M1840" s="32" t="s">
        <v>47</v>
      </c>
      <c r="N1840" s="32" t="s">
        <v>43</v>
      </c>
    </row>
    <row r="1841" spans="1:14" s="32" customFormat="1" hidden="1" x14ac:dyDescent="0.3">
      <c r="A1841" s="38">
        <v>46206.68277777778</v>
      </c>
      <c r="B1841" s="32" t="s">
        <v>1352</v>
      </c>
      <c r="C1841" s="32">
        <v>44991234625</v>
      </c>
      <c r="E1841" s="32">
        <v>35</v>
      </c>
      <c r="F1841" s="32">
        <v>32</v>
      </c>
      <c r="G1841" s="32" t="s">
        <v>44</v>
      </c>
      <c r="H1841" s="32" t="s">
        <v>1910</v>
      </c>
      <c r="I1841" s="32" t="s">
        <v>54</v>
      </c>
      <c r="J1841" s="32" t="s">
        <v>46</v>
      </c>
      <c r="M1841" s="32" t="s">
        <v>1354</v>
      </c>
      <c r="N1841" s="32" t="s">
        <v>1352</v>
      </c>
    </row>
    <row r="1842" spans="1:14" s="32" customFormat="1" hidden="1" x14ac:dyDescent="0.3">
      <c r="A1842" s="38">
        <v>46206.682384259257</v>
      </c>
      <c r="B1842" s="32" t="s">
        <v>1352</v>
      </c>
      <c r="C1842" s="32">
        <v>44991234625</v>
      </c>
      <c r="E1842" s="32">
        <v>29</v>
      </c>
      <c r="F1842" s="32">
        <v>20</v>
      </c>
      <c r="G1842" s="32" t="s">
        <v>44</v>
      </c>
      <c r="H1842" s="32" t="s">
        <v>1911</v>
      </c>
      <c r="I1842" s="32" t="s">
        <v>54</v>
      </c>
      <c r="J1842" s="32" t="s">
        <v>46</v>
      </c>
      <c r="M1842" s="32" t="s">
        <v>1354</v>
      </c>
      <c r="N1842" s="32" t="s">
        <v>1352</v>
      </c>
    </row>
    <row r="1843" spans="1:14" s="32" customFormat="1" hidden="1" x14ac:dyDescent="0.3">
      <c r="A1843" s="38">
        <v>46206.682337962964</v>
      </c>
      <c r="B1843" s="32" t="s">
        <v>1352</v>
      </c>
      <c r="C1843" s="32">
        <v>44991234625</v>
      </c>
      <c r="E1843" s="32">
        <v>4</v>
      </c>
      <c r="F1843" s="32">
        <v>0</v>
      </c>
      <c r="G1843" s="32" t="s">
        <v>63</v>
      </c>
      <c r="H1843" s="32" t="s">
        <v>1912</v>
      </c>
      <c r="I1843" s="32" t="s">
        <v>54</v>
      </c>
      <c r="J1843" s="32" t="s">
        <v>46</v>
      </c>
      <c r="M1843" s="32" t="s">
        <v>1354</v>
      </c>
      <c r="N1843" s="32" t="s">
        <v>1352</v>
      </c>
    </row>
    <row r="1844" spans="1:14" s="32" customFormat="1" hidden="1" x14ac:dyDescent="0.3">
      <c r="A1844" s="38">
        <v>46206.682071759256</v>
      </c>
      <c r="B1844" s="32" t="s">
        <v>1352</v>
      </c>
      <c r="C1844" s="32">
        <v>4430141533</v>
      </c>
      <c r="E1844" s="32">
        <v>25</v>
      </c>
      <c r="F1844" s="32">
        <v>13</v>
      </c>
      <c r="G1844" s="32" t="s">
        <v>44</v>
      </c>
      <c r="H1844" s="32" t="s">
        <v>1913</v>
      </c>
      <c r="I1844" s="32" t="s">
        <v>54</v>
      </c>
      <c r="J1844" s="32" t="s">
        <v>46</v>
      </c>
      <c r="M1844" s="32" t="s">
        <v>1354</v>
      </c>
      <c r="N1844" s="32" t="s">
        <v>1352</v>
      </c>
    </row>
    <row r="1845" spans="1:14" s="32" customFormat="1" hidden="1" x14ac:dyDescent="0.3">
      <c r="A1845" s="38">
        <v>46206.681967592594</v>
      </c>
      <c r="B1845" s="32" t="s">
        <v>1352</v>
      </c>
      <c r="C1845" s="32">
        <v>4430141533</v>
      </c>
      <c r="E1845" s="32">
        <v>14</v>
      </c>
      <c r="F1845" s="32">
        <v>14</v>
      </c>
      <c r="G1845" s="32" t="s">
        <v>44</v>
      </c>
      <c r="H1845" s="32" t="s">
        <v>1914</v>
      </c>
      <c r="I1845" s="32" t="s">
        <v>54</v>
      </c>
      <c r="J1845" s="32" t="s">
        <v>46</v>
      </c>
      <c r="M1845" s="32" t="s">
        <v>1354</v>
      </c>
      <c r="N1845" s="32" t="s">
        <v>1352</v>
      </c>
    </row>
    <row r="1846" spans="1:14" s="32" customFormat="1" hidden="1" x14ac:dyDescent="0.3">
      <c r="A1846" s="38">
        <v>46206.6796875</v>
      </c>
      <c r="B1846" s="32">
        <v>44998761561</v>
      </c>
      <c r="C1846" s="32" t="s">
        <v>1038</v>
      </c>
      <c r="D1846" s="32">
        <v>4430265054</v>
      </c>
      <c r="E1846" s="32">
        <v>1659</v>
      </c>
      <c r="F1846" s="32">
        <v>1598</v>
      </c>
      <c r="G1846" s="32" t="s">
        <v>44</v>
      </c>
      <c r="H1846" s="32" t="s">
        <v>1915</v>
      </c>
      <c r="I1846" s="32" t="s">
        <v>40</v>
      </c>
      <c r="J1846" s="32" t="s">
        <v>46</v>
      </c>
      <c r="K1846" s="32" t="s">
        <v>42</v>
      </c>
      <c r="M1846" s="32" t="s">
        <v>1040</v>
      </c>
      <c r="N1846" s="32" t="s">
        <v>1038</v>
      </c>
    </row>
    <row r="1847" spans="1:14" s="32" customFormat="1" hidden="1" x14ac:dyDescent="0.3">
      <c r="A1847" s="38">
        <v>46206.67224537037</v>
      </c>
      <c r="B1847" s="32" t="s">
        <v>43</v>
      </c>
      <c r="C1847" s="32">
        <v>41992021794</v>
      </c>
      <c r="E1847" s="32">
        <v>1077</v>
      </c>
      <c r="F1847" s="32">
        <v>1061</v>
      </c>
      <c r="G1847" s="32" t="s">
        <v>44</v>
      </c>
      <c r="H1847" s="32" t="s">
        <v>1916</v>
      </c>
      <c r="I1847" s="32" t="s">
        <v>54</v>
      </c>
      <c r="J1847" s="32" t="s">
        <v>46</v>
      </c>
      <c r="M1847" s="32" t="s">
        <v>47</v>
      </c>
      <c r="N1847" s="32" t="s">
        <v>43</v>
      </c>
    </row>
    <row r="1848" spans="1:14" s="32" customFormat="1" hidden="1" x14ac:dyDescent="0.3">
      <c r="A1848" s="38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38</v>
      </c>
      <c r="H1848" s="32" t="s">
        <v>1917</v>
      </c>
      <c r="I1848" s="32" t="s">
        <v>40</v>
      </c>
      <c r="J1848" s="32" t="s">
        <v>41</v>
      </c>
      <c r="K1848" s="32" t="s">
        <v>42</v>
      </c>
    </row>
    <row r="1849" spans="1:14" s="32" customFormat="1" hidden="1" x14ac:dyDescent="0.3">
      <c r="A1849" s="38">
        <v>46206.67150462963</v>
      </c>
      <c r="B1849" s="32" t="s">
        <v>43</v>
      </c>
      <c r="C1849" s="32">
        <v>41992021794</v>
      </c>
      <c r="E1849" s="32">
        <v>4</v>
      </c>
      <c r="F1849" s="32">
        <v>0</v>
      </c>
      <c r="G1849" s="32" t="s">
        <v>63</v>
      </c>
      <c r="H1849" s="32" t="s">
        <v>1918</v>
      </c>
      <c r="I1849" s="32" t="s">
        <v>54</v>
      </c>
      <c r="J1849" s="32" t="s">
        <v>46</v>
      </c>
      <c r="M1849" s="32" t="s">
        <v>47</v>
      </c>
      <c r="N1849" s="32" t="s">
        <v>43</v>
      </c>
    </row>
    <row r="1850" spans="1:14" s="32" customFormat="1" hidden="1" x14ac:dyDescent="0.3">
      <c r="A1850" s="38">
        <v>46206.671365740738</v>
      </c>
      <c r="B1850" s="32" t="s">
        <v>43</v>
      </c>
      <c r="C1850" s="32">
        <v>41992021794</v>
      </c>
      <c r="E1850" s="32">
        <v>9</v>
      </c>
      <c r="F1850" s="32">
        <v>0</v>
      </c>
      <c r="G1850" s="32" t="s">
        <v>63</v>
      </c>
      <c r="H1850" s="32" t="s">
        <v>1919</v>
      </c>
      <c r="I1850" s="32" t="s">
        <v>54</v>
      </c>
      <c r="J1850" s="32" t="s">
        <v>46</v>
      </c>
      <c r="M1850" s="32" t="s">
        <v>47</v>
      </c>
      <c r="N1850" s="32" t="s">
        <v>43</v>
      </c>
    </row>
    <row r="1851" spans="1:14" s="32" customFormat="1" hidden="1" x14ac:dyDescent="0.3">
      <c r="A1851" s="38">
        <v>46206.67087962963</v>
      </c>
      <c r="B1851" s="32" t="s">
        <v>43</v>
      </c>
      <c r="C1851" s="32">
        <v>41992021794</v>
      </c>
      <c r="E1851" s="32">
        <v>37</v>
      </c>
      <c r="F1851" s="32">
        <v>0</v>
      </c>
      <c r="G1851" s="32" t="s">
        <v>63</v>
      </c>
      <c r="H1851" s="32" t="s">
        <v>1920</v>
      </c>
      <c r="I1851" s="32" t="s">
        <v>54</v>
      </c>
      <c r="J1851" s="32" t="s">
        <v>46</v>
      </c>
      <c r="M1851" s="32" t="s">
        <v>47</v>
      </c>
      <c r="N1851" s="32" t="s">
        <v>43</v>
      </c>
    </row>
    <row r="1852" spans="1:14" s="32" customFormat="1" hidden="1" x14ac:dyDescent="0.3">
      <c r="A1852" s="38">
        <v>46206.670648148145</v>
      </c>
      <c r="B1852" s="32">
        <v>4532541802</v>
      </c>
      <c r="C1852" s="32" t="s">
        <v>1352</v>
      </c>
      <c r="D1852" s="32">
        <v>4430265054</v>
      </c>
      <c r="E1852" s="32">
        <v>530</v>
      </c>
      <c r="F1852" s="32">
        <v>454</v>
      </c>
      <c r="G1852" s="32" t="s">
        <v>44</v>
      </c>
      <c r="H1852" s="32" t="s">
        <v>1921</v>
      </c>
      <c r="I1852" s="32" t="s">
        <v>40</v>
      </c>
      <c r="J1852" s="32" t="s">
        <v>46</v>
      </c>
      <c r="K1852" s="32" t="s">
        <v>42</v>
      </c>
      <c r="M1852" s="32" t="s">
        <v>1354</v>
      </c>
      <c r="N1852" s="32" t="s">
        <v>1352</v>
      </c>
    </row>
    <row r="1853" spans="1:14" s="32" customFormat="1" hidden="1" x14ac:dyDescent="0.3">
      <c r="A1853" s="38">
        <v>46206.668368055558</v>
      </c>
      <c r="B1853" s="32">
        <v>43999555292</v>
      </c>
      <c r="C1853" s="32" t="s">
        <v>1352</v>
      </c>
      <c r="D1853" s="32">
        <v>4430265054</v>
      </c>
      <c r="E1853" s="32">
        <v>201</v>
      </c>
      <c r="F1853" s="32">
        <v>124</v>
      </c>
      <c r="G1853" s="32" t="s">
        <v>44</v>
      </c>
      <c r="H1853" s="32" t="s">
        <v>1922</v>
      </c>
      <c r="I1853" s="32" t="s">
        <v>40</v>
      </c>
      <c r="J1853" s="32" t="s">
        <v>46</v>
      </c>
      <c r="K1853" s="32" t="s">
        <v>42</v>
      </c>
      <c r="L1853" s="32">
        <v>4</v>
      </c>
      <c r="M1853" s="32" t="s">
        <v>1354</v>
      </c>
      <c r="N1853" s="32" t="s">
        <v>1352</v>
      </c>
    </row>
    <row r="1854" spans="1:14" s="32" customFormat="1" hidden="1" x14ac:dyDescent="0.3">
      <c r="A1854" s="38">
        <v>46206.667557870373</v>
      </c>
      <c r="B1854" s="32" t="s">
        <v>43</v>
      </c>
      <c r="C1854" s="32">
        <v>41991950244</v>
      </c>
      <c r="E1854" s="32">
        <v>10</v>
      </c>
      <c r="F1854" s="32">
        <v>0</v>
      </c>
      <c r="G1854" s="32" t="s">
        <v>63</v>
      </c>
      <c r="H1854" s="32" t="s">
        <v>1923</v>
      </c>
      <c r="I1854" s="32" t="s">
        <v>54</v>
      </c>
      <c r="J1854" s="32" t="s">
        <v>46</v>
      </c>
      <c r="M1854" s="32" t="s">
        <v>47</v>
      </c>
      <c r="N1854" s="32" t="s">
        <v>43</v>
      </c>
    </row>
    <row r="1855" spans="1:14" s="32" customFormat="1" hidden="1" x14ac:dyDescent="0.3">
      <c r="A1855" s="38">
        <v>46206.667245370372</v>
      </c>
      <c r="B1855" s="32" t="s">
        <v>43</v>
      </c>
      <c r="C1855" s="32">
        <v>41991950244</v>
      </c>
      <c r="E1855" s="32">
        <v>12</v>
      </c>
      <c r="F1855" s="32">
        <v>0</v>
      </c>
      <c r="G1855" s="32" t="s">
        <v>63</v>
      </c>
      <c r="H1855" s="32" t="s">
        <v>1924</v>
      </c>
      <c r="I1855" s="32" t="s">
        <v>54</v>
      </c>
      <c r="J1855" s="32" t="s">
        <v>46</v>
      </c>
      <c r="M1855" s="32" t="s">
        <v>47</v>
      </c>
      <c r="N1855" s="32" t="s">
        <v>43</v>
      </c>
    </row>
    <row r="1856" spans="1:14" s="32" customFormat="1" hidden="1" x14ac:dyDescent="0.3">
      <c r="A1856" s="38">
        <v>46206.66097222222</v>
      </c>
      <c r="B1856" s="32">
        <v>4436351835</v>
      </c>
      <c r="C1856" s="32" t="s">
        <v>1038</v>
      </c>
      <c r="D1856" s="32">
        <v>4430265054</v>
      </c>
      <c r="E1856" s="32">
        <v>978</v>
      </c>
      <c r="F1856" s="32">
        <v>917</v>
      </c>
      <c r="G1856" s="32" t="s">
        <v>44</v>
      </c>
      <c r="H1856" s="32" t="s">
        <v>1925</v>
      </c>
      <c r="I1856" s="32" t="s">
        <v>40</v>
      </c>
      <c r="J1856" s="32" t="s">
        <v>46</v>
      </c>
      <c r="K1856" s="32" t="s">
        <v>42</v>
      </c>
      <c r="L1856" s="32">
        <v>5</v>
      </c>
      <c r="M1856" s="32" t="s">
        <v>1040</v>
      </c>
      <c r="N1856" s="32" t="s">
        <v>1038</v>
      </c>
    </row>
    <row r="1857" spans="1:14" s="32" customFormat="1" hidden="1" x14ac:dyDescent="0.3">
      <c r="A1857" s="38">
        <v>46206.6562962963</v>
      </c>
      <c r="B1857" s="32">
        <v>45999334612</v>
      </c>
      <c r="C1857" s="32" t="s">
        <v>1038</v>
      </c>
      <c r="D1857" s="32">
        <v>4430265054</v>
      </c>
      <c r="E1857" s="32">
        <v>269</v>
      </c>
      <c r="F1857" s="32">
        <v>249</v>
      </c>
      <c r="G1857" s="32" t="s">
        <v>44</v>
      </c>
      <c r="H1857" s="32" t="s">
        <v>1926</v>
      </c>
      <c r="I1857" s="32" t="s">
        <v>40</v>
      </c>
      <c r="J1857" s="32" t="s">
        <v>46</v>
      </c>
      <c r="K1857" s="32" t="s">
        <v>42</v>
      </c>
      <c r="L1857" s="32">
        <v>5</v>
      </c>
      <c r="M1857" s="32" t="s">
        <v>1040</v>
      </c>
      <c r="N1857" s="32" t="s">
        <v>1038</v>
      </c>
    </row>
    <row r="1858" spans="1:14" s="32" customFormat="1" hidden="1" x14ac:dyDescent="0.3">
      <c r="A1858" s="38">
        <v>46206.655231481483</v>
      </c>
      <c r="B1858" s="32">
        <v>1131043888</v>
      </c>
      <c r="C1858" s="32" t="s">
        <v>43</v>
      </c>
      <c r="D1858" s="32">
        <v>4430265054</v>
      </c>
      <c r="E1858" s="32">
        <v>402</v>
      </c>
      <c r="F1858" s="32">
        <v>316</v>
      </c>
      <c r="G1858" s="32" t="s">
        <v>44</v>
      </c>
      <c r="H1858" s="32" t="s">
        <v>1927</v>
      </c>
      <c r="I1858" s="32" t="s">
        <v>40</v>
      </c>
      <c r="J1858" s="32" t="s">
        <v>46</v>
      </c>
      <c r="K1858" s="32" t="s">
        <v>42</v>
      </c>
      <c r="M1858" s="32" t="s">
        <v>47</v>
      </c>
      <c r="N1858" s="32" t="s">
        <v>43</v>
      </c>
    </row>
    <row r="1859" spans="1:14" s="32" customFormat="1" hidden="1" x14ac:dyDescent="0.3">
      <c r="A1859" s="38">
        <v>46206.638182870367</v>
      </c>
      <c r="B1859" s="32" t="s">
        <v>43</v>
      </c>
      <c r="C1859" s="32">
        <v>4430459032</v>
      </c>
      <c r="E1859" s="32">
        <v>4</v>
      </c>
      <c r="F1859" s="32">
        <v>0</v>
      </c>
      <c r="G1859" s="32" t="s">
        <v>63</v>
      </c>
      <c r="H1859" s="32" t="s">
        <v>1928</v>
      </c>
      <c r="I1859" s="32" t="s">
        <v>54</v>
      </c>
      <c r="J1859" s="32" t="s">
        <v>46</v>
      </c>
      <c r="M1859" s="32" t="s">
        <v>47</v>
      </c>
      <c r="N1859" s="32" t="s">
        <v>43</v>
      </c>
    </row>
    <row r="1860" spans="1:14" s="32" customFormat="1" hidden="1" x14ac:dyDescent="0.3">
      <c r="A1860" s="38">
        <v>46206.638032407405</v>
      </c>
      <c r="B1860" s="32" t="s">
        <v>43</v>
      </c>
      <c r="C1860" s="32">
        <v>4430459032</v>
      </c>
      <c r="E1860" s="32">
        <v>3</v>
      </c>
      <c r="F1860" s="32">
        <v>0</v>
      </c>
      <c r="G1860" s="32" t="s">
        <v>63</v>
      </c>
      <c r="H1860" s="32" t="s">
        <v>1929</v>
      </c>
      <c r="I1860" s="32" t="s">
        <v>54</v>
      </c>
      <c r="J1860" s="32" t="s">
        <v>46</v>
      </c>
      <c r="M1860" s="32" t="s">
        <v>47</v>
      </c>
      <c r="N1860" s="32" t="s">
        <v>43</v>
      </c>
    </row>
    <row r="1861" spans="1:14" s="32" customFormat="1" hidden="1" x14ac:dyDescent="0.3">
      <c r="A1861" s="38">
        <v>46206.637962962966</v>
      </c>
      <c r="B1861" s="32" t="s">
        <v>43</v>
      </c>
      <c r="C1861" s="32">
        <v>4430459032</v>
      </c>
      <c r="E1861" s="32">
        <v>14</v>
      </c>
      <c r="F1861" s="32">
        <v>14</v>
      </c>
      <c r="G1861" s="32" t="s">
        <v>44</v>
      </c>
      <c r="H1861" s="32" t="s">
        <v>1930</v>
      </c>
      <c r="I1861" s="32" t="s">
        <v>54</v>
      </c>
      <c r="J1861" s="32" t="s">
        <v>46</v>
      </c>
      <c r="M1861" s="32" t="s">
        <v>47</v>
      </c>
      <c r="N1861" s="32" t="s">
        <v>43</v>
      </c>
    </row>
    <row r="1862" spans="1:14" s="32" customFormat="1" hidden="1" x14ac:dyDescent="0.3">
      <c r="A1862" s="38">
        <v>46206.63789351852</v>
      </c>
      <c r="B1862" s="32" t="s">
        <v>43</v>
      </c>
      <c r="C1862" s="32">
        <v>4430459032</v>
      </c>
      <c r="E1862" s="32">
        <v>4</v>
      </c>
      <c r="F1862" s="32">
        <v>0</v>
      </c>
      <c r="G1862" s="32" t="s">
        <v>63</v>
      </c>
      <c r="H1862" s="32" t="s">
        <v>1931</v>
      </c>
      <c r="I1862" s="32" t="s">
        <v>54</v>
      </c>
      <c r="J1862" s="32" t="s">
        <v>46</v>
      </c>
      <c r="M1862" s="32" t="s">
        <v>47</v>
      </c>
      <c r="N1862" s="32" t="s">
        <v>43</v>
      </c>
    </row>
    <row r="1863" spans="1:14" s="32" customFormat="1" hidden="1" x14ac:dyDescent="0.3">
      <c r="A1863" s="38">
        <v>46206.631874999999</v>
      </c>
      <c r="B1863" s="32">
        <v>44998849102</v>
      </c>
      <c r="C1863" s="32" t="s">
        <v>1352</v>
      </c>
      <c r="D1863" s="32">
        <v>4430265054</v>
      </c>
      <c r="E1863" s="32">
        <v>899</v>
      </c>
      <c r="F1863" s="32">
        <v>764</v>
      </c>
      <c r="G1863" s="32" t="s">
        <v>44</v>
      </c>
      <c r="H1863" s="32" t="s">
        <v>1932</v>
      </c>
      <c r="I1863" s="32" t="s">
        <v>40</v>
      </c>
      <c r="J1863" s="32" t="s">
        <v>46</v>
      </c>
      <c r="K1863" s="32" t="s">
        <v>42</v>
      </c>
      <c r="M1863" s="32" t="s">
        <v>1354</v>
      </c>
      <c r="N1863" s="32" t="s">
        <v>1352</v>
      </c>
    </row>
    <row r="1864" spans="1:14" s="32" customFormat="1" hidden="1" x14ac:dyDescent="0.3">
      <c r="A1864" s="38">
        <v>46206.630844907406</v>
      </c>
      <c r="B1864" s="32">
        <v>73982188717</v>
      </c>
      <c r="C1864" s="32" t="s">
        <v>1038</v>
      </c>
      <c r="D1864" s="32">
        <v>4430265054</v>
      </c>
      <c r="E1864" s="32">
        <v>426</v>
      </c>
      <c r="F1864" s="32">
        <v>285</v>
      </c>
      <c r="G1864" s="32" t="s">
        <v>44</v>
      </c>
      <c r="H1864" s="32" t="s">
        <v>1933</v>
      </c>
      <c r="I1864" s="32" t="s">
        <v>40</v>
      </c>
      <c r="J1864" s="32" t="s">
        <v>46</v>
      </c>
      <c r="K1864" s="32" t="s">
        <v>42</v>
      </c>
      <c r="M1864" s="32" t="s">
        <v>1040</v>
      </c>
      <c r="N1864" s="32" t="s">
        <v>1038</v>
      </c>
    </row>
    <row r="1865" spans="1:14" s="32" customFormat="1" hidden="1" x14ac:dyDescent="0.3">
      <c r="A1865" s="38">
        <v>46206.622789351852</v>
      </c>
      <c r="B1865" s="32">
        <v>44999493534</v>
      </c>
      <c r="C1865" s="32" t="s">
        <v>58</v>
      </c>
      <c r="D1865" s="32">
        <v>4430265054</v>
      </c>
      <c r="E1865" s="32">
        <v>339</v>
      </c>
      <c r="F1865" s="32">
        <v>338</v>
      </c>
      <c r="G1865" s="32" t="s">
        <v>44</v>
      </c>
      <c r="H1865" s="32" t="s">
        <v>1934</v>
      </c>
      <c r="I1865" s="32" t="s">
        <v>40</v>
      </c>
      <c r="J1865" s="32" t="s">
        <v>46</v>
      </c>
      <c r="K1865" s="32" t="s">
        <v>42</v>
      </c>
      <c r="M1865" s="32" t="s">
        <v>60</v>
      </c>
      <c r="N1865" s="32" t="s">
        <v>58</v>
      </c>
    </row>
    <row r="1866" spans="1:14" s="32" customFormat="1" hidden="1" x14ac:dyDescent="0.3">
      <c r="A1866" s="38">
        <v>46206.622361111113</v>
      </c>
      <c r="B1866" s="32">
        <v>4130760170</v>
      </c>
      <c r="C1866" s="32" t="s">
        <v>43</v>
      </c>
      <c r="D1866" s="32">
        <v>4430265054</v>
      </c>
      <c r="E1866" s="32">
        <v>1025</v>
      </c>
      <c r="F1866" s="32">
        <v>925</v>
      </c>
      <c r="G1866" s="32" t="s">
        <v>44</v>
      </c>
      <c r="H1866" s="32" t="s">
        <v>1935</v>
      </c>
      <c r="I1866" s="32" t="s">
        <v>40</v>
      </c>
      <c r="J1866" s="32" t="s">
        <v>46</v>
      </c>
      <c r="K1866" s="32" t="s">
        <v>42</v>
      </c>
      <c r="M1866" s="32" t="s">
        <v>47</v>
      </c>
      <c r="N1866" s="32" t="s">
        <v>43</v>
      </c>
    </row>
    <row r="1867" spans="1:14" s="32" customFormat="1" hidden="1" x14ac:dyDescent="0.3">
      <c r="A1867" s="38">
        <v>46206.621122685188</v>
      </c>
      <c r="B1867" s="32">
        <v>44991783719</v>
      </c>
      <c r="C1867" s="32" t="s">
        <v>1352</v>
      </c>
      <c r="D1867" s="32">
        <v>4430265054</v>
      </c>
      <c r="E1867" s="32">
        <v>689</v>
      </c>
      <c r="F1867" s="32">
        <v>631</v>
      </c>
      <c r="G1867" s="32" t="s">
        <v>44</v>
      </c>
      <c r="H1867" s="32" t="s">
        <v>1936</v>
      </c>
      <c r="I1867" s="32" t="s">
        <v>40</v>
      </c>
      <c r="J1867" s="32" t="s">
        <v>46</v>
      </c>
      <c r="K1867" s="32" t="s">
        <v>42</v>
      </c>
      <c r="L1867" s="32">
        <v>5</v>
      </c>
      <c r="M1867" s="32" t="s">
        <v>1354</v>
      </c>
      <c r="N1867" s="32" t="s">
        <v>1352</v>
      </c>
    </row>
    <row r="1868" spans="1:14" s="32" customFormat="1" hidden="1" x14ac:dyDescent="0.3">
      <c r="A1868" s="38">
        <v>46206.611250000002</v>
      </c>
      <c r="B1868" s="32">
        <v>44997650834</v>
      </c>
      <c r="C1868" s="32" t="s">
        <v>1038</v>
      </c>
      <c r="D1868" s="32">
        <v>4430265054</v>
      </c>
      <c r="E1868" s="32">
        <v>1029</v>
      </c>
      <c r="F1868" s="32">
        <v>899</v>
      </c>
      <c r="G1868" s="32" t="s">
        <v>44</v>
      </c>
      <c r="H1868" s="32" t="s">
        <v>1937</v>
      </c>
      <c r="I1868" s="32" t="s">
        <v>40</v>
      </c>
      <c r="J1868" s="32" t="s">
        <v>46</v>
      </c>
      <c r="K1868" s="32" t="s">
        <v>42</v>
      </c>
      <c r="L1868" s="32">
        <v>5</v>
      </c>
      <c r="M1868" s="32" t="s">
        <v>1040</v>
      </c>
      <c r="N1868" s="32" t="s">
        <v>1038</v>
      </c>
    </row>
    <row r="1869" spans="1:14" s="32" customFormat="1" hidden="1" x14ac:dyDescent="0.3">
      <c r="A1869" s="38">
        <v>46206.600243055553</v>
      </c>
      <c r="B1869" s="32">
        <v>44997456641</v>
      </c>
      <c r="C1869" s="32" t="s">
        <v>1038</v>
      </c>
      <c r="D1869" s="32">
        <v>4430265054</v>
      </c>
      <c r="E1869" s="32">
        <v>589</v>
      </c>
      <c r="F1869" s="32">
        <v>561</v>
      </c>
      <c r="G1869" s="32" t="s">
        <v>44</v>
      </c>
      <c r="H1869" s="32" t="s">
        <v>1938</v>
      </c>
      <c r="I1869" s="32" t="s">
        <v>40</v>
      </c>
      <c r="J1869" s="32" t="s">
        <v>46</v>
      </c>
      <c r="K1869" s="32" t="s">
        <v>42</v>
      </c>
      <c r="M1869" s="32" t="s">
        <v>1040</v>
      </c>
      <c r="N1869" s="32" t="s">
        <v>1038</v>
      </c>
    </row>
    <row r="1870" spans="1:14" s="32" customFormat="1" hidden="1" x14ac:dyDescent="0.3">
      <c r="A1870" s="38">
        <v>46206.598645833335</v>
      </c>
      <c r="B1870" s="32" t="s">
        <v>43</v>
      </c>
      <c r="C1870" s="32">
        <v>14996002383</v>
      </c>
      <c r="E1870" s="32">
        <v>99</v>
      </c>
      <c r="F1870" s="32">
        <v>93</v>
      </c>
      <c r="G1870" s="32" t="s">
        <v>44</v>
      </c>
      <c r="H1870" s="32" t="s">
        <v>1939</v>
      </c>
      <c r="I1870" s="32" t="s">
        <v>54</v>
      </c>
      <c r="J1870" s="32" t="s">
        <v>46</v>
      </c>
      <c r="M1870" s="32" t="s">
        <v>47</v>
      </c>
      <c r="N1870" s="32" t="s">
        <v>43</v>
      </c>
    </row>
    <row r="1871" spans="1:14" s="32" customFormat="1" hidden="1" x14ac:dyDescent="0.3">
      <c r="A1871" s="38">
        <v>46206.596712962964</v>
      </c>
      <c r="B1871" s="32">
        <v>44988303530</v>
      </c>
      <c r="C1871" s="32" t="s">
        <v>58</v>
      </c>
      <c r="D1871" s="32">
        <v>4430265054</v>
      </c>
      <c r="E1871" s="32">
        <v>273</v>
      </c>
      <c r="F1871" s="32">
        <v>201</v>
      </c>
      <c r="G1871" s="32" t="s">
        <v>44</v>
      </c>
      <c r="H1871" s="32" t="s">
        <v>1940</v>
      </c>
      <c r="I1871" s="32" t="s">
        <v>40</v>
      </c>
      <c r="J1871" s="32" t="s">
        <v>46</v>
      </c>
      <c r="K1871" s="32" t="s">
        <v>42</v>
      </c>
      <c r="M1871" s="32" t="s">
        <v>60</v>
      </c>
      <c r="N1871" s="32" t="s">
        <v>58</v>
      </c>
    </row>
    <row r="1872" spans="1:14" s="32" customFormat="1" hidden="1" x14ac:dyDescent="0.3">
      <c r="A1872" s="38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38</v>
      </c>
      <c r="H1872" s="32" t="s">
        <v>1941</v>
      </c>
      <c r="I1872" s="32" t="s">
        <v>40</v>
      </c>
      <c r="J1872" s="32" t="s">
        <v>41</v>
      </c>
      <c r="K1872" s="32" t="s">
        <v>42</v>
      </c>
    </row>
    <row r="1873" spans="1:14" s="32" customFormat="1" hidden="1" x14ac:dyDescent="0.3">
      <c r="A1873" s="38">
        <v>46206.595266203702</v>
      </c>
      <c r="B1873" s="32">
        <v>1128787060</v>
      </c>
      <c r="C1873" s="32" t="s">
        <v>43</v>
      </c>
      <c r="D1873" s="32">
        <v>4430265054</v>
      </c>
      <c r="E1873" s="32">
        <v>266</v>
      </c>
      <c r="F1873" s="32">
        <v>161</v>
      </c>
      <c r="G1873" s="32" t="s">
        <v>44</v>
      </c>
      <c r="H1873" s="32" t="s">
        <v>1942</v>
      </c>
      <c r="I1873" s="32" t="s">
        <v>40</v>
      </c>
      <c r="J1873" s="32" t="s">
        <v>46</v>
      </c>
      <c r="K1873" s="32" t="s">
        <v>212</v>
      </c>
      <c r="M1873" s="32" t="s">
        <v>47</v>
      </c>
      <c r="N1873" s="32" t="s">
        <v>43</v>
      </c>
    </row>
    <row r="1874" spans="1:14" s="32" customFormat="1" hidden="1" x14ac:dyDescent="0.3">
      <c r="A1874" s="38">
        <v>46206.594340277778</v>
      </c>
      <c r="B1874" s="32">
        <v>4436351835</v>
      </c>
      <c r="C1874" s="32" t="s">
        <v>1352</v>
      </c>
      <c r="D1874" s="32">
        <v>4430265054</v>
      </c>
      <c r="E1874" s="32">
        <v>1163</v>
      </c>
      <c r="F1874" s="32">
        <v>1118</v>
      </c>
      <c r="G1874" s="32" t="s">
        <v>44</v>
      </c>
      <c r="H1874" s="32" t="s">
        <v>1943</v>
      </c>
      <c r="I1874" s="32" t="s">
        <v>40</v>
      </c>
      <c r="J1874" s="32" t="s">
        <v>46</v>
      </c>
      <c r="K1874" s="32" t="s">
        <v>42</v>
      </c>
      <c r="L1874" s="32">
        <v>5</v>
      </c>
      <c r="M1874" s="32" t="s">
        <v>1354</v>
      </c>
      <c r="N1874" s="32" t="s">
        <v>1352</v>
      </c>
    </row>
    <row r="1875" spans="1:14" s="32" customFormat="1" hidden="1" x14ac:dyDescent="0.3">
      <c r="A1875" s="38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38</v>
      </c>
      <c r="H1875" s="32" t="s">
        <v>1944</v>
      </c>
      <c r="I1875" s="32" t="s">
        <v>40</v>
      </c>
      <c r="J1875" s="32" t="s">
        <v>41</v>
      </c>
    </row>
    <row r="1876" spans="1:14" s="32" customFormat="1" hidden="1" x14ac:dyDescent="0.3">
      <c r="A1876" s="38">
        <v>46206.588252314818</v>
      </c>
      <c r="B1876" s="32">
        <v>4430255858</v>
      </c>
      <c r="C1876" s="32" t="s">
        <v>1038</v>
      </c>
      <c r="D1876" s="32">
        <v>4430265054</v>
      </c>
      <c r="E1876" s="32">
        <v>647</v>
      </c>
      <c r="F1876" s="32">
        <v>623</v>
      </c>
      <c r="G1876" s="32" t="s">
        <v>44</v>
      </c>
      <c r="H1876" s="32" t="s">
        <v>1945</v>
      </c>
      <c r="I1876" s="32" t="s">
        <v>40</v>
      </c>
      <c r="J1876" s="32" t="s">
        <v>46</v>
      </c>
      <c r="K1876" s="32" t="s">
        <v>42</v>
      </c>
      <c r="M1876" s="32" t="s">
        <v>1040</v>
      </c>
      <c r="N1876" s="32" t="s">
        <v>1038</v>
      </c>
    </row>
    <row r="1877" spans="1:14" s="32" customFormat="1" hidden="1" x14ac:dyDescent="0.3">
      <c r="A1877" s="38">
        <v>46206.588101851848</v>
      </c>
      <c r="B1877" s="32" t="s">
        <v>1038</v>
      </c>
      <c r="C1877" s="32">
        <v>4430255858</v>
      </c>
      <c r="E1877" s="32">
        <v>75</v>
      </c>
      <c r="F1877" s="32">
        <v>69</v>
      </c>
      <c r="G1877" s="32" t="s">
        <v>44</v>
      </c>
      <c r="H1877" s="32" t="s">
        <v>1946</v>
      </c>
      <c r="I1877" s="32" t="s">
        <v>54</v>
      </c>
      <c r="J1877" s="32" t="s">
        <v>46</v>
      </c>
      <c r="M1877" s="32" t="s">
        <v>1040</v>
      </c>
      <c r="N1877" s="32" t="s">
        <v>1038</v>
      </c>
    </row>
    <row r="1878" spans="1:14" s="32" customFormat="1" hidden="1" x14ac:dyDescent="0.3">
      <c r="A1878" s="38">
        <v>46206.585300925923</v>
      </c>
      <c r="B1878" s="32">
        <v>4430255858</v>
      </c>
      <c r="C1878" s="32" t="s">
        <v>1038</v>
      </c>
      <c r="D1878" s="32">
        <v>4430265054</v>
      </c>
      <c r="E1878" s="32">
        <v>205</v>
      </c>
      <c r="F1878" s="32">
        <v>185</v>
      </c>
      <c r="G1878" s="32" t="s">
        <v>44</v>
      </c>
      <c r="H1878" s="32" t="s">
        <v>1947</v>
      </c>
      <c r="I1878" s="32" t="s">
        <v>40</v>
      </c>
      <c r="J1878" s="32" t="s">
        <v>46</v>
      </c>
      <c r="K1878" s="32" t="s">
        <v>42</v>
      </c>
      <c r="M1878" s="32" t="s">
        <v>1040</v>
      </c>
      <c r="N1878" s="32" t="s">
        <v>1038</v>
      </c>
    </row>
    <row r="1879" spans="1:14" s="32" customFormat="1" hidden="1" x14ac:dyDescent="0.3">
      <c r="A1879" s="38">
        <v>46206.581030092595</v>
      </c>
      <c r="B1879" s="32">
        <v>44991234625</v>
      </c>
      <c r="C1879" s="32" t="s">
        <v>1352</v>
      </c>
      <c r="D1879" s="32">
        <v>4430265054</v>
      </c>
      <c r="E1879" s="32">
        <v>191</v>
      </c>
      <c r="F1879" s="32">
        <v>169</v>
      </c>
      <c r="G1879" s="32" t="s">
        <v>44</v>
      </c>
      <c r="H1879" s="32" t="s">
        <v>1948</v>
      </c>
      <c r="I1879" s="32" t="s">
        <v>40</v>
      </c>
      <c r="J1879" s="32" t="s">
        <v>46</v>
      </c>
      <c r="K1879" s="32" t="s">
        <v>42</v>
      </c>
      <c r="M1879" s="32" t="s">
        <v>1354</v>
      </c>
      <c r="N1879" s="32" t="s">
        <v>1352</v>
      </c>
    </row>
    <row r="1880" spans="1:14" s="32" customFormat="1" hidden="1" x14ac:dyDescent="0.3">
      <c r="A1880" s="38">
        <v>46206.578738425924</v>
      </c>
      <c r="B1880" s="32">
        <v>44999717086</v>
      </c>
      <c r="C1880" s="32" t="s">
        <v>43</v>
      </c>
      <c r="D1880" s="32">
        <v>4430265054</v>
      </c>
      <c r="E1880" s="32">
        <v>736</v>
      </c>
      <c r="F1880" s="32">
        <v>661</v>
      </c>
      <c r="G1880" s="32" t="s">
        <v>44</v>
      </c>
      <c r="H1880" s="32" t="s">
        <v>1949</v>
      </c>
      <c r="I1880" s="32" t="s">
        <v>40</v>
      </c>
      <c r="J1880" s="32" t="s">
        <v>46</v>
      </c>
      <c r="K1880" s="32" t="s">
        <v>42</v>
      </c>
      <c r="L1880" s="32">
        <v>5</v>
      </c>
      <c r="M1880" s="32" t="s">
        <v>47</v>
      </c>
      <c r="N1880" s="32" t="s">
        <v>43</v>
      </c>
    </row>
    <row r="1881" spans="1:14" s="32" customFormat="1" hidden="1" x14ac:dyDescent="0.3">
      <c r="A1881" s="38">
        <v>46206.565567129626</v>
      </c>
      <c r="B1881" s="32">
        <v>4432524636</v>
      </c>
      <c r="C1881" s="32" t="s">
        <v>58</v>
      </c>
      <c r="D1881" s="32">
        <v>4430265054</v>
      </c>
      <c r="E1881" s="32">
        <v>401</v>
      </c>
      <c r="F1881" s="32">
        <v>384</v>
      </c>
      <c r="G1881" s="32" t="s">
        <v>44</v>
      </c>
      <c r="H1881" s="32" t="s">
        <v>1950</v>
      </c>
      <c r="I1881" s="32" t="s">
        <v>40</v>
      </c>
      <c r="J1881" s="32" t="s">
        <v>46</v>
      </c>
      <c r="K1881" s="32" t="s">
        <v>42</v>
      </c>
      <c r="L1881" s="32">
        <v>5</v>
      </c>
      <c r="M1881" s="32" t="s">
        <v>60</v>
      </c>
      <c r="N1881" s="32" t="s">
        <v>58</v>
      </c>
    </row>
    <row r="1882" spans="1:14" s="32" customFormat="1" hidden="1" x14ac:dyDescent="0.3">
      <c r="A1882" s="38">
        <v>46206.565162037034</v>
      </c>
      <c r="B1882" s="32">
        <v>44997456641</v>
      </c>
      <c r="C1882" s="32" t="s">
        <v>43</v>
      </c>
      <c r="D1882" s="32">
        <v>4430265054</v>
      </c>
      <c r="E1882" s="32">
        <v>300</v>
      </c>
      <c r="F1882" s="32">
        <v>261</v>
      </c>
      <c r="G1882" s="32" t="s">
        <v>44</v>
      </c>
      <c r="H1882" s="32" t="s">
        <v>1951</v>
      </c>
      <c r="I1882" s="32" t="s">
        <v>40</v>
      </c>
      <c r="J1882" s="32" t="s">
        <v>46</v>
      </c>
      <c r="K1882" s="32" t="s">
        <v>42</v>
      </c>
      <c r="M1882" s="32" t="s">
        <v>47</v>
      </c>
      <c r="N1882" s="32" t="s">
        <v>43</v>
      </c>
    </row>
    <row r="1883" spans="1:14" s="32" customFormat="1" hidden="1" x14ac:dyDescent="0.3">
      <c r="A1883" s="38">
        <v>46206.563946759263</v>
      </c>
      <c r="B1883" s="32">
        <v>4430141533</v>
      </c>
      <c r="C1883" s="32" t="s">
        <v>1352</v>
      </c>
      <c r="D1883" s="32">
        <v>4430265054</v>
      </c>
      <c r="E1883" s="32">
        <v>734</v>
      </c>
      <c r="F1883" s="32">
        <v>671</v>
      </c>
      <c r="G1883" s="32" t="s">
        <v>44</v>
      </c>
      <c r="H1883" s="32" t="s">
        <v>1952</v>
      </c>
      <c r="I1883" s="32" t="s">
        <v>40</v>
      </c>
      <c r="J1883" s="32" t="s">
        <v>46</v>
      </c>
      <c r="K1883" s="32" t="s">
        <v>42</v>
      </c>
      <c r="M1883" s="32" t="s">
        <v>1354</v>
      </c>
      <c r="N1883" s="32" t="s">
        <v>1352</v>
      </c>
    </row>
    <row r="1884" spans="1:14" s="32" customFormat="1" hidden="1" x14ac:dyDescent="0.3">
      <c r="A1884" s="38">
        <v>46206.56386574074</v>
      </c>
      <c r="B1884" s="32">
        <v>73982188717</v>
      </c>
      <c r="C1884" s="32" t="s">
        <v>1038</v>
      </c>
      <c r="D1884" s="32">
        <v>4430265054</v>
      </c>
      <c r="E1884" s="32">
        <v>554</v>
      </c>
      <c r="F1884" s="32">
        <v>497</v>
      </c>
      <c r="G1884" s="32" t="s">
        <v>44</v>
      </c>
      <c r="H1884" s="32" t="s">
        <v>1953</v>
      </c>
      <c r="I1884" s="32" t="s">
        <v>40</v>
      </c>
      <c r="J1884" s="32" t="s">
        <v>46</v>
      </c>
      <c r="K1884" s="32" t="s">
        <v>42</v>
      </c>
      <c r="M1884" s="32" t="s">
        <v>1040</v>
      </c>
      <c r="N1884" s="32" t="s">
        <v>1038</v>
      </c>
    </row>
    <row r="1885" spans="1:14" s="32" customFormat="1" hidden="1" x14ac:dyDescent="0.3">
      <c r="A1885" s="38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38</v>
      </c>
      <c r="H1885" s="32" t="s">
        <v>1954</v>
      </c>
      <c r="I1885" s="32" t="s">
        <v>40</v>
      </c>
      <c r="J1885" s="32" t="s">
        <v>41</v>
      </c>
    </row>
    <row r="1886" spans="1:14" s="32" customFormat="1" hidden="1" x14ac:dyDescent="0.3">
      <c r="A1886" s="38">
        <v>46206.494525462964</v>
      </c>
      <c r="B1886" s="32">
        <v>44999646909</v>
      </c>
      <c r="C1886" s="32" t="s">
        <v>1038</v>
      </c>
      <c r="D1886" s="32">
        <v>4430265054</v>
      </c>
      <c r="E1886" s="32">
        <v>930</v>
      </c>
      <c r="F1886" s="32">
        <v>874</v>
      </c>
      <c r="G1886" s="32" t="s">
        <v>44</v>
      </c>
      <c r="H1886" s="32" t="s">
        <v>1955</v>
      </c>
      <c r="I1886" s="32" t="s">
        <v>40</v>
      </c>
      <c r="J1886" s="32" t="s">
        <v>46</v>
      </c>
      <c r="K1886" s="32" t="s">
        <v>42</v>
      </c>
      <c r="L1886" s="32">
        <v>3</v>
      </c>
      <c r="M1886" s="32" t="s">
        <v>1040</v>
      </c>
      <c r="N1886" s="32" t="s">
        <v>1038</v>
      </c>
    </row>
    <row r="1887" spans="1:14" s="32" customFormat="1" hidden="1" x14ac:dyDescent="0.3">
      <c r="A1887" s="38">
        <v>46206.484224537038</v>
      </c>
      <c r="B1887" s="32">
        <v>44999646909</v>
      </c>
      <c r="C1887" s="32" t="s">
        <v>1038</v>
      </c>
      <c r="D1887" s="32">
        <v>4430265054</v>
      </c>
      <c r="E1887" s="32">
        <v>199</v>
      </c>
      <c r="F1887" s="32">
        <v>141</v>
      </c>
      <c r="G1887" s="32" t="s">
        <v>44</v>
      </c>
      <c r="H1887" s="32" t="s">
        <v>1956</v>
      </c>
      <c r="I1887" s="32" t="s">
        <v>40</v>
      </c>
      <c r="J1887" s="32" t="s">
        <v>46</v>
      </c>
      <c r="K1887" s="32" t="s">
        <v>42</v>
      </c>
      <c r="M1887" s="32" t="s">
        <v>1040</v>
      </c>
      <c r="N1887" s="32" t="s">
        <v>1038</v>
      </c>
    </row>
    <row r="1888" spans="1:14" s="32" customFormat="1" hidden="1" x14ac:dyDescent="0.3">
      <c r="A1888" s="38">
        <v>46206.474247685182</v>
      </c>
      <c r="B1888" s="32">
        <v>44991484476</v>
      </c>
      <c r="C1888" s="32" t="s">
        <v>1038</v>
      </c>
      <c r="D1888" s="32">
        <v>4430265054</v>
      </c>
      <c r="E1888" s="32">
        <v>471</v>
      </c>
      <c r="F1888" s="32">
        <v>426</v>
      </c>
      <c r="G1888" s="32" t="s">
        <v>44</v>
      </c>
      <c r="H1888" s="32" t="s">
        <v>1957</v>
      </c>
      <c r="I1888" s="32" t="s">
        <v>40</v>
      </c>
      <c r="J1888" s="32" t="s">
        <v>46</v>
      </c>
      <c r="K1888" s="32" t="s">
        <v>42</v>
      </c>
      <c r="L1888" s="32">
        <v>5</v>
      </c>
      <c r="M1888" s="32" t="s">
        <v>1040</v>
      </c>
      <c r="N1888" s="32" t="s">
        <v>1038</v>
      </c>
    </row>
    <row r="1889" spans="1:14" s="32" customFormat="1" hidden="1" x14ac:dyDescent="0.3">
      <c r="A1889" s="38">
        <v>46206.468981481485</v>
      </c>
      <c r="B1889" s="32">
        <v>43984040334</v>
      </c>
      <c r="C1889" s="32" t="s">
        <v>1038</v>
      </c>
      <c r="D1889" s="32">
        <v>4430265054</v>
      </c>
      <c r="E1889" s="32">
        <v>394</v>
      </c>
      <c r="F1889" s="32">
        <v>284</v>
      </c>
      <c r="G1889" s="32" t="s">
        <v>44</v>
      </c>
      <c r="H1889" s="32" t="s">
        <v>1958</v>
      </c>
      <c r="I1889" s="32" t="s">
        <v>40</v>
      </c>
      <c r="J1889" s="32" t="s">
        <v>46</v>
      </c>
      <c r="K1889" s="32" t="s">
        <v>42</v>
      </c>
      <c r="M1889" s="32" t="s">
        <v>1040</v>
      </c>
      <c r="N1889" s="32" t="s">
        <v>1038</v>
      </c>
    </row>
    <row r="1890" spans="1:14" s="32" customFormat="1" hidden="1" x14ac:dyDescent="0.3">
      <c r="A1890" s="38">
        <v>46206.465370370373</v>
      </c>
      <c r="B1890" s="32">
        <v>41999853283</v>
      </c>
      <c r="C1890" s="32" t="s">
        <v>43</v>
      </c>
      <c r="D1890" s="32">
        <v>4430265054</v>
      </c>
      <c r="E1890" s="32">
        <v>374</v>
      </c>
      <c r="F1890" s="32">
        <v>335</v>
      </c>
      <c r="G1890" s="32" t="s">
        <v>44</v>
      </c>
      <c r="H1890" s="32" t="s">
        <v>1959</v>
      </c>
      <c r="I1890" s="32" t="s">
        <v>40</v>
      </c>
      <c r="J1890" s="32" t="s">
        <v>46</v>
      </c>
      <c r="K1890" s="32" t="s">
        <v>42</v>
      </c>
      <c r="L1890" s="32">
        <v>5</v>
      </c>
      <c r="M1890" s="32" t="s">
        <v>47</v>
      </c>
      <c r="N1890" s="32" t="s">
        <v>43</v>
      </c>
    </row>
    <row r="1891" spans="1:14" s="32" customFormat="1" hidden="1" x14ac:dyDescent="0.3">
      <c r="A1891" s="38">
        <v>46206.460092592592</v>
      </c>
      <c r="B1891" s="32">
        <v>4334234629</v>
      </c>
      <c r="C1891" s="32" t="s">
        <v>1352</v>
      </c>
      <c r="D1891" s="32">
        <v>4430265054</v>
      </c>
      <c r="E1891" s="32">
        <v>802</v>
      </c>
      <c r="F1891" s="32">
        <v>631</v>
      </c>
      <c r="G1891" s="32" t="s">
        <v>44</v>
      </c>
      <c r="H1891" s="32" t="s">
        <v>1960</v>
      </c>
      <c r="I1891" s="32" t="s">
        <v>40</v>
      </c>
      <c r="J1891" s="32" t="s">
        <v>46</v>
      </c>
      <c r="K1891" s="32" t="s">
        <v>42</v>
      </c>
      <c r="L1891" s="32">
        <v>5</v>
      </c>
      <c r="M1891" s="32" t="s">
        <v>1354</v>
      </c>
      <c r="N1891" s="32" t="s">
        <v>1352</v>
      </c>
    </row>
    <row r="1892" spans="1:14" s="32" customFormat="1" hidden="1" x14ac:dyDescent="0.3">
      <c r="A1892" s="38">
        <v>46206.451643518521</v>
      </c>
      <c r="B1892" s="32">
        <v>44991381017</v>
      </c>
      <c r="C1892" s="32" t="s">
        <v>58</v>
      </c>
      <c r="D1892" s="32">
        <v>4430265054</v>
      </c>
      <c r="E1892" s="32">
        <v>1562</v>
      </c>
      <c r="F1892" s="32">
        <v>1498</v>
      </c>
      <c r="G1892" s="32" t="s">
        <v>44</v>
      </c>
      <c r="H1892" s="32" t="s">
        <v>1961</v>
      </c>
      <c r="I1892" s="32" t="s">
        <v>40</v>
      </c>
      <c r="J1892" s="32" t="s">
        <v>46</v>
      </c>
      <c r="K1892" s="32" t="s">
        <v>42</v>
      </c>
      <c r="M1892" s="32" t="s">
        <v>60</v>
      </c>
      <c r="N1892" s="32" t="s">
        <v>58</v>
      </c>
    </row>
    <row r="1893" spans="1:14" s="32" customFormat="1" hidden="1" x14ac:dyDescent="0.3">
      <c r="A1893" s="38">
        <v>46206.450937499998</v>
      </c>
      <c r="B1893" s="32">
        <v>4430459032</v>
      </c>
      <c r="C1893" s="32" t="s">
        <v>43</v>
      </c>
      <c r="D1893" s="32">
        <v>4430265054</v>
      </c>
      <c r="E1893" s="32">
        <v>249</v>
      </c>
      <c r="F1893" s="32">
        <v>230</v>
      </c>
      <c r="G1893" s="32" t="s">
        <v>44</v>
      </c>
      <c r="H1893" s="32" t="s">
        <v>1962</v>
      </c>
      <c r="I1893" s="32" t="s">
        <v>40</v>
      </c>
      <c r="J1893" s="32" t="s">
        <v>46</v>
      </c>
      <c r="K1893" s="32" t="s">
        <v>42</v>
      </c>
      <c r="M1893" s="32" t="s">
        <v>47</v>
      </c>
      <c r="N1893" s="32" t="s">
        <v>43</v>
      </c>
    </row>
    <row r="1894" spans="1:14" s="32" customFormat="1" hidden="1" x14ac:dyDescent="0.3">
      <c r="A1894" s="38">
        <v>46206.448738425926</v>
      </c>
      <c r="B1894" s="32">
        <v>4430291622</v>
      </c>
      <c r="C1894" s="32" t="s">
        <v>1352</v>
      </c>
      <c r="D1894" s="32">
        <v>4430265054</v>
      </c>
      <c r="E1894" s="32">
        <v>330</v>
      </c>
      <c r="F1894" s="32">
        <v>278</v>
      </c>
      <c r="G1894" s="32" t="s">
        <v>44</v>
      </c>
      <c r="H1894" s="32" t="s">
        <v>1963</v>
      </c>
      <c r="I1894" s="32" t="s">
        <v>40</v>
      </c>
      <c r="J1894" s="32" t="s">
        <v>46</v>
      </c>
      <c r="K1894" s="32" t="s">
        <v>42</v>
      </c>
      <c r="M1894" s="32" t="s">
        <v>1354</v>
      </c>
      <c r="N1894" s="32" t="s">
        <v>1352</v>
      </c>
    </row>
    <row r="1895" spans="1:14" s="32" customFormat="1" hidden="1" x14ac:dyDescent="0.3">
      <c r="A1895" s="38">
        <v>46206.447615740741</v>
      </c>
      <c r="B1895" s="32">
        <v>11947305571</v>
      </c>
      <c r="C1895" s="32" t="s">
        <v>1038</v>
      </c>
      <c r="D1895" s="32">
        <v>4430265054</v>
      </c>
      <c r="E1895" s="32">
        <v>561</v>
      </c>
      <c r="F1895" s="32">
        <v>485</v>
      </c>
      <c r="G1895" s="32" t="s">
        <v>44</v>
      </c>
      <c r="H1895" s="32" t="s">
        <v>1964</v>
      </c>
      <c r="I1895" s="32" t="s">
        <v>40</v>
      </c>
      <c r="J1895" s="32" t="s">
        <v>46</v>
      </c>
      <c r="K1895" s="32" t="s">
        <v>42</v>
      </c>
      <c r="L1895" s="32">
        <v>5</v>
      </c>
      <c r="M1895" s="32" t="s">
        <v>1040</v>
      </c>
      <c r="N1895" s="32" t="s">
        <v>1038</v>
      </c>
    </row>
    <row r="1896" spans="1:14" s="32" customFormat="1" hidden="1" x14ac:dyDescent="0.3">
      <c r="A1896" s="38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38</v>
      </c>
      <c r="H1896" s="32" t="s">
        <v>1965</v>
      </c>
      <c r="I1896" s="32" t="s">
        <v>40</v>
      </c>
      <c r="J1896" s="32" t="s">
        <v>41</v>
      </c>
      <c r="K1896" s="32" t="s">
        <v>42</v>
      </c>
    </row>
    <row r="1897" spans="1:14" s="32" customFormat="1" hidden="1" x14ac:dyDescent="0.3">
      <c r="A1897" s="38">
        <v>46206.441064814811</v>
      </c>
      <c r="B1897" s="32">
        <v>4430317020</v>
      </c>
      <c r="C1897" s="32" t="s">
        <v>1038</v>
      </c>
      <c r="D1897" s="32">
        <v>4430265054</v>
      </c>
      <c r="E1897" s="32">
        <v>521</v>
      </c>
      <c r="F1897" s="32">
        <v>458</v>
      </c>
      <c r="G1897" s="32" t="s">
        <v>44</v>
      </c>
      <c r="H1897" s="32" t="s">
        <v>1966</v>
      </c>
      <c r="I1897" s="32" t="s">
        <v>40</v>
      </c>
      <c r="J1897" s="32" t="s">
        <v>46</v>
      </c>
      <c r="K1897" s="32" t="s">
        <v>42</v>
      </c>
      <c r="L1897" s="32">
        <v>4</v>
      </c>
      <c r="M1897" s="32" t="s">
        <v>1040</v>
      </c>
      <c r="N1897" s="32" t="s">
        <v>1038</v>
      </c>
    </row>
    <row r="1898" spans="1:14" s="32" customFormat="1" hidden="1" x14ac:dyDescent="0.3">
      <c r="A1898" s="38">
        <v>46206.438587962963</v>
      </c>
      <c r="B1898" s="32">
        <v>4430450103</v>
      </c>
      <c r="C1898" s="32" t="s">
        <v>1352</v>
      </c>
      <c r="D1898" s="32">
        <v>4430265054</v>
      </c>
      <c r="E1898" s="32">
        <v>516</v>
      </c>
      <c r="F1898" s="32">
        <v>412</v>
      </c>
      <c r="G1898" s="32" t="s">
        <v>44</v>
      </c>
      <c r="H1898" s="32" t="s">
        <v>1967</v>
      </c>
      <c r="I1898" s="32" t="s">
        <v>40</v>
      </c>
      <c r="J1898" s="32" t="s">
        <v>46</v>
      </c>
      <c r="K1898" s="32" t="s">
        <v>42</v>
      </c>
      <c r="M1898" s="32" t="s">
        <v>1354</v>
      </c>
      <c r="N1898" s="32" t="s">
        <v>1352</v>
      </c>
    </row>
    <row r="1899" spans="1:14" s="32" customFormat="1" hidden="1" x14ac:dyDescent="0.3">
      <c r="A1899" s="38">
        <v>46206.438194444447</v>
      </c>
      <c r="B1899" s="32" t="s">
        <v>43</v>
      </c>
      <c r="C1899" s="32">
        <v>11942253033</v>
      </c>
      <c r="E1899" s="32">
        <v>5</v>
      </c>
      <c r="F1899" s="32">
        <v>0</v>
      </c>
      <c r="G1899" s="32" t="s">
        <v>63</v>
      </c>
      <c r="H1899" s="32" t="s">
        <v>1968</v>
      </c>
      <c r="I1899" s="32" t="s">
        <v>54</v>
      </c>
      <c r="J1899" s="32" t="s">
        <v>46</v>
      </c>
      <c r="M1899" s="32" t="s">
        <v>47</v>
      </c>
      <c r="N1899" s="32" t="s">
        <v>43</v>
      </c>
    </row>
    <row r="1900" spans="1:14" s="32" customFormat="1" hidden="1" x14ac:dyDescent="0.3">
      <c r="A1900" s="38">
        <v>46206.4378125</v>
      </c>
      <c r="B1900" s="32" t="s">
        <v>43</v>
      </c>
      <c r="C1900" s="32">
        <v>11942253033</v>
      </c>
      <c r="E1900" s="32">
        <v>12</v>
      </c>
      <c r="F1900" s="32">
        <v>0</v>
      </c>
      <c r="G1900" s="32" t="s">
        <v>63</v>
      </c>
      <c r="H1900" s="32" t="s">
        <v>1969</v>
      </c>
      <c r="I1900" s="32" t="s">
        <v>54</v>
      </c>
      <c r="J1900" s="32" t="s">
        <v>46</v>
      </c>
      <c r="M1900" s="32" t="s">
        <v>47</v>
      </c>
      <c r="N1900" s="32" t="s">
        <v>43</v>
      </c>
    </row>
    <row r="1901" spans="1:14" s="32" customFormat="1" hidden="1" x14ac:dyDescent="0.3">
      <c r="A1901" s="38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63</v>
      </c>
      <c r="H1901" s="32" t="s">
        <v>1970</v>
      </c>
      <c r="I1901" s="32" t="s">
        <v>40</v>
      </c>
      <c r="J1901" s="32" t="s">
        <v>41</v>
      </c>
    </row>
    <row r="1902" spans="1:14" s="32" customFormat="1" hidden="1" x14ac:dyDescent="0.3">
      <c r="A1902" s="38">
        <v>46206.434259259258</v>
      </c>
      <c r="B1902" s="32">
        <v>11942253033</v>
      </c>
      <c r="C1902" s="32" t="s">
        <v>43</v>
      </c>
      <c r="D1902" s="32">
        <v>4430265054</v>
      </c>
      <c r="E1902" s="32">
        <v>301</v>
      </c>
      <c r="F1902" s="32">
        <v>258</v>
      </c>
      <c r="G1902" s="32" t="s">
        <v>44</v>
      </c>
      <c r="H1902" s="32" t="s">
        <v>1971</v>
      </c>
      <c r="I1902" s="32" t="s">
        <v>40</v>
      </c>
      <c r="J1902" s="32" t="s">
        <v>46</v>
      </c>
      <c r="K1902" s="32" t="s">
        <v>42</v>
      </c>
      <c r="M1902" s="32" t="s">
        <v>47</v>
      </c>
      <c r="N1902" s="32" t="s">
        <v>43</v>
      </c>
    </row>
    <row r="1903" spans="1:14" s="32" customFormat="1" hidden="1" x14ac:dyDescent="0.3">
      <c r="A1903" s="38">
        <v>46206.430300925924</v>
      </c>
      <c r="B1903" s="32">
        <v>44998849102</v>
      </c>
      <c r="C1903" s="32" t="s">
        <v>58</v>
      </c>
      <c r="D1903" s="32">
        <v>4430265054</v>
      </c>
      <c r="E1903" s="32">
        <v>927</v>
      </c>
      <c r="F1903" s="32">
        <v>872</v>
      </c>
      <c r="G1903" s="32" t="s">
        <v>44</v>
      </c>
      <c r="H1903" s="32" t="s">
        <v>1972</v>
      </c>
      <c r="I1903" s="32" t="s">
        <v>40</v>
      </c>
      <c r="J1903" s="32" t="s">
        <v>46</v>
      </c>
      <c r="K1903" s="32" t="s">
        <v>42</v>
      </c>
      <c r="M1903" s="32" t="s">
        <v>60</v>
      </c>
      <c r="N1903" s="32" t="s">
        <v>58</v>
      </c>
    </row>
    <row r="1904" spans="1:14" s="32" customFormat="1" hidden="1" x14ac:dyDescent="0.3">
      <c r="A1904" s="38">
        <v>46206.429710648146</v>
      </c>
      <c r="B1904" s="32">
        <v>4334226481</v>
      </c>
      <c r="C1904" s="32" t="s">
        <v>1038</v>
      </c>
      <c r="D1904" s="32">
        <v>4430265054</v>
      </c>
      <c r="E1904" s="32">
        <v>314</v>
      </c>
      <c r="F1904" s="32">
        <v>208</v>
      </c>
      <c r="G1904" s="32" t="s">
        <v>44</v>
      </c>
      <c r="H1904" s="32" t="s">
        <v>1973</v>
      </c>
      <c r="I1904" s="32" t="s">
        <v>40</v>
      </c>
      <c r="J1904" s="32" t="s">
        <v>46</v>
      </c>
      <c r="K1904" s="32" t="s">
        <v>42</v>
      </c>
      <c r="M1904" s="32" t="s">
        <v>1040</v>
      </c>
      <c r="N1904" s="32" t="s">
        <v>1038</v>
      </c>
    </row>
    <row r="1905" spans="1:14" s="32" customFormat="1" hidden="1" x14ac:dyDescent="0.3">
      <c r="A1905" s="38">
        <v>46206.420995370368</v>
      </c>
      <c r="B1905" s="32" t="s">
        <v>43</v>
      </c>
      <c r="C1905" s="32">
        <v>11940298065</v>
      </c>
      <c r="E1905" s="32">
        <v>26</v>
      </c>
      <c r="F1905" s="32">
        <v>0</v>
      </c>
      <c r="G1905" s="32" t="s">
        <v>63</v>
      </c>
      <c r="H1905" s="32" t="s">
        <v>1974</v>
      </c>
      <c r="I1905" s="32" t="s">
        <v>54</v>
      </c>
      <c r="J1905" s="32" t="s">
        <v>46</v>
      </c>
      <c r="M1905" s="32" t="s">
        <v>47</v>
      </c>
      <c r="N1905" s="32" t="s">
        <v>43</v>
      </c>
    </row>
    <row r="1906" spans="1:14" s="32" customFormat="1" hidden="1" x14ac:dyDescent="0.3">
      <c r="A1906" s="38">
        <v>46206.420289351852</v>
      </c>
      <c r="B1906" s="32" t="s">
        <v>58</v>
      </c>
      <c r="C1906" s="32">
        <v>4435223408</v>
      </c>
      <c r="E1906" s="32">
        <v>131</v>
      </c>
      <c r="F1906" s="32">
        <v>111</v>
      </c>
      <c r="G1906" s="32" t="s">
        <v>44</v>
      </c>
      <c r="H1906" s="32" t="s">
        <v>1975</v>
      </c>
      <c r="I1906" s="32" t="s">
        <v>54</v>
      </c>
      <c r="J1906" s="32" t="s">
        <v>46</v>
      </c>
      <c r="M1906" s="32" t="s">
        <v>60</v>
      </c>
      <c r="N1906" s="32" t="s">
        <v>58</v>
      </c>
    </row>
    <row r="1907" spans="1:14" s="32" customFormat="1" hidden="1" x14ac:dyDescent="0.3">
      <c r="A1907" s="38">
        <v>46206.416388888887</v>
      </c>
      <c r="B1907" s="32">
        <v>44997123083</v>
      </c>
      <c r="C1907" s="32" t="s">
        <v>58</v>
      </c>
      <c r="D1907" s="32">
        <v>4430265054</v>
      </c>
      <c r="E1907" s="32">
        <v>288</v>
      </c>
      <c r="F1907" s="32">
        <v>196</v>
      </c>
      <c r="G1907" s="32" t="s">
        <v>44</v>
      </c>
      <c r="H1907" s="32" t="s">
        <v>1976</v>
      </c>
      <c r="I1907" s="32" t="s">
        <v>40</v>
      </c>
      <c r="J1907" s="32" t="s">
        <v>46</v>
      </c>
      <c r="K1907" s="32" t="s">
        <v>42</v>
      </c>
      <c r="M1907" s="32" t="s">
        <v>60</v>
      </c>
      <c r="N1907" s="32" t="s">
        <v>58</v>
      </c>
    </row>
    <row r="1908" spans="1:14" s="32" customFormat="1" hidden="1" x14ac:dyDescent="0.3">
      <c r="A1908" s="38">
        <v>46206.415972222225</v>
      </c>
      <c r="B1908" s="32">
        <v>93991103737</v>
      </c>
      <c r="C1908" s="32" t="s">
        <v>43</v>
      </c>
      <c r="D1908" s="32">
        <v>4431268225</v>
      </c>
      <c r="E1908" s="32">
        <v>306</v>
      </c>
      <c r="F1908" s="32">
        <v>165</v>
      </c>
      <c r="G1908" s="32" t="s">
        <v>44</v>
      </c>
      <c r="H1908" s="32" t="s">
        <v>1977</v>
      </c>
      <c r="I1908" s="32" t="s">
        <v>40</v>
      </c>
      <c r="J1908" s="32" t="s">
        <v>46</v>
      </c>
      <c r="K1908" s="32" t="s">
        <v>42</v>
      </c>
      <c r="M1908" s="32" t="s">
        <v>47</v>
      </c>
      <c r="N1908" s="32" t="s">
        <v>43</v>
      </c>
    </row>
    <row r="1909" spans="1:14" s="32" customFormat="1" hidden="1" x14ac:dyDescent="0.3">
      <c r="A1909" s="38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38</v>
      </c>
      <c r="H1909" s="32" t="s">
        <v>1978</v>
      </c>
      <c r="I1909" s="32" t="s">
        <v>40</v>
      </c>
      <c r="J1909" s="32" t="s">
        <v>41</v>
      </c>
      <c r="K1909" s="32" t="s">
        <v>42</v>
      </c>
    </row>
    <row r="1910" spans="1:14" s="32" customFormat="1" hidden="1" x14ac:dyDescent="0.3">
      <c r="A1910" s="38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38</v>
      </c>
      <c r="H1910" s="32" t="s">
        <v>1979</v>
      </c>
      <c r="I1910" s="32" t="s">
        <v>40</v>
      </c>
      <c r="J1910" s="32" t="s">
        <v>41</v>
      </c>
      <c r="K1910" s="32" t="s">
        <v>42</v>
      </c>
    </row>
    <row r="1911" spans="1:14" s="32" customFormat="1" hidden="1" x14ac:dyDescent="0.3">
      <c r="A1911" s="38">
        <v>46206.407557870371</v>
      </c>
      <c r="B1911" s="32" t="s">
        <v>1038</v>
      </c>
      <c r="C1911" s="32">
        <v>44999178521</v>
      </c>
      <c r="E1911" s="32">
        <v>866</v>
      </c>
      <c r="F1911" s="32">
        <v>849</v>
      </c>
      <c r="G1911" s="32" t="s">
        <v>44</v>
      </c>
      <c r="H1911" s="32" t="s">
        <v>1980</v>
      </c>
      <c r="I1911" s="32" t="s">
        <v>54</v>
      </c>
      <c r="J1911" s="32" t="s">
        <v>46</v>
      </c>
      <c r="M1911" s="32" t="s">
        <v>1040</v>
      </c>
      <c r="N1911" s="32" t="s">
        <v>1038</v>
      </c>
    </row>
    <row r="1912" spans="1:14" s="32" customFormat="1" hidden="1" x14ac:dyDescent="0.3">
      <c r="A1912" s="38">
        <v>46206.406770833331</v>
      </c>
      <c r="B1912" s="32" t="s">
        <v>58</v>
      </c>
      <c r="C1912" s="32">
        <v>4432206409</v>
      </c>
      <c r="E1912" s="32">
        <v>545</v>
      </c>
      <c r="F1912" s="32">
        <v>534</v>
      </c>
      <c r="G1912" s="32" t="s">
        <v>44</v>
      </c>
      <c r="H1912" s="32" t="s">
        <v>1981</v>
      </c>
      <c r="I1912" s="32" t="s">
        <v>54</v>
      </c>
      <c r="J1912" s="32" t="s">
        <v>46</v>
      </c>
      <c r="M1912" s="32" t="s">
        <v>60</v>
      </c>
      <c r="N1912" s="32" t="s">
        <v>58</v>
      </c>
    </row>
    <row r="1913" spans="1:14" s="32" customFormat="1" hidden="1" x14ac:dyDescent="0.3">
      <c r="A1913" s="38">
        <v>46206.40625</v>
      </c>
      <c r="B1913" s="32" t="s">
        <v>379</v>
      </c>
      <c r="C1913" s="32" t="s">
        <v>207</v>
      </c>
      <c r="E1913" s="32">
        <v>515</v>
      </c>
      <c r="F1913" s="32">
        <v>512</v>
      </c>
      <c r="G1913" s="32" t="s">
        <v>44</v>
      </c>
      <c r="H1913" s="32" t="s">
        <v>1982</v>
      </c>
      <c r="I1913" s="32" t="s">
        <v>694</v>
      </c>
      <c r="J1913" s="32" t="s">
        <v>111</v>
      </c>
      <c r="M1913" s="32" t="s">
        <v>381</v>
      </c>
      <c r="N1913" s="32" t="s">
        <v>379</v>
      </c>
    </row>
    <row r="1914" spans="1:14" s="32" customFormat="1" hidden="1" x14ac:dyDescent="0.3">
      <c r="A1914" s="38">
        <v>46206.398379629631</v>
      </c>
      <c r="B1914" s="32">
        <v>4432206400</v>
      </c>
      <c r="C1914" s="32" t="s">
        <v>1038</v>
      </c>
      <c r="D1914" s="32">
        <v>4430265054</v>
      </c>
      <c r="E1914" s="32">
        <v>237</v>
      </c>
      <c r="F1914" s="32">
        <v>178</v>
      </c>
      <c r="G1914" s="32" t="s">
        <v>44</v>
      </c>
      <c r="H1914" s="32" t="s">
        <v>1983</v>
      </c>
      <c r="I1914" s="32" t="s">
        <v>40</v>
      </c>
      <c r="J1914" s="32" t="s">
        <v>46</v>
      </c>
      <c r="K1914" s="32" t="s">
        <v>42</v>
      </c>
      <c r="M1914" s="32" t="s">
        <v>1040</v>
      </c>
      <c r="N1914" s="32" t="s">
        <v>1038</v>
      </c>
    </row>
    <row r="1915" spans="1:14" s="32" customFormat="1" hidden="1" x14ac:dyDescent="0.3">
      <c r="A1915" s="38">
        <v>46206.395601851851</v>
      </c>
      <c r="B1915" s="32">
        <v>44988303530</v>
      </c>
      <c r="C1915" s="32" t="s">
        <v>43</v>
      </c>
      <c r="D1915" s="32">
        <v>4430265054</v>
      </c>
      <c r="E1915" s="32">
        <v>548</v>
      </c>
      <c r="F1915" s="32">
        <v>394</v>
      </c>
      <c r="G1915" s="32" t="s">
        <v>44</v>
      </c>
      <c r="H1915" s="32" t="s">
        <v>1984</v>
      </c>
      <c r="I1915" s="32" t="s">
        <v>40</v>
      </c>
      <c r="J1915" s="32" t="s">
        <v>46</v>
      </c>
      <c r="K1915" s="32" t="s">
        <v>42</v>
      </c>
      <c r="M1915" s="32" t="s">
        <v>47</v>
      </c>
      <c r="N1915" s="32" t="s">
        <v>43</v>
      </c>
    </row>
    <row r="1916" spans="1:14" s="32" customFormat="1" hidden="1" x14ac:dyDescent="0.3">
      <c r="A1916" s="38">
        <v>46206.391944444447</v>
      </c>
      <c r="B1916" s="32" t="s">
        <v>1352</v>
      </c>
      <c r="C1916" s="32">
        <v>44998761561</v>
      </c>
      <c r="E1916" s="32">
        <v>63</v>
      </c>
      <c r="F1916" s="32">
        <v>46</v>
      </c>
      <c r="G1916" s="32" t="s">
        <v>44</v>
      </c>
      <c r="H1916" s="32" t="s">
        <v>1985</v>
      </c>
      <c r="I1916" s="32" t="s">
        <v>54</v>
      </c>
      <c r="J1916" s="32" t="s">
        <v>46</v>
      </c>
      <c r="M1916" s="32" t="s">
        <v>1354</v>
      </c>
      <c r="N1916" s="32" t="s">
        <v>1352</v>
      </c>
    </row>
    <row r="1917" spans="1:14" s="32" customFormat="1" hidden="1" x14ac:dyDescent="0.3">
      <c r="A1917" s="38">
        <v>46206.390636574077</v>
      </c>
      <c r="B1917" s="32" t="s">
        <v>109</v>
      </c>
      <c r="C1917" s="32">
        <v>2125467676</v>
      </c>
      <c r="E1917" s="32">
        <v>7</v>
      </c>
      <c r="F1917" s="32">
        <v>0</v>
      </c>
      <c r="G1917" s="32" t="s">
        <v>63</v>
      </c>
      <c r="H1917" s="32" t="s">
        <v>1986</v>
      </c>
      <c r="I1917" s="32" t="s">
        <v>54</v>
      </c>
      <c r="J1917" s="32" t="s">
        <v>111</v>
      </c>
      <c r="M1917" s="32" t="s">
        <v>112</v>
      </c>
      <c r="N1917" s="32" t="s">
        <v>109</v>
      </c>
    </row>
    <row r="1918" spans="1:14" s="32" customFormat="1" hidden="1" x14ac:dyDescent="0.3">
      <c r="A1918" s="38">
        <v>46206.390081018515</v>
      </c>
      <c r="B1918" s="32" t="s">
        <v>58</v>
      </c>
      <c r="C1918" s="32">
        <v>4430414545</v>
      </c>
      <c r="E1918" s="32">
        <v>436</v>
      </c>
      <c r="F1918" s="32">
        <v>427</v>
      </c>
      <c r="G1918" s="32" t="s">
        <v>44</v>
      </c>
      <c r="H1918" s="32" t="s">
        <v>1987</v>
      </c>
      <c r="I1918" s="32" t="s">
        <v>54</v>
      </c>
      <c r="J1918" s="32" t="s">
        <v>46</v>
      </c>
      <c r="M1918" s="32" t="s">
        <v>60</v>
      </c>
      <c r="N1918" s="32" t="s">
        <v>58</v>
      </c>
    </row>
    <row r="1919" spans="1:14" s="32" customFormat="1" hidden="1" x14ac:dyDescent="0.3">
      <c r="A1919" s="38">
        <v>46206.39</v>
      </c>
      <c r="B1919" s="32" t="s">
        <v>1352</v>
      </c>
      <c r="C1919" s="32">
        <v>44998761561</v>
      </c>
      <c r="E1919" s="32">
        <v>2</v>
      </c>
      <c r="F1919" s="32">
        <v>0</v>
      </c>
      <c r="G1919" s="32" t="s">
        <v>63</v>
      </c>
      <c r="H1919" s="32" t="s">
        <v>1988</v>
      </c>
      <c r="I1919" s="32" t="s">
        <v>54</v>
      </c>
      <c r="J1919" s="32" t="s">
        <v>46</v>
      </c>
      <c r="M1919" s="32" t="s">
        <v>1354</v>
      </c>
      <c r="N1919" s="32" t="s">
        <v>1352</v>
      </c>
    </row>
    <row r="1920" spans="1:14" s="32" customFormat="1" hidden="1" x14ac:dyDescent="0.3">
      <c r="A1920" s="38">
        <v>46206.38890046296</v>
      </c>
      <c r="B1920" s="32" t="s">
        <v>58</v>
      </c>
      <c r="C1920" s="32">
        <v>4430266599</v>
      </c>
      <c r="E1920" s="32">
        <v>2</v>
      </c>
      <c r="F1920" s="32">
        <v>0</v>
      </c>
      <c r="G1920" s="32" t="s">
        <v>63</v>
      </c>
      <c r="H1920" s="32" t="s">
        <v>1989</v>
      </c>
      <c r="I1920" s="32" t="s">
        <v>54</v>
      </c>
      <c r="J1920" s="32" t="s">
        <v>46</v>
      </c>
      <c r="M1920" s="32" t="s">
        <v>60</v>
      </c>
      <c r="N1920" s="32" t="s">
        <v>58</v>
      </c>
    </row>
    <row r="1921" spans="1:14" s="32" customFormat="1" hidden="1" x14ac:dyDescent="0.3">
      <c r="A1921" s="38">
        <v>46206.386423611111</v>
      </c>
      <c r="B1921" s="32" t="s">
        <v>1352</v>
      </c>
      <c r="C1921" s="32">
        <v>4435226025</v>
      </c>
      <c r="E1921" s="32">
        <v>72</v>
      </c>
      <c r="F1921" s="32">
        <v>60</v>
      </c>
      <c r="G1921" s="32" t="s">
        <v>44</v>
      </c>
      <c r="H1921" s="32" t="s">
        <v>1990</v>
      </c>
      <c r="I1921" s="32" t="s">
        <v>54</v>
      </c>
      <c r="J1921" s="32" t="s">
        <v>46</v>
      </c>
      <c r="L1921" s="32">
        <v>5</v>
      </c>
      <c r="M1921" s="32" t="s">
        <v>1354</v>
      </c>
      <c r="N1921" s="32" t="s">
        <v>1352</v>
      </c>
    </row>
    <row r="1922" spans="1:14" s="32" customFormat="1" hidden="1" x14ac:dyDescent="0.3">
      <c r="A1922" s="38">
        <v>46206.386354166665</v>
      </c>
      <c r="B1922" s="32" t="s">
        <v>1352</v>
      </c>
      <c r="C1922" s="32">
        <v>4435226025</v>
      </c>
      <c r="E1922" s="32">
        <v>14</v>
      </c>
      <c r="F1922" s="32">
        <v>13</v>
      </c>
      <c r="G1922" s="32" t="s">
        <v>44</v>
      </c>
      <c r="H1922" s="32" t="s">
        <v>1991</v>
      </c>
      <c r="I1922" s="32" t="s">
        <v>54</v>
      </c>
      <c r="J1922" s="32" t="s">
        <v>46</v>
      </c>
      <c r="M1922" s="32" t="s">
        <v>1354</v>
      </c>
      <c r="N1922" s="32" t="s">
        <v>1352</v>
      </c>
    </row>
    <row r="1923" spans="1:14" s="32" customFormat="1" hidden="1" x14ac:dyDescent="0.3">
      <c r="A1923" s="38">
        <v>46206.385254629633</v>
      </c>
      <c r="B1923" s="32" t="s">
        <v>1352</v>
      </c>
      <c r="C1923" s="32">
        <v>44998761561</v>
      </c>
      <c r="E1923" s="32">
        <v>16</v>
      </c>
      <c r="F1923" s="32">
        <v>0</v>
      </c>
      <c r="G1923" s="32" t="s">
        <v>63</v>
      </c>
      <c r="H1923" s="32" t="s">
        <v>1992</v>
      </c>
      <c r="I1923" s="32" t="s">
        <v>54</v>
      </c>
      <c r="J1923" s="32" t="s">
        <v>46</v>
      </c>
      <c r="M1923" s="32" t="s">
        <v>1354</v>
      </c>
      <c r="N1923" s="32" t="s">
        <v>1352</v>
      </c>
    </row>
    <row r="1924" spans="1:14" s="32" customFormat="1" hidden="1" x14ac:dyDescent="0.3">
      <c r="A1924" s="38">
        <v>46206.385185185187</v>
      </c>
      <c r="B1924" s="32" t="s">
        <v>1352</v>
      </c>
      <c r="C1924" s="32">
        <v>44998761561</v>
      </c>
      <c r="E1924" s="32">
        <v>5</v>
      </c>
      <c r="F1924" s="32">
        <v>0</v>
      </c>
      <c r="G1924" s="32" t="s">
        <v>63</v>
      </c>
      <c r="H1924" s="32" t="s">
        <v>1993</v>
      </c>
      <c r="I1924" s="32" t="s">
        <v>54</v>
      </c>
      <c r="J1924" s="32" t="s">
        <v>46</v>
      </c>
      <c r="M1924" s="32" t="s">
        <v>1354</v>
      </c>
      <c r="N1924" s="32" t="s">
        <v>1352</v>
      </c>
    </row>
    <row r="1925" spans="1:14" s="32" customFormat="1" hidden="1" x14ac:dyDescent="0.3">
      <c r="A1925" s="38">
        <v>46206.384166666663</v>
      </c>
      <c r="B1925" s="32">
        <v>44997123083</v>
      </c>
      <c r="C1925" s="32" t="s">
        <v>43</v>
      </c>
      <c r="D1925" s="32">
        <v>4430265054</v>
      </c>
      <c r="E1925" s="32">
        <v>296</v>
      </c>
      <c r="F1925" s="32">
        <v>274</v>
      </c>
      <c r="G1925" s="32" t="s">
        <v>44</v>
      </c>
      <c r="H1925" s="32" t="s">
        <v>1994</v>
      </c>
      <c r="I1925" s="32" t="s">
        <v>40</v>
      </c>
      <c r="J1925" s="32" t="s">
        <v>46</v>
      </c>
      <c r="K1925" s="32" t="s">
        <v>42</v>
      </c>
      <c r="L1925" s="32">
        <v>5</v>
      </c>
      <c r="M1925" s="32" t="s">
        <v>47</v>
      </c>
      <c r="N1925" s="32" t="s">
        <v>43</v>
      </c>
    </row>
    <row r="1926" spans="1:14" s="32" customFormat="1" hidden="1" x14ac:dyDescent="0.3">
      <c r="A1926" s="38">
        <v>46206.376458333332</v>
      </c>
      <c r="B1926" s="32" t="s">
        <v>58</v>
      </c>
      <c r="C1926" s="32">
        <v>4430266599</v>
      </c>
      <c r="E1926" s="32">
        <v>1</v>
      </c>
      <c r="F1926" s="32">
        <v>0</v>
      </c>
      <c r="G1926" s="32" t="s">
        <v>63</v>
      </c>
      <c r="H1926" s="32" t="s">
        <v>1995</v>
      </c>
      <c r="I1926" s="32" t="s">
        <v>54</v>
      </c>
      <c r="J1926" s="32" t="s">
        <v>46</v>
      </c>
      <c r="M1926" s="32" t="s">
        <v>60</v>
      </c>
      <c r="N1926" s="32" t="s">
        <v>58</v>
      </c>
    </row>
    <row r="1927" spans="1:14" s="32" customFormat="1" hidden="1" x14ac:dyDescent="0.3">
      <c r="A1927" s="38">
        <v>46206.376400462963</v>
      </c>
      <c r="B1927" s="32" t="s">
        <v>58</v>
      </c>
      <c r="C1927" s="32">
        <v>4430266599</v>
      </c>
      <c r="E1927" s="32">
        <v>3</v>
      </c>
      <c r="F1927" s="32">
        <v>0</v>
      </c>
      <c r="G1927" s="32" t="s">
        <v>63</v>
      </c>
      <c r="H1927" s="32" t="s">
        <v>1996</v>
      </c>
      <c r="I1927" s="32" t="s">
        <v>54</v>
      </c>
      <c r="J1927" s="32" t="s">
        <v>46</v>
      </c>
      <c r="M1927" s="32" t="s">
        <v>60</v>
      </c>
      <c r="N1927" s="32" t="s">
        <v>58</v>
      </c>
    </row>
    <row r="1928" spans="1:14" s="32" customFormat="1" hidden="1" x14ac:dyDescent="0.3">
      <c r="A1928" s="38">
        <v>46206.373842592591</v>
      </c>
      <c r="B1928" s="32">
        <v>44998039090</v>
      </c>
      <c r="C1928" s="32" t="s">
        <v>1352</v>
      </c>
      <c r="D1928" s="32">
        <v>4430265054</v>
      </c>
      <c r="E1928" s="32">
        <v>773</v>
      </c>
      <c r="F1928" s="32">
        <v>670</v>
      </c>
      <c r="G1928" s="32" t="s">
        <v>44</v>
      </c>
      <c r="H1928" s="32" t="s">
        <v>1997</v>
      </c>
      <c r="I1928" s="32" t="s">
        <v>40</v>
      </c>
      <c r="J1928" s="32" t="s">
        <v>46</v>
      </c>
      <c r="K1928" s="32" t="s">
        <v>42</v>
      </c>
      <c r="M1928" s="32" t="s">
        <v>1354</v>
      </c>
      <c r="N1928" s="32" t="s">
        <v>1352</v>
      </c>
    </row>
    <row r="1929" spans="1:14" s="32" customFormat="1" hidden="1" x14ac:dyDescent="0.3">
      <c r="A1929" s="38">
        <v>46206.373298611114</v>
      </c>
      <c r="B1929" s="32">
        <v>4432524652</v>
      </c>
      <c r="C1929" s="32" t="s">
        <v>1038</v>
      </c>
      <c r="D1929" s="32">
        <v>4430265054</v>
      </c>
      <c r="E1929" s="32">
        <v>636</v>
      </c>
      <c r="F1929" s="32">
        <v>604</v>
      </c>
      <c r="G1929" s="32" t="s">
        <v>44</v>
      </c>
      <c r="H1929" s="32" t="s">
        <v>1998</v>
      </c>
      <c r="I1929" s="32" t="s">
        <v>40</v>
      </c>
      <c r="J1929" s="32" t="s">
        <v>46</v>
      </c>
      <c r="K1929" s="32" t="s">
        <v>42</v>
      </c>
      <c r="L1929" s="32">
        <v>5</v>
      </c>
      <c r="M1929" s="32" t="s">
        <v>1040</v>
      </c>
      <c r="N1929" s="32" t="s">
        <v>1038</v>
      </c>
    </row>
    <row r="1930" spans="1:14" s="32" customFormat="1" hidden="1" x14ac:dyDescent="0.3">
      <c r="A1930" s="38">
        <v>46206.371388888889</v>
      </c>
      <c r="B1930" s="32">
        <v>45999334612</v>
      </c>
      <c r="C1930" s="32" t="s">
        <v>43</v>
      </c>
      <c r="D1930" s="32">
        <v>4430265054</v>
      </c>
      <c r="E1930" s="32">
        <v>253</v>
      </c>
      <c r="F1930" s="32">
        <v>229</v>
      </c>
      <c r="G1930" s="32" t="s">
        <v>44</v>
      </c>
      <c r="H1930" s="32" t="s">
        <v>1999</v>
      </c>
      <c r="I1930" s="32" t="s">
        <v>40</v>
      </c>
      <c r="J1930" s="32" t="s">
        <v>46</v>
      </c>
      <c r="K1930" s="32" t="s">
        <v>42</v>
      </c>
      <c r="L1930" s="32">
        <v>5</v>
      </c>
      <c r="M1930" s="32" t="s">
        <v>47</v>
      </c>
      <c r="N1930" s="32" t="s">
        <v>43</v>
      </c>
    </row>
    <row r="1931" spans="1:14" s="32" customFormat="1" hidden="1" x14ac:dyDescent="0.3">
      <c r="A1931" s="38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38</v>
      </c>
      <c r="H1931" s="32" t="s">
        <v>2000</v>
      </c>
      <c r="I1931" s="32" t="s">
        <v>40</v>
      </c>
      <c r="J1931" s="32" t="s">
        <v>41</v>
      </c>
    </row>
    <row r="1932" spans="1:14" s="32" customFormat="1" hidden="1" x14ac:dyDescent="0.3">
      <c r="A1932" s="38">
        <v>46206.365104166667</v>
      </c>
      <c r="B1932" s="32">
        <v>44997456641</v>
      </c>
      <c r="C1932" s="32" t="s">
        <v>1352</v>
      </c>
      <c r="D1932" s="32">
        <v>4430265054</v>
      </c>
      <c r="E1932" s="32">
        <v>687</v>
      </c>
      <c r="F1932" s="32">
        <v>551</v>
      </c>
      <c r="G1932" s="32" t="s">
        <v>44</v>
      </c>
      <c r="H1932" s="32" t="s">
        <v>2001</v>
      </c>
      <c r="I1932" s="32" t="s">
        <v>40</v>
      </c>
      <c r="J1932" s="32" t="s">
        <v>46</v>
      </c>
      <c r="K1932" s="32" t="s">
        <v>42</v>
      </c>
      <c r="M1932" s="32" t="s">
        <v>1354</v>
      </c>
      <c r="N1932" s="32" t="s">
        <v>1352</v>
      </c>
    </row>
    <row r="1933" spans="1:14" s="32" customFormat="1" hidden="1" x14ac:dyDescent="0.3">
      <c r="A1933" s="38">
        <v>46206.357847222222</v>
      </c>
      <c r="B1933" s="32">
        <v>44999178521</v>
      </c>
      <c r="C1933" s="32" t="s">
        <v>1038</v>
      </c>
      <c r="D1933" s="32">
        <v>4430265054</v>
      </c>
      <c r="E1933" s="32">
        <v>1014</v>
      </c>
      <c r="F1933" s="32">
        <v>988</v>
      </c>
      <c r="G1933" s="32" t="s">
        <v>44</v>
      </c>
      <c r="H1933" s="32" t="s">
        <v>2002</v>
      </c>
      <c r="I1933" s="32" t="s">
        <v>40</v>
      </c>
      <c r="J1933" s="32" t="s">
        <v>46</v>
      </c>
      <c r="K1933" s="32" t="s">
        <v>42</v>
      </c>
      <c r="M1933" s="32" t="s">
        <v>1040</v>
      </c>
      <c r="N1933" s="32" t="s">
        <v>1038</v>
      </c>
    </row>
    <row r="1934" spans="1:14" s="32" customFormat="1" hidden="1" x14ac:dyDescent="0.3">
      <c r="A1934" s="38">
        <v>46206.355393518519</v>
      </c>
      <c r="B1934" s="32">
        <v>4435228300</v>
      </c>
      <c r="C1934" s="32" t="s">
        <v>43</v>
      </c>
      <c r="D1934" s="32">
        <v>4430265054</v>
      </c>
      <c r="E1934" s="32">
        <v>364</v>
      </c>
      <c r="F1934" s="32">
        <v>313</v>
      </c>
      <c r="G1934" s="32" t="s">
        <v>44</v>
      </c>
      <c r="H1934" s="32" t="s">
        <v>2003</v>
      </c>
      <c r="I1934" s="32" t="s">
        <v>40</v>
      </c>
      <c r="J1934" s="32" t="s">
        <v>46</v>
      </c>
      <c r="K1934" s="32" t="s">
        <v>42</v>
      </c>
      <c r="M1934" s="32" t="s">
        <v>47</v>
      </c>
      <c r="N1934" s="32" t="s">
        <v>43</v>
      </c>
    </row>
    <row r="1935" spans="1:14" s="32" customFormat="1" hidden="1" x14ac:dyDescent="0.3">
      <c r="A1935" s="38">
        <v>46206.355057870373</v>
      </c>
      <c r="B1935" s="32">
        <v>44997456641</v>
      </c>
      <c r="C1935" s="32" t="s">
        <v>1352</v>
      </c>
      <c r="D1935" s="32">
        <v>4430265054</v>
      </c>
      <c r="E1935" s="32">
        <v>551</v>
      </c>
      <c r="F1935" s="32">
        <v>446</v>
      </c>
      <c r="G1935" s="32" t="s">
        <v>44</v>
      </c>
      <c r="H1935" s="32" t="s">
        <v>2004</v>
      </c>
      <c r="I1935" s="32" t="s">
        <v>40</v>
      </c>
      <c r="J1935" s="32" t="s">
        <v>46</v>
      </c>
      <c r="K1935" s="32" t="s">
        <v>42</v>
      </c>
      <c r="M1935" s="32" t="s">
        <v>1354</v>
      </c>
      <c r="N1935" s="32" t="s">
        <v>1352</v>
      </c>
    </row>
    <row r="1936" spans="1:14" s="32" customFormat="1" hidden="1" x14ac:dyDescent="0.3">
      <c r="A1936" s="38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38</v>
      </c>
      <c r="H1936" s="32" t="s">
        <v>2005</v>
      </c>
      <c r="I1936" s="32" t="s">
        <v>40</v>
      </c>
      <c r="J1936" s="32" t="s">
        <v>41</v>
      </c>
    </row>
    <row r="1937" spans="1:14" s="32" customFormat="1" hidden="1" x14ac:dyDescent="0.3">
      <c r="A1937" s="38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38</v>
      </c>
      <c r="H1937" s="32" t="s">
        <v>2006</v>
      </c>
      <c r="I1937" s="32" t="s">
        <v>40</v>
      </c>
      <c r="J1937" s="32" t="s">
        <v>41</v>
      </c>
    </row>
    <row r="1938" spans="1:14" s="32" customFormat="1" hidden="1" x14ac:dyDescent="0.3">
      <c r="A1938" s="38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38</v>
      </c>
      <c r="H1938" s="32" t="s">
        <v>2007</v>
      </c>
      <c r="I1938" s="32" t="s">
        <v>40</v>
      </c>
      <c r="J1938" s="32" t="s">
        <v>41</v>
      </c>
    </row>
    <row r="1939" spans="1:14" s="32" customFormat="1" hidden="1" x14ac:dyDescent="0.3">
      <c r="A1939" s="38">
        <v>46205.743067129632</v>
      </c>
      <c r="B1939" s="32">
        <v>44998039090</v>
      </c>
      <c r="C1939" s="32" t="s">
        <v>58</v>
      </c>
      <c r="D1939" s="32">
        <v>4430265054</v>
      </c>
      <c r="E1939" s="32">
        <v>172</v>
      </c>
      <c r="F1939" s="32">
        <v>171</v>
      </c>
      <c r="G1939" s="32" t="s">
        <v>44</v>
      </c>
      <c r="H1939" s="32" t="s">
        <v>2008</v>
      </c>
      <c r="I1939" s="32" t="s">
        <v>40</v>
      </c>
      <c r="J1939" s="32" t="s">
        <v>46</v>
      </c>
      <c r="K1939" s="32" t="s">
        <v>42</v>
      </c>
      <c r="M1939" s="32" t="s">
        <v>60</v>
      </c>
      <c r="N1939" s="32" t="s">
        <v>58</v>
      </c>
    </row>
    <row r="1940" spans="1:14" s="32" customFormat="1" hidden="1" x14ac:dyDescent="0.3">
      <c r="A1940" s="38">
        <v>46205.724930555552</v>
      </c>
      <c r="B1940" s="32">
        <v>44998039090</v>
      </c>
      <c r="C1940" s="32" t="s">
        <v>1352</v>
      </c>
      <c r="D1940" s="32">
        <v>4430265054</v>
      </c>
      <c r="E1940" s="32">
        <v>381</v>
      </c>
      <c r="F1940" s="32">
        <v>256</v>
      </c>
      <c r="G1940" s="32" t="s">
        <v>44</v>
      </c>
      <c r="H1940" s="32" t="s">
        <v>2009</v>
      </c>
      <c r="I1940" s="32" t="s">
        <v>40</v>
      </c>
      <c r="J1940" s="32" t="s">
        <v>46</v>
      </c>
      <c r="K1940" s="32" t="s">
        <v>42</v>
      </c>
      <c r="M1940" s="32" t="s">
        <v>1354</v>
      </c>
      <c r="N1940" s="32" t="s">
        <v>1352</v>
      </c>
    </row>
    <row r="1941" spans="1:14" s="32" customFormat="1" hidden="1" x14ac:dyDescent="0.3">
      <c r="A1941" s="38">
        <v>46205.721273148149</v>
      </c>
      <c r="B1941" s="32">
        <v>44991234625</v>
      </c>
      <c r="C1941" s="32" t="s">
        <v>1038</v>
      </c>
      <c r="D1941" s="32">
        <v>4430265054</v>
      </c>
      <c r="E1941" s="32">
        <v>173</v>
      </c>
      <c r="F1941" s="32">
        <v>112</v>
      </c>
      <c r="G1941" s="32" t="s">
        <v>44</v>
      </c>
      <c r="H1941" s="32" t="s">
        <v>2010</v>
      </c>
      <c r="I1941" s="32" t="s">
        <v>40</v>
      </c>
      <c r="J1941" s="32" t="s">
        <v>46</v>
      </c>
      <c r="K1941" s="32" t="s">
        <v>42</v>
      </c>
      <c r="M1941" s="32" t="s">
        <v>1040</v>
      </c>
      <c r="N1941" s="32" t="s">
        <v>1038</v>
      </c>
    </row>
    <row r="1942" spans="1:14" s="32" customFormat="1" hidden="1" x14ac:dyDescent="0.3">
      <c r="A1942" s="38">
        <v>46205.71503472222</v>
      </c>
      <c r="B1942" s="32">
        <v>44998039090</v>
      </c>
      <c r="C1942" s="32" t="s">
        <v>1038</v>
      </c>
      <c r="D1942" s="32">
        <v>4430265054</v>
      </c>
      <c r="E1942" s="32">
        <v>411</v>
      </c>
      <c r="F1942" s="32">
        <v>364</v>
      </c>
      <c r="G1942" s="32" t="s">
        <v>44</v>
      </c>
      <c r="H1942" s="32" t="s">
        <v>2011</v>
      </c>
      <c r="I1942" s="32" t="s">
        <v>40</v>
      </c>
      <c r="J1942" s="32" t="s">
        <v>46</v>
      </c>
      <c r="K1942" s="32" t="s">
        <v>42</v>
      </c>
      <c r="L1942" s="32">
        <v>4</v>
      </c>
      <c r="M1942" s="32" t="s">
        <v>1040</v>
      </c>
      <c r="N1942" s="32" t="s">
        <v>1038</v>
      </c>
    </row>
    <row r="1943" spans="1:14" s="32" customFormat="1" hidden="1" x14ac:dyDescent="0.3">
      <c r="A1943" s="38">
        <v>46205.708495370367</v>
      </c>
      <c r="B1943" s="32">
        <v>1131515685</v>
      </c>
      <c r="C1943" s="32" t="s">
        <v>1352</v>
      </c>
      <c r="D1943" s="32">
        <v>4430265054</v>
      </c>
      <c r="E1943" s="32">
        <v>461</v>
      </c>
      <c r="F1943" s="32">
        <v>338</v>
      </c>
      <c r="G1943" s="32" t="s">
        <v>44</v>
      </c>
      <c r="H1943" s="32" t="s">
        <v>2012</v>
      </c>
      <c r="I1943" s="32" t="s">
        <v>40</v>
      </c>
      <c r="J1943" s="32" t="s">
        <v>46</v>
      </c>
      <c r="K1943" s="32" t="s">
        <v>42</v>
      </c>
      <c r="M1943" s="32" t="s">
        <v>1354</v>
      </c>
      <c r="N1943" s="32" t="s">
        <v>1352</v>
      </c>
    </row>
    <row r="1944" spans="1:14" s="32" customFormat="1" hidden="1" x14ac:dyDescent="0.3">
      <c r="A1944" s="38">
        <v>46205.705208333333</v>
      </c>
      <c r="B1944" s="32">
        <v>93991495484</v>
      </c>
      <c r="C1944" s="32" t="s">
        <v>1038</v>
      </c>
      <c r="D1944" s="32">
        <v>4430265054</v>
      </c>
      <c r="E1944" s="32">
        <v>299</v>
      </c>
      <c r="F1944" s="32">
        <v>257</v>
      </c>
      <c r="G1944" s="32" t="s">
        <v>44</v>
      </c>
      <c r="H1944" s="32" t="s">
        <v>2013</v>
      </c>
      <c r="I1944" s="32" t="s">
        <v>40</v>
      </c>
      <c r="J1944" s="32" t="s">
        <v>46</v>
      </c>
      <c r="K1944" s="32" t="s">
        <v>42</v>
      </c>
      <c r="M1944" s="32" t="s">
        <v>1040</v>
      </c>
      <c r="N1944" s="32" t="s">
        <v>1038</v>
      </c>
    </row>
    <row r="1945" spans="1:14" s="32" customFormat="1" hidden="1" x14ac:dyDescent="0.3">
      <c r="A1945" s="38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38</v>
      </c>
      <c r="H1945" s="32" t="s">
        <v>2014</v>
      </c>
      <c r="I1945" s="32" t="s">
        <v>40</v>
      </c>
      <c r="J1945" s="32" t="s">
        <v>41</v>
      </c>
    </row>
    <row r="1946" spans="1:14" s="32" customFormat="1" hidden="1" x14ac:dyDescent="0.3">
      <c r="A1946" s="38">
        <v>46205.702268518522</v>
      </c>
      <c r="B1946" s="32" t="s">
        <v>43</v>
      </c>
      <c r="C1946" s="32">
        <v>4436249360</v>
      </c>
      <c r="E1946" s="32">
        <v>754</v>
      </c>
      <c r="F1946" s="32">
        <v>743</v>
      </c>
      <c r="G1946" s="32" t="s">
        <v>44</v>
      </c>
      <c r="H1946" s="32" t="s">
        <v>2015</v>
      </c>
      <c r="I1946" s="32" t="s">
        <v>54</v>
      </c>
      <c r="J1946" s="32" t="s">
        <v>46</v>
      </c>
      <c r="M1946" s="32" t="s">
        <v>47</v>
      </c>
      <c r="N1946" s="32" t="s">
        <v>43</v>
      </c>
    </row>
    <row r="1947" spans="1:14" s="32" customFormat="1" hidden="1" x14ac:dyDescent="0.3">
      <c r="A1947" s="38">
        <v>46205.686874999999</v>
      </c>
      <c r="B1947" s="32">
        <v>35998295948</v>
      </c>
      <c r="C1947" s="32" t="s">
        <v>1352</v>
      </c>
      <c r="D1947" s="32">
        <v>4430265054</v>
      </c>
      <c r="E1947" s="32">
        <v>488</v>
      </c>
      <c r="F1947" s="32">
        <v>466</v>
      </c>
      <c r="G1947" s="32" t="s">
        <v>44</v>
      </c>
      <c r="H1947" s="32" t="s">
        <v>2016</v>
      </c>
      <c r="I1947" s="32" t="s">
        <v>40</v>
      </c>
      <c r="J1947" s="32" t="s">
        <v>46</v>
      </c>
      <c r="K1947" s="32" t="s">
        <v>42</v>
      </c>
      <c r="L1947" s="32">
        <v>5</v>
      </c>
      <c r="M1947" s="32" t="s">
        <v>1354</v>
      </c>
      <c r="N1947" s="32" t="s">
        <v>1352</v>
      </c>
    </row>
    <row r="1948" spans="1:14" s="32" customFormat="1" hidden="1" x14ac:dyDescent="0.3">
      <c r="A1948" s="38">
        <v>46205.681516203702</v>
      </c>
      <c r="B1948" s="32">
        <v>41997840159</v>
      </c>
      <c r="C1948" s="32" t="s">
        <v>1038</v>
      </c>
      <c r="D1948" s="32">
        <v>4430265054</v>
      </c>
      <c r="E1948" s="32">
        <v>330</v>
      </c>
      <c r="F1948" s="32">
        <v>265</v>
      </c>
      <c r="G1948" s="32" t="s">
        <v>44</v>
      </c>
      <c r="H1948" s="32" t="s">
        <v>2017</v>
      </c>
      <c r="I1948" s="32" t="s">
        <v>40</v>
      </c>
      <c r="J1948" s="32" t="s">
        <v>46</v>
      </c>
      <c r="K1948" s="32" t="s">
        <v>42</v>
      </c>
      <c r="L1948" s="32">
        <v>5</v>
      </c>
      <c r="M1948" s="32" t="s">
        <v>1040</v>
      </c>
      <c r="N1948" s="32" t="s">
        <v>1038</v>
      </c>
    </row>
    <row r="1949" spans="1:14" s="32" customFormat="1" hidden="1" x14ac:dyDescent="0.3">
      <c r="A1949" s="38">
        <v>46205.681284722225</v>
      </c>
      <c r="B1949" s="32">
        <v>93991495484</v>
      </c>
      <c r="C1949" s="32" t="s">
        <v>1038</v>
      </c>
      <c r="D1949" s="32">
        <v>4430265054</v>
      </c>
      <c r="E1949" s="32">
        <v>74</v>
      </c>
      <c r="F1949" s="32">
        <v>26</v>
      </c>
      <c r="G1949" s="32" t="s">
        <v>44</v>
      </c>
      <c r="H1949" s="32" t="s">
        <v>2018</v>
      </c>
      <c r="I1949" s="32" t="s">
        <v>40</v>
      </c>
      <c r="J1949" s="32" t="s">
        <v>46</v>
      </c>
      <c r="K1949" s="32" t="s">
        <v>42</v>
      </c>
      <c r="M1949" s="32" t="s">
        <v>1040</v>
      </c>
      <c r="N1949" s="32" t="s">
        <v>1038</v>
      </c>
    </row>
    <row r="1950" spans="1:14" s="32" customFormat="1" hidden="1" x14ac:dyDescent="0.3">
      <c r="A1950" s="38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38</v>
      </c>
      <c r="H1950" s="32" t="s">
        <v>2019</v>
      </c>
      <c r="I1950" s="32" t="s">
        <v>40</v>
      </c>
      <c r="J1950" s="32" t="s">
        <v>41</v>
      </c>
      <c r="K1950" s="32" t="s">
        <v>42</v>
      </c>
    </row>
    <row r="1951" spans="1:14" s="32" customFormat="1" hidden="1" x14ac:dyDescent="0.3">
      <c r="A1951" s="38">
        <v>46205.672777777778</v>
      </c>
      <c r="B1951" s="32" t="s">
        <v>109</v>
      </c>
      <c r="C1951" s="32">
        <v>61995515867</v>
      </c>
      <c r="E1951" s="32">
        <v>13</v>
      </c>
      <c r="F1951" s="32">
        <v>5</v>
      </c>
      <c r="G1951" s="32" t="s">
        <v>44</v>
      </c>
      <c r="H1951" s="32" t="s">
        <v>2020</v>
      </c>
      <c r="I1951" s="32" t="s">
        <v>54</v>
      </c>
      <c r="J1951" s="32" t="s">
        <v>111</v>
      </c>
      <c r="M1951" s="32" t="s">
        <v>112</v>
      </c>
      <c r="N1951" s="32" t="s">
        <v>109</v>
      </c>
    </row>
    <row r="1952" spans="1:14" s="32" customFormat="1" hidden="1" x14ac:dyDescent="0.3">
      <c r="A1952" s="38">
        <v>46205.661979166667</v>
      </c>
      <c r="B1952" s="32">
        <v>44997123083</v>
      </c>
      <c r="C1952" s="32" t="s">
        <v>1352</v>
      </c>
      <c r="D1952" s="32">
        <v>4430265054</v>
      </c>
      <c r="E1952" s="32">
        <v>236</v>
      </c>
      <c r="F1952" s="32">
        <v>186</v>
      </c>
      <c r="G1952" s="32" t="s">
        <v>44</v>
      </c>
      <c r="H1952" s="32" t="s">
        <v>2021</v>
      </c>
      <c r="I1952" s="32" t="s">
        <v>40</v>
      </c>
      <c r="J1952" s="32" t="s">
        <v>46</v>
      </c>
      <c r="K1952" s="32" t="s">
        <v>42</v>
      </c>
      <c r="M1952" s="32" t="s">
        <v>1354</v>
      </c>
      <c r="N1952" s="32" t="s">
        <v>1352</v>
      </c>
    </row>
    <row r="1953" spans="1:14" s="32" customFormat="1" hidden="1" x14ac:dyDescent="0.3">
      <c r="A1953" s="38">
        <v>46205.660578703704</v>
      </c>
      <c r="B1953" s="32">
        <v>41999717893</v>
      </c>
      <c r="C1953" s="32" t="s">
        <v>58</v>
      </c>
      <c r="D1953" s="32">
        <v>4430265054</v>
      </c>
      <c r="E1953" s="32">
        <v>408</v>
      </c>
      <c r="F1953" s="32">
        <v>407</v>
      </c>
      <c r="G1953" s="32" t="s">
        <v>44</v>
      </c>
      <c r="H1953" s="32" t="s">
        <v>2022</v>
      </c>
      <c r="I1953" s="32" t="s">
        <v>40</v>
      </c>
      <c r="J1953" s="32" t="s">
        <v>46</v>
      </c>
      <c r="K1953" s="32" t="s">
        <v>42</v>
      </c>
      <c r="M1953" s="32" t="s">
        <v>60</v>
      </c>
      <c r="N1953" s="32" t="s">
        <v>58</v>
      </c>
    </row>
    <row r="1954" spans="1:14" s="32" customFormat="1" hidden="1" x14ac:dyDescent="0.3">
      <c r="A1954" s="38">
        <v>46205.652002314811</v>
      </c>
      <c r="B1954" s="32">
        <v>1438160351</v>
      </c>
      <c r="C1954" s="32" t="s">
        <v>43</v>
      </c>
      <c r="D1954" s="32">
        <v>4430265054</v>
      </c>
      <c r="E1954" s="32">
        <v>597</v>
      </c>
      <c r="F1954" s="32">
        <v>567</v>
      </c>
      <c r="G1954" s="32" t="s">
        <v>44</v>
      </c>
      <c r="H1954" s="32" t="s">
        <v>2023</v>
      </c>
      <c r="I1954" s="32" t="s">
        <v>40</v>
      </c>
      <c r="J1954" s="32" t="s">
        <v>46</v>
      </c>
      <c r="K1954" s="32" t="s">
        <v>42</v>
      </c>
      <c r="M1954" s="32" t="s">
        <v>47</v>
      </c>
      <c r="N1954" s="32" t="s">
        <v>43</v>
      </c>
    </row>
    <row r="1955" spans="1:14" s="32" customFormat="1" hidden="1" x14ac:dyDescent="0.3">
      <c r="A1955" s="38">
        <v>46205.651620370372</v>
      </c>
      <c r="B1955" s="32">
        <v>4435341422</v>
      </c>
      <c r="C1955" s="32" t="s">
        <v>1352</v>
      </c>
      <c r="D1955" s="32">
        <v>4430265054</v>
      </c>
      <c r="E1955" s="32">
        <v>476</v>
      </c>
      <c r="F1955" s="32">
        <v>459</v>
      </c>
      <c r="G1955" s="32" t="s">
        <v>44</v>
      </c>
      <c r="H1955" s="32" t="s">
        <v>2024</v>
      </c>
      <c r="I1955" s="32" t="s">
        <v>40</v>
      </c>
      <c r="J1955" s="32" t="s">
        <v>46</v>
      </c>
      <c r="K1955" s="32" t="s">
        <v>42</v>
      </c>
      <c r="L1955" s="32">
        <v>5</v>
      </c>
      <c r="M1955" s="32" t="s">
        <v>1354</v>
      </c>
      <c r="N1955" s="32" t="s">
        <v>1352</v>
      </c>
    </row>
    <row r="1956" spans="1:14" s="32" customFormat="1" hidden="1" x14ac:dyDescent="0.3">
      <c r="A1956" s="38">
        <v>46205.649050925924</v>
      </c>
      <c r="B1956" s="32">
        <v>1143744993</v>
      </c>
      <c r="C1956" s="32" t="s">
        <v>43</v>
      </c>
      <c r="D1956" s="32">
        <v>4431268225</v>
      </c>
      <c r="E1956" s="32">
        <v>135</v>
      </c>
      <c r="F1956" s="32">
        <v>112</v>
      </c>
      <c r="G1956" s="32" t="s">
        <v>44</v>
      </c>
      <c r="H1956" s="32" t="s">
        <v>2025</v>
      </c>
      <c r="I1956" s="32" t="s">
        <v>40</v>
      </c>
      <c r="J1956" s="32" t="s">
        <v>46</v>
      </c>
      <c r="K1956" s="32" t="s">
        <v>42</v>
      </c>
      <c r="M1956" s="32" t="s">
        <v>47</v>
      </c>
      <c r="N1956" s="32" t="s">
        <v>43</v>
      </c>
    </row>
    <row r="1957" spans="1:14" s="32" customFormat="1" hidden="1" x14ac:dyDescent="0.3">
      <c r="A1957" s="38">
        <v>46205.648472222223</v>
      </c>
      <c r="B1957" s="32">
        <v>35998295948</v>
      </c>
      <c r="C1957" s="32" t="s">
        <v>1038</v>
      </c>
      <c r="D1957" s="32">
        <v>4430265054</v>
      </c>
      <c r="E1957" s="32">
        <v>607</v>
      </c>
      <c r="F1957" s="32">
        <v>571</v>
      </c>
      <c r="G1957" s="32" t="s">
        <v>44</v>
      </c>
      <c r="H1957" s="32" t="s">
        <v>2026</v>
      </c>
      <c r="I1957" s="32" t="s">
        <v>40</v>
      </c>
      <c r="J1957" s="32" t="s">
        <v>46</v>
      </c>
      <c r="K1957" s="32" t="s">
        <v>42</v>
      </c>
      <c r="M1957" s="32" t="s">
        <v>1040</v>
      </c>
      <c r="N1957" s="32" t="s">
        <v>1038</v>
      </c>
    </row>
    <row r="1958" spans="1:14" s="32" customFormat="1" hidden="1" x14ac:dyDescent="0.3">
      <c r="A1958" s="38">
        <v>46205.633067129631</v>
      </c>
      <c r="B1958" s="32">
        <v>44997456641</v>
      </c>
      <c r="C1958" s="32" t="s">
        <v>43</v>
      </c>
      <c r="D1958" s="32">
        <v>4430265054</v>
      </c>
      <c r="E1958" s="32">
        <v>835</v>
      </c>
      <c r="F1958" s="32">
        <v>650</v>
      </c>
      <c r="G1958" s="32" t="s">
        <v>44</v>
      </c>
      <c r="H1958" s="32" t="s">
        <v>2027</v>
      </c>
      <c r="I1958" s="32" t="s">
        <v>40</v>
      </c>
      <c r="J1958" s="32" t="s">
        <v>46</v>
      </c>
      <c r="K1958" s="32" t="s">
        <v>42</v>
      </c>
      <c r="M1958" s="32" t="s">
        <v>47</v>
      </c>
      <c r="N1958" s="32" t="s">
        <v>43</v>
      </c>
    </row>
    <row r="1959" spans="1:14" s="32" customFormat="1" hidden="1" x14ac:dyDescent="0.3">
      <c r="A1959" s="38">
        <v>46205.631736111114</v>
      </c>
      <c r="B1959" s="32" t="s">
        <v>109</v>
      </c>
      <c r="C1959" s="32">
        <v>22992461154</v>
      </c>
      <c r="E1959" s="32">
        <v>15</v>
      </c>
      <c r="F1959" s="32">
        <v>2</v>
      </c>
      <c r="G1959" s="32" t="s">
        <v>44</v>
      </c>
      <c r="H1959" s="32" t="s">
        <v>2028</v>
      </c>
      <c r="I1959" s="32" t="s">
        <v>54</v>
      </c>
      <c r="J1959" s="32" t="s">
        <v>111</v>
      </c>
      <c r="M1959" s="32" t="s">
        <v>112</v>
      </c>
      <c r="N1959" s="32" t="s">
        <v>109</v>
      </c>
    </row>
    <row r="1960" spans="1:14" s="32" customFormat="1" hidden="1" x14ac:dyDescent="0.3">
      <c r="A1960" s="38">
        <v>46205.630787037036</v>
      </c>
      <c r="B1960" s="32" t="s">
        <v>109</v>
      </c>
      <c r="C1960" s="32">
        <v>21972607180</v>
      </c>
      <c r="E1960" s="32">
        <v>17</v>
      </c>
      <c r="F1960" s="32">
        <v>0</v>
      </c>
      <c r="G1960" s="32" t="s">
        <v>63</v>
      </c>
      <c r="H1960" s="32" t="s">
        <v>2029</v>
      </c>
      <c r="I1960" s="32" t="s">
        <v>54</v>
      </c>
      <c r="J1960" s="32" t="s">
        <v>111</v>
      </c>
      <c r="M1960" s="32" t="s">
        <v>112</v>
      </c>
      <c r="N1960" s="32" t="s">
        <v>109</v>
      </c>
    </row>
    <row r="1961" spans="1:14" s="32" customFormat="1" hidden="1" x14ac:dyDescent="0.3">
      <c r="A1961" s="38">
        <v>46205.627743055556</v>
      </c>
      <c r="B1961" s="32">
        <v>4431337559</v>
      </c>
      <c r="C1961" s="32" t="s">
        <v>43</v>
      </c>
      <c r="D1961" s="32">
        <v>4430265054</v>
      </c>
      <c r="E1961" s="32">
        <v>593</v>
      </c>
      <c r="F1961" s="32">
        <v>547</v>
      </c>
      <c r="G1961" s="32" t="s">
        <v>44</v>
      </c>
      <c r="H1961" s="32" t="s">
        <v>2030</v>
      </c>
      <c r="I1961" s="32" t="s">
        <v>40</v>
      </c>
      <c r="J1961" s="32" t="s">
        <v>46</v>
      </c>
      <c r="K1961" s="32" t="s">
        <v>42</v>
      </c>
      <c r="M1961" s="32" t="s">
        <v>47</v>
      </c>
      <c r="N1961" s="32" t="s">
        <v>43</v>
      </c>
    </row>
    <row r="1962" spans="1:14" s="32" customFormat="1" hidden="1" x14ac:dyDescent="0.3">
      <c r="A1962" s="38">
        <v>46205.627291666664</v>
      </c>
      <c r="B1962" s="32">
        <v>41999717893</v>
      </c>
      <c r="C1962" s="32" t="s">
        <v>43</v>
      </c>
      <c r="D1962" s="32">
        <v>4430265054</v>
      </c>
      <c r="E1962" s="32">
        <v>82</v>
      </c>
      <c r="F1962" s="32">
        <v>61</v>
      </c>
      <c r="G1962" s="32" t="s">
        <v>44</v>
      </c>
      <c r="H1962" s="32" t="s">
        <v>2031</v>
      </c>
      <c r="I1962" s="32" t="s">
        <v>40</v>
      </c>
      <c r="J1962" s="32" t="s">
        <v>46</v>
      </c>
      <c r="K1962" s="32" t="s">
        <v>42</v>
      </c>
      <c r="M1962" s="32" t="s">
        <v>47</v>
      </c>
      <c r="N1962" s="32" t="s">
        <v>43</v>
      </c>
    </row>
    <row r="1963" spans="1:14" s="32" customFormat="1" hidden="1" x14ac:dyDescent="0.3">
      <c r="A1963" s="38">
        <v>46205.626064814816</v>
      </c>
      <c r="B1963" s="32">
        <v>43996893235</v>
      </c>
      <c r="C1963" s="32" t="s">
        <v>1038</v>
      </c>
      <c r="D1963" s="32">
        <v>4430265054</v>
      </c>
      <c r="E1963" s="32">
        <v>267</v>
      </c>
      <c r="F1963" s="32">
        <v>227</v>
      </c>
      <c r="G1963" s="32" t="s">
        <v>44</v>
      </c>
      <c r="H1963" s="32" t="s">
        <v>2032</v>
      </c>
      <c r="I1963" s="32" t="s">
        <v>40</v>
      </c>
      <c r="J1963" s="32" t="s">
        <v>46</v>
      </c>
      <c r="K1963" s="32" t="s">
        <v>42</v>
      </c>
      <c r="M1963" s="32" t="s">
        <v>1040</v>
      </c>
      <c r="N1963" s="32" t="s">
        <v>1038</v>
      </c>
    </row>
    <row r="1964" spans="1:14" s="32" customFormat="1" hidden="1" x14ac:dyDescent="0.3">
      <c r="A1964" s="38">
        <v>46205.623148148145</v>
      </c>
      <c r="B1964" s="32">
        <v>4430145899</v>
      </c>
      <c r="C1964" s="32" t="s">
        <v>58</v>
      </c>
      <c r="D1964" s="32">
        <v>4430265054</v>
      </c>
      <c r="E1964" s="32">
        <v>169</v>
      </c>
      <c r="F1964" s="32">
        <v>168</v>
      </c>
      <c r="G1964" s="32" t="s">
        <v>44</v>
      </c>
      <c r="H1964" s="32" t="s">
        <v>2033</v>
      </c>
      <c r="I1964" s="32" t="s">
        <v>40</v>
      </c>
      <c r="J1964" s="32" t="s">
        <v>46</v>
      </c>
      <c r="K1964" s="32" t="s">
        <v>42</v>
      </c>
      <c r="M1964" s="32" t="s">
        <v>60</v>
      </c>
      <c r="N1964" s="32" t="s">
        <v>58</v>
      </c>
    </row>
    <row r="1965" spans="1:14" s="32" customFormat="1" hidden="1" x14ac:dyDescent="0.3">
      <c r="A1965" s="38">
        <v>46205.621817129628</v>
      </c>
      <c r="B1965" s="32" t="s">
        <v>109</v>
      </c>
      <c r="C1965" s="32">
        <v>11983800938</v>
      </c>
      <c r="E1965" s="32">
        <v>42</v>
      </c>
      <c r="F1965" s="32">
        <v>2</v>
      </c>
      <c r="G1965" s="32" t="s">
        <v>44</v>
      </c>
      <c r="H1965" s="32" t="s">
        <v>2034</v>
      </c>
      <c r="I1965" s="32" t="s">
        <v>54</v>
      </c>
      <c r="J1965" s="32" t="s">
        <v>111</v>
      </c>
      <c r="M1965" s="32" t="s">
        <v>112</v>
      </c>
      <c r="N1965" s="32" t="s">
        <v>109</v>
      </c>
    </row>
    <row r="1966" spans="1:14" s="32" customFormat="1" hidden="1" x14ac:dyDescent="0.3">
      <c r="A1966" s="38">
        <v>46205.621423611112</v>
      </c>
      <c r="B1966" s="32">
        <v>4430414545</v>
      </c>
      <c r="C1966" s="32" t="s">
        <v>1038</v>
      </c>
      <c r="D1966" s="32">
        <v>4430265054</v>
      </c>
      <c r="E1966" s="32">
        <v>176</v>
      </c>
      <c r="F1966" s="32">
        <v>58</v>
      </c>
      <c r="G1966" s="32" t="s">
        <v>44</v>
      </c>
      <c r="H1966" s="32" t="s">
        <v>2035</v>
      </c>
      <c r="I1966" s="32" t="s">
        <v>40</v>
      </c>
      <c r="J1966" s="32" t="s">
        <v>46</v>
      </c>
      <c r="K1966" s="32" t="s">
        <v>42</v>
      </c>
      <c r="M1966" s="32" t="s">
        <v>1040</v>
      </c>
      <c r="N1966" s="32" t="s">
        <v>1038</v>
      </c>
    </row>
    <row r="1967" spans="1:14" s="32" customFormat="1" hidden="1" x14ac:dyDescent="0.3">
      <c r="A1967" s="38">
        <v>46205.621041666665</v>
      </c>
      <c r="B1967" s="32">
        <v>44998761561</v>
      </c>
      <c r="C1967" s="32" t="s">
        <v>1352</v>
      </c>
      <c r="D1967" s="32">
        <v>4430265054</v>
      </c>
      <c r="E1967" s="32">
        <v>1228</v>
      </c>
      <c r="F1967" s="32">
        <v>1129</v>
      </c>
      <c r="G1967" s="32" t="s">
        <v>44</v>
      </c>
      <c r="H1967" s="32" t="s">
        <v>2036</v>
      </c>
      <c r="I1967" s="32" t="s">
        <v>40</v>
      </c>
      <c r="J1967" s="32" t="s">
        <v>46</v>
      </c>
      <c r="K1967" s="32" t="s">
        <v>42</v>
      </c>
      <c r="L1967" s="32">
        <v>5</v>
      </c>
      <c r="M1967" s="32" t="s">
        <v>1354</v>
      </c>
      <c r="N1967" s="32" t="s">
        <v>1352</v>
      </c>
    </row>
    <row r="1968" spans="1:14" s="32" customFormat="1" hidden="1" x14ac:dyDescent="0.3">
      <c r="A1968" s="38">
        <v>46205.614189814813</v>
      </c>
      <c r="B1968" s="32">
        <v>4436249360</v>
      </c>
      <c r="C1968" s="32" t="s">
        <v>43</v>
      </c>
      <c r="D1968" s="32">
        <v>4430265054</v>
      </c>
      <c r="E1968" s="32">
        <v>772</v>
      </c>
      <c r="F1968" s="32">
        <v>728</v>
      </c>
      <c r="G1968" s="32" t="s">
        <v>44</v>
      </c>
      <c r="H1968" s="32" t="s">
        <v>2037</v>
      </c>
      <c r="I1968" s="32" t="s">
        <v>40</v>
      </c>
      <c r="J1968" s="32" t="s">
        <v>46</v>
      </c>
      <c r="K1968" s="32" t="s">
        <v>42</v>
      </c>
      <c r="M1968" s="32" t="s">
        <v>47</v>
      </c>
      <c r="N1968" s="32" t="s">
        <v>43</v>
      </c>
    </row>
    <row r="1969" spans="1:14" s="32" customFormat="1" hidden="1" x14ac:dyDescent="0.3">
      <c r="A1969" s="38">
        <v>46205.613657407404</v>
      </c>
      <c r="B1969" s="32">
        <v>44997343311</v>
      </c>
      <c r="C1969" s="32" t="s">
        <v>1038</v>
      </c>
      <c r="D1969" s="32">
        <v>4430265054</v>
      </c>
      <c r="E1969" s="32">
        <v>347</v>
      </c>
      <c r="F1969" s="32">
        <v>304</v>
      </c>
      <c r="G1969" s="32" t="s">
        <v>44</v>
      </c>
      <c r="H1969" s="32" t="s">
        <v>2038</v>
      </c>
      <c r="I1969" s="32" t="s">
        <v>40</v>
      </c>
      <c r="J1969" s="32" t="s">
        <v>46</v>
      </c>
      <c r="K1969" s="32" t="s">
        <v>42</v>
      </c>
      <c r="L1969" s="32">
        <v>5</v>
      </c>
      <c r="M1969" s="32" t="s">
        <v>1040</v>
      </c>
      <c r="N1969" s="32" t="s">
        <v>1038</v>
      </c>
    </row>
    <row r="1970" spans="1:14" s="32" customFormat="1" hidden="1" x14ac:dyDescent="0.3">
      <c r="A1970" s="38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38</v>
      </c>
      <c r="H1970" s="32" t="s">
        <v>2039</v>
      </c>
      <c r="I1970" s="32" t="s">
        <v>40</v>
      </c>
      <c r="J1970" s="32" t="s">
        <v>41</v>
      </c>
    </row>
    <row r="1971" spans="1:14" s="32" customFormat="1" hidden="1" x14ac:dyDescent="0.3">
      <c r="A1971" s="38">
        <v>46205.611747685187</v>
      </c>
      <c r="B1971" s="32">
        <v>44997735525</v>
      </c>
      <c r="C1971" s="32" t="s">
        <v>1352</v>
      </c>
      <c r="D1971" s="32">
        <v>4430265054</v>
      </c>
      <c r="E1971" s="32">
        <v>451</v>
      </c>
      <c r="F1971" s="32">
        <v>392</v>
      </c>
      <c r="G1971" s="32" t="s">
        <v>44</v>
      </c>
      <c r="H1971" s="32" t="s">
        <v>2040</v>
      </c>
      <c r="I1971" s="32" t="s">
        <v>40</v>
      </c>
      <c r="J1971" s="32" t="s">
        <v>46</v>
      </c>
      <c r="K1971" s="32" t="s">
        <v>42</v>
      </c>
      <c r="L1971" s="32">
        <v>5</v>
      </c>
      <c r="M1971" s="32" t="s">
        <v>1354</v>
      </c>
      <c r="N1971" s="32" t="s">
        <v>1352</v>
      </c>
    </row>
    <row r="1972" spans="1:14" s="32" customFormat="1" hidden="1" x14ac:dyDescent="0.3">
      <c r="A1972" s="38">
        <v>46205.608194444445</v>
      </c>
      <c r="B1972" s="32" t="s">
        <v>43</v>
      </c>
      <c r="C1972" s="32">
        <v>12997346335</v>
      </c>
      <c r="E1972" s="32">
        <v>459</v>
      </c>
      <c r="F1972" s="32">
        <v>441</v>
      </c>
      <c r="G1972" s="32" t="s">
        <v>44</v>
      </c>
      <c r="H1972" s="32" t="s">
        <v>2041</v>
      </c>
      <c r="I1972" s="32" t="s">
        <v>54</v>
      </c>
      <c r="J1972" s="32" t="s">
        <v>46</v>
      </c>
      <c r="L1972" s="32">
        <v>5</v>
      </c>
      <c r="M1972" s="32" t="s">
        <v>47</v>
      </c>
      <c r="N1972" s="32" t="s">
        <v>43</v>
      </c>
    </row>
    <row r="1973" spans="1:14" s="32" customFormat="1" hidden="1" x14ac:dyDescent="0.3">
      <c r="A1973" s="38">
        <v>46205.601284722223</v>
      </c>
      <c r="B1973" s="32">
        <v>4430315826</v>
      </c>
      <c r="C1973" s="32" t="s">
        <v>58</v>
      </c>
      <c r="D1973" s="32">
        <v>4430265054</v>
      </c>
      <c r="E1973" s="32">
        <v>549</v>
      </c>
      <c r="F1973" s="32">
        <v>548</v>
      </c>
      <c r="G1973" s="32" t="s">
        <v>44</v>
      </c>
      <c r="H1973" s="32" t="s">
        <v>2042</v>
      </c>
      <c r="I1973" s="32" t="s">
        <v>40</v>
      </c>
      <c r="J1973" s="32" t="s">
        <v>46</v>
      </c>
      <c r="K1973" s="32" t="s">
        <v>42</v>
      </c>
      <c r="M1973" s="32" t="s">
        <v>60</v>
      </c>
      <c r="N1973" s="32" t="s">
        <v>58</v>
      </c>
    </row>
    <row r="1974" spans="1:14" s="32" customFormat="1" hidden="1" x14ac:dyDescent="0.3">
      <c r="A1974" s="38">
        <v>46205.600011574075</v>
      </c>
      <c r="B1974" s="32">
        <v>44999917849</v>
      </c>
      <c r="C1974" s="32" t="s">
        <v>43</v>
      </c>
      <c r="D1974" s="32">
        <v>4430265054</v>
      </c>
      <c r="E1974" s="32">
        <v>686</v>
      </c>
      <c r="F1974" s="32">
        <v>608</v>
      </c>
      <c r="G1974" s="32" t="s">
        <v>44</v>
      </c>
      <c r="H1974" s="32" t="s">
        <v>2043</v>
      </c>
      <c r="I1974" s="32" t="s">
        <v>40</v>
      </c>
      <c r="J1974" s="32" t="s">
        <v>46</v>
      </c>
      <c r="K1974" s="32" t="s">
        <v>42</v>
      </c>
      <c r="M1974" s="32" t="s">
        <v>47</v>
      </c>
      <c r="N1974" s="32" t="s">
        <v>43</v>
      </c>
    </row>
    <row r="1975" spans="1:14" s="32" customFormat="1" hidden="1" x14ac:dyDescent="0.3">
      <c r="A1975" s="38">
        <v>46205.591041666667</v>
      </c>
      <c r="B1975" s="32">
        <v>44998266194</v>
      </c>
      <c r="C1975" s="32" t="s">
        <v>43</v>
      </c>
      <c r="D1975" s="32">
        <v>4431268225</v>
      </c>
      <c r="E1975" s="32">
        <v>563</v>
      </c>
      <c r="F1975" s="32">
        <v>405</v>
      </c>
      <c r="G1975" s="32" t="s">
        <v>44</v>
      </c>
      <c r="H1975" s="32" t="s">
        <v>2044</v>
      </c>
      <c r="I1975" s="32" t="s">
        <v>40</v>
      </c>
      <c r="J1975" s="32" t="s">
        <v>46</v>
      </c>
      <c r="K1975" s="32" t="s">
        <v>42</v>
      </c>
      <c r="M1975" s="32" t="s">
        <v>47</v>
      </c>
      <c r="N1975" s="32" t="s">
        <v>43</v>
      </c>
    </row>
    <row r="1976" spans="1:14" s="32" customFormat="1" hidden="1" x14ac:dyDescent="0.3">
      <c r="A1976" s="38">
        <v>46205.590821759259</v>
      </c>
      <c r="B1976" s="32">
        <v>4330333542</v>
      </c>
      <c r="C1976" s="32" t="s">
        <v>1038</v>
      </c>
      <c r="D1976" s="32">
        <v>4430265054</v>
      </c>
      <c r="E1976" s="32">
        <v>1492</v>
      </c>
      <c r="F1976" s="32">
        <v>1326</v>
      </c>
      <c r="G1976" s="32" t="s">
        <v>44</v>
      </c>
      <c r="H1976" s="32" t="s">
        <v>2045</v>
      </c>
      <c r="I1976" s="32" t="s">
        <v>40</v>
      </c>
      <c r="J1976" s="32" t="s">
        <v>46</v>
      </c>
      <c r="K1976" s="32" t="s">
        <v>42</v>
      </c>
      <c r="M1976" s="32" t="s">
        <v>1040</v>
      </c>
      <c r="N1976" s="32" t="s">
        <v>1038</v>
      </c>
    </row>
    <row r="1977" spans="1:14" s="32" customFormat="1" hidden="1" x14ac:dyDescent="0.3">
      <c r="A1977" s="38">
        <v>46205.587453703702</v>
      </c>
      <c r="B1977" s="32">
        <v>43988030048</v>
      </c>
      <c r="C1977" s="32" t="s">
        <v>1038</v>
      </c>
      <c r="D1977" s="32">
        <v>4430265054</v>
      </c>
      <c r="E1977" s="32">
        <v>258</v>
      </c>
      <c r="F1977" s="32">
        <v>209</v>
      </c>
      <c r="G1977" s="32" t="s">
        <v>44</v>
      </c>
      <c r="H1977" s="32" t="s">
        <v>2046</v>
      </c>
      <c r="I1977" s="32" t="s">
        <v>40</v>
      </c>
      <c r="J1977" s="32" t="s">
        <v>46</v>
      </c>
      <c r="K1977" s="32" t="s">
        <v>42</v>
      </c>
      <c r="M1977" s="32" t="s">
        <v>1040</v>
      </c>
      <c r="N1977" s="32" t="s">
        <v>1038</v>
      </c>
    </row>
    <row r="1978" spans="1:14" s="32" customFormat="1" hidden="1" x14ac:dyDescent="0.3">
      <c r="A1978" s="38">
        <v>46205.579282407409</v>
      </c>
      <c r="B1978" s="32" t="s">
        <v>58</v>
      </c>
      <c r="C1978" s="32">
        <v>4433050408</v>
      </c>
      <c r="E1978" s="32">
        <v>28</v>
      </c>
      <c r="F1978" s="32">
        <v>0</v>
      </c>
      <c r="G1978" s="32" t="s">
        <v>63</v>
      </c>
      <c r="H1978" s="32" t="s">
        <v>2047</v>
      </c>
      <c r="I1978" s="32" t="s">
        <v>54</v>
      </c>
      <c r="J1978" s="32" t="s">
        <v>46</v>
      </c>
      <c r="M1978" s="32" t="s">
        <v>60</v>
      </c>
      <c r="N1978" s="32" t="s">
        <v>58</v>
      </c>
    </row>
    <row r="1979" spans="1:14" s="32" customFormat="1" hidden="1" x14ac:dyDescent="0.3">
      <c r="A1979" s="38">
        <v>46205.578356481485</v>
      </c>
      <c r="B1979" s="32" t="s">
        <v>58</v>
      </c>
      <c r="C1979" s="32">
        <v>4433050408</v>
      </c>
      <c r="E1979" s="32">
        <v>74</v>
      </c>
      <c r="F1979" s="32">
        <v>0</v>
      </c>
      <c r="G1979" s="32" t="s">
        <v>63</v>
      </c>
      <c r="H1979" s="32" t="s">
        <v>2048</v>
      </c>
      <c r="I1979" s="32" t="s">
        <v>54</v>
      </c>
      <c r="J1979" s="32" t="s">
        <v>46</v>
      </c>
      <c r="M1979" s="32" t="s">
        <v>60</v>
      </c>
      <c r="N1979" s="32" t="s">
        <v>58</v>
      </c>
    </row>
    <row r="1980" spans="1:14" s="32" customFormat="1" hidden="1" x14ac:dyDescent="0.3">
      <c r="A1980" s="38">
        <v>46205.573564814818</v>
      </c>
      <c r="B1980" s="32" t="s">
        <v>43</v>
      </c>
      <c r="C1980" s="32">
        <v>44999917849</v>
      </c>
      <c r="E1980" s="32">
        <v>7</v>
      </c>
      <c r="F1980" s="32">
        <v>0</v>
      </c>
      <c r="G1980" s="32" t="s">
        <v>63</v>
      </c>
      <c r="H1980" s="32" t="s">
        <v>2049</v>
      </c>
      <c r="I1980" s="32" t="s">
        <v>54</v>
      </c>
      <c r="J1980" s="32" t="s">
        <v>46</v>
      </c>
      <c r="M1980" s="32" t="s">
        <v>47</v>
      </c>
      <c r="N1980" s="32" t="s">
        <v>43</v>
      </c>
    </row>
    <row r="1981" spans="1:14" s="32" customFormat="1" hidden="1" x14ac:dyDescent="0.3">
      <c r="A1981" s="38">
        <v>46205.563333333332</v>
      </c>
      <c r="B1981" s="32">
        <v>44998640313</v>
      </c>
      <c r="C1981" s="32" t="s">
        <v>1352</v>
      </c>
      <c r="D1981" s="32">
        <v>4430265054</v>
      </c>
      <c r="E1981" s="32">
        <v>611</v>
      </c>
      <c r="F1981" s="32">
        <v>490</v>
      </c>
      <c r="G1981" s="32" t="s">
        <v>44</v>
      </c>
      <c r="H1981" s="32" t="s">
        <v>2050</v>
      </c>
      <c r="I1981" s="32" t="s">
        <v>40</v>
      </c>
      <c r="J1981" s="32" t="s">
        <v>46</v>
      </c>
      <c r="K1981" s="32" t="s">
        <v>42</v>
      </c>
      <c r="M1981" s="32" t="s">
        <v>1354</v>
      </c>
      <c r="N1981" s="32" t="s">
        <v>1352</v>
      </c>
    </row>
    <row r="1982" spans="1:14" s="32" customFormat="1" hidden="1" x14ac:dyDescent="0.3">
      <c r="A1982" s="38">
        <v>46205.487905092596</v>
      </c>
      <c r="B1982" s="32">
        <v>4436281154</v>
      </c>
      <c r="C1982" s="32" t="s">
        <v>1038</v>
      </c>
      <c r="D1982" s="32">
        <v>4430265054</v>
      </c>
      <c r="E1982" s="32">
        <v>437</v>
      </c>
      <c r="F1982" s="32">
        <v>330</v>
      </c>
      <c r="G1982" s="32" t="s">
        <v>44</v>
      </c>
      <c r="H1982" s="32" t="s">
        <v>2051</v>
      </c>
      <c r="I1982" s="32" t="s">
        <v>40</v>
      </c>
      <c r="J1982" s="32" t="s">
        <v>46</v>
      </c>
      <c r="K1982" s="32" t="s">
        <v>42</v>
      </c>
      <c r="L1982" s="32">
        <v>4</v>
      </c>
      <c r="M1982" s="32" t="s">
        <v>1040</v>
      </c>
      <c r="N1982" s="32" t="s">
        <v>1038</v>
      </c>
    </row>
    <row r="1983" spans="1:14" s="32" customFormat="1" hidden="1" x14ac:dyDescent="0.3">
      <c r="A1983" s="38">
        <v>46205.485196759262</v>
      </c>
      <c r="B1983" s="32">
        <v>44997123083</v>
      </c>
      <c r="C1983" s="32" t="s">
        <v>43</v>
      </c>
      <c r="D1983" s="32">
        <v>4430265054</v>
      </c>
      <c r="E1983" s="32">
        <v>247</v>
      </c>
      <c r="F1983" s="32">
        <v>203</v>
      </c>
      <c r="G1983" s="32" t="s">
        <v>44</v>
      </c>
      <c r="H1983" s="32" t="s">
        <v>2052</v>
      </c>
      <c r="I1983" s="32" t="s">
        <v>40</v>
      </c>
      <c r="J1983" s="32" t="s">
        <v>46</v>
      </c>
      <c r="K1983" s="32" t="s">
        <v>42</v>
      </c>
      <c r="L1983" s="32">
        <v>5</v>
      </c>
      <c r="M1983" s="32" t="s">
        <v>47</v>
      </c>
      <c r="N1983" s="32" t="s">
        <v>43</v>
      </c>
    </row>
    <row r="1984" spans="1:14" s="32" customFormat="1" hidden="1" x14ac:dyDescent="0.3">
      <c r="A1984" s="38">
        <v>46205.479537037034</v>
      </c>
      <c r="B1984" s="32">
        <v>4130760170</v>
      </c>
      <c r="C1984" s="32" t="s">
        <v>1352</v>
      </c>
      <c r="D1984" s="32">
        <v>4430265054</v>
      </c>
      <c r="E1984" s="32">
        <v>815</v>
      </c>
      <c r="F1984" s="32">
        <v>753</v>
      </c>
      <c r="G1984" s="32" t="s">
        <v>44</v>
      </c>
      <c r="H1984" s="32" t="s">
        <v>2053</v>
      </c>
      <c r="I1984" s="32" t="s">
        <v>40</v>
      </c>
      <c r="J1984" s="32" t="s">
        <v>46</v>
      </c>
      <c r="K1984" s="32" t="s">
        <v>42</v>
      </c>
      <c r="M1984" s="32" t="s">
        <v>1354</v>
      </c>
      <c r="N1984" s="32" t="s">
        <v>1352</v>
      </c>
    </row>
    <row r="1985" spans="1:14" s="32" customFormat="1" hidden="1" x14ac:dyDescent="0.3">
      <c r="A1985" s="38">
        <v>46205.473402777781</v>
      </c>
      <c r="B1985" s="32" t="s">
        <v>43</v>
      </c>
      <c r="C1985" s="32">
        <v>4130775695</v>
      </c>
      <c r="E1985" s="32">
        <v>312</v>
      </c>
      <c r="F1985" s="32">
        <v>303</v>
      </c>
      <c r="G1985" s="32" t="s">
        <v>44</v>
      </c>
      <c r="H1985" s="32" t="s">
        <v>2054</v>
      </c>
      <c r="I1985" s="32" t="s">
        <v>54</v>
      </c>
      <c r="J1985" s="32" t="s">
        <v>46</v>
      </c>
      <c r="L1985" s="32">
        <v>5</v>
      </c>
      <c r="M1985" s="32" t="s">
        <v>47</v>
      </c>
      <c r="N1985" s="32" t="s">
        <v>43</v>
      </c>
    </row>
    <row r="1986" spans="1:14" s="32" customFormat="1" hidden="1" x14ac:dyDescent="0.3">
      <c r="A1986" s="38">
        <v>46205.470949074072</v>
      </c>
      <c r="B1986" s="32">
        <v>44997735525</v>
      </c>
      <c r="C1986" s="32" t="s">
        <v>1038</v>
      </c>
      <c r="D1986" s="32">
        <v>4430265054</v>
      </c>
      <c r="E1986" s="32">
        <v>883</v>
      </c>
      <c r="F1986" s="32">
        <v>825</v>
      </c>
      <c r="G1986" s="32" t="s">
        <v>44</v>
      </c>
      <c r="H1986" s="32" t="s">
        <v>2055</v>
      </c>
      <c r="I1986" s="32" t="s">
        <v>40</v>
      </c>
      <c r="J1986" s="32" t="s">
        <v>46</v>
      </c>
      <c r="K1986" s="32" t="s">
        <v>42</v>
      </c>
      <c r="L1986" s="32">
        <v>5</v>
      </c>
      <c r="M1986" s="32" t="s">
        <v>1040</v>
      </c>
      <c r="N1986" s="32" t="s">
        <v>1038</v>
      </c>
    </row>
    <row r="1987" spans="1:14" s="32" customFormat="1" hidden="1" x14ac:dyDescent="0.3">
      <c r="A1987" s="38">
        <v>46205.463530092595</v>
      </c>
      <c r="B1987" s="32">
        <v>62981535978</v>
      </c>
      <c r="C1987" s="32" t="s">
        <v>1352</v>
      </c>
      <c r="D1987" s="32">
        <v>4430265054</v>
      </c>
      <c r="E1987" s="32">
        <v>1305</v>
      </c>
      <c r="F1987" s="32">
        <v>1288</v>
      </c>
      <c r="G1987" s="32" t="s">
        <v>44</v>
      </c>
      <c r="H1987" s="32" t="s">
        <v>2056</v>
      </c>
      <c r="I1987" s="32" t="s">
        <v>40</v>
      </c>
      <c r="J1987" s="32" t="s">
        <v>46</v>
      </c>
      <c r="K1987" s="32" t="s">
        <v>42</v>
      </c>
      <c r="L1987" s="32">
        <v>5</v>
      </c>
      <c r="M1987" s="32" t="s">
        <v>1354</v>
      </c>
      <c r="N1987" s="32" t="s">
        <v>1352</v>
      </c>
    </row>
    <row r="1988" spans="1:14" s="32" customFormat="1" hidden="1" x14ac:dyDescent="0.3">
      <c r="A1988" s="38">
        <v>46205.463506944441</v>
      </c>
      <c r="B1988" s="32" t="s">
        <v>1352</v>
      </c>
      <c r="C1988" s="32">
        <v>62981535978</v>
      </c>
      <c r="E1988" s="32">
        <v>7</v>
      </c>
      <c r="F1988" s="32">
        <v>0</v>
      </c>
      <c r="G1988" s="32" t="s">
        <v>63</v>
      </c>
      <c r="H1988" s="32" t="s">
        <v>2057</v>
      </c>
      <c r="I1988" s="32" t="s">
        <v>54</v>
      </c>
      <c r="J1988" s="32" t="s">
        <v>46</v>
      </c>
      <c r="M1988" s="32" t="s">
        <v>1354</v>
      </c>
      <c r="N1988" s="32" t="s">
        <v>1352</v>
      </c>
    </row>
    <row r="1989" spans="1:14" s="32" customFormat="1" hidden="1" x14ac:dyDescent="0.3">
      <c r="A1989" s="38">
        <v>46205.463402777779</v>
      </c>
      <c r="B1989" s="32" t="s">
        <v>1352</v>
      </c>
      <c r="C1989" s="32">
        <v>62981535978</v>
      </c>
      <c r="E1989" s="32">
        <v>7</v>
      </c>
      <c r="F1989" s="32">
        <v>0</v>
      </c>
      <c r="G1989" s="32" t="s">
        <v>63</v>
      </c>
      <c r="H1989" s="32" t="s">
        <v>2058</v>
      </c>
      <c r="I1989" s="32" t="s">
        <v>54</v>
      </c>
      <c r="J1989" s="32" t="s">
        <v>46</v>
      </c>
      <c r="M1989" s="32" t="s">
        <v>1354</v>
      </c>
      <c r="N1989" s="32" t="s">
        <v>1352</v>
      </c>
    </row>
    <row r="1990" spans="1:14" s="32" customFormat="1" hidden="1" x14ac:dyDescent="0.3">
      <c r="A1990" s="38">
        <v>46205.463287037041</v>
      </c>
      <c r="B1990" s="32" t="s">
        <v>1352</v>
      </c>
      <c r="C1990" s="32">
        <v>62981535978</v>
      </c>
      <c r="E1990" s="32">
        <v>35</v>
      </c>
      <c r="F1990" s="32">
        <v>28</v>
      </c>
      <c r="G1990" s="32" t="s">
        <v>44</v>
      </c>
      <c r="H1990" s="32" t="s">
        <v>2059</v>
      </c>
      <c r="I1990" s="32" t="s">
        <v>54</v>
      </c>
      <c r="J1990" s="32" t="s">
        <v>46</v>
      </c>
      <c r="M1990" s="32" t="s">
        <v>1354</v>
      </c>
      <c r="N1990" s="32" t="s">
        <v>1352</v>
      </c>
    </row>
    <row r="1991" spans="1:14" s="32" customFormat="1" hidden="1" x14ac:dyDescent="0.3">
      <c r="A1991" s="38">
        <v>46205.463159722225</v>
      </c>
      <c r="B1991" s="32" t="s">
        <v>58</v>
      </c>
      <c r="C1991" s="32">
        <v>4432206400</v>
      </c>
      <c r="E1991" s="32">
        <v>65</v>
      </c>
      <c r="F1991" s="32">
        <v>58</v>
      </c>
      <c r="G1991" s="32" t="s">
        <v>44</v>
      </c>
      <c r="H1991" s="32" t="s">
        <v>2060</v>
      </c>
      <c r="I1991" s="32" t="s">
        <v>54</v>
      </c>
      <c r="J1991" s="32" t="s">
        <v>46</v>
      </c>
      <c r="M1991" s="32" t="s">
        <v>60</v>
      </c>
      <c r="N1991" s="32" t="s">
        <v>58</v>
      </c>
    </row>
    <row r="1992" spans="1:14" s="32" customFormat="1" hidden="1" x14ac:dyDescent="0.3">
      <c r="A1992" s="38">
        <v>46205.461793981478</v>
      </c>
      <c r="B1992" s="32">
        <v>62981535978</v>
      </c>
      <c r="C1992" s="32" t="s">
        <v>1352</v>
      </c>
      <c r="D1992" s="32">
        <v>4430265054</v>
      </c>
      <c r="E1992" s="32">
        <v>135</v>
      </c>
      <c r="F1992" s="32">
        <v>33</v>
      </c>
      <c r="G1992" s="32" t="s">
        <v>44</v>
      </c>
      <c r="H1992" s="32" t="s">
        <v>2061</v>
      </c>
      <c r="I1992" s="32" t="s">
        <v>40</v>
      </c>
      <c r="J1992" s="32" t="s">
        <v>46</v>
      </c>
      <c r="K1992" s="32" t="s">
        <v>42</v>
      </c>
      <c r="M1992" s="32" t="s">
        <v>1354</v>
      </c>
      <c r="N1992" s="32" t="s">
        <v>1352</v>
      </c>
    </row>
    <row r="1993" spans="1:14" s="32" customFormat="1" hidden="1" x14ac:dyDescent="0.3">
      <c r="A1993" s="38">
        <v>46205.460358796299</v>
      </c>
      <c r="B1993" s="32">
        <v>4130775695</v>
      </c>
      <c r="C1993" s="32" t="s">
        <v>43</v>
      </c>
      <c r="D1993" s="32">
        <v>4430265054</v>
      </c>
      <c r="E1993" s="32">
        <v>770</v>
      </c>
      <c r="F1993" s="32">
        <v>589</v>
      </c>
      <c r="G1993" s="32" t="s">
        <v>44</v>
      </c>
      <c r="H1993" s="32" t="s">
        <v>2062</v>
      </c>
      <c r="I1993" s="32" t="s">
        <v>40</v>
      </c>
      <c r="J1993" s="32" t="s">
        <v>46</v>
      </c>
      <c r="K1993" s="32" t="s">
        <v>42</v>
      </c>
      <c r="M1993" s="32" t="s">
        <v>47</v>
      </c>
      <c r="N1993" s="32" t="s">
        <v>43</v>
      </c>
    </row>
    <row r="1994" spans="1:14" s="32" customFormat="1" hidden="1" x14ac:dyDescent="0.3">
      <c r="A1994" s="38">
        <v>46205.455740740741</v>
      </c>
      <c r="B1994" s="32">
        <v>43996490165</v>
      </c>
      <c r="C1994" s="32" t="s">
        <v>58</v>
      </c>
      <c r="D1994" s="32">
        <v>4430265054</v>
      </c>
      <c r="E1994" s="32">
        <v>368</v>
      </c>
      <c r="F1994" s="32">
        <v>349</v>
      </c>
      <c r="G1994" s="32" t="s">
        <v>44</v>
      </c>
      <c r="H1994" s="32" t="s">
        <v>2063</v>
      </c>
      <c r="I1994" s="32" t="s">
        <v>40</v>
      </c>
      <c r="J1994" s="32" t="s">
        <v>46</v>
      </c>
      <c r="K1994" s="32" t="s">
        <v>42</v>
      </c>
      <c r="M1994" s="32" t="s">
        <v>60</v>
      </c>
      <c r="N1994" s="32" t="s">
        <v>58</v>
      </c>
    </row>
    <row r="1995" spans="1:14" s="32" customFormat="1" hidden="1" x14ac:dyDescent="0.3">
      <c r="A1995" s="38">
        <v>46205.454652777778</v>
      </c>
      <c r="B1995" s="32">
        <v>4432256273</v>
      </c>
      <c r="C1995" s="32" t="s">
        <v>1038</v>
      </c>
      <c r="D1995" s="32">
        <v>4430265054</v>
      </c>
      <c r="E1995" s="32">
        <v>756</v>
      </c>
      <c r="F1995" s="32">
        <v>632</v>
      </c>
      <c r="G1995" s="32" t="s">
        <v>44</v>
      </c>
      <c r="H1995" s="32" t="s">
        <v>2064</v>
      </c>
      <c r="I1995" s="32" t="s">
        <v>40</v>
      </c>
      <c r="J1995" s="32" t="s">
        <v>46</v>
      </c>
      <c r="K1995" s="32" t="s">
        <v>42</v>
      </c>
      <c r="L1995" s="32">
        <v>5</v>
      </c>
      <c r="M1995" s="32" t="s">
        <v>1040</v>
      </c>
      <c r="N1995" s="32" t="s">
        <v>1038</v>
      </c>
    </row>
    <row r="1996" spans="1:14" s="32" customFormat="1" hidden="1" x14ac:dyDescent="0.3">
      <c r="A1996" s="38">
        <v>46205.449884259258</v>
      </c>
      <c r="B1996" s="32">
        <v>44988303530</v>
      </c>
      <c r="C1996" s="32" t="s">
        <v>58</v>
      </c>
      <c r="D1996" s="32">
        <v>4430265054</v>
      </c>
      <c r="E1996" s="32">
        <v>401</v>
      </c>
      <c r="F1996" s="32">
        <v>401</v>
      </c>
      <c r="G1996" s="32" t="s">
        <v>44</v>
      </c>
      <c r="H1996" s="32" t="s">
        <v>2065</v>
      </c>
      <c r="I1996" s="32" t="s">
        <v>40</v>
      </c>
      <c r="J1996" s="32" t="s">
        <v>46</v>
      </c>
      <c r="K1996" s="32" t="s">
        <v>42</v>
      </c>
      <c r="M1996" s="32" t="s">
        <v>60</v>
      </c>
      <c r="N1996" s="32" t="s">
        <v>58</v>
      </c>
    </row>
    <row r="1997" spans="1:14" s="32" customFormat="1" hidden="1" x14ac:dyDescent="0.3">
      <c r="A1997" s="38">
        <v>46205.449733796297</v>
      </c>
      <c r="B1997" s="32">
        <v>4435226025</v>
      </c>
      <c r="C1997" s="32" t="s">
        <v>1352</v>
      </c>
      <c r="D1997" s="32">
        <v>4430265054</v>
      </c>
      <c r="E1997" s="32">
        <v>438</v>
      </c>
      <c r="F1997" s="32">
        <v>362</v>
      </c>
      <c r="G1997" s="32" t="s">
        <v>44</v>
      </c>
      <c r="H1997" s="32" t="s">
        <v>2066</v>
      </c>
      <c r="I1997" s="32" t="s">
        <v>40</v>
      </c>
      <c r="J1997" s="32" t="s">
        <v>46</v>
      </c>
      <c r="K1997" s="32" t="s">
        <v>42</v>
      </c>
      <c r="M1997" s="32" t="s">
        <v>1354</v>
      </c>
      <c r="N1997" s="32" t="s">
        <v>1352</v>
      </c>
    </row>
    <row r="1998" spans="1:14" s="32" customFormat="1" hidden="1" x14ac:dyDescent="0.3">
      <c r="A1998" s="38">
        <v>46205.447199074071</v>
      </c>
      <c r="B1998" s="32">
        <v>67996356530</v>
      </c>
      <c r="C1998" s="32" t="s">
        <v>43</v>
      </c>
      <c r="D1998" s="32">
        <v>4430265054</v>
      </c>
      <c r="E1998" s="32">
        <v>531</v>
      </c>
      <c r="F1998" s="32">
        <v>508</v>
      </c>
      <c r="G1998" s="32" t="s">
        <v>44</v>
      </c>
      <c r="H1998" s="32" t="s">
        <v>2067</v>
      </c>
      <c r="I1998" s="32" t="s">
        <v>40</v>
      </c>
      <c r="J1998" s="32" t="s">
        <v>46</v>
      </c>
      <c r="K1998" s="32" t="s">
        <v>42</v>
      </c>
      <c r="L1998" s="32">
        <v>5</v>
      </c>
      <c r="M1998" s="32" t="s">
        <v>47</v>
      </c>
      <c r="N1998" s="32" t="s">
        <v>43</v>
      </c>
    </row>
    <row r="1999" spans="1:14" s="32" customFormat="1" hidden="1" x14ac:dyDescent="0.3">
      <c r="A1999" s="38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38</v>
      </c>
      <c r="H1999" s="32" t="s">
        <v>2068</v>
      </c>
      <c r="I1999" s="32" t="s">
        <v>40</v>
      </c>
      <c r="J1999" s="32" t="s">
        <v>41</v>
      </c>
      <c r="K1999" s="32" t="s">
        <v>42</v>
      </c>
    </row>
    <row r="2000" spans="1:14" s="32" customFormat="1" hidden="1" x14ac:dyDescent="0.3">
      <c r="A2000" s="38">
        <v>46205.442962962959</v>
      </c>
      <c r="B2000" s="32">
        <v>43996490165</v>
      </c>
      <c r="C2000" s="32" t="s">
        <v>1352</v>
      </c>
      <c r="D2000" s="32">
        <v>4430265054</v>
      </c>
      <c r="E2000" s="32">
        <v>466</v>
      </c>
      <c r="F2000" s="32">
        <v>436</v>
      </c>
      <c r="G2000" s="32" t="s">
        <v>44</v>
      </c>
      <c r="H2000" s="32" t="s">
        <v>2069</v>
      </c>
      <c r="I2000" s="32" t="s">
        <v>40</v>
      </c>
      <c r="J2000" s="32" t="s">
        <v>46</v>
      </c>
      <c r="K2000" s="32" t="s">
        <v>42</v>
      </c>
      <c r="M2000" s="32" t="s">
        <v>1354</v>
      </c>
      <c r="N2000" s="32" t="s">
        <v>1352</v>
      </c>
    </row>
    <row r="2001" spans="1:14" s="32" customFormat="1" hidden="1" x14ac:dyDescent="0.3">
      <c r="A2001" s="38">
        <v>46205.442349537036</v>
      </c>
      <c r="B2001" s="32">
        <v>44997134514</v>
      </c>
      <c r="C2001" s="32" t="s">
        <v>58</v>
      </c>
      <c r="D2001" s="32">
        <v>4430265054</v>
      </c>
      <c r="E2001" s="32">
        <v>779</v>
      </c>
      <c r="F2001" s="32">
        <v>768</v>
      </c>
      <c r="G2001" s="32" t="s">
        <v>44</v>
      </c>
      <c r="H2001" s="32" t="s">
        <v>2070</v>
      </c>
      <c r="I2001" s="32" t="s">
        <v>40</v>
      </c>
      <c r="J2001" s="32" t="s">
        <v>46</v>
      </c>
      <c r="K2001" s="32" t="s">
        <v>42</v>
      </c>
      <c r="M2001" s="32" t="s">
        <v>60</v>
      </c>
      <c r="N2001" s="32" t="s">
        <v>58</v>
      </c>
    </row>
    <row r="2002" spans="1:14" s="32" customFormat="1" hidden="1" x14ac:dyDescent="0.3">
      <c r="A2002" s="38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38</v>
      </c>
      <c r="H2002" s="32" t="s">
        <v>2071</v>
      </c>
      <c r="I2002" s="32" t="s">
        <v>40</v>
      </c>
      <c r="J2002" s="32" t="s">
        <v>41</v>
      </c>
    </row>
    <row r="2003" spans="1:14" s="32" customFormat="1" hidden="1" x14ac:dyDescent="0.3">
      <c r="A2003" s="38">
        <v>46205.441562499997</v>
      </c>
      <c r="B2003" s="32">
        <v>43996893235</v>
      </c>
      <c r="C2003" s="32" t="s">
        <v>43</v>
      </c>
      <c r="D2003" s="32">
        <v>4430265054</v>
      </c>
      <c r="E2003" s="32">
        <v>420</v>
      </c>
      <c r="F2003" s="32">
        <v>343</v>
      </c>
      <c r="G2003" s="32" t="s">
        <v>44</v>
      </c>
      <c r="H2003" s="32" t="s">
        <v>2072</v>
      </c>
      <c r="I2003" s="32" t="s">
        <v>40</v>
      </c>
      <c r="J2003" s="32" t="s">
        <v>46</v>
      </c>
      <c r="K2003" s="32" t="s">
        <v>42</v>
      </c>
      <c r="M2003" s="32" t="s">
        <v>47</v>
      </c>
      <c r="N2003" s="32" t="s">
        <v>43</v>
      </c>
    </row>
    <row r="2004" spans="1:14" s="32" customFormat="1" hidden="1" x14ac:dyDescent="0.3">
      <c r="A2004" s="38">
        <v>46205.441053240742</v>
      </c>
      <c r="B2004" s="32">
        <v>1732146970</v>
      </c>
      <c r="C2004" s="32" t="s">
        <v>58</v>
      </c>
      <c r="D2004" s="32">
        <v>4431268225</v>
      </c>
      <c r="E2004" s="32">
        <v>100</v>
      </c>
      <c r="F2004" s="32">
        <v>44</v>
      </c>
      <c r="G2004" s="32" t="s">
        <v>44</v>
      </c>
      <c r="H2004" s="32" t="s">
        <v>2073</v>
      </c>
      <c r="I2004" s="32" t="s">
        <v>40</v>
      </c>
      <c r="J2004" s="32" t="s">
        <v>46</v>
      </c>
      <c r="K2004" s="32" t="s">
        <v>42</v>
      </c>
      <c r="M2004" s="32" t="s">
        <v>60</v>
      </c>
      <c r="N2004" s="32" t="s">
        <v>58</v>
      </c>
    </row>
    <row r="2005" spans="1:14" s="32" customFormat="1" hidden="1" x14ac:dyDescent="0.3">
      <c r="A2005" s="38">
        <v>46205.440150462964</v>
      </c>
      <c r="B2005" s="32">
        <v>62994086124</v>
      </c>
      <c r="C2005" s="32" t="s">
        <v>1038</v>
      </c>
      <c r="D2005" s="32">
        <v>4430265054</v>
      </c>
      <c r="E2005" s="32">
        <v>781</v>
      </c>
      <c r="F2005" s="32">
        <v>624</v>
      </c>
      <c r="G2005" s="32" t="s">
        <v>44</v>
      </c>
      <c r="H2005" s="32" t="s">
        <v>2074</v>
      </c>
      <c r="I2005" s="32" t="s">
        <v>40</v>
      </c>
      <c r="J2005" s="32" t="s">
        <v>46</v>
      </c>
      <c r="K2005" s="32" t="s">
        <v>42</v>
      </c>
      <c r="L2005" s="32">
        <v>5</v>
      </c>
      <c r="M2005" s="32" t="s">
        <v>1040</v>
      </c>
      <c r="N2005" s="32" t="s">
        <v>1038</v>
      </c>
    </row>
    <row r="2006" spans="1:14" s="32" customFormat="1" hidden="1" x14ac:dyDescent="0.3">
      <c r="A2006" s="38">
        <v>46205.436469907407</v>
      </c>
      <c r="B2006" s="32">
        <v>44997134514</v>
      </c>
      <c r="C2006" s="32" t="s">
        <v>1352</v>
      </c>
      <c r="D2006" s="32">
        <v>4430265054</v>
      </c>
      <c r="E2006" s="32">
        <v>372</v>
      </c>
      <c r="F2006" s="32">
        <v>353</v>
      </c>
      <c r="G2006" s="32" t="s">
        <v>44</v>
      </c>
      <c r="H2006" s="32" t="s">
        <v>2075</v>
      </c>
      <c r="I2006" s="32" t="s">
        <v>40</v>
      </c>
      <c r="J2006" s="32" t="s">
        <v>46</v>
      </c>
      <c r="K2006" s="32" t="s">
        <v>42</v>
      </c>
      <c r="M2006" s="32" t="s">
        <v>1354</v>
      </c>
      <c r="N2006" s="32" t="s">
        <v>1352</v>
      </c>
    </row>
    <row r="2007" spans="1:14" s="32" customFormat="1" hidden="1" x14ac:dyDescent="0.3">
      <c r="A2007" s="38">
        <v>46205.433599537035</v>
      </c>
      <c r="B2007" s="32" t="s">
        <v>1038</v>
      </c>
      <c r="C2007" s="32">
        <v>44991668902</v>
      </c>
      <c r="E2007" s="32">
        <v>561</v>
      </c>
      <c r="F2007" s="32">
        <v>559</v>
      </c>
      <c r="G2007" s="32" t="s">
        <v>44</v>
      </c>
      <c r="H2007" s="32" t="s">
        <v>2076</v>
      </c>
      <c r="I2007" s="32" t="s">
        <v>54</v>
      </c>
      <c r="J2007" s="32" t="s">
        <v>46</v>
      </c>
      <c r="M2007" s="32" t="s">
        <v>1040</v>
      </c>
      <c r="N2007" s="32" t="s">
        <v>1038</v>
      </c>
    </row>
    <row r="2008" spans="1:14" s="32" customFormat="1" hidden="1" x14ac:dyDescent="0.3">
      <c r="A2008" s="38">
        <v>46205.429363425923</v>
      </c>
      <c r="B2008" s="32">
        <v>44997134514</v>
      </c>
      <c r="C2008" s="32" t="s">
        <v>1352</v>
      </c>
      <c r="D2008" s="32">
        <v>4430265054</v>
      </c>
      <c r="E2008" s="32">
        <v>604</v>
      </c>
      <c r="F2008" s="32">
        <v>533</v>
      </c>
      <c r="G2008" s="32" t="s">
        <v>44</v>
      </c>
      <c r="H2008" s="32" t="s">
        <v>2077</v>
      </c>
      <c r="I2008" s="32" t="s">
        <v>40</v>
      </c>
      <c r="J2008" s="32" t="s">
        <v>46</v>
      </c>
      <c r="K2008" s="32" t="s">
        <v>42</v>
      </c>
      <c r="M2008" s="32" t="s">
        <v>1354</v>
      </c>
      <c r="N2008" s="32" t="s">
        <v>1352</v>
      </c>
    </row>
    <row r="2009" spans="1:14" s="32" customFormat="1" hidden="1" x14ac:dyDescent="0.3">
      <c r="A2009" s="38">
        <v>46205.426886574074</v>
      </c>
      <c r="B2009" s="32">
        <v>44997215491</v>
      </c>
      <c r="C2009" s="32" t="s">
        <v>43</v>
      </c>
      <c r="D2009" s="32">
        <v>4430265054</v>
      </c>
      <c r="E2009" s="32">
        <v>261</v>
      </c>
      <c r="F2009" s="32">
        <v>143</v>
      </c>
      <c r="G2009" s="32" t="s">
        <v>44</v>
      </c>
      <c r="H2009" s="32" t="s">
        <v>2078</v>
      </c>
      <c r="I2009" s="32" t="s">
        <v>40</v>
      </c>
      <c r="J2009" s="32" t="s">
        <v>46</v>
      </c>
      <c r="K2009" s="32" t="s">
        <v>42</v>
      </c>
      <c r="L2009" s="32">
        <v>5</v>
      </c>
      <c r="M2009" s="32" t="s">
        <v>47</v>
      </c>
      <c r="N2009" s="32" t="s">
        <v>43</v>
      </c>
    </row>
    <row r="2010" spans="1:14" s="32" customFormat="1" hidden="1" x14ac:dyDescent="0.3">
      <c r="A2010" s="38">
        <v>46205.423831018517</v>
      </c>
      <c r="B2010" s="32">
        <v>44991668902</v>
      </c>
      <c r="C2010" s="32" t="s">
        <v>1038</v>
      </c>
      <c r="D2010" s="32">
        <v>4430265054</v>
      </c>
      <c r="E2010" s="32">
        <v>530</v>
      </c>
      <c r="F2010" s="32">
        <v>312</v>
      </c>
      <c r="G2010" s="32" t="s">
        <v>44</v>
      </c>
      <c r="H2010" s="32" t="s">
        <v>2079</v>
      </c>
      <c r="I2010" s="32" t="s">
        <v>40</v>
      </c>
      <c r="J2010" s="32" t="s">
        <v>46</v>
      </c>
      <c r="K2010" s="32" t="s">
        <v>42</v>
      </c>
      <c r="M2010" s="32" t="s">
        <v>1040</v>
      </c>
      <c r="N2010" s="32" t="s">
        <v>1038</v>
      </c>
    </row>
    <row r="2011" spans="1:14" s="32" customFormat="1" hidden="1" x14ac:dyDescent="0.3">
      <c r="A2011" s="38">
        <v>46205.421597222223</v>
      </c>
      <c r="B2011" s="32">
        <v>44997343311</v>
      </c>
      <c r="C2011" s="32" t="s">
        <v>43</v>
      </c>
      <c r="D2011" s="32">
        <v>4430265054</v>
      </c>
      <c r="E2011" s="32">
        <v>367</v>
      </c>
      <c r="F2011" s="32">
        <v>325</v>
      </c>
      <c r="G2011" s="32" t="s">
        <v>44</v>
      </c>
      <c r="H2011" s="32" t="s">
        <v>2080</v>
      </c>
      <c r="I2011" s="32" t="s">
        <v>40</v>
      </c>
      <c r="J2011" s="32" t="s">
        <v>46</v>
      </c>
      <c r="K2011" s="32" t="s">
        <v>42</v>
      </c>
      <c r="M2011" s="32" t="s">
        <v>47</v>
      </c>
      <c r="N2011" s="32" t="s">
        <v>43</v>
      </c>
    </row>
    <row r="2012" spans="1:14" s="32" customFormat="1" hidden="1" x14ac:dyDescent="0.3">
      <c r="A2012" s="38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38</v>
      </c>
      <c r="H2012" s="32" t="s">
        <v>2081</v>
      </c>
      <c r="I2012" s="32" t="s">
        <v>40</v>
      </c>
      <c r="J2012" s="32" t="s">
        <v>41</v>
      </c>
    </row>
    <row r="2013" spans="1:14" s="32" customFormat="1" hidden="1" x14ac:dyDescent="0.3">
      <c r="A2013" s="38">
        <v>46205.418958333335</v>
      </c>
      <c r="B2013" s="32">
        <v>44999647912</v>
      </c>
      <c r="C2013" s="32" t="s">
        <v>58</v>
      </c>
      <c r="D2013" s="32">
        <v>4430265054</v>
      </c>
      <c r="E2013" s="32">
        <v>1312</v>
      </c>
      <c r="F2013" s="32">
        <v>1311</v>
      </c>
      <c r="G2013" s="32" t="s">
        <v>44</v>
      </c>
      <c r="H2013" s="32" t="s">
        <v>2082</v>
      </c>
      <c r="I2013" s="32" t="s">
        <v>40</v>
      </c>
      <c r="J2013" s="32" t="s">
        <v>46</v>
      </c>
      <c r="K2013" s="32" t="s">
        <v>42</v>
      </c>
      <c r="L2013" s="32">
        <v>5</v>
      </c>
      <c r="M2013" s="32" t="s">
        <v>60</v>
      </c>
      <c r="N2013" s="32" t="s">
        <v>58</v>
      </c>
    </row>
    <row r="2014" spans="1:14" s="32" customFormat="1" hidden="1" x14ac:dyDescent="0.3">
      <c r="A2014" s="38">
        <v>46205.417800925927</v>
      </c>
      <c r="B2014" s="32" t="s">
        <v>1038</v>
      </c>
      <c r="C2014" s="32">
        <v>4432522678</v>
      </c>
      <c r="E2014" s="32">
        <v>98</v>
      </c>
      <c r="F2014" s="32">
        <v>93</v>
      </c>
      <c r="G2014" s="32" t="s">
        <v>44</v>
      </c>
      <c r="H2014" s="32" t="s">
        <v>2083</v>
      </c>
      <c r="I2014" s="32" t="s">
        <v>54</v>
      </c>
      <c r="J2014" s="32" t="s">
        <v>46</v>
      </c>
      <c r="M2014" s="32" t="s">
        <v>1040</v>
      </c>
      <c r="N2014" s="32" t="s">
        <v>1038</v>
      </c>
    </row>
    <row r="2015" spans="1:14" s="32" customFormat="1" hidden="1" x14ac:dyDescent="0.3">
      <c r="A2015" s="38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38</v>
      </c>
      <c r="H2015" s="32" t="s">
        <v>2084</v>
      </c>
      <c r="I2015" s="32" t="s">
        <v>40</v>
      </c>
      <c r="J2015" s="32" t="s">
        <v>41</v>
      </c>
    </row>
    <row r="2016" spans="1:14" s="32" customFormat="1" hidden="1" x14ac:dyDescent="0.3">
      <c r="A2016" s="38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38</v>
      </c>
      <c r="H2016" s="32" t="s">
        <v>2085</v>
      </c>
      <c r="I2016" s="32" t="s">
        <v>40</v>
      </c>
      <c r="J2016" s="32" t="s">
        <v>41</v>
      </c>
    </row>
    <row r="2017" spans="1:14" s="32" customFormat="1" hidden="1" x14ac:dyDescent="0.3">
      <c r="A2017" s="38">
        <v>46205.413946759261</v>
      </c>
      <c r="B2017" s="32" t="s">
        <v>43</v>
      </c>
      <c r="C2017" s="32">
        <v>12997346335</v>
      </c>
      <c r="E2017" s="32">
        <v>47</v>
      </c>
      <c r="F2017" s="32">
        <v>0</v>
      </c>
      <c r="G2017" s="32" t="s">
        <v>63</v>
      </c>
      <c r="H2017" s="32" t="s">
        <v>2086</v>
      </c>
      <c r="I2017" s="32" t="s">
        <v>54</v>
      </c>
      <c r="J2017" s="32" t="s">
        <v>46</v>
      </c>
      <c r="M2017" s="32" t="s">
        <v>47</v>
      </c>
      <c r="N2017" s="32" t="s">
        <v>43</v>
      </c>
    </row>
    <row r="2018" spans="1:14" s="32" customFormat="1" hidden="1" x14ac:dyDescent="0.3">
      <c r="A2018" s="38">
        <v>46205.413541666669</v>
      </c>
      <c r="B2018" s="32" t="s">
        <v>43</v>
      </c>
      <c r="C2018" s="32">
        <v>12997346335</v>
      </c>
      <c r="E2018" s="32">
        <v>33</v>
      </c>
      <c r="F2018" s="32">
        <v>0</v>
      </c>
      <c r="G2018" s="32" t="s">
        <v>63</v>
      </c>
      <c r="H2018" s="32" t="s">
        <v>2087</v>
      </c>
      <c r="I2018" s="32" t="s">
        <v>54</v>
      </c>
      <c r="J2018" s="32" t="s">
        <v>46</v>
      </c>
      <c r="M2018" s="32" t="s">
        <v>47</v>
      </c>
      <c r="N2018" s="32" t="s">
        <v>43</v>
      </c>
    </row>
    <row r="2019" spans="1:14" s="32" customFormat="1" hidden="1" x14ac:dyDescent="0.3">
      <c r="A2019" s="38">
        <v>46205.406701388885</v>
      </c>
      <c r="B2019" s="32">
        <v>44999917849</v>
      </c>
      <c r="C2019" s="32" t="s">
        <v>43</v>
      </c>
      <c r="D2019" s="32">
        <v>4430265054</v>
      </c>
      <c r="E2019" s="32">
        <v>423</v>
      </c>
      <c r="F2019" s="32">
        <v>398</v>
      </c>
      <c r="G2019" s="32" t="s">
        <v>44</v>
      </c>
      <c r="H2019" s="32" t="s">
        <v>2088</v>
      </c>
      <c r="I2019" s="32" t="s">
        <v>40</v>
      </c>
      <c r="J2019" s="32" t="s">
        <v>46</v>
      </c>
      <c r="K2019" s="32" t="s">
        <v>42</v>
      </c>
      <c r="M2019" s="32" t="s">
        <v>47</v>
      </c>
      <c r="N2019" s="32" t="s">
        <v>43</v>
      </c>
    </row>
    <row r="2020" spans="1:14" s="32" customFormat="1" hidden="1" x14ac:dyDescent="0.3">
      <c r="A2020" s="38">
        <v>46205.402361111112</v>
      </c>
      <c r="B2020" s="32">
        <v>44991234625</v>
      </c>
      <c r="C2020" s="32" t="s">
        <v>43</v>
      </c>
      <c r="D2020" s="32">
        <v>4430265054</v>
      </c>
      <c r="E2020" s="32">
        <v>368</v>
      </c>
      <c r="F2020" s="32">
        <v>350</v>
      </c>
      <c r="G2020" s="32" t="s">
        <v>44</v>
      </c>
      <c r="H2020" s="32" t="s">
        <v>2089</v>
      </c>
      <c r="I2020" s="32" t="s">
        <v>40</v>
      </c>
      <c r="J2020" s="32" t="s">
        <v>46</v>
      </c>
      <c r="K2020" s="32" t="s">
        <v>42</v>
      </c>
      <c r="L2020" s="32">
        <v>5</v>
      </c>
      <c r="M2020" s="32" t="s">
        <v>47</v>
      </c>
      <c r="N2020" s="32" t="s">
        <v>43</v>
      </c>
    </row>
    <row r="2021" spans="1:14" s="32" customFormat="1" hidden="1" x14ac:dyDescent="0.3">
      <c r="A2021" s="38">
        <v>46205.401956018519</v>
      </c>
      <c r="B2021" s="32" t="s">
        <v>109</v>
      </c>
      <c r="C2021" s="32">
        <v>71992643618</v>
      </c>
      <c r="E2021" s="32">
        <v>10</v>
      </c>
      <c r="F2021" s="32">
        <v>0</v>
      </c>
      <c r="G2021" s="32" t="s">
        <v>63</v>
      </c>
      <c r="H2021" s="32" t="s">
        <v>2090</v>
      </c>
      <c r="I2021" s="32" t="s">
        <v>54</v>
      </c>
      <c r="J2021" s="32" t="s">
        <v>111</v>
      </c>
      <c r="M2021" s="32" t="s">
        <v>112</v>
      </c>
      <c r="N2021" s="32" t="s">
        <v>109</v>
      </c>
    </row>
    <row r="2022" spans="1:14" s="32" customFormat="1" hidden="1" x14ac:dyDescent="0.3">
      <c r="A2022" s="38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38</v>
      </c>
      <c r="H2022" s="32" t="s">
        <v>2091</v>
      </c>
      <c r="I2022" s="32" t="s">
        <v>40</v>
      </c>
      <c r="J2022" s="32" t="s">
        <v>41</v>
      </c>
      <c r="K2022" s="32" t="s">
        <v>42</v>
      </c>
    </row>
    <row r="2023" spans="1:14" s="32" customFormat="1" hidden="1" x14ac:dyDescent="0.3">
      <c r="A2023" s="38">
        <v>46205.397870370369</v>
      </c>
      <c r="B2023" s="32">
        <v>1732146970</v>
      </c>
      <c r="C2023" s="32" t="s">
        <v>43</v>
      </c>
      <c r="D2023" s="32">
        <v>4431268225</v>
      </c>
      <c r="E2023" s="32">
        <v>322</v>
      </c>
      <c r="F2023" s="32">
        <v>78</v>
      </c>
      <c r="G2023" s="32" t="s">
        <v>44</v>
      </c>
      <c r="H2023" s="32" t="s">
        <v>2092</v>
      </c>
      <c r="I2023" s="32" t="s">
        <v>40</v>
      </c>
      <c r="J2023" s="32" t="s">
        <v>46</v>
      </c>
      <c r="K2023" s="32" t="s">
        <v>42</v>
      </c>
      <c r="M2023" s="32" t="s">
        <v>47</v>
      </c>
      <c r="N2023" s="32" t="s">
        <v>43</v>
      </c>
    </row>
    <row r="2024" spans="1:14" s="32" customFormat="1" hidden="1" x14ac:dyDescent="0.3">
      <c r="A2024" s="38">
        <v>46205.397430555553</v>
      </c>
      <c r="B2024" s="32">
        <v>44997215491</v>
      </c>
      <c r="C2024" s="32" t="s">
        <v>1352</v>
      </c>
      <c r="D2024" s="32">
        <v>4430265054</v>
      </c>
      <c r="E2024" s="32">
        <v>1410</v>
      </c>
      <c r="F2024" s="32">
        <v>1158</v>
      </c>
      <c r="G2024" s="32" t="s">
        <v>44</v>
      </c>
      <c r="H2024" s="32" t="s">
        <v>2093</v>
      </c>
      <c r="I2024" s="32" t="s">
        <v>40</v>
      </c>
      <c r="J2024" s="32" t="s">
        <v>46</v>
      </c>
      <c r="K2024" s="32" t="s">
        <v>42</v>
      </c>
      <c r="M2024" s="32" t="s">
        <v>1354</v>
      </c>
      <c r="N2024" s="32" t="s">
        <v>1352</v>
      </c>
    </row>
    <row r="2025" spans="1:14" s="32" customFormat="1" hidden="1" x14ac:dyDescent="0.3">
      <c r="A2025" s="38">
        <v>46205.396944444445</v>
      </c>
      <c r="B2025" s="32">
        <v>4432443131</v>
      </c>
      <c r="C2025" s="32" t="s">
        <v>1038</v>
      </c>
      <c r="D2025" s="32">
        <v>4430265054</v>
      </c>
      <c r="E2025" s="32">
        <v>968</v>
      </c>
      <c r="F2025" s="32">
        <v>829</v>
      </c>
      <c r="G2025" s="32" t="s">
        <v>44</v>
      </c>
      <c r="H2025" s="32" t="s">
        <v>2094</v>
      </c>
      <c r="I2025" s="32" t="s">
        <v>40</v>
      </c>
      <c r="J2025" s="32" t="s">
        <v>46</v>
      </c>
      <c r="K2025" s="32" t="s">
        <v>42</v>
      </c>
      <c r="M2025" s="32" t="s">
        <v>1040</v>
      </c>
      <c r="N2025" s="32" t="s">
        <v>1038</v>
      </c>
    </row>
    <row r="2026" spans="1:14" s="32" customFormat="1" hidden="1" x14ac:dyDescent="0.3">
      <c r="A2026" s="38">
        <v>46205.396874999999</v>
      </c>
      <c r="B2026" s="32">
        <v>44997123083</v>
      </c>
      <c r="C2026" s="32" t="s">
        <v>58</v>
      </c>
      <c r="D2026" s="32">
        <v>4430265054</v>
      </c>
      <c r="E2026" s="32">
        <v>497</v>
      </c>
      <c r="F2026" s="32">
        <v>423</v>
      </c>
      <c r="G2026" s="32" t="s">
        <v>44</v>
      </c>
      <c r="H2026" s="32" t="s">
        <v>2095</v>
      </c>
      <c r="I2026" s="32" t="s">
        <v>40</v>
      </c>
      <c r="J2026" s="32" t="s">
        <v>46</v>
      </c>
      <c r="K2026" s="32" t="s">
        <v>42</v>
      </c>
      <c r="M2026" s="32" t="s">
        <v>60</v>
      </c>
      <c r="N2026" s="32" t="s">
        <v>58</v>
      </c>
    </row>
    <row r="2027" spans="1:14" s="32" customFormat="1" hidden="1" x14ac:dyDescent="0.3">
      <c r="A2027" s="38">
        <v>46205.394733796296</v>
      </c>
      <c r="B2027" s="32">
        <v>44999647912</v>
      </c>
      <c r="C2027" s="32" t="s">
        <v>1352</v>
      </c>
      <c r="D2027" s="32">
        <v>4430265054</v>
      </c>
      <c r="E2027" s="32">
        <v>451</v>
      </c>
      <c r="F2027" s="32">
        <v>396</v>
      </c>
      <c r="G2027" s="32" t="s">
        <v>44</v>
      </c>
      <c r="H2027" s="32" t="s">
        <v>2096</v>
      </c>
      <c r="I2027" s="32" t="s">
        <v>40</v>
      </c>
      <c r="J2027" s="32" t="s">
        <v>46</v>
      </c>
      <c r="K2027" s="32" t="s">
        <v>42</v>
      </c>
      <c r="L2027" s="32">
        <v>5</v>
      </c>
      <c r="M2027" s="32" t="s">
        <v>1354</v>
      </c>
      <c r="N2027" s="32" t="s">
        <v>1352</v>
      </c>
    </row>
    <row r="2028" spans="1:14" s="32" customFormat="1" hidden="1" x14ac:dyDescent="0.3">
      <c r="A2028" s="38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38</v>
      </c>
      <c r="H2028" s="32" t="s">
        <v>2097</v>
      </c>
      <c r="I2028" s="32" t="s">
        <v>40</v>
      </c>
      <c r="J2028" s="32" t="s">
        <v>41</v>
      </c>
      <c r="K2028" s="32" t="s">
        <v>42</v>
      </c>
    </row>
    <row r="2029" spans="1:14" s="32" customFormat="1" hidden="1" x14ac:dyDescent="0.3">
      <c r="A2029" s="38">
        <v>46205.38863425926</v>
      </c>
      <c r="B2029" s="32">
        <v>44998620323</v>
      </c>
      <c r="C2029" s="32" t="s">
        <v>1038</v>
      </c>
      <c r="D2029" s="32">
        <v>4430265054</v>
      </c>
      <c r="E2029" s="32">
        <v>490</v>
      </c>
      <c r="F2029" s="32">
        <v>418</v>
      </c>
      <c r="G2029" s="32" t="s">
        <v>44</v>
      </c>
      <c r="H2029" s="32" t="s">
        <v>2098</v>
      </c>
      <c r="I2029" s="32" t="s">
        <v>40</v>
      </c>
      <c r="J2029" s="32" t="s">
        <v>46</v>
      </c>
      <c r="K2029" s="32" t="s">
        <v>42</v>
      </c>
      <c r="M2029" s="32" t="s">
        <v>1040</v>
      </c>
      <c r="N2029" s="32" t="s">
        <v>1038</v>
      </c>
    </row>
    <row r="2030" spans="1:14" s="32" customFormat="1" hidden="1" x14ac:dyDescent="0.3">
      <c r="A2030" s="38">
        <v>46205.386863425927</v>
      </c>
      <c r="B2030" s="32">
        <v>12997346335</v>
      </c>
      <c r="C2030" s="32" t="s">
        <v>1038</v>
      </c>
      <c r="D2030" s="32">
        <v>4431268225</v>
      </c>
      <c r="E2030" s="32">
        <v>203</v>
      </c>
      <c r="F2030" s="32">
        <v>77</v>
      </c>
      <c r="G2030" s="32" t="s">
        <v>44</v>
      </c>
      <c r="H2030" s="32" t="s">
        <v>2099</v>
      </c>
      <c r="I2030" s="32" t="s">
        <v>40</v>
      </c>
      <c r="J2030" s="32" t="s">
        <v>46</v>
      </c>
      <c r="K2030" s="32" t="s">
        <v>42</v>
      </c>
      <c r="L2030" s="32">
        <v>5</v>
      </c>
      <c r="M2030" s="32" t="s">
        <v>1040</v>
      </c>
      <c r="N2030" s="32" t="s">
        <v>1038</v>
      </c>
    </row>
    <row r="2031" spans="1:14" s="32" customFormat="1" hidden="1" x14ac:dyDescent="0.3">
      <c r="A2031" s="38">
        <v>46205.386793981481</v>
      </c>
      <c r="B2031" s="32">
        <v>99984754234</v>
      </c>
      <c r="C2031" s="32" t="s">
        <v>58</v>
      </c>
      <c r="D2031" s="32">
        <v>4430265054</v>
      </c>
      <c r="E2031" s="32">
        <v>741</v>
      </c>
      <c r="F2031" s="32">
        <v>715</v>
      </c>
      <c r="G2031" s="32" t="s">
        <v>44</v>
      </c>
      <c r="H2031" s="32" t="s">
        <v>2100</v>
      </c>
      <c r="I2031" s="32" t="s">
        <v>40</v>
      </c>
      <c r="J2031" s="32" t="s">
        <v>46</v>
      </c>
      <c r="K2031" s="32" t="s">
        <v>42</v>
      </c>
      <c r="M2031" s="32" t="s">
        <v>60</v>
      </c>
      <c r="N2031" s="32" t="s">
        <v>58</v>
      </c>
    </row>
    <row r="2032" spans="1:14" s="32" customFormat="1" hidden="1" x14ac:dyDescent="0.3">
      <c r="A2032" s="38">
        <v>46205.384375000001</v>
      </c>
      <c r="B2032" s="32">
        <v>43996490165</v>
      </c>
      <c r="C2032" s="32" t="s">
        <v>43</v>
      </c>
      <c r="D2032" s="32">
        <v>4430265054</v>
      </c>
      <c r="E2032" s="32">
        <v>1404</v>
      </c>
      <c r="F2032" s="32">
        <v>1293</v>
      </c>
      <c r="G2032" s="32" t="s">
        <v>44</v>
      </c>
      <c r="H2032" s="32" t="s">
        <v>2101</v>
      </c>
      <c r="I2032" s="32" t="s">
        <v>40</v>
      </c>
      <c r="J2032" s="32" t="s">
        <v>46</v>
      </c>
      <c r="K2032" s="32" t="s">
        <v>42</v>
      </c>
      <c r="L2032" s="32">
        <v>5</v>
      </c>
      <c r="M2032" s="32" t="s">
        <v>47</v>
      </c>
      <c r="N2032" s="32" t="s">
        <v>43</v>
      </c>
    </row>
    <row r="2033" spans="1:14" s="32" customFormat="1" hidden="1" x14ac:dyDescent="0.3">
      <c r="A2033" s="38">
        <v>46205.382743055554</v>
      </c>
      <c r="B2033" s="32">
        <v>44991234625</v>
      </c>
      <c r="C2033" s="32" t="s">
        <v>1038</v>
      </c>
      <c r="D2033" s="32">
        <v>4430265054</v>
      </c>
      <c r="E2033" s="32">
        <v>391</v>
      </c>
      <c r="F2033" s="32">
        <v>366</v>
      </c>
      <c r="G2033" s="32" t="s">
        <v>44</v>
      </c>
      <c r="H2033" s="32" t="s">
        <v>2102</v>
      </c>
      <c r="I2033" s="32" t="s">
        <v>40</v>
      </c>
      <c r="J2033" s="32" t="s">
        <v>46</v>
      </c>
      <c r="K2033" s="32" t="s">
        <v>42</v>
      </c>
      <c r="M2033" s="32" t="s">
        <v>1040</v>
      </c>
      <c r="N2033" s="32" t="s">
        <v>1038</v>
      </c>
    </row>
    <row r="2034" spans="1:14" s="32" customFormat="1" hidden="1" x14ac:dyDescent="0.3">
      <c r="A2034" s="38">
        <v>46205.380347222221</v>
      </c>
      <c r="B2034" s="32">
        <v>4430191401</v>
      </c>
      <c r="C2034" s="32" t="s">
        <v>58</v>
      </c>
      <c r="D2034" s="32">
        <v>4430265054</v>
      </c>
      <c r="E2034" s="32">
        <v>336</v>
      </c>
      <c r="F2034" s="32">
        <v>335</v>
      </c>
      <c r="G2034" s="32" t="s">
        <v>44</v>
      </c>
      <c r="H2034" s="32" t="s">
        <v>2103</v>
      </c>
      <c r="I2034" s="32" t="s">
        <v>40</v>
      </c>
      <c r="J2034" s="32" t="s">
        <v>46</v>
      </c>
      <c r="K2034" s="32" t="s">
        <v>42</v>
      </c>
      <c r="L2034" s="32">
        <v>5</v>
      </c>
      <c r="M2034" s="32" t="s">
        <v>60</v>
      </c>
      <c r="N2034" s="32" t="s">
        <v>58</v>
      </c>
    </row>
    <row r="2035" spans="1:14" s="32" customFormat="1" hidden="1" x14ac:dyDescent="0.3">
      <c r="A2035" s="38">
        <v>46205.379062499997</v>
      </c>
      <c r="B2035" s="32">
        <v>4432256273</v>
      </c>
      <c r="C2035" s="32" t="s">
        <v>43</v>
      </c>
      <c r="D2035" s="32">
        <v>4430265054</v>
      </c>
      <c r="E2035" s="32">
        <v>378</v>
      </c>
      <c r="F2035" s="32">
        <v>316</v>
      </c>
      <c r="G2035" s="32" t="s">
        <v>44</v>
      </c>
      <c r="H2035" s="32" t="s">
        <v>2104</v>
      </c>
      <c r="I2035" s="32" t="s">
        <v>40</v>
      </c>
      <c r="J2035" s="32" t="s">
        <v>46</v>
      </c>
      <c r="K2035" s="32" t="s">
        <v>42</v>
      </c>
      <c r="L2035" s="32">
        <v>5</v>
      </c>
      <c r="M2035" s="32" t="s">
        <v>47</v>
      </c>
      <c r="N2035" s="32" t="s">
        <v>43</v>
      </c>
    </row>
    <row r="2036" spans="1:14" s="32" customFormat="1" hidden="1" x14ac:dyDescent="0.3">
      <c r="A2036" s="38">
        <v>46205.378587962965</v>
      </c>
      <c r="B2036" s="32">
        <v>4436313773</v>
      </c>
      <c r="C2036" s="32" t="s">
        <v>1038</v>
      </c>
      <c r="D2036" s="32">
        <v>4430265054</v>
      </c>
      <c r="E2036" s="32">
        <v>118</v>
      </c>
      <c r="F2036" s="32">
        <v>21</v>
      </c>
      <c r="G2036" s="32" t="s">
        <v>44</v>
      </c>
      <c r="H2036" s="32" t="s">
        <v>2105</v>
      </c>
      <c r="I2036" s="32" t="s">
        <v>40</v>
      </c>
      <c r="J2036" s="32" t="s">
        <v>46</v>
      </c>
      <c r="K2036" s="32" t="s">
        <v>42</v>
      </c>
      <c r="M2036" s="32" t="s">
        <v>1040</v>
      </c>
      <c r="N2036" s="32" t="s">
        <v>1038</v>
      </c>
    </row>
    <row r="2037" spans="1:14" s="32" customFormat="1" hidden="1" x14ac:dyDescent="0.3">
      <c r="A2037" s="38">
        <v>46205.376979166664</v>
      </c>
      <c r="B2037" s="32">
        <v>4436312588</v>
      </c>
      <c r="C2037" s="32" t="s">
        <v>43</v>
      </c>
      <c r="D2037" s="32">
        <v>4430265054</v>
      </c>
      <c r="E2037" s="32">
        <v>75</v>
      </c>
      <c r="F2037" s="32">
        <v>19</v>
      </c>
      <c r="G2037" s="32" t="s">
        <v>44</v>
      </c>
      <c r="H2037" s="32" t="s">
        <v>2106</v>
      </c>
      <c r="I2037" s="32" t="s">
        <v>40</v>
      </c>
      <c r="J2037" s="32" t="s">
        <v>46</v>
      </c>
      <c r="K2037" s="32" t="s">
        <v>42</v>
      </c>
      <c r="M2037" s="32" t="s">
        <v>47</v>
      </c>
      <c r="N2037" s="32" t="s">
        <v>43</v>
      </c>
    </row>
    <row r="2038" spans="1:14" s="32" customFormat="1" hidden="1" x14ac:dyDescent="0.3">
      <c r="A2038" s="38">
        <v>46205.367256944446</v>
      </c>
      <c r="B2038" s="32">
        <v>45999334612</v>
      </c>
      <c r="C2038" s="32" t="s">
        <v>1352</v>
      </c>
      <c r="D2038" s="32">
        <v>4430265054</v>
      </c>
      <c r="E2038" s="32">
        <v>2018</v>
      </c>
      <c r="F2038" s="32">
        <v>1680</v>
      </c>
      <c r="G2038" s="32" t="s">
        <v>44</v>
      </c>
      <c r="H2038" s="32" t="s">
        <v>2107</v>
      </c>
      <c r="I2038" s="32" t="s">
        <v>40</v>
      </c>
      <c r="J2038" s="32" t="s">
        <v>46</v>
      </c>
      <c r="K2038" s="32" t="s">
        <v>42</v>
      </c>
      <c r="L2038" s="32">
        <v>5</v>
      </c>
      <c r="M2038" s="32" t="s">
        <v>1354</v>
      </c>
      <c r="N2038" s="32" t="s">
        <v>1352</v>
      </c>
    </row>
    <row r="2039" spans="1:14" s="32" customFormat="1" hidden="1" x14ac:dyDescent="0.3">
      <c r="A2039" s="38">
        <v>46205.366747685184</v>
      </c>
      <c r="B2039" s="32">
        <v>44999748684</v>
      </c>
      <c r="C2039" s="32" t="s">
        <v>1038</v>
      </c>
      <c r="D2039" s="32">
        <v>4430265054</v>
      </c>
      <c r="E2039" s="32">
        <v>755</v>
      </c>
      <c r="F2039" s="32">
        <v>380</v>
      </c>
      <c r="G2039" s="32" t="s">
        <v>44</v>
      </c>
      <c r="H2039" s="32" t="s">
        <v>2108</v>
      </c>
      <c r="I2039" s="32" t="s">
        <v>40</v>
      </c>
      <c r="J2039" s="32" t="s">
        <v>46</v>
      </c>
      <c r="K2039" s="32" t="s">
        <v>42</v>
      </c>
      <c r="L2039" s="32">
        <v>5</v>
      </c>
      <c r="M2039" s="32" t="s">
        <v>1040</v>
      </c>
      <c r="N2039" s="32" t="s">
        <v>1038</v>
      </c>
    </row>
    <row r="2040" spans="1:14" s="32" customFormat="1" hidden="1" x14ac:dyDescent="0.3">
      <c r="A2040" s="38">
        <v>46205.36613425926</v>
      </c>
      <c r="B2040" s="32">
        <v>6434530674</v>
      </c>
      <c r="C2040" s="32" t="s">
        <v>43</v>
      </c>
      <c r="D2040" s="32">
        <v>4430265054</v>
      </c>
      <c r="E2040" s="32">
        <v>646</v>
      </c>
      <c r="F2040" s="32">
        <v>607</v>
      </c>
      <c r="G2040" s="32" t="s">
        <v>44</v>
      </c>
      <c r="H2040" s="32" t="s">
        <v>2109</v>
      </c>
      <c r="I2040" s="32" t="s">
        <v>40</v>
      </c>
      <c r="J2040" s="32" t="s">
        <v>46</v>
      </c>
      <c r="K2040" s="32" t="s">
        <v>42</v>
      </c>
      <c r="L2040" s="32">
        <v>5</v>
      </c>
      <c r="M2040" s="32" t="s">
        <v>47</v>
      </c>
      <c r="N2040" s="32" t="s">
        <v>43</v>
      </c>
    </row>
    <row r="2041" spans="1:14" s="32" customFormat="1" hidden="1" x14ac:dyDescent="0.3">
      <c r="A2041" s="38">
        <v>46205.359375</v>
      </c>
      <c r="B2041" s="32">
        <v>44997311122</v>
      </c>
      <c r="C2041" s="32" t="s">
        <v>1352</v>
      </c>
      <c r="D2041" s="32">
        <v>4430265054</v>
      </c>
      <c r="E2041" s="32">
        <v>917</v>
      </c>
      <c r="F2041" s="32">
        <v>896</v>
      </c>
      <c r="G2041" s="32" t="s">
        <v>44</v>
      </c>
      <c r="H2041" s="32" t="s">
        <v>2110</v>
      </c>
      <c r="I2041" s="32" t="s">
        <v>40</v>
      </c>
      <c r="J2041" s="32" t="s">
        <v>46</v>
      </c>
      <c r="K2041" s="32" t="s">
        <v>42</v>
      </c>
      <c r="M2041" s="32" t="s">
        <v>1354</v>
      </c>
      <c r="N2041" s="32" t="s">
        <v>1352</v>
      </c>
    </row>
    <row r="2042" spans="1:14" s="32" customFormat="1" hidden="1" x14ac:dyDescent="0.3">
      <c r="A2042" s="38">
        <v>46205.358067129629</v>
      </c>
      <c r="B2042" s="32" t="s">
        <v>43</v>
      </c>
      <c r="C2042" s="32">
        <v>12997346335</v>
      </c>
      <c r="E2042" s="32">
        <v>41</v>
      </c>
      <c r="F2042" s="32">
        <v>0</v>
      </c>
      <c r="G2042" s="32" t="s">
        <v>63</v>
      </c>
      <c r="H2042" s="32" t="s">
        <v>2111</v>
      </c>
      <c r="I2042" s="32" t="s">
        <v>54</v>
      </c>
      <c r="J2042" s="32" t="s">
        <v>46</v>
      </c>
      <c r="M2042" s="32" t="s">
        <v>47</v>
      </c>
      <c r="N2042" s="32" t="s">
        <v>43</v>
      </c>
    </row>
    <row r="2043" spans="1:14" s="32" customFormat="1" hidden="1" x14ac:dyDescent="0.3">
      <c r="A2043" s="38">
        <v>46205.358020833337</v>
      </c>
      <c r="B2043" s="32">
        <v>4334234629</v>
      </c>
      <c r="C2043" s="32" t="s">
        <v>1038</v>
      </c>
      <c r="D2043" s="32">
        <v>4430265054</v>
      </c>
      <c r="E2043" s="32">
        <v>876</v>
      </c>
      <c r="F2043" s="32">
        <v>790</v>
      </c>
      <c r="G2043" s="32" t="s">
        <v>44</v>
      </c>
      <c r="H2043" s="32" t="s">
        <v>2112</v>
      </c>
      <c r="I2043" s="32" t="s">
        <v>40</v>
      </c>
      <c r="J2043" s="32" t="s">
        <v>46</v>
      </c>
      <c r="K2043" s="32" t="s">
        <v>42</v>
      </c>
      <c r="M2043" s="32" t="s">
        <v>1040</v>
      </c>
      <c r="N2043" s="32" t="s">
        <v>1038</v>
      </c>
    </row>
    <row r="2044" spans="1:14" s="32" customFormat="1" hidden="1" x14ac:dyDescent="0.3">
      <c r="A2044" s="38">
        <v>46205.354884259257</v>
      </c>
      <c r="B2044" s="32">
        <v>44988303530</v>
      </c>
      <c r="C2044" s="32" t="s">
        <v>58</v>
      </c>
      <c r="D2044" s="32">
        <v>4430265054</v>
      </c>
      <c r="E2044" s="32">
        <v>1917</v>
      </c>
      <c r="F2044" s="32">
        <v>1803</v>
      </c>
      <c r="G2044" s="32" t="s">
        <v>44</v>
      </c>
      <c r="H2044" s="32" t="s">
        <v>2113</v>
      </c>
      <c r="I2044" s="32" t="s">
        <v>40</v>
      </c>
      <c r="J2044" s="32" t="s">
        <v>46</v>
      </c>
      <c r="K2044" s="32" t="s">
        <v>42</v>
      </c>
      <c r="M2044" s="32" t="s">
        <v>60</v>
      </c>
      <c r="N2044" s="32" t="s">
        <v>58</v>
      </c>
    </row>
    <row r="2045" spans="1:14" s="32" customFormat="1" hidden="1" x14ac:dyDescent="0.3">
      <c r="A2045" s="38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38</v>
      </c>
      <c r="H2045" s="32" t="s">
        <v>2114</v>
      </c>
      <c r="I2045" s="32" t="s">
        <v>40</v>
      </c>
      <c r="J2045" s="32" t="s">
        <v>41</v>
      </c>
    </row>
    <row r="2046" spans="1:14" s="32" customFormat="1" hidden="1" x14ac:dyDescent="0.3">
      <c r="A2046" s="38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38</v>
      </c>
      <c r="H2046" s="32" t="s">
        <v>2115</v>
      </c>
      <c r="I2046" s="32" t="s">
        <v>40</v>
      </c>
      <c r="J2046" s="32" t="s">
        <v>41</v>
      </c>
    </row>
    <row r="2047" spans="1:14" s="32" customFormat="1" hidden="1" x14ac:dyDescent="0.3">
      <c r="A2047" s="38">
        <v>46204.742048611108</v>
      </c>
      <c r="B2047" s="32">
        <v>4435226025</v>
      </c>
      <c r="C2047" s="32" t="s">
        <v>43</v>
      </c>
      <c r="D2047" s="32">
        <v>4430265054</v>
      </c>
      <c r="E2047" s="32">
        <v>319</v>
      </c>
      <c r="F2047" s="32">
        <v>265</v>
      </c>
      <c r="G2047" s="32" t="s">
        <v>44</v>
      </c>
      <c r="H2047" s="32" t="s">
        <v>2116</v>
      </c>
      <c r="I2047" s="32" t="s">
        <v>40</v>
      </c>
      <c r="J2047" s="32" t="s">
        <v>46</v>
      </c>
      <c r="K2047" s="32" t="s">
        <v>42</v>
      </c>
      <c r="M2047" s="32" t="s">
        <v>47</v>
      </c>
      <c r="N2047" s="32" t="s">
        <v>43</v>
      </c>
    </row>
    <row r="2048" spans="1:14" s="32" customFormat="1" hidden="1" x14ac:dyDescent="0.3">
      <c r="A2048" s="38">
        <v>46204.738842592589</v>
      </c>
      <c r="B2048" s="32">
        <v>44997215491</v>
      </c>
      <c r="C2048" s="32" t="s">
        <v>1352</v>
      </c>
      <c r="D2048" s="32">
        <v>4430265054</v>
      </c>
      <c r="E2048" s="32">
        <v>245</v>
      </c>
      <c r="F2048" s="32">
        <v>156</v>
      </c>
      <c r="G2048" s="32" t="s">
        <v>44</v>
      </c>
      <c r="H2048" s="32" t="s">
        <v>2117</v>
      </c>
      <c r="I2048" s="32" t="s">
        <v>40</v>
      </c>
      <c r="J2048" s="32" t="s">
        <v>46</v>
      </c>
      <c r="K2048" s="32" t="s">
        <v>42</v>
      </c>
      <c r="L2048" s="32">
        <v>5</v>
      </c>
      <c r="M2048" s="32" t="s">
        <v>1354</v>
      </c>
      <c r="N2048" s="32" t="s">
        <v>1352</v>
      </c>
    </row>
    <row r="2049" spans="1:14" s="32" customFormat="1" hidden="1" x14ac:dyDescent="0.3">
      <c r="A2049" s="38">
        <v>46204.725243055553</v>
      </c>
      <c r="B2049" s="32" t="s">
        <v>379</v>
      </c>
      <c r="C2049" s="32" t="s">
        <v>207</v>
      </c>
      <c r="E2049" s="32">
        <v>300</v>
      </c>
      <c r="F2049" s="32">
        <v>293</v>
      </c>
      <c r="G2049" s="32" t="s">
        <v>44</v>
      </c>
      <c r="H2049" s="32" t="s">
        <v>2118</v>
      </c>
      <c r="I2049" s="32" t="s">
        <v>694</v>
      </c>
      <c r="J2049" s="32" t="s">
        <v>111</v>
      </c>
      <c r="M2049" s="32" t="s">
        <v>381</v>
      </c>
      <c r="N2049" s="32" t="s">
        <v>379</v>
      </c>
    </row>
    <row r="2050" spans="1:14" s="32" customFormat="1" hidden="1" x14ac:dyDescent="0.3">
      <c r="A2050" s="38">
        <v>46204.702326388891</v>
      </c>
      <c r="B2050" s="32">
        <v>4430141092</v>
      </c>
      <c r="C2050" s="32" t="s">
        <v>85</v>
      </c>
      <c r="D2050" s="32">
        <v>4430265054</v>
      </c>
      <c r="E2050" s="32">
        <v>496</v>
      </c>
      <c r="F2050" s="32">
        <v>495</v>
      </c>
      <c r="G2050" s="32" t="s">
        <v>44</v>
      </c>
      <c r="H2050" s="32" t="s">
        <v>2119</v>
      </c>
      <c r="I2050" s="32" t="s">
        <v>40</v>
      </c>
      <c r="J2050" s="32" t="s">
        <v>41</v>
      </c>
      <c r="K2050" s="32" t="s">
        <v>42</v>
      </c>
      <c r="M2050" s="32" t="s">
        <v>87</v>
      </c>
      <c r="N2050" s="32" t="s">
        <v>85</v>
      </c>
    </row>
    <row r="2051" spans="1:14" s="32" customFormat="1" hidden="1" x14ac:dyDescent="0.3">
      <c r="A2051" s="38">
        <v>46204.702013888891</v>
      </c>
      <c r="B2051" s="32">
        <v>4430459032</v>
      </c>
      <c r="C2051" s="32" t="s">
        <v>1352</v>
      </c>
      <c r="D2051" s="32">
        <v>4430265054</v>
      </c>
      <c r="E2051" s="32">
        <v>367</v>
      </c>
      <c r="F2051" s="32">
        <v>333</v>
      </c>
      <c r="G2051" s="32" t="s">
        <v>44</v>
      </c>
      <c r="H2051" s="32" t="s">
        <v>2120</v>
      </c>
      <c r="I2051" s="32" t="s">
        <v>40</v>
      </c>
      <c r="J2051" s="32" t="s">
        <v>46</v>
      </c>
      <c r="K2051" s="32" t="s">
        <v>42</v>
      </c>
      <c r="M2051" s="32" t="s">
        <v>1354</v>
      </c>
      <c r="N2051" s="32" t="s">
        <v>1352</v>
      </c>
    </row>
    <row r="2052" spans="1:14" s="32" customFormat="1" hidden="1" x14ac:dyDescent="0.3">
      <c r="A2052" s="38">
        <v>46204.699745370373</v>
      </c>
      <c r="B2052" s="32" t="s">
        <v>109</v>
      </c>
      <c r="C2052" s="32">
        <v>49999255161</v>
      </c>
      <c r="E2052" s="32">
        <v>12</v>
      </c>
      <c r="F2052" s="32">
        <v>0</v>
      </c>
      <c r="G2052" s="32" t="s">
        <v>63</v>
      </c>
      <c r="H2052" s="32" t="s">
        <v>2121</v>
      </c>
      <c r="I2052" s="32" t="s">
        <v>54</v>
      </c>
      <c r="J2052" s="32" t="s">
        <v>111</v>
      </c>
      <c r="M2052" s="32" t="s">
        <v>112</v>
      </c>
      <c r="N2052" s="32" t="s">
        <v>109</v>
      </c>
    </row>
    <row r="2053" spans="1:14" s="32" customFormat="1" hidden="1" x14ac:dyDescent="0.3">
      <c r="A2053" s="38">
        <v>46204.699687499997</v>
      </c>
      <c r="B2053" s="32">
        <v>4430191401</v>
      </c>
      <c r="C2053" s="32" t="s">
        <v>58</v>
      </c>
      <c r="D2053" s="32">
        <v>4430265054</v>
      </c>
      <c r="E2053" s="32">
        <v>333</v>
      </c>
      <c r="F2053" s="32">
        <v>333</v>
      </c>
      <c r="G2053" s="32" t="s">
        <v>44</v>
      </c>
      <c r="H2053" s="32" t="s">
        <v>2122</v>
      </c>
      <c r="I2053" s="32" t="s">
        <v>40</v>
      </c>
      <c r="J2053" s="32" t="s">
        <v>46</v>
      </c>
      <c r="K2053" s="32" t="s">
        <v>42</v>
      </c>
      <c r="M2053" s="32" t="s">
        <v>60</v>
      </c>
      <c r="N2053" s="32" t="s">
        <v>58</v>
      </c>
    </row>
    <row r="2054" spans="1:14" s="32" customFormat="1" hidden="1" x14ac:dyDescent="0.3">
      <c r="A2054" s="38">
        <v>46204.698368055557</v>
      </c>
      <c r="B2054" s="32">
        <v>4436313773</v>
      </c>
      <c r="C2054" s="32" t="s">
        <v>58</v>
      </c>
      <c r="D2054" s="32">
        <v>4430265054</v>
      </c>
      <c r="E2054" s="32">
        <v>94</v>
      </c>
      <c r="F2054" s="32">
        <v>40</v>
      </c>
      <c r="G2054" s="32" t="s">
        <v>44</v>
      </c>
      <c r="H2054" s="32" t="s">
        <v>2123</v>
      </c>
      <c r="I2054" s="32" t="s">
        <v>40</v>
      </c>
      <c r="J2054" s="32" t="s">
        <v>46</v>
      </c>
      <c r="K2054" s="32" t="s">
        <v>42</v>
      </c>
      <c r="M2054" s="32" t="s">
        <v>60</v>
      </c>
      <c r="N2054" s="32" t="s">
        <v>58</v>
      </c>
    </row>
    <row r="2055" spans="1:14" s="32" customFormat="1" hidden="1" x14ac:dyDescent="0.3">
      <c r="A2055" s="38">
        <v>46204.696435185186</v>
      </c>
      <c r="B2055" s="32">
        <v>6234347959</v>
      </c>
      <c r="C2055" s="32" t="s">
        <v>43</v>
      </c>
      <c r="D2055" s="32">
        <v>4430265054</v>
      </c>
      <c r="E2055" s="32">
        <v>1324</v>
      </c>
      <c r="F2055" s="32">
        <v>1252</v>
      </c>
      <c r="G2055" s="32" t="s">
        <v>44</v>
      </c>
      <c r="H2055" s="32" t="s">
        <v>2124</v>
      </c>
      <c r="I2055" s="32" t="s">
        <v>40</v>
      </c>
      <c r="J2055" s="32" t="s">
        <v>46</v>
      </c>
      <c r="K2055" s="32" t="s">
        <v>42</v>
      </c>
      <c r="M2055" s="32" t="s">
        <v>47</v>
      </c>
      <c r="N2055" s="32" t="s">
        <v>43</v>
      </c>
    </row>
    <row r="2056" spans="1:14" s="32" customFormat="1" hidden="1" x14ac:dyDescent="0.3">
      <c r="A2056" s="38">
        <v>46204.693819444445</v>
      </c>
      <c r="B2056" s="32">
        <v>4431337559</v>
      </c>
      <c r="C2056" s="32" t="s">
        <v>58</v>
      </c>
      <c r="D2056" s="32">
        <v>4430265054</v>
      </c>
      <c r="E2056" s="32">
        <v>232</v>
      </c>
      <c r="F2056" s="32">
        <v>158</v>
      </c>
      <c r="G2056" s="32" t="s">
        <v>44</v>
      </c>
      <c r="H2056" s="32" t="s">
        <v>2125</v>
      </c>
      <c r="I2056" s="32" t="s">
        <v>40</v>
      </c>
      <c r="J2056" s="32" t="s">
        <v>46</v>
      </c>
      <c r="K2056" s="32" t="s">
        <v>42</v>
      </c>
      <c r="M2056" s="32" t="s">
        <v>60</v>
      </c>
      <c r="N2056" s="32" t="s">
        <v>58</v>
      </c>
    </row>
    <row r="2057" spans="1:14" s="32" customFormat="1" hidden="1" x14ac:dyDescent="0.3">
      <c r="A2057" s="38">
        <v>46204.692280092589</v>
      </c>
      <c r="B2057" s="32">
        <v>44999646909</v>
      </c>
      <c r="C2057" s="32" t="s">
        <v>43</v>
      </c>
      <c r="D2057" s="32">
        <v>4430265054</v>
      </c>
      <c r="E2057" s="32">
        <v>295</v>
      </c>
      <c r="F2057" s="32">
        <v>267</v>
      </c>
      <c r="G2057" s="32" t="s">
        <v>44</v>
      </c>
      <c r="H2057" s="32" t="s">
        <v>2126</v>
      </c>
      <c r="I2057" s="32" t="s">
        <v>40</v>
      </c>
      <c r="J2057" s="32" t="s">
        <v>46</v>
      </c>
      <c r="K2057" s="32" t="s">
        <v>42</v>
      </c>
      <c r="M2057" s="32" t="s">
        <v>47</v>
      </c>
      <c r="N2057" s="32" t="s">
        <v>43</v>
      </c>
    </row>
    <row r="2058" spans="1:14" s="32" customFormat="1" hidden="1" x14ac:dyDescent="0.3">
      <c r="A2058" s="38">
        <v>46204.687893518516</v>
      </c>
      <c r="B2058" s="32">
        <v>4435228300</v>
      </c>
      <c r="C2058" s="32" t="s">
        <v>58</v>
      </c>
      <c r="D2058" s="32">
        <v>4430265054</v>
      </c>
      <c r="E2058" s="32">
        <v>326</v>
      </c>
      <c r="F2058" s="32">
        <v>269</v>
      </c>
      <c r="G2058" s="32" t="s">
        <v>44</v>
      </c>
      <c r="H2058" s="32" t="s">
        <v>2127</v>
      </c>
      <c r="I2058" s="32" t="s">
        <v>40</v>
      </c>
      <c r="J2058" s="32" t="s">
        <v>46</v>
      </c>
      <c r="K2058" s="32" t="s">
        <v>42</v>
      </c>
      <c r="M2058" s="32" t="s">
        <v>60</v>
      </c>
      <c r="N2058" s="32" t="s">
        <v>58</v>
      </c>
    </row>
    <row r="2059" spans="1:14" s="32" customFormat="1" hidden="1" x14ac:dyDescent="0.3">
      <c r="A2059" s="38">
        <v>46204.686388888891</v>
      </c>
      <c r="B2059" s="32">
        <v>44991041123</v>
      </c>
      <c r="C2059" s="32" t="s">
        <v>43</v>
      </c>
      <c r="D2059" s="32">
        <v>4430265054</v>
      </c>
      <c r="E2059" s="32">
        <v>411</v>
      </c>
      <c r="F2059" s="32">
        <v>377</v>
      </c>
      <c r="G2059" s="32" t="s">
        <v>44</v>
      </c>
      <c r="H2059" s="32" t="s">
        <v>2128</v>
      </c>
      <c r="I2059" s="32" t="s">
        <v>40</v>
      </c>
      <c r="J2059" s="32" t="s">
        <v>46</v>
      </c>
      <c r="K2059" s="32" t="s">
        <v>42</v>
      </c>
      <c r="M2059" s="32" t="s">
        <v>47</v>
      </c>
      <c r="N2059" s="32" t="s">
        <v>43</v>
      </c>
    </row>
    <row r="2060" spans="1:14" s="32" customFormat="1" hidden="1" x14ac:dyDescent="0.3">
      <c r="A2060" s="38">
        <v>46204.686192129629</v>
      </c>
      <c r="B2060" s="32">
        <v>4432325260</v>
      </c>
      <c r="C2060" s="32" t="s">
        <v>1038</v>
      </c>
      <c r="D2060" s="32">
        <v>4430265054</v>
      </c>
      <c r="E2060" s="32">
        <v>228</v>
      </c>
      <c r="F2060" s="32">
        <v>190</v>
      </c>
      <c r="G2060" s="32" t="s">
        <v>44</v>
      </c>
      <c r="H2060" s="32" t="s">
        <v>2129</v>
      </c>
      <c r="I2060" s="32" t="s">
        <v>40</v>
      </c>
      <c r="J2060" s="32" t="s">
        <v>46</v>
      </c>
      <c r="K2060" s="32" t="s">
        <v>42</v>
      </c>
      <c r="M2060" s="32" t="s">
        <v>1040</v>
      </c>
      <c r="N2060" s="32" t="s">
        <v>1038</v>
      </c>
    </row>
    <row r="2061" spans="1:14" s="32" customFormat="1" hidden="1" x14ac:dyDescent="0.3">
      <c r="A2061" s="38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38</v>
      </c>
      <c r="H2061" s="32" t="s">
        <v>2130</v>
      </c>
      <c r="I2061" s="32" t="s">
        <v>40</v>
      </c>
      <c r="J2061" s="32" t="s">
        <v>41</v>
      </c>
      <c r="K2061" s="32" t="s">
        <v>42</v>
      </c>
    </row>
    <row r="2062" spans="1:14" s="32" customFormat="1" hidden="1" x14ac:dyDescent="0.3">
      <c r="A2062" s="38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44</v>
      </c>
      <c r="H2062" s="32" t="s">
        <v>2131</v>
      </c>
      <c r="I2062" s="32" t="s">
        <v>54</v>
      </c>
      <c r="J2062" s="32" t="s">
        <v>111</v>
      </c>
    </row>
    <row r="2063" spans="1:14" s="32" customFormat="1" hidden="1" x14ac:dyDescent="0.3">
      <c r="A2063" s="38">
        <v>46204.682488425926</v>
      </c>
      <c r="B2063" s="32" t="s">
        <v>109</v>
      </c>
      <c r="C2063" s="32">
        <v>44999664300</v>
      </c>
      <c r="E2063" s="32">
        <v>0</v>
      </c>
      <c r="F2063" s="32">
        <v>0</v>
      </c>
      <c r="G2063" s="32" t="s">
        <v>63</v>
      </c>
      <c r="H2063" s="32" t="s">
        <v>2132</v>
      </c>
      <c r="I2063" s="32" t="s">
        <v>54</v>
      </c>
      <c r="J2063" s="32" t="s">
        <v>111</v>
      </c>
      <c r="M2063" s="32" t="s">
        <v>112</v>
      </c>
      <c r="N2063" s="32" t="s">
        <v>109</v>
      </c>
    </row>
    <row r="2064" spans="1:14" s="32" customFormat="1" hidden="1" x14ac:dyDescent="0.3">
      <c r="A2064" s="38">
        <v>46204.682222222225</v>
      </c>
      <c r="B2064" s="32" t="s">
        <v>109</v>
      </c>
      <c r="C2064" s="32">
        <v>44999664300</v>
      </c>
      <c r="E2064" s="32">
        <v>1</v>
      </c>
      <c r="F2064" s="32">
        <v>0</v>
      </c>
      <c r="G2064" s="32" t="s">
        <v>63</v>
      </c>
      <c r="H2064" s="32" t="s">
        <v>2133</v>
      </c>
      <c r="I2064" s="32" t="s">
        <v>54</v>
      </c>
      <c r="J2064" s="32" t="s">
        <v>111</v>
      </c>
      <c r="M2064" s="32" t="s">
        <v>112</v>
      </c>
      <c r="N2064" s="32" t="s">
        <v>109</v>
      </c>
    </row>
    <row r="2065" spans="1:14" s="32" customFormat="1" hidden="1" x14ac:dyDescent="0.3">
      <c r="A2065" s="38">
        <v>46204.682083333333</v>
      </c>
      <c r="B2065" s="32">
        <v>44999917849</v>
      </c>
      <c r="C2065" s="32" t="s">
        <v>1352</v>
      </c>
      <c r="D2065" s="32">
        <v>4430265054</v>
      </c>
      <c r="E2065" s="32">
        <v>1591</v>
      </c>
      <c r="F2065" s="32">
        <v>1548</v>
      </c>
      <c r="G2065" s="32" t="s">
        <v>44</v>
      </c>
      <c r="H2065" s="32" t="s">
        <v>2134</v>
      </c>
      <c r="I2065" s="32" t="s">
        <v>40</v>
      </c>
      <c r="J2065" s="32" t="s">
        <v>46</v>
      </c>
      <c r="K2065" s="32" t="s">
        <v>42</v>
      </c>
      <c r="L2065" s="32">
        <v>5</v>
      </c>
      <c r="M2065" s="32" t="s">
        <v>1354</v>
      </c>
      <c r="N2065" s="32" t="s">
        <v>1352</v>
      </c>
    </row>
    <row r="2066" spans="1:14" s="32" customFormat="1" hidden="1" x14ac:dyDescent="0.3">
      <c r="A2066" s="38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38</v>
      </c>
      <c r="H2066" s="32" t="s">
        <v>2135</v>
      </c>
      <c r="I2066" s="32" t="s">
        <v>40</v>
      </c>
      <c r="J2066" s="32" t="s">
        <v>41</v>
      </c>
    </row>
    <row r="2067" spans="1:14" s="32" customFormat="1" hidden="1" x14ac:dyDescent="0.3">
      <c r="A2067" s="38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38</v>
      </c>
      <c r="H2067" s="32" t="s">
        <v>2136</v>
      </c>
      <c r="I2067" s="32" t="s">
        <v>40</v>
      </c>
      <c r="J2067" s="32" t="s">
        <v>41</v>
      </c>
      <c r="K2067" s="32" t="s">
        <v>42</v>
      </c>
    </row>
    <row r="2068" spans="1:14" s="32" customFormat="1" hidden="1" x14ac:dyDescent="0.3">
      <c r="A2068" s="38">
        <v>46204.663449074076</v>
      </c>
      <c r="B2068" s="32" t="s">
        <v>109</v>
      </c>
      <c r="C2068" s="32">
        <v>3232155034</v>
      </c>
      <c r="E2068" s="32">
        <v>14</v>
      </c>
      <c r="F2068" s="32">
        <v>1</v>
      </c>
      <c r="G2068" s="32" t="s">
        <v>44</v>
      </c>
      <c r="H2068" s="32" t="s">
        <v>2137</v>
      </c>
      <c r="I2068" s="32" t="s">
        <v>54</v>
      </c>
      <c r="J2068" s="32" t="s">
        <v>111</v>
      </c>
      <c r="M2068" s="32" t="s">
        <v>112</v>
      </c>
      <c r="N2068" s="32" t="s">
        <v>109</v>
      </c>
    </row>
    <row r="2069" spans="1:14" s="32" customFormat="1" hidden="1" x14ac:dyDescent="0.3">
      <c r="A2069" s="38">
        <v>46204.662592592591</v>
      </c>
      <c r="B2069" s="32" t="s">
        <v>109</v>
      </c>
      <c r="C2069" s="32">
        <v>14996012790</v>
      </c>
      <c r="E2069" s="32">
        <v>26</v>
      </c>
      <c r="F2069" s="32">
        <v>0</v>
      </c>
      <c r="G2069" s="32" t="s">
        <v>63</v>
      </c>
      <c r="H2069" s="32" t="s">
        <v>2138</v>
      </c>
      <c r="I2069" s="32" t="s">
        <v>54</v>
      </c>
      <c r="J2069" s="32" t="s">
        <v>111</v>
      </c>
      <c r="M2069" s="32" t="s">
        <v>112</v>
      </c>
      <c r="N2069" s="32" t="s">
        <v>109</v>
      </c>
    </row>
    <row r="2070" spans="1:14" s="32" customFormat="1" hidden="1" x14ac:dyDescent="0.3">
      <c r="A2070" s="38">
        <v>46204.66133101852</v>
      </c>
      <c r="B2070" s="32">
        <v>44997456641</v>
      </c>
      <c r="C2070" s="32" t="s">
        <v>43</v>
      </c>
      <c r="D2070" s="32">
        <v>4430265054</v>
      </c>
      <c r="E2070" s="32">
        <v>856</v>
      </c>
      <c r="F2070" s="32">
        <v>794</v>
      </c>
      <c r="G2070" s="32" t="s">
        <v>44</v>
      </c>
      <c r="H2070" s="32" t="s">
        <v>2139</v>
      </c>
      <c r="I2070" s="32" t="s">
        <v>40</v>
      </c>
      <c r="J2070" s="32" t="s">
        <v>46</v>
      </c>
      <c r="K2070" s="32" t="s">
        <v>42</v>
      </c>
      <c r="M2070" s="32" t="s">
        <v>47</v>
      </c>
      <c r="N2070" s="32" t="s">
        <v>43</v>
      </c>
    </row>
    <row r="2071" spans="1:14" s="32" customFormat="1" hidden="1" x14ac:dyDescent="0.3">
      <c r="A2071" s="38">
        <v>46204.659861111111</v>
      </c>
      <c r="B2071" s="32">
        <v>44991314300</v>
      </c>
      <c r="C2071" s="32" t="s">
        <v>1038</v>
      </c>
      <c r="D2071" s="32">
        <v>4430265054</v>
      </c>
      <c r="E2071" s="32">
        <v>289</v>
      </c>
      <c r="F2071" s="32">
        <v>184</v>
      </c>
      <c r="G2071" s="32" t="s">
        <v>44</v>
      </c>
      <c r="H2071" s="32" t="s">
        <v>2140</v>
      </c>
      <c r="I2071" s="32" t="s">
        <v>40</v>
      </c>
      <c r="J2071" s="32" t="s">
        <v>46</v>
      </c>
      <c r="K2071" s="32" t="s">
        <v>42</v>
      </c>
      <c r="M2071" s="32" t="s">
        <v>1040</v>
      </c>
      <c r="N2071" s="32" t="s">
        <v>1038</v>
      </c>
    </row>
    <row r="2072" spans="1:14" s="32" customFormat="1" hidden="1" x14ac:dyDescent="0.3">
      <c r="A2072" s="38">
        <v>46204.659826388888</v>
      </c>
      <c r="B2072" s="32" t="s">
        <v>109</v>
      </c>
      <c r="C2072" s="32">
        <v>32991081989</v>
      </c>
      <c r="E2072" s="32">
        <v>24</v>
      </c>
      <c r="F2072" s="32">
        <v>0</v>
      </c>
      <c r="G2072" s="32" t="s">
        <v>63</v>
      </c>
      <c r="H2072" s="32" t="s">
        <v>2141</v>
      </c>
      <c r="I2072" s="32" t="s">
        <v>54</v>
      </c>
      <c r="J2072" s="32" t="s">
        <v>111</v>
      </c>
      <c r="M2072" s="32" t="s">
        <v>112</v>
      </c>
      <c r="N2072" s="32" t="s">
        <v>109</v>
      </c>
    </row>
    <row r="2073" spans="1:14" s="32" customFormat="1" hidden="1" x14ac:dyDescent="0.3">
      <c r="A2073" s="38">
        <v>46204.659583333334</v>
      </c>
      <c r="B2073" s="32" t="s">
        <v>109</v>
      </c>
      <c r="C2073" s="32">
        <v>6139672057</v>
      </c>
      <c r="E2073" s="32">
        <v>1</v>
      </c>
      <c r="F2073" s="32">
        <v>0</v>
      </c>
      <c r="G2073" s="32" t="s">
        <v>63</v>
      </c>
      <c r="H2073" s="32" t="s">
        <v>2142</v>
      </c>
      <c r="I2073" s="32" t="s">
        <v>54</v>
      </c>
      <c r="J2073" s="32" t="s">
        <v>111</v>
      </c>
      <c r="M2073" s="32" t="s">
        <v>112</v>
      </c>
      <c r="N2073" s="32" t="s">
        <v>109</v>
      </c>
    </row>
    <row r="2074" spans="1:14" s="32" customFormat="1" hidden="1" x14ac:dyDescent="0.3">
      <c r="A2074" s="38">
        <v>46204.65425925926</v>
      </c>
      <c r="B2074" s="32">
        <v>44999646909</v>
      </c>
      <c r="C2074" s="32" t="s">
        <v>1352</v>
      </c>
      <c r="D2074" s="32">
        <v>4430265054</v>
      </c>
      <c r="E2074" s="32">
        <v>345</v>
      </c>
      <c r="F2074" s="32">
        <v>268</v>
      </c>
      <c r="G2074" s="32" t="s">
        <v>44</v>
      </c>
      <c r="H2074" s="32" t="s">
        <v>2143</v>
      </c>
      <c r="I2074" s="32" t="s">
        <v>40</v>
      </c>
      <c r="J2074" s="32" t="s">
        <v>46</v>
      </c>
      <c r="K2074" s="32" t="s">
        <v>42</v>
      </c>
      <c r="M2074" s="32" t="s">
        <v>1354</v>
      </c>
      <c r="N2074" s="32" t="s">
        <v>1352</v>
      </c>
    </row>
    <row r="2075" spans="1:14" s="32" customFormat="1" hidden="1" x14ac:dyDescent="0.3">
      <c r="A2075" s="38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38</v>
      </c>
      <c r="H2075" s="32" t="s">
        <v>2144</v>
      </c>
      <c r="I2075" s="32" t="s">
        <v>40</v>
      </c>
      <c r="J2075" s="32" t="s">
        <v>41</v>
      </c>
      <c r="K2075" s="32" t="s">
        <v>42</v>
      </c>
    </row>
    <row r="2076" spans="1:14" s="32" customFormat="1" hidden="1" x14ac:dyDescent="0.3">
      <c r="A2076" s="38">
        <v>46204.64675925926</v>
      </c>
      <c r="B2076" s="32" t="s">
        <v>58</v>
      </c>
      <c r="C2076" s="32">
        <v>4432206400</v>
      </c>
      <c r="E2076" s="32">
        <v>25</v>
      </c>
      <c r="F2076" s="32">
        <v>15</v>
      </c>
      <c r="G2076" s="32" t="s">
        <v>44</v>
      </c>
      <c r="H2076" s="32" t="s">
        <v>2145</v>
      </c>
      <c r="I2076" s="32" t="s">
        <v>54</v>
      </c>
      <c r="J2076" s="32" t="s">
        <v>46</v>
      </c>
      <c r="M2076" s="32" t="s">
        <v>60</v>
      </c>
      <c r="N2076" s="32" t="s">
        <v>58</v>
      </c>
    </row>
    <row r="2077" spans="1:14" s="32" customFormat="1" hidden="1" x14ac:dyDescent="0.3">
      <c r="A2077" s="38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38</v>
      </c>
      <c r="H2077" s="32" t="s">
        <v>2146</v>
      </c>
      <c r="I2077" s="32" t="s">
        <v>40</v>
      </c>
      <c r="J2077" s="32" t="s">
        <v>41</v>
      </c>
      <c r="K2077" s="32" t="s">
        <v>42</v>
      </c>
    </row>
    <row r="2078" spans="1:14" s="32" customFormat="1" hidden="1" x14ac:dyDescent="0.3">
      <c r="A2078" s="38">
        <v>46204.642453703702</v>
      </c>
      <c r="B2078" s="32">
        <v>6234347959</v>
      </c>
      <c r="C2078" s="32" t="s">
        <v>1038</v>
      </c>
      <c r="D2078" s="32">
        <v>4430265054</v>
      </c>
      <c r="E2078" s="32">
        <v>1180</v>
      </c>
      <c r="F2078" s="32">
        <v>1160</v>
      </c>
      <c r="G2078" s="32" t="s">
        <v>44</v>
      </c>
      <c r="H2078" s="32" t="s">
        <v>2147</v>
      </c>
      <c r="I2078" s="32" t="s">
        <v>40</v>
      </c>
      <c r="J2078" s="32" t="s">
        <v>46</v>
      </c>
      <c r="K2078" s="32" t="s">
        <v>42</v>
      </c>
      <c r="M2078" s="32" t="s">
        <v>1040</v>
      </c>
      <c r="N2078" s="32" t="s">
        <v>1038</v>
      </c>
    </row>
    <row r="2079" spans="1:14" s="32" customFormat="1" hidden="1" x14ac:dyDescent="0.3">
      <c r="A2079" s="38">
        <v>46204.637615740743</v>
      </c>
      <c r="B2079" s="32" t="s">
        <v>58</v>
      </c>
      <c r="C2079" s="32">
        <v>4432206400</v>
      </c>
      <c r="E2079" s="32">
        <v>44</v>
      </c>
      <c r="F2079" s="32">
        <v>36</v>
      </c>
      <c r="G2079" s="32" t="s">
        <v>44</v>
      </c>
      <c r="H2079" s="32" t="s">
        <v>2148</v>
      </c>
      <c r="I2079" s="32" t="s">
        <v>54</v>
      </c>
      <c r="J2079" s="32" t="s">
        <v>46</v>
      </c>
      <c r="M2079" s="32" t="s">
        <v>60</v>
      </c>
      <c r="N2079" s="32" t="s">
        <v>58</v>
      </c>
    </row>
    <row r="2080" spans="1:14" s="32" customFormat="1" hidden="1" x14ac:dyDescent="0.3">
      <c r="A2080" s="38">
        <v>46204.633263888885</v>
      </c>
      <c r="B2080" s="32">
        <v>14996002383</v>
      </c>
      <c r="C2080" s="32" t="s">
        <v>43</v>
      </c>
      <c r="D2080" s="32">
        <v>4430265054</v>
      </c>
      <c r="E2080" s="32">
        <v>500</v>
      </c>
      <c r="F2080" s="32">
        <v>450</v>
      </c>
      <c r="G2080" s="32" t="s">
        <v>44</v>
      </c>
      <c r="H2080" s="32" t="s">
        <v>2149</v>
      </c>
      <c r="I2080" s="32" t="s">
        <v>40</v>
      </c>
      <c r="J2080" s="32" t="s">
        <v>46</v>
      </c>
      <c r="K2080" s="32" t="s">
        <v>42</v>
      </c>
      <c r="M2080" s="32" t="s">
        <v>47</v>
      </c>
      <c r="N2080" s="32" t="s">
        <v>43</v>
      </c>
    </row>
    <row r="2081" spans="1:14" s="32" customFormat="1" hidden="1" x14ac:dyDescent="0.3">
      <c r="A2081" s="38">
        <v>46204.62809027778</v>
      </c>
      <c r="B2081" s="32">
        <v>4130775695</v>
      </c>
      <c r="C2081" s="32" t="s">
        <v>1352</v>
      </c>
      <c r="D2081" s="32">
        <v>4430265054</v>
      </c>
      <c r="E2081" s="32">
        <v>1198</v>
      </c>
      <c r="F2081" s="32">
        <v>1171</v>
      </c>
      <c r="G2081" s="32" t="s">
        <v>44</v>
      </c>
      <c r="H2081" s="32" t="s">
        <v>2150</v>
      </c>
      <c r="I2081" s="32" t="s">
        <v>40</v>
      </c>
      <c r="J2081" s="32" t="s">
        <v>46</v>
      </c>
      <c r="K2081" s="32" t="s">
        <v>42</v>
      </c>
      <c r="L2081" s="32">
        <v>5</v>
      </c>
      <c r="M2081" s="32" t="s">
        <v>1354</v>
      </c>
      <c r="N2081" s="32" t="s">
        <v>1352</v>
      </c>
    </row>
    <row r="2082" spans="1:14" s="32" customFormat="1" hidden="1" x14ac:dyDescent="0.3">
      <c r="A2082" s="38">
        <v>46204.62767361111</v>
      </c>
      <c r="B2082" s="32">
        <v>4430459032</v>
      </c>
      <c r="C2082" s="32" t="s">
        <v>1038</v>
      </c>
      <c r="D2082" s="32">
        <v>4430265054</v>
      </c>
      <c r="E2082" s="32">
        <v>304</v>
      </c>
      <c r="F2082" s="32">
        <v>288</v>
      </c>
      <c r="G2082" s="32" t="s">
        <v>44</v>
      </c>
      <c r="H2082" s="32" t="s">
        <v>2151</v>
      </c>
      <c r="I2082" s="32" t="s">
        <v>40</v>
      </c>
      <c r="J2082" s="32" t="s">
        <v>46</v>
      </c>
      <c r="K2082" s="32" t="s">
        <v>42</v>
      </c>
      <c r="M2082" s="32" t="s">
        <v>1040</v>
      </c>
      <c r="N2082" s="32" t="s">
        <v>1038</v>
      </c>
    </row>
    <row r="2083" spans="1:14" s="32" customFormat="1" hidden="1" x14ac:dyDescent="0.3">
      <c r="A2083" s="38">
        <v>46204.61991898148</v>
      </c>
      <c r="B2083" s="32" t="s">
        <v>1352</v>
      </c>
      <c r="C2083" s="32">
        <v>4432541143</v>
      </c>
      <c r="E2083" s="32">
        <v>108</v>
      </c>
      <c r="F2083" s="32">
        <v>103</v>
      </c>
      <c r="G2083" s="32" t="s">
        <v>44</v>
      </c>
      <c r="H2083" s="32" t="s">
        <v>2152</v>
      </c>
      <c r="I2083" s="32" t="s">
        <v>54</v>
      </c>
      <c r="J2083" s="32" t="s">
        <v>46</v>
      </c>
      <c r="M2083" s="32" t="s">
        <v>1354</v>
      </c>
      <c r="N2083" s="32" t="s">
        <v>1352</v>
      </c>
    </row>
    <row r="2084" spans="1:14" s="32" customFormat="1" hidden="1" x14ac:dyDescent="0.3">
      <c r="A2084" s="38">
        <v>46204.61986111111</v>
      </c>
      <c r="B2084" s="32" t="s">
        <v>1352</v>
      </c>
      <c r="C2084" s="32">
        <v>4432541143</v>
      </c>
      <c r="E2084" s="32">
        <v>14</v>
      </c>
      <c r="F2084" s="32">
        <v>14</v>
      </c>
      <c r="G2084" s="32" t="s">
        <v>44</v>
      </c>
      <c r="H2084" s="32" t="s">
        <v>2153</v>
      </c>
      <c r="I2084" s="32" t="s">
        <v>54</v>
      </c>
      <c r="J2084" s="32" t="s">
        <v>46</v>
      </c>
      <c r="M2084" s="32" t="s">
        <v>1354</v>
      </c>
      <c r="N2084" s="32" t="s">
        <v>1352</v>
      </c>
    </row>
    <row r="2085" spans="1:14" s="32" customFormat="1" hidden="1" x14ac:dyDescent="0.3">
      <c r="A2085" s="38">
        <v>46204.615810185183</v>
      </c>
      <c r="B2085" s="32">
        <v>14996002383</v>
      </c>
      <c r="C2085" s="32" t="s">
        <v>43</v>
      </c>
      <c r="D2085" s="32">
        <v>4430265054</v>
      </c>
      <c r="E2085" s="32">
        <v>612</v>
      </c>
      <c r="F2085" s="32">
        <v>413</v>
      </c>
      <c r="G2085" s="32" t="s">
        <v>44</v>
      </c>
      <c r="H2085" s="32" t="s">
        <v>2154</v>
      </c>
      <c r="I2085" s="32" t="s">
        <v>40</v>
      </c>
      <c r="J2085" s="32" t="s">
        <v>46</v>
      </c>
      <c r="K2085" s="32" t="s">
        <v>42</v>
      </c>
      <c r="M2085" s="32" t="s">
        <v>47</v>
      </c>
      <c r="N2085" s="32" t="s">
        <v>43</v>
      </c>
    </row>
    <row r="2086" spans="1:14" s="32" customFormat="1" hidden="1" x14ac:dyDescent="0.3">
      <c r="A2086" s="38">
        <v>46204.613125000003</v>
      </c>
      <c r="B2086" s="32" t="s">
        <v>207</v>
      </c>
      <c r="C2086" s="32">
        <v>31993653656</v>
      </c>
      <c r="E2086" s="32">
        <v>55</v>
      </c>
      <c r="F2086" s="32">
        <v>48</v>
      </c>
      <c r="G2086" s="32" t="s">
        <v>44</v>
      </c>
      <c r="H2086" s="32" t="s">
        <v>2155</v>
      </c>
      <c r="I2086" s="32" t="s">
        <v>54</v>
      </c>
      <c r="J2086" s="32" t="s">
        <v>111</v>
      </c>
      <c r="M2086" s="32" t="s">
        <v>209</v>
      </c>
      <c r="N2086" s="32" t="s">
        <v>207</v>
      </c>
    </row>
    <row r="2087" spans="1:14" s="32" customFormat="1" hidden="1" x14ac:dyDescent="0.3">
      <c r="A2087" s="38">
        <v>46204.611354166664</v>
      </c>
      <c r="B2087" s="32" t="s">
        <v>207</v>
      </c>
      <c r="C2087" s="32">
        <v>24999187017</v>
      </c>
      <c r="E2087" s="32">
        <v>55</v>
      </c>
      <c r="F2087" s="32">
        <v>10</v>
      </c>
      <c r="G2087" s="32" t="s">
        <v>44</v>
      </c>
      <c r="H2087" s="32" t="s">
        <v>2156</v>
      </c>
      <c r="I2087" s="32" t="s">
        <v>54</v>
      </c>
      <c r="J2087" s="32" t="s">
        <v>111</v>
      </c>
      <c r="M2087" s="32" t="s">
        <v>209</v>
      </c>
      <c r="N2087" s="32" t="s">
        <v>207</v>
      </c>
    </row>
    <row r="2088" spans="1:14" s="32" customFormat="1" hidden="1" x14ac:dyDescent="0.3">
      <c r="A2088" s="38">
        <v>46204.606527777774</v>
      </c>
      <c r="B2088" s="32">
        <v>44988303530</v>
      </c>
      <c r="C2088" s="32" t="s">
        <v>1038</v>
      </c>
      <c r="D2088" s="32">
        <v>4430265054</v>
      </c>
      <c r="E2088" s="32">
        <v>689</v>
      </c>
      <c r="F2088" s="32">
        <v>688</v>
      </c>
      <c r="G2088" s="32" t="s">
        <v>44</v>
      </c>
      <c r="H2088" s="32" t="s">
        <v>2157</v>
      </c>
      <c r="I2088" s="32" t="s">
        <v>40</v>
      </c>
      <c r="J2088" s="32" t="s">
        <v>46</v>
      </c>
      <c r="K2088" s="32" t="s">
        <v>42</v>
      </c>
      <c r="M2088" s="32" t="s">
        <v>1040</v>
      </c>
      <c r="N2088" s="32" t="s">
        <v>1038</v>
      </c>
    </row>
    <row r="2089" spans="1:14" s="32" customFormat="1" hidden="1" x14ac:dyDescent="0.3">
      <c r="A2089" s="38">
        <v>46204.606516203705</v>
      </c>
      <c r="B2089" s="32">
        <v>44998620323</v>
      </c>
      <c r="C2089" s="32" t="s">
        <v>43</v>
      </c>
      <c r="D2089" s="32">
        <v>4430265054</v>
      </c>
      <c r="E2089" s="32">
        <v>253</v>
      </c>
      <c r="F2089" s="32">
        <v>185</v>
      </c>
      <c r="G2089" s="32" t="s">
        <v>44</v>
      </c>
      <c r="H2089" s="32" t="s">
        <v>2158</v>
      </c>
      <c r="I2089" s="32" t="s">
        <v>40</v>
      </c>
      <c r="J2089" s="32" t="s">
        <v>46</v>
      </c>
      <c r="K2089" s="32" t="s">
        <v>42</v>
      </c>
      <c r="M2089" s="32" t="s">
        <v>47</v>
      </c>
      <c r="N2089" s="32" t="s">
        <v>43</v>
      </c>
    </row>
    <row r="2090" spans="1:14" s="32" customFormat="1" hidden="1" x14ac:dyDescent="0.3">
      <c r="A2090" s="38">
        <v>46204.605578703704</v>
      </c>
      <c r="B2090" s="32">
        <v>4430414545</v>
      </c>
      <c r="C2090" s="32" t="s">
        <v>1352</v>
      </c>
      <c r="D2090" s="32">
        <v>4430265054</v>
      </c>
      <c r="E2090" s="32">
        <v>496</v>
      </c>
      <c r="F2090" s="32">
        <v>418</v>
      </c>
      <c r="G2090" s="32" t="s">
        <v>44</v>
      </c>
      <c r="H2090" s="32" t="s">
        <v>2159</v>
      </c>
      <c r="I2090" s="32" t="s">
        <v>40</v>
      </c>
      <c r="J2090" s="32" t="s">
        <v>46</v>
      </c>
      <c r="K2090" s="32" t="s">
        <v>42</v>
      </c>
      <c r="M2090" s="32" t="s">
        <v>1354</v>
      </c>
      <c r="N2090" s="32" t="s">
        <v>1352</v>
      </c>
    </row>
    <row r="2091" spans="1:14" s="32" customFormat="1" hidden="1" x14ac:dyDescent="0.3">
      <c r="A2091" s="38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38</v>
      </c>
      <c r="H2091" s="32" t="s">
        <v>2160</v>
      </c>
      <c r="I2091" s="32" t="s">
        <v>40</v>
      </c>
      <c r="J2091" s="32" t="s">
        <v>41</v>
      </c>
      <c r="K2091" s="32" t="s">
        <v>42</v>
      </c>
    </row>
    <row r="2092" spans="1:14" s="32" customFormat="1" hidden="1" x14ac:dyDescent="0.3">
      <c r="A2092" s="38">
        <v>46204.602592592593</v>
      </c>
      <c r="B2092" s="32" t="s">
        <v>85</v>
      </c>
      <c r="C2092" s="32">
        <v>4436291629</v>
      </c>
      <c r="E2092" s="32">
        <v>490</v>
      </c>
      <c r="F2092" s="32">
        <v>467</v>
      </c>
      <c r="G2092" s="32" t="s">
        <v>44</v>
      </c>
      <c r="H2092" s="32" t="s">
        <v>2161</v>
      </c>
      <c r="I2092" s="32" t="s">
        <v>54</v>
      </c>
      <c r="J2092" s="32" t="s">
        <v>41</v>
      </c>
      <c r="M2092" s="32" t="s">
        <v>87</v>
      </c>
      <c r="N2092" s="32" t="s">
        <v>85</v>
      </c>
    </row>
    <row r="2093" spans="1:14" s="32" customFormat="1" hidden="1" x14ac:dyDescent="0.3">
      <c r="A2093" s="38">
        <v>46204.602303240739</v>
      </c>
      <c r="B2093" s="32" t="s">
        <v>85</v>
      </c>
      <c r="C2093" s="32">
        <v>44998046835</v>
      </c>
      <c r="E2093" s="32">
        <v>16</v>
      </c>
      <c r="F2093" s="32">
        <v>7</v>
      </c>
      <c r="G2093" s="32" t="s">
        <v>44</v>
      </c>
      <c r="H2093" s="32" t="s">
        <v>2162</v>
      </c>
      <c r="I2093" s="32" t="s">
        <v>54</v>
      </c>
      <c r="J2093" s="32" t="s">
        <v>41</v>
      </c>
      <c r="M2093" s="32" t="s">
        <v>87</v>
      </c>
      <c r="N2093" s="32" t="s">
        <v>85</v>
      </c>
    </row>
    <row r="2094" spans="1:14" s="32" customFormat="1" hidden="1" x14ac:dyDescent="0.3">
      <c r="A2094" s="38">
        <v>46204.601203703707</v>
      </c>
      <c r="B2094" s="32" t="s">
        <v>85</v>
      </c>
      <c r="C2094" s="32">
        <v>4436291629</v>
      </c>
      <c r="E2094" s="32">
        <v>49</v>
      </c>
      <c r="F2094" s="32">
        <v>33</v>
      </c>
      <c r="G2094" s="32" t="s">
        <v>44</v>
      </c>
      <c r="H2094" s="32" t="s">
        <v>2163</v>
      </c>
      <c r="I2094" s="32" t="s">
        <v>54</v>
      </c>
      <c r="J2094" s="32" t="s">
        <v>41</v>
      </c>
      <c r="M2094" s="32" t="s">
        <v>87</v>
      </c>
      <c r="N2094" s="32" t="s">
        <v>85</v>
      </c>
    </row>
    <row r="2095" spans="1:14" s="32" customFormat="1" hidden="1" x14ac:dyDescent="0.3">
      <c r="A2095" s="38">
        <v>46204.601111111115</v>
      </c>
      <c r="B2095" s="32" t="s">
        <v>85</v>
      </c>
      <c r="C2095" s="32">
        <v>4436291629</v>
      </c>
      <c r="E2095" s="32">
        <v>6</v>
      </c>
      <c r="F2095" s="32">
        <v>6</v>
      </c>
      <c r="G2095" s="32" t="s">
        <v>44</v>
      </c>
      <c r="H2095" s="32" t="s">
        <v>2164</v>
      </c>
      <c r="I2095" s="32" t="s">
        <v>54</v>
      </c>
      <c r="J2095" s="32" t="s">
        <v>41</v>
      </c>
      <c r="M2095" s="32" t="s">
        <v>87</v>
      </c>
      <c r="N2095" s="32" t="s">
        <v>85</v>
      </c>
    </row>
    <row r="2096" spans="1:14" s="32" customFormat="1" hidden="1" x14ac:dyDescent="0.3">
      <c r="A2096" s="38">
        <v>46204.589016203703</v>
      </c>
      <c r="B2096" s="32">
        <v>1732146970</v>
      </c>
      <c r="C2096" s="32" t="s">
        <v>58</v>
      </c>
      <c r="D2096" s="32">
        <v>4431268225</v>
      </c>
      <c r="E2096" s="32">
        <v>906</v>
      </c>
      <c r="F2096" s="32">
        <v>867</v>
      </c>
      <c r="G2096" s="32" t="s">
        <v>44</v>
      </c>
      <c r="H2096" s="32" t="s">
        <v>2165</v>
      </c>
      <c r="I2096" s="32" t="s">
        <v>40</v>
      </c>
      <c r="J2096" s="32" t="s">
        <v>46</v>
      </c>
      <c r="K2096" s="32" t="s">
        <v>42</v>
      </c>
      <c r="M2096" s="32" t="s">
        <v>60</v>
      </c>
      <c r="N2096" s="32" t="s">
        <v>58</v>
      </c>
    </row>
    <row r="2097" spans="1:14" s="32" customFormat="1" hidden="1" x14ac:dyDescent="0.3">
      <c r="A2097" s="38">
        <v>46204.587743055556</v>
      </c>
      <c r="B2097" s="32">
        <v>44997456641</v>
      </c>
      <c r="C2097" s="32" t="s">
        <v>43</v>
      </c>
      <c r="D2097" s="32">
        <v>4430265054</v>
      </c>
      <c r="E2097" s="32">
        <v>549</v>
      </c>
      <c r="F2097" s="32">
        <v>527</v>
      </c>
      <c r="G2097" s="32" t="s">
        <v>44</v>
      </c>
      <c r="H2097" s="32" t="s">
        <v>2166</v>
      </c>
      <c r="I2097" s="32" t="s">
        <v>40</v>
      </c>
      <c r="J2097" s="32" t="s">
        <v>46</v>
      </c>
      <c r="K2097" s="32" t="s">
        <v>42</v>
      </c>
      <c r="M2097" s="32" t="s">
        <v>47</v>
      </c>
      <c r="N2097" s="32" t="s">
        <v>43</v>
      </c>
    </row>
    <row r="2098" spans="1:14" s="32" customFormat="1" hidden="1" x14ac:dyDescent="0.3">
      <c r="A2098" s="38">
        <v>46204.585752314815</v>
      </c>
      <c r="B2098" s="32">
        <v>4432541143</v>
      </c>
      <c r="C2098" s="32" t="s">
        <v>1352</v>
      </c>
      <c r="D2098" s="32">
        <v>4430265054</v>
      </c>
      <c r="E2098" s="32">
        <v>754</v>
      </c>
      <c r="F2098" s="32">
        <v>657</v>
      </c>
      <c r="G2098" s="32" t="s">
        <v>44</v>
      </c>
      <c r="H2098" s="32" t="s">
        <v>2167</v>
      </c>
      <c r="I2098" s="32" t="s">
        <v>40</v>
      </c>
      <c r="J2098" s="32" t="s">
        <v>46</v>
      </c>
      <c r="K2098" s="32" t="s">
        <v>42</v>
      </c>
      <c r="M2098" s="32" t="s">
        <v>1354</v>
      </c>
      <c r="N2098" s="32" t="s">
        <v>1352</v>
      </c>
    </row>
    <row r="2099" spans="1:14" s="32" customFormat="1" hidden="1" x14ac:dyDescent="0.3">
      <c r="A2099" s="38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38</v>
      </c>
      <c r="H2099" s="32" t="s">
        <v>2168</v>
      </c>
      <c r="I2099" s="32" t="s">
        <v>40</v>
      </c>
      <c r="J2099" s="32" t="s">
        <v>41</v>
      </c>
      <c r="K2099" s="32" t="s">
        <v>42</v>
      </c>
    </row>
    <row r="2100" spans="1:14" s="32" customFormat="1" hidden="1" x14ac:dyDescent="0.3">
      <c r="A2100" s="38">
        <v>46204.580578703702</v>
      </c>
      <c r="B2100" s="32">
        <v>4130760170</v>
      </c>
      <c r="C2100" s="32" t="s">
        <v>1038</v>
      </c>
      <c r="D2100" s="32">
        <v>4430265054</v>
      </c>
      <c r="E2100" s="32">
        <v>981</v>
      </c>
      <c r="F2100" s="32">
        <v>901</v>
      </c>
      <c r="G2100" s="32" t="s">
        <v>44</v>
      </c>
      <c r="H2100" s="32" t="s">
        <v>2169</v>
      </c>
      <c r="I2100" s="32" t="s">
        <v>40</v>
      </c>
      <c r="J2100" s="32" t="s">
        <v>46</v>
      </c>
      <c r="K2100" s="32" t="s">
        <v>42</v>
      </c>
      <c r="L2100" s="32">
        <v>5</v>
      </c>
      <c r="M2100" s="32" t="s">
        <v>1040</v>
      </c>
      <c r="N2100" s="32" t="s">
        <v>1038</v>
      </c>
    </row>
    <row r="2101" spans="1:14" s="32" customFormat="1" hidden="1" x14ac:dyDescent="0.3">
      <c r="A2101" s="38">
        <v>46204.578090277777</v>
      </c>
      <c r="B2101" s="32">
        <v>91985176746</v>
      </c>
      <c r="C2101" s="32" t="s">
        <v>43</v>
      </c>
      <c r="D2101" s="32">
        <v>4430265054</v>
      </c>
      <c r="E2101" s="32">
        <v>295</v>
      </c>
      <c r="F2101" s="32">
        <v>256</v>
      </c>
      <c r="G2101" s="32" t="s">
        <v>44</v>
      </c>
      <c r="H2101" s="32" t="s">
        <v>2170</v>
      </c>
      <c r="I2101" s="32" t="s">
        <v>40</v>
      </c>
      <c r="J2101" s="32" t="s">
        <v>46</v>
      </c>
      <c r="K2101" s="32" t="s">
        <v>42</v>
      </c>
      <c r="L2101" s="32">
        <v>5</v>
      </c>
      <c r="M2101" s="32" t="s">
        <v>47</v>
      </c>
      <c r="N2101" s="32" t="s">
        <v>43</v>
      </c>
    </row>
    <row r="2102" spans="1:14" s="32" customFormat="1" hidden="1" x14ac:dyDescent="0.3">
      <c r="A2102" s="38">
        <v>46204.575844907406</v>
      </c>
      <c r="B2102" s="32">
        <v>44988303530</v>
      </c>
      <c r="C2102" s="32" t="s">
        <v>1038</v>
      </c>
      <c r="D2102" s="32">
        <v>4430265054</v>
      </c>
      <c r="E2102" s="32">
        <v>407</v>
      </c>
      <c r="F2102" s="32">
        <v>246</v>
      </c>
      <c r="G2102" s="32" t="s">
        <v>44</v>
      </c>
      <c r="H2102" s="32" t="s">
        <v>2171</v>
      </c>
      <c r="I2102" s="32" t="s">
        <v>40</v>
      </c>
      <c r="J2102" s="32" t="s">
        <v>46</v>
      </c>
      <c r="K2102" s="32" t="s">
        <v>42</v>
      </c>
      <c r="M2102" s="32" t="s">
        <v>1040</v>
      </c>
      <c r="N2102" s="32" t="s">
        <v>1038</v>
      </c>
    </row>
    <row r="2103" spans="1:14" s="32" customFormat="1" hidden="1" x14ac:dyDescent="0.3">
      <c r="A2103" s="38">
        <v>46204.569143518522</v>
      </c>
      <c r="B2103" s="32">
        <v>44998325148</v>
      </c>
      <c r="C2103" s="32" t="s">
        <v>1352</v>
      </c>
      <c r="D2103" s="32">
        <v>4430265054</v>
      </c>
      <c r="E2103" s="32">
        <v>1142</v>
      </c>
      <c r="F2103" s="32">
        <v>1038</v>
      </c>
      <c r="G2103" s="32" t="s">
        <v>44</v>
      </c>
      <c r="H2103" s="32" t="s">
        <v>2172</v>
      </c>
      <c r="I2103" s="32" t="s">
        <v>40</v>
      </c>
      <c r="J2103" s="32" t="s">
        <v>46</v>
      </c>
      <c r="K2103" s="32" t="s">
        <v>42</v>
      </c>
      <c r="M2103" s="32" t="s">
        <v>1354</v>
      </c>
      <c r="N2103" s="32" t="s">
        <v>1352</v>
      </c>
    </row>
    <row r="2104" spans="1:14" s="32" customFormat="1" hidden="1" x14ac:dyDescent="0.3">
      <c r="A2104" s="38">
        <v>46204.566041666665</v>
      </c>
      <c r="B2104" s="32">
        <v>12997346335</v>
      </c>
      <c r="C2104" s="32" t="s">
        <v>43</v>
      </c>
      <c r="D2104" s="32">
        <v>4430265054</v>
      </c>
      <c r="E2104" s="32">
        <v>370</v>
      </c>
      <c r="F2104" s="32">
        <v>294</v>
      </c>
      <c r="G2104" s="32" t="s">
        <v>44</v>
      </c>
      <c r="H2104" s="32" t="s">
        <v>2173</v>
      </c>
      <c r="I2104" s="32" t="s">
        <v>40</v>
      </c>
      <c r="J2104" s="32" t="s">
        <v>46</v>
      </c>
      <c r="K2104" s="32" t="s">
        <v>42</v>
      </c>
      <c r="M2104" s="32" t="s">
        <v>47</v>
      </c>
      <c r="N2104" s="32" t="s">
        <v>43</v>
      </c>
    </row>
    <row r="2105" spans="1:14" s="32" customFormat="1" hidden="1" x14ac:dyDescent="0.3">
      <c r="A2105" s="38">
        <v>46204.565567129626</v>
      </c>
      <c r="B2105" s="32">
        <v>1732146970</v>
      </c>
      <c r="C2105" s="32" t="s">
        <v>1038</v>
      </c>
      <c r="D2105" s="32">
        <v>4431268225</v>
      </c>
      <c r="E2105" s="32">
        <v>318</v>
      </c>
      <c r="F2105" s="32">
        <v>197</v>
      </c>
      <c r="G2105" s="32" t="s">
        <v>44</v>
      </c>
      <c r="H2105" s="32" t="s">
        <v>2174</v>
      </c>
      <c r="I2105" s="32" t="s">
        <v>40</v>
      </c>
      <c r="J2105" s="32" t="s">
        <v>46</v>
      </c>
      <c r="K2105" s="32" t="s">
        <v>42</v>
      </c>
      <c r="L2105" s="32">
        <v>5</v>
      </c>
      <c r="M2105" s="32" t="s">
        <v>1040</v>
      </c>
      <c r="N2105" s="32" t="s">
        <v>1038</v>
      </c>
    </row>
    <row r="2106" spans="1:14" s="32" customFormat="1" hidden="1" x14ac:dyDescent="0.3">
      <c r="A2106" s="38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38</v>
      </c>
      <c r="H2106" s="32" t="s">
        <v>2175</v>
      </c>
      <c r="I2106" s="32" t="s">
        <v>40</v>
      </c>
      <c r="J2106" s="32" t="s">
        <v>41</v>
      </c>
    </row>
    <row r="2107" spans="1:14" s="32" customFormat="1" hidden="1" x14ac:dyDescent="0.3">
      <c r="A2107" s="38">
        <v>46204.495173611111</v>
      </c>
      <c r="B2107" s="32" t="s">
        <v>1038</v>
      </c>
      <c r="C2107" s="32">
        <v>4430191307</v>
      </c>
      <c r="E2107" s="32">
        <v>74</v>
      </c>
      <c r="F2107" s="32">
        <v>0</v>
      </c>
      <c r="G2107" s="32" t="s">
        <v>63</v>
      </c>
      <c r="H2107" s="32" t="s">
        <v>2176</v>
      </c>
      <c r="I2107" s="32" t="s">
        <v>54</v>
      </c>
      <c r="J2107" s="32" t="s">
        <v>46</v>
      </c>
      <c r="M2107" s="32" t="s">
        <v>1040</v>
      </c>
      <c r="N2107" s="32" t="s">
        <v>1038</v>
      </c>
    </row>
    <row r="2108" spans="1:14" s="32" customFormat="1" hidden="1" x14ac:dyDescent="0.3">
      <c r="A2108" s="38">
        <v>46204.495023148149</v>
      </c>
      <c r="B2108" s="32" t="s">
        <v>1038</v>
      </c>
      <c r="C2108" s="32">
        <v>44991314300</v>
      </c>
      <c r="E2108" s="32">
        <v>8</v>
      </c>
      <c r="F2108" s="32">
        <v>0</v>
      </c>
      <c r="G2108" s="32" t="s">
        <v>63</v>
      </c>
      <c r="H2108" s="32" t="s">
        <v>2177</v>
      </c>
      <c r="I2108" s="32" t="s">
        <v>54</v>
      </c>
      <c r="J2108" s="32" t="s">
        <v>46</v>
      </c>
      <c r="M2108" s="32" t="s">
        <v>1040</v>
      </c>
      <c r="N2108" s="32" t="s">
        <v>1038</v>
      </c>
    </row>
    <row r="2109" spans="1:14" s="32" customFormat="1" hidden="1" x14ac:dyDescent="0.3">
      <c r="A2109" s="38">
        <v>46204.481423611112</v>
      </c>
      <c r="B2109" s="32">
        <v>4330332823</v>
      </c>
      <c r="C2109" s="32" t="s">
        <v>58</v>
      </c>
      <c r="D2109" s="32">
        <v>4430265054</v>
      </c>
      <c r="E2109" s="32">
        <v>736</v>
      </c>
      <c r="F2109" s="32">
        <v>735</v>
      </c>
      <c r="G2109" s="32" t="s">
        <v>44</v>
      </c>
      <c r="H2109" s="32" t="s">
        <v>2178</v>
      </c>
      <c r="I2109" s="32" t="s">
        <v>40</v>
      </c>
      <c r="J2109" s="32" t="s">
        <v>46</v>
      </c>
      <c r="K2109" s="32" t="s">
        <v>42</v>
      </c>
      <c r="L2109" s="32">
        <v>5</v>
      </c>
      <c r="M2109" s="32" t="s">
        <v>60</v>
      </c>
      <c r="N2109" s="32" t="s">
        <v>58</v>
      </c>
    </row>
    <row r="2110" spans="1:14" s="32" customFormat="1" hidden="1" x14ac:dyDescent="0.3">
      <c r="A2110" s="38">
        <v>46204.460231481484</v>
      </c>
      <c r="B2110" s="32">
        <v>4435226025</v>
      </c>
      <c r="C2110" s="32" t="s">
        <v>1038</v>
      </c>
      <c r="D2110" s="32">
        <v>4430265054</v>
      </c>
      <c r="E2110" s="32">
        <v>457</v>
      </c>
      <c r="F2110" s="32">
        <v>400</v>
      </c>
      <c r="G2110" s="32" t="s">
        <v>44</v>
      </c>
      <c r="H2110" s="32" t="s">
        <v>2179</v>
      </c>
      <c r="I2110" s="32" t="s">
        <v>40</v>
      </c>
      <c r="J2110" s="32" t="s">
        <v>46</v>
      </c>
      <c r="K2110" s="32" t="s">
        <v>42</v>
      </c>
      <c r="M2110" s="32" t="s">
        <v>1040</v>
      </c>
      <c r="N2110" s="32" t="s">
        <v>1038</v>
      </c>
    </row>
    <row r="2111" spans="1:14" s="32" customFormat="1" hidden="1" x14ac:dyDescent="0.3">
      <c r="A2111" s="38">
        <v>46204.458831018521</v>
      </c>
      <c r="B2111" s="32">
        <v>4430291622</v>
      </c>
      <c r="C2111" s="32" t="s">
        <v>1352</v>
      </c>
      <c r="D2111" s="32">
        <v>4430265054</v>
      </c>
      <c r="E2111" s="32">
        <v>1648</v>
      </c>
      <c r="F2111" s="32">
        <v>1624</v>
      </c>
      <c r="G2111" s="32" t="s">
        <v>44</v>
      </c>
      <c r="H2111" s="32" t="s">
        <v>2180</v>
      </c>
      <c r="I2111" s="32" t="s">
        <v>40</v>
      </c>
      <c r="J2111" s="32" t="s">
        <v>46</v>
      </c>
      <c r="K2111" s="32" t="s">
        <v>42</v>
      </c>
      <c r="M2111" s="32" t="s">
        <v>1354</v>
      </c>
      <c r="N2111" s="32" t="s">
        <v>1352</v>
      </c>
    </row>
    <row r="2112" spans="1:14" s="32" customFormat="1" hidden="1" x14ac:dyDescent="0.3">
      <c r="A2112" s="38">
        <v>46204.453958333332</v>
      </c>
      <c r="B2112" s="32" t="s">
        <v>109</v>
      </c>
      <c r="C2112" s="32">
        <v>11976005254</v>
      </c>
      <c r="E2112" s="32">
        <v>24</v>
      </c>
      <c r="F2112" s="32">
        <v>0</v>
      </c>
      <c r="G2112" s="32" t="s">
        <v>63</v>
      </c>
      <c r="H2112" s="32" t="s">
        <v>2181</v>
      </c>
      <c r="I2112" s="32" t="s">
        <v>54</v>
      </c>
      <c r="J2112" s="32" t="s">
        <v>111</v>
      </c>
      <c r="M2112" s="32" t="s">
        <v>112</v>
      </c>
      <c r="N2112" s="32" t="s">
        <v>109</v>
      </c>
    </row>
    <row r="2113" spans="1:14" s="32" customFormat="1" hidden="1" x14ac:dyDescent="0.3">
      <c r="A2113" s="38">
        <v>46204.448784722219</v>
      </c>
      <c r="B2113" s="32">
        <v>1639391799</v>
      </c>
      <c r="C2113" s="32" t="s">
        <v>58</v>
      </c>
      <c r="D2113" s="32">
        <v>4430265054</v>
      </c>
      <c r="E2113" s="32">
        <v>681</v>
      </c>
      <c r="F2113" s="32">
        <v>680</v>
      </c>
      <c r="G2113" s="32" t="s">
        <v>44</v>
      </c>
      <c r="H2113" s="32" t="s">
        <v>2182</v>
      </c>
      <c r="I2113" s="32" t="s">
        <v>40</v>
      </c>
      <c r="J2113" s="32" t="s">
        <v>46</v>
      </c>
      <c r="K2113" s="32" t="s">
        <v>42</v>
      </c>
      <c r="M2113" s="32" t="s">
        <v>60</v>
      </c>
      <c r="N2113" s="32" t="s">
        <v>58</v>
      </c>
    </row>
    <row r="2114" spans="1:14" s="32" customFormat="1" hidden="1" x14ac:dyDescent="0.3">
      <c r="A2114" s="38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38</v>
      </c>
      <c r="H2114" s="32" t="s">
        <v>2183</v>
      </c>
      <c r="I2114" s="32" t="s">
        <v>40</v>
      </c>
      <c r="J2114" s="32" t="s">
        <v>41</v>
      </c>
      <c r="K2114" s="32" t="s">
        <v>42</v>
      </c>
    </row>
    <row r="2115" spans="1:14" s="32" customFormat="1" hidden="1" x14ac:dyDescent="0.3">
      <c r="A2115" s="38">
        <v>46204.445219907408</v>
      </c>
      <c r="B2115" s="32">
        <v>4432268889</v>
      </c>
      <c r="C2115" s="32" t="s">
        <v>1352</v>
      </c>
      <c r="D2115" s="32">
        <v>4430265054</v>
      </c>
      <c r="E2115" s="32">
        <v>425</v>
      </c>
      <c r="F2115" s="32">
        <v>318</v>
      </c>
      <c r="G2115" s="32" t="s">
        <v>44</v>
      </c>
      <c r="H2115" s="32" t="s">
        <v>2184</v>
      </c>
      <c r="I2115" s="32" t="s">
        <v>40</v>
      </c>
      <c r="J2115" s="32" t="s">
        <v>46</v>
      </c>
      <c r="K2115" s="32" t="s">
        <v>42</v>
      </c>
      <c r="M2115" s="32" t="s">
        <v>1354</v>
      </c>
      <c r="N2115" s="32" t="s">
        <v>1352</v>
      </c>
    </row>
    <row r="2116" spans="1:14" s="32" customFormat="1" hidden="1" x14ac:dyDescent="0.3">
      <c r="A2116" s="38">
        <v>46204.436064814814</v>
      </c>
      <c r="B2116" s="32">
        <v>44999493534</v>
      </c>
      <c r="C2116" s="32" t="s">
        <v>1038</v>
      </c>
      <c r="D2116" s="32">
        <v>4430265054</v>
      </c>
      <c r="E2116" s="32">
        <v>405</v>
      </c>
      <c r="F2116" s="32">
        <v>342</v>
      </c>
      <c r="G2116" s="32" t="s">
        <v>44</v>
      </c>
      <c r="H2116" s="32" t="s">
        <v>2185</v>
      </c>
      <c r="I2116" s="32" t="s">
        <v>40</v>
      </c>
      <c r="J2116" s="32" t="s">
        <v>46</v>
      </c>
      <c r="K2116" s="32" t="s">
        <v>42</v>
      </c>
      <c r="L2116" s="32">
        <v>5</v>
      </c>
      <c r="M2116" s="32" t="s">
        <v>1040</v>
      </c>
      <c r="N2116" s="32" t="s">
        <v>1038</v>
      </c>
    </row>
    <row r="2117" spans="1:14" s="32" customFormat="1" hidden="1" x14ac:dyDescent="0.3">
      <c r="A2117" s="38">
        <v>46204.429895833331</v>
      </c>
      <c r="B2117" s="32">
        <v>4432206400</v>
      </c>
      <c r="C2117" s="32" t="s">
        <v>43</v>
      </c>
      <c r="D2117" s="32">
        <v>4430265054</v>
      </c>
      <c r="E2117" s="32">
        <v>715</v>
      </c>
      <c r="F2117" s="32">
        <v>513</v>
      </c>
      <c r="G2117" s="32" t="s">
        <v>44</v>
      </c>
      <c r="H2117" s="32" t="s">
        <v>2186</v>
      </c>
      <c r="I2117" s="32" t="s">
        <v>40</v>
      </c>
      <c r="J2117" s="32" t="s">
        <v>46</v>
      </c>
      <c r="K2117" s="32" t="s">
        <v>42</v>
      </c>
      <c r="M2117" s="32" t="s">
        <v>47</v>
      </c>
      <c r="N2117" s="32" t="s">
        <v>43</v>
      </c>
    </row>
    <row r="2118" spans="1:14" s="32" customFormat="1" hidden="1" x14ac:dyDescent="0.3">
      <c r="A2118" s="38">
        <v>46204.427372685182</v>
      </c>
      <c r="B2118" s="32">
        <v>4435226025</v>
      </c>
      <c r="C2118" s="32" t="s">
        <v>43</v>
      </c>
      <c r="D2118" s="32">
        <v>4430265054</v>
      </c>
      <c r="E2118" s="32">
        <v>132</v>
      </c>
      <c r="F2118" s="32">
        <v>89</v>
      </c>
      <c r="G2118" s="32" t="s">
        <v>44</v>
      </c>
      <c r="H2118" s="32" t="s">
        <v>2187</v>
      </c>
      <c r="I2118" s="32" t="s">
        <v>40</v>
      </c>
      <c r="J2118" s="32" t="s">
        <v>46</v>
      </c>
      <c r="K2118" s="32" t="s">
        <v>42</v>
      </c>
      <c r="M2118" s="32" t="s">
        <v>47</v>
      </c>
      <c r="N2118" s="32" t="s">
        <v>43</v>
      </c>
    </row>
    <row r="2119" spans="1:14" s="32" customFormat="1" hidden="1" x14ac:dyDescent="0.3">
      <c r="A2119" s="38">
        <v>46204.425474537034</v>
      </c>
      <c r="B2119" s="32">
        <v>4430414545</v>
      </c>
      <c r="C2119" s="32" t="s">
        <v>1352</v>
      </c>
      <c r="D2119" s="32">
        <v>4430265054</v>
      </c>
      <c r="E2119" s="32">
        <v>1413</v>
      </c>
      <c r="F2119" s="32">
        <v>1291</v>
      </c>
      <c r="G2119" s="32" t="s">
        <v>44</v>
      </c>
      <c r="H2119" s="32" t="s">
        <v>2188</v>
      </c>
      <c r="I2119" s="32" t="s">
        <v>40</v>
      </c>
      <c r="J2119" s="32" t="s">
        <v>46</v>
      </c>
      <c r="K2119" s="32" t="s">
        <v>42</v>
      </c>
      <c r="M2119" s="32" t="s">
        <v>1354</v>
      </c>
      <c r="N2119" s="32" t="s">
        <v>1352</v>
      </c>
    </row>
    <row r="2120" spans="1:14" s="32" customFormat="1" hidden="1" x14ac:dyDescent="0.3">
      <c r="A2120" s="38">
        <v>46204.415868055556</v>
      </c>
      <c r="B2120" s="32">
        <v>44999917849</v>
      </c>
      <c r="C2120" s="32" t="s">
        <v>43</v>
      </c>
      <c r="D2120" s="32">
        <v>4430265054</v>
      </c>
      <c r="E2120" s="32">
        <v>735</v>
      </c>
      <c r="F2120" s="32">
        <v>698</v>
      </c>
      <c r="G2120" s="32" t="s">
        <v>44</v>
      </c>
      <c r="H2120" s="32" t="s">
        <v>2189</v>
      </c>
      <c r="I2120" s="32" t="s">
        <v>40</v>
      </c>
      <c r="J2120" s="32" t="s">
        <v>46</v>
      </c>
      <c r="K2120" s="32" t="s">
        <v>42</v>
      </c>
      <c r="M2120" s="32" t="s">
        <v>47</v>
      </c>
      <c r="N2120" s="32" t="s">
        <v>43</v>
      </c>
    </row>
    <row r="2121" spans="1:14" s="32" customFormat="1" hidden="1" x14ac:dyDescent="0.3">
      <c r="A2121" s="38">
        <v>46204.413877314815</v>
      </c>
      <c r="B2121" s="32">
        <v>44991314300</v>
      </c>
      <c r="C2121" s="32" t="s">
        <v>1038</v>
      </c>
      <c r="D2121" s="32">
        <v>4430265054</v>
      </c>
      <c r="E2121" s="32">
        <v>902</v>
      </c>
      <c r="F2121" s="32">
        <v>781</v>
      </c>
      <c r="G2121" s="32" t="s">
        <v>44</v>
      </c>
      <c r="H2121" s="32" t="s">
        <v>2190</v>
      </c>
      <c r="I2121" s="32" t="s">
        <v>40</v>
      </c>
      <c r="J2121" s="32" t="s">
        <v>46</v>
      </c>
      <c r="K2121" s="32" t="s">
        <v>42</v>
      </c>
      <c r="M2121" s="32" t="s">
        <v>1040</v>
      </c>
      <c r="N2121" s="32" t="s">
        <v>1038</v>
      </c>
    </row>
    <row r="2122" spans="1:14" s="32" customFormat="1" hidden="1" x14ac:dyDescent="0.3">
      <c r="A2122" s="38">
        <v>46204.397696759261</v>
      </c>
      <c r="B2122" s="32">
        <v>44991314300</v>
      </c>
      <c r="C2122" s="32" t="s">
        <v>1038</v>
      </c>
      <c r="D2122" s="32">
        <v>4430265054</v>
      </c>
      <c r="E2122" s="32">
        <v>639</v>
      </c>
      <c r="F2122" s="32">
        <v>520</v>
      </c>
      <c r="G2122" s="32" t="s">
        <v>44</v>
      </c>
      <c r="H2122" s="32" t="s">
        <v>2191</v>
      </c>
      <c r="I2122" s="32" t="s">
        <v>40</v>
      </c>
      <c r="J2122" s="32" t="s">
        <v>46</v>
      </c>
      <c r="K2122" s="32" t="s">
        <v>42</v>
      </c>
      <c r="M2122" s="32" t="s">
        <v>1040</v>
      </c>
      <c r="N2122" s="32" t="s">
        <v>1038</v>
      </c>
    </row>
    <row r="2123" spans="1:14" s="32" customFormat="1" hidden="1" x14ac:dyDescent="0.3">
      <c r="A2123" s="38">
        <v>46204.394247685188</v>
      </c>
      <c r="B2123" s="32" t="s">
        <v>85</v>
      </c>
      <c r="C2123" s="32">
        <v>91985176746</v>
      </c>
      <c r="E2123" s="32">
        <v>8</v>
      </c>
      <c r="F2123" s="32">
        <v>0</v>
      </c>
      <c r="G2123" s="32" t="s">
        <v>44</v>
      </c>
      <c r="H2123" s="32" t="s">
        <v>2192</v>
      </c>
      <c r="I2123" s="32" t="s">
        <v>54</v>
      </c>
      <c r="J2123" s="32" t="s">
        <v>41</v>
      </c>
      <c r="M2123" s="32" t="s">
        <v>87</v>
      </c>
      <c r="N2123" s="32" t="s">
        <v>85</v>
      </c>
    </row>
    <row r="2124" spans="1:14" s="32" customFormat="1" hidden="1" x14ac:dyDescent="0.3">
      <c r="A2124" s="38">
        <v>46204.388333333336</v>
      </c>
      <c r="B2124" s="32" t="s">
        <v>85</v>
      </c>
      <c r="C2124" s="32">
        <v>91985176746</v>
      </c>
      <c r="E2124" s="32">
        <v>33</v>
      </c>
      <c r="F2124" s="32">
        <v>1</v>
      </c>
      <c r="G2124" s="32" t="s">
        <v>44</v>
      </c>
      <c r="H2124" s="32" t="s">
        <v>2193</v>
      </c>
      <c r="I2124" s="32" t="s">
        <v>54</v>
      </c>
      <c r="J2124" s="32" t="s">
        <v>41</v>
      </c>
      <c r="M2124" s="32" t="s">
        <v>87</v>
      </c>
      <c r="N2124" s="32" t="s">
        <v>85</v>
      </c>
    </row>
    <row r="2125" spans="1:14" s="32" customFormat="1" hidden="1" x14ac:dyDescent="0.3">
      <c r="A2125" s="38">
        <v>46204.387858796297</v>
      </c>
      <c r="B2125" s="32" t="s">
        <v>85</v>
      </c>
      <c r="C2125" s="32">
        <v>91985176746</v>
      </c>
      <c r="E2125" s="32">
        <v>22</v>
      </c>
      <c r="F2125" s="32">
        <v>14</v>
      </c>
      <c r="G2125" s="32" t="s">
        <v>44</v>
      </c>
      <c r="H2125" s="32" t="s">
        <v>2194</v>
      </c>
      <c r="I2125" s="32" t="s">
        <v>54</v>
      </c>
      <c r="J2125" s="32" t="s">
        <v>41</v>
      </c>
      <c r="M2125" s="32" t="s">
        <v>87</v>
      </c>
      <c r="N2125" s="32" t="s">
        <v>85</v>
      </c>
    </row>
    <row r="2126" spans="1:14" s="32" customFormat="1" hidden="1" x14ac:dyDescent="0.3">
      <c r="A2126" s="38">
        <v>46204.387002314812</v>
      </c>
      <c r="B2126" s="32" t="s">
        <v>85</v>
      </c>
      <c r="C2126" s="32">
        <v>91985176746</v>
      </c>
      <c r="E2126" s="32">
        <v>33</v>
      </c>
      <c r="F2126" s="32">
        <v>1</v>
      </c>
      <c r="G2126" s="32" t="s">
        <v>44</v>
      </c>
      <c r="H2126" s="32" t="s">
        <v>2195</v>
      </c>
      <c r="I2126" s="32" t="s">
        <v>54</v>
      </c>
      <c r="J2126" s="32" t="s">
        <v>41</v>
      </c>
      <c r="M2126" s="32" t="s">
        <v>87</v>
      </c>
      <c r="N2126" s="32" t="s">
        <v>85</v>
      </c>
    </row>
    <row r="2127" spans="1:14" s="32" customFormat="1" hidden="1" x14ac:dyDescent="0.3">
      <c r="A2127" s="38">
        <v>46204.386446759258</v>
      </c>
      <c r="B2127" s="32" t="s">
        <v>85</v>
      </c>
      <c r="C2127" s="32">
        <v>91985176746</v>
      </c>
      <c r="E2127" s="32">
        <v>30</v>
      </c>
      <c r="F2127" s="32">
        <v>0</v>
      </c>
      <c r="G2127" s="32" t="s">
        <v>63</v>
      </c>
      <c r="H2127" s="32" t="s">
        <v>2196</v>
      </c>
      <c r="I2127" s="32" t="s">
        <v>54</v>
      </c>
      <c r="J2127" s="32" t="s">
        <v>41</v>
      </c>
      <c r="M2127" s="32" t="s">
        <v>87</v>
      </c>
      <c r="N2127" s="32" t="s">
        <v>85</v>
      </c>
    </row>
    <row r="2128" spans="1:14" s="32" customFormat="1" hidden="1" x14ac:dyDescent="0.3">
      <c r="A2128" s="38">
        <v>46204.38590277778</v>
      </c>
      <c r="B2128" s="32" t="s">
        <v>85</v>
      </c>
      <c r="C2128" s="32">
        <v>91985176746</v>
      </c>
      <c r="E2128" s="32">
        <v>37</v>
      </c>
      <c r="F2128" s="32">
        <v>5</v>
      </c>
      <c r="G2128" s="32" t="s">
        <v>44</v>
      </c>
      <c r="H2128" s="32" t="s">
        <v>2197</v>
      </c>
      <c r="I2128" s="32" t="s">
        <v>54</v>
      </c>
      <c r="J2128" s="32" t="s">
        <v>41</v>
      </c>
      <c r="M2128" s="32" t="s">
        <v>87</v>
      </c>
      <c r="N2128" s="32" t="s">
        <v>85</v>
      </c>
    </row>
    <row r="2129" spans="1:14" s="32" customFormat="1" hidden="1" x14ac:dyDescent="0.3">
      <c r="A2129" s="38">
        <v>46204.385752314818</v>
      </c>
      <c r="B2129" s="32" t="s">
        <v>85</v>
      </c>
      <c r="C2129" s="32">
        <v>91985176746</v>
      </c>
      <c r="E2129" s="32">
        <v>6</v>
      </c>
      <c r="F2129" s="32">
        <v>0</v>
      </c>
      <c r="G2129" s="32" t="s">
        <v>63</v>
      </c>
      <c r="H2129" s="32" t="s">
        <v>2198</v>
      </c>
      <c r="I2129" s="32" t="s">
        <v>54</v>
      </c>
      <c r="J2129" s="32" t="s">
        <v>41</v>
      </c>
      <c r="M2129" s="32" t="s">
        <v>87</v>
      </c>
      <c r="N2129" s="32" t="s">
        <v>85</v>
      </c>
    </row>
    <row r="2130" spans="1:14" s="32" customFormat="1" hidden="1" x14ac:dyDescent="0.3">
      <c r="A2130" s="38">
        <v>46204.382997685185</v>
      </c>
      <c r="B2130" s="32">
        <v>41995255119</v>
      </c>
      <c r="C2130" s="32" t="s">
        <v>1352</v>
      </c>
      <c r="D2130" s="32">
        <v>4430265054</v>
      </c>
      <c r="E2130" s="32">
        <v>932</v>
      </c>
      <c r="F2130" s="32">
        <v>793</v>
      </c>
      <c r="G2130" s="32" t="s">
        <v>44</v>
      </c>
      <c r="H2130" s="32" t="s">
        <v>2199</v>
      </c>
      <c r="I2130" s="32" t="s">
        <v>40</v>
      </c>
      <c r="J2130" s="32" t="s">
        <v>46</v>
      </c>
      <c r="K2130" s="32" t="s">
        <v>42</v>
      </c>
      <c r="M2130" s="32" t="s">
        <v>1354</v>
      </c>
      <c r="N2130" s="32" t="s">
        <v>1352</v>
      </c>
    </row>
    <row r="2131" spans="1:14" s="32" customFormat="1" hidden="1" x14ac:dyDescent="0.3">
      <c r="A2131" s="38">
        <v>46204.381805555553</v>
      </c>
      <c r="B2131" s="32">
        <v>91985176746</v>
      </c>
      <c r="C2131" s="32" t="s">
        <v>85</v>
      </c>
      <c r="D2131" s="32">
        <v>4430265054</v>
      </c>
      <c r="E2131" s="32">
        <v>331</v>
      </c>
      <c r="F2131" s="32">
        <v>330</v>
      </c>
      <c r="G2131" s="32" t="s">
        <v>44</v>
      </c>
      <c r="H2131" s="32" t="s">
        <v>2200</v>
      </c>
      <c r="I2131" s="32" t="s">
        <v>40</v>
      </c>
      <c r="J2131" s="32" t="s">
        <v>41</v>
      </c>
      <c r="K2131" s="32" t="s">
        <v>42</v>
      </c>
      <c r="M2131" s="32" t="s">
        <v>87</v>
      </c>
      <c r="N2131" s="32" t="s">
        <v>85</v>
      </c>
    </row>
    <row r="2132" spans="1:14" s="32" customFormat="1" hidden="1" x14ac:dyDescent="0.3">
      <c r="A2132" s="38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38</v>
      </c>
      <c r="H2132" s="32" t="s">
        <v>2201</v>
      </c>
      <c r="I2132" s="32" t="s">
        <v>40</v>
      </c>
      <c r="J2132" s="32" t="s">
        <v>41</v>
      </c>
      <c r="K2132" s="32" t="s">
        <v>42</v>
      </c>
    </row>
    <row r="2133" spans="1:14" s="32" customFormat="1" hidden="1" x14ac:dyDescent="0.3">
      <c r="A2133" s="38">
        <v>46204.380856481483</v>
      </c>
      <c r="B2133" s="32">
        <v>44997650834</v>
      </c>
      <c r="C2133" s="32" t="s">
        <v>43</v>
      </c>
      <c r="D2133" s="32">
        <v>4430265054</v>
      </c>
      <c r="E2133" s="32">
        <v>472</v>
      </c>
      <c r="F2133" s="32">
        <v>456</v>
      </c>
      <c r="G2133" s="32" t="s">
        <v>44</v>
      </c>
      <c r="H2133" s="32" t="s">
        <v>2202</v>
      </c>
      <c r="I2133" s="32" t="s">
        <v>40</v>
      </c>
      <c r="J2133" s="32" t="s">
        <v>46</v>
      </c>
      <c r="K2133" s="32" t="s">
        <v>42</v>
      </c>
      <c r="L2133" s="32">
        <v>5</v>
      </c>
      <c r="M2133" s="32" t="s">
        <v>47</v>
      </c>
      <c r="N2133" s="32" t="s">
        <v>43</v>
      </c>
    </row>
    <row r="2134" spans="1:14" s="32" customFormat="1" hidden="1" x14ac:dyDescent="0.3">
      <c r="A2134" s="38">
        <v>46204.379421296297</v>
      </c>
      <c r="B2134" s="32">
        <v>4436312588</v>
      </c>
      <c r="C2134" s="32" t="s">
        <v>43</v>
      </c>
      <c r="D2134" s="32">
        <v>4430265054</v>
      </c>
      <c r="E2134" s="32">
        <v>79</v>
      </c>
      <c r="F2134" s="32">
        <v>36</v>
      </c>
      <c r="G2134" s="32" t="s">
        <v>44</v>
      </c>
      <c r="H2134" s="32" t="s">
        <v>2203</v>
      </c>
      <c r="I2134" s="32" t="s">
        <v>40</v>
      </c>
      <c r="J2134" s="32" t="s">
        <v>46</v>
      </c>
      <c r="K2134" s="32" t="s">
        <v>42</v>
      </c>
      <c r="M2134" s="32" t="s">
        <v>47</v>
      </c>
      <c r="N2134" s="32" t="s">
        <v>43</v>
      </c>
    </row>
    <row r="2135" spans="1:14" s="32" customFormat="1" hidden="1" x14ac:dyDescent="0.3">
      <c r="A2135" s="38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38</v>
      </c>
      <c r="H2135" s="32" t="s">
        <v>2204</v>
      </c>
      <c r="I2135" s="32" t="s">
        <v>40</v>
      </c>
      <c r="J2135" s="32" t="s">
        <v>41</v>
      </c>
    </row>
    <row r="2136" spans="1:14" s="32" customFormat="1" hidden="1" x14ac:dyDescent="0.3">
      <c r="A2136" s="38">
        <v>46204.365937499999</v>
      </c>
      <c r="B2136" s="32">
        <v>43988030048</v>
      </c>
      <c r="C2136" s="32" t="s">
        <v>43</v>
      </c>
      <c r="D2136" s="32">
        <v>4430265054</v>
      </c>
      <c r="E2136" s="32">
        <v>347</v>
      </c>
      <c r="F2136" s="32">
        <v>306</v>
      </c>
      <c r="G2136" s="32" t="s">
        <v>44</v>
      </c>
      <c r="H2136" s="32" t="s">
        <v>2205</v>
      </c>
      <c r="I2136" s="32" t="s">
        <v>40</v>
      </c>
      <c r="J2136" s="32" t="s">
        <v>46</v>
      </c>
      <c r="K2136" s="32" t="s">
        <v>42</v>
      </c>
      <c r="M2136" s="32" t="s">
        <v>47</v>
      </c>
      <c r="N2136" s="32" t="s">
        <v>43</v>
      </c>
    </row>
    <row r="2137" spans="1:14" s="32" customFormat="1" hidden="1" x14ac:dyDescent="0.3">
      <c r="A2137" s="38">
        <v>46204.364525462966</v>
      </c>
      <c r="B2137" s="32">
        <v>44988303530</v>
      </c>
      <c r="C2137" s="32" t="s">
        <v>1352</v>
      </c>
      <c r="D2137" s="32">
        <v>4430265054</v>
      </c>
      <c r="E2137" s="32">
        <v>1651</v>
      </c>
      <c r="F2137" s="32">
        <v>1614</v>
      </c>
      <c r="G2137" s="32" t="s">
        <v>44</v>
      </c>
      <c r="H2137" s="32" t="s">
        <v>2206</v>
      </c>
      <c r="I2137" s="32" t="s">
        <v>40</v>
      </c>
      <c r="J2137" s="32" t="s">
        <v>46</v>
      </c>
      <c r="K2137" s="32" t="s">
        <v>42</v>
      </c>
      <c r="M2137" s="32" t="s">
        <v>1354</v>
      </c>
      <c r="N2137" s="32" t="s">
        <v>1352</v>
      </c>
    </row>
    <row r="2138" spans="1:14" s="32" customFormat="1" hidden="1" x14ac:dyDescent="0.3">
      <c r="A2138" s="38">
        <v>46204.359710648147</v>
      </c>
      <c r="B2138" s="32">
        <v>62994086124</v>
      </c>
      <c r="C2138" s="32" t="s">
        <v>1038</v>
      </c>
      <c r="D2138" s="32">
        <v>4430265054</v>
      </c>
      <c r="E2138" s="32">
        <v>584</v>
      </c>
      <c r="F2138" s="32">
        <v>564</v>
      </c>
      <c r="G2138" s="32" t="s">
        <v>44</v>
      </c>
      <c r="H2138" s="32" t="s">
        <v>2207</v>
      </c>
      <c r="I2138" s="32" t="s">
        <v>40</v>
      </c>
      <c r="J2138" s="32" t="s">
        <v>46</v>
      </c>
      <c r="K2138" s="32" t="s">
        <v>42</v>
      </c>
      <c r="L2138" s="32">
        <v>5</v>
      </c>
      <c r="M2138" s="32" t="s">
        <v>1040</v>
      </c>
      <c r="N2138" s="32" t="s">
        <v>1038</v>
      </c>
    </row>
    <row r="2139" spans="1:14" s="32" customFormat="1" hidden="1" x14ac:dyDescent="0.3">
      <c r="A2139" s="38">
        <v>46204.355196759258</v>
      </c>
      <c r="B2139" s="32">
        <v>44988303530</v>
      </c>
      <c r="C2139" s="32" t="s">
        <v>1352</v>
      </c>
      <c r="D2139" s="32">
        <v>4430265054</v>
      </c>
      <c r="E2139" s="32">
        <v>410</v>
      </c>
      <c r="F2139" s="32">
        <v>292</v>
      </c>
      <c r="G2139" s="32" t="s">
        <v>44</v>
      </c>
      <c r="H2139" s="32" t="s">
        <v>2208</v>
      </c>
      <c r="I2139" s="32" t="s">
        <v>40</v>
      </c>
      <c r="J2139" s="32" t="s">
        <v>46</v>
      </c>
      <c r="K2139" s="32" t="s">
        <v>42</v>
      </c>
      <c r="M2139" s="32" t="s">
        <v>1354</v>
      </c>
      <c r="N2139" s="32" t="s">
        <v>1352</v>
      </c>
    </row>
    <row r="2140" spans="1:14" s="32" customFormat="1" hidden="1" x14ac:dyDescent="0.3">
      <c r="A2140" s="38">
        <v>46204.354768518519</v>
      </c>
      <c r="B2140" s="32" t="s">
        <v>379</v>
      </c>
      <c r="C2140" s="32" t="s">
        <v>2209</v>
      </c>
      <c r="E2140" s="32">
        <v>3</v>
      </c>
      <c r="F2140" s="32">
        <v>0</v>
      </c>
      <c r="G2140" s="32" t="s">
        <v>63</v>
      </c>
      <c r="H2140" s="32" t="s">
        <v>2210</v>
      </c>
      <c r="I2140" s="32" t="s">
        <v>694</v>
      </c>
      <c r="J2140" s="32" t="s">
        <v>111</v>
      </c>
      <c r="M2140" s="32" t="s">
        <v>381</v>
      </c>
      <c r="N2140" s="32" t="s">
        <v>379</v>
      </c>
    </row>
    <row r="2141" spans="1:14" s="32" customFormat="1" hidden="1" x14ac:dyDescent="0.3">
      <c r="A2141" s="38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38</v>
      </c>
      <c r="H2141" s="32" t="s">
        <v>2211</v>
      </c>
      <c r="I2141" s="32" t="s">
        <v>40</v>
      </c>
      <c r="J2141" s="32" t="s">
        <v>41</v>
      </c>
    </row>
    <row r="2142" spans="1:14" s="32" customFormat="1" hidden="1" x14ac:dyDescent="0.3">
      <c r="A2142" s="38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38</v>
      </c>
      <c r="H2142" s="32" t="s">
        <v>2212</v>
      </c>
      <c r="I2142" s="32" t="s">
        <v>40</v>
      </c>
      <c r="J2142" s="32" t="s">
        <v>41</v>
      </c>
    </row>
    <row r="2143" spans="1:14" x14ac:dyDescent="0.3">
      <c r="A2143" s="32" t="s">
        <v>2214</v>
      </c>
      <c r="C2143" s="32" t="s">
        <v>49</v>
      </c>
      <c r="K2143" s="32">
        <v>9</v>
      </c>
      <c r="L2143" s="32">
        <f>K2143/2</f>
        <v>4.5</v>
      </c>
    </row>
    <row r="2144" spans="1:14" x14ac:dyDescent="0.3">
      <c r="A2144" s="32" t="s">
        <v>2214</v>
      </c>
      <c r="C2144" s="32" t="s">
        <v>49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2214</v>
      </c>
      <c r="C2145" s="32" t="s">
        <v>49</v>
      </c>
      <c r="K2145" s="32">
        <v>10</v>
      </c>
      <c r="L2145" s="32">
        <f t="shared" si="0"/>
        <v>5</v>
      </c>
    </row>
    <row r="2146" spans="1:12" x14ac:dyDescent="0.3">
      <c r="A2146" s="32" t="s">
        <v>2214</v>
      </c>
      <c r="C2146" s="32" t="s">
        <v>49</v>
      </c>
      <c r="K2146" s="32">
        <v>10</v>
      </c>
      <c r="L2146" s="32">
        <f t="shared" si="0"/>
        <v>5</v>
      </c>
    </row>
    <row r="2147" spans="1:12" x14ac:dyDescent="0.3">
      <c r="A2147" s="32" t="s">
        <v>2214</v>
      </c>
      <c r="C2147" s="32" t="s">
        <v>49</v>
      </c>
      <c r="K2147" s="32">
        <v>10</v>
      </c>
      <c r="L2147" s="32">
        <f t="shared" si="0"/>
        <v>5</v>
      </c>
    </row>
    <row r="2148" spans="1:12" x14ac:dyDescent="0.3">
      <c r="A2148" s="32" t="s">
        <v>2214</v>
      </c>
      <c r="C2148" s="32" t="s">
        <v>49</v>
      </c>
      <c r="K2148" s="32">
        <v>10</v>
      </c>
      <c r="L2148" s="32">
        <f t="shared" si="0"/>
        <v>5</v>
      </c>
    </row>
    <row r="2149" spans="1:12" x14ac:dyDescent="0.3">
      <c r="A2149" s="32" t="s">
        <v>2214</v>
      </c>
      <c r="C2149" s="32" t="s">
        <v>49</v>
      </c>
      <c r="K2149" s="32">
        <v>10</v>
      </c>
      <c r="L2149" s="32">
        <f t="shared" si="0"/>
        <v>5</v>
      </c>
    </row>
    <row r="2150" spans="1:12" x14ac:dyDescent="0.3">
      <c r="A2150" s="32" t="s">
        <v>2214</v>
      </c>
      <c r="C2150" s="32" t="s">
        <v>49</v>
      </c>
      <c r="K2150" s="32">
        <v>10</v>
      </c>
      <c r="L2150" s="32">
        <f t="shared" si="0"/>
        <v>5</v>
      </c>
    </row>
    <row r="2151" spans="1:12" x14ac:dyDescent="0.3">
      <c r="A2151" s="32" t="s">
        <v>2214</v>
      </c>
      <c r="C2151" s="32" t="s">
        <v>49</v>
      </c>
      <c r="K2151" s="32">
        <v>10</v>
      </c>
      <c r="L2151" s="32">
        <f t="shared" si="0"/>
        <v>5</v>
      </c>
    </row>
    <row r="2152" spans="1:12" x14ac:dyDescent="0.3">
      <c r="A2152" s="32" t="s">
        <v>2214</v>
      </c>
      <c r="C2152" s="32" t="s">
        <v>49</v>
      </c>
      <c r="K2152" s="32">
        <v>10</v>
      </c>
      <c r="L2152" s="32">
        <f t="shared" si="0"/>
        <v>5</v>
      </c>
    </row>
    <row r="2153" spans="1:12" x14ac:dyDescent="0.3">
      <c r="A2153" s="32" t="s">
        <v>2214</v>
      </c>
      <c r="C2153" s="32" t="s">
        <v>49</v>
      </c>
      <c r="K2153" s="32">
        <v>10</v>
      </c>
      <c r="L2153" s="32">
        <f t="shared" si="0"/>
        <v>5</v>
      </c>
    </row>
    <row r="2154" spans="1:12" x14ac:dyDescent="0.3">
      <c r="A2154" s="32" t="s">
        <v>2214</v>
      </c>
      <c r="C2154" s="32" t="s">
        <v>49</v>
      </c>
      <c r="K2154" s="32">
        <v>10</v>
      </c>
      <c r="L2154" s="32">
        <f t="shared" si="0"/>
        <v>5</v>
      </c>
    </row>
    <row r="2155" spans="1:12" hidden="1" x14ac:dyDescent="0.3">
      <c r="A2155" s="32" t="s">
        <v>2214</v>
      </c>
      <c r="C2155" s="32" t="s">
        <v>1352</v>
      </c>
      <c r="K2155" s="32">
        <v>10</v>
      </c>
      <c r="L2155" s="32">
        <f t="shared" si="0"/>
        <v>5</v>
      </c>
    </row>
    <row r="2156" spans="1:12" hidden="1" x14ac:dyDescent="0.3">
      <c r="A2156" s="32" t="s">
        <v>2214</v>
      </c>
      <c r="C2156" s="32" t="s">
        <v>1352</v>
      </c>
      <c r="K2156" s="32">
        <v>9</v>
      </c>
      <c r="L2156" s="32">
        <f t="shared" si="0"/>
        <v>4.5</v>
      </c>
    </row>
    <row r="2157" spans="1:12" hidden="1" x14ac:dyDescent="0.3">
      <c r="A2157" s="32" t="s">
        <v>2214</v>
      </c>
      <c r="C2157" s="32" t="s">
        <v>1352</v>
      </c>
      <c r="K2157" s="32">
        <v>9</v>
      </c>
      <c r="L2157" s="32">
        <f t="shared" si="0"/>
        <v>4.5</v>
      </c>
    </row>
    <row r="2158" spans="1:12" hidden="1" x14ac:dyDescent="0.3">
      <c r="A2158" s="32" t="s">
        <v>2214</v>
      </c>
      <c r="C2158" s="32" t="s">
        <v>1352</v>
      </c>
      <c r="K2158" s="32">
        <v>10</v>
      </c>
      <c r="L2158" s="32">
        <f t="shared" si="0"/>
        <v>5</v>
      </c>
    </row>
    <row r="2159" spans="1:12" hidden="1" x14ac:dyDescent="0.3">
      <c r="A2159" s="32" t="s">
        <v>2214</v>
      </c>
      <c r="C2159" s="32" t="s">
        <v>1352</v>
      </c>
      <c r="K2159" s="32">
        <v>10</v>
      </c>
      <c r="L2159" s="32">
        <f t="shared" si="0"/>
        <v>5</v>
      </c>
    </row>
    <row r="2160" spans="1:12" hidden="1" x14ac:dyDescent="0.3">
      <c r="A2160" s="32" t="s">
        <v>2214</v>
      </c>
      <c r="C2160" s="32" t="s">
        <v>1352</v>
      </c>
      <c r="K2160" s="32">
        <v>10</v>
      </c>
      <c r="L2160" s="32">
        <f t="shared" si="0"/>
        <v>5</v>
      </c>
    </row>
    <row r="2161" spans="1:12" hidden="1" x14ac:dyDescent="0.3">
      <c r="A2161" s="32" t="s">
        <v>2214</v>
      </c>
      <c r="C2161" s="32" t="s">
        <v>1352</v>
      </c>
      <c r="K2161" s="32">
        <v>10</v>
      </c>
      <c r="L2161" s="32">
        <f t="shared" si="0"/>
        <v>5</v>
      </c>
    </row>
    <row r="2162" spans="1:12" hidden="1" x14ac:dyDescent="0.3">
      <c r="A2162" s="32" t="s">
        <v>2214</v>
      </c>
      <c r="C2162" s="32" t="s">
        <v>1352</v>
      </c>
      <c r="K2162" s="32">
        <v>10</v>
      </c>
      <c r="L2162" s="32">
        <f t="shared" si="0"/>
        <v>5</v>
      </c>
    </row>
    <row r="2163" spans="1:12" hidden="1" x14ac:dyDescent="0.3">
      <c r="A2163" s="32" t="s">
        <v>2214</v>
      </c>
      <c r="C2163" s="32" t="s">
        <v>1352</v>
      </c>
      <c r="K2163" s="32">
        <v>10</v>
      </c>
      <c r="L2163" s="32">
        <f t="shared" si="0"/>
        <v>5</v>
      </c>
    </row>
    <row r="2164" spans="1:12" hidden="1" x14ac:dyDescent="0.3">
      <c r="A2164" s="32" t="s">
        <v>2214</v>
      </c>
      <c r="C2164" s="32" t="s">
        <v>1352</v>
      </c>
      <c r="K2164" s="32">
        <v>10</v>
      </c>
      <c r="L2164" s="32">
        <f t="shared" si="0"/>
        <v>5</v>
      </c>
    </row>
    <row r="2165" spans="1:12" hidden="1" x14ac:dyDescent="0.3">
      <c r="A2165" s="32" t="s">
        <v>2214</v>
      </c>
      <c r="C2165" s="32" t="s">
        <v>1352</v>
      </c>
      <c r="K2165" s="32">
        <v>10</v>
      </c>
      <c r="L2165" s="32">
        <f t="shared" si="0"/>
        <v>5</v>
      </c>
    </row>
    <row r="2166" spans="1:12" hidden="1" x14ac:dyDescent="0.3">
      <c r="A2166" s="32" t="s">
        <v>2214</v>
      </c>
      <c r="C2166" s="32" t="s">
        <v>1352</v>
      </c>
      <c r="K2166" s="32">
        <v>10</v>
      </c>
      <c r="L2166" s="32">
        <f t="shared" si="0"/>
        <v>5</v>
      </c>
    </row>
    <row r="2167" spans="1:12" hidden="1" x14ac:dyDescent="0.3">
      <c r="A2167" s="32" t="s">
        <v>2214</v>
      </c>
      <c r="C2167" s="32" t="s">
        <v>1352</v>
      </c>
      <c r="K2167" s="32">
        <v>10</v>
      </c>
      <c r="L2167" s="32">
        <f t="shared" si="0"/>
        <v>5</v>
      </c>
    </row>
    <row r="2168" spans="1:12" hidden="1" x14ac:dyDescent="0.3">
      <c r="A2168" s="32" t="s">
        <v>2214</v>
      </c>
      <c r="C2168" s="32" t="s">
        <v>1352</v>
      </c>
      <c r="K2168" s="32">
        <v>10</v>
      </c>
      <c r="L2168" s="32">
        <f t="shared" si="0"/>
        <v>5</v>
      </c>
    </row>
    <row r="2169" spans="1:12" hidden="1" x14ac:dyDescent="0.3">
      <c r="A2169" s="32" t="s">
        <v>2214</v>
      </c>
      <c r="C2169" s="32" t="s">
        <v>1038</v>
      </c>
      <c r="K2169" s="32">
        <v>10</v>
      </c>
      <c r="L2169" s="32">
        <f t="shared" si="0"/>
        <v>5</v>
      </c>
    </row>
    <row r="2170" spans="1:12" hidden="1" x14ac:dyDescent="0.3">
      <c r="A2170" s="32" t="s">
        <v>2214</v>
      </c>
      <c r="C2170" s="32" t="s">
        <v>1038</v>
      </c>
      <c r="K2170" s="32">
        <v>10</v>
      </c>
      <c r="L2170" s="32">
        <f t="shared" si="0"/>
        <v>5</v>
      </c>
    </row>
    <row r="2171" spans="1:12" hidden="1" x14ac:dyDescent="0.3">
      <c r="A2171" s="32" t="s">
        <v>2214</v>
      </c>
      <c r="C2171" s="32" t="s">
        <v>1038</v>
      </c>
      <c r="K2171" s="32">
        <v>10</v>
      </c>
      <c r="L2171" s="32">
        <f t="shared" si="0"/>
        <v>5</v>
      </c>
    </row>
    <row r="2172" spans="1:12" hidden="1" x14ac:dyDescent="0.3">
      <c r="A2172" s="32" t="s">
        <v>2214</v>
      </c>
      <c r="C2172" s="32" t="s">
        <v>1038</v>
      </c>
      <c r="K2172" s="32">
        <v>10</v>
      </c>
      <c r="L2172" s="32">
        <f t="shared" si="0"/>
        <v>5</v>
      </c>
    </row>
    <row r="2173" spans="1:12" hidden="1" x14ac:dyDescent="0.3">
      <c r="A2173" s="32" t="s">
        <v>2214</v>
      </c>
      <c r="C2173" s="32" t="s">
        <v>1038</v>
      </c>
      <c r="K2173" s="32">
        <v>10</v>
      </c>
      <c r="L2173" s="32">
        <f t="shared" si="0"/>
        <v>5</v>
      </c>
    </row>
    <row r="2174" spans="1:12" hidden="1" x14ac:dyDescent="0.3">
      <c r="A2174" s="32" t="s">
        <v>2214</v>
      </c>
      <c r="C2174" s="32" t="s">
        <v>1038</v>
      </c>
      <c r="K2174" s="32">
        <v>10</v>
      </c>
      <c r="L2174" s="32">
        <f t="shared" si="0"/>
        <v>5</v>
      </c>
    </row>
    <row r="2175" spans="1:12" hidden="1" x14ac:dyDescent="0.3">
      <c r="A2175" s="32" t="s">
        <v>2214</v>
      </c>
      <c r="C2175" s="32" t="s">
        <v>1038</v>
      </c>
      <c r="K2175" s="32">
        <v>9</v>
      </c>
      <c r="L2175" s="32">
        <f t="shared" si="0"/>
        <v>4.5</v>
      </c>
    </row>
    <row r="2176" spans="1:12" hidden="1" x14ac:dyDescent="0.3">
      <c r="A2176" s="32" t="s">
        <v>2214</v>
      </c>
      <c r="C2176" s="32" t="s">
        <v>1038</v>
      </c>
      <c r="K2176" s="32">
        <v>9</v>
      </c>
      <c r="L2176" s="32">
        <f t="shared" si="0"/>
        <v>4.5</v>
      </c>
    </row>
    <row r="2177" spans="1:12" hidden="1" x14ac:dyDescent="0.3">
      <c r="A2177" s="32" t="s">
        <v>2214</v>
      </c>
      <c r="C2177" s="32" t="s">
        <v>1038</v>
      </c>
      <c r="K2177" s="32">
        <v>9</v>
      </c>
      <c r="L2177" s="32">
        <f t="shared" si="0"/>
        <v>4.5</v>
      </c>
    </row>
    <row r="2178" spans="1:12" hidden="1" x14ac:dyDescent="0.3">
      <c r="A2178" s="32" t="s">
        <v>2214</v>
      </c>
      <c r="C2178" s="32" t="s">
        <v>1038</v>
      </c>
      <c r="K2178" s="32">
        <v>9</v>
      </c>
      <c r="L2178" s="32">
        <f t="shared" si="0"/>
        <v>4.5</v>
      </c>
    </row>
    <row r="2179" spans="1:12" hidden="1" x14ac:dyDescent="0.3">
      <c r="A2179" s="32" t="s">
        <v>2214</v>
      </c>
      <c r="C2179" s="32" t="s">
        <v>1038</v>
      </c>
      <c r="K2179" s="32">
        <v>9</v>
      </c>
      <c r="L2179" s="32">
        <f t="shared" si="0"/>
        <v>4.5</v>
      </c>
    </row>
    <row r="2180" spans="1:12" hidden="1" x14ac:dyDescent="0.3">
      <c r="A2180" s="32" t="s">
        <v>2214</v>
      </c>
      <c r="C2180" s="32" t="s">
        <v>43</v>
      </c>
      <c r="K2180" s="32">
        <v>9</v>
      </c>
      <c r="L2180" s="32">
        <f t="shared" si="0"/>
        <v>4.5</v>
      </c>
    </row>
    <row r="2181" spans="1:12" hidden="1" x14ac:dyDescent="0.3">
      <c r="A2181" s="32" t="s">
        <v>2214</v>
      </c>
      <c r="C2181" s="32" t="s">
        <v>43</v>
      </c>
      <c r="K2181" s="32">
        <v>10</v>
      </c>
      <c r="L2181" s="32">
        <f t="shared" si="0"/>
        <v>5</v>
      </c>
    </row>
    <row r="2182" spans="1:12" hidden="1" x14ac:dyDescent="0.3">
      <c r="A2182" s="32" t="s">
        <v>2214</v>
      </c>
      <c r="C2182" s="32" t="s">
        <v>43</v>
      </c>
      <c r="K2182" s="32">
        <v>10</v>
      </c>
      <c r="L2182" s="32">
        <f t="shared" si="0"/>
        <v>5</v>
      </c>
    </row>
    <row r="2183" spans="1:12" hidden="1" x14ac:dyDescent="0.3">
      <c r="A2183" s="32" t="s">
        <v>2214</v>
      </c>
      <c r="C2183" s="32" t="s">
        <v>43</v>
      </c>
      <c r="K2183" s="32">
        <v>10</v>
      </c>
      <c r="L2183" s="32">
        <f t="shared" si="0"/>
        <v>5</v>
      </c>
    </row>
    <row r="2184" spans="1:12" hidden="1" x14ac:dyDescent="0.3">
      <c r="A2184" s="32" t="s">
        <v>2214</v>
      </c>
      <c r="C2184" s="32" t="s">
        <v>43</v>
      </c>
      <c r="K2184" s="32">
        <v>10</v>
      </c>
      <c r="L2184" s="32">
        <f t="shared" si="0"/>
        <v>5</v>
      </c>
    </row>
    <row r="2185" spans="1:12" hidden="1" x14ac:dyDescent="0.3">
      <c r="A2185" s="32" t="s">
        <v>2214</v>
      </c>
      <c r="C2185" s="32" t="s">
        <v>43</v>
      </c>
      <c r="K2185" s="32">
        <v>10</v>
      </c>
      <c r="L2185" s="32">
        <f t="shared" si="0"/>
        <v>5</v>
      </c>
    </row>
    <row r="2186" spans="1:12" hidden="1" x14ac:dyDescent="0.3">
      <c r="A2186" s="32" t="s">
        <v>2214</v>
      </c>
      <c r="C2186" s="32" t="s">
        <v>43</v>
      </c>
      <c r="K2186" s="32">
        <v>10</v>
      </c>
      <c r="L2186" s="32">
        <f t="shared" si="0"/>
        <v>5</v>
      </c>
    </row>
    <row r="2187" spans="1:12" hidden="1" x14ac:dyDescent="0.3">
      <c r="A2187" s="32" t="s">
        <v>2214</v>
      </c>
      <c r="C2187" s="32" t="s">
        <v>43</v>
      </c>
      <c r="K2187" s="32">
        <v>10</v>
      </c>
      <c r="L2187" s="32">
        <f t="shared" si="0"/>
        <v>5</v>
      </c>
    </row>
    <row r="2188" spans="1:12" hidden="1" x14ac:dyDescent="0.3">
      <c r="A2188" s="32" t="s">
        <v>2214</v>
      </c>
      <c r="C2188" s="32" t="s">
        <v>43</v>
      </c>
      <c r="K2188" s="32">
        <v>10</v>
      </c>
      <c r="L2188" s="32">
        <f t="shared" si="0"/>
        <v>5</v>
      </c>
    </row>
    <row r="2189" spans="1:12" hidden="1" x14ac:dyDescent="0.3">
      <c r="A2189" s="32" t="s">
        <v>2214</v>
      </c>
      <c r="C2189" s="32" t="s">
        <v>43</v>
      </c>
      <c r="K2189" s="32">
        <v>10</v>
      </c>
      <c r="L2189" s="32">
        <f t="shared" si="0"/>
        <v>5</v>
      </c>
    </row>
    <row r="2190" spans="1:12" hidden="1" x14ac:dyDescent="0.3">
      <c r="A2190" s="32" t="s">
        <v>2214</v>
      </c>
      <c r="C2190" s="32" t="s">
        <v>43</v>
      </c>
      <c r="K2190" s="32">
        <v>10</v>
      </c>
      <c r="L2190" s="32">
        <f t="shared" si="0"/>
        <v>5</v>
      </c>
    </row>
    <row r="2191" spans="1:12" hidden="1" x14ac:dyDescent="0.3">
      <c r="A2191" s="32" t="s">
        <v>2214</v>
      </c>
      <c r="C2191" s="32" t="s">
        <v>43</v>
      </c>
      <c r="K2191" s="32">
        <v>10</v>
      </c>
      <c r="L2191" s="32">
        <f t="shared" si="0"/>
        <v>5</v>
      </c>
    </row>
    <row r="2192" spans="1:12" hidden="1" x14ac:dyDescent="0.3">
      <c r="A2192" s="32" t="s">
        <v>2214</v>
      </c>
      <c r="C2192" s="32" t="s">
        <v>43</v>
      </c>
      <c r="K2192" s="32">
        <v>10</v>
      </c>
      <c r="L2192" s="32">
        <f t="shared" si="0"/>
        <v>5</v>
      </c>
    </row>
    <row r="2193" spans="1:12" hidden="1" x14ac:dyDescent="0.3">
      <c r="A2193" s="32" t="s">
        <v>2214</v>
      </c>
      <c r="C2193" s="32" t="s">
        <v>43</v>
      </c>
      <c r="K2193" s="32">
        <v>10</v>
      </c>
      <c r="L2193" s="32">
        <f t="shared" si="0"/>
        <v>5</v>
      </c>
    </row>
    <row r="2194" spans="1:12" hidden="1" x14ac:dyDescent="0.3">
      <c r="A2194" s="32" t="s">
        <v>2214</v>
      </c>
      <c r="C2194" s="32" t="s">
        <v>43</v>
      </c>
      <c r="K2194" s="32">
        <v>10</v>
      </c>
      <c r="L2194" s="32">
        <f t="shared" si="0"/>
        <v>5</v>
      </c>
    </row>
    <row r="2195" spans="1:12" hidden="1" x14ac:dyDescent="0.3">
      <c r="A2195" s="32" t="s">
        <v>2214</v>
      </c>
      <c r="C2195" s="32" t="s">
        <v>43</v>
      </c>
      <c r="K2195" s="32">
        <v>10</v>
      </c>
      <c r="L2195" s="32">
        <f t="shared" si="0"/>
        <v>5</v>
      </c>
    </row>
    <row r="2196" spans="1:12" hidden="1" x14ac:dyDescent="0.3">
      <c r="A2196" s="32" t="s">
        <v>2214</v>
      </c>
      <c r="C2196" s="32" t="s">
        <v>43</v>
      </c>
      <c r="K2196" s="32">
        <v>10</v>
      </c>
      <c r="L2196" s="32">
        <f t="shared" si="0"/>
        <v>5</v>
      </c>
    </row>
    <row r="2197" spans="1:12" hidden="1" x14ac:dyDescent="0.3">
      <c r="A2197" s="32" t="s">
        <v>2214</v>
      </c>
      <c r="C2197" s="32" t="s">
        <v>43</v>
      </c>
      <c r="K2197" s="32">
        <v>10</v>
      </c>
      <c r="L2197" s="32">
        <f t="shared" si="0"/>
        <v>5</v>
      </c>
    </row>
    <row r="2198" spans="1:12" hidden="1" x14ac:dyDescent="0.3">
      <c r="A2198" s="32" t="s">
        <v>2214</v>
      </c>
      <c r="C2198" s="32" t="s">
        <v>43</v>
      </c>
      <c r="K2198" s="32">
        <v>10</v>
      </c>
      <c r="L2198" s="32">
        <f t="shared" si="0"/>
        <v>5</v>
      </c>
    </row>
    <row r="2199" spans="1:12" hidden="1" x14ac:dyDescent="0.3">
      <c r="A2199" s="32" t="s">
        <v>2214</v>
      </c>
      <c r="C2199" s="32" t="s">
        <v>43</v>
      </c>
      <c r="K2199" s="32">
        <v>10</v>
      </c>
      <c r="L2199" s="32">
        <f t="shared" si="0"/>
        <v>5</v>
      </c>
    </row>
    <row r="2200" spans="1:12" hidden="1" x14ac:dyDescent="0.3">
      <c r="A2200" s="32" t="s">
        <v>2214</v>
      </c>
      <c r="C2200" s="32" t="s">
        <v>43</v>
      </c>
      <c r="K2200" s="32">
        <v>10</v>
      </c>
      <c r="L2200" s="32">
        <f t="shared" si="0"/>
        <v>5</v>
      </c>
    </row>
    <row r="2201" spans="1:12" hidden="1" x14ac:dyDescent="0.3">
      <c r="A2201" s="32" t="s">
        <v>2214</v>
      </c>
      <c r="C2201" s="32" t="s">
        <v>43</v>
      </c>
      <c r="K2201" s="32">
        <v>10</v>
      </c>
      <c r="L2201" s="32">
        <f t="shared" si="0"/>
        <v>5</v>
      </c>
    </row>
    <row r="2202" spans="1:12" hidden="1" x14ac:dyDescent="0.3">
      <c r="A2202" s="32" t="s">
        <v>2214</v>
      </c>
      <c r="C2202" s="32" t="s">
        <v>43</v>
      </c>
      <c r="K2202" s="32">
        <v>10</v>
      </c>
      <c r="L2202" s="32">
        <f t="shared" si="0"/>
        <v>5</v>
      </c>
    </row>
    <row r="2203" spans="1:12" hidden="1" x14ac:dyDescent="0.3">
      <c r="A2203" s="32" t="s">
        <v>2214</v>
      </c>
      <c r="C2203" s="32" t="s">
        <v>43</v>
      </c>
      <c r="K2203" s="32">
        <v>10</v>
      </c>
      <c r="L2203" s="32">
        <f t="shared" si="0"/>
        <v>5</v>
      </c>
    </row>
    <row r="2204" spans="1:12" hidden="1" x14ac:dyDescent="0.3">
      <c r="A2204" s="32" t="s">
        <v>2214</v>
      </c>
      <c r="C2204" s="32" t="s">
        <v>43</v>
      </c>
      <c r="K2204" s="32">
        <v>10</v>
      </c>
      <c r="L2204" s="32">
        <f t="shared" si="0"/>
        <v>5</v>
      </c>
    </row>
    <row r="2205" spans="1:12" hidden="1" x14ac:dyDescent="0.3">
      <c r="A2205" s="32" t="s">
        <v>2214</v>
      </c>
      <c r="C2205" s="32" t="s">
        <v>43</v>
      </c>
      <c r="K2205" s="32">
        <v>10</v>
      </c>
      <c r="L2205" s="32">
        <f t="shared" si="0"/>
        <v>5</v>
      </c>
    </row>
    <row r="2206" spans="1:12" hidden="1" x14ac:dyDescent="0.3">
      <c r="A2206" s="32" t="s">
        <v>2214</v>
      </c>
      <c r="C2206" s="32" t="s">
        <v>43</v>
      </c>
      <c r="K2206" s="32">
        <v>10</v>
      </c>
      <c r="L2206" s="32">
        <f t="shared" si="0"/>
        <v>5</v>
      </c>
    </row>
    <row r="2207" spans="1:12" hidden="1" x14ac:dyDescent="0.3">
      <c r="A2207" s="32" t="s">
        <v>2214</v>
      </c>
      <c r="C2207" s="32" t="s">
        <v>43</v>
      </c>
      <c r="K2207" s="32">
        <v>10</v>
      </c>
      <c r="L2207" s="32">
        <f t="shared" si="0"/>
        <v>5</v>
      </c>
    </row>
    <row r="2208" spans="1:12" hidden="1" x14ac:dyDescent="0.3">
      <c r="A2208" s="32" t="s">
        <v>2214</v>
      </c>
      <c r="C2208" s="32" t="s">
        <v>43</v>
      </c>
      <c r="K2208" s="32">
        <v>10</v>
      </c>
      <c r="L2208" s="32">
        <f t="shared" ref="L2208:L2271" si="1">K2208/2</f>
        <v>5</v>
      </c>
    </row>
    <row r="2209" spans="1:12" hidden="1" x14ac:dyDescent="0.3">
      <c r="A2209" s="32" t="s">
        <v>2214</v>
      </c>
      <c r="C2209" s="32" t="s">
        <v>43</v>
      </c>
      <c r="K2209" s="32">
        <v>10</v>
      </c>
      <c r="L2209" s="32">
        <f t="shared" si="1"/>
        <v>5</v>
      </c>
    </row>
    <row r="2210" spans="1:12" hidden="1" x14ac:dyDescent="0.3">
      <c r="A2210" s="32" t="s">
        <v>2214</v>
      </c>
      <c r="C2210" s="32" t="s">
        <v>43</v>
      </c>
      <c r="K2210" s="32">
        <v>10</v>
      </c>
      <c r="L2210" s="32">
        <f t="shared" si="1"/>
        <v>5</v>
      </c>
    </row>
    <row r="2211" spans="1:12" hidden="1" x14ac:dyDescent="0.3">
      <c r="A2211" s="32" t="s">
        <v>2214</v>
      </c>
      <c r="C2211" s="32" t="s">
        <v>43</v>
      </c>
      <c r="K2211" s="32">
        <v>10</v>
      </c>
      <c r="L2211" s="32">
        <f t="shared" si="1"/>
        <v>5</v>
      </c>
    </row>
    <row r="2212" spans="1:12" hidden="1" x14ac:dyDescent="0.3">
      <c r="A2212" s="32" t="s">
        <v>2214</v>
      </c>
      <c r="C2212" s="32" t="s">
        <v>43</v>
      </c>
      <c r="K2212" s="32">
        <v>10</v>
      </c>
      <c r="L2212" s="32">
        <f t="shared" si="1"/>
        <v>5</v>
      </c>
    </row>
    <row r="2213" spans="1:12" hidden="1" x14ac:dyDescent="0.3">
      <c r="A2213" s="32" t="s">
        <v>2214</v>
      </c>
      <c r="C2213" s="32" t="s">
        <v>43</v>
      </c>
      <c r="K2213" s="32">
        <v>10</v>
      </c>
      <c r="L2213" s="32">
        <f t="shared" si="1"/>
        <v>5</v>
      </c>
    </row>
    <row r="2214" spans="1:12" hidden="1" x14ac:dyDescent="0.3">
      <c r="A2214" s="32" t="s">
        <v>2214</v>
      </c>
      <c r="C2214" s="32" t="s">
        <v>43</v>
      </c>
      <c r="K2214" s="32">
        <v>10</v>
      </c>
      <c r="L2214" s="32">
        <f t="shared" si="1"/>
        <v>5</v>
      </c>
    </row>
    <row r="2215" spans="1:12" hidden="1" x14ac:dyDescent="0.3">
      <c r="A2215" s="32" t="s">
        <v>2214</v>
      </c>
      <c r="C2215" s="32" t="s">
        <v>43</v>
      </c>
      <c r="K2215" s="32">
        <v>10</v>
      </c>
      <c r="L2215" s="32">
        <f t="shared" si="1"/>
        <v>5</v>
      </c>
    </row>
    <row r="2216" spans="1:12" hidden="1" x14ac:dyDescent="0.3">
      <c r="A2216" s="32" t="s">
        <v>2214</v>
      </c>
      <c r="C2216" s="32" t="s">
        <v>43</v>
      </c>
      <c r="K2216" s="32">
        <v>10</v>
      </c>
      <c r="L2216" s="32">
        <f t="shared" si="1"/>
        <v>5</v>
      </c>
    </row>
    <row r="2217" spans="1:12" hidden="1" x14ac:dyDescent="0.3">
      <c r="A2217" s="32" t="s">
        <v>2214</v>
      </c>
      <c r="C2217" s="32" t="s">
        <v>43</v>
      </c>
      <c r="K2217" s="32">
        <v>10</v>
      </c>
      <c r="L2217" s="32">
        <f t="shared" si="1"/>
        <v>5</v>
      </c>
    </row>
    <row r="2218" spans="1:12" hidden="1" x14ac:dyDescent="0.3">
      <c r="A2218" s="32" t="s">
        <v>2214</v>
      </c>
      <c r="C2218" s="32" t="s">
        <v>43</v>
      </c>
      <c r="K2218" s="32">
        <v>10</v>
      </c>
      <c r="L2218" s="32">
        <f t="shared" si="1"/>
        <v>5</v>
      </c>
    </row>
    <row r="2219" spans="1:12" hidden="1" x14ac:dyDescent="0.3">
      <c r="A2219" s="32" t="s">
        <v>2214</v>
      </c>
      <c r="C2219" s="32" t="s">
        <v>43</v>
      </c>
      <c r="K2219" s="32">
        <v>10</v>
      </c>
      <c r="L2219" s="32">
        <f t="shared" si="1"/>
        <v>5</v>
      </c>
    </row>
    <row r="2220" spans="1:12" hidden="1" x14ac:dyDescent="0.3">
      <c r="A2220" s="32" t="s">
        <v>2214</v>
      </c>
      <c r="C2220" s="32" t="s">
        <v>43</v>
      </c>
      <c r="K2220" s="32">
        <v>10</v>
      </c>
      <c r="L2220" s="32">
        <f t="shared" si="1"/>
        <v>5</v>
      </c>
    </row>
    <row r="2221" spans="1:12" hidden="1" x14ac:dyDescent="0.3">
      <c r="A2221" s="32" t="s">
        <v>2214</v>
      </c>
      <c r="C2221" s="32" t="s">
        <v>43</v>
      </c>
      <c r="K2221" s="32">
        <v>10</v>
      </c>
      <c r="L2221" s="32">
        <f t="shared" si="1"/>
        <v>5</v>
      </c>
    </row>
    <row r="2222" spans="1:12" hidden="1" x14ac:dyDescent="0.3">
      <c r="A2222" s="32" t="s">
        <v>2214</v>
      </c>
      <c r="C2222" s="32" t="s">
        <v>43</v>
      </c>
      <c r="K2222" s="32">
        <v>10</v>
      </c>
      <c r="L2222" s="32">
        <f t="shared" si="1"/>
        <v>5</v>
      </c>
    </row>
    <row r="2223" spans="1:12" hidden="1" x14ac:dyDescent="0.3">
      <c r="A2223" s="32" t="s">
        <v>2214</v>
      </c>
      <c r="C2223" s="32" t="s">
        <v>747</v>
      </c>
      <c r="K2223" s="32">
        <v>9</v>
      </c>
      <c r="L2223" s="32">
        <f t="shared" si="1"/>
        <v>4.5</v>
      </c>
    </row>
    <row r="2224" spans="1:12" hidden="1" x14ac:dyDescent="0.3">
      <c r="A2224" s="32" t="s">
        <v>2214</v>
      </c>
      <c r="C2224" s="32" t="s">
        <v>747</v>
      </c>
      <c r="K2224" s="32">
        <v>9</v>
      </c>
      <c r="L2224" s="32">
        <f t="shared" si="1"/>
        <v>4.5</v>
      </c>
    </row>
    <row r="2225" spans="1:12" hidden="1" x14ac:dyDescent="0.3">
      <c r="A2225" s="32" t="s">
        <v>2214</v>
      </c>
      <c r="C2225" s="32" t="s">
        <v>747</v>
      </c>
      <c r="K2225" s="32">
        <v>8</v>
      </c>
      <c r="L2225" s="32">
        <f t="shared" si="1"/>
        <v>4</v>
      </c>
    </row>
    <row r="2226" spans="1:12" hidden="1" x14ac:dyDescent="0.3">
      <c r="A2226" s="32" t="s">
        <v>2214</v>
      </c>
      <c r="C2226" s="32" t="s">
        <v>747</v>
      </c>
      <c r="K2226" s="32">
        <v>9</v>
      </c>
      <c r="L2226" s="32">
        <f t="shared" si="1"/>
        <v>4.5</v>
      </c>
    </row>
    <row r="2227" spans="1:12" hidden="1" x14ac:dyDescent="0.3">
      <c r="A2227" s="32" t="s">
        <v>2214</v>
      </c>
      <c r="C2227" s="32" t="s">
        <v>747</v>
      </c>
      <c r="K2227" s="32">
        <v>9</v>
      </c>
      <c r="L2227" s="32">
        <f t="shared" si="1"/>
        <v>4.5</v>
      </c>
    </row>
    <row r="2228" spans="1:12" hidden="1" x14ac:dyDescent="0.3">
      <c r="A2228" s="32" t="s">
        <v>2214</v>
      </c>
      <c r="C2228" s="32" t="s">
        <v>747</v>
      </c>
      <c r="K2228" s="32">
        <v>9</v>
      </c>
      <c r="L2228" s="32">
        <f t="shared" si="1"/>
        <v>4.5</v>
      </c>
    </row>
    <row r="2229" spans="1:12" hidden="1" x14ac:dyDescent="0.3">
      <c r="A2229" s="32" t="s">
        <v>2214</v>
      </c>
      <c r="C2229" s="32" t="s">
        <v>747</v>
      </c>
      <c r="K2229" s="32">
        <v>9</v>
      </c>
      <c r="L2229" s="32">
        <f t="shared" si="1"/>
        <v>4.5</v>
      </c>
    </row>
    <row r="2230" spans="1:12" hidden="1" x14ac:dyDescent="0.3">
      <c r="A2230" s="32" t="s">
        <v>2214</v>
      </c>
      <c r="C2230" s="32" t="s">
        <v>747</v>
      </c>
      <c r="K2230" s="32">
        <v>8</v>
      </c>
      <c r="L2230" s="32">
        <f t="shared" si="1"/>
        <v>4</v>
      </c>
    </row>
    <row r="2231" spans="1:12" hidden="1" x14ac:dyDescent="0.3">
      <c r="A2231" s="32" t="s">
        <v>2214</v>
      </c>
      <c r="C2231" s="32" t="s">
        <v>747</v>
      </c>
      <c r="K2231" s="32">
        <v>9</v>
      </c>
      <c r="L2231" s="32">
        <f t="shared" si="1"/>
        <v>4.5</v>
      </c>
    </row>
    <row r="2232" spans="1:12" hidden="1" x14ac:dyDescent="0.3">
      <c r="A2232" s="32" t="s">
        <v>2214</v>
      </c>
      <c r="C2232" s="32" t="s">
        <v>747</v>
      </c>
      <c r="K2232" s="32">
        <v>9</v>
      </c>
      <c r="L2232" s="32">
        <f t="shared" si="1"/>
        <v>4.5</v>
      </c>
    </row>
    <row r="2233" spans="1:12" hidden="1" x14ac:dyDescent="0.3">
      <c r="A2233" s="32" t="s">
        <v>2214</v>
      </c>
      <c r="C2233" s="32" t="s">
        <v>747</v>
      </c>
      <c r="K2233" s="32">
        <v>10</v>
      </c>
      <c r="L2233" s="32">
        <f t="shared" si="1"/>
        <v>5</v>
      </c>
    </row>
    <row r="2234" spans="1:12" hidden="1" x14ac:dyDescent="0.3">
      <c r="A2234" s="32" t="s">
        <v>2214</v>
      </c>
      <c r="C2234" s="32" t="s">
        <v>747</v>
      </c>
      <c r="K2234" s="32">
        <v>10</v>
      </c>
      <c r="L2234" s="32">
        <f t="shared" si="1"/>
        <v>5</v>
      </c>
    </row>
    <row r="2235" spans="1:12" hidden="1" x14ac:dyDescent="0.3">
      <c r="A2235" s="32" t="s">
        <v>2214</v>
      </c>
      <c r="C2235" s="32" t="s">
        <v>747</v>
      </c>
      <c r="K2235" s="32">
        <v>10</v>
      </c>
      <c r="L2235" s="32">
        <f t="shared" si="1"/>
        <v>5</v>
      </c>
    </row>
    <row r="2236" spans="1:12" hidden="1" x14ac:dyDescent="0.3">
      <c r="A2236" s="32" t="s">
        <v>2214</v>
      </c>
      <c r="C2236" s="32" t="s">
        <v>747</v>
      </c>
      <c r="K2236" s="32">
        <v>10</v>
      </c>
      <c r="L2236" s="32">
        <f t="shared" si="1"/>
        <v>5</v>
      </c>
    </row>
    <row r="2237" spans="1:12" hidden="1" x14ac:dyDescent="0.3">
      <c r="A2237" s="32" t="s">
        <v>2214</v>
      </c>
      <c r="C2237" s="32" t="s">
        <v>747</v>
      </c>
      <c r="K2237" s="32">
        <v>10</v>
      </c>
      <c r="L2237" s="32">
        <f t="shared" si="1"/>
        <v>5</v>
      </c>
    </row>
    <row r="2238" spans="1:12" hidden="1" x14ac:dyDescent="0.3">
      <c r="A2238" s="32" t="s">
        <v>2214</v>
      </c>
      <c r="C2238" s="32" t="s">
        <v>747</v>
      </c>
      <c r="K2238" s="32">
        <v>10</v>
      </c>
      <c r="L2238" s="32">
        <f t="shared" si="1"/>
        <v>5</v>
      </c>
    </row>
    <row r="2239" spans="1:12" hidden="1" x14ac:dyDescent="0.3">
      <c r="A2239" s="32" t="s">
        <v>2214</v>
      </c>
      <c r="C2239" s="32" t="s">
        <v>747</v>
      </c>
      <c r="K2239" s="32">
        <v>10</v>
      </c>
      <c r="L2239" s="32">
        <f t="shared" si="1"/>
        <v>5</v>
      </c>
    </row>
    <row r="2240" spans="1:12" hidden="1" x14ac:dyDescent="0.3">
      <c r="A2240" s="32" t="s">
        <v>2214</v>
      </c>
      <c r="C2240" s="32" t="s">
        <v>747</v>
      </c>
      <c r="K2240" s="32">
        <v>10</v>
      </c>
      <c r="L2240" s="32">
        <f t="shared" si="1"/>
        <v>5</v>
      </c>
    </row>
    <row r="2241" spans="1:12" hidden="1" x14ac:dyDescent="0.3">
      <c r="A2241" s="32" t="s">
        <v>2214</v>
      </c>
      <c r="C2241" s="32" t="s">
        <v>747</v>
      </c>
      <c r="K2241" s="32">
        <v>10</v>
      </c>
      <c r="L2241" s="32">
        <f t="shared" si="1"/>
        <v>5</v>
      </c>
    </row>
    <row r="2242" spans="1:12" hidden="1" x14ac:dyDescent="0.3">
      <c r="A2242" s="32" t="s">
        <v>2214</v>
      </c>
      <c r="C2242" s="32" t="s">
        <v>747</v>
      </c>
      <c r="K2242" s="32">
        <v>10</v>
      </c>
      <c r="L2242" s="32">
        <f t="shared" si="1"/>
        <v>5</v>
      </c>
    </row>
    <row r="2243" spans="1:12" hidden="1" x14ac:dyDescent="0.3">
      <c r="A2243" s="32" t="s">
        <v>2214</v>
      </c>
      <c r="C2243" s="32" t="s">
        <v>747</v>
      </c>
      <c r="K2243" s="32">
        <v>10</v>
      </c>
      <c r="L2243" s="32">
        <f t="shared" si="1"/>
        <v>5</v>
      </c>
    </row>
    <row r="2244" spans="1:12" hidden="1" x14ac:dyDescent="0.3">
      <c r="A2244" s="32" t="s">
        <v>2214</v>
      </c>
      <c r="C2244" s="32" t="s">
        <v>747</v>
      </c>
      <c r="K2244" s="32">
        <v>10</v>
      </c>
      <c r="L2244" s="32">
        <f t="shared" si="1"/>
        <v>5</v>
      </c>
    </row>
    <row r="2245" spans="1:12" hidden="1" x14ac:dyDescent="0.3">
      <c r="A2245" s="32" t="s">
        <v>2214</v>
      </c>
      <c r="C2245" s="32" t="s">
        <v>747</v>
      </c>
      <c r="K2245" s="32">
        <v>10</v>
      </c>
      <c r="L2245" s="32">
        <f t="shared" si="1"/>
        <v>5</v>
      </c>
    </row>
    <row r="2246" spans="1:12" hidden="1" x14ac:dyDescent="0.3">
      <c r="A2246" s="32" t="s">
        <v>2214</v>
      </c>
      <c r="C2246" s="32" t="s">
        <v>747</v>
      </c>
      <c r="K2246" s="32">
        <v>10</v>
      </c>
      <c r="L2246" s="32">
        <f t="shared" si="1"/>
        <v>5</v>
      </c>
    </row>
    <row r="2247" spans="1:12" hidden="1" x14ac:dyDescent="0.3">
      <c r="A2247" s="32" t="s">
        <v>2214</v>
      </c>
      <c r="C2247" s="32" t="s">
        <v>747</v>
      </c>
      <c r="K2247" s="32">
        <v>10</v>
      </c>
      <c r="L2247" s="32">
        <f t="shared" si="1"/>
        <v>5</v>
      </c>
    </row>
    <row r="2248" spans="1:12" hidden="1" x14ac:dyDescent="0.3">
      <c r="A2248" s="32" t="s">
        <v>2214</v>
      </c>
      <c r="C2248" s="32" t="s">
        <v>747</v>
      </c>
      <c r="K2248" s="32">
        <v>10</v>
      </c>
      <c r="L2248" s="32">
        <f t="shared" si="1"/>
        <v>5</v>
      </c>
    </row>
    <row r="2249" spans="1:12" hidden="1" x14ac:dyDescent="0.3">
      <c r="A2249" s="32" t="s">
        <v>2214</v>
      </c>
      <c r="C2249" s="32" t="s">
        <v>747</v>
      </c>
      <c r="K2249" s="32">
        <v>10</v>
      </c>
      <c r="L2249" s="32">
        <f t="shared" si="1"/>
        <v>5</v>
      </c>
    </row>
    <row r="2250" spans="1:12" hidden="1" x14ac:dyDescent="0.3">
      <c r="A2250" s="32" t="s">
        <v>2214</v>
      </c>
      <c r="C2250" s="32" t="s">
        <v>747</v>
      </c>
      <c r="K2250" s="32">
        <v>10</v>
      </c>
      <c r="L2250" s="32">
        <f t="shared" si="1"/>
        <v>5</v>
      </c>
    </row>
    <row r="2251" spans="1:12" hidden="1" x14ac:dyDescent="0.3">
      <c r="A2251" s="32" t="s">
        <v>2214</v>
      </c>
      <c r="C2251" s="32" t="s">
        <v>747</v>
      </c>
      <c r="K2251" s="32">
        <v>10</v>
      </c>
      <c r="L2251" s="32">
        <f t="shared" si="1"/>
        <v>5</v>
      </c>
    </row>
    <row r="2252" spans="1:12" hidden="1" x14ac:dyDescent="0.3">
      <c r="A2252" s="32" t="s">
        <v>2214</v>
      </c>
      <c r="C2252" s="32" t="s">
        <v>747</v>
      </c>
      <c r="K2252" s="32">
        <v>10</v>
      </c>
      <c r="L2252" s="32">
        <f t="shared" si="1"/>
        <v>5</v>
      </c>
    </row>
    <row r="2253" spans="1:12" hidden="1" x14ac:dyDescent="0.3">
      <c r="A2253" s="32" t="s">
        <v>2214</v>
      </c>
      <c r="C2253" s="32" t="s">
        <v>747</v>
      </c>
      <c r="K2253" s="32">
        <v>10</v>
      </c>
      <c r="L2253" s="32">
        <f t="shared" si="1"/>
        <v>5</v>
      </c>
    </row>
    <row r="2254" spans="1:12" hidden="1" x14ac:dyDescent="0.3">
      <c r="A2254" s="32" t="s">
        <v>2214</v>
      </c>
      <c r="C2254" s="32" t="s">
        <v>747</v>
      </c>
      <c r="K2254" s="32">
        <v>10</v>
      </c>
      <c r="L2254" s="32">
        <f t="shared" si="1"/>
        <v>5</v>
      </c>
    </row>
    <row r="2255" spans="1:12" hidden="1" x14ac:dyDescent="0.3">
      <c r="A2255" s="32" t="s">
        <v>2214</v>
      </c>
      <c r="C2255" s="32" t="s">
        <v>747</v>
      </c>
      <c r="K2255" s="32">
        <v>10</v>
      </c>
      <c r="L2255" s="32">
        <f t="shared" si="1"/>
        <v>5</v>
      </c>
    </row>
    <row r="2256" spans="1:12" hidden="1" x14ac:dyDescent="0.3">
      <c r="A2256" s="32" t="s">
        <v>2214</v>
      </c>
      <c r="C2256" s="32" t="s">
        <v>747</v>
      </c>
      <c r="K2256" s="32">
        <v>10</v>
      </c>
      <c r="L2256" s="32">
        <f t="shared" si="1"/>
        <v>5</v>
      </c>
    </row>
    <row r="2257" spans="1:12" hidden="1" x14ac:dyDescent="0.3">
      <c r="A2257" s="32" t="s">
        <v>2214</v>
      </c>
      <c r="C2257" s="32" t="s">
        <v>747</v>
      </c>
      <c r="K2257" s="32">
        <v>10</v>
      </c>
      <c r="L2257" s="32">
        <f t="shared" si="1"/>
        <v>5</v>
      </c>
    </row>
    <row r="2258" spans="1:12" hidden="1" x14ac:dyDescent="0.3">
      <c r="A2258" s="32" t="s">
        <v>2214</v>
      </c>
      <c r="C2258" s="32" t="s">
        <v>747</v>
      </c>
      <c r="K2258" s="32">
        <v>10</v>
      </c>
      <c r="L2258" s="32">
        <f t="shared" si="1"/>
        <v>5</v>
      </c>
    </row>
    <row r="2259" spans="1:12" hidden="1" x14ac:dyDescent="0.3">
      <c r="A2259" s="32" t="s">
        <v>2214</v>
      </c>
      <c r="C2259" s="32" t="s">
        <v>747</v>
      </c>
      <c r="K2259" s="32">
        <v>10</v>
      </c>
      <c r="L2259" s="32">
        <f t="shared" si="1"/>
        <v>5</v>
      </c>
    </row>
    <row r="2260" spans="1:12" hidden="1" x14ac:dyDescent="0.3">
      <c r="A2260" s="32" t="s">
        <v>2214</v>
      </c>
      <c r="C2260" s="32" t="s">
        <v>747</v>
      </c>
      <c r="K2260" s="32">
        <v>10</v>
      </c>
      <c r="L2260" s="32">
        <f t="shared" si="1"/>
        <v>5</v>
      </c>
    </row>
    <row r="2261" spans="1:12" hidden="1" x14ac:dyDescent="0.3">
      <c r="A2261" s="32" t="s">
        <v>2214</v>
      </c>
      <c r="C2261" s="32" t="s">
        <v>747</v>
      </c>
      <c r="K2261" s="32">
        <v>10</v>
      </c>
      <c r="L2261" s="32">
        <f t="shared" si="1"/>
        <v>5</v>
      </c>
    </row>
    <row r="2262" spans="1:12" hidden="1" x14ac:dyDescent="0.3">
      <c r="A2262" s="32" t="s">
        <v>2214</v>
      </c>
      <c r="C2262" s="32" t="s">
        <v>747</v>
      </c>
      <c r="K2262" s="32">
        <v>10</v>
      </c>
      <c r="L2262" s="32">
        <f t="shared" si="1"/>
        <v>5</v>
      </c>
    </row>
    <row r="2263" spans="1:12" hidden="1" x14ac:dyDescent="0.3">
      <c r="A2263" s="32" t="s">
        <v>2214</v>
      </c>
      <c r="C2263" s="32" t="s">
        <v>747</v>
      </c>
      <c r="K2263" s="32">
        <v>10</v>
      </c>
      <c r="L2263" s="32">
        <f t="shared" si="1"/>
        <v>5</v>
      </c>
    </row>
    <row r="2264" spans="1:12" hidden="1" x14ac:dyDescent="0.3">
      <c r="A2264" s="32" t="s">
        <v>2214</v>
      </c>
      <c r="C2264" s="32" t="s">
        <v>747</v>
      </c>
      <c r="K2264" s="32">
        <v>10</v>
      </c>
      <c r="L2264" s="32">
        <f t="shared" si="1"/>
        <v>5</v>
      </c>
    </row>
    <row r="2265" spans="1:12" hidden="1" x14ac:dyDescent="0.3">
      <c r="A2265" s="32" t="s">
        <v>2214</v>
      </c>
      <c r="C2265" s="32" t="s">
        <v>747</v>
      </c>
      <c r="K2265" s="32">
        <v>10</v>
      </c>
      <c r="L2265" s="32">
        <f t="shared" si="1"/>
        <v>5</v>
      </c>
    </row>
    <row r="2266" spans="1:12" hidden="1" x14ac:dyDescent="0.3">
      <c r="A2266" s="32" t="s">
        <v>2214</v>
      </c>
      <c r="C2266" s="32" t="s">
        <v>747</v>
      </c>
      <c r="K2266" s="32">
        <v>10</v>
      </c>
      <c r="L2266" s="32">
        <f t="shared" si="1"/>
        <v>5</v>
      </c>
    </row>
    <row r="2267" spans="1:12" hidden="1" x14ac:dyDescent="0.3">
      <c r="A2267" s="32" t="s">
        <v>2214</v>
      </c>
      <c r="C2267" s="32" t="s">
        <v>747</v>
      </c>
      <c r="K2267" s="32">
        <v>10</v>
      </c>
      <c r="L2267" s="32">
        <f t="shared" si="1"/>
        <v>5</v>
      </c>
    </row>
    <row r="2268" spans="1:12" hidden="1" x14ac:dyDescent="0.3">
      <c r="A2268" s="32" t="s">
        <v>2214</v>
      </c>
      <c r="C2268" s="32" t="s">
        <v>747</v>
      </c>
      <c r="K2268" s="32">
        <v>10</v>
      </c>
      <c r="L2268" s="32">
        <f t="shared" si="1"/>
        <v>5</v>
      </c>
    </row>
    <row r="2269" spans="1:12" hidden="1" x14ac:dyDescent="0.3">
      <c r="A2269" s="32" t="s">
        <v>2214</v>
      </c>
      <c r="C2269" s="32" t="s">
        <v>747</v>
      </c>
      <c r="K2269" s="32">
        <v>10</v>
      </c>
      <c r="L2269" s="32">
        <f t="shared" si="1"/>
        <v>5</v>
      </c>
    </row>
    <row r="2270" spans="1:12" hidden="1" x14ac:dyDescent="0.3">
      <c r="A2270" s="32" t="s">
        <v>2214</v>
      </c>
      <c r="C2270" s="32" t="s">
        <v>747</v>
      </c>
      <c r="K2270" s="32">
        <v>10</v>
      </c>
      <c r="L2270" s="32">
        <f t="shared" si="1"/>
        <v>5</v>
      </c>
    </row>
    <row r="2271" spans="1:12" hidden="1" x14ac:dyDescent="0.3">
      <c r="A2271" s="32" t="s">
        <v>2214</v>
      </c>
      <c r="C2271" s="32" t="s">
        <v>747</v>
      </c>
      <c r="K2271" s="32">
        <v>10</v>
      </c>
      <c r="L2271" s="32">
        <f t="shared" si="1"/>
        <v>5</v>
      </c>
    </row>
    <row r="2272" spans="1:12" hidden="1" x14ac:dyDescent="0.3">
      <c r="A2272" s="32" t="s">
        <v>2214</v>
      </c>
      <c r="C2272" s="32" t="s">
        <v>747</v>
      </c>
      <c r="K2272" s="32">
        <v>10</v>
      </c>
      <c r="L2272" s="32">
        <f t="shared" ref="L2272:L2277" si="2">K2272/2</f>
        <v>5</v>
      </c>
    </row>
    <row r="2273" spans="1:12" hidden="1" x14ac:dyDescent="0.3">
      <c r="A2273" s="32" t="s">
        <v>2214</v>
      </c>
      <c r="C2273" s="32" t="s">
        <v>747</v>
      </c>
      <c r="K2273" s="32">
        <v>10</v>
      </c>
      <c r="L2273" s="32">
        <f t="shared" si="2"/>
        <v>5</v>
      </c>
    </row>
    <row r="2274" spans="1:12" hidden="1" x14ac:dyDescent="0.3">
      <c r="A2274" s="32" t="s">
        <v>2214</v>
      </c>
      <c r="C2274" s="32" t="s">
        <v>747</v>
      </c>
      <c r="K2274" s="32">
        <v>10</v>
      </c>
      <c r="L2274" s="32">
        <f t="shared" si="2"/>
        <v>5</v>
      </c>
    </row>
    <row r="2275" spans="1:12" hidden="1" x14ac:dyDescent="0.3">
      <c r="A2275" s="32" t="s">
        <v>2214</v>
      </c>
      <c r="C2275" s="32" t="s">
        <v>747</v>
      </c>
      <c r="K2275" s="32">
        <v>10</v>
      </c>
      <c r="L2275" s="32">
        <f t="shared" si="2"/>
        <v>5</v>
      </c>
    </row>
    <row r="2276" spans="1:12" hidden="1" x14ac:dyDescent="0.3">
      <c r="A2276" s="32" t="s">
        <v>2214</v>
      </c>
      <c r="C2276" s="32" t="s">
        <v>747</v>
      </c>
      <c r="K2276" s="32">
        <v>10</v>
      </c>
      <c r="L2276" s="32">
        <f t="shared" si="2"/>
        <v>5</v>
      </c>
    </row>
    <row r="2277" spans="1:12" hidden="1" x14ac:dyDescent="0.3">
      <c r="A2277" s="32" t="s">
        <v>2214</v>
      </c>
      <c r="C2277" s="32" t="s">
        <v>747</v>
      </c>
      <c r="K2277" s="32">
        <v>10</v>
      </c>
      <c r="L2277" s="32">
        <f t="shared" si="2"/>
        <v>5</v>
      </c>
    </row>
  </sheetData>
  <autoFilter ref="A1:L2277" xr:uid="{1925E673-B92D-4842-81BB-10C01394CAF3}">
    <filterColumn colId="2">
      <filters>
        <filter val="PSYSTEM_1005"/>
      </filters>
    </filterColumn>
    <filterColumn colId="11">
      <customFilters>
        <customFilter operator="notEqual" val=" 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D24" sqref="D24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IFERROR(C2/B2,0)</f>
        <v>0.25705329153605017</v>
      </c>
      <c r="E2" s="40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42">
        <f t="shared" ref="D3:D6" si="0">IFERROR(C3/B3,0)</f>
        <v>0.35169491525423729</v>
      </c>
      <c r="E3" s="39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1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2">D17+E17+F17</f>
        <v>597</v>
      </c>
      <c r="C4" s="20">
        <f>B17+C17</f>
        <v>164</v>
      </c>
      <c r="D4" s="21">
        <f t="shared" si="0"/>
        <v>0.27470686767169178</v>
      </c>
      <c r="E4" s="40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1"/>
        <v>4.9848484848484844</v>
      </c>
      <c r="H4" s="1"/>
      <c r="I4" s="43">
        <f t="shared" ref="I4:I6" si="3">G4*C4</f>
        <v>817.5151515151515</v>
      </c>
    </row>
    <row r="5" spans="1:9" x14ac:dyDescent="0.3">
      <c r="A5" s="5" t="s">
        <v>32</v>
      </c>
      <c r="B5" s="6">
        <f t="shared" si="2"/>
        <v>191</v>
      </c>
      <c r="C5" s="6">
        <f>B18+C18</f>
        <v>50</v>
      </c>
      <c r="D5" s="42">
        <f t="shared" si="0"/>
        <v>0.26178010471204188</v>
      </c>
      <c r="E5" s="39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1"/>
        <v>4.9607843137254903</v>
      </c>
      <c r="H5" s="1"/>
      <c r="I5" s="34">
        <f t="shared" si="3"/>
        <v>248.03921568627453</v>
      </c>
    </row>
    <row r="6" spans="1:9" x14ac:dyDescent="0.3">
      <c r="A6" s="19" t="s">
        <v>2213</v>
      </c>
      <c r="B6" s="20">
        <f t="shared" si="2"/>
        <v>201</v>
      </c>
      <c r="C6" s="20">
        <f>B19+C19</f>
        <v>55</v>
      </c>
      <c r="D6" s="21">
        <f t="shared" si="0"/>
        <v>0.27363184079601988</v>
      </c>
      <c r="E6" s="40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1"/>
        <v>4.8909090909090907</v>
      </c>
      <c r="H6" s="1"/>
      <c r="I6" s="34">
        <f t="shared" si="3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IFERROR(C9/B9,0)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32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2213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A2" t="s">
        <v>2218</v>
      </c>
      <c r="B2" s="46" t="s">
        <v>2219</v>
      </c>
      <c r="C2" s="47"/>
      <c r="D2" s="47"/>
      <c r="E2" s="47"/>
      <c r="F2" s="47"/>
      <c r="G2" s="47"/>
      <c r="H2" s="47"/>
    </row>
    <row r="3" spans="1:8" x14ac:dyDescent="0.3">
      <c r="A3" t="s">
        <v>2220</v>
      </c>
      <c r="B3" s="46" t="s">
        <v>2221</v>
      </c>
      <c r="C3" s="47"/>
      <c r="D3" s="47"/>
      <c r="E3" s="47"/>
      <c r="F3" s="47"/>
      <c r="G3" s="47"/>
      <c r="H3" s="47"/>
    </row>
    <row r="4" spans="1:8" x14ac:dyDescent="0.3">
      <c r="A4" t="s">
        <v>2220</v>
      </c>
      <c r="B4" s="46" t="s">
        <v>2222</v>
      </c>
      <c r="C4" s="47"/>
      <c r="D4" s="47"/>
      <c r="E4" s="47"/>
      <c r="F4" s="47"/>
      <c r="G4" s="47"/>
      <c r="H4" s="47"/>
    </row>
    <row r="5" spans="1:8" x14ac:dyDescent="0.3">
      <c r="A5" t="s">
        <v>2218</v>
      </c>
      <c r="B5" s="46" t="s">
        <v>2223</v>
      </c>
      <c r="C5" s="47"/>
      <c r="D5" s="47"/>
      <c r="E5" s="47"/>
      <c r="F5" s="47"/>
      <c r="G5" s="47"/>
      <c r="H5" s="47"/>
    </row>
    <row r="6" spans="1:8" x14ac:dyDescent="0.3">
      <c r="A6" t="s">
        <v>2224</v>
      </c>
      <c r="B6" s="46" t="s">
        <v>2225</v>
      </c>
      <c r="C6" s="47"/>
      <c r="D6" s="47"/>
      <c r="E6" s="47"/>
      <c r="F6" s="47"/>
      <c r="G6" s="47"/>
      <c r="H6" s="47"/>
    </row>
    <row r="7" spans="1:8" x14ac:dyDescent="0.3">
      <c r="A7" t="s">
        <v>2224</v>
      </c>
      <c r="B7" s="46" t="s">
        <v>2226</v>
      </c>
      <c r="C7" s="47"/>
      <c r="D7" s="47"/>
      <c r="E7" s="47"/>
      <c r="F7" s="47"/>
      <c r="G7" s="47"/>
      <c r="H7" s="47"/>
    </row>
    <row r="8" spans="1:8" x14ac:dyDescent="0.3">
      <c r="A8" t="s">
        <v>2220</v>
      </c>
      <c r="B8" s="46" t="s">
        <v>2227</v>
      </c>
      <c r="C8" s="47"/>
      <c r="D8" s="47"/>
      <c r="E8" s="47"/>
      <c r="F8" s="47"/>
      <c r="G8" s="47"/>
      <c r="H8" s="47"/>
    </row>
    <row r="9" spans="1:8" x14ac:dyDescent="0.3">
      <c r="A9" t="s">
        <v>2220</v>
      </c>
      <c r="B9" s="46" t="s">
        <v>2228</v>
      </c>
      <c r="C9" s="47"/>
      <c r="D9" s="47"/>
      <c r="E9" s="47"/>
      <c r="F9" s="47"/>
      <c r="G9" s="47"/>
      <c r="H9" s="47"/>
    </row>
    <row r="10" spans="1:8" x14ac:dyDescent="0.3">
      <c r="A10" t="s">
        <v>2220</v>
      </c>
      <c r="B10" s="46" t="s">
        <v>2229</v>
      </c>
      <c r="C10" s="47"/>
      <c r="D10" s="47"/>
      <c r="E10" s="47"/>
      <c r="F10" s="47"/>
      <c r="G10" s="47"/>
      <c r="H10" s="47"/>
    </row>
    <row r="11" spans="1:8" x14ac:dyDescent="0.3">
      <c r="A11" t="s">
        <v>2218</v>
      </c>
      <c r="B11" s="46" t="s">
        <v>2230</v>
      </c>
      <c r="C11" s="47"/>
      <c r="D11" s="47"/>
      <c r="E11" s="47"/>
      <c r="F11" s="47"/>
      <c r="G11" s="47"/>
      <c r="H11" s="47"/>
    </row>
    <row r="12" spans="1:8" x14ac:dyDescent="0.3">
      <c r="A12" t="s">
        <v>2224</v>
      </c>
      <c r="B12" s="46" t="s">
        <v>2231</v>
      </c>
      <c r="C12" s="47"/>
      <c r="D12" s="47"/>
      <c r="E12" s="47"/>
      <c r="F12" s="47"/>
      <c r="G12" s="47"/>
      <c r="H12" s="47"/>
    </row>
    <row r="13" spans="1:8" x14ac:dyDescent="0.3">
      <c r="A13" t="s">
        <v>2232</v>
      </c>
      <c r="B13" s="46" t="s">
        <v>2233</v>
      </c>
      <c r="C13" s="47"/>
      <c r="D13" s="47"/>
      <c r="E13" s="47"/>
      <c r="F13" s="47"/>
      <c r="G13" s="47"/>
      <c r="H13" s="47"/>
    </row>
    <row r="14" spans="1:8" x14ac:dyDescent="0.3">
      <c r="A14" t="s">
        <v>2218</v>
      </c>
      <c r="B14" s="46" t="s">
        <v>2234</v>
      </c>
      <c r="C14" s="47"/>
      <c r="D14" s="47"/>
      <c r="E14" s="47"/>
      <c r="F14" s="47"/>
      <c r="G14" s="47"/>
      <c r="H14" s="47"/>
    </row>
    <row r="15" spans="1:8" x14ac:dyDescent="0.3">
      <c r="A15" t="s">
        <v>2232</v>
      </c>
      <c r="B15" s="46" t="s">
        <v>2235</v>
      </c>
      <c r="C15" s="47"/>
      <c r="D15" s="47"/>
      <c r="E15" s="47"/>
      <c r="F15" s="47"/>
      <c r="G15" s="47"/>
      <c r="H15" s="47"/>
    </row>
    <row r="16" spans="1:8" x14ac:dyDescent="0.3">
      <c r="A16" t="s">
        <v>2218</v>
      </c>
      <c r="B16" s="46" t="s">
        <v>2236</v>
      </c>
      <c r="C16" s="47"/>
      <c r="D16" s="47"/>
      <c r="E16" s="47"/>
      <c r="F16" s="47"/>
      <c r="G16" s="47"/>
      <c r="H16" s="47"/>
    </row>
    <row r="17" spans="1:8" x14ac:dyDescent="0.3">
      <c r="A17" t="s">
        <v>2220</v>
      </c>
      <c r="B17" s="46" t="s">
        <v>2237</v>
      </c>
      <c r="C17" s="47"/>
      <c r="D17" s="47"/>
      <c r="E17" s="47"/>
      <c r="F17" s="47"/>
      <c r="G17" s="47"/>
      <c r="H17" s="47"/>
    </row>
    <row r="18" spans="1:8" x14ac:dyDescent="0.3">
      <c r="B18" s="47"/>
      <c r="C18" s="47"/>
      <c r="D18" s="47"/>
      <c r="E18" s="47"/>
      <c r="F18" s="47"/>
      <c r="G18" s="47"/>
      <c r="H18" s="47"/>
    </row>
    <row r="19" spans="1:8" x14ac:dyDescent="0.3">
      <c r="B19" s="47"/>
      <c r="C19" s="47"/>
      <c r="D19" s="47"/>
      <c r="E19" s="47"/>
      <c r="F19" s="47"/>
      <c r="G19" s="47"/>
      <c r="H19" s="47"/>
    </row>
    <row r="20" spans="1:8" x14ac:dyDescent="0.3">
      <c r="B20" s="47"/>
      <c r="C20" s="47"/>
      <c r="D20" s="47"/>
      <c r="E20" s="47"/>
      <c r="F20" s="47"/>
      <c r="G20" s="47"/>
      <c r="H20" s="47"/>
    </row>
    <row r="21" spans="1:8" x14ac:dyDescent="0.3">
      <c r="B21" s="47"/>
      <c r="C21" s="47"/>
      <c r="D21" s="47"/>
      <c r="E21" s="47"/>
      <c r="F21" s="47"/>
      <c r="G21" s="47"/>
      <c r="H21" s="47"/>
    </row>
    <row r="22" spans="1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O534"/>
  <sheetViews>
    <sheetView zoomScale="86" workbookViewId="0">
      <selection activeCell="L508" sqref="L508:L534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2" customWidth="1"/>
    <col min="14" max="16384" width="8.88671875" style="32"/>
  </cols>
  <sheetData>
    <row r="1" spans="1:15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  <row r="2" spans="1:15" x14ac:dyDescent="0.3">
      <c r="A2" s="55"/>
      <c r="B2"/>
      <c r="C2"/>
      <c r="D2"/>
      <c r="E2"/>
      <c r="F2"/>
      <c r="G2"/>
      <c r="H2"/>
      <c r="I2"/>
      <c r="J2"/>
      <c r="K2"/>
      <c r="L2"/>
      <c r="M2"/>
      <c r="N2"/>
      <c r="O2"/>
    </row>
    <row r="3" spans="1:15" x14ac:dyDescent="0.3">
      <c r="A3" s="55"/>
      <c r="B3"/>
      <c r="C3"/>
      <c r="D3"/>
      <c r="E3"/>
      <c r="F3"/>
      <c r="G3"/>
      <c r="H3"/>
      <c r="I3"/>
      <c r="J3"/>
      <c r="K3"/>
      <c r="L3"/>
      <c r="M3"/>
      <c r="N3"/>
      <c r="O3"/>
    </row>
    <row r="4" spans="1:15" x14ac:dyDescent="0.3">
      <c r="A4" s="55"/>
      <c r="B4"/>
      <c r="C4"/>
      <c r="D4"/>
      <c r="E4"/>
      <c r="F4"/>
      <c r="G4"/>
      <c r="H4"/>
      <c r="I4"/>
      <c r="J4"/>
      <c r="K4"/>
      <c r="L4"/>
      <c r="M4"/>
      <c r="N4"/>
      <c r="O4"/>
    </row>
    <row r="5" spans="1:15" x14ac:dyDescent="0.3">
      <c r="A5" s="55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x14ac:dyDescent="0.3">
      <c r="A6" s="55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x14ac:dyDescent="0.3">
      <c r="A7" s="55"/>
      <c r="B7"/>
      <c r="C7"/>
      <c r="D7"/>
      <c r="E7"/>
      <c r="F7"/>
      <c r="G7"/>
      <c r="H7"/>
      <c r="I7"/>
      <c r="J7"/>
      <c r="K7"/>
      <c r="L7"/>
      <c r="M7"/>
      <c r="N7"/>
      <c r="O7"/>
    </row>
    <row r="8" spans="1:15" x14ac:dyDescent="0.3">
      <c r="A8" s="55"/>
      <c r="B8"/>
      <c r="C8"/>
      <c r="D8"/>
      <c r="E8"/>
      <c r="F8"/>
      <c r="G8"/>
      <c r="H8"/>
      <c r="I8"/>
      <c r="J8"/>
      <c r="K8"/>
      <c r="L8"/>
      <c r="M8"/>
      <c r="N8"/>
      <c r="O8"/>
    </row>
    <row r="9" spans="1:15" x14ac:dyDescent="0.3">
      <c r="A9" s="55"/>
      <c r="B9"/>
      <c r="C9"/>
      <c r="D9"/>
      <c r="E9"/>
      <c r="F9"/>
      <c r="G9"/>
      <c r="H9"/>
      <c r="I9"/>
      <c r="J9"/>
      <c r="K9"/>
      <c r="L9"/>
      <c r="M9"/>
      <c r="N9"/>
      <c r="O9"/>
    </row>
    <row r="10" spans="1:15" x14ac:dyDescent="0.3">
      <c r="A10" s="55"/>
      <c r="B10"/>
      <c r="C10"/>
      <c r="D10"/>
      <c r="E10"/>
      <c r="F10"/>
      <c r="G10"/>
      <c r="H10"/>
      <c r="I10"/>
      <c r="J10"/>
      <c r="K10"/>
      <c r="L10"/>
      <c r="M10"/>
      <c r="N10"/>
      <c r="O10"/>
    </row>
    <row r="11" spans="1:15" x14ac:dyDescent="0.3">
      <c r="A11" s="55"/>
      <c r="B11"/>
      <c r="C11"/>
      <c r="D11"/>
      <c r="E11"/>
      <c r="F11"/>
      <c r="G11"/>
      <c r="H11"/>
      <c r="I11"/>
      <c r="J11"/>
      <c r="K11"/>
      <c r="L11"/>
      <c r="M11"/>
      <c r="N11"/>
      <c r="O11"/>
    </row>
    <row r="12" spans="1:15" x14ac:dyDescent="0.3">
      <c r="A12" s="55"/>
      <c r="B12"/>
      <c r="C12"/>
      <c r="D12"/>
      <c r="E12"/>
      <c r="F12"/>
      <c r="G12"/>
      <c r="H12"/>
      <c r="I12"/>
      <c r="J12"/>
      <c r="K12"/>
      <c r="L12"/>
      <c r="M12"/>
      <c r="N12"/>
      <c r="O12"/>
    </row>
    <row r="13" spans="1:15" x14ac:dyDescent="0.3">
      <c r="A13" s="55"/>
      <c r="B13"/>
      <c r="C13"/>
      <c r="D13"/>
      <c r="E13"/>
      <c r="F13"/>
      <c r="G13"/>
      <c r="H13"/>
      <c r="I13"/>
      <c r="J13"/>
      <c r="K13"/>
      <c r="L13"/>
      <c r="M13"/>
      <c r="N13"/>
      <c r="O13"/>
    </row>
    <row r="14" spans="1:15" x14ac:dyDescent="0.3">
      <c r="A14" s="55"/>
      <c r="B14"/>
      <c r="C14"/>
      <c r="D14"/>
      <c r="E14"/>
      <c r="F14"/>
      <c r="G14"/>
      <c r="H14"/>
      <c r="I14"/>
      <c r="J14"/>
      <c r="K14"/>
      <c r="L14"/>
      <c r="M14"/>
      <c r="N14"/>
      <c r="O14"/>
    </row>
    <row r="15" spans="1:15" x14ac:dyDescent="0.3">
      <c r="A15" s="55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 x14ac:dyDescent="0.3">
      <c r="A16" s="55"/>
      <c r="B16"/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 x14ac:dyDescent="0.3">
      <c r="A17" s="55"/>
      <c r="B17"/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 x14ac:dyDescent="0.3">
      <c r="A18" s="55"/>
      <c r="B18"/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 x14ac:dyDescent="0.3">
      <c r="A19" s="55"/>
      <c r="B19"/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 x14ac:dyDescent="0.3">
      <c r="A20" s="55"/>
      <c r="B20"/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 x14ac:dyDescent="0.3">
      <c r="A21" s="55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 x14ac:dyDescent="0.3">
      <c r="A22" s="55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 x14ac:dyDescent="0.3">
      <c r="A23" s="55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3">
      <c r="A24" s="55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3">
      <c r="A25" s="5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3">
      <c r="A26" s="55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3">
      <c r="A27" s="55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3">
      <c r="A28" s="55"/>
      <c r="B28"/>
      <c r="C28"/>
      <c r="D28"/>
      <c r="E28"/>
      <c r="F28"/>
      <c r="G28"/>
      <c r="H28"/>
      <c r="I28"/>
      <c r="J28"/>
      <c r="K28"/>
      <c r="L28"/>
      <c r="M28"/>
      <c r="N28"/>
      <c r="O28"/>
    </row>
    <row r="29" spans="1:15" x14ac:dyDescent="0.3">
      <c r="A29" s="55"/>
      <c r="B29"/>
      <c r="C29"/>
      <c r="D29"/>
      <c r="E29"/>
      <c r="F29"/>
      <c r="G29"/>
      <c r="H29"/>
      <c r="I29"/>
      <c r="J29"/>
      <c r="K29"/>
      <c r="L29"/>
      <c r="M29"/>
      <c r="N29"/>
      <c r="O29"/>
    </row>
    <row r="30" spans="1:15" x14ac:dyDescent="0.3">
      <c r="A30" s="55"/>
      <c r="B30"/>
      <c r="C30"/>
      <c r="D30"/>
      <c r="E30"/>
      <c r="F30"/>
      <c r="G30"/>
      <c r="H30"/>
      <c r="I30"/>
      <c r="J30"/>
      <c r="K30"/>
      <c r="L30"/>
      <c r="M30"/>
      <c r="N30"/>
      <c r="O30"/>
    </row>
    <row r="31" spans="1:15" x14ac:dyDescent="0.3">
      <c r="A31" s="55"/>
      <c r="B31"/>
      <c r="C31"/>
      <c r="D31"/>
      <c r="E31"/>
      <c r="F31"/>
      <c r="G31"/>
      <c r="H31"/>
      <c r="I31"/>
      <c r="J31"/>
      <c r="K31"/>
      <c r="L31"/>
      <c r="M31"/>
      <c r="N31"/>
      <c r="O31"/>
    </row>
    <row r="32" spans="1:15" x14ac:dyDescent="0.3">
      <c r="A32" s="55"/>
      <c r="B32"/>
      <c r="C32"/>
      <c r="D32"/>
      <c r="E32"/>
      <c r="F32"/>
      <c r="G32"/>
      <c r="H32"/>
      <c r="I32"/>
      <c r="J32"/>
      <c r="K32"/>
      <c r="L32"/>
      <c r="M32"/>
      <c r="N32"/>
      <c r="O32"/>
    </row>
    <row r="33" spans="1:15" x14ac:dyDescent="0.3">
      <c r="A33" s="55"/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1:15" x14ac:dyDescent="0.3">
      <c r="A34" s="55"/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1:15" x14ac:dyDescent="0.3">
      <c r="A35" s="55"/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  <row r="36" spans="1:15" x14ac:dyDescent="0.3">
      <c r="A36" s="55"/>
      <c r="B36"/>
      <c r="C36"/>
      <c r="D36"/>
      <c r="E36"/>
      <c r="F36"/>
      <c r="G36"/>
      <c r="H36"/>
      <c r="I36"/>
      <c r="J36"/>
      <c r="K36"/>
      <c r="L36"/>
      <c r="M36"/>
      <c r="N36"/>
      <c r="O36"/>
    </row>
    <row r="37" spans="1:15" x14ac:dyDescent="0.3">
      <c r="A37" s="55"/>
      <c r="B37"/>
      <c r="C37"/>
      <c r="D37"/>
      <c r="E37"/>
      <c r="F37"/>
      <c r="G37"/>
      <c r="H37"/>
      <c r="I37"/>
      <c r="J37"/>
      <c r="K37"/>
      <c r="L37"/>
      <c r="M37"/>
      <c r="N37"/>
      <c r="O37"/>
    </row>
    <row r="38" spans="1:15" x14ac:dyDescent="0.3">
      <c r="A38" s="55"/>
      <c r="B38"/>
      <c r="C38"/>
      <c r="D38"/>
      <c r="E38"/>
      <c r="F38"/>
      <c r="G38"/>
      <c r="H38"/>
      <c r="I38"/>
      <c r="J38"/>
      <c r="K38"/>
      <c r="L38"/>
      <c r="M38"/>
      <c r="N38"/>
      <c r="O38"/>
    </row>
    <row r="39" spans="1:15" x14ac:dyDescent="0.3">
      <c r="A39" s="55"/>
      <c r="B39"/>
      <c r="C39"/>
      <c r="D39"/>
      <c r="E39"/>
      <c r="F39"/>
      <c r="G39"/>
      <c r="H39"/>
      <c r="I39"/>
      <c r="J39"/>
      <c r="K39"/>
      <c r="L39"/>
      <c r="M39"/>
      <c r="N39"/>
      <c r="O39"/>
    </row>
    <row r="40" spans="1:15" x14ac:dyDescent="0.3">
      <c r="A40" s="55"/>
      <c r="B40"/>
      <c r="C40"/>
      <c r="D40"/>
      <c r="E40"/>
      <c r="F40"/>
      <c r="G40"/>
      <c r="H40"/>
      <c r="I40"/>
      <c r="J40"/>
      <c r="K40"/>
      <c r="L40"/>
      <c r="M40"/>
      <c r="N40"/>
      <c r="O40"/>
    </row>
    <row r="41" spans="1:15" x14ac:dyDescent="0.3">
      <c r="A41" s="55"/>
      <c r="B41"/>
      <c r="C41"/>
      <c r="D41"/>
      <c r="E41"/>
      <c r="F41"/>
      <c r="G41"/>
      <c r="H41"/>
      <c r="I41"/>
      <c r="J41"/>
      <c r="K41"/>
      <c r="L41"/>
      <c r="M41"/>
      <c r="N41"/>
      <c r="O41"/>
    </row>
    <row r="42" spans="1:15" x14ac:dyDescent="0.3">
      <c r="A42" s="55"/>
      <c r="B42"/>
      <c r="C42"/>
      <c r="D42"/>
      <c r="E42"/>
      <c r="F42"/>
      <c r="G42"/>
      <c r="H42"/>
      <c r="I42"/>
      <c r="J42"/>
      <c r="K42"/>
      <c r="L42"/>
      <c r="M42"/>
      <c r="N42"/>
      <c r="O42"/>
    </row>
    <row r="43" spans="1:15" x14ac:dyDescent="0.3">
      <c r="A43" s="55"/>
      <c r="B43"/>
      <c r="C43"/>
      <c r="D43"/>
      <c r="E43"/>
      <c r="F43"/>
      <c r="G43"/>
      <c r="H43"/>
      <c r="I43"/>
      <c r="J43"/>
      <c r="K43"/>
      <c r="L43"/>
      <c r="M43"/>
      <c r="N43"/>
      <c r="O43"/>
    </row>
    <row r="44" spans="1:15" x14ac:dyDescent="0.3">
      <c r="A44" s="55"/>
      <c r="B44"/>
      <c r="C44"/>
      <c r="D44"/>
      <c r="E44"/>
      <c r="F44"/>
      <c r="G44"/>
      <c r="H44"/>
      <c r="I44"/>
      <c r="J44"/>
      <c r="K44"/>
      <c r="L44"/>
      <c r="M44"/>
      <c r="N44"/>
      <c r="O44"/>
    </row>
    <row r="45" spans="1:15" x14ac:dyDescent="0.3">
      <c r="A45" s="55"/>
      <c r="B45"/>
      <c r="C45"/>
      <c r="D45"/>
      <c r="E45"/>
      <c r="F45"/>
      <c r="G45"/>
      <c r="H45"/>
      <c r="I45"/>
      <c r="J45"/>
      <c r="K45"/>
      <c r="L45"/>
      <c r="M45"/>
      <c r="N45"/>
      <c r="O45"/>
    </row>
    <row r="46" spans="1:15" x14ac:dyDescent="0.3">
      <c r="A46" s="55"/>
      <c r="B46"/>
      <c r="C46"/>
      <c r="D46"/>
      <c r="E46"/>
      <c r="F46"/>
      <c r="G46"/>
      <c r="H46"/>
      <c r="I46"/>
      <c r="J46"/>
      <c r="K46"/>
      <c r="L46"/>
      <c r="M46"/>
      <c r="N46"/>
      <c r="O46"/>
    </row>
    <row r="47" spans="1:15" x14ac:dyDescent="0.3">
      <c r="A47" s="55"/>
      <c r="B47"/>
      <c r="C47"/>
      <c r="D47"/>
      <c r="E47"/>
      <c r="F47"/>
      <c r="G47"/>
      <c r="H47"/>
      <c r="I47"/>
      <c r="J47"/>
      <c r="K47"/>
      <c r="L47"/>
      <c r="M47"/>
      <c r="N47"/>
      <c r="O47"/>
    </row>
    <row r="48" spans="1:15" x14ac:dyDescent="0.3">
      <c r="A48" s="55"/>
      <c r="B48"/>
      <c r="C48"/>
      <c r="D48"/>
      <c r="E48"/>
      <c r="F48"/>
      <c r="G48"/>
      <c r="H48"/>
      <c r="I48"/>
      <c r="J48"/>
      <c r="K48"/>
      <c r="L48"/>
      <c r="M48"/>
      <c r="N48"/>
      <c r="O48"/>
    </row>
    <row r="49" spans="1:15" x14ac:dyDescent="0.3">
      <c r="A49" s="55"/>
      <c r="B49"/>
      <c r="C49"/>
      <c r="D49"/>
      <c r="E49"/>
      <c r="F49"/>
      <c r="G49"/>
      <c r="H49"/>
      <c r="I49"/>
      <c r="J49"/>
      <c r="K49"/>
      <c r="L49"/>
      <c r="M49"/>
      <c r="N49"/>
      <c r="O49"/>
    </row>
    <row r="50" spans="1:15" x14ac:dyDescent="0.3">
      <c r="A50" s="55"/>
      <c r="B50"/>
      <c r="C50"/>
      <c r="D50"/>
      <c r="E50"/>
      <c r="F50"/>
      <c r="G50"/>
      <c r="H50"/>
      <c r="I50"/>
      <c r="J50"/>
      <c r="K50"/>
      <c r="L50"/>
      <c r="M50"/>
      <c r="N50"/>
      <c r="O50"/>
    </row>
    <row r="51" spans="1:15" x14ac:dyDescent="0.3">
      <c r="A51" s="55"/>
      <c r="B51"/>
      <c r="C51"/>
      <c r="D51"/>
      <c r="E51"/>
      <c r="F51"/>
      <c r="G51"/>
      <c r="H51"/>
      <c r="I51"/>
      <c r="J51"/>
      <c r="K51"/>
      <c r="L51"/>
      <c r="M51"/>
      <c r="N51"/>
      <c r="O51"/>
    </row>
    <row r="52" spans="1:15" x14ac:dyDescent="0.3">
      <c r="A52" s="55"/>
      <c r="B52"/>
      <c r="C52"/>
      <c r="D52"/>
      <c r="E52"/>
      <c r="F52"/>
      <c r="G52"/>
      <c r="H52"/>
      <c r="I52"/>
      <c r="J52"/>
      <c r="K52"/>
      <c r="L52"/>
      <c r="M52"/>
      <c r="N52"/>
      <c r="O52"/>
    </row>
    <row r="53" spans="1:15" x14ac:dyDescent="0.3">
      <c r="A53" s="55"/>
      <c r="B53"/>
      <c r="C53"/>
      <c r="D53"/>
      <c r="E53"/>
      <c r="F53"/>
      <c r="G53"/>
      <c r="H53"/>
      <c r="I53"/>
      <c r="J53"/>
      <c r="K53"/>
      <c r="L53"/>
      <c r="M53"/>
      <c r="N53"/>
      <c r="O53"/>
    </row>
    <row r="54" spans="1:15" x14ac:dyDescent="0.3">
      <c r="A54" s="55"/>
      <c r="B54"/>
      <c r="C54"/>
      <c r="D54"/>
      <c r="E54"/>
      <c r="F54"/>
      <c r="G54"/>
      <c r="H54"/>
      <c r="I54"/>
      <c r="J54"/>
      <c r="K54"/>
      <c r="L54"/>
      <c r="M54"/>
      <c r="N54"/>
      <c r="O54"/>
    </row>
    <row r="55" spans="1:15" x14ac:dyDescent="0.3">
      <c r="A55" s="55"/>
      <c r="B55"/>
      <c r="C55"/>
      <c r="D55"/>
      <c r="E55"/>
      <c r="F55"/>
      <c r="G55"/>
      <c r="H55"/>
      <c r="I55"/>
      <c r="J55"/>
      <c r="K55"/>
      <c r="L55"/>
      <c r="M55"/>
      <c r="N55"/>
      <c r="O55"/>
    </row>
    <row r="56" spans="1:15" x14ac:dyDescent="0.3">
      <c r="A56" s="55"/>
      <c r="B56"/>
      <c r="C56"/>
      <c r="D56"/>
      <c r="E56"/>
      <c r="F56"/>
      <c r="G56"/>
      <c r="H56"/>
      <c r="I56"/>
      <c r="J56"/>
      <c r="K56"/>
      <c r="L56"/>
      <c r="M56"/>
      <c r="N56"/>
      <c r="O56"/>
    </row>
    <row r="57" spans="1:15" x14ac:dyDescent="0.3">
      <c r="A57" s="55"/>
      <c r="B57"/>
      <c r="C57"/>
      <c r="D57"/>
      <c r="E57"/>
      <c r="F57"/>
      <c r="G57"/>
      <c r="H57"/>
      <c r="I57"/>
      <c r="J57"/>
      <c r="K57"/>
      <c r="L57"/>
      <c r="M57"/>
      <c r="N57"/>
      <c r="O57"/>
    </row>
    <row r="58" spans="1:15" x14ac:dyDescent="0.3">
      <c r="A58" s="55"/>
      <c r="B58"/>
      <c r="C58"/>
      <c r="D58"/>
      <c r="E58"/>
      <c r="F58"/>
      <c r="G58"/>
      <c r="H58"/>
      <c r="I58"/>
      <c r="J58"/>
      <c r="K58"/>
      <c r="L58"/>
      <c r="M58"/>
      <c r="N58"/>
      <c r="O58"/>
    </row>
    <row r="59" spans="1:15" x14ac:dyDescent="0.3">
      <c r="A59" s="55"/>
      <c r="B59"/>
      <c r="C59"/>
      <c r="D59"/>
      <c r="E59"/>
      <c r="F59"/>
      <c r="G59"/>
      <c r="H59"/>
      <c r="I59"/>
      <c r="J59"/>
      <c r="K59"/>
      <c r="L59"/>
      <c r="M59"/>
      <c r="N59"/>
      <c r="O59"/>
    </row>
    <row r="60" spans="1:15" x14ac:dyDescent="0.3">
      <c r="A60" s="55"/>
      <c r="B60"/>
      <c r="C60"/>
      <c r="D60"/>
      <c r="E60"/>
      <c r="F60"/>
      <c r="G60"/>
      <c r="H60"/>
      <c r="I60"/>
      <c r="J60"/>
      <c r="K60"/>
      <c r="L60"/>
      <c r="M60"/>
      <c r="N60"/>
      <c r="O60"/>
    </row>
    <row r="61" spans="1:15" x14ac:dyDescent="0.3">
      <c r="A61" s="55"/>
      <c r="B61"/>
      <c r="C61"/>
      <c r="D61"/>
      <c r="E61"/>
      <c r="F61"/>
      <c r="G61"/>
      <c r="H61"/>
      <c r="I61"/>
      <c r="J61"/>
      <c r="K61"/>
      <c r="L61"/>
      <c r="M61"/>
      <c r="N61"/>
      <c r="O61"/>
    </row>
    <row r="62" spans="1:15" x14ac:dyDescent="0.3">
      <c r="A62" s="55"/>
      <c r="B62"/>
      <c r="C62"/>
      <c r="D62"/>
      <c r="E62"/>
      <c r="F62"/>
      <c r="G62"/>
      <c r="H62"/>
      <c r="I62"/>
      <c r="J62"/>
      <c r="K62"/>
      <c r="L62"/>
      <c r="M62"/>
      <c r="N62"/>
      <c r="O62"/>
    </row>
    <row r="63" spans="1:15" x14ac:dyDescent="0.3">
      <c r="A63" s="55"/>
      <c r="B63"/>
      <c r="C63"/>
      <c r="D63"/>
      <c r="E63"/>
      <c r="F63"/>
      <c r="G63"/>
      <c r="H63"/>
      <c r="I63"/>
      <c r="J63"/>
      <c r="K63"/>
      <c r="L63"/>
      <c r="M63"/>
      <c r="N63"/>
      <c r="O63"/>
    </row>
    <row r="64" spans="1:15" x14ac:dyDescent="0.3">
      <c r="A64" s="55"/>
      <c r="B64"/>
      <c r="C64"/>
      <c r="D64"/>
      <c r="E64"/>
      <c r="F64"/>
      <c r="G64"/>
      <c r="H64"/>
      <c r="I64"/>
      <c r="J64"/>
      <c r="K64"/>
      <c r="L64"/>
      <c r="M64"/>
      <c r="N64"/>
      <c r="O64"/>
    </row>
    <row r="65" spans="1:15" x14ac:dyDescent="0.3">
      <c r="A65" s="55"/>
      <c r="B65"/>
      <c r="C65"/>
      <c r="D65"/>
      <c r="E65"/>
      <c r="F65"/>
      <c r="G65"/>
      <c r="H65"/>
      <c r="I65"/>
      <c r="J65"/>
      <c r="K65"/>
      <c r="L65"/>
      <c r="M65"/>
      <c r="N65"/>
      <c r="O65"/>
    </row>
    <row r="66" spans="1:15" x14ac:dyDescent="0.3">
      <c r="A66" s="55"/>
      <c r="B66"/>
      <c r="C66"/>
      <c r="D66"/>
      <c r="E66"/>
      <c r="F66"/>
      <c r="G66"/>
      <c r="H66"/>
      <c r="I66"/>
      <c r="J66"/>
      <c r="K66"/>
      <c r="L66"/>
      <c r="M66"/>
      <c r="N66"/>
      <c r="O66"/>
    </row>
    <row r="67" spans="1:15" x14ac:dyDescent="0.3">
      <c r="A67" s="55"/>
      <c r="B67"/>
      <c r="C67"/>
      <c r="D67"/>
      <c r="E67"/>
      <c r="F67"/>
      <c r="G67"/>
      <c r="H67"/>
      <c r="I67"/>
      <c r="J67"/>
      <c r="K67"/>
      <c r="L67"/>
      <c r="M67"/>
      <c r="N67"/>
      <c r="O67"/>
    </row>
    <row r="68" spans="1:15" x14ac:dyDescent="0.3">
      <c r="A68" s="55"/>
      <c r="B68"/>
      <c r="C68"/>
      <c r="D68"/>
      <c r="E68"/>
      <c r="F68"/>
      <c r="G68"/>
      <c r="H68"/>
      <c r="I68"/>
      <c r="J68"/>
      <c r="K68"/>
      <c r="L68"/>
      <c r="M68"/>
      <c r="N68"/>
      <c r="O68"/>
    </row>
    <row r="69" spans="1:15" x14ac:dyDescent="0.3">
      <c r="A69" s="55"/>
      <c r="B69"/>
      <c r="C69"/>
      <c r="D69"/>
      <c r="E69"/>
      <c r="F69"/>
      <c r="G69"/>
      <c r="H69"/>
      <c r="I69"/>
      <c r="J69"/>
      <c r="K69"/>
      <c r="L69"/>
      <c r="M69"/>
      <c r="N69"/>
      <c r="O69"/>
    </row>
    <row r="70" spans="1:15" x14ac:dyDescent="0.3">
      <c r="A70" s="55"/>
      <c r="B70"/>
      <c r="C70"/>
      <c r="D70"/>
      <c r="E70"/>
      <c r="F70"/>
      <c r="G70"/>
      <c r="H70"/>
      <c r="I70"/>
      <c r="J70"/>
      <c r="K70"/>
      <c r="L70"/>
      <c r="M70"/>
      <c r="N70"/>
      <c r="O70"/>
    </row>
    <row r="71" spans="1:15" x14ac:dyDescent="0.3">
      <c r="A71" s="55"/>
      <c r="B71"/>
      <c r="C71"/>
      <c r="D71"/>
      <c r="E71"/>
      <c r="F71"/>
      <c r="G71"/>
      <c r="H71"/>
      <c r="I71"/>
      <c r="J71"/>
      <c r="K71"/>
      <c r="L71"/>
      <c r="M71"/>
      <c r="N71"/>
      <c r="O71"/>
    </row>
    <row r="72" spans="1:15" x14ac:dyDescent="0.3">
      <c r="A72" s="55"/>
      <c r="B72"/>
      <c r="C72"/>
      <c r="D72"/>
      <c r="E72"/>
      <c r="F72"/>
      <c r="G72"/>
      <c r="H72"/>
      <c r="I72"/>
      <c r="J72"/>
      <c r="K72"/>
      <c r="L72"/>
      <c r="M72"/>
      <c r="N72"/>
      <c r="O72"/>
    </row>
    <row r="73" spans="1:15" x14ac:dyDescent="0.3">
      <c r="A73" s="55"/>
      <c r="B73"/>
      <c r="C73"/>
      <c r="D73"/>
      <c r="E73"/>
      <c r="F73"/>
      <c r="G73"/>
      <c r="H73"/>
      <c r="I73"/>
      <c r="J73"/>
      <c r="K73"/>
      <c r="L73"/>
      <c r="M73"/>
      <c r="N73"/>
      <c r="O73"/>
    </row>
    <row r="74" spans="1:15" x14ac:dyDescent="0.3">
      <c r="A74" s="55"/>
      <c r="B74"/>
      <c r="C74"/>
      <c r="D74"/>
      <c r="E74"/>
      <c r="F74"/>
      <c r="G74"/>
      <c r="H74"/>
      <c r="I74"/>
      <c r="J74"/>
      <c r="K74"/>
      <c r="L74"/>
      <c r="M74"/>
      <c r="N74"/>
      <c r="O74"/>
    </row>
    <row r="75" spans="1:15" x14ac:dyDescent="0.3">
      <c r="A75" s="55"/>
      <c r="B75"/>
      <c r="C75"/>
      <c r="D75"/>
      <c r="E75"/>
      <c r="F75"/>
      <c r="G75"/>
      <c r="H75"/>
      <c r="I75"/>
      <c r="J75"/>
      <c r="K75"/>
      <c r="L75"/>
      <c r="M75"/>
      <c r="N75"/>
      <c r="O75"/>
    </row>
    <row r="76" spans="1:15" x14ac:dyDescent="0.3">
      <c r="A76" s="55"/>
      <c r="B76"/>
      <c r="C76"/>
      <c r="D76"/>
      <c r="E76"/>
      <c r="F76"/>
      <c r="G76"/>
      <c r="H76"/>
      <c r="I76"/>
      <c r="J76"/>
      <c r="K76"/>
      <c r="L76"/>
      <c r="M76"/>
      <c r="N76"/>
      <c r="O76"/>
    </row>
    <row r="77" spans="1:15" x14ac:dyDescent="0.3">
      <c r="A77" s="55"/>
      <c r="B77"/>
      <c r="C77"/>
      <c r="D77"/>
      <c r="E77"/>
      <c r="F77"/>
      <c r="G77"/>
      <c r="H77"/>
      <c r="I77"/>
      <c r="J77"/>
      <c r="K77"/>
      <c r="L77"/>
      <c r="M77"/>
      <c r="N77"/>
      <c r="O77"/>
    </row>
    <row r="78" spans="1:15" x14ac:dyDescent="0.3">
      <c r="A78" s="55"/>
      <c r="B78"/>
      <c r="C78"/>
      <c r="D78"/>
      <c r="E78"/>
      <c r="F78"/>
      <c r="G78"/>
      <c r="H78"/>
      <c r="I78"/>
      <c r="J78"/>
      <c r="K78"/>
      <c r="L78"/>
      <c r="M78"/>
      <c r="N78"/>
      <c r="O78"/>
    </row>
    <row r="79" spans="1:15" x14ac:dyDescent="0.3">
      <c r="A79" s="55"/>
      <c r="B79"/>
      <c r="C79"/>
      <c r="D79"/>
      <c r="E79"/>
      <c r="F79"/>
      <c r="G79"/>
      <c r="H79"/>
      <c r="I79"/>
      <c r="J79"/>
      <c r="K79"/>
      <c r="L79"/>
      <c r="M79"/>
      <c r="N79"/>
      <c r="O79"/>
    </row>
    <row r="80" spans="1:15" x14ac:dyDescent="0.3">
      <c r="A80" s="55"/>
      <c r="B80"/>
      <c r="C80"/>
      <c r="D80"/>
      <c r="E80"/>
      <c r="F80"/>
      <c r="G80"/>
      <c r="H80"/>
      <c r="I80"/>
      <c r="J80"/>
      <c r="K80"/>
      <c r="L80"/>
      <c r="M80"/>
      <c r="N80"/>
      <c r="O80"/>
    </row>
    <row r="81" spans="1:15" x14ac:dyDescent="0.3">
      <c r="A81" s="55"/>
      <c r="B81"/>
      <c r="C81"/>
      <c r="D81"/>
      <c r="E81"/>
      <c r="F81"/>
      <c r="G81"/>
      <c r="H81"/>
      <c r="I81"/>
      <c r="J81"/>
      <c r="K81"/>
      <c r="L81"/>
      <c r="M81"/>
      <c r="N81"/>
      <c r="O81"/>
    </row>
    <row r="82" spans="1:15" x14ac:dyDescent="0.3">
      <c r="A82" s="55"/>
      <c r="B82"/>
      <c r="C82"/>
      <c r="D82"/>
      <c r="E82"/>
      <c r="F82"/>
      <c r="G82"/>
      <c r="H82"/>
      <c r="I82"/>
      <c r="J82"/>
      <c r="K82"/>
      <c r="L82"/>
      <c r="M82"/>
      <c r="N82"/>
      <c r="O82"/>
    </row>
    <row r="83" spans="1:15" x14ac:dyDescent="0.3">
      <c r="A83" s="55"/>
      <c r="B83"/>
      <c r="C83"/>
      <c r="D83"/>
      <c r="E83"/>
      <c r="F83"/>
      <c r="G83"/>
      <c r="H83"/>
      <c r="I83"/>
      <c r="J83"/>
      <c r="K83"/>
      <c r="L83"/>
      <c r="M83"/>
      <c r="N83"/>
      <c r="O83"/>
    </row>
    <row r="84" spans="1:15" x14ac:dyDescent="0.3">
      <c r="A84" s="55"/>
      <c r="B84"/>
      <c r="C84"/>
      <c r="D84"/>
      <c r="E84"/>
      <c r="F84"/>
      <c r="G84"/>
      <c r="H84"/>
      <c r="I84"/>
      <c r="J84"/>
      <c r="K84"/>
      <c r="L84"/>
      <c r="M84"/>
      <c r="N84"/>
      <c r="O84"/>
    </row>
    <row r="85" spans="1:15" x14ac:dyDescent="0.3">
      <c r="A85" s="55"/>
      <c r="B85"/>
      <c r="C85"/>
      <c r="D85"/>
      <c r="E85"/>
      <c r="F85"/>
      <c r="G85"/>
      <c r="H85"/>
      <c r="I85"/>
      <c r="J85"/>
      <c r="K85"/>
      <c r="L85"/>
      <c r="M85"/>
      <c r="N85"/>
      <c r="O85"/>
    </row>
    <row r="86" spans="1:15" x14ac:dyDescent="0.3">
      <c r="A86" s="55"/>
      <c r="B86"/>
      <c r="C86"/>
      <c r="D86"/>
      <c r="E86"/>
      <c r="F86"/>
      <c r="G86"/>
      <c r="H86"/>
      <c r="I86"/>
      <c r="J86"/>
      <c r="K86"/>
      <c r="L86"/>
      <c r="M86"/>
      <c r="N86"/>
      <c r="O86"/>
    </row>
    <row r="87" spans="1:15" x14ac:dyDescent="0.3">
      <c r="A87" s="55"/>
      <c r="B87"/>
      <c r="C87"/>
      <c r="D87"/>
      <c r="E87"/>
      <c r="F87"/>
      <c r="G87"/>
      <c r="H87"/>
      <c r="I87"/>
      <c r="J87"/>
      <c r="K87"/>
      <c r="L87"/>
      <c r="M87"/>
      <c r="N87"/>
      <c r="O87"/>
    </row>
    <row r="88" spans="1:15" x14ac:dyDescent="0.3">
      <c r="A88" s="55"/>
      <c r="B88"/>
      <c r="C88"/>
      <c r="D88"/>
      <c r="E88"/>
      <c r="F88"/>
      <c r="G88"/>
      <c r="H88"/>
      <c r="I88"/>
      <c r="J88"/>
      <c r="K88"/>
      <c r="L88"/>
      <c r="M88"/>
      <c r="N88"/>
      <c r="O88"/>
    </row>
    <row r="89" spans="1:15" x14ac:dyDescent="0.3">
      <c r="A89" s="55"/>
      <c r="B89"/>
      <c r="C89"/>
      <c r="D89"/>
      <c r="E89"/>
      <c r="F89"/>
      <c r="G89"/>
      <c r="H89"/>
      <c r="I89"/>
      <c r="J89"/>
      <c r="K89"/>
      <c r="L89"/>
      <c r="M89"/>
      <c r="N89"/>
      <c r="O89"/>
    </row>
    <row r="90" spans="1:15" x14ac:dyDescent="0.3">
      <c r="A90" s="55"/>
      <c r="B90"/>
      <c r="C90"/>
      <c r="D90"/>
      <c r="E90"/>
      <c r="F90"/>
      <c r="G90"/>
      <c r="H90"/>
      <c r="I90"/>
      <c r="J90"/>
      <c r="K90"/>
      <c r="L90"/>
      <c r="M90"/>
      <c r="N90"/>
      <c r="O90"/>
    </row>
    <row r="91" spans="1:15" x14ac:dyDescent="0.3">
      <c r="A91" s="55"/>
      <c r="B91"/>
      <c r="C91"/>
      <c r="D91"/>
      <c r="E91"/>
      <c r="F91"/>
      <c r="G91"/>
      <c r="H91"/>
      <c r="I91"/>
      <c r="J91"/>
      <c r="K91"/>
      <c r="L91"/>
      <c r="M91"/>
      <c r="N91"/>
      <c r="O91"/>
    </row>
    <row r="92" spans="1:15" x14ac:dyDescent="0.3">
      <c r="A92" s="55"/>
      <c r="B92"/>
      <c r="C92"/>
      <c r="D92"/>
      <c r="E92"/>
      <c r="F92"/>
      <c r="G92"/>
      <c r="H92"/>
      <c r="I92"/>
      <c r="J92"/>
      <c r="K92"/>
      <c r="L92"/>
      <c r="M92"/>
      <c r="N92"/>
      <c r="O92"/>
    </row>
    <row r="93" spans="1:15" x14ac:dyDescent="0.3">
      <c r="A93" s="55"/>
      <c r="B93"/>
      <c r="C93"/>
      <c r="D93"/>
      <c r="E93"/>
      <c r="F93"/>
      <c r="G93"/>
      <c r="H93"/>
      <c r="I93"/>
      <c r="J93"/>
      <c r="K93"/>
      <c r="L93"/>
      <c r="M93"/>
      <c r="N93"/>
      <c r="O93"/>
    </row>
    <row r="94" spans="1:15" x14ac:dyDescent="0.3">
      <c r="A94" s="55"/>
      <c r="B94"/>
      <c r="C94"/>
      <c r="D94"/>
      <c r="E94"/>
      <c r="F94"/>
      <c r="G94"/>
      <c r="H94"/>
      <c r="I94"/>
      <c r="J94"/>
      <c r="K94"/>
      <c r="L94"/>
      <c r="M94"/>
      <c r="N94"/>
      <c r="O94"/>
    </row>
    <row r="95" spans="1:15" x14ac:dyDescent="0.3">
      <c r="A95" s="55"/>
      <c r="B95"/>
      <c r="C95"/>
      <c r="D95"/>
      <c r="E95"/>
      <c r="F95"/>
      <c r="G95"/>
      <c r="H95"/>
      <c r="I95"/>
      <c r="J95"/>
      <c r="K95"/>
      <c r="L95"/>
      <c r="M95"/>
      <c r="N95"/>
      <c r="O95"/>
    </row>
    <row r="96" spans="1:15" x14ac:dyDescent="0.3">
      <c r="A96" s="55"/>
      <c r="B96"/>
      <c r="C96"/>
      <c r="D96"/>
      <c r="E96"/>
      <c r="F96"/>
      <c r="G96"/>
      <c r="H96"/>
      <c r="I96"/>
      <c r="J96"/>
      <c r="K96"/>
      <c r="L96"/>
      <c r="M96"/>
      <c r="N96"/>
      <c r="O96"/>
    </row>
    <row r="97" spans="1:15" x14ac:dyDescent="0.3">
      <c r="A97" s="55"/>
      <c r="B97"/>
      <c r="C97"/>
      <c r="D97"/>
      <c r="E97"/>
      <c r="F97"/>
      <c r="G97"/>
      <c r="H97"/>
      <c r="I97"/>
      <c r="J97"/>
      <c r="K97"/>
      <c r="L97"/>
      <c r="M97"/>
      <c r="N97"/>
      <c r="O97"/>
    </row>
    <row r="98" spans="1:15" x14ac:dyDescent="0.3">
      <c r="A98" s="55"/>
      <c r="B98"/>
      <c r="C98"/>
      <c r="D98"/>
      <c r="E98"/>
      <c r="F98"/>
      <c r="G98"/>
      <c r="H98"/>
      <c r="I98"/>
      <c r="J98"/>
      <c r="K98"/>
      <c r="L98"/>
      <c r="M98"/>
      <c r="N98"/>
      <c r="O98"/>
    </row>
    <row r="99" spans="1:15" x14ac:dyDescent="0.3">
      <c r="A99" s="55"/>
      <c r="B99"/>
      <c r="C99"/>
      <c r="D99"/>
      <c r="E99"/>
      <c r="F99"/>
      <c r="G99"/>
      <c r="H99"/>
      <c r="I99"/>
      <c r="J99"/>
      <c r="K99"/>
      <c r="L99"/>
      <c r="M99"/>
      <c r="N99"/>
      <c r="O99"/>
    </row>
    <row r="100" spans="1:15" x14ac:dyDescent="0.3">
      <c r="A100" s="55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</row>
    <row r="101" spans="1:15" x14ac:dyDescent="0.3">
      <c r="A101" s="55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</row>
    <row r="102" spans="1:15" x14ac:dyDescent="0.3">
      <c r="A102" s="55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</row>
    <row r="103" spans="1:15" x14ac:dyDescent="0.3">
      <c r="A103" s="55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</row>
    <row r="104" spans="1:15" x14ac:dyDescent="0.3">
      <c r="A104" s="55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</row>
    <row r="105" spans="1:15" x14ac:dyDescent="0.3">
      <c r="A105" s="5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</row>
    <row r="106" spans="1:15" x14ac:dyDescent="0.3">
      <c r="A106" s="55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</row>
    <row r="107" spans="1:15" x14ac:dyDescent="0.3">
      <c r="A107" s="55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</row>
    <row r="108" spans="1:15" x14ac:dyDescent="0.3">
      <c r="A108" s="55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</row>
    <row r="109" spans="1:15" x14ac:dyDescent="0.3">
      <c r="A109" s="55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</row>
    <row r="110" spans="1:15" x14ac:dyDescent="0.3">
      <c r="A110" s="55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</row>
    <row r="111" spans="1:15" x14ac:dyDescent="0.3">
      <c r="A111" s="55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</row>
    <row r="112" spans="1:15" x14ac:dyDescent="0.3">
      <c r="A112" s="55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</row>
    <row r="113" spans="1:15" x14ac:dyDescent="0.3">
      <c r="A113" s="55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</row>
    <row r="114" spans="1:15" x14ac:dyDescent="0.3">
      <c r="A114" s="55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</row>
    <row r="115" spans="1:15" x14ac:dyDescent="0.3">
      <c r="A115" s="5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</row>
    <row r="116" spans="1:15" x14ac:dyDescent="0.3">
      <c r="A116" s="55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</row>
    <row r="117" spans="1:15" x14ac:dyDescent="0.3">
      <c r="A117" s="55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</row>
    <row r="118" spans="1:15" x14ac:dyDescent="0.3">
      <c r="A118" s="55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</row>
    <row r="119" spans="1:15" x14ac:dyDescent="0.3">
      <c r="A119" s="55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</row>
    <row r="120" spans="1:15" x14ac:dyDescent="0.3">
      <c r="A120" s="55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</row>
    <row r="121" spans="1:15" x14ac:dyDescent="0.3">
      <c r="A121" s="55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</row>
    <row r="122" spans="1:15" x14ac:dyDescent="0.3">
      <c r="A122" s="55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</row>
    <row r="123" spans="1:15" x14ac:dyDescent="0.3">
      <c r="A123" s="55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</row>
    <row r="124" spans="1:15" x14ac:dyDescent="0.3">
      <c r="A124" s="55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</row>
    <row r="125" spans="1:15" x14ac:dyDescent="0.3">
      <c r="A125" s="5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</row>
    <row r="126" spans="1:15" x14ac:dyDescent="0.3">
      <c r="A126" s="55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</row>
    <row r="127" spans="1:15" x14ac:dyDescent="0.3">
      <c r="A127" s="55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</row>
    <row r="128" spans="1:15" x14ac:dyDescent="0.3">
      <c r="A128" s="55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</row>
    <row r="129" spans="1:15" x14ac:dyDescent="0.3">
      <c r="A129" s="55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</row>
    <row r="130" spans="1:15" x14ac:dyDescent="0.3">
      <c r="A130" s="55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</row>
    <row r="131" spans="1:15" x14ac:dyDescent="0.3">
      <c r="A131" s="55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</row>
    <row r="132" spans="1:15" x14ac:dyDescent="0.3">
      <c r="A132" s="55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</row>
    <row r="133" spans="1:15" x14ac:dyDescent="0.3">
      <c r="A133" s="55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</row>
    <row r="134" spans="1:15" x14ac:dyDescent="0.3">
      <c r="A134" s="55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</row>
    <row r="135" spans="1:15" x14ac:dyDescent="0.3">
      <c r="A135" s="5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</row>
    <row r="136" spans="1:15" x14ac:dyDescent="0.3">
      <c r="A136" s="55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</row>
    <row r="137" spans="1:15" x14ac:dyDescent="0.3">
      <c r="A137" s="55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</row>
    <row r="138" spans="1:15" x14ac:dyDescent="0.3">
      <c r="A138" s="55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</row>
    <row r="139" spans="1:15" x14ac:dyDescent="0.3">
      <c r="A139" s="55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</row>
    <row r="140" spans="1:15" x14ac:dyDescent="0.3">
      <c r="A140" s="55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</row>
    <row r="141" spans="1:15" x14ac:dyDescent="0.3">
      <c r="A141" s="55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</row>
    <row r="142" spans="1:15" x14ac:dyDescent="0.3">
      <c r="A142" s="55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</row>
    <row r="143" spans="1:15" x14ac:dyDescent="0.3">
      <c r="A143" s="55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</row>
    <row r="144" spans="1:15" x14ac:dyDescent="0.3">
      <c r="A144" s="55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</row>
    <row r="145" spans="1:15" x14ac:dyDescent="0.3">
      <c r="A145" s="5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</row>
    <row r="146" spans="1:15" x14ac:dyDescent="0.3">
      <c r="A146" s="55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</row>
    <row r="147" spans="1:15" x14ac:dyDescent="0.3">
      <c r="A147" s="55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</row>
    <row r="148" spans="1:15" x14ac:dyDescent="0.3">
      <c r="A148" s="55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</row>
    <row r="149" spans="1:15" x14ac:dyDescent="0.3">
      <c r="A149" s="55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</row>
    <row r="150" spans="1:15" x14ac:dyDescent="0.3">
      <c r="A150" s="55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</row>
    <row r="151" spans="1:15" x14ac:dyDescent="0.3">
      <c r="A151" s="55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</row>
    <row r="152" spans="1:15" x14ac:dyDescent="0.3">
      <c r="A152" s="55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</row>
    <row r="153" spans="1:15" x14ac:dyDescent="0.3">
      <c r="A153" s="55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</row>
    <row r="154" spans="1:15" x14ac:dyDescent="0.3">
      <c r="A154" s="55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</row>
    <row r="155" spans="1:15" x14ac:dyDescent="0.3">
      <c r="A155" s="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</row>
    <row r="156" spans="1:15" x14ac:dyDescent="0.3">
      <c r="A156" s="55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</row>
    <row r="157" spans="1:15" x14ac:dyDescent="0.3">
      <c r="A157" s="55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</row>
    <row r="158" spans="1:15" x14ac:dyDescent="0.3">
      <c r="A158" s="55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</row>
    <row r="159" spans="1:15" x14ac:dyDescent="0.3">
      <c r="A159" s="55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</row>
    <row r="160" spans="1:15" x14ac:dyDescent="0.3">
      <c r="A160" s="55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</row>
    <row r="161" spans="1:15" x14ac:dyDescent="0.3">
      <c r="A161" s="55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</row>
    <row r="162" spans="1:15" x14ac:dyDescent="0.3">
      <c r="A162" s="55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</row>
    <row r="163" spans="1:15" x14ac:dyDescent="0.3">
      <c r="A163" s="55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</row>
    <row r="164" spans="1:15" x14ac:dyDescent="0.3">
      <c r="A164" s="55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</row>
    <row r="165" spans="1:15" x14ac:dyDescent="0.3">
      <c r="A165" s="5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</row>
    <row r="166" spans="1:15" x14ac:dyDescent="0.3">
      <c r="A166" s="55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</row>
    <row r="167" spans="1:15" x14ac:dyDescent="0.3">
      <c r="A167" s="55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</row>
    <row r="168" spans="1:15" x14ac:dyDescent="0.3">
      <c r="A168" s="55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</row>
    <row r="169" spans="1:15" x14ac:dyDescent="0.3">
      <c r="A169" s="55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</row>
    <row r="170" spans="1:15" x14ac:dyDescent="0.3">
      <c r="A170" s="55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</row>
    <row r="171" spans="1:15" x14ac:dyDescent="0.3">
      <c r="A171" s="55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</row>
    <row r="172" spans="1:15" x14ac:dyDescent="0.3">
      <c r="A172" s="55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</row>
    <row r="173" spans="1:15" x14ac:dyDescent="0.3">
      <c r="A173" s="55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</row>
    <row r="174" spans="1:15" x14ac:dyDescent="0.3">
      <c r="A174" s="55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</row>
    <row r="175" spans="1:15" x14ac:dyDescent="0.3">
      <c r="A175" s="5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</row>
    <row r="176" spans="1:15" x14ac:dyDescent="0.3">
      <c r="A176" s="55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</row>
    <row r="177" spans="1:15" x14ac:dyDescent="0.3">
      <c r="A177" s="55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</row>
    <row r="178" spans="1:15" x14ac:dyDescent="0.3">
      <c r="A178" s="55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</row>
    <row r="179" spans="1:15" x14ac:dyDescent="0.3">
      <c r="A179" s="55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</row>
    <row r="180" spans="1:15" x14ac:dyDescent="0.3">
      <c r="A180" s="55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</row>
    <row r="181" spans="1:15" x14ac:dyDescent="0.3">
      <c r="A181" s="55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</row>
    <row r="182" spans="1:15" x14ac:dyDescent="0.3">
      <c r="A182" s="55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</row>
    <row r="183" spans="1:15" x14ac:dyDescent="0.3">
      <c r="A183" s="55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</row>
    <row r="184" spans="1:15" x14ac:dyDescent="0.3">
      <c r="A184" s="55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</row>
    <row r="185" spans="1:15" x14ac:dyDescent="0.3">
      <c r="A185" s="5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</row>
    <row r="186" spans="1:15" x14ac:dyDescent="0.3">
      <c r="A186" s="55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</row>
    <row r="187" spans="1:15" x14ac:dyDescent="0.3">
      <c r="A187" s="55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</row>
    <row r="188" spans="1:15" x14ac:dyDescent="0.3">
      <c r="A188" s="55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</row>
    <row r="189" spans="1:15" x14ac:dyDescent="0.3">
      <c r="A189" s="55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</row>
    <row r="190" spans="1:15" x14ac:dyDescent="0.3">
      <c r="A190" s="55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</row>
    <row r="191" spans="1:15" x14ac:dyDescent="0.3">
      <c r="A191" s="55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</row>
    <row r="192" spans="1:15" x14ac:dyDescent="0.3">
      <c r="A192" s="55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</row>
    <row r="193" spans="1:15" x14ac:dyDescent="0.3">
      <c r="A193" s="55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</row>
    <row r="194" spans="1:15" x14ac:dyDescent="0.3">
      <c r="A194" s="55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</row>
    <row r="195" spans="1:15" x14ac:dyDescent="0.3">
      <c r="A195" s="5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</row>
    <row r="196" spans="1:15" x14ac:dyDescent="0.3">
      <c r="A196" s="55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</row>
    <row r="197" spans="1:15" x14ac:dyDescent="0.3">
      <c r="A197" s="55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</row>
    <row r="198" spans="1:15" x14ac:dyDescent="0.3">
      <c r="A198" s="55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</row>
    <row r="199" spans="1:15" x14ac:dyDescent="0.3">
      <c r="A199" s="55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</row>
    <row r="200" spans="1:15" x14ac:dyDescent="0.3">
      <c r="A200" s="55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</row>
    <row r="201" spans="1:15" x14ac:dyDescent="0.3">
      <c r="A201" s="55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</row>
    <row r="202" spans="1:15" x14ac:dyDescent="0.3">
      <c r="A202" s="55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</row>
    <row r="203" spans="1:15" x14ac:dyDescent="0.3">
      <c r="A203" s="55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</row>
    <row r="204" spans="1:15" x14ac:dyDescent="0.3">
      <c r="A204" s="55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</row>
    <row r="205" spans="1:15" x14ac:dyDescent="0.3">
      <c r="A205" s="5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</row>
    <row r="206" spans="1:15" x14ac:dyDescent="0.3">
      <c r="A206" s="55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</row>
    <row r="207" spans="1:15" x14ac:dyDescent="0.3">
      <c r="A207" s="55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</row>
    <row r="208" spans="1:15" x14ac:dyDescent="0.3">
      <c r="A208" s="55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</row>
    <row r="209" spans="1:15" x14ac:dyDescent="0.3">
      <c r="A209" s="55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</row>
    <row r="210" spans="1:15" x14ac:dyDescent="0.3">
      <c r="A210" s="55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</row>
    <row r="211" spans="1:15" x14ac:dyDescent="0.3">
      <c r="A211" s="55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</row>
    <row r="212" spans="1:15" x14ac:dyDescent="0.3">
      <c r="A212" s="55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</row>
    <row r="213" spans="1:15" x14ac:dyDescent="0.3">
      <c r="A213" s="55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</row>
    <row r="214" spans="1:15" x14ac:dyDescent="0.3">
      <c r="A214" s="55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</row>
    <row r="215" spans="1:15" x14ac:dyDescent="0.3">
      <c r="A215" s="5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</row>
    <row r="216" spans="1:15" x14ac:dyDescent="0.3">
      <c r="A216" s="55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</row>
    <row r="217" spans="1:15" x14ac:dyDescent="0.3">
      <c r="A217" s="55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</row>
    <row r="218" spans="1:15" x14ac:dyDescent="0.3">
      <c r="A218" s="55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</row>
    <row r="219" spans="1:15" x14ac:dyDescent="0.3">
      <c r="A219" s="55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</row>
    <row r="220" spans="1:15" x14ac:dyDescent="0.3">
      <c r="A220" s="55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</row>
    <row r="221" spans="1:15" x14ac:dyDescent="0.3">
      <c r="A221" s="55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</row>
    <row r="222" spans="1:15" x14ac:dyDescent="0.3">
      <c r="A222" s="55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</row>
    <row r="223" spans="1:15" x14ac:dyDescent="0.3">
      <c r="A223" s="55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</row>
    <row r="224" spans="1:15" x14ac:dyDescent="0.3">
      <c r="A224" s="55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</row>
    <row r="225" spans="1:15" x14ac:dyDescent="0.3">
      <c r="A225" s="5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</row>
    <row r="226" spans="1:15" x14ac:dyDescent="0.3">
      <c r="A226" s="55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</row>
    <row r="227" spans="1:15" x14ac:dyDescent="0.3">
      <c r="A227" s="55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</row>
    <row r="228" spans="1:15" x14ac:dyDescent="0.3">
      <c r="A228" s="55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</row>
    <row r="229" spans="1:15" x14ac:dyDescent="0.3">
      <c r="A229" s="55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</row>
    <row r="230" spans="1:15" x14ac:dyDescent="0.3">
      <c r="A230" s="55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</row>
    <row r="231" spans="1:15" x14ac:dyDescent="0.3">
      <c r="A231" s="55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</row>
    <row r="232" spans="1:15" x14ac:dyDescent="0.3">
      <c r="A232" s="55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</row>
    <row r="233" spans="1:15" x14ac:dyDescent="0.3">
      <c r="A233" s="55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</row>
    <row r="234" spans="1:15" x14ac:dyDescent="0.3">
      <c r="A234" s="55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</row>
    <row r="235" spans="1:15" x14ac:dyDescent="0.3">
      <c r="A235" s="5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</row>
    <row r="236" spans="1:15" x14ac:dyDescent="0.3">
      <c r="A236" s="55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</row>
    <row r="237" spans="1:15" x14ac:dyDescent="0.3">
      <c r="A237" s="55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</row>
    <row r="238" spans="1:15" x14ac:dyDescent="0.3">
      <c r="A238" s="55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</row>
    <row r="239" spans="1:15" x14ac:dyDescent="0.3">
      <c r="A239" s="55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</row>
    <row r="240" spans="1:15" x14ac:dyDescent="0.3">
      <c r="A240" s="55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</row>
    <row r="241" spans="1:15" x14ac:dyDescent="0.3">
      <c r="A241" s="55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</row>
    <row r="242" spans="1:15" x14ac:dyDescent="0.3">
      <c r="A242" s="55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</row>
    <row r="243" spans="1:15" x14ac:dyDescent="0.3">
      <c r="A243" s="55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</row>
    <row r="244" spans="1:15" x14ac:dyDescent="0.3">
      <c r="A244" s="55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</row>
    <row r="245" spans="1:15" x14ac:dyDescent="0.3">
      <c r="A245" s="5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</row>
    <row r="246" spans="1:15" x14ac:dyDescent="0.3">
      <c r="A246" s="55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</row>
    <row r="247" spans="1:15" x14ac:dyDescent="0.3">
      <c r="A247" s="55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</row>
    <row r="248" spans="1:15" x14ac:dyDescent="0.3">
      <c r="A248" s="55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</row>
    <row r="249" spans="1:15" x14ac:dyDescent="0.3">
      <c r="A249" s="55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</row>
    <row r="250" spans="1:15" x14ac:dyDescent="0.3">
      <c r="A250" s="55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</row>
    <row r="251" spans="1:15" x14ac:dyDescent="0.3">
      <c r="A251" s="55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</row>
    <row r="252" spans="1:15" x14ac:dyDescent="0.3">
      <c r="A252" s="55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</row>
    <row r="253" spans="1:15" x14ac:dyDescent="0.3">
      <c r="A253" s="55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</row>
    <row r="254" spans="1:15" x14ac:dyDescent="0.3">
      <c r="A254" s="55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</row>
    <row r="255" spans="1:15" x14ac:dyDescent="0.3">
      <c r="A255" s="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</row>
    <row r="256" spans="1:15" x14ac:dyDescent="0.3">
      <c r="A256" s="55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</row>
    <row r="257" spans="1:15" x14ac:dyDescent="0.3">
      <c r="A257" s="55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</row>
    <row r="258" spans="1:15" x14ac:dyDescent="0.3">
      <c r="A258" s="55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</row>
    <row r="259" spans="1:15" x14ac:dyDescent="0.3">
      <c r="A259" s="55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</row>
    <row r="260" spans="1:15" x14ac:dyDescent="0.3">
      <c r="A260" s="55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</row>
    <row r="261" spans="1:15" x14ac:dyDescent="0.3">
      <c r="A261" s="55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</row>
    <row r="262" spans="1:15" x14ac:dyDescent="0.3">
      <c r="A262" s="55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</row>
    <row r="263" spans="1:15" x14ac:dyDescent="0.3">
      <c r="A263" s="55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</row>
    <row r="264" spans="1:15" x14ac:dyDescent="0.3">
      <c r="A264" s="55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</row>
    <row r="265" spans="1:15" x14ac:dyDescent="0.3">
      <c r="A265" s="5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</row>
    <row r="266" spans="1:15" x14ac:dyDescent="0.3">
      <c r="A266" s="55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</row>
    <row r="267" spans="1:15" x14ac:dyDescent="0.3">
      <c r="A267" s="55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</row>
    <row r="268" spans="1:15" x14ac:dyDescent="0.3">
      <c r="A268" s="55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</row>
    <row r="269" spans="1:15" x14ac:dyDescent="0.3">
      <c r="A269" s="55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</row>
    <row r="270" spans="1:15" x14ac:dyDescent="0.3">
      <c r="A270" s="55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</row>
    <row r="271" spans="1:15" x14ac:dyDescent="0.3">
      <c r="A271" s="55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</row>
    <row r="272" spans="1:15" x14ac:dyDescent="0.3">
      <c r="A272" s="55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</row>
    <row r="273" spans="1:15" x14ac:dyDescent="0.3">
      <c r="A273" s="55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</row>
    <row r="274" spans="1:15" x14ac:dyDescent="0.3">
      <c r="A274" s="55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</row>
    <row r="275" spans="1:15" x14ac:dyDescent="0.3">
      <c r="A275" s="5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</row>
    <row r="276" spans="1:15" x14ac:dyDescent="0.3">
      <c r="A276" s="55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</row>
    <row r="277" spans="1:15" x14ac:dyDescent="0.3">
      <c r="A277" s="55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</row>
    <row r="278" spans="1:15" x14ac:dyDescent="0.3">
      <c r="A278" s="55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</row>
    <row r="279" spans="1:15" x14ac:dyDescent="0.3">
      <c r="A279" s="55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</row>
    <row r="280" spans="1:15" x14ac:dyDescent="0.3">
      <c r="A280" s="55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</row>
    <row r="281" spans="1:15" x14ac:dyDescent="0.3">
      <c r="A281" s="55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</row>
    <row r="282" spans="1:15" x14ac:dyDescent="0.3">
      <c r="A282" s="55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</row>
    <row r="283" spans="1:15" x14ac:dyDescent="0.3">
      <c r="A283" s="55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</row>
    <row r="284" spans="1:15" x14ac:dyDescent="0.3">
      <c r="A284" s="55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</row>
    <row r="285" spans="1:15" x14ac:dyDescent="0.3">
      <c r="A285" s="5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</row>
    <row r="286" spans="1:15" x14ac:dyDescent="0.3">
      <c r="A286" s="55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</row>
    <row r="287" spans="1:15" x14ac:dyDescent="0.3">
      <c r="A287" s="55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</row>
    <row r="288" spans="1:15" x14ac:dyDescent="0.3">
      <c r="A288" s="55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</row>
    <row r="289" spans="1:15" x14ac:dyDescent="0.3">
      <c r="A289" s="55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</row>
    <row r="290" spans="1:15" x14ac:dyDescent="0.3">
      <c r="A290" s="55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</row>
    <row r="291" spans="1:15" x14ac:dyDescent="0.3">
      <c r="A291" s="55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</row>
    <row r="292" spans="1:15" x14ac:dyDescent="0.3">
      <c r="A292" s="55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</row>
    <row r="293" spans="1:15" x14ac:dyDescent="0.3">
      <c r="A293" s="55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</row>
    <row r="294" spans="1:15" x14ac:dyDescent="0.3">
      <c r="A294" s="55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</row>
    <row r="295" spans="1:15" x14ac:dyDescent="0.3">
      <c r="A295" s="5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</row>
    <row r="296" spans="1:15" x14ac:dyDescent="0.3">
      <c r="A296" s="55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</row>
    <row r="297" spans="1:15" x14ac:dyDescent="0.3">
      <c r="A297" s="55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</row>
    <row r="298" spans="1:15" x14ac:dyDescent="0.3">
      <c r="A298" s="55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</row>
    <row r="299" spans="1:15" x14ac:dyDescent="0.3">
      <c r="A299" s="55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</row>
    <row r="300" spans="1:15" x14ac:dyDescent="0.3">
      <c r="A300" s="55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</row>
    <row r="301" spans="1:15" x14ac:dyDescent="0.3">
      <c r="A301" s="55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</row>
    <row r="302" spans="1:15" x14ac:dyDescent="0.3">
      <c r="A302" s="55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</row>
    <row r="303" spans="1:15" x14ac:dyDescent="0.3">
      <c r="A303" s="55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</row>
    <row r="304" spans="1:15" x14ac:dyDescent="0.3">
      <c r="A304" s="55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</row>
    <row r="305" spans="1:15" x14ac:dyDescent="0.3">
      <c r="A305" s="5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</row>
    <row r="306" spans="1:15" x14ac:dyDescent="0.3">
      <c r="A306" s="55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</row>
    <row r="307" spans="1:15" x14ac:dyDescent="0.3">
      <c r="A307" s="55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</row>
    <row r="308" spans="1:15" x14ac:dyDescent="0.3">
      <c r="A308" s="55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</row>
    <row r="309" spans="1:15" x14ac:dyDescent="0.3">
      <c r="A309" s="55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</row>
    <row r="310" spans="1:15" x14ac:dyDescent="0.3">
      <c r="A310" s="55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</row>
    <row r="311" spans="1:15" x14ac:dyDescent="0.3">
      <c r="A311" s="55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</row>
    <row r="312" spans="1:15" x14ac:dyDescent="0.3">
      <c r="A312" s="55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</row>
    <row r="313" spans="1:15" x14ac:dyDescent="0.3">
      <c r="A313" s="55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</row>
    <row r="314" spans="1:15" x14ac:dyDescent="0.3">
      <c r="A314" s="55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</row>
    <row r="315" spans="1:15" x14ac:dyDescent="0.3">
      <c r="A315" s="5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</row>
    <row r="316" spans="1:15" x14ac:dyDescent="0.3">
      <c r="A316" s="55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</row>
    <row r="317" spans="1:15" x14ac:dyDescent="0.3">
      <c r="A317" s="55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</row>
    <row r="318" spans="1:15" x14ac:dyDescent="0.3">
      <c r="A318" s="55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</row>
    <row r="319" spans="1:15" x14ac:dyDescent="0.3">
      <c r="A319" s="55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</row>
    <row r="320" spans="1:15" x14ac:dyDescent="0.3">
      <c r="A320" s="55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</row>
    <row r="321" spans="1:15" x14ac:dyDescent="0.3">
      <c r="A321" s="55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</row>
    <row r="322" spans="1:15" x14ac:dyDescent="0.3">
      <c r="A322" s="55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</row>
    <row r="323" spans="1:15" x14ac:dyDescent="0.3">
      <c r="A323" s="55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</row>
    <row r="324" spans="1:15" x14ac:dyDescent="0.3">
      <c r="A324" s="55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</row>
    <row r="325" spans="1:15" x14ac:dyDescent="0.3">
      <c r="A325" s="5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</row>
    <row r="326" spans="1:15" x14ac:dyDescent="0.3">
      <c r="A326" s="55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</row>
    <row r="327" spans="1:15" x14ac:dyDescent="0.3">
      <c r="A327" s="55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</row>
    <row r="328" spans="1:15" x14ac:dyDescent="0.3">
      <c r="A328" s="55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</row>
    <row r="329" spans="1:15" x14ac:dyDescent="0.3">
      <c r="A329" s="55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</row>
    <row r="330" spans="1:15" x14ac:dyDescent="0.3">
      <c r="A330" s="55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</row>
    <row r="331" spans="1:15" x14ac:dyDescent="0.3">
      <c r="A331" s="55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</row>
    <row r="332" spans="1:15" x14ac:dyDescent="0.3">
      <c r="A332" s="55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</row>
    <row r="333" spans="1:15" x14ac:dyDescent="0.3">
      <c r="A333" s="55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</row>
    <row r="334" spans="1:15" x14ac:dyDescent="0.3">
      <c r="A334" s="55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</row>
    <row r="335" spans="1:15" x14ac:dyDescent="0.3">
      <c r="A335" s="5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</row>
    <row r="336" spans="1:15" x14ac:dyDescent="0.3">
      <c r="A336" s="55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</row>
    <row r="337" spans="1:15" x14ac:dyDescent="0.3">
      <c r="A337" s="55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</row>
    <row r="338" spans="1:15" x14ac:dyDescent="0.3">
      <c r="A338" s="55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</row>
    <row r="339" spans="1:15" x14ac:dyDescent="0.3">
      <c r="A339" s="55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</row>
    <row r="340" spans="1:15" x14ac:dyDescent="0.3">
      <c r="A340" s="55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</row>
    <row r="341" spans="1:15" x14ac:dyDescent="0.3">
      <c r="A341" s="55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</row>
    <row r="342" spans="1:15" x14ac:dyDescent="0.3">
      <c r="A342" s="55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</row>
    <row r="343" spans="1:15" x14ac:dyDescent="0.3">
      <c r="A343" s="55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</row>
    <row r="344" spans="1:15" x14ac:dyDescent="0.3">
      <c r="A344" s="55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</row>
    <row r="345" spans="1:15" x14ac:dyDescent="0.3">
      <c r="A345" s="5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</row>
    <row r="346" spans="1:15" x14ac:dyDescent="0.3">
      <c r="A346" s="55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</row>
    <row r="347" spans="1:15" x14ac:dyDescent="0.3">
      <c r="A347" s="55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</row>
    <row r="348" spans="1:15" x14ac:dyDescent="0.3">
      <c r="A348" s="55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</row>
    <row r="349" spans="1:15" x14ac:dyDescent="0.3">
      <c r="A349" s="55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</row>
    <row r="350" spans="1:15" x14ac:dyDescent="0.3">
      <c r="A350" s="55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</row>
    <row r="351" spans="1:15" x14ac:dyDescent="0.3">
      <c r="A351" s="55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</row>
    <row r="352" spans="1:15" x14ac:dyDescent="0.3">
      <c r="A352" s="55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</row>
    <row r="353" spans="1:15" x14ac:dyDescent="0.3">
      <c r="A353" s="55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</row>
    <row r="354" spans="1:15" x14ac:dyDescent="0.3">
      <c r="A354" s="55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</row>
    <row r="355" spans="1:15" x14ac:dyDescent="0.3">
      <c r="A355" s="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</row>
    <row r="356" spans="1:15" x14ac:dyDescent="0.3">
      <c r="A356" s="55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</row>
    <row r="357" spans="1:15" x14ac:dyDescent="0.3">
      <c r="A357" s="55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</row>
    <row r="358" spans="1:15" x14ac:dyDescent="0.3">
      <c r="A358" s="55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</row>
    <row r="359" spans="1:15" x14ac:dyDescent="0.3">
      <c r="A359" s="55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</row>
    <row r="360" spans="1:15" x14ac:dyDescent="0.3">
      <c r="A360" s="55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</row>
    <row r="361" spans="1:15" x14ac:dyDescent="0.3">
      <c r="A361" s="55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</row>
    <row r="362" spans="1:15" x14ac:dyDescent="0.3">
      <c r="A362" s="55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</row>
    <row r="363" spans="1:15" x14ac:dyDescent="0.3">
      <c r="A363" s="55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</row>
    <row r="364" spans="1:15" x14ac:dyDescent="0.3">
      <c r="A364" s="55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</row>
    <row r="365" spans="1:15" x14ac:dyDescent="0.3">
      <c r="A365" s="55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</row>
    <row r="366" spans="1:15" x14ac:dyDescent="0.3">
      <c r="A366" s="55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</row>
    <row r="367" spans="1:15" x14ac:dyDescent="0.3">
      <c r="A367" s="55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</row>
    <row r="368" spans="1:15" x14ac:dyDescent="0.3">
      <c r="A368" s="55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</row>
    <row r="369" spans="1:15" x14ac:dyDescent="0.3">
      <c r="A369" s="55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</row>
    <row r="370" spans="1:15" x14ac:dyDescent="0.3">
      <c r="A370" s="55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</row>
    <row r="371" spans="1:15" x14ac:dyDescent="0.3">
      <c r="A371" s="55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</row>
    <row r="372" spans="1:15" x14ac:dyDescent="0.3">
      <c r="A372" s="55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</row>
    <row r="373" spans="1:15" x14ac:dyDescent="0.3">
      <c r="A373" s="55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</row>
    <row r="374" spans="1:15" x14ac:dyDescent="0.3">
      <c r="A374" s="55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</row>
    <row r="375" spans="1:15" x14ac:dyDescent="0.3">
      <c r="A375" s="55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</row>
    <row r="376" spans="1:15" x14ac:dyDescent="0.3">
      <c r="A376" s="55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</row>
    <row r="377" spans="1:15" x14ac:dyDescent="0.3">
      <c r="A377" s="55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</row>
    <row r="378" spans="1:15" x14ac:dyDescent="0.3">
      <c r="A378" s="55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</row>
    <row r="379" spans="1:15" x14ac:dyDescent="0.3">
      <c r="A379" s="55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</row>
    <row r="380" spans="1:15" x14ac:dyDescent="0.3">
      <c r="A380" s="55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</row>
    <row r="381" spans="1:15" x14ac:dyDescent="0.3">
      <c r="A381" s="55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</row>
    <row r="382" spans="1:15" x14ac:dyDescent="0.3">
      <c r="A382" s="55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</row>
    <row r="383" spans="1:15" x14ac:dyDescent="0.3">
      <c r="A383" s="55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</row>
    <row r="384" spans="1:15" x14ac:dyDescent="0.3">
      <c r="A384" s="55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</row>
    <row r="385" spans="1:15" x14ac:dyDescent="0.3">
      <c r="A385" s="55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</row>
    <row r="386" spans="1:15" x14ac:dyDescent="0.3">
      <c r="A386" s="55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</row>
    <row r="387" spans="1:15" x14ac:dyDescent="0.3">
      <c r="A387" s="55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</row>
    <row r="388" spans="1:15" x14ac:dyDescent="0.3">
      <c r="A388" s="55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</row>
    <row r="389" spans="1:15" x14ac:dyDescent="0.3">
      <c r="A389" s="55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</row>
    <row r="390" spans="1:15" x14ac:dyDescent="0.3">
      <c r="A390" s="55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</row>
    <row r="391" spans="1:15" x14ac:dyDescent="0.3">
      <c r="A391" s="55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</row>
    <row r="392" spans="1:15" x14ac:dyDescent="0.3">
      <c r="A392" s="55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</row>
    <row r="393" spans="1:15" x14ac:dyDescent="0.3">
      <c r="A393" s="55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</row>
    <row r="394" spans="1:15" x14ac:dyDescent="0.3">
      <c r="A394" s="55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</row>
    <row r="395" spans="1:15" x14ac:dyDescent="0.3">
      <c r="A395" s="55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</row>
    <row r="396" spans="1:15" x14ac:dyDescent="0.3">
      <c r="A396" s="55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</row>
    <row r="397" spans="1:15" x14ac:dyDescent="0.3">
      <c r="A397" s="55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</row>
    <row r="398" spans="1:15" x14ac:dyDescent="0.3">
      <c r="A398" s="55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</row>
    <row r="399" spans="1:15" x14ac:dyDescent="0.3">
      <c r="A399" s="55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</row>
    <row r="400" spans="1:15" x14ac:dyDescent="0.3">
      <c r="A400" s="55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</row>
    <row r="401" spans="1:15" x14ac:dyDescent="0.3">
      <c r="A401" s="55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</row>
    <row r="402" spans="1:15" x14ac:dyDescent="0.3">
      <c r="A402" s="55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</row>
    <row r="403" spans="1:15" x14ac:dyDescent="0.3">
      <c r="A403" s="55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</row>
    <row r="404" spans="1:15" x14ac:dyDescent="0.3">
      <c r="A404" s="55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</row>
    <row r="405" spans="1:15" x14ac:dyDescent="0.3">
      <c r="A405" s="55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</row>
    <row r="406" spans="1:15" x14ac:dyDescent="0.3">
      <c r="A406" s="55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</row>
    <row r="407" spans="1:15" x14ac:dyDescent="0.3">
      <c r="A407" s="55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</row>
    <row r="408" spans="1:15" x14ac:dyDescent="0.3">
      <c r="A408" s="55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</row>
    <row r="409" spans="1:15" x14ac:dyDescent="0.3">
      <c r="A409" s="55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</row>
    <row r="410" spans="1:15" x14ac:dyDescent="0.3">
      <c r="A410" s="55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</row>
    <row r="411" spans="1:15" x14ac:dyDescent="0.3">
      <c r="A411" s="55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15" x14ac:dyDescent="0.3">
      <c r="A412" s="55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15" x14ac:dyDescent="0.3">
      <c r="A413" s="55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15" x14ac:dyDescent="0.3">
      <c r="A414" s="55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15" x14ac:dyDescent="0.3">
      <c r="A415" s="5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1:15" x14ac:dyDescent="0.3">
      <c r="A416" s="55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</row>
    <row r="417" spans="1:15" x14ac:dyDescent="0.3">
      <c r="A417" s="55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</row>
    <row r="418" spans="1:15" x14ac:dyDescent="0.3">
      <c r="A418" s="55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</row>
    <row r="419" spans="1:15" x14ac:dyDescent="0.3">
      <c r="A419" s="55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</row>
    <row r="420" spans="1:15" x14ac:dyDescent="0.3">
      <c r="A420" s="55"/>
      <c r="B420"/>
      <c r="C420"/>
      <c r="D420"/>
      <c r="E420"/>
      <c r="F420"/>
      <c r="G420"/>
      <c r="H420"/>
      <c r="I420"/>
      <c r="J420"/>
      <c r="K420"/>
      <c r="L420"/>
      <c r="M420"/>
      <c r="N420"/>
      <c r="O420"/>
    </row>
    <row r="421" spans="1:15" x14ac:dyDescent="0.3">
      <c r="A421" s="55"/>
      <c r="B421"/>
      <c r="C421"/>
      <c r="D421"/>
      <c r="E421"/>
      <c r="F421"/>
      <c r="G421"/>
      <c r="H421"/>
      <c r="I421"/>
      <c r="J421"/>
      <c r="K421"/>
      <c r="L421"/>
      <c r="M421"/>
      <c r="N421"/>
      <c r="O421"/>
    </row>
    <row r="422" spans="1:15" x14ac:dyDescent="0.3">
      <c r="A422" s="55"/>
      <c r="B422"/>
      <c r="C422"/>
      <c r="D422"/>
      <c r="E422"/>
      <c r="F422"/>
      <c r="G422"/>
      <c r="H422"/>
      <c r="I422"/>
      <c r="J422"/>
      <c r="K422"/>
      <c r="L422"/>
      <c r="M422"/>
      <c r="N422"/>
      <c r="O422"/>
    </row>
    <row r="423" spans="1:15" x14ac:dyDescent="0.3">
      <c r="A423" s="55"/>
      <c r="B423"/>
      <c r="C423"/>
      <c r="D423"/>
      <c r="E423"/>
      <c r="F423"/>
      <c r="G423"/>
      <c r="H423"/>
      <c r="I423"/>
      <c r="J423"/>
      <c r="K423"/>
      <c r="L423"/>
      <c r="M423"/>
      <c r="N423"/>
      <c r="O423"/>
    </row>
    <row r="424" spans="1:15" x14ac:dyDescent="0.3">
      <c r="A424" s="55"/>
      <c r="B424"/>
      <c r="C424"/>
      <c r="D424"/>
      <c r="E424"/>
      <c r="F424"/>
      <c r="G424"/>
      <c r="H424"/>
      <c r="I424"/>
      <c r="J424"/>
      <c r="K424"/>
      <c r="L424"/>
      <c r="M424"/>
      <c r="N424"/>
      <c r="O424"/>
    </row>
    <row r="425" spans="1:15" x14ac:dyDescent="0.3">
      <c r="A425" s="55"/>
      <c r="B425"/>
      <c r="C425"/>
      <c r="D425"/>
      <c r="E425"/>
      <c r="F425"/>
      <c r="G425"/>
      <c r="H425"/>
      <c r="I425"/>
      <c r="J425"/>
      <c r="K425"/>
      <c r="L425"/>
      <c r="M425"/>
      <c r="N425"/>
      <c r="O425"/>
    </row>
    <row r="426" spans="1:15" x14ac:dyDescent="0.3">
      <c r="A426" s="55"/>
      <c r="B426"/>
      <c r="C426"/>
      <c r="D426"/>
      <c r="E426"/>
      <c r="F426"/>
      <c r="G426"/>
      <c r="H426"/>
      <c r="I426"/>
      <c r="J426"/>
      <c r="K426"/>
      <c r="L426"/>
      <c r="M426"/>
      <c r="N426"/>
      <c r="O426"/>
    </row>
    <row r="427" spans="1:15" x14ac:dyDescent="0.3">
      <c r="A427" s="55"/>
      <c r="B427"/>
      <c r="C427"/>
      <c r="D427"/>
      <c r="E427"/>
      <c r="F427"/>
      <c r="G427"/>
      <c r="H427"/>
      <c r="I427"/>
      <c r="J427"/>
      <c r="K427"/>
      <c r="L427"/>
      <c r="M427"/>
      <c r="N427"/>
      <c r="O427"/>
    </row>
    <row r="428" spans="1:15" x14ac:dyDescent="0.3">
      <c r="A428" s="55"/>
      <c r="B428"/>
      <c r="C428"/>
      <c r="D428"/>
      <c r="E428"/>
      <c r="F428"/>
      <c r="G428"/>
      <c r="H428"/>
      <c r="I428"/>
      <c r="J428"/>
      <c r="K428"/>
      <c r="L428"/>
      <c r="M428"/>
      <c r="N428"/>
      <c r="O428"/>
    </row>
    <row r="429" spans="1:15" x14ac:dyDescent="0.3">
      <c r="A429" s="55"/>
      <c r="B429"/>
      <c r="C429"/>
      <c r="D429"/>
      <c r="E429"/>
      <c r="F429"/>
      <c r="G429"/>
      <c r="H429"/>
      <c r="I429"/>
      <c r="J429"/>
      <c r="K429"/>
      <c r="L429"/>
      <c r="M429"/>
      <c r="N429"/>
      <c r="O429"/>
    </row>
    <row r="430" spans="1:15" x14ac:dyDescent="0.3">
      <c r="A430" s="55"/>
      <c r="B430"/>
      <c r="C430"/>
      <c r="D430"/>
      <c r="E430"/>
      <c r="F430"/>
      <c r="G430"/>
      <c r="H430"/>
      <c r="I430"/>
      <c r="J430"/>
      <c r="K430"/>
      <c r="L430"/>
      <c r="M430"/>
      <c r="N430"/>
      <c r="O430"/>
    </row>
    <row r="431" spans="1:15" x14ac:dyDescent="0.3">
      <c r="A431" s="55"/>
      <c r="B431"/>
      <c r="C431"/>
      <c r="D431"/>
      <c r="E431"/>
      <c r="F431"/>
      <c r="G431"/>
      <c r="H431"/>
      <c r="I431"/>
      <c r="J431"/>
      <c r="K431"/>
      <c r="L431"/>
      <c r="M431"/>
      <c r="N431"/>
      <c r="O431"/>
    </row>
    <row r="432" spans="1:15" x14ac:dyDescent="0.3">
      <c r="A432" s="55"/>
      <c r="B432"/>
      <c r="C432"/>
      <c r="D432"/>
      <c r="E432"/>
      <c r="F432"/>
      <c r="G432"/>
      <c r="H432"/>
      <c r="I432"/>
      <c r="J432"/>
      <c r="K432"/>
      <c r="L432"/>
      <c r="M432"/>
      <c r="N432"/>
      <c r="O432"/>
    </row>
    <row r="433" spans="1:15" x14ac:dyDescent="0.3">
      <c r="A433" s="55"/>
      <c r="B433"/>
      <c r="C433"/>
      <c r="D433"/>
      <c r="E433"/>
      <c r="F433"/>
      <c r="G433"/>
      <c r="H433"/>
      <c r="I433"/>
      <c r="J433"/>
      <c r="K433"/>
      <c r="L433"/>
      <c r="M433"/>
      <c r="N433"/>
      <c r="O433"/>
    </row>
    <row r="434" spans="1:15" x14ac:dyDescent="0.3">
      <c r="A434" s="55"/>
      <c r="B434"/>
      <c r="C434"/>
      <c r="D434"/>
      <c r="E434"/>
      <c r="F434"/>
      <c r="G434"/>
      <c r="H434"/>
      <c r="I434"/>
      <c r="J434"/>
      <c r="K434"/>
      <c r="L434"/>
      <c r="M434"/>
      <c r="N434"/>
      <c r="O434"/>
    </row>
    <row r="435" spans="1:15" x14ac:dyDescent="0.3">
      <c r="A435" s="55"/>
      <c r="B435"/>
      <c r="C435"/>
      <c r="D435"/>
      <c r="E435"/>
      <c r="F435"/>
      <c r="G435"/>
      <c r="H435"/>
      <c r="I435"/>
      <c r="J435"/>
      <c r="K435"/>
      <c r="L435"/>
      <c r="M435"/>
      <c r="N435"/>
      <c r="O435"/>
    </row>
    <row r="436" spans="1:15" x14ac:dyDescent="0.3">
      <c r="A436" s="55"/>
      <c r="B436"/>
      <c r="C436"/>
      <c r="D436"/>
      <c r="E436"/>
      <c r="F436"/>
      <c r="G436"/>
      <c r="H436"/>
      <c r="I436"/>
      <c r="J436"/>
      <c r="K436"/>
      <c r="L436"/>
      <c r="M436"/>
      <c r="N436"/>
      <c r="O436"/>
    </row>
    <row r="437" spans="1:15" x14ac:dyDescent="0.3">
      <c r="A437" s="55"/>
      <c r="B437"/>
      <c r="C437"/>
      <c r="D437"/>
      <c r="E437"/>
      <c r="F437"/>
      <c r="G437"/>
      <c r="H437"/>
      <c r="I437"/>
      <c r="J437"/>
      <c r="K437"/>
      <c r="L437"/>
      <c r="M437"/>
      <c r="N437"/>
      <c r="O437"/>
    </row>
    <row r="438" spans="1:15" x14ac:dyDescent="0.3">
      <c r="A438" s="55"/>
      <c r="B438"/>
      <c r="C438"/>
      <c r="D438"/>
      <c r="E438"/>
      <c r="F438"/>
      <c r="G438"/>
      <c r="H438"/>
      <c r="I438"/>
      <c r="J438"/>
      <c r="K438"/>
      <c r="L438"/>
      <c r="M438"/>
      <c r="N438"/>
      <c r="O438"/>
    </row>
    <row r="439" spans="1:15" x14ac:dyDescent="0.3">
      <c r="A439" s="55"/>
      <c r="B439"/>
      <c r="C439"/>
      <c r="D439"/>
      <c r="E439"/>
      <c r="F439"/>
      <c r="G439"/>
      <c r="H439"/>
      <c r="I439"/>
      <c r="J439"/>
      <c r="K439"/>
      <c r="L439"/>
      <c r="M439"/>
      <c r="N439"/>
      <c r="O439"/>
    </row>
    <row r="440" spans="1:15" x14ac:dyDescent="0.3">
      <c r="A440" s="55"/>
      <c r="B440"/>
      <c r="C440"/>
      <c r="D440"/>
      <c r="E440"/>
      <c r="F440"/>
      <c r="G440"/>
      <c r="H440"/>
      <c r="I440"/>
      <c r="J440"/>
      <c r="K440"/>
      <c r="L440"/>
      <c r="M440"/>
      <c r="N440"/>
      <c r="O440"/>
    </row>
    <row r="441" spans="1:15" x14ac:dyDescent="0.3">
      <c r="A441" s="55"/>
      <c r="B441"/>
      <c r="C441"/>
      <c r="D441"/>
      <c r="E441"/>
      <c r="F441"/>
      <c r="G441"/>
      <c r="H441"/>
      <c r="I441"/>
      <c r="J441"/>
      <c r="K441"/>
      <c r="L441"/>
      <c r="M441"/>
      <c r="N441"/>
      <c r="O441"/>
    </row>
    <row r="442" spans="1:15" x14ac:dyDescent="0.3">
      <c r="A442" s="55"/>
      <c r="B442"/>
      <c r="C442"/>
      <c r="D442"/>
      <c r="E442"/>
      <c r="F442"/>
      <c r="G442"/>
      <c r="H442"/>
      <c r="I442"/>
      <c r="J442"/>
      <c r="K442"/>
      <c r="L442"/>
      <c r="M442"/>
      <c r="N442"/>
      <c r="O442"/>
    </row>
    <row r="443" spans="1:15" x14ac:dyDescent="0.3">
      <c r="A443" s="55"/>
      <c r="B443"/>
      <c r="C443"/>
      <c r="D443"/>
      <c r="E443"/>
      <c r="F443"/>
      <c r="G443"/>
      <c r="H443"/>
      <c r="I443"/>
      <c r="J443"/>
      <c r="K443"/>
      <c r="L443"/>
      <c r="M443"/>
      <c r="N443"/>
      <c r="O443"/>
    </row>
    <row r="444" spans="1:15" x14ac:dyDescent="0.3">
      <c r="A444" s="55"/>
      <c r="B444"/>
      <c r="C444"/>
      <c r="D444"/>
      <c r="E444"/>
      <c r="F444"/>
      <c r="G444"/>
      <c r="H444"/>
      <c r="I444"/>
      <c r="J444"/>
      <c r="K444"/>
      <c r="L444"/>
      <c r="M444"/>
      <c r="N444"/>
      <c r="O444"/>
    </row>
    <row r="445" spans="1:15" x14ac:dyDescent="0.3">
      <c r="A445" s="55"/>
      <c r="B445"/>
      <c r="C445"/>
      <c r="D445"/>
      <c r="E445"/>
      <c r="F445"/>
      <c r="G445"/>
      <c r="H445"/>
      <c r="I445"/>
      <c r="J445"/>
      <c r="K445"/>
      <c r="L445"/>
      <c r="M445"/>
      <c r="N445"/>
      <c r="O445"/>
    </row>
    <row r="446" spans="1:15" x14ac:dyDescent="0.3">
      <c r="A446" s="55"/>
      <c r="B446"/>
      <c r="C446"/>
      <c r="D446"/>
      <c r="E446"/>
      <c r="F446"/>
      <c r="G446"/>
      <c r="H446"/>
      <c r="I446"/>
      <c r="J446"/>
      <c r="K446"/>
      <c r="L446"/>
      <c r="M446"/>
      <c r="N446"/>
      <c r="O446"/>
    </row>
    <row r="447" spans="1:15" x14ac:dyDescent="0.3">
      <c r="A447" s="55"/>
      <c r="B447"/>
      <c r="C447"/>
      <c r="D447"/>
      <c r="E447"/>
      <c r="F447"/>
      <c r="G447"/>
      <c r="H447"/>
      <c r="I447"/>
      <c r="J447"/>
      <c r="K447"/>
      <c r="L447"/>
      <c r="M447"/>
      <c r="N447"/>
      <c r="O447"/>
    </row>
    <row r="448" spans="1:15" x14ac:dyDescent="0.3">
      <c r="A448" s="55"/>
      <c r="B448"/>
      <c r="C448"/>
      <c r="D448"/>
      <c r="E448"/>
      <c r="F448"/>
      <c r="G448"/>
      <c r="H448"/>
      <c r="I448"/>
      <c r="J448"/>
      <c r="K448"/>
      <c r="L448"/>
      <c r="M448"/>
      <c r="N448"/>
      <c r="O448"/>
    </row>
    <row r="449" spans="1:15" x14ac:dyDescent="0.3">
      <c r="A449" s="55"/>
      <c r="B449"/>
      <c r="C449"/>
      <c r="D449"/>
      <c r="E449"/>
      <c r="F449"/>
      <c r="G449"/>
      <c r="H449"/>
      <c r="I449"/>
      <c r="J449"/>
      <c r="K449"/>
      <c r="L449"/>
      <c r="M449"/>
      <c r="N449"/>
      <c r="O449"/>
    </row>
    <row r="450" spans="1:15" x14ac:dyDescent="0.3">
      <c r="A450" s="55"/>
      <c r="B450"/>
      <c r="C450"/>
      <c r="D450"/>
      <c r="E450"/>
      <c r="F450"/>
      <c r="G450"/>
      <c r="H450"/>
      <c r="I450"/>
      <c r="J450"/>
      <c r="K450"/>
      <c r="L450"/>
      <c r="M450"/>
      <c r="N450"/>
      <c r="O450"/>
    </row>
    <row r="451" spans="1:15" x14ac:dyDescent="0.3">
      <c r="A451" s="55"/>
      <c r="B451"/>
      <c r="C451"/>
      <c r="D451"/>
      <c r="E451"/>
      <c r="F451"/>
      <c r="G451"/>
      <c r="H451"/>
      <c r="I451"/>
      <c r="J451"/>
      <c r="K451"/>
      <c r="L451"/>
      <c r="M451"/>
      <c r="N451"/>
      <c r="O451"/>
    </row>
    <row r="452" spans="1:15" x14ac:dyDescent="0.3">
      <c r="A452" s="55"/>
      <c r="B452"/>
      <c r="C452"/>
      <c r="D452"/>
      <c r="E452"/>
      <c r="F452"/>
      <c r="G452"/>
      <c r="H452"/>
      <c r="I452"/>
      <c r="J452"/>
      <c r="K452"/>
      <c r="L452"/>
      <c r="M452"/>
      <c r="N452"/>
      <c r="O452"/>
    </row>
    <row r="453" spans="1:15" x14ac:dyDescent="0.3">
      <c r="A453" s="55"/>
      <c r="B453"/>
      <c r="C453"/>
      <c r="D453"/>
      <c r="E453"/>
      <c r="F453"/>
      <c r="G453"/>
      <c r="H453"/>
      <c r="I453"/>
      <c r="J453"/>
      <c r="K453"/>
      <c r="L453"/>
      <c r="M453"/>
      <c r="N453"/>
      <c r="O453"/>
    </row>
    <row r="454" spans="1:15" x14ac:dyDescent="0.3">
      <c r="A454" s="55"/>
      <c r="B454"/>
      <c r="C454"/>
      <c r="D454"/>
      <c r="E454"/>
      <c r="F454"/>
      <c r="G454"/>
      <c r="H454"/>
      <c r="I454"/>
      <c r="J454"/>
      <c r="K454"/>
      <c r="L454"/>
      <c r="M454"/>
      <c r="N454"/>
      <c r="O454"/>
    </row>
    <row r="455" spans="1:15" x14ac:dyDescent="0.3">
      <c r="A455" s="55"/>
      <c r="B455"/>
      <c r="C455"/>
      <c r="D455"/>
      <c r="E455"/>
      <c r="F455"/>
      <c r="G455"/>
      <c r="H455"/>
      <c r="I455"/>
      <c r="J455"/>
      <c r="K455"/>
      <c r="L455"/>
      <c r="M455"/>
      <c r="N455"/>
      <c r="O455"/>
    </row>
    <row r="456" spans="1:15" x14ac:dyDescent="0.3">
      <c r="A456" s="55"/>
      <c r="B456"/>
      <c r="C456"/>
      <c r="D456"/>
      <c r="E456"/>
      <c r="F456"/>
      <c r="G456"/>
      <c r="H456"/>
      <c r="I456"/>
      <c r="J456"/>
      <c r="K456"/>
      <c r="L456"/>
      <c r="M456"/>
      <c r="N456"/>
      <c r="O456"/>
    </row>
    <row r="457" spans="1:15" x14ac:dyDescent="0.3">
      <c r="A457" s="55"/>
      <c r="B457"/>
      <c r="C457"/>
      <c r="D457"/>
      <c r="E457"/>
      <c r="F457"/>
      <c r="G457"/>
      <c r="H457"/>
      <c r="I457"/>
      <c r="J457"/>
      <c r="K457"/>
      <c r="L457"/>
      <c r="M457"/>
      <c r="N457"/>
      <c r="O457"/>
    </row>
    <row r="458" spans="1:15" x14ac:dyDescent="0.3">
      <c r="A458" s="55"/>
      <c r="B458"/>
      <c r="C458"/>
      <c r="D458"/>
      <c r="E458"/>
      <c r="F458"/>
      <c r="G458"/>
      <c r="H458"/>
      <c r="I458"/>
      <c r="J458"/>
      <c r="K458"/>
      <c r="L458"/>
      <c r="M458"/>
      <c r="N458"/>
      <c r="O458"/>
    </row>
    <row r="459" spans="1:15" x14ac:dyDescent="0.3">
      <c r="A459" s="55"/>
      <c r="B459"/>
      <c r="C459"/>
      <c r="D459"/>
      <c r="E459"/>
      <c r="F459"/>
      <c r="G459"/>
      <c r="H459"/>
      <c r="I459"/>
      <c r="J459"/>
      <c r="K459"/>
      <c r="L459"/>
      <c r="M459"/>
      <c r="N459"/>
      <c r="O459"/>
    </row>
    <row r="460" spans="1:15" x14ac:dyDescent="0.3">
      <c r="A460" s="55"/>
      <c r="B460"/>
      <c r="C460"/>
      <c r="D460"/>
      <c r="E460"/>
      <c r="F460"/>
      <c r="G460"/>
      <c r="H460"/>
      <c r="I460"/>
      <c r="J460"/>
      <c r="K460"/>
      <c r="L460"/>
      <c r="M460"/>
      <c r="N460"/>
      <c r="O460"/>
    </row>
    <row r="461" spans="1:15" x14ac:dyDescent="0.3">
      <c r="A461" s="55"/>
      <c r="B461"/>
      <c r="C461"/>
      <c r="D461"/>
      <c r="E461"/>
      <c r="F461"/>
      <c r="G461"/>
      <c r="H461"/>
      <c r="I461"/>
      <c r="J461"/>
      <c r="K461"/>
      <c r="L461"/>
      <c r="M461"/>
      <c r="N461"/>
      <c r="O461"/>
    </row>
    <row r="462" spans="1:15" x14ac:dyDescent="0.3">
      <c r="A462" s="55"/>
      <c r="B462"/>
      <c r="C462"/>
      <c r="D462"/>
      <c r="E462"/>
      <c r="F462"/>
      <c r="G462"/>
      <c r="H462"/>
      <c r="I462"/>
      <c r="J462"/>
      <c r="K462"/>
      <c r="L462"/>
      <c r="M462"/>
      <c r="N462"/>
      <c r="O462"/>
    </row>
    <row r="463" spans="1:15" x14ac:dyDescent="0.3">
      <c r="A463" s="55"/>
      <c r="B463"/>
      <c r="C463"/>
      <c r="D463"/>
      <c r="E463"/>
      <c r="F463"/>
      <c r="G463"/>
      <c r="H463"/>
      <c r="I463"/>
      <c r="J463"/>
      <c r="K463"/>
      <c r="L463"/>
      <c r="M463"/>
      <c r="N463"/>
      <c r="O463"/>
    </row>
    <row r="464" spans="1:15" x14ac:dyDescent="0.3">
      <c r="A464" s="55"/>
      <c r="B464"/>
      <c r="C464"/>
      <c r="D464"/>
      <c r="E464"/>
      <c r="F464"/>
      <c r="G464"/>
      <c r="H464"/>
      <c r="I464"/>
      <c r="J464"/>
      <c r="K464"/>
      <c r="L464"/>
      <c r="M464"/>
      <c r="N464"/>
      <c r="O464"/>
    </row>
    <row r="465" spans="1:15" x14ac:dyDescent="0.3">
      <c r="A465" s="55"/>
      <c r="B465"/>
      <c r="C465"/>
      <c r="D465"/>
      <c r="E465"/>
      <c r="F465"/>
      <c r="G465"/>
      <c r="H465"/>
      <c r="I465"/>
      <c r="J465"/>
      <c r="K465"/>
      <c r="L465"/>
      <c r="M465"/>
      <c r="N465"/>
      <c r="O465"/>
    </row>
    <row r="466" spans="1:15" x14ac:dyDescent="0.3">
      <c r="A466" s="55"/>
      <c r="B466"/>
      <c r="C466"/>
      <c r="D466"/>
      <c r="E466"/>
      <c r="F466"/>
      <c r="G466"/>
      <c r="H466"/>
      <c r="I466"/>
      <c r="J466"/>
      <c r="K466"/>
      <c r="L466"/>
      <c r="M466"/>
      <c r="N466"/>
      <c r="O466"/>
    </row>
    <row r="467" spans="1:15" x14ac:dyDescent="0.3">
      <c r="A467" s="55"/>
      <c r="B467"/>
      <c r="C467"/>
      <c r="D467"/>
      <c r="E467"/>
      <c r="F467"/>
      <c r="G467"/>
      <c r="H467"/>
      <c r="I467"/>
      <c r="J467"/>
      <c r="K467"/>
      <c r="L467"/>
      <c r="M467"/>
      <c r="N467"/>
      <c r="O467"/>
    </row>
    <row r="468" spans="1:15" x14ac:dyDescent="0.3">
      <c r="A468" s="55"/>
      <c r="B468"/>
      <c r="C468"/>
      <c r="D468"/>
      <c r="E468"/>
      <c r="F468"/>
      <c r="G468"/>
      <c r="H468"/>
      <c r="I468"/>
      <c r="J468"/>
      <c r="K468"/>
      <c r="L468"/>
      <c r="M468"/>
      <c r="N468"/>
      <c r="O468"/>
    </row>
    <row r="469" spans="1:15" x14ac:dyDescent="0.3">
      <c r="A469" s="55"/>
      <c r="B469"/>
      <c r="C469"/>
      <c r="D469"/>
      <c r="E469"/>
      <c r="F469"/>
      <c r="G469"/>
      <c r="H469"/>
      <c r="I469"/>
      <c r="J469"/>
      <c r="K469"/>
      <c r="L469"/>
      <c r="M469"/>
      <c r="N469"/>
      <c r="O469"/>
    </row>
    <row r="470" spans="1:15" x14ac:dyDescent="0.3">
      <c r="A470" s="55"/>
      <c r="B470"/>
      <c r="C470"/>
      <c r="D470"/>
      <c r="E470"/>
      <c r="F470"/>
      <c r="G470"/>
      <c r="H470"/>
      <c r="I470"/>
      <c r="J470"/>
      <c r="K470"/>
      <c r="L470"/>
      <c r="M470"/>
      <c r="N470"/>
      <c r="O470"/>
    </row>
    <row r="471" spans="1:15" x14ac:dyDescent="0.3">
      <c r="A471" s="55"/>
      <c r="B471"/>
      <c r="C471"/>
      <c r="D471"/>
      <c r="E471"/>
      <c r="F471"/>
      <c r="G471"/>
      <c r="H471"/>
      <c r="I471"/>
      <c r="J471"/>
      <c r="K471"/>
      <c r="L471"/>
      <c r="M471"/>
      <c r="N471"/>
      <c r="O471"/>
    </row>
    <row r="472" spans="1:15" x14ac:dyDescent="0.3">
      <c r="A472" s="55"/>
      <c r="B472"/>
      <c r="C472"/>
      <c r="D472"/>
      <c r="E472"/>
      <c r="F472"/>
      <c r="G472"/>
      <c r="H472"/>
      <c r="I472"/>
      <c r="J472"/>
      <c r="K472"/>
      <c r="L472"/>
      <c r="M472"/>
      <c r="N472"/>
      <c r="O472"/>
    </row>
    <row r="473" spans="1:15" x14ac:dyDescent="0.3">
      <c r="A473" s="55"/>
      <c r="B473"/>
      <c r="C473"/>
      <c r="D473"/>
      <c r="E473"/>
      <c r="F473"/>
      <c r="G473"/>
      <c r="H473"/>
      <c r="I473"/>
      <c r="J473"/>
      <c r="K473"/>
      <c r="L473"/>
      <c r="M473"/>
      <c r="N473"/>
      <c r="O473"/>
    </row>
    <row r="474" spans="1:15" x14ac:dyDescent="0.3">
      <c r="A474" s="55"/>
      <c r="B474"/>
      <c r="C474"/>
      <c r="D474"/>
      <c r="E474"/>
      <c r="F474"/>
      <c r="G474"/>
      <c r="H474"/>
      <c r="I474"/>
      <c r="J474"/>
      <c r="K474"/>
      <c r="L474"/>
      <c r="M474"/>
      <c r="N474"/>
      <c r="O474"/>
    </row>
    <row r="475" spans="1:15" x14ac:dyDescent="0.3">
      <c r="A475" s="55"/>
      <c r="B475"/>
      <c r="C475"/>
      <c r="D475"/>
      <c r="E475"/>
      <c r="F475"/>
      <c r="G475"/>
      <c r="H475"/>
      <c r="I475"/>
      <c r="J475"/>
      <c r="K475"/>
      <c r="L475"/>
      <c r="M475"/>
      <c r="N475"/>
      <c r="O475"/>
    </row>
    <row r="476" spans="1:15" x14ac:dyDescent="0.3">
      <c r="A476" s="55"/>
      <c r="B476"/>
      <c r="C476"/>
      <c r="D476"/>
      <c r="E476"/>
      <c r="F476"/>
      <c r="G476"/>
      <c r="H476"/>
      <c r="I476"/>
      <c r="J476"/>
      <c r="K476"/>
      <c r="L476"/>
      <c r="M476"/>
      <c r="N476"/>
      <c r="O476"/>
    </row>
    <row r="477" spans="1:15" x14ac:dyDescent="0.3">
      <c r="A477" s="55"/>
      <c r="B477"/>
      <c r="C477"/>
      <c r="D477"/>
      <c r="E477"/>
      <c r="F477"/>
      <c r="G477"/>
      <c r="H477"/>
      <c r="I477"/>
      <c r="J477"/>
      <c r="K477"/>
      <c r="L477"/>
      <c r="M477"/>
      <c r="N477"/>
      <c r="O477"/>
    </row>
    <row r="478" spans="1:15" x14ac:dyDescent="0.3">
      <c r="A478" s="55"/>
      <c r="B478"/>
      <c r="C478"/>
      <c r="D478"/>
      <c r="E478"/>
      <c r="F478"/>
      <c r="G478"/>
      <c r="H478"/>
      <c r="I478"/>
      <c r="J478"/>
      <c r="K478"/>
      <c r="L478"/>
      <c r="M478"/>
      <c r="N478"/>
      <c r="O478"/>
    </row>
    <row r="479" spans="1:15" x14ac:dyDescent="0.3">
      <c r="A479" s="55"/>
      <c r="B479"/>
      <c r="C479"/>
      <c r="D479"/>
      <c r="E479"/>
      <c r="F479"/>
      <c r="G479"/>
      <c r="H479"/>
      <c r="I479"/>
      <c r="J479"/>
      <c r="K479"/>
      <c r="L479"/>
      <c r="M479"/>
      <c r="N479"/>
      <c r="O479"/>
    </row>
    <row r="480" spans="1:15" x14ac:dyDescent="0.3">
      <c r="A480" s="55"/>
      <c r="B480"/>
      <c r="C480"/>
      <c r="D480"/>
      <c r="E480"/>
      <c r="F480"/>
      <c r="G480"/>
      <c r="H480"/>
      <c r="I480"/>
      <c r="J480"/>
      <c r="K480"/>
      <c r="L480"/>
      <c r="M480"/>
      <c r="N480"/>
      <c r="O480"/>
    </row>
    <row r="481" spans="1:15" x14ac:dyDescent="0.3">
      <c r="A481" s="55"/>
      <c r="B481"/>
      <c r="C481"/>
      <c r="D481"/>
      <c r="E481"/>
      <c r="F481"/>
      <c r="G481"/>
      <c r="H481"/>
      <c r="I481"/>
      <c r="J481"/>
      <c r="K481"/>
      <c r="L481"/>
      <c r="M481"/>
      <c r="N481"/>
      <c r="O481"/>
    </row>
    <row r="482" spans="1:15" x14ac:dyDescent="0.3">
      <c r="A482" s="55"/>
      <c r="B482"/>
      <c r="C482"/>
      <c r="D482"/>
      <c r="E482"/>
      <c r="F482"/>
      <c r="G482"/>
      <c r="H482"/>
      <c r="I482"/>
      <c r="J482"/>
      <c r="K482"/>
      <c r="L482"/>
      <c r="M482"/>
      <c r="N482"/>
      <c r="O482"/>
    </row>
    <row r="483" spans="1:15" x14ac:dyDescent="0.3">
      <c r="A483" s="55"/>
      <c r="B483"/>
      <c r="C483"/>
      <c r="D483"/>
      <c r="E483"/>
      <c r="F483"/>
      <c r="G483"/>
      <c r="H483"/>
      <c r="I483"/>
      <c r="J483"/>
      <c r="K483"/>
      <c r="L483"/>
      <c r="M483"/>
      <c r="N483"/>
      <c r="O483"/>
    </row>
    <row r="484" spans="1:15" x14ac:dyDescent="0.3">
      <c r="A484" s="55"/>
      <c r="B484"/>
      <c r="C484"/>
      <c r="D484"/>
      <c r="E484"/>
      <c r="F484"/>
      <c r="G484"/>
      <c r="H484"/>
      <c r="I484"/>
      <c r="J484"/>
      <c r="K484"/>
      <c r="L484"/>
      <c r="M484"/>
      <c r="N484"/>
      <c r="O484"/>
    </row>
    <row r="485" spans="1:15" x14ac:dyDescent="0.3">
      <c r="A485" s="55"/>
      <c r="B485"/>
      <c r="C485"/>
      <c r="D485"/>
      <c r="E485"/>
      <c r="F485"/>
      <c r="G485"/>
      <c r="H485"/>
      <c r="I485"/>
      <c r="J485"/>
      <c r="K485"/>
      <c r="L485"/>
      <c r="M485"/>
      <c r="N485"/>
      <c r="O485"/>
    </row>
    <row r="486" spans="1:15" x14ac:dyDescent="0.3">
      <c r="A486" s="55"/>
      <c r="B486"/>
      <c r="C486"/>
      <c r="D486"/>
      <c r="E486"/>
      <c r="F486"/>
      <c r="G486"/>
      <c r="H486"/>
      <c r="I486"/>
      <c r="J486"/>
      <c r="K486"/>
      <c r="L486"/>
      <c r="M486"/>
      <c r="N486"/>
      <c r="O486"/>
    </row>
    <row r="487" spans="1:15" x14ac:dyDescent="0.3">
      <c r="A487" s="55"/>
      <c r="B487"/>
      <c r="C487"/>
      <c r="D487"/>
      <c r="E487"/>
      <c r="F487"/>
      <c r="G487"/>
      <c r="H487"/>
      <c r="I487"/>
      <c r="J487"/>
      <c r="K487"/>
      <c r="L487"/>
      <c r="M487"/>
      <c r="N487"/>
      <c r="O487"/>
    </row>
    <row r="488" spans="1:15" x14ac:dyDescent="0.3">
      <c r="A488" s="55"/>
      <c r="B488"/>
      <c r="C488"/>
      <c r="D488"/>
      <c r="E488"/>
      <c r="F488"/>
      <c r="G488"/>
      <c r="H488"/>
      <c r="I488"/>
      <c r="J488"/>
      <c r="K488"/>
      <c r="L488"/>
      <c r="M488"/>
      <c r="N488"/>
      <c r="O488"/>
    </row>
    <row r="489" spans="1:15" x14ac:dyDescent="0.3">
      <c r="A489" s="55"/>
      <c r="B489"/>
      <c r="C489"/>
      <c r="D489"/>
      <c r="E489"/>
      <c r="F489"/>
      <c r="G489"/>
      <c r="H489"/>
      <c r="I489"/>
      <c r="J489"/>
      <c r="K489"/>
      <c r="L489"/>
      <c r="M489"/>
      <c r="N489"/>
      <c r="O489"/>
    </row>
    <row r="490" spans="1:15" x14ac:dyDescent="0.3">
      <c r="A490" s="55"/>
      <c r="B490"/>
      <c r="C490"/>
      <c r="D490"/>
      <c r="E490"/>
      <c r="F490"/>
      <c r="G490"/>
      <c r="H490"/>
      <c r="I490"/>
      <c r="J490"/>
      <c r="K490"/>
      <c r="L490"/>
      <c r="M490"/>
      <c r="N490"/>
      <c r="O490"/>
    </row>
    <row r="491" spans="1:15" x14ac:dyDescent="0.3">
      <c r="A491" s="55"/>
      <c r="B491"/>
      <c r="C491"/>
      <c r="D491"/>
      <c r="E491"/>
      <c r="F491"/>
      <c r="G491"/>
      <c r="H491"/>
      <c r="I491"/>
      <c r="J491"/>
      <c r="K491"/>
      <c r="L491"/>
      <c r="M491"/>
      <c r="N491"/>
      <c r="O491"/>
    </row>
    <row r="492" spans="1:15" x14ac:dyDescent="0.3">
      <c r="A492" s="55"/>
      <c r="B492"/>
      <c r="C492"/>
      <c r="D492"/>
      <c r="E492"/>
      <c r="F492"/>
      <c r="G492"/>
      <c r="H492"/>
      <c r="I492"/>
      <c r="J492"/>
      <c r="K492"/>
      <c r="L492"/>
      <c r="M492"/>
      <c r="N492"/>
      <c r="O492"/>
    </row>
    <row r="493" spans="1:15" x14ac:dyDescent="0.3">
      <c r="A493" s="55"/>
      <c r="B493"/>
      <c r="C493"/>
      <c r="D493"/>
      <c r="E493"/>
      <c r="F493"/>
      <c r="G493"/>
      <c r="H493"/>
      <c r="I493"/>
      <c r="J493"/>
      <c r="K493"/>
      <c r="L493"/>
      <c r="M493"/>
      <c r="N493"/>
      <c r="O493"/>
    </row>
    <row r="494" spans="1:15" x14ac:dyDescent="0.3">
      <c r="A494" s="55"/>
      <c r="B494"/>
      <c r="C494"/>
      <c r="D494"/>
      <c r="E494"/>
      <c r="F494"/>
      <c r="G494"/>
      <c r="H494"/>
      <c r="I494"/>
      <c r="J494"/>
      <c r="K494"/>
      <c r="L494"/>
      <c r="M494"/>
      <c r="N494"/>
      <c r="O494"/>
    </row>
    <row r="495" spans="1:15" x14ac:dyDescent="0.3">
      <c r="A495" s="55"/>
      <c r="B495"/>
      <c r="C495"/>
      <c r="D495"/>
      <c r="E495"/>
      <c r="F495"/>
      <c r="G495"/>
      <c r="H495"/>
      <c r="I495"/>
      <c r="J495"/>
      <c r="K495"/>
      <c r="L495"/>
      <c r="M495"/>
      <c r="N495"/>
      <c r="O495"/>
    </row>
    <row r="496" spans="1:15" x14ac:dyDescent="0.3">
      <c r="A496" s="55"/>
      <c r="B496"/>
      <c r="C496"/>
      <c r="D496"/>
      <c r="E496"/>
      <c r="F496"/>
      <c r="G496"/>
      <c r="H496"/>
      <c r="I496"/>
      <c r="J496"/>
      <c r="K496"/>
      <c r="L496"/>
      <c r="M496"/>
      <c r="N496"/>
      <c r="O496"/>
    </row>
    <row r="497" spans="1:15" x14ac:dyDescent="0.3">
      <c r="A497" s="55"/>
      <c r="B497"/>
      <c r="C497"/>
      <c r="D497"/>
      <c r="E497"/>
      <c r="F497"/>
      <c r="G497"/>
      <c r="H497"/>
      <c r="I497"/>
      <c r="J497"/>
      <c r="K497"/>
      <c r="L497"/>
      <c r="M497"/>
      <c r="N497"/>
      <c r="O497"/>
    </row>
    <row r="498" spans="1:15" x14ac:dyDescent="0.3">
      <c r="A498" s="55"/>
      <c r="B498"/>
      <c r="C498"/>
      <c r="D498"/>
      <c r="E498"/>
      <c r="F498"/>
      <c r="G498"/>
      <c r="H498"/>
      <c r="I498"/>
      <c r="J498"/>
      <c r="K498"/>
      <c r="L498"/>
      <c r="M498"/>
      <c r="N498"/>
      <c r="O498"/>
    </row>
    <row r="499" spans="1:15" x14ac:dyDescent="0.3">
      <c r="A499" s="55"/>
      <c r="B499"/>
      <c r="C499"/>
      <c r="D499"/>
      <c r="E499"/>
      <c r="F499"/>
      <c r="G499"/>
      <c r="H499"/>
      <c r="I499"/>
      <c r="J499"/>
      <c r="K499"/>
      <c r="L499"/>
      <c r="M499"/>
      <c r="N499"/>
      <c r="O499"/>
    </row>
    <row r="500" spans="1:15" x14ac:dyDescent="0.3">
      <c r="A500" s="55"/>
      <c r="B500"/>
      <c r="C500"/>
      <c r="D500"/>
      <c r="E500"/>
      <c r="F500"/>
      <c r="G500"/>
      <c r="H500"/>
      <c r="I500"/>
      <c r="J500"/>
      <c r="K500"/>
      <c r="L500"/>
      <c r="M500"/>
      <c r="N500"/>
      <c r="O500"/>
    </row>
    <row r="501" spans="1:15" x14ac:dyDescent="0.3">
      <c r="A501" s="55"/>
      <c r="B501"/>
      <c r="C501"/>
      <c r="D501"/>
      <c r="E501"/>
      <c r="F501"/>
      <c r="G501"/>
      <c r="H501"/>
      <c r="I501"/>
      <c r="J501"/>
      <c r="K501"/>
      <c r="L501"/>
      <c r="M501"/>
      <c r="N501"/>
      <c r="O501"/>
    </row>
    <row r="502" spans="1:15" x14ac:dyDescent="0.3">
      <c r="A502" s="55"/>
      <c r="B502"/>
      <c r="C502"/>
      <c r="D502"/>
      <c r="E502"/>
      <c r="F502"/>
      <c r="G502"/>
      <c r="H502"/>
      <c r="I502"/>
      <c r="J502"/>
      <c r="K502"/>
      <c r="L502"/>
      <c r="M502"/>
      <c r="N502"/>
      <c r="O502"/>
    </row>
    <row r="503" spans="1:15" x14ac:dyDescent="0.3">
      <c r="A503" s="55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</row>
    <row r="504" spans="1:15" x14ac:dyDescent="0.3">
      <c r="A504" s="55"/>
      <c r="B504"/>
      <c r="C504"/>
      <c r="D504"/>
      <c r="E504"/>
      <c r="F504"/>
      <c r="G504"/>
      <c r="H504"/>
      <c r="I504"/>
      <c r="J504"/>
      <c r="K504"/>
      <c r="L504"/>
      <c r="M504"/>
      <c r="N504"/>
      <c r="O504"/>
    </row>
    <row r="505" spans="1:15" x14ac:dyDescent="0.3">
      <c r="A505" s="55"/>
      <c r="B505"/>
      <c r="C505"/>
      <c r="D505"/>
      <c r="E505"/>
      <c r="F505"/>
      <c r="G505"/>
      <c r="H505"/>
      <c r="I505"/>
      <c r="J505"/>
      <c r="K505"/>
      <c r="L505"/>
      <c r="M505"/>
      <c r="N505"/>
      <c r="O505"/>
    </row>
    <row r="506" spans="1:15" x14ac:dyDescent="0.3">
      <c r="A506" s="55"/>
      <c r="B506"/>
      <c r="C506"/>
      <c r="D506"/>
      <c r="E506"/>
      <c r="F506"/>
      <c r="G506"/>
      <c r="H506"/>
      <c r="I506"/>
      <c r="J506"/>
      <c r="K506"/>
      <c r="L506"/>
      <c r="M506"/>
      <c r="N506"/>
      <c r="O506"/>
    </row>
    <row r="507" spans="1:15" x14ac:dyDescent="0.3">
      <c r="A507" s="55"/>
      <c r="B507"/>
      <c r="C507"/>
      <c r="D507"/>
      <c r="E507"/>
      <c r="F507"/>
      <c r="G507"/>
      <c r="H507"/>
      <c r="I507"/>
      <c r="J507"/>
      <c r="K507"/>
      <c r="L507"/>
      <c r="M507"/>
      <c r="N507"/>
      <c r="O507"/>
    </row>
    <row r="508" spans="1:15" x14ac:dyDescent="0.3">
      <c r="C508"/>
    </row>
    <row r="509" spans="1:15" x14ac:dyDescent="0.3">
      <c r="C509"/>
    </row>
    <row r="510" spans="1:15" x14ac:dyDescent="0.3">
      <c r="C510"/>
    </row>
    <row r="511" spans="1:15" x14ac:dyDescent="0.3">
      <c r="C511"/>
    </row>
    <row r="512" spans="1:15" x14ac:dyDescent="0.3">
      <c r="C512"/>
    </row>
    <row r="513" spans="3:3" x14ac:dyDescent="0.3">
      <c r="C513"/>
    </row>
    <row r="514" spans="3:3" x14ac:dyDescent="0.3">
      <c r="C514"/>
    </row>
    <row r="515" spans="3:3" x14ac:dyDescent="0.3">
      <c r="C515"/>
    </row>
    <row r="516" spans="3:3" x14ac:dyDescent="0.3">
      <c r="C516"/>
    </row>
    <row r="517" spans="3:3" x14ac:dyDescent="0.3">
      <c r="C517"/>
    </row>
    <row r="518" spans="3:3" x14ac:dyDescent="0.3">
      <c r="C518"/>
    </row>
    <row r="519" spans="3:3" x14ac:dyDescent="0.3">
      <c r="C519"/>
    </row>
    <row r="520" spans="3:3" x14ac:dyDescent="0.3">
      <c r="C520"/>
    </row>
    <row r="521" spans="3:3" x14ac:dyDescent="0.3">
      <c r="C521"/>
    </row>
    <row r="522" spans="3:3" x14ac:dyDescent="0.3">
      <c r="C522"/>
    </row>
    <row r="523" spans="3:3" x14ac:dyDescent="0.3">
      <c r="C523"/>
    </row>
    <row r="524" spans="3:3" x14ac:dyDescent="0.3">
      <c r="C524"/>
    </row>
    <row r="525" spans="3:3" x14ac:dyDescent="0.3">
      <c r="C525"/>
    </row>
    <row r="526" spans="3:3" x14ac:dyDescent="0.3">
      <c r="C526"/>
    </row>
    <row r="527" spans="3:3" x14ac:dyDescent="0.3">
      <c r="C527"/>
    </row>
    <row r="528" spans="3:3" x14ac:dyDescent="0.3">
      <c r="C528"/>
    </row>
    <row r="529" spans="3:3" x14ac:dyDescent="0.3">
      <c r="C529"/>
    </row>
    <row r="530" spans="3:3" x14ac:dyDescent="0.3">
      <c r="C530"/>
    </row>
    <row r="531" spans="3:3" x14ac:dyDescent="0.3">
      <c r="C531"/>
    </row>
    <row r="532" spans="3:3" x14ac:dyDescent="0.3">
      <c r="C532"/>
    </row>
    <row r="533" spans="3:3" x14ac:dyDescent="0.3">
      <c r="C533"/>
    </row>
    <row r="534" spans="3:3" x14ac:dyDescent="0.3">
      <c r="C534"/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A18" sqref="A18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>
        <f>IFERROR(C2/B2,0)</f>
        <v>0</v>
      </c>
      <c r="E2" s="40" cm="1">
        <f t="array" ref="E2">IFERROR( SUMPRODUCT( ((Ago!$B$2:$B$5729="PSYSTEM_1005")+ (Ago!$C$2:$C$5729="PSYSTEM_1005"))* IFERROR(Ago!$L$2:$L$5729,0) )/ SUMPRODUCT( ((Ago!$B$2:$B$5729="PSYSTEM_1005")+ (Ago!$C$2:$C$5729="PSYSTEM_1005"))* ISNUMBER(Ago!$L$2:$L$5729) ),0)</f>
        <v>0</v>
      </c>
      <c r="F2" s="26"/>
      <c r="G2" s="30">
        <f>E2-F2</f>
        <v>0</v>
      </c>
      <c r="H2" s="1"/>
      <c r="I2" s="23">
        <f>G2*C2</f>
        <v>0</v>
      </c>
    </row>
    <row r="3" spans="1:9" x14ac:dyDescent="0.3">
      <c r="A3" s="5" t="s">
        <v>2238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48" cm="1">
        <f t="array" ref="E3">IFERROR( SUMPRODUCT( ((Ago!$B$2:$B$5729="PSYSTEM_1002")+ (Ago!$C$2:$C$5729="PSYSTEM_1002"))* IFERROR(Ago!$L$2:$L$5729,0) )/ SUMPRODUCT( ((Ago!$B$2:$B$5729="PSYSTEM_1002")+ (Ago!$C$2:$C$5729="PSYSTEM_1002"))* ISNUMBER(Ago!$L$2:$L$5729) ),0)</f>
        <v>0</v>
      </c>
      <c r="F3" s="8"/>
      <c r="G3" s="31">
        <f t="shared" ref="G3:G6" si="1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40" cm="1">
        <f t="array" ref="E4">IFERROR( SUMPRODUCT( ((Ago!$B$2:$B$5729="PSYSTEM_1004")+ (Ago!$C$2:$C$5729="PSYSTEM_1004"))* IFERROR(Ago!$L$2:$L$5729,0) )/ SUMPRODUCT( ((Ago!$B$2:$B$5729="PSYSTEM_1004")+ (Ago!$C$2:$C$5729="PSYSTEM_1004"))* ISNUMBER(Ago!$L$2:$L$5729) ),0)</f>
        <v>0</v>
      </c>
      <c r="F4" s="26"/>
      <c r="G4" s="30">
        <f t="shared" si="1"/>
        <v>0</v>
      </c>
      <c r="H4" s="1"/>
      <c r="I4" s="34">
        <f t="shared" ref="I4:I6" si="3">G4*C4</f>
        <v>0</v>
      </c>
    </row>
    <row r="5" spans="1:9" x14ac:dyDescent="0.3">
      <c r="A5" s="5" t="s">
        <v>32</v>
      </c>
      <c r="B5" s="6">
        <f t="shared" si="2"/>
        <v>0</v>
      </c>
      <c r="C5" s="6">
        <f>B18+C18</f>
        <v>0</v>
      </c>
      <c r="D5" s="42">
        <f t="shared" si="0"/>
        <v>0</v>
      </c>
      <c r="E5" s="39" cm="1">
        <f t="array" ref="E5">IFERROR( SUMPRODUCT( ((Ago!$B$2:$B$5729="PSYSTEM_1013")+ (Ago!$C$2:$C$5729="PSYSTEM_1013"))* IFERROR(Ago!$L$2:$L$5729,0) )/ SUMPRODUCT( ((Ago!$B$2:$B$5729="PSYSTEM_1013")+ (Ago!$C$2:$C$5729="PSYSTEM_1013"))* ISNUMBER(Ago!$L$2:$L$5729) ),0)</f>
        <v>0</v>
      </c>
      <c r="F5" s="8"/>
      <c r="G5" s="31">
        <f t="shared" si="1"/>
        <v>0</v>
      </c>
      <c r="H5" s="1"/>
      <c r="I5" s="34">
        <f t="shared" si="3"/>
        <v>0</v>
      </c>
    </row>
    <row r="6" spans="1:9" x14ac:dyDescent="0.3">
      <c r="A6" s="19" t="s">
        <v>2213</v>
      </c>
      <c r="B6" s="20">
        <f t="shared" si="2"/>
        <v>0</v>
      </c>
      <c r="C6" s="20">
        <f>B19+C19</f>
        <v>0</v>
      </c>
      <c r="D6" s="21">
        <f t="shared" si="0"/>
        <v>0</v>
      </c>
      <c r="E6" s="40" cm="1">
        <f t="array" ref="E6">IFERROR( SUMPRODUCT( ((Ago!$B$2:$B$5729="PSYSTEM_1003")+ (Ago!$C$2:$C$5729="PSYSTEM_1003"))* IFERROR(Ago!$L$2:$L$5729,0) )/ SUMPRODUCT( ((Ago!$B$2:$B$5729="PSYSTEM_1003")+ (Ago!$C$2:$C$5729="PSYSTEM_1003"))* ISNUMBER(Ago!$L$2:$L$5729) ),0)</f>
        <v>0</v>
      </c>
      <c r="F6" s="26"/>
      <c r="G6" s="30">
        <f t="shared" si="1"/>
        <v>0</v>
      </c>
      <c r="H6" s="1"/>
      <c r="I6" s="34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COUNTIFS(Ago!$B$2:$B$2729,"PSYSTEM_1005",Ago!$E$2:$E$2729,"&gt;100",Ago!$L$2:$L$2729,"&gt;0")</f>
        <v>0</v>
      </c>
      <c r="C15" s="1">
        <f>COUNTIFS(Ago!$C$2:$C$3729,"PSYSTEM_1005",Ago!$E$2:$E$3729,"&gt;100",Ago!$L$2:$L$3729,"&gt;0")+G15</f>
        <v>0</v>
      </c>
      <c r="D15" s="1">
        <f>COUNTIFS(Ago!$B$2:$B$3729,"PSYSTEM_1005",Ago!$E$2:$E$3729,"&gt;100")</f>
        <v>0</v>
      </c>
      <c r="E15" s="1">
        <f>COUNTIFS(Ago!$C$2:$C$3729,"PSYSTEM_1005",Ago!$E$2:$E$3729,"&gt;100")</f>
        <v>0</v>
      </c>
      <c r="F15" s="1">
        <v>0</v>
      </c>
      <c r="G15" s="32">
        <v>0</v>
      </c>
    </row>
    <row r="16" spans="1:9" x14ac:dyDescent="0.3">
      <c r="A16" s="5" t="s">
        <v>2238</v>
      </c>
      <c r="B16" s="1">
        <f>COUNTIFS(Ago!$B$2:$B$2729,"PSYSTEM_1002",Ago!$E$2:$E$2729,"&gt;100",Ago!$L$2:$L$2729,"&gt;0")</f>
        <v>0</v>
      </c>
      <c r="C16" s="1">
        <f>COUNTIFS(Ago!$C$2:$C$3729,"PSYSTEM_1002",Ago!$E$2:$E$3729,"&gt;100",Ago!$L$2:$L$3729,"&gt;0")+G16</f>
        <v>0</v>
      </c>
      <c r="D16" s="1">
        <f>COUNTIFS(Ago!$B$2:$B$3729,"PSYSTEM_1002",Ago!$E$2:$E$3729,"&gt;100")</f>
        <v>0</v>
      </c>
      <c r="E16" s="1">
        <f>COUNTIFS(Ago!$C$2:$C$3729,"PSYSTEM_1002",Ago!$E$2:$E$3729,"&gt;100")</f>
        <v>0</v>
      </c>
      <c r="F16" s="32">
        <v>0</v>
      </c>
      <c r="G16" s="32">
        <v>0</v>
      </c>
    </row>
    <row r="17" spans="1:9" x14ac:dyDescent="0.3">
      <c r="A17" s="19" t="s">
        <v>21</v>
      </c>
      <c r="B17" s="1">
        <f>COUNTIFS(Ago!$B$2:$B$2729,"PSYSTEM_1004",Ago!$E$2:$E$2729,"&gt;100",Ago!$L$2:$L$2729,"&gt;0")</f>
        <v>0</v>
      </c>
      <c r="C17" s="1">
        <f>COUNTIFS(Ago!$C$2:$C$3729,"PSYSTEM_1004",Ago!$E$2:$E$3729,"&gt;100",Ago!$L$2:$L$3729,"&gt;0")+G17</f>
        <v>0</v>
      </c>
      <c r="D17" s="1">
        <f>COUNTIFS(Ago!$B$2:$B$3729,"PSYSTEM_1004",Ago!$E$2:$E$3729,"&gt;100")</f>
        <v>0</v>
      </c>
      <c r="E17" s="1">
        <f>COUNTIFS(Ago!$C$2:$C$3729,"PSYSTEM_1004",Ago!$E$2:$E$3729,"&gt;100")</f>
        <v>0</v>
      </c>
      <c r="F17" s="1">
        <v>0</v>
      </c>
      <c r="G17" s="32">
        <v>0</v>
      </c>
    </row>
    <row r="18" spans="1:9" x14ac:dyDescent="0.3">
      <c r="A18" s="5" t="s">
        <v>32</v>
      </c>
      <c r="B18" s="1">
        <f>COUNTIFS(Ago!$B$2:$B$2729,"PSYSTEM_1013",Ago!$E$2:$E$2729,"&gt;100",Ago!$L$2:$L$2729,"&gt;0")</f>
        <v>0</v>
      </c>
      <c r="C18" s="1">
        <f>COUNTIFS(Ago!$C$2:$C$3729,"PSYSTEM_1013",Ago!$E$2:$E$3729,"&gt;100",Ago!$L$2:$L$3729,"&gt;0")+G18</f>
        <v>0</v>
      </c>
      <c r="D18" s="1">
        <f>COUNTIFS(Ago!$B$2:$B$3729,"PSYSTEM_1013",Ago!$E$2:$E$3729,"&gt;100")</f>
        <v>0</v>
      </c>
      <c r="E18" s="1">
        <f>COUNTIFS(Ago!$C$2:$C$3729,"PSYSTEM_1013",Ago!$E$2:$E$3729,"&gt;100")</f>
        <v>0</v>
      </c>
      <c r="F18" s="1">
        <v>0</v>
      </c>
      <c r="G18" s="1">
        <v>0</v>
      </c>
      <c r="H18" s="1"/>
      <c r="I18" s="1"/>
    </row>
    <row r="19" spans="1:9" x14ac:dyDescent="0.3">
      <c r="A19" s="19" t="s">
        <v>2213</v>
      </c>
      <c r="B19" s="1">
        <f>COUNTIFS(Ago!$B$2:$B$2729,"PSYSTEM_1003",Ago!$E$2:$E$2729,"&gt;100",Ago!$L$2:$L$2729,"&gt;0")</f>
        <v>0</v>
      </c>
      <c r="C19" s="1">
        <f>COUNTIFS(Ago!$C$2:$C$3729,"PSYSTEM_1003",Ago!$E$2:$E$3729,"&gt;100",Ago!$L$2:$L$3729,"&gt;0")+G19</f>
        <v>0</v>
      </c>
      <c r="D19" s="1">
        <f>COUNTIFS(Ago!$B$2:$B$3729,"PSYSTEM_1003",Ago!$E$2:$E$3729,"&gt;100")</f>
        <v>0</v>
      </c>
      <c r="E19" s="1">
        <f>COUNTIFS(Ago!$C$2:$C$3729,"PSYSTEM_1003",Ago!$E$2:$E$3729,"&gt;100")</f>
        <v>0</v>
      </c>
      <c r="F19" s="1">
        <v>0</v>
      </c>
      <c r="G19" s="1">
        <v>0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workbookViewId="0">
      <selection activeCell="B19" sqref="A2:B19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5" t="s">
        <v>2216</v>
      </c>
      <c r="B1" s="45" t="s">
        <v>2217</v>
      </c>
    </row>
    <row r="2" spans="1:8" x14ac:dyDescent="0.3">
      <c r="B2" s="46"/>
      <c r="C2" s="47"/>
      <c r="D2" s="47"/>
      <c r="E2" s="47"/>
      <c r="F2" s="47"/>
      <c r="G2" s="47"/>
      <c r="H2" s="47"/>
    </row>
    <row r="3" spans="1:8" x14ac:dyDescent="0.3">
      <c r="B3" s="46"/>
      <c r="C3" s="47"/>
      <c r="D3" s="47"/>
      <c r="E3" s="47"/>
      <c r="F3" s="47"/>
      <c r="G3" s="47"/>
      <c r="H3" s="47"/>
    </row>
    <row r="4" spans="1:8" x14ac:dyDescent="0.3">
      <c r="B4" s="46"/>
      <c r="C4" s="47"/>
      <c r="D4" s="47"/>
      <c r="E4" s="47"/>
      <c r="F4" s="47"/>
      <c r="G4" s="47"/>
      <c r="H4" s="47"/>
    </row>
    <row r="5" spans="1:8" x14ac:dyDescent="0.3">
      <c r="B5" s="46"/>
      <c r="C5" s="47"/>
      <c r="D5" s="47"/>
      <c r="E5" s="47"/>
      <c r="F5" s="47"/>
      <c r="G5" s="47"/>
      <c r="H5" s="47"/>
    </row>
    <row r="6" spans="1:8" x14ac:dyDescent="0.3">
      <c r="B6" s="46"/>
      <c r="C6" s="47"/>
      <c r="D6" s="47"/>
      <c r="E6" s="47"/>
      <c r="F6" s="47"/>
      <c r="G6" s="47"/>
      <c r="H6" s="47"/>
    </row>
    <row r="7" spans="1:8" x14ac:dyDescent="0.3">
      <c r="B7" s="46"/>
      <c r="C7" s="47"/>
      <c r="D7" s="47"/>
      <c r="E7" s="47"/>
      <c r="F7" s="47"/>
      <c r="G7" s="47"/>
      <c r="H7" s="47"/>
    </row>
    <row r="8" spans="1:8" x14ac:dyDescent="0.3">
      <c r="B8" s="46"/>
      <c r="C8" s="47"/>
      <c r="D8" s="47"/>
      <c r="E8" s="47"/>
      <c r="F8" s="47"/>
      <c r="G8" s="47"/>
      <c r="H8" s="47"/>
    </row>
    <row r="9" spans="1:8" x14ac:dyDescent="0.3">
      <c r="B9" s="46"/>
      <c r="C9" s="47"/>
      <c r="D9" s="47"/>
      <c r="E9" s="47"/>
      <c r="F9" s="47"/>
      <c r="G9" s="47"/>
      <c r="H9" s="47"/>
    </row>
    <row r="10" spans="1:8" x14ac:dyDescent="0.3">
      <c r="B10" s="46"/>
      <c r="C10" s="47"/>
      <c r="D10" s="47"/>
      <c r="E10" s="47"/>
      <c r="F10" s="47"/>
      <c r="G10" s="47"/>
      <c r="H10" s="47"/>
    </row>
    <row r="11" spans="1:8" x14ac:dyDescent="0.3">
      <c r="B11" s="46"/>
      <c r="C11" s="47"/>
      <c r="D11" s="47"/>
      <c r="E11" s="47"/>
      <c r="F11" s="47"/>
      <c r="G11" s="47"/>
      <c r="H11" s="47"/>
    </row>
    <row r="12" spans="1:8" x14ac:dyDescent="0.3">
      <c r="B12" s="46"/>
      <c r="C12" s="47"/>
      <c r="D12" s="47"/>
      <c r="E12" s="47"/>
      <c r="F12" s="47"/>
      <c r="G12" s="47"/>
      <c r="H12" s="47"/>
    </row>
    <row r="13" spans="1:8" x14ac:dyDescent="0.3">
      <c r="B13" s="46"/>
      <c r="C13" s="47"/>
      <c r="D13" s="47"/>
      <c r="E13" s="47"/>
      <c r="F13" s="47"/>
      <c r="G13" s="47"/>
      <c r="H13" s="47"/>
    </row>
    <row r="14" spans="1:8" x14ac:dyDescent="0.3">
      <c r="B14" s="46"/>
      <c r="C14" s="47"/>
      <c r="D14" s="47"/>
      <c r="E14" s="47"/>
      <c r="F14" s="47"/>
      <c r="G14" s="47"/>
      <c r="H14" s="47"/>
    </row>
    <row r="15" spans="1:8" x14ac:dyDescent="0.3">
      <c r="B15" s="46"/>
      <c r="C15" s="47"/>
      <c r="D15" s="47"/>
      <c r="E15" s="47"/>
      <c r="F15" s="47"/>
      <c r="G15" s="47"/>
      <c r="H15" s="47"/>
    </row>
    <row r="16" spans="1:8" x14ac:dyDescent="0.3">
      <c r="B16" s="46"/>
      <c r="C16" s="47"/>
      <c r="D16" s="47"/>
      <c r="E16" s="47"/>
      <c r="F16" s="47"/>
      <c r="G16" s="47"/>
      <c r="H16" s="47"/>
    </row>
    <row r="17" spans="2:8" x14ac:dyDescent="0.3">
      <c r="B17" s="46"/>
      <c r="C17" s="47"/>
      <c r="D17" s="47"/>
      <c r="E17" s="47"/>
      <c r="F17" s="47"/>
      <c r="G17" s="47"/>
      <c r="H17" s="47"/>
    </row>
    <row r="18" spans="2:8" x14ac:dyDescent="0.3">
      <c r="B18" s="47"/>
      <c r="C18" s="47"/>
      <c r="D18" s="47"/>
      <c r="E18" s="47"/>
      <c r="F18" s="47"/>
      <c r="G18" s="47"/>
      <c r="H18" s="47"/>
    </row>
    <row r="19" spans="2:8" x14ac:dyDescent="0.3">
      <c r="B19" s="47"/>
      <c r="C19" s="47"/>
      <c r="D19" s="47"/>
      <c r="E19" s="47"/>
      <c r="F19" s="47"/>
      <c r="G19" s="47"/>
      <c r="H19" s="47"/>
    </row>
    <row r="20" spans="2:8" x14ac:dyDescent="0.3">
      <c r="B20" s="47"/>
      <c r="C20" s="47"/>
      <c r="D20" s="47"/>
      <c r="E20" s="47"/>
      <c r="F20" s="47"/>
      <c r="G20" s="47"/>
      <c r="H20" s="47"/>
    </row>
    <row r="21" spans="2:8" x14ac:dyDescent="0.3">
      <c r="B21" s="47"/>
      <c r="C21" s="47"/>
      <c r="D21" s="47"/>
      <c r="E21" s="47"/>
      <c r="F21" s="47"/>
      <c r="G21" s="47"/>
      <c r="H21" s="47"/>
    </row>
    <row r="22" spans="2:8" x14ac:dyDescent="0.3">
      <c r="B22" s="47"/>
      <c r="C22" s="47"/>
      <c r="D22" s="47"/>
      <c r="E22" s="47"/>
      <c r="F22" s="47"/>
      <c r="G22" s="47"/>
      <c r="H22" s="47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M1"/>
  <sheetViews>
    <sheetView tabSelected="1" zoomScale="79" workbookViewId="0">
      <selection activeCell="G23" sqref="G23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37" customWidth="1"/>
    <col min="14" max="15" width="13.44140625" style="1" bestFit="1" customWidth="1"/>
    <col min="16" max="16384" width="8.88671875" style="1"/>
  </cols>
  <sheetData>
    <row r="1" spans="1:13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36" t="s">
        <v>37</v>
      </c>
    </row>
  </sheetData>
  <autoFilter ref="A1:L1" xr:uid="{1925E673-B92D-4842-81BB-10C01394CAF3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A16" sqref="A1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0</v>
      </c>
      <c r="C2" s="20">
        <f>B15+C15</f>
        <v>0</v>
      </c>
      <c r="D2" s="21">
        <f>IFERROR(C2/B2,0)</f>
        <v>0</v>
      </c>
      <c r="E2" s="40" cm="1">
        <f t="array" ref="E2">IFERROR( SUMPRODUCT( ((Set!$B$2:$B$6000="PSYSTEM_1005")+ (Set!$C$2:$C$6000="PSYSTEM_1005"))* IFERROR(Set!$L$2:$L$6000,0) )/ SUMPRODUCT( ((Set!$B$2:$B$6000="PSYSTEM_1005")+ (Set!$C$2:$C$6000="PSYSTEM_1005"))* ISNUMBER(Set!$L$2:$L$6000) ),0)</f>
        <v>0</v>
      </c>
      <c r="F2" s="26"/>
      <c r="G2" s="30">
        <f>E2-F2</f>
        <v>0</v>
      </c>
      <c r="H2" s="1"/>
      <c r="I2" s="34">
        <f>G2*C2</f>
        <v>0</v>
      </c>
    </row>
    <row r="3" spans="1:9" x14ac:dyDescent="0.3">
      <c r="A3" s="5" t="s">
        <v>2238</v>
      </c>
      <c r="B3" s="6">
        <f>D16+E16+F16</f>
        <v>0</v>
      </c>
      <c r="C3" s="6">
        <f>B16+C16</f>
        <v>0</v>
      </c>
      <c r="D3" s="42">
        <f t="shared" ref="D3:D6" si="0">IFERROR(C3/B3,0)</f>
        <v>0</v>
      </c>
      <c r="E3" s="39" cm="1">
        <f t="array" ref="E3">IFERROR( SUMPRODUCT( ((Set!$B$2:$B$6000="PSYSTEM_1002")+ (Set!$C$2:$C$6000="PSYSTEM_1002"))* IFERROR(Set!$L$2:$L$6000,0) )/ SUMPRODUCT( ((Set!$B$2:$B$6000="PSYSTEM_1002")+ (Set!$C$2:$C$6000="PSYSTEM_1002"))* ISNUMBER(Set!$L$2:$L$6000) ),0)</f>
        <v>0</v>
      </c>
      <c r="F3" s="8"/>
      <c r="G3" s="31">
        <f t="shared" ref="G3:G6" si="1">E3-F3</f>
        <v>0</v>
      </c>
      <c r="H3" s="1"/>
      <c r="I3" s="23">
        <f>G3*C3</f>
        <v>0</v>
      </c>
    </row>
    <row r="4" spans="1:9" x14ac:dyDescent="0.3">
      <c r="A4" s="19" t="s">
        <v>21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40" cm="1">
        <f t="array" ref="E4">IFERROR( SUMPRODUCT( ((Set!$B$2:$B$6000="PSYSTEM_1004")+ (Set!$C$2:$C$6000="PSYSTEM_1004"))* IFERROR(Set!$L$2:$L$6000,0) )/ SUMPRODUCT( ((Set!$B$2:$B$6000="PSYSTEM_1004")+ (Set!$C$2:$C$6000="PSYSTEM_1004"))* ISNUMBER(Set!$L$2:$L$6000) ),0)</f>
        <v>0</v>
      </c>
      <c r="F4" s="26"/>
      <c r="G4" s="30">
        <f t="shared" si="1"/>
        <v>0</v>
      </c>
      <c r="H4" s="1"/>
      <c r="I4" s="34">
        <f t="shared" ref="I4:I6" si="3">G4*C4</f>
        <v>0</v>
      </c>
    </row>
    <row r="5" spans="1:9" x14ac:dyDescent="0.3">
      <c r="A5" s="5" t="s">
        <v>32</v>
      </c>
      <c r="B5" s="6">
        <f t="shared" si="2"/>
        <v>0</v>
      </c>
      <c r="C5" s="6">
        <f>B18+C18</f>
        <v>0</v>
      </c>
      <c r="D5" s="42">
        <f t="shared" si="0"/>
        <v>0</v>
      </c>
      <c r="E5" s="39" cm="1">
        <f t="array" ref="E5">IFERROR( SUMPRODUCT( ((Set!$B$2:$B$6000="PSYSTEM_1013")+ (Set!$C$2:$C$6000="PSYSTEM_1013"))* IFERROR(Set!$L$2:$L$6000,0) )/ SUMPRODUCT( ((Set!$B$2:$B$6000="PSYSTEM_1013")+ (Set!$C$2:$C$6000="PSYSTEM_1013"))* ISNUMBER(Set!$L$2:$L$6000) ),0)</f>
        <v>0</v>
      </c>
      <c r="F5" s="8"/>
      <c r="G5" s="31">
        <f t="shared" si="1"/>
        <v>0</v>
      </c>
      <c r="H5" s="1"/>
      <c r="I5" s="34">
        <f t="shared" si="3"/>
        <v>0</v>
      </c>
    </row>
    <row r="6" spans="1:9" x14ac:dyDescent="0.3">
      <c r="A6" s="49" t="s">
        <v>2213</v>
      </c>
      <c r="B6" s="50">
        <f t="shared" si="2"/>
        <v>0</v>
      </c>
      <c r="C6" s="50">
        <f>B19+C19</f>
        <v>0</v>
      </c>
      <c r="D6" s="51">
        <f t="shared" si="0"/>
        <v>0</v>
      </c>
      <c r="E6" s="52" cm="1">
        <f t="array" ref="E6">IFERROR( SUMPRODUCT( ((Set!$B$2:$B$6000="PSYSTEM_1003")+ (Set!$C$2:$C$6000="PSYSTEM_1003"))* IFERROR(Set!$L$2:$L$6000,0) )/ SUMPRODUCT( ((Set!$B$2:$B$6000="PSYSTEM_1003")+ (Set!$C$2:$C$6000="PSYSTEM_1003"))* ISNUMBER(Set!$L$2:$L$6000) ),0)</f>
        <v>0</v>
      </c>
      <c r="F6" s="53"/>
      <c r="G6" s="54">
        <f t="shared" si="1"/>
        <v>0</v>
      </c>
      <c r="H6" s="1"/>
      <c r="I6" s="34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COUNTIFS(Set!$B$2:$B$2999,"PSYSTEM_1005",Set!$E$2:$E$2999,"&gt;100",Set!$L$2:$L$2999,"&gt;0")</f>
        <v>0</v>
      </c>
      <c r="C15" s="1">
        <f>COUNTIFS(Set!$C$2:$C$3999,"PSYSTEM_1005",Set!$E$2:$E$3999,"&gt;100",Set!$L$2:$L$3999,"&gt;0")+G15</f>
        <v>0</v>
      </c>
      <c r="D15" s="1">
        <f>COUNTIFS(Set!$B$2:$B$3999,"PSYSTEM_1005",Set!$E$2:$E$3999,"&gt;100")</f>
        <v>0</v>
      </c>
      <c r="E15" s="1">
        <f>COUNTIFS(Set!$C$2:$C$3999,"PSYSTEM_1005",Set!$E$2:$E$3999,"&gt;100")</f>
        <v>0</v>
      </c>
      <c r="F15" s="1"/>
      <c r="G15" s="32"/>
    </row>
    <row r="16" spans="1:9" x14ac:dyDescent="0.3">
      <c r="A16" s="5" t="s">
        <v>2238</v>
      </c>
      <c r="B16" s="1">
        <f>COUNTIFS(Set!$B$2:$B$2999,"PSYSTEM_1002",Set!$E$2:$E$2999,"&gt;100",Set!$L$2:$L$2999,"&gt;0")</f>
        <v>0</v>
      </c>
      <c r="C16" s="1">
        <f>COUNTIFS(Set!$C$2:$C$3999,"PSYSTEM_1002",Set!$E$2:$E$3999,"&gt;100",Set!$L$2:$L$3999,"&gt;0")+G16</f>
        <v>0</v>
      </c>
      <c r="D16" s="1">
        <f>COUNTIFS(Set!$B$2:$B$3999,"PSYSTEM_1002",Set!$E$2:$E$3999,"&gt;100")</f>
        <v>0</v>
      </c>
      <c r="E16" s="1">
        <f>COUNTIFS(Set!$C$2:$C$3999,"PSYSTEM_1002",Set!$E$2:$E$3999,"&gt;100")</f>
        <v>0</v>
      </c>
      <c r="F16" s="32"/>
      <c r="G16" s="32"/>
    </row>
    <row r="17" spans="1:9" x14ac:dyDescent="0.3">
      <c r="A17" s="19" t="s">
        <v>21</v>
      </c>
      <c r="B17" s="1">
        <f>COUNTIFS(Set!$B$2:$B$2999,"PSYSTEM_1004",Set!$E$2:$E$2999,"&gt;100",Set!$L$2:$L$2999,"&gt;0")</f>
        <v>0</v>
      </c>
      <c r="C17" s="1">
        <f>COUNTIFS(Set!$C$2:$C$3999,"PSYSTEM_1004",Set!$E$2:$E$3999,"&gt;100",Set!$L$2:$L$3999,"&gt;0")+G17</f>
        <v>0</v>
      </c>
      <c r="D17" s="1">
        <f>COUNTIFS(Set!$B$2:$B$3999,"PSYSTEM_1004",Set!$E$2:$E$3999,"&gt;100")</f>
        <v>0</v>
      </c>
      <c r="E17" s="1">
        <f>COUNTIFS(Set!$C$2:$C$3999,"PSYSTEM_1004",Set!$E$2:$E$3999,"&gt;100")</f>
        <v>0</v>
      </c>
      <c r="F17" s="1"/>
      <c r="G17" s="32"/>
    </row>
    <row r="18" spans="1:9" x14ac:dyDescent="0.3">
      <c r="A18" s="5" t="s">
        <v>32</v>
      </c>
      <c r="B18" s="1">
        <f>COUNTIFS(Set!$B$2:$B$2999,"PSYSTEM_1013",Set!$E$2:$E$2999,"&gt;100",Set!$L$2:$L$2999,"&gt;0")</f>
        <v>0</v>
      </c>
      <c r="C18" s="1">
        <f>COUNTIFS(Set!$C$2:$C$3999,"PSYSTEM_1013",Set!$E$2:$E$3999,"&gt;100",Set!$L$2:$L$3999,"&gt;0")+G18</f>
        <v>0</v>
      </c>
      <c r="D18" s="1">
        <f>COUNTIFS(Set!$B$2:$B$3999,"PSYSTEM_1013",Set!$E$2:$E$3999,"&gt;100")</f>
        <v>0</v>
      </c>
      <c r="E18" s="1">
        <f>COUNTIFS(Set!$C$2:$C$3999,"PSYSTEM_1013",Set!$E$2:$E$3999,"&gt;100")</f>
        <v>0</v>
      </c>
      <c r="F18" s="1"/>
      <c r="G18" s="1"/>
      <c r="H18" s="1"/>
      <c r="I18" s="1"/>
    </row>
    <row r="19" spans="1:9" x14ac:dyDescent="0.3">
      <c r="A19" s="19" t="s">
        <v>2213</v>
      </c>
      <c r="B19" s="1">
        <f>COUNTIFS(Set!$B$2:$B$2999,"PSYSTEM_1003",Set!$E$2:$E$2999,"&gt;100",Set!$L$2:$L$2999,"&gt;0")</f>
        <v>0</v>
      </c>
      <c r="C19" s="1">
        <f>COUNTIFS(Set!$C$2:$C$3999,"PSYSTEM_1003",Set!$E$2:$E$3999,"&gt;100",Set!$L$2:$L$3999,"&gt;0")+G19</f>
        <v>0</v>
      </c>
      <c r="D19" s="1">
        <f>COUNTIFS(Set!$B$2:$B$3999,"PSYSTEM_1003",Set!$E$2:$E$3999,"&gt;100")</f>
        <v>0</v>
      </c>
      <c r="E19" s="1">
        <f>COUNTIFS(Set!$C$2:$C$3999,"PSYSTEM_1003",Set!$E$2:$E$3999,"&gt;100")</f>
        <v>0</v>
      </c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1" max="1" width="16.88671875" style="32" bestFit="1" customWidth="1"/>
    <col min="2" max="2" width="26.21875" style="32" customWidth="1"/>
    <col min="3" max="4" width="16.33203125" style="32" bestFit="1" customWidth="1"/>
    <col min="5" max="5" width="17.44140625" style="32" bestFit="1" customWidth="1"/>
    <col min="6" max="16384" width="8.88671875" style="32"/>
  </cols>
  <sheetData>
    <row r="1" spans="1:5" x14ac:dyDescent="0.3">
      <c r="A1" s="29" t="s">
        <v>20</v>
      </c>
      <c r="B1" s="29" t="s">
        <v>2238</v>
      </c>
      <c r="C1" s="29" t="s">
        <v>21</v>
      </c>
      <c r="D1" s="29" t="s">
        <v>32</v>
      </c>
      <c r="E1" s="29" t="s">
        <v>22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87" zoomScaleNormal="115" workbookViewId="0">
      <selection activeCell="A16" sqref="A1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319</v>
      </c>
      <c r="C2" s="20">
        <f>B15+C15</f>
        <v>82</v>
      </c>
      <c r="D2" s="21">
        <f>C2/B2</f>
        <v>0.25705329153605017</v>
      </c>
      <c r="E2" s="40">
        <f>IFERROR( (('Nps Jul'!E2*'Nps Jul'!C2)+ ('Nps Ago'!E2*'Nps Ago'!C2)+ ('Nps Set'!E2*'Nps Set'!C2))/ ('Nps Jul'!C2+'Nps Ago'!C2+'Nps Set'!C2),0)</f>
        <v>4.8841463414634143</v>
      </c>
      <c r="F2" s="26"/>
      <c r="G2" s="30">
        <f>E2-F2</f>
        <v>4.8841463414634143</v>
      </c>
      <c r="H2" s="1"/>
      <c r="J2" s="25">
        <f>IF((((E15+B15+F15)*G2)/10)&gt;500,500,((E15+B15+F15)*G2/10))</f>
        <v>145.05914634146342</v>
      </c>
    </row>
    <row r="3" spans="1:10" x14ac:dyDescent="0.3">
      <c r="A3" s="5" t="s">
        <v>2238</v>
      </c>
      <c r="B3" s="6">
        <f t="shared" ref="B3:B6" si="0">D16+E16+F16</f>
        <v>236</v>
      </c>
      <c r="C3" s="6">
        <f>B16+C16</f>
        <v>83</v>
      </c>
      <c r="D3" s="33">
        <f>C3/B3</f>
        <v>0.35169491525423729</v>
      </c>
      <c r="E3" s="39">
        <f>IFERROR( (('Nps Jul'!E3*'Nps Jul'!C3)+ ('Nps Ago'!E3*'Nps Ago'!C3)+ ('Nps Set'!E3*'Nps Set'!C3))/ ('Nps Jul'!C3+'Nps Ago'!C3+'Nps Set'!C3),0)</f>
        <v>4.8855421686746991</v>
      </c>
      <c r="F3" s="8"/>
      <c r="G3" s="31">
        <f t="shared" ref="G3:G5" si="1">E3-F3</f>
        <v>4.8855421686746991</v>
      </c>
      <c r="H3" s="1"/>
      <c r="J3" s="25">
        <f>IF((((E16+B16+F16)*G3)/10)&gt;500,500,((E16+B16+F16)*G3/10))</f>
        <v>108.45903614457832</v>
      </c>
    </row>
    <row r="4" spans="1:10" x14ac:dyDescent="0.3">
      <c r="A4" s="19" t="s">
        <v>21</v>
      </c>
      <c r="B4" s="20">
        <f t="shared" si="0"/>
        <v>597</v>
      </c>
      <c r="C4" s="20">
        <f>B17+C17</f>
        <v>164</v>
      </c>
      <c r="D4" s="21">
        <f>C4/B4</f>
        <v>0.27470686767169178</v>
      </c>
      <c r="E4" s="40">
        <f>IFERROR( (('Nps Jul'!E4*'Nps Jul'!C4)+ ('Nps Ago'!E4*'Nps Ago'!C4)+ ('Nps Set'!E4*'Nps Set'!C4))/ ('Nps Jul'!C4+'Nps Ago'!C4+'Nps Set'!C4),0)</f>
        <v>4.9848484848484844</v>
      </c>
      <c r="F4" s="26"/>
      <c r="G4" s="30">
        <f t="shared" si="1"/>
        <v>4.9848484848484844</v>
      </c>
      <c r="H4" s="1"/>
      <c r="J4" s="25">
        <f>IF((((E17+B17+F17)*G4)/10)&gt;500,500,((E17+B17+F17)*G4/10))</f>
        <v>288.62272727272727</v>
      </c>
    </row>
    <row r="5" spans="1:10" x14ac:dyDescent="0.3">
      <c r="A5" s="5" t="s">
        <v>32</v>
      </c>
      <c r="B5" s="6">
        <f t="shared" si="0"/>
        <v>191</v>
      </c>
      <c r="C5" s="6">
        <f>B18+C18</f>
        <v>50</v>
      </c>
      <c r="D5" s="42">
        <f>C5/B5</f>
        <v>0.26178010471204188</v>
      </c>
      <c r="E5" s="39">
        <f>IFERROR( (('Nps Jul'!E5*'Nps Jul'!C5)+ ('Nps Ago'!E5*'Nps Ago'!C5)+ ('Nps Set'!E5*'Nps Set'!C5))/ ('Nps Jul'!C5+'Nps Ago'!C5+'Nps Set'!C5),0)</f>
        <v>4.9607843137254903</v>
      </c>
      <c r="F5" s="8"/>
      <c r="G5" s="31">
        <f t="shared" si="1"/>
        <v>4.9607843137254903</v>
      </c>
      <c r="H5" s="1"/>
      <c r="J5" s="25">
        <f>IF((((E18+B18+F18)*G5)/10)&gt;500,500,((E18+B18+F18)*G5/10))</f>
        <v>91.774509803921575</v>
      </c>
    </row>
    <row r="6" spans="1:10" x14ac:dyDescent="0.3">
      <c r="A6" s="19" t="s">
        <v>2213</v>
      </c>
      <c r="B6" s="20">
        <f t="shared" si="0"/>
        <v>201</v>
      </c>
      <c r="C6" s="20">
        <f>B19+C19</f>
        <v>55</v>
      </c>
      <c r="D6" s="21">
        <f>C6/B6</f>
        <v>0.27363184079601988</v>
      </c>
      <c r="E6" s="40">
        <f>IFERROR( (('Nps Jul'!E6*'Nps Jul'!C6)+ ('Nps Ago'!E6*'Nps Ago'!C6)+ ('Nps Set'!E6*'Nps Set'!C6))/ ('Nps Jul'!C6+'Nps Ago'!C6+'Nps Set'!C6),0)</f>
        <v>4.8909090909090907</v>
      </c>
      <c r="F6" s="26"/>
      <c r="G6" s="30">
        <f>E6-F6</f>
        <v>4.8909090909090907</v>
      </c>
      <c r="H6" s="1"/>
      <c r="J6" s="25">
        <f>IF((((E19+B19+F19)*G6)/10)&gt;500,500,((E19+B19+F19)*G6/10))</f>
        <v>95.861818181818165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C9/B9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J9" s="24">
        <f>SUM(J2:J7)</f>
        <v>729.77723774450874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35</v>
      </c>
      <c r="E14" s="2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20">
        <f>'Nps Jul'!B15+'Nps Ago'!B15+'Nps Set'!B15</f>
        <v>6</v>
      </c>
      <c r="C15" s="20">
        <f>'Nps Jul'!C15+'Nps Ago'!C15+'Nps Set'!C15</f>
        <v>76</v>
      </c>
      <c r="D15" s="20">
        <f>'Nps Jul'!D15+'Nps Ago'!D15+'Nps Set'!D15</f>
        <v>28</v>
      </c>
      <c r="E15" s="20">
        <f>'Nps Jul'!E15+'Nps Ago'!E15+'Nps Set'!E15</f>
        <v>215</v>
      </c>
      <c r="F15" s="20">
        <f>'Nps Jul'!F15+'Nps Ago'!F15+'Nps Set'!F15</f>
        <v>76</v>
      </c>
      <c r="G15" s="20">
        <f>'Nps Jul'!G15+'Nps Ago'!G15+'Nps Set'!G15</f>
        <v>12</v>
      </c>
    </row>
    <row r="16" spans="1:10" x14ac:dyDescent="0.3">
      <c r="A16" s="5" t="s">
        <v>2238</v>
      </c>
      <c r="B16" s="6">
        <f>'Nps Jul'!B16+'Nps Ago'!B16+'Nps Set'!B16</f>
        <v>5</v>
      </c>
      <c r="C16" s="6">
        <f>'Nps Jul'!C16+'Nps Ago'!C16+'Nps Set'!C16</f>
        <v>78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55</v>
      </c>
      <c r="G16" s="44">
        <f>'Nps Jul'!G16+'Nps Ago'!G16+'Nps Set'!G16</f>
        <v>11</v>
      </c>
    </row>
    <row r="17" spans="1:10" x14ac:dyDescent="0.3">
      <c r="A17" s="19" t="s">
        <v>21</v>
      </c>
      <c r="B17" s="20">
        <f>'Nps Jul'!B17+'Nps Ago'!B17+'Nps Set'!B17</f>
        <v>8</v>
      </c>
      <c r="C17" s="20">
        <f>'Nps Jul'!C17+'Nps Ago'!C17+'Nps Set'!C17</f>
        <v>156</v>
      </c>
      <c r="D17" s="20">
        <f>'Nps Jul'!D17+'Nps Ago'!D17+'Nps Set'!D17</f>
        <v>26</v>
      </c>
      <c r="E17" s="20">
        <f>'Nps Jul'!E17+'Nps Ago'!E17+'Nps Set'!E17</f>
        <v>379</v>
      </c>
      <c r="F17" s="20">
        <f>'Nps Jul'!F17+'Nps Ago'!F17+'Nps Set'!F17</f>
        <v>192</v>
      </c>
      <c r="G17" s="20">
        <f>'Nps Jul'!G17+'Nps Ago'!G17+'Nps Set'!G17</f>
        <v>43</v>
      </c>
    </row>
    <row r="18" spans="1:10" x14ac:dyDescent="0.3">
      <c r="A18" s="5" t="s">
        <v>32</v>
      </c>
      <c r="B18" s="6">
        <f>'Nps Jul'!B18+'Nps Ago'!B18+'Nps Set'!B18</f>
        <v>0</v>
      </c>
      <c r="C18" s="6">
        <f>'Nps Jul'!C18+'Nps Ago'!C18+'Nps Set'!C18</f>
        <v>50</v>
      </c>
      <c r="D18" s="6">
        <f>'Nps Jul'!D18+'Nps Ago'!D18+'Nps Set'!D18</f>
        <v>6</v>
      </c>
      <c r="E18" s="6">
        <f>'Nps Jul'!E18+'Nps Ago'!E18+'Nps Set'!E18</f>
        <v>115</v>
      </c>
      <c r="F18" s="6">
        <f>'Nps Jul'!F18+'Nps Ago'!F18+'Nps Set'!F18</f>
        <v>70</v>
      </c>
      <c r="G18" s="44">
        <f>'Nps Jul'!G18+'Nps Ago'!G18+'Nps Set'!G18</f>
        <v>14</v>
      </c>
      <c r="H18" s="1"/>
      <c r="J18" s="1"/>
    </row>
    <row r="19" spans="1:10" x14ac:dyDescent="0.3">
      <c r="A19" s="19" t="s">
        <v>2213</v>
      </c>
      <c r="B19" s="20">
        <f>'Nps Jul'!B19+'Nps Ago'!B19+'Nps Set'!B19</f>
        <v>0</v>
      </c>
      <c r="C19" s="20">
        <f>'Nps Jul'!C19+'Nps Ago'!C19+'Nps Set'!C19</f>
        <v>55</v>
      </c>
      <c r="D19" s="20">
        <f>'Nps Jul'!D19+'Nps Ago'!D19+'Nps Set'!D19</f>
        <v>5</v>
      </c>
      <c r="E19" s="20">
        <f>'Nps Jul'!E19+'Nps Ago'!E19+'Nps Set'!E19</f>
        <v>5</v>
      </c>
      <c r="F19" s="20">
        <f>'Nps Jul'!F19+'Nps Ago'!F19+'Nps Set'!F19</f>
        <v>191</v>
      </c>
      <c r="G19" s="20">
        <f>'Nps Jul'!G19+'Nps Ago'!G19+'Nps Set'!G19</f>
        <v>55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Jul</vt:lpstr>
      <vt:lpstr>Nps Jul</vt:lpstr>
      <vt:lpstr>Avaliações Jul</vt:lpstr>
      <vt:lpstr>Ago</vt:lpstr>
      <vt:lpstr>Nps Ago</vt:lpstr>
      <vt:lpstr>Avaliações Ago</vt:lpstr>
      <vt:lpstr>Set</vt:lpstr>
      <vt:lpstr>Nps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2026-08-25T14:16:39Z</dcterms:modified>
</cp:coreProperties>
</file>