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738" documentId="13_ncr:1_{CD7DB75D-BDE6-4CCD-A425-E7061A2FAC39}" xr6:coauthVersionLast="47" xr6:coauthVersionMax="47" xr10:uidLastSave="{12BB963C-6059-48A0-907A-028AEFB404B9}"/>
  <bookViews>
    <workbookView xWindow="-108" yWindow="-108" windowWidth="23256" windowHeight="12456" tabRatio="720" activeTab="4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Notas Trim" sheetId="13" r:id="rId9"/>
    <sheet name="NPS Trim" sheetId="12" r:id="rId10"/>
  </sheets>
  <definedNames>
    <definedName name="_xlnm._FilterDatabase" localSheetId="3" hidden="1">Ago!$A$1:$L$1</definedName>
    <definedName name="_xlnm._FilterDatabase" localSheetId="0" hidden="1">Jul!$A$1:$L$2277</definedName>
    <definedName name="_xlnm._FilterDatabase" localSheetId="8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9" hidden="1">'NPS Trim'!$A$1:$G$6</definedName>
    <definedName name="_xlnm._FilterDatabase" localSheetId="6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25" l="1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I6" i="25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19" l="1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C6" i="12" l="1"/>
  <c r="B6" i="12"/>
  <c r="C6" i="22"/>
  <c r="D6" i="12" l="1"/>
  <c r="C3" i="25"/>
  <c r="C2" i="25"/>
  <c r="C5" i="25"/>
  <c r="C4" i="25"/>
  <c r="C4" i="22"/>
  <c r="C5" i="22"/>
  <c r="C3" i="22"/>
  <c r="C6" i="19"/>
  <c r="E6" i="12" s="1"/>
  <c r="G6" i="12" s="1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5" i="12" l="1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B4" i="22"/>
  <c r="I3" i="22"/>
  <c r="I5" i="22"/>
  <c r="B2" i="22"/>
  <c r="B3" i="22"/>
  <c r="B5" i="22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D4" i="25"/>
  <c r="I4" i="25"/>
  <c r="D5" i="25"/>
  <c r="I2" i="25"/>
  <c r="C9" i="25"/>
  <c r="B9" i="25"/>
  <c r="D2" i="25"/>
  <c r="I3" i="25"/>
  <c r="D3" i="25"/>
  <c r="D3" i="22"/>
  <c r="D4" i="22"/>
  <c r="I4" i="22"/>
  <c r="C9" i="22"/>
  <c r="D2" i="22"/>
  <c r="B9" i="22"/>
  <c r="D5" i="22"/>
  <c r="I6" i="22"/>
  <c r="D6" i="22"/>
  <c r="I2" i="19"/>
  <c r="C9" i="19"/>
  <c r="D3" i="19"/>
  <c r="D5" i="19"/>
  <c r="B9" i="19"/>
  <c r="D6" i="19"/>
  <c r="D2" i="19"/>
  <c r="I6" i="19"/>
  <c r="D4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5" i="12" l="1"/>
  <c r="D9" i="25"/>
  <c r="D9" i="22"/>
  <c r="D9" i="19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<sst xmlns="http://schemas.openxmlformats.org/spreadsheetml/2006/main" count="16002" uniqueCount="2239">
  <si>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</si>
  <si>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</si>
  <si>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</si>
  <si>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</si>
  <si>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</si>
  <si>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</si>
  <si>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</si>
  <si>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</si>
  <si>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</si>
  <si>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</si>
  <si>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</si>
  <si>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</si>
  <si>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</si>
  <si>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</si>
  <si>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</si>
  <si>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</si>
  <si>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</si>
  <si>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</si>
  <si>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</si>
  <si>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</si>
  <si>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</si>
  <si>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</si>
  <si>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</si>
  <si>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</si>
  <si>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</si>
  <si>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</si>
  <si>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</si>
  <si>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</si>
  <si>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</si>
  <si>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</si>
  <si>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</si>
  <si>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</si>
  <si>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</si>
  <si>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</si>
  <si>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</si>
  <si>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</si>
  <si>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</si>
  <si>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</si>
  <si>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</si>
  <si>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</si>
  <si>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</si>
  <si>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</si>
  <si>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</si>
  <si>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</si>
  <si>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</si>
  <si>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</si>
  <si>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</si>
  <si>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</si>
  <si>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</si>
  <si>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</si>
  <si>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</si>
  <si>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</si>
  <si>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</si>
  <si>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</si>
  <si>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</si>
  <si>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</si>
  <si>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</si>
  <si>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</si>
  <si>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</si>
  <si>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</si>
  <si>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</si>
  <si>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</si>
  <si>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</si>
  <si>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</si>
  <si>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</si>
  <si>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</si>
  <si>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</si>
  <si>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</si>
  <si>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</si>
  <si>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</si>
  <si>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</si>
  <si>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</si>
  <si>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</si>
  <si>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</si>
  <si>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</si>
  <si>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</si>
  <si>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</si>
  <si>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</si>
  <si>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</si>
  <si>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</si>
  <si>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</si>
  <si>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</si>
  <si>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</si>
  <si>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</si>
  <si>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</si>
  <si>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</si>
  <si>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</si>
  <si>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</si>
  <si>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</si>
  <si>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</si>
  <si>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</si>
  <si>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</si>
  <si>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</si>
  <si>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</si>
  <si>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</si>
  <si>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</si>
  <si>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</si>
  <si>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</si>
  <si>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</si>
  <si>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</si>
  <si>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</si>
  <si>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</si>
  <si>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</si>
  <si>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</si>
  <si>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</si>
  <si>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</si>
  <si>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</si>
  <si>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</si>
  <si>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</si>
  <si>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</si>
  <si>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</si>
  <si>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</si>
  <si>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</si>
  <si>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</si>
  <si>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</si>
  <si>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</si>
  <si>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</si>
  <si>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</si>
  <si>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</si>
  <si>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</si>
  <si>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</si>
  <si>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</si>
  <si>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</si>
  <si>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</si>
  <si>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</si>
  <si>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</si>
  <si>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</si>
  <si>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</si>
  <si>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</si>
  <si>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</si>
  <si>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</si>
  <si>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</si>
  <si>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</si>
  <si>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</si>
  <si>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</si>
  <si>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</si>
  <si>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</si>
  <si>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</si>
  <si>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</si>
  <si>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</si>
  <si>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</si>
  <si>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</si>
  <si>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</si>
  <si>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</si>
  <si>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</si>
  <si>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</si>
  <si>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</si>
  <si>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</si>
  <si>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</si>
  <si>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</si>
  <si>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</si>
  <si>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</si>
  <si>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</si>
  <si>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</si>
  <si>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</si>
  <si>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</si>
  <si>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</si>
  <si>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</si>
  <si>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</si>
  <si>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</si>
  <si>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</si>
  <si>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</si>
  <si>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</si>
  <si>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</si>
  <si>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</si>
  <si>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</si>
  <si>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</si>
  <si>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</si>
  <si>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</si>
  <si>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</si>
  <si>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</si>
  <si>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</si>
  <si>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</si>
  <si>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</si>
  <si>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</si>
  <si>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</si>
  <si>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</si>
  <si>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</si>
  <si>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</si>
  <si>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</si>
  <si>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</si>
  <si>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</si>
  <si>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</si>
  <si>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</si>
  <si>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</si>
  <si>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</si>
  <si>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</si>
  <si>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</si>
  <si>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</si>
  <si>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</si>
  <si>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</si>
  <si>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</si>
  <si>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</si>
  <si>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</si>
  <si>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</si>
  <si>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</si>
  <si>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</si>
  <si>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</si>
  <si>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</si>
  <si>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</si>
  <si>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</si>
  <si>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</si>
  <si>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</si>
  <si>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</si>
  <si>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</si>
  <si>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</si>
  <si>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</si>
  <si>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</si>
  <si>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</si>
  <si>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</si>
  <si>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</si>
  <si>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</si>
  <si>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</si>
  <si>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</si>
  <si>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</si>
  <si>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</si>
  <si>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</si>
  <si>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</si>
  <si>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</si>
  <si>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</si>
  <si>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</si>
  <si>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</si>
  <si>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</si>
  <si>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</si>
  <si>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</si>
  <si>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</si>
  <si>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</si>
  <si>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</si>
  <si>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</si>
  <si>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</si>
  <si>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</si>
  <si>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</si>
  <si>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</si>
  <si>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</si>
  <si>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</si>
  <si>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</si>
  <si>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</si>
  <si>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</si>
  <si>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</si>
  <si>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</si>
  <si>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</si>
  <si>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</si>
  <si>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</si>
  <si>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</si>
  <si>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</si>
  <si>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</si>
  <si>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</si>
  <si>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</si>
  <si>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</si>
  <si>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</si>
  <si>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</si>
  <si>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</si>
  <si>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</si>
  <si>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</si>
  <si>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</si>
  <si>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</si>
  <si>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</si>
  <si>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</si>
  <si>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</si>
  <si>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</si>
  <si>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</si>
  <si>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</si>
  <si>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</si>
  <si>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</si>
  <si>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</si>
  <si>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</si>
  <si>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</si>
  <si>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</si>
  <si>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</si>
  <si>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</si>
  <si>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</si>
  <si>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</si>
  <si>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</si>
  <si>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</si>
  <si>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</si>
  <si>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</si>
  <si>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</si>
  <si>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</si>
  <si>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</si>
  <si>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</si>
  <si>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</si>
  <si>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</si>
  <si>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</si>
  <si>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</si>
  <si>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</si>
  <si>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</si>
  <si>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</si>
  <si>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</si>
  <si>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</si>
  <si>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</si>
  <si>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</si>
  <si>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</si>
  <si>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</si>
  <si>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</si>
  <si>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</si>
  <si>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</si>
  <si>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</si>
  <si>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</si>
  <si>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</si>
  <si>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</si>
  <si>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</si>
  <si>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</si>
  <si>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</si>
  <si>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</si>
  <si>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</si>
  <si>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</si>
  <si>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</si>
  <si>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</si>
  <si>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</si>
  <si>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</si>
  <si>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</si>
  <si>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</si>
  <si>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</si>
  <si>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</si>
  <si>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</si>
  <si>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</si>
  <si>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</si>
  <si>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</si>
  <si>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</si>
  <si>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</si>
  <si>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</si>
  <si>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</si>
  <si>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</si>
  <si>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</si>
  <si>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</si>
  <si>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</si>
  <si>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</si>
  <si>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</si>
  <si>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</si>
  <si>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</si>
  <si>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</si>
  <si>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</si>
  <si>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</si>
  <si>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</si>
  <si>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</si>
  <si>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</si>
  <si>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</si>
  <si>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</si>
  <si>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</si>
  <si>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</si>
  <si>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</si>
  <si>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</si>
  <si>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</si>
  <si>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</si>
  <si>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</si>
  <si>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</si>
  <si>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</si>
  <si>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</si>
  <si>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</si>
  <si>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</si>
  <si>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</si>
  <si>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</si>
  <si>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</si>
  <si>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</si>
  <si>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</si>
  <si>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</si>
  <si>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</si>
  <si>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</si>
  <si>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</si>
  <si>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</si>
  <si>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</si>
  <si>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</si>
  <si>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</si>
  <si>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</si>
  <si>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</si>
  <si>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</si>
  <si>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</si>
  <si>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</si>
  <si>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</si>
  <si>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</si>
  <si>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</si>
  <si>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</si>
  <si>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</si>
  <si>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</si>
  <si>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</si>
  <si>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</si>
  <si>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</si>
  <si>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</si>
  <si>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</si>
  <si>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</si>
  <si>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</si>
  <si>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</si>
  <si>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</si>
  <si>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</si>
  <si>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</si>
  <si>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</si>
  <si>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</si>
  <si>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</si>
  <si>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</si>
  <si>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</si>
  <si>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</si>
  <si>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</si>
  <si>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</si>
  <si>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</si>
  <si>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</si>
  <si>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</si>
  <si>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</si>
  <si>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</si>
  <si>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</si>
  <si>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</si>
  <si>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</si>
  <si>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</si>
  <si>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</si>
  <si>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</si>
  <si>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</si>
  <si>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</si>
  <si>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</si>
  <si>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</si>
  <si>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</si>
  <si>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</si>
  <si>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</si>
  <si>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</si>
  <si>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</si>
  <si>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</si>
  <si>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</si>
  <si>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</si>
  <si>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</si>
  <si>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</si>
  <si>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</si>
  <si>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</si>
  <si>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</si>
  <si>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</si>
  <si>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</si>
  <si>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</si>
  <si>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</si>
  <si>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</si>
  <si>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</si>
  <si>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</si>
  <si>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</si>
  <si>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</si>
  <si>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</si>
  <si>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</si>
  <si>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</si>
  <si>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</si>
  <si>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</si>
  <si>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</si>
  <si>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</si>
  <si>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</si>
  <si>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</si>
  <si>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</si>
  <si>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</si>
  <si>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</si>
  <si>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</si>
  <si>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</si>
  <si>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</si>
  <si>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</si>
  <si>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</si>
  <si>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</si>
  <si>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</si>
  <si>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</si>
  <si>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</si>
  <si>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</si>
  <si>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</si>
  <si>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</si>
  <si>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</si>
  <si>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</si>
  <si>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</si>
  <si>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</si>
  <si>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</si>
  <si>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</si>
  <si>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</si>
  <si>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</si>
  <si>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</si>
  <si>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</si>
  <si>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</si>
  <si>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</si>
  <si>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</si>
  <si>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</si>
  <si>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</si>
  <si>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</si>
  <si>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</si>
  <si>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</si>
  <si>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</si>
  <si>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</si>
  <si>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</si>
  <si>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</si>
  <si>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</si>
  <si>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</si>
  <si>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</si>
  <si>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</si>
  <si>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</si>
  <si>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</si>
  <si>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</si>
  <si>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</si>
  <si>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</si>
  <si>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</si>
  <si>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</si>
  <si>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</si>
  <si>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</si>
  <si>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</si>
  <si>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</si>
  <si>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</si>
  <si>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</si>
  <si>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</si>
  <si>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</si>
  <si>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</si>
  <si>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</si>
  <si>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</si>
  <si>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</si>
  <si>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</si>
  <si>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</si>
  <si>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</si>
  <si>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</si>
  <si>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</si>
  <si>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</si>
  <si>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</si>
  <si>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</si>
  <si>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</si>
  <si>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</si>
  <si>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</si>
  <si>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</si>
  <si>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</si>
  <si>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</si>
  <si>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</si>
  <si>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</si>
  <si>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</si>
  <si>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</si>
  <si>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</si>
  <si>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</si>
  <si>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</si>
  <si>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</si>
  <si>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</si>
  <si>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</si>
  <si>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</si>
  <si>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</si>
  <si>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</si>
  <si>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</si>
  <si>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</si>
  <si>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</si>
  <si>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</si>
  <si>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</si>
  <si>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</si>
  <si>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</si>
  <si>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</si>
  <si>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</si>
  <si>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</si>
  <si>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</si>
  <si>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</si>
  <si>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</si>
  <si>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</si>
  <si>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</si>
  <si>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</si>
  <si>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</si>
  <si>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</si>
  <si>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</si>
  <si>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</si>
  <si>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</si>
  <si>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</si>
  <si>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</si>
  <si>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</si>
  <si>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</si>
  <si>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</si>
  <si>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</si>
  <si>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</si>
  <si>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</si>
  <si>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</si>
  <si>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</si>
  <si>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</si>
  <si>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</si>
  <si>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</si>
  <si>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</si>
  <si>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</si>
  <si>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</si>
  <si>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</si>
  <si>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</si>
  <si>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</si>
  <si>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</si>
  <si>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</si>
  <si>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</si>
  <si>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</si>
  <si>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</si>
  <si>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</si>
  <si>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</si>
  <si>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</si>
  <si>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</si>
  <si>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</si>
  <si>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</si>
  <si>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</si>
  <si>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</si>
  <si>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</si>
  <si>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</si>
  <si>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</si>
  <si>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</si>
  <si>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</si>
  <si>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</si>
  <si>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</si>
  <si>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</si>
  <si>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</si>
  <si>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</si>
  <si>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</si>
  <si>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</si>
  <si>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</si>
  <si>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</si>
  <si>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</si>
  <si>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</si>
  <si>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</si>
  <si>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</si>
  <si>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</si>
  <si>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</si>
  <si>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</si>
  <si>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</si>
  <si>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</si>
  <si>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</si>
  <si>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</si>
  <si>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</si>
  <si>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</si>
  <si>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</si>
  <si>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</si>
  <si>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</si>
  <si>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</si>
  <si>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</si>
  <si>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</si>
  <si>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</si>
  <si>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</si>
  <si>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</si>
  <si>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</si>
  <si>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</si>
  <si>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</si>
  <si>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</si>
  <si>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</si>
  <si>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</si>
  <si>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</si>
  <si>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</si>
  <si>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</si>
  <si>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</si>
  <si>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</si>
  <si>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</si>
  <si>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</si>
  <si>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</si>
  <si>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</si>
  <si>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</si>
  <si>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</si>
  <si>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</si>
  <si>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</si>
  <si>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</si>
  <si>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</si>
  <si>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</si>
  <si>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</si>
  <si>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</si>
  <si>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</si>
  <si>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</si>
  <si>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</si>
  <si>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</si>
  <si>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</si>
  <si>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</si>
  <si>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</si>
  <si>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</si>
  <si>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</si>
  <si>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</si>
  <si>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</si>
  <si>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</si>
  <si>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</si>
  <si>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</si>
  <si>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</si>
  <si>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</si>
  <si>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</si>
  <si>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</si>
  <si>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</si>
  <si>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</si>
  <si>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</si>
  <si>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</si>
  <si>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</si>
  <si>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</si>
  <si>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</si>
  <si>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</si>
  <si>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</si>
  <si>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</si>
  <si>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</si>
  <si>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</si>
  <si>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</si>
  <si>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</si>
  <si>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</si>
  <si>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</si>
  <si>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</si>
  <si>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</si>
  <si>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</si>
  <si>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</si>
  <si>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</si>
  <si>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</si>
  <si>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</si>
  <si>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</si>
  <si>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</si>
  <si>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</si>
  <si>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</si>
  <si>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</si>
  <si>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</si>
  <si>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</si>
  <si>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</si>
  <si>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</si>
  <si>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</si>
  <si>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</si>
  <si>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</si>
  <si>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</si>
  <si>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</si>
  <si>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</si>
  <si>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</si>
  <si>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</si>
  <si>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</si>
  <si>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</si>
  <si>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</si>
  <si>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</si>
  <si>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</si>
  <si>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</si>
  <si>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</si>
  <si>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</si>
  <si>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</si>
  <si>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</si>
  <si>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</si>
  <si>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</si>
  <si>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</si>
  <si>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</si>
  <si>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</si>
  <si>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</si>
  <si>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</si>
  <si>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</si>
  <si>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</si>
  <si>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</si>
  <si>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</si>
  <si>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</si>
  <si>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</si>
  <si>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</si>
  <si>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</si>
  <si>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</si>
  <si>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</si>
  <si>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</si>
  <si>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</si>
  <si>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</si>
  <si>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</si>
  <si>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</si>
  <si>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</si>
  <si>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</si>
  <si>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</si>
  <si>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</si>
  <si>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</si>
  <si>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</si>
  <si>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</si>
  <si>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</si>
  <si>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</si>
  <si>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</si>
  <si>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</si>
  <si>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</si>
  <si>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</si>
  <si>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</si>
  <si>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</si>
  <si>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</si>
  <si>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</si>
  <si>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</si>
  <si>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</si>
  <si>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</si>
  <si>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</si>
  <si>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</si>
  <si>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</si>
  <si>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</si>
  <si>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</si>
  <si>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</si>
  <si>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</si>
  <si>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</si>
  <si>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</si>
  <si>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</si>
  <si>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</si>
  <si>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</si>
  <si>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</si>
  <si>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</si>
  <si>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</si>
  <si>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</si>
  <si>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</si>
  <si>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</si>
  <si>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</si>
  <si>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</si>
  <si>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</si>
  <si>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</si>
  <si>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</si>
  <si>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</si>
  <si>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</si>
  <si>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</si>
  <si>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</si>
  <si>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</si>
  <si>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</si>
  <si>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</si>
  <si>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</si>
  <si>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</si>
  <si>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</si>
  <si>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</si>
  <si>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</si>
  <si>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</si>
  <si>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</si>
  <si>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</si>
  <si>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</si>
  <si>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</si>
  <si>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</si>
  <si>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</si>
  <si>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</si>
  <si>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</si>
  <si>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</si>
  <si>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</si>
  <si>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</si>
  <si>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</si>
  <si>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</si>
  <si>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</si>
  <si>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</si>
  <si>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</si>
  <si>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</si>
  <si>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</si>
  <si>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</si>
  <si>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</si>
  <si>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</si>
  <si>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</si>
  <si>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</si>
  <si>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</si>
  <si>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</si>
  <si>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</si>
  <si>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</si>
  <si>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</si>
  <si>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</si>
  <si>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</si>
  <si>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</si>
  <si>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</si>
  <si>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</si>
  <si>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</si>
  <si>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</si>
  <si>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</si>
  <si>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</si>
  <si>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</si>
  <si>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</si>
  <si>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</si>
  <si>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</si>
  <si>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</si>
  <si>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</si>
  <si>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</si>
  <si>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</si>
  <si>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</si>
  <si>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</si>
  <si>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</si>
  <si>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</si>
  <si>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</si>
  <si>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</si>
  <si>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</si>
  <si>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</si>
  <si>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</si>
  <si>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</si>
  <si>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</si>
  <si>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</si>
  <si>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</si>
  <si>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</si>
  <si>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</si>
  <si>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</si>
  <si>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</si>
  <si>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</si>
  <si>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</si>
  <si>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</si>
  <si>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</si>
  <si>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</si>
  <si>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</si>
  <si>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</si>
  <si>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</si>
  <si>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</si>
  <si>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</si>
  <si>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</si>
  <si>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</si>
  <si>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</si>
  <si>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</si>
  <si>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</si>
  <si>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</si>
  <si>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</si>
  <si>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</si>
  <si>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</si>
  <si>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</si>
  <si>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</si>
  <si>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</si>
  <si>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</si>
  <si>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</si>
  <si>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</si>
  <si>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</si>
  <si>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</si>
  <si>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</si>
  <si>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</si>
  <si>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</si>
  <si>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</si>
  <si>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</si>
  <si>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</si>
  <si>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</si>
  <si>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</si>
  <si>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</si>
  <si>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</si>
  <si>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</si>
  <si>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</si>
  <si>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</si>
  <si>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</si>
  <si>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</si>
  <si>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</si>
  <si>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</si>
  <si>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</si>
  <si>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</si>
  <si>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</si>
  <si>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</si>
  <si>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</si>
  <si>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</si>
  <si>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</si>
  <si>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</si>
  <si>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</si>
  <si>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</si>
  <si>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</si>
  <si>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</si>
  <si>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</si>
  <si>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</si>
  <si>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</si>
  <si>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</si>
  <si>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</si>
  <si>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</si>
  <si>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</si>
  <si>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</si>
  <si>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</si>
  <si>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</si>
  <si>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</si>
  <si>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</si>
  <si>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</si>
  <si>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</si>
  <si>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</si>
  <si>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</si>
  <si>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</si>
  <si>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</si>
  <si>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</si>
  <si>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</si>
  <si>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</si>
  <si>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</si>
  <si>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</si>
  <si>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</si>
  <si>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</si>
  <si>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</si>
  <si>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</si>
  <si>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</si>
  <si>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</si>
  <si>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</si>
  <si>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</si>
  <si>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</si>
  <si>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</si>
  <si>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</si>
  <si>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</si>
  <si>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</si>
  <si>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</si>
  <si>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</si>
  <si>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</si>
  <si>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</si>
  <si>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</si>
  <si>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</si>
  <si>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</si>
  <si>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</si>
  <si>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</si>
  <si>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</si>
  <si>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</si>
  <si>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</si>
  <si>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</si>
  <si>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</si>
  <si>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</si>
  <si>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</si>
  <si>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</si>
  <si>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</si>
  <si>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</si>
  <si>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</si>
  <si>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</si>
  <si>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</si>
  <si>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</si>
  <si>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</si>
  <si>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</si>
  <si>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</si>
  <si>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</si>
  <si>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</si>
  <si>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</si>
  <si>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</si>
  <si>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</si>
  <si>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</si>
  <si>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</si>
  <si>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</si>
  <si>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</si>
  <si>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</si>
  <si>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</si>
  <si>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</si>
  <si>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</si>
  <si>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</si>
  <si>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</si>
  <si>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</si>
  <si>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</si>
  <si>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</si>
  <si>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</si>
  <si>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</si>
  <si>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</si>
  <si>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</si>
  <si>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</si>
  <si>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</si>
  <si>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</si>
  <si>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</si>
  <si>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</si>
  <si>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</si>
  <si>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</si>
  <si>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</si>
  <si>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</si>
  <si>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</si>
  <si>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</si>
  <si>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</si>
  <si>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</si>
  <si>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</si>
  <si>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</si>
  <si>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</si>
  <si>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</si>
  <si>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</si>
  <si>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</si>
  <si>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</si>
  <si>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</si>
  <si>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</si>
  <si>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</si>
  <si>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</si>
  <si>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</si>
  <si>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</si>
  <si>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</si>
  <si>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</si>
  <si>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</si>
  <si>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</si>
  <si>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</si>
  <si>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</si>
  <si>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</si>
  <si>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</si>
  <si>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</si>
  <si>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</si>
  <si>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</si>
  <si>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</si>
  <si>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</si>
  <si>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</si>
  <si>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</si>
  <si>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</si>
  <si>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</si>
  <si>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</si>
  <si>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</si>
  <si>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</si>
  <si>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</si>
  <si>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</si>
  <si>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</si>
  <si>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</si>
  <si>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</si>
  <si>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</si>
  <si>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</si>
  <si>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</si>
  <si>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</si>
  <si>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</si>
  <si>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</si>
  <si>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</si>
  <si>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</si>
  <si>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</si>
  <si>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</si>
  <si>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</si>
  <si>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</si>
  <si>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</si>
  <si>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</si>
  <si>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</si>
  <si>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</si>
  <si>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</si>
  <si>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</si>
  <si>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</si>
  <si>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</si>
  <si>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</si>
  <si>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</si>
  <si>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</si>
  <si>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</si>
  <si>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</si>
  <si>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</si>
  <si>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</si>
  <si>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</si>
  <si>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</si>
  <si>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</si>
  <si>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</si>
  <si>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</si>
  <si>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</si>
  <si>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</si>
  <si>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</si>
  <si>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</si>
  <si>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</si>
  <si>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</si>
  <si>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</si>
  <si>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</si>
  <si>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</si>
  <si>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</si>
  <si>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</si>
  <si>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</si>
  <si>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</si>
  <si>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</si>
  <si>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</si>
  <si>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</si>
  <si>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</si>
  <si>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</si>
  <si>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</si>
  <si>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</si>
  <si>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</si>
  <si>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</si>
  <si>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</si>
  <si>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</si>
  <si>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</si>
  <si>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</si>
  <si>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</si>
  <si>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</si>
  <si>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</si>
  <si>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</si>
  <si>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</si>
  <si>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</si>
  <si>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</si>
  <si>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</si>
  <si>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</si>
  <si>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</si>
  <si>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</si>
  <si>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</si>
  <si>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</si>
  <si>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</si>
  <si>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</si>
  <si>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</si>
  <si>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</si>
  <si>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</si>
  <si>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</si>
  <si>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</si>
  <si>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</si>
  <si>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</si>
  <si>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</si>
  <si>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</si>
  <si>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</si>
  <si>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</si>
  <si>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</si>
  <si>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</si>
  <si>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</si>
  <si>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</si>
  <si>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</si>
  <si>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</si>
  <si>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</si>
  <si>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</si>
  <si>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</si>
  <si>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</si>
  <si>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</si>
  <si>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</si>
  <si>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</si>
  <si>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</si>
  <si>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</si>
  <si>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</si>
  <si>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</si>
  <si>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</si>
  <si>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</si>
  <si>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</si>
  <si>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</si>
  <si>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</si>
  <si>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</si>
  <si>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</si>
  <si>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</si>
  <si>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</si>
  <si>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</si>
  <si>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</si>
  <si>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</si>
  <si>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</si>
  <si>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</si>
  <si>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</si>
  <si>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</si>
  <si>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</si>
  <si>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</si>
  <si>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</si>
  <si>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</si>
  <si>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</si>
  <si>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</si>
  <si>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</si>
  <si>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</si>
  <si>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</si>
  <si>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</si>
  <si>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</si>
  <si>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</si>
  <si>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</si>
  <si>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</si>
  <si>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</si>
  <si>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</si>
  <si>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</si>
  <si>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</si>
  <si>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</si>
  <si>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</si>
  <si>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</si>
  <si>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</si>
  <si>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</si>
  <si>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</si>
  <si>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</si>
  <si>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</si>
  <si>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</si>
  <si>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</si>
  <si>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</si>
  <si>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</si>
  <si>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</si>
  <si>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</si>
  <si>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</si>
  <si>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</si>
  <si>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</si>
  <si>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</si>
  <si>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</si>
  <si>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</si>
  <si>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</si>
  <si>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</si>
  <si>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</si>
  <si>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</si>
  <si>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</si>
  <si>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</si>
  <si>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</si>
  <si>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</si>
  <si>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</si>
  <si>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</si>
  <si>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</si>
  <si>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</si>
  <si>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</si>
  <si>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</si>
  <si>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</si>
  <si>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</si>
  <si>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</si>
  <si>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</si>
  <si>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</si>
  <si>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</si>
  <si>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</si>
  <si>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</si>
  <si>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</si>
  <si>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</si>
  <si>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</si>
  <si>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</si>
  <si>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</si>
  <si>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</si>
  <si>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</si>
  <si>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</si>
  <si>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</si>
  <si>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</si>
  <si>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</si>
  <si>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</si>
  <si>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</si>
  <si>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</si>
  <si>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</si>
  <si>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</si>
  <si>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</si>
  <si>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</si>
  <si>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</si>
  <si>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</si>
  <si>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</si>
  <si>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</si>
  <si>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</si>
  <si>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</si>
  <si>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</si>
  <si>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</si>
  <si>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</si>
  <si>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</si>
  <si>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</si>
  <si>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</si>
  <si>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</si>
  <si>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</si>
  <si>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</si>
  <si>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</si>
  <si>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</si>
  <si>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</si>
  <si>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</si>
  <si>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</si>
  <si>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</si>
  <si>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</si>
  <si>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</si>
  <si>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</si>
  <si>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</si>
  <si>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</si>
  <si>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</si>
  <si>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</si>
  <si>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</si>
  <si>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</si>
  <si>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</si>
  <si>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</si>
  <si>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</si>
  <si>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</si>
  <si>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</si>
  <si>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</si>
  <si>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</si>
  <si>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</si>
  <si>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</si>
  <si>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</si>
  <si>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</si>
  <si>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</si>
  <si>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</si>
  <si>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</si>
  <si>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</si>
  <si>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</si>
  <si>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</si>
  <si>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</si>
  <si>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</si>
  <si>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</si>
  <si>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</si>
  <si>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</si>
  <si>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</si>
  <si>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</si>
  <si>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</si>
  <si>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</si>
  <si>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</si>
  <si>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</si>
  <si>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</si>
  <si>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</si>
  <si>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</si>
  <si>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</si>
  <si>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</si>
  <si>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</si>
  <si>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</si>
  <si>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</si>
  <si>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</si>
  <si>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</si>
  <si>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</si>
  <si>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</si>
  <si>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</si>
  <si>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</si>
  <si>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</si>
  <si>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</si>
  <si>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</si>
  <si>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</si>
  <si>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</si>
  <si>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</si>
  <si>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</si>
  <si>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</si>
  <si>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</si>
  <si>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</si>
  <si>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</si>
  <si>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</si>
  <si>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</si>
  <si>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</si>
  <si>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</si>
  <si>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</si>
  <si>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</si>
  <si>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</si>
  <si>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</si>
  <si>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</si>
  <si>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</si>
  <si>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</si>
  <si>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</si>
  <si>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</si>
  <si>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</si>
  <si>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</si>
  <si>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</si>
  <si>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</si>
  <si>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</si>
  <si>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</si>
  <si>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</si>
  <si>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</si>
  <si>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</si>
  <si>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</si>
  <si>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</si>
  <si>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</si>
  <si>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</si>
  <si>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</si>
  <si>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</si>
  <si>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</si>
  <si>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</si>
  <si>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</si>
  <si>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</si>
  <si>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</si>
  <si>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</si>
  <si>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</si>
  <si>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</si>
  <si>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</si>
  <si>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</si>
  <si>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</si>
  <si>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</si>
  <si>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</si>
  <si>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</si>
  <si>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</si>
  <si>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</si>
  <si>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</si>
  <si>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</si>
  <si>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</si>
  <si>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</si>
  <si>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</si>
  <si>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</si>
  <si>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</si>
  <si>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</si>
  <si>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</si>
  <si>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</si>
  <si>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</si>
  <si>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</si>
  <si>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</si>
  <si>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</si>
  <si>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</si>
  <si>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</si>
  <si>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</si>
  <si>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</si>
  <si>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</si>
  <si>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</si>
  <si>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</si>
  <si>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</si>
  <si>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</si>
  <si>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</si>
  <si>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</si>
  <si>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</si>
  <si>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</si>
  <si>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</si>
  <si>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</si>
  <si>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</si>
  <si>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</si>
  <si>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</si>
  <si>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</si>
  <si>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</si>
  <si>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</si>
  <si>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</si>
  <si>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</si>
  <si>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</si>
  <si>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</si>
  <si>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</si>
  <si>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</si>
  <si>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</si>
  <si>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</si>
  <si>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</si>
  <si>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</si>
  <si>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</si>
  <si>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</si>
  <si>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</si>
  <si>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</si>
  <si>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</si>
  <si>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</si>
  <si>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</si>
  <si>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</si>
  <si>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</si>
  <si>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</si>
  <si>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</si>
  <si>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</si>
  <si>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</si>
  <si>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</si>
  <si>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</si>
  <si>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</si>
  <si>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</si>
  <si>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</si>
  <si>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</si>
  <si>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</si>
  <si>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</si>
  <si>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</si>
  <si>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</si>
  <si>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</si>
  <si>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</si>
  <si>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</si>
  <si>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</si>
  <si>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</si>
  <si>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</si>
  <si>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</si>
  <si>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</si>
  <si>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</si>
  <si>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</si>
  <si>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</si>
  <si>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</si>
  <si>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</si>
  <si>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</si>
  <si>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</si>
  <si>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</si>
  <si>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</si>
  <si>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</si>
  <si>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</si>
  <si>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</si>
  <si>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</si>
  <si>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</si>
  <si>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</si>
  <si>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</si>
  <si>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</si>
  <si>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</si>
  <si>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</si>
  <si>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</si>
  <si>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</si>
  <si>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</si>
  <si>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</si>
  <si>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</si>
  <si>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</si>
  <si>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</si>
  <si>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</si>
  <si>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</si>
  <si>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</si>
  <si>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</si>
  <si>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</si>
  <si>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</si>
  <si>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</si>
  <si>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</si>
  <si>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</si>
  <si>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</si>
  <si>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</si>
  <si>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</si>
  <si>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</si>
  <si>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</si>
  <si>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</si>
  <si>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</si>
  <si>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</si>
  <si>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</si>
  <si>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</si>
  <si>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</si>
  <si>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</si>
  <si>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</si>
  <si>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</si>
  <si>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</si>
  <si>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</si>
  <si>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</si>
  <si>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</si>
  <si>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</si>
  <si>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</si>
  <si>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</si>
  <si>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</si>
  <si>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</si>
  <si>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</si>
  <si>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</si>
  <si>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</si>
  <si>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</si>
  <si>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</si>
  <si>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</si>
  <si>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</si>
  <si>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</si>
  <si>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</si>
  <si>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</si>
  <si>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</si>
  <si>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</si>
  <si>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</si>
  <si>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</si>
  <si>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</si>
  <si>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</si>
  <si>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</si>
  <si>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</si>
  <si>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</si>
  <si>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</si>
  <si>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</si>
  <si>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</si>
  <si>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</si>
  <si>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</si>
  <si>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</si>
  <si>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</si>
  <si>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</si>
  <si>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</si>
  <si>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</si>
  <si>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</si>
  <si>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</si>
  <si>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</si>
  <si>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</si>
  <si>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</si>
  <si>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</si>
  <si>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</si>
  <si>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</si>
  <si>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</si>
  <si>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</si>
  <si>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</si>
  <si>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</si>
  <si>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</si>
  <si>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</si>
  <si>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</si>
  <si>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</si>
  <si>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</si>
  <si>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</si>
  <si>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</si>
  <si>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</si>
  <si>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</si>
  <si>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</si>
  <si>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</si>
  <si>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</si>
  <si>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</si>
  <si>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</si>
  <si>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</si>
  <si>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</si>
  <si>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</si>
  <si>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</si>
  <si>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</si>
  <si>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</si>
  <si>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</si>
  <si>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</si>
  <si>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</si>
  <si>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</si>
  <si>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</si>
  <si>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</si>
  <si>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</si>
  <si>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</si>
  <si>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</si>
  <si>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</si>
  <si>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</si>
  <si>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</si>
  <si>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</si>
  <si>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</si>
  <si>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</si>
  <si>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</si>
  <si>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</si>
  <si>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</si>
  <si>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</si>
  <si>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</si>
  <si>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</si>
  <si>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</si>
  <si>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</si>
  <si>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</si>
  <si>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</si>
  <si>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</si>
  <si>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</si>
  <si>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</si>
  <si>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</si>
  <si>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</si>
  <si>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</si>
  <si>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</si>
  <si>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</si>
  <si>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</si>
  <si>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</si>
  <si>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</si>
  <si>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</si>
  <si>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</si>
  <si>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</si>
  <si>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</si>
  <si>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</si>
  <si>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</si>
  <si>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</si>
  <si>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</si>
  <si>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</si>
  <si>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</si>
  <si>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</si>
  <si>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</si>
  <si>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</si>
  <si>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</si>
  <si>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</si>
  <si>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</si>
  <si>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</si>
  <si>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</si>
  <si>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</si>
  <si>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</si>
  <si>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</si>
  <si>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</si>
  <si>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</si>
  <si>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</si>
  <si>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</si>
  <si>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</si>
  <si>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</si>
  <si>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</si>
  <si>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</si>
  <si>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</si>
  <si>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</si>
  <si>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</si>
  <si>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</si>
  <si>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</si>
  <si>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</si>
  <si>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</si>
  <si>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</si>
  <si>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</si>
  <si>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</si>
  <si>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</si>
  <si>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</si>
  <si>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</si>
  <si>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</si>
  <si>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</si>
  <si>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</si>
  <si>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</si>
  <si>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</si>
  <si>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</si>
  <si>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</si>
  <si>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</si>
  <si>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</si>
  <si>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</si>
  <si>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</si>
  <si>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</si>
  <si>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</si>
  <si>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</si>
  <si>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</si>
  <si>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</si>
  <si>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</si>
  <si>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</si>
  <si>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</si>
  <si>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</si>
  <si>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</si>
  <si>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</si>
  <si>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</si>
  <si>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</si>
  <si>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</si>
  <si>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</si>
  <si>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</si>
  <si>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</si>
  <si>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</si>
  <si>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</si>
  <si>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</si>
  <si>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</si>
  <si>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</si>
  <si>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</si>
  <si>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</si>
  <si>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</si>
  <si>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</si>
  <si>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</si>
  <si>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</si>
  <si>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</si>
  <si>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</si>
  <si>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</si>
  <si>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</si>
  <si>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</si>
  <si>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</si>
  <si>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</si>
  <si>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</si>
  <si>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</si>
  <si>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</si>
  <si>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</si>
  <si>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</si>
  <si>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</si>
  <si>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</si>
  <si>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</si>
  <si>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</si>
  <si>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</si>
  <si>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</si>
  <si>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</si>
  <si>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</si>
  <si>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</si>
  <si>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</si>
  <si>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</si>
  <si>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</si>
  <si>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</si>
  <si>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</si>
  <si>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</si>
  <si>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</si>
  <si>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</si>
  <si>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</si>
  <si>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</si>
  <si>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</si>
  <si>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</si>
  <si>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</si>
  <si>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</si>
  <si>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</si>
  <si>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</si>
  <si>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</si>
  <si>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</si>
  <si>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</si>
  <si>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</si>
  <si>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</si>
  <si>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</si>
  <si>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</si>
  <si>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</si>
  <si>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</si>
  <si>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</si>
  <si>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</si>
  <si>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</si>
  <si>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</si>
  <si>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</si>
  <si>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</si>
  <si>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</si>
  <si>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</si>
  <si>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</si>
  <si>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</si>
  <si>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</si>
  <si>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</si>
  <si>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</si>
  <si>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</si>
  <si>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</si>
  <si>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</si>
  <si>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</si>
  <si>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</si>
  <si>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</si>
  <si>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</si>
  <si>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</si>
  <si>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</si>
  <si>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</si>
  <si>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</si>
  <si>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</si>
  <si>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</si>
  <si>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</si>
  <si>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</si>
  <si>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</si>
  <si>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</si>
  <si>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</si>
  <si>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</si>
  <si>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</si>
  <si>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</si>
  <si>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</si>
  <si>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</si>
  <si>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</si>
  <si>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</si>
  <si>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</si>
  <si>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</si>
  <si>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</si>
  <si>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</si>
  <si>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</si>
  <si>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</si>
  <si>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</si>
  <si>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</si>
  <si>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</si>
  <si>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</si>
  <si>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</si>
  <si>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</si>
  <si>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</si>
  <si>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</si>
  <si>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</si>
  <si>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</si>
  <si>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</si>
  <si>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</si>
  <si>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</si>
  <si>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</si>
  <si>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</si>
  <si>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</si>
  <si>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</si>
  <si>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</si>
  <si>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</si>
  <si>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</si>
  <si>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</si>
  <si>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</si>
  <si>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</si>
  <si>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</si>
  <si>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</si>
  <si>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</si>
  <si>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</si>
  <si>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</si>
  <si>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</si>
  <si>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</si>
  <si>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</si>
  <si>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</si>
  <si>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</si>
  <si>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</si>
  <si>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</si>
  <si>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</si>
  <si>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</si>
  <si>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</si>
  <si>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</si>
  <si>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</si>
  <si>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</si>
  <si>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</si>
  <si>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</si>
  <si>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</si>
  <si>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</si>
  <si>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</si>
  <si>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</si>
  <si>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</si>
  <si>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</si>
  <si>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</si>
  <si>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</si>
  <si>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</si>
  <si>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</si>
  <si>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</si>
  <si>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</si>
  <si>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</si>
  <si>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</si>
  <si>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</si>
  <si>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</si>
  <si>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</si>
  <si>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</si>
  <si>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</si>
  <si>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</si>
  <si>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</si>
  <si>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</si>
  <si>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</si>
  <si>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</si>
  <si>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</si>
  <si>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</si>
  <si>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</si>
  <si>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</si>
  <si>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</si>
  <si>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</si>
  <si>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</si>
  <si>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</si>
  <si>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</si>
  <si>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</si>
  <si>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</si>
  <si>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</si>
  <si>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</si>
  <si>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</si>
  <si>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</si>
  <si>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</si>
  <si>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</si>
  <si>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</si>
  <si>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</si>
  <si>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</si>
  <si>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</si>
  <si>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</si>
  <si>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</si>
  <si>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</si>
  <si>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</si>
  <si>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</si>
  <si>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</si>
  <si>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</si>
  <si>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</si>
  <si>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</si>
  <si>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</si>
  <si>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</si>
  <si>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</si>
  <si>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</si>
  <si>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</si>
  <si>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</si>
  <si>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</si>
  <si>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</si>
  <si>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</si>
  <si>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</si>
  <si>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</si>
  <si>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</si>
  <si>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</si>
  <si>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</si>
  <si>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</si>
  <si>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</si>
  <si>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</si>
  <si>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</si>
  <si>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</si>
  <si>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</si>
  <si>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</si>
  <si>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</si>
  <si>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</si>
  <si>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</si>
  <si>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</si>
  <si>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</si>
  <si>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</si>
  <si>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</si>
  <si>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</si>
  <si>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</si>
  <si>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</si>
  <si>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</si>
  <si>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</si>
  <si>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</si>
  <si>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</si>
  <si>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</si>
  <si>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</si>
  <si>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</si>
  <si>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</si>
  <si>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</si>
  <si>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</si>
  <si>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</si>
  <si>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</si>
  <si>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</si>
  <si>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</si>
  <si>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</si>
  <si>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</si>
  <si>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</si>
  <si>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</si>
  <si>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</si>
  <si>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</si>
  <si>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</si>
  <si>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</si>
  <si>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</si>
  <si>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</si>
  <si>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</si>
  <si>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</si>
  <si>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</si>
  <si>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</si>
  <si>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</si>
  <si>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</si>
  <si>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</si>
  <si>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</si>
  <si>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</si>
  <si>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</si>
  <si>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</si>
  <si>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</si>
  <si>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</si>
  <si>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</si>
  <si>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</si>
  <si>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</si>
  <si>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</si>
  <si>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</si>
  <si>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</si>
  <si>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</si>
  <si>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</si>
  <si>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</si>
  <si>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</si>
  <si>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</si>
  <si>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</si>
  <si>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</si>
  <si>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</si>
  <si>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</si>
  <si>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</si>
  <si>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</si>
  <si>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</si>
  <si>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</si>
  <si>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</si>
  <si>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</si>
  <si>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</si>
  <si>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</si>
  <si>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</si>
  <si>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</si>
  <si>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</si>
  <si>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</si>
  <si>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</si>
  <si>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</si>
  <si>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</si>
  <si>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</si>
  <si>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</si>
  <si>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</si>
  <si>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</si>
  <si>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</si>
  <si>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</si>
  <si>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</si>
  <si>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</si>
  <si>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</si>
  <si>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</si>
  <si>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</si>
  <si>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</si>
  <si>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</si>
  <si>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</si>
  <si>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</si>
  <si>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</si>
  <si>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</si>
  <si>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</si>
  <si>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</si>
  <si>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</si>
  <si>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</si>
  <si>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</si>
  <si>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</si>
  <si>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</si>
  <si>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</si>
  <si>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</si>
  <si>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</si>
  <si>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</si>
  <si>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</si>
  <si>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</si>
  <si>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</si>
  <si>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</si>
  <si>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</si>
  <si>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</si>
  <si>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</si>
  <si>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</si>
  <si>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</si>
  <si>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</si>
  <si>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</si>
  <si>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</si>
  <si>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</si>
  <si>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</si>
  <si>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</si>
  <si>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</si>
  <si>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</si>
  <si>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</si>
  <si>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</si>
  <si>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</si>
  <si>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</si>
  <si>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</si>
  <si>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</si>
  <si>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</si>
  <si>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</si>
  <si>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</si>
  <si>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</si>
  <si>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</si>
  <si>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</si>
  <si>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</si>
  <si>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</si>
  <si>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</si>
  <si>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</si>
  <si>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</si>
  <si>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</si>
  <si>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</si>
  <si>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</si>
  <si>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</si>
  <si>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</si>
  <si>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</si>
  <si>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</si>
  <si>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</si>
  <si>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</si>
  <si>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</si>
  <si>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</si>
  <si>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</si>
  <si>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</si>
  <si>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</si>
  <si>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</si>
  <si>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</si>
  <si>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</si>
  <si>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</si>
  <si>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</si>
  <si>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</si>
  <si>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</si>
  <si>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</si>
  <si>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</si>
  <si>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</si>
  <si>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</si>
  <si>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</si>
  <si>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</si>
  <si>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</si>
  <si>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</si>
  <si>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</si>
  <si>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</si>
  <si>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</si>
  <si>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</si>
  <si>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</si>
  <si>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</si>
  <si>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</si>
  <si>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</si>
  <si>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</si>
  <si>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</si>
  <si>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</si>
  <si>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</si>
  <si>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</si>
  <si>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</si>
  <si>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</si>
  <si>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</si>
  <si>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</si>
  <si>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</si>
  <si>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</si>
  <si>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</si>
  <si>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</si>
  <si>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</si>
  <si>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</si>
  <si>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</si>
  <si>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</si>
  <si>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</si>
  <si>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</si>
  <si>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</si>
  <si>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</si>
  <si>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</si>
  <si>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</si>
  <si>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</si>
  <si>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</si>
  <si>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</si>
  <si>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</si>
  <si>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</si>
  <si>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</si>
  <si>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</si>
  <si>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</si>
  <si>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</si>
  <si>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</si>
  <si>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</si>
  <si>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</si>
  <si>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</si>
  <si>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</si>
  <si>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</si>
  <si>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</si>
  <si>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</si>
  <si>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</si>
  <si>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</si>
  <si>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</si>
  <si>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</si>
  <si>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</si>
  <si>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</si>
  <si>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</si>
  <si>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</si>
  <si>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</si>
  <si>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</si>
  <si>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</si>
  <si>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</si>
  <si>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</si>
  <si>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</si>
  <si>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</si>
  <si>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</si>
  <si>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</si>
  <si>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</si>
  <si>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</si>
  <si>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</si>
  <si>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</si>
  <si>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</si>
  <si>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</si>
  <si>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</si>
  <si>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</si>
  <si>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</si>
  <si>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</si>
  <si>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</si>
  <si>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</si>
  <si>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</si>
  <si>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</si>
  <si>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</si>
  <si>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</si>
  <si>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</si>
  <si>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</si>
  <si>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</si>
  <si>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</si>
  <si>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</si>
  <si>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</si>
  <si>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</si>
  <si>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</si>
  <si>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</si>
  <si>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</si>
  <si>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</si>
  <si>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</si>
  <si>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</si>
  <si>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</si>
  <si>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</si>
  <si>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</si>
  <si>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</si>
  <si>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</si>
  <si>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</si>
  <si>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</si>
  <si>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</si>
  <si>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</si>
  <si>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</si>
  <si>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</si>
  <si>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</si>
  <si>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</si>
  <si>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</si>
  <si>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</si>
  <si>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</si>
  <si>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</si>
  <si>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</si>
  <si>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</si>
  <si>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</si>
  <si>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</si>
  <si>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</si>
  <si>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</si>
  <si>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</si>
  <si>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</si>
  <si>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</si>
  <si>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</si>
  <si>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</si>
  <si>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</si>
  <si>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</si>
  <si>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</si>
  <si>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</si>
  <si>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</si>
  <si>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</si>
  <si>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</si>
  <si>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</si>
  <si>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</si>
  <si>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</si>
  <si>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</si>
  <si>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</si>
  <si>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</si>
  <si>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</si>
  <si>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</si>
  <si>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</si>
  <si>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</si>
  <si>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</si>
  <si>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</si>
  <si>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</si>
  <si>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</si>
  <si>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</si>
  <si>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</si>
  <si>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</si>
  <si>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</si>
  <si>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</si>
  <si>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</si>
  <si>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</si>
  <si>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</si>
  <si>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</si>
  <si>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</si>
  <si>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</si>
  <si>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</si>
  <si>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</si>
  <si>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</si>
  <si>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</si>
  <si>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</si>
  <si>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</si>
  <si>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</si>
  <si>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</si>
  <si>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</si>
  <si>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</si>
  <si>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</si>
  <si>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</si>
  <si>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</si>
  <si>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</si>
  <si>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</si>
  <si>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</si>
  <si>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</si>
  <si>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</si>
  <si>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</si>
  <si>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</si>
  <si>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</si>
  <si>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</si>
  <si>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</si>
  <si>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</si>
  <si>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</si>
  <si>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</si>
  <si>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</si>
  <si>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</si>
  <si>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</si>
  <si>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</si>
  <si>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</si>
  <si>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</si>
  <si>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</si>
  <si>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</si>
  <si>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</si>
  <si>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</si>
  <si>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1002 - Murilo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</si>
</sst>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8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8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8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8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8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8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8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8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8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8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8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8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8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8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8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8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8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8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8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8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8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8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8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8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8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8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8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8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8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8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8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8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8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8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8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8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8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8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8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8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8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8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8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8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8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8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8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8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8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8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8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8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8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8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8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8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8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8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8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8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8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8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8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8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8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8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8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8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8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8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8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8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8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8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8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8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8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8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8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8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8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8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8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8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8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8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8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8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8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8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8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8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8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8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8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8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8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8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8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8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8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8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8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8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8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8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8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8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8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8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8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8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8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8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8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8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8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8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8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8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8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8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8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8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8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8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8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8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8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8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8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8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8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8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8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8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8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8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8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8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8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8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8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8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8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8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8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8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8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8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8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8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8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8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8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8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8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8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8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8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8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8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8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8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8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8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8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8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8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8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8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8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8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8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8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8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8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8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8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8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8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8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8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8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8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8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8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8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8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8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8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8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8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8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8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8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8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8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8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8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8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8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8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8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8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8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8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8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8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8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8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8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8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8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8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8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8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8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8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8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8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8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8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8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8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8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8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8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8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8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8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8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8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8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8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8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8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8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8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8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8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8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8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8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8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8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8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8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8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8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8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8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8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8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8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8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8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8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8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8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8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8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8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8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8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8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8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8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8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8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8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8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8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8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8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8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8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8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8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8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8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8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8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8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8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8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8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8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8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8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8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8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8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8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8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8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8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8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8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8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8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8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8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8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8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8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8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8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8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8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8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8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8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8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8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8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8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8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8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8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8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8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8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8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8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8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8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8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8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8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8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8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8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8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8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8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8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8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8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8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8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8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8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8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8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8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8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8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8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8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8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8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8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8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8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8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8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8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8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8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8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8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8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8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8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8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8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8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8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8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8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8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8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8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8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8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8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8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8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8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8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8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8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8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8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8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8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8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8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8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8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8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1">
        <v>5</v>
      </c>
      <c r="M479" s="32" t="s">
        <v>2215</v>
      </c>
      <c r="N479" s="32" t="s">
        <v>49</v>
      </c>
    </row>
    <row r="480" spans="1:14" s="32" customFormat="1" hidden="1" x14ac:dyDescent="0.3">
      <c r="A480" s="38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8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8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8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8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8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8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8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8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8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8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8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8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8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8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8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8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8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8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8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8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8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8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8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8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8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8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8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8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8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8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8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8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8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8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8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8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8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8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8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8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8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8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8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8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8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8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8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8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8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8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8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8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8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8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8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8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8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8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8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8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8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8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8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8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8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8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8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8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8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8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8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8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8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8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8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8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8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8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8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8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8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8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8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8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8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8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8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8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8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8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8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8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8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8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8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8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8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8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8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8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8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8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8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8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8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8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8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8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8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8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8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8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8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8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8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8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8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8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8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8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8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8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8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8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8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8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8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8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8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8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8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8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8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8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8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8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8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8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8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8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8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8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8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8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8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8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8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8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8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8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8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8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8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8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8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8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8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8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8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8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8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8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8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8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8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8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8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8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8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8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8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8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8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8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8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8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8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8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8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8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8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8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8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8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8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8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8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8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8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8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8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8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8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8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8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8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8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8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8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8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8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8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8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8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8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8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8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8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8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8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8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8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8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8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8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8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8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8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8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8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8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8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8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8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8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8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8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8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8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8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8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8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8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8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8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8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8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8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8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8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8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8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8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8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8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8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8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8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8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8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8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8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8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8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8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8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8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8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8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8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8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8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8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8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8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8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8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8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8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8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8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8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8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8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8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8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8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8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8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8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8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8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8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8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8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8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8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8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8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8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8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8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8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8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8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8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8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8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8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8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8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8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8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8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8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8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8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8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8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8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8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8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8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8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8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8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8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8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8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8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8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8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8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8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8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8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8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8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8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8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8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8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8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8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8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8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8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8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8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8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8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8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8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8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8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8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8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8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8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8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8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8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8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8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8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8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8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8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8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8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8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8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8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8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8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8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8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8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8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8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8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8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8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8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8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8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8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8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8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8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8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8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8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8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8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8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8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8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8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8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8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8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8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8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8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8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8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8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8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8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8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8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8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8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8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8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8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8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8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8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8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8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8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8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8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8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8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8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8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8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8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8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8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8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8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8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8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8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8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8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8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8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8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8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8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8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8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8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8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8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8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8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8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8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8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8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1"/>
      <c r="N1005" s="32" t="s">
        <v>747</v>
      </c>
    </row>
    <row r="1006" spans="1:14" s="32" customFormat="1" hidden="1" x14ac:dyDescent="0.3">
      <c r="A1006" s="38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8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8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8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8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8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8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8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8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8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8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8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8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8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8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8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8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8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8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8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8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8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8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8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8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8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8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8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8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8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8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8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8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8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8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8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8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8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8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8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8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8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8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8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8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8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8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8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8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8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8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8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8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8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8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8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8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8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8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8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8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8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8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8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8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8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8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8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8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8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8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8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8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8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8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8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8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8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8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8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8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8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8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8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8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8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8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8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8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8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8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8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8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8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8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8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8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8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8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8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8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8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8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8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8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8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8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8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8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8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8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8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8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8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8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8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8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8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8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8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8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8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8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8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8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8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8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8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8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8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8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8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8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8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8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8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8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8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8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8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8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8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8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8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8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8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8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8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8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8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8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8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8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8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8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8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8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8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8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8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8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8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8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8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8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8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8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8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8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8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8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8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8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8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8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8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8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8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8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8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8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8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8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8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8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8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8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8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8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8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8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8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8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8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8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8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8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8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8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8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8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8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8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8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8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8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8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8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8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8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8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8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8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8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8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8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8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8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8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8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8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8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8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8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8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8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8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8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8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8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8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8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8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8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8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8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8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8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8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8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8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8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8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8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8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8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8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8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8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8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8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8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8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8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8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8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8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8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8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8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8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8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8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8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8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8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8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8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8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8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8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8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8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8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8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8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8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8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8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8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8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8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8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8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8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8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8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8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8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8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8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8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8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8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8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8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8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8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8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8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8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8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8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8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8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8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8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8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8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8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8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8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8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8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8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8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8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8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8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8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8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8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8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8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8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8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8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8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8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8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8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8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8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8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8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8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8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8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8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8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8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8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8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8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8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8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8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8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8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8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8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8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8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8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8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8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8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8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8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8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8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8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8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8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8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8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8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8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8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8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8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8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8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8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8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8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8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8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8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8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8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8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8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8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8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8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8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8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8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8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8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8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8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8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8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8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8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8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8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8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8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8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8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8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8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8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8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8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8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8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8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8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8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8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8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8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8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8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8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8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8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8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8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8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8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8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8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8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8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8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8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8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8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8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8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8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8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8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8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8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8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8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8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8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8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8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8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8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8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8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8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8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8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8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8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8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8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8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8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8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8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8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8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8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8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8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8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8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8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8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8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8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8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8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8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8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8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8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8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8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8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8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8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8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8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8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8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8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8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8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8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8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8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8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8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8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8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8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8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8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8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8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8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8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8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8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8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8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8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8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8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8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8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8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8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8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8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8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8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8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8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8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8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8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8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8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8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8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8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8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8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8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8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8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8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8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8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8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8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8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8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8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8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8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8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8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8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8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8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8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8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8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8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8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8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8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8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8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8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8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8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8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8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8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8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8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8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8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8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8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8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8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8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8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8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8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8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8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8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8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8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8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8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8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8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8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8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8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8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8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8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8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8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8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8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8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8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8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8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8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8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8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8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8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8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8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8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8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8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8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8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8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8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8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8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8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8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8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8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8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8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8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8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8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8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8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8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8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8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8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8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8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8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8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8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8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8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8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8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8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8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8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8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8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8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8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8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8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8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8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8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8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8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8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8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8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8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8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8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8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8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8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8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8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8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8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8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8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8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8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8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8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8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8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8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8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8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8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8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8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8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8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8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8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8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8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8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8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8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8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8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8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8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8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8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8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8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8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8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8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8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8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8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8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8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8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8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8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8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8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8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8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8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8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8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8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8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8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8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8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8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8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8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8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8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8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8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8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8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8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8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8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8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8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8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8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8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8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8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8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8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8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8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8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8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8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8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8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8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8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8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8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8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8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8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8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8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8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8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8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8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8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8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8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8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8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8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8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8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8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8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8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8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8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8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8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8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8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8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8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8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8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8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8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8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8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8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8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8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8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8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8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8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8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8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8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8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8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8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8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8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8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8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8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8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8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8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8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8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8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8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8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8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8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8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8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8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8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8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8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8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8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8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8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8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8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8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8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8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8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8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8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8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8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8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8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8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8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8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8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8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8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8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8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8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8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8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8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8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8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8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8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8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8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8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8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8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8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8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8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8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8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8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8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8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8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8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8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8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8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8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8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8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8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8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8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8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8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8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8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8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8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8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8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8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8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8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8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8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8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8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8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8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8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8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8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8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8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8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8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8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8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8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8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8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8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8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8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8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8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8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8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8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8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8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8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8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8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8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8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8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8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8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8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8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8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8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8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8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8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8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8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8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8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8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8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8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8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8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8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8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8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8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8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8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8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8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8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8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8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8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8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8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8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8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8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8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8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8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8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8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8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8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8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8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8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8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8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8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8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8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8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8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8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8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8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8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8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8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8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8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8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8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8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8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8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8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8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8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8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8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8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8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8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8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8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8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8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8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8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8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E2" sqref="E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33">
        <f>C3/B3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0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1">D17+E17+F17</f>
        <v>597</v>
      </c>
      <c r="C4" s="20">
        <f>B17+C17</f>
        <v>164</v>
      </c>
      <c r="D4" s="21">
        <f>C4/B4</f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0"/>
        <v>4.9848484848484844</v>
      </c>
      <c r="H4" s="1"/>
      <c r="I4" s="43">
        <f t="shared" ref="I4:I6" si="2">G4*C4</f>
        <v>817.5151515151515</v>
      </c>
    </row>
    <row r="5" spans="1:9" x14ac:dyDescent="0.3">
      <c r="A5" s="5" t="s">
        <v>32</v>
      </c>
      <c r="B5" s="6">
        <f t="shared" si="1"/>
        <v>191</v>
      </c>
      <c r="C5" s="6">
        <f>B18+C18</f>
        <v>50</v>
      </c>
      <c r="D5" s="33">
        <f>C5/B5</f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0"/>
        <v>4.9607843137254903</v>
      </c>
      <c r="H5" s="1"/>
      <c r="I5" s="34">
        <f t="shared" si="2"/>
        <v>248.03921568627453</v>
      </c>
    </row>
    <row r="6" spans="1:9" x14ac:dyDescent="0.3">
      <c r="A6" s="19" t="s">
        <v>2213</v>
      </c>
      <c r="B6" s="20">
        <f t="shared" si="1"/>
        <v>201</v>
      </c>
      <c r="C6" s="20">
        <f>B19+C19</f>
        <v>55</v>
      </c>
      <c r="D6" s="21">
        <f>C6/B6</f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0"/>
        <v>4.8909090909090907</v>
      </c>
      <c r="H6" s="1"/>
      <c r="I6" s="34">
        <f t="shared" si="2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A2" t="s">
        <v>2218</v>
      </c>
      <c r="B2" s="46" t="s">
        <v>2219</v>
      </c>
      <c r="C2" s="47"/>
      <c r="D2" s="47"/>
      <c r="E2" s="47"/>
      <c r="F2" s="47"/>
      <c r="G2" s="47"/>
      <c r="H2" s="47"/>
    </row>
    <row r="3" spans="1:8" x14ac:dyDescent="0.3">
      <c r="A3" t="s">
        <v>2220</v>
      </c>
      <c r="B3" s="46" t="s">
        <v>2221</v>
      </c>
      <c r="C3" s="47"/>
      <c r="D3" s="47"/>
      <c r="E3" s="47"/>
      <c r="F3" s="47"/>
      <c r="G3" s="47"/>
      <c r="H3" s="47"/>
    </row>
    <row r="4" spans="1:8" x14ac:dyDescent="0.3">
      <c r="A4" t="s">
        <v>2220</v>
      </c>
      <c r="B4" s="46" t="s">
        <v>2222</v>
      </c>
      <c r="C4" s="47"/>
      <c r="D4" s="47"/>
      <c r="E4" s="47"/>
      <c r="F4" s="47"/>
      <c r="G4" s="47"/>
      <c r="H4" s="47"/>
    </row>
    <row r="5" spans="1:8" x14ac:dyDescent="0.3">
      <c r="A5" t="s">
        <v>2218</v>
      </c>
      <c r="B5" s="46" t="s">
        <v>2223</v>
      </c>
      <c r="C5" s="47"/>
      <c r="D5" s="47"/>
      <c r="E5" s="47"/>
      <c r="F5" s="47"/>
      <c r="G5" s="47"/>
      <c r="H5" s="47"/>
    </row>
    <row r="6" spans="1:8" x14ac:dyDescent="0.3">
      <c r="A6" t="s">
        <v>2224</v>
      </c>
      <c r="B6" s="46" t="s">
        <v>2225</v>
      </c>
      <c r="C6" s="47"/>
      <c r="D6" s="47"/>
      <c r="E6" s="47"/>
      <c r="F6" s="47"/>
      <c r="G6" s="47"/>
      <c r="H6" s="47"/>
    </row>
    <row r="7" spans="1:8" x14ac:dyDescent="0.3">
      <c r="A7" t="s">
        <v>2224</v>
      </c>
      <c r="B7" s="46" t="s">
        <v>2226</v>
      </c>
      <c r="C7" s="47"/>
      <c r="D7" s="47"/>
      <c r="E7" s="47"/>
      <c r="F7" s="47"/>
      <c r="G7" s="47"/>
      <c r="H7" s="47"/>
    </row>
    <row r="8" spans="1:8" x14ac:dyDescent="0.3">
      <c r="A8" t="s">
        <v>2220</v>
      </c>
      <c r="B8" s="46" t="s">
        <v>2227</v>
      </c>
      <c r="C8" s="47"/>
      <c r="D8" s="47"/>
      <c r="E8" s="47"/>
      <c r="F8" s="47"/>
      <c r="G8" s="47"/>
      <c r="H8" s="47"/>
    </row>
    <row r="9" spans="1:8" x14ac:dyDescent="0.3">
      <c r="A9" t="s">
        <v>2220</v>
      </c>
      <c r="B9" s="46" t="s">
        <v>2228</v>
      </c>
      <c r="C9" s="47"/>
      <c r="D9" s="47"/>
      <c r="E9" s="47"/>
      <c r="F9" s="47"/>
      <c r="G9" s="47"/>
      <c r="H9" s="47"/>
    </row>
    <row r="10" spans="1:8" x14ac:dyDescent="0.3">
      <c r="A10" t="s">
        <v>2220</v>
      </c>
      <c r="B10" s="46" t="s">
        <v>2229</v>
      </c>
      <c r="C10" s="47"/>
      <c r="D10" s="47"/>
      <c r="E10" s="47"/>
      <c r="F10" s="47"/>
      <c r="G10" s="47"/>
      <c r="H10" s="47"/>
    </row>
    <row r="11" spans="1:8" x14ac:dyDescent="0.3">
      <c r="A11" t="s">
        <v>2218</v>
      </c>
      <c r="B11" s="46" t="s">
        <v>2230</v>
      </c>
      <c r="C11" s="47"/>
      <c r="D11" s="47"/>
      <c r="E11" s="47"/>
      <c r="F11" s="47"/>
      <c r="G11" s="47"/>
      <c r="H11" s="47"/>
    </row>
    <row r="12" spans="1:8" x14ac:dyDescent="0.3">
      <c r="A12" t="s">
        <v>2224</v>
      </c>
      <c r="B12" s="46" t="s">
        <v>2231</v>
      </c>
      <c r="C12" s="47"/>
      <c r="D12" s="47"/>
      <c r="E12" s="47"/>
      <c r="F12" s="47"/>
      <c r="G12" s="47"/>
      <c r="H12" s="47"/>
    </row>
    <row r="13" spans="1:8" x14ac:dyDescent="0.3">
      <c r="A13" t="s">
        <v>2232</v>
      </c>
      <c r="B13" s="46" t="s">
        <v>2233</v>
      </c>
      <c r="C13" s="47"/>
      <c r="D13" s="47"/>
      <c r="E13" s="47"/>
      <c r="F13" s="47"/>
      <c r="G13" s="47"/>
      <c r="H13" s="47"/>
    </row>
    <row r="14" spans="1:8" x14ac:dyDescent="0.3">
      <c r="A14" t="s">
        <v>2218</v>
      </c>
      <c r="B14" s="46" t="s">
        <v>2234</v>
      </c>
      <c r="C14" s="47"/>
      <c r="D14" s="47"/>
      <c r="E14" s="47"/>
      <c r="F14" s="47"/>
      <c r="G14" s="47"/>
      <c r="H14" s="47"/>
    </row>
    <row r="15" spans="1:8" x14ac:dyDescent="0.3">
      <c r="A15" t="s">
        <v>2232</v>
      </c>
      <c r="B15" s="46" t="s">
        <v>2235</v>
      </c>
      <c r="C15" s="47"/>
      <c r="D15" s="47"/>
      <c r="E15" s="47"/>
      <c r="F15" s="47"/>
      <c r="G15" s="47"/>
      <c r="H15" s="47"/>
    </row>
    <row r="16" spans="1:8" x14ac:dyDescent="0.3">
      <c r="A16" t="s">
        <v>2218</v>
      </c>
      <c r="B16" s="46" t="s">
        <v>2236</v>
      </c>
      <c r="C16" s="47"/>
      <c r="D16" s="47"/>
      <c r="E16" s="47"/>
      <c r="F16" s="47"/>
      <c r="G16" s="47"/>
      <c r="H16" s="47"/>
    </row>
    <row r="17" spans="1:8" x14ac:dyDescent="0.3">
      <c r="A17" t="s">
        <v>2220</v>
      </c>
      <c r="B17" s="46" t="s">
        <v>2237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L1"/>
  <sheetViews>
    <sheetView zoomScale="87" workbookViewId="0">
      <selection activeCell="A2" sqref="A2:XFD271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2" customWidth="1"/>
    <col min="14" max="16384" width="8.88671875" style="32"/>
  </cols>
  <sheetData>
    <row r="1" spans="1:12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tabSelected="1" zoomScale="81" zoomScaleNormal="115" workbookViewId="0">
      <selection activeCell="A16" sqref="A1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 t="e">
        <f>C2/B2</f>
        <v>#DIV/0!</v>
      </c>
      <c r="E2" s="40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2238</v>
      </c>
      <c r="B3" s="6">
        <f>D16+E16+F16</f>
        <v>0</v>
      </c>
      <c r="C3" s="6">
        <f>B16+C16</f>
        <v>0</v>
      </c>
      <c r="D3" s="33" t="e">
        <f>C3/B3</f>
        <v>#DIV/0!</v>
      </c>
      <c r="E3" s="39"/>
      <c r="F3" s="8"/>
      <c r="G3" s="31">
        <f t="shared" ref="G3:G6" si="0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1">D17+E17+F17</f>
        <v>0</v>
      </c>
      <c r="C4" s="20">
        <f>B17+C17</f>
        <v>0</v>
      </c>
      <c r="D4" s="21" t="e">
        <f>C4/B4</f>
        <v>#DIV/0!</v>
      </c>
      <c r="E4" s="40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0</v>
      </c>
      <c r="F4" s="26"/>
      <c r="G4" s="30">
        <f t="shared" si="0"/>
        <v>0</v>
      </c>
      <c r="H4" s="1"/>
      <c r="I4" s="34">
        <f t="shared" ref="I4:I6" si="2">G4*C4</f>
        <v>0</v>
      </c>
    </row>
    <row r="5" spans="1:9" x14ac:dyDescent="0.3">
      <c r="A5" s="5" t="s">
        <v>32</v>
      </c>
      <c r="B5" s="6">
        <f t="shared" si="1"/>
        <v>0</v>
      </c>
      <c r="C5" s="6">
        <f>B18+C18</f>
        <v>0</v>
      </c>
      <c r="D5" s="33" t="e">
        <f>C5/B5</f>
        <v>#DIV/0!</v>
      </c>
      <c r="E5" s="39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0</v>
      </c>
      <c r="F5" s="8"/>
      <c r="G5" s="31">
        <f t="shared" si="0"/>
        <v>0</v>
      </c>
      <c r="H5" s="1"/>
      <c r="I5" s="34">
        <f t="shared" si="2"/>
        <v>0</v>
      </c>
    </row>
    <row r="6" spans="1:9" x14ac:dyDescent="0.3">
      <c r="A6" s="19" t="s">
        <v>2213</v>
      </c>
      <c r="B6" s="20">
        <f t="shared" si="1"/>
        <v>0</v>
      </c>
      <c r="C6" s="20">
        <f>B19+C19</f>
        <v>0</v>
      </c>
      <c r="D6" s="21" t="e">
        <f>C6/B6</f>
        <v>#DIV/0!</v>
      </c>
      <c r="E6" s="40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0</v>
      </c>
      <c r="F6" s="26"/>
      <c r="G6" s="30">
        <f t="shared" si="0"/>
        <v>0</v>
      </c>
      <c r="H6" s="1"/>
      <c r="I6" s="34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 t="e">
        <f>C9/B9</f>
        <v>#DIV/0!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0</v>
      </c>
      <c r="C15" s="1">
        <f>COUNTIFS(Ago!$C$2:$C$3729,"PSYSTEM_1005",Ago!$E$2:$E$3729,"&gt;100",Ago!$L$2:$L$3729,"&gt;0")+G15</f>
        <v>0</v>
      </c>
      <c r="D15" s="1">
        <f>COUNTIFS(Ago!$B$2:$B$3729,"PSYSTEM_1005",Ago!$E$2:$E$3729,"&gt;100")</f>
        <v>0</v>
      </c>
      <c r="E15" s="1">
        <f>COUNTIFS(Ago!$C$2:$C$3729,"PSYSTEM_1005",Ago!$E$2:$E$3729,"&gt;100")</f>
        <v>0</v>
      </c>
      <c r="F15" s="1"/>
      <c r="G15" s="32"/>
    </row>
    <row r="16" spans="1:9" x14ac:dyDescent="0.3">
      <c r="A16" s="5" t="s">
        <v>2238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v>0</v>
      </c>
      <c r="F16" s="32"/>
      <c r="G16" s="32"/>
    </row>
    <row r="17" spans="1:9" x14ac:dyDescent="0.3">
      <c r="A17" s="19" t="s">
        <v>21</v>
      </c>
      <c r="B17" s="1">
        <f>COUNTIFS(Ago!$B$2:$B$2729,"PSYSTEM_1004",Ago!$E$2:$E$2729,"&gt;100",Ago!$L$2:$L$2729,"&gt;0")</f>
        <v>0</v>
      </c>
      <c r="C17" s="1">
        <f>COUNTIFS(Ago!$C$2:$C$3729,"PSYSTEM_1004",Ago!$E$2:$E$3729,"&gt;100",Ago!$L$2:$L$3729,"&gt;0")+G17</f>
        <v>0</v>
      </c>
      <c r="D17" s="1">
        <f>COUNTIFS(Ago!$B$2:$B$3729,"PSYSTEM_1004",Ago!$E$2:$E$3729,"&gt;100")</f>
        <v>0</v>
      </c>
      <c r="E17" s="1">
        <f>COUNTIFS(Ago!$C$2:$C$3729,"PSYSTEM_1004",Ago!$E$2:$E$3729,"&gt;100")</f>
        <v>0</v>
      </c>
      <c r="F17" s="1"/>
      <c r="G17" s="32"/>
    </row>
    <row r="18" spans="1:9" x14ac:dyDescent="0.3">
      <c r="A18" s="5" t="s">
        <v>32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0</v>
      </c>
      <c r="D18" s="1">
        <f>COUNTIFS(Ago!$B$2:$B$3729,"PSYSTEM_1013",Ago!$E$2:$E$3729,"&gt;100")</f>
        <v>0</v>
      </c>
      <c r="E18" s="1">
        <f>COUNTIFS(Ago!$C$2:$C$3729,"PSYSTEM_1013",Ago!$E$2:$E$3729,"&gt;100")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COUNTIFS(Ago!$B$2:$B$2729,"PSYSTEM_1003",Ago!$E$2:$E$2729,"&gt;100",Ago!$L$2:$L$2729,"&gt;0")</f>
        <v>0</v>
      </c>
      <c r="C19" s="1">
        <f>COUNTIFS(Ago!$C$2:$C$3729,"PSYSTEM_1003",Ago!$E$2:$E$3729,"&gt;100",Ago!$L$2:$L$3729,"&gt;0")+G19</f>
        <v>0</v>
      </c>
      <c r="D19" s="1">
        <f>COUNTIFS(Ago!$B$2:$B$3729,"PSYSTEM_1003",Ago!$E$2:$E$3729,"&gt;100")</f>
        <v>0</v>
      </c>
      <c r="E19" s="1">
        <f>COUNTIFS(Ago!$C$2:$C$3729,"PSYSTEM_1003",Ago!$E$2:$E$3729,"&gt;100")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workbookViewId="0">
      <selection activeCell="B19" sqref="A2:B19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B2" s="46"/>
      <c r="C2" s="47"/>
      <c r="D2" s="47"/>
      <c r="E2" s="47"/>
      <c r="F2" s="47"/>
      <c r="G2" s="47"/>
      <c r="H2" s="47"/>
    </row>
    <row r="3" spans="1:8" x14ac:dyDescent="0.3">
      <c r="B3" s="46"/>
      <c r="C3" s="47"/>
      <c r="D3" s="47"/>
      <c r="E3" s="47"/>
      <c r="F3" s="47"/>
      <c r="G3" s="47"/>
      <c r="H3" s="47"/>
    </row>
    <row r="4" spans="1:8" x14ac:dyDescent="0.3">
      <c r="B4" s="46"/>
      <c r="C4" s="47"/>
      <c r="D4" s="47"/>
      <c r="E4" s="47"/>
      <c r="F4" s="47"/>
      <c r="G4" s="47"/>
      <c r="H4" s="47"/>
    </row>
    <row r="5" spans="1:8" x14ac:dyDescent="0.3">
      <c r="B5" s="46"/>
      <c r="C5" s="47"/>
      <c r="D5" s="47"/>
      <c r="E5" s="47"/>
      <c r="F5" s="47"/>
      <c r="G5" s="47"/>
      <c r="H5" s="47"/>
    </row>
    <row r="6" spans="1:8" x14ac:dyDescent="0.3">
      <c r="B6" s="46"/>
      <c r="C6" s="47"/>
      <c r="D6" s="47"/>
      <c r="E6" s="47"/>
      <c r="F6" s="47"/>
      <c r="G6" s="47"/>
      <c r="H6" s="47"/>
    </row>
    <row r="7" spans="1:8" x14ac:dyDescent="0.3">
      <c r="B7" s="46"/>
      <c r="C7" s="47"/>
      <c r="D7" s="47"/>
      <c r="E7" s="47"/>
      <c r="F7" s="47"/>
      <c r="G7" s="47"/>
      <c r="H7" s="47"/>
    </row>
    <row r="8" spans="1:8" x14ac:dyDescent="0.3">
      <c r="B8" s="46"/>
      <c r="C8" s="47"/>
      <c r="D8" s="47"/>
      <c r="E8" s="47"/>
      <c r="F8" s="47"/>
      <c r="G8" s="47"/>
      <c r="H8" s="47"/>
    </row>
    <row r="9" spans="1:8" x14ac:dyDescent="0.3">
      <c r="B9" s="46"/>
      <c r="C9" s="47"/>
      <c r="D9" s="47"/>
      <c r="E9" s="47"/>
      <c r="F9" s="47"/>
      <c r="G9" s="47"/>
      <c r="H9" s="47"/>
    </row>
    <row r="10" spans="1:8" x14ac:dyDescent="0.3">
      <c r="B10" s="46"/>
      <c r="C10" s="47"/>
      <c r="D10" s="47"/>
      <c r="E10" s="47"/>
      <c r="F10" s="47"/>
      <c r="G10" s="47"/>
      <c r="H10" s="47"/>
    </row>
    <row r="11" spans="1:8" x14ac:dyDescent="0.3">
      <c r="B11" s="46"/>
      <c r="C11" s="47"/>
      <c r="D11" s="47"/>
      <c r="E11" s="47"/>
      <c r="F11" s="47"/>
      <c r="G11" s="47"/>
      <c r="H11" s="47"/>
    </row>
    <row r="12" spans="1:8" x14ac:dyDescent="0.3">
      <c r="B12" s="46"/>
      <c r="C12" s="47"/>
      <c r="D12" s="47"/>
      <c r="E12" s="47"/>
      <c r="F12" s="47"/>
      <c r="G12" s="47"/>
      <c r="H12" s="47"/>
    </row>
    <row r="13" spans="1:8" x14ac:dyDescent="0.3">
      <c r="B13" s="46"/>
      <c r="C13" s="47"/>
      <c r="D13" s="47"/>
      <c r="E13" s="47"/>
      <c r="F13" s="47"/>
      <c r="G13" s="47"/>
      <c r="H13" s="47"/>
    </row>
    <row r="14" spans="1:8" x14ac:dyDescent="0.3">
      <c r="B14" s="46"/>
      <c r="C14" s="47"/>
      <c r="D14" s="47"/>
      <c r="E14" s="47"/>
      <c r="F14" s="47"/>
      <c r="G14" s="47"/>
      <c r="H14" s="47"/>
    </row>
    <row r="15" spans="1:8" x14ac:dyDescent="0.3">
      <c r="B15" s="46"/>
      <c r="C15" s="47"/>
      <c r="D15" s="47"/>
      <c r="E15" s="47"/>
      <c r="F15" s="47"/>
      <c r="G15" s="47"/>
      <c r="H15" s="47"/>
    </row>
    <row r="16" spans="1:8" x14ac:dyDescent="0.3">
      <c r="B16" s="46"/>
      <c r="C16" s="47"/>
      <c r="D16" s="47"/>
      <c r="E16" s="47"/>
      <c r="F16" s="47"/>
      <c r="G16" s="47"/>
      <c r="H16" s="47"/>
    </row>
    <row r="17" spans="2:8" x14ac:dyDescent="0.3">
      <c r="B17" s="46"/>
      <c r="C17" s="47"/>
      <c r="D17" s="47"/>
      <c r="E17" s="47"/>
      <c r="F17" s="47"/>
      <c r="G17" s="47"/>
      <c r="H17" s="47"/>
    </row>
    <row r="18" spans="2:8" x14ac:dyDescent="0.3">
      <c r="B18" s="47"/>
      <c r="C18" s="47"/>
      <c r="D18" s="47"/>
      <c r="E18" s="47"/>
      <c r="F18" s="47"/>
      <c r="G18" s="47"/>
      <c r="H18" s="47"/>
    </row>
    <row r="19" spans="2:8" x14ac:dyDescent="0.3">
      <c r="B19" s="47"/>
      <c r="C19" s="47"/>
      <c r="D19" s="47"/>
      <c r="E19" s="47"/>
      <c r="F19" s="47"/>
      <c r="G19" s="47"/>
      <c r="H19" s="47"/>
    </row>
    <row r="20" spans="2:8" x14ac:dyDescent="0.3">
      <c r="B20" s="47"/>
      <c r="C20" s="47"/>
      <c r="D20" s="47"/>
      <c r="E20" s="47"/>
      <c r="F20" s="47"/>
      <c r="G20" s="47"/>
      <c r="H20" s="47"/>
    </row>
    <row r="21" spans="2:8" x14ac:dyDescent="0.3">
      <c r="B21" s="47"/>
      <c r="C21" s="47"/>
      <c r="D21" s="47"/>
      <c r="E21" s="47"/>
      <c r="F21" s="47"/>
      <c r="G21" s="47"/>
      <c r="H21" s="47"/>
    </row>
    <row r="22" spans="2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" sqref="G2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D22" sqref="D2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 t="e">
        <f>C2/B2</f>
        <v>#DIV/0!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4">
        <f>G2*C2</f>
        <v>0</v>
      </c>
    </row>
    <row r="3" spans="1:9" x14ac:dyDescent="0.3">
      <c r="A3" s="5" t="s">
        <v>2238</v>
      </c>
      <c r="B3" s="6">
        <f>D16+E16+F16</f>
        <v>0</v>
      </c>
      <c r="C3" s="6">
        <f>B16+C16</f>
        <v>0</v>
      </c>
      <c r="D3" s="33" t="e">
        <f>C3/B3</f>
        <v>#DIV/0!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5" si="0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5" si="1">D17+E17+F17</f>
        <v>0</v>
      </c>
      <c r="C4" s="20">
        <f>B17+C17</f>
        <v>0</v>
      </c>
      <c r="D4" s="21" t="e">
        <f>C4/B4</f>
        <v>#DIV/0!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0"/>
        <v>0</v>
      </c>
      <c r="H4" s="1"/>
      <c r="I4" s="34">
        <f t="shared" ref="I4:I6" si="2">G4*C4</f>
        <v>0</v>
      </c>
    </row>
    <row r="5" spans="1:9" x14ac:dyDescent="0.3">
      <c r="A5" s="5" t="s">
        <v>32</v>
      </c>
      <c r="B5" s="6">
        <f t="shared" si="1"/>
        <v>0</v>
      </c>
      <c r="C5" s="6">
        <f>B18+C18</f>
        <v>0</v>
      </c>
      <c r="D5" s="33" t="e">
        <f>C5/B5</f>
        <v>#DIV/0!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0"/>
        <v>0</v>
      </c>
      <c r="H5" s="1"/>
      <c r="I5" s="34">
        <f t="shared" si="2"/>
        <v>0</v>
      </c>
    </row>
    <row r="6" spans="1:9" x14ac:dyDescent="0.3">
      <c r="A6" s="19" t="s">
        <v>2213</v>
      </c>
      <c r="B6" s="20"/>
      <c r="C6" s="20"/>
      <c r="D6" s="21"/>
      <c r="E6" s="40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26"/>
      <c r="G6" s="30"/>
      <c r="H6" s="1"/>
      <c r="I6" s="34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 t="e">
        <f>C9/B9</f>
        <v>#DIV/0!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COUNTIFS(Set!$B$2:$B$2999,"PSYSTEM_1005",Set!$E$2:$E$2999,"&gt;100",Set!$L$2:$L$2999,"&gt;0")</f>
        <v>0</v>
      </c>
      <c r="C15" s="1">
        <f>COUNTIFS(Set!$C$2:$C$3999,"PSYSTEM_1005",Set!$E$2:$E$3999,"&gt;100",Set!$L$2:$L$3999,"&gt;0")+G15</f>
        <v>0</v>
      </c>
      <c r="D15" s="1">
        <f>COUNTIFS(Set!$B$2:$B$3999,"PSYSTEM_1005",Set!$E$2:$E$3999,"&gt;100")</f>
        <v>0</v>
      </c>
      <c r="E15" s="1">
        <f>COUNTIFS(Set!$C$2:$C$3999,"PSYSTEM_1005",Set!$E$2:$E$3999,"&gt;100")</f>
        <v>0</v>
      </c>
      <c r="F15" s="1"/>
      <c r="G15" s="32"/>
    </row>
    <row r="16" spans="1:9" x14ac:dyDescent="0.3">
      <c r="A16" s="5" t="s">
        <v>2238</v>
      </c>
      <c r="B16" s="1">
        <f>COUNTIFS(Set!$B$2:$B$2999,"PSYSTEM_1002",Set!$E$2:$E$2999,"&gt;100",Set!$L$2:$L$2999,"&gt;0")</f>
        <v>0</v>
      </c>
      <c r="C16" s="1">
        <f>COUNTIFS(Set!$C$2:$C$3999,"PSYSTEM_1002",Set!$E$2:$E$3999,"&gt;100",Set!$L$2:$L$3999,"&gt;0")+G16</f>
        <v>0</v>
      </c>
      <c r="D16" s="1">
        <f>COUNTIFS(Set!$B$2:$B$3999,"PSYSTEM_1002",Set!$E$2:$E$3999,"&gt;100")</f>
        <v>0</v>
      </c>
      <c r="E16" s="1">
        <f>COUNTIFS(Set!$C$2:$C$3999,"PSYSTEM_1002",Set!$E$2:$E$3999,"&gt;100")</f>
        <v>0</v>
      </c>
      <c r="F16" s="32"/>
      <c r="G16" s="32"/>
    </row>
    <row r="17" spans="1:9" x14ac:dyDescent="0.3">
      <c r="A17" s="19" t="s">
        <v>21</v>
      </c>
      <c r="B17" s="1">
        <f>COUNTIFS(Set!$B$2:$B$2999,"PSYSTEM_1004",Set!$E$2:$E$2999,"&gt;100",Set!$L$2:$L$2999,"&gt;0")</f>
        <v>0</v>
      </c>
      <c r="C17" s="1">
        <f>COUNTIFS(Set!$C$2:$C$3999,"PSYSTEM_1004",Set!$E$2:$E$3999,"&gt;100",Set!$L$2:$L$3999,"&gt;0")+G17</f>
        <v>0</v>
      </c>
      <c r="D17" s="1">
        <f>COUNTIFS(Set!$B$2:$B$3999,"PSYSTEM_1004",Set!$E$2:$E$3999,"&gt;100")</f>
        <v>0</v>
      </c>
      <c r="E17" s="1">
        <f>COUNTIFS(Set!$C$2:$C$3999,"PSYSTEM_1004",Set!$E$2:$E$3999,"&gt;100")</f>
        <v>0</v>
      </c>
      <c r="F17" s="1"/>
      <c r="G17" s="32"/>
    </row>
    <row r="18" spans="1:9" x14ac:dyDescent="0.3">
      <c r="A18" s="5" t="s">
        <v>32</v>
      </c>
      <c r="B18" s="1">
        <f>COUNTIFS(Set!$B$2:$B$2999,"PSYSTEM_1013",Set!$E$2:$E$2999,"&gt;100",Set!$L$2:$L$2999,"&gt;0")</f>
        <v>0</v>
      </c>
      <c r="C18" s="1">
        <f>COUNTIFS(Set!$C$2:$C$3999,"PSYSTEM_1013",Set!$E$2:$E$3999,"&gt;100",Set!$L$2:$L$3999,"&gt;0")+G18</f>
        <v>0</v>
      </c>
      <c r="D18" s="1">
        <f>COUNTIFS(Set!$B$2:$B$3999,"PSYSTEM_1013",Set!$E$2:$E$3999,"&gt;100")</f>
        <v>0</v>
      </c>
      <c r="E18" s="1">
        <f>COUNTIFS(Set!$C$2:$C$3999,"PSYSTEM_1013",Set!$E$2:$E$3999,"&gt;100")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COUNTIFS(Set!$B$2:$B$2999,"PSYSTEM_1003",Set!$E$2:$E$2999,"&gt;100",Set!$L$2:$L$2999,"&gt;0")</f>
        <v>0</v>
      </c>
      <c r="C19" s="1">
        <f>COUNTIFS(Set!$C$2:$C$3999,"PSYSTEM_1003",Set!$E$2:$E$3999,"&gt;100",Set!$L$2:$L$3999,"&gt;0")+G19</f>
        <v>0</v>
      </c>
      <c r="D19" s="1">
        <f>COUNTIFS(Set!$B$2:$B$3999,"PSYSTEM_1003",Set!$E$2:$E$3999,"&gt;100")</f>
        <v>0</v>
      </c>
      <c r="E19" s="1">
        <f>COUNTIFS(Set!$C$2:$C$3999,"PSYSTEM_1003",Set!$E$2:$E$3999,"&gt;100")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C1" sqref="C1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2238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87" zoomScaleNormal="115" workbookViewId="0">
      <selection activeCell="A17" sqref="A17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>
        <f>IFERROR( (('Nps Jul'!E2*'Nps Jul'!C2)+ ('Nps Ago'!E2*'Nps Ago'!C2)+ ('Nps Set'!E2*'Nps Set'!C2))/ ('Nps Jul'!C2+'Nps Ago'!C2+'Nps Set'!C2),0)</f>
        <v>4.8841463414634143</v>
      </c>
      <c r="F2" s="26"/>
      <c r="G2" s="30">
        <f>E2-F2</f>
        <v>4.8841463414634143</v>
      </c>
      <c r="H2" s="1"/>
      <c r="J2" s="25">
        <f>IF((((E15+B15+F15)*G2)/10)&gt;500,500,((E15+B15+F15)*G2/10))</f>
        <v>145.05914634146342</v>
      </c>
    </row>
    <row r="3" spans="1:10" x14ac:dyDescent="0.3">
      <c r="A3" s="5" t="s">
        <v>2238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39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597</v>
      </c>
      <c r="C4" s="20">
        <f>B17+C17</f>
        <v>164</v>
      </c>
      <c r="D4" s="21">
        <f>C4/B4</f>
        <v>0.27470686767169178</v>
      </c>
      <c r="E4" s="40">
        <f>IFERROR( (('Nps Jul'!E4*'Nps Jul'!C4)+ ('Nps Ago'!E4*'Nps Ago'!C4)+ ('Nps Set'!E4*'Nps Set'!C4))/ ('Nps Jul'!C4+'Nps Ago'!C4+'Nps Set'!C4),0)</f>
        <v>4.9848484848484844</v>
      </c>
      <c r="F4" s="26"/>
      <c r="G4" s="30">
        <f t="shared" si="1"/>
        <v>4.9848484848484844</v>
      </c>
      <c r="H4" s="1"/>
      <c r="J4" s="25">
        <f>IF((((E17+B17+F17)*G4)/10)&gt;500,500,((E17+B17+F17)*G4/10))</f>
        <v>288.62272727272727</v>
      </c>
    </row>
    <row r="5" spans="1:10" x14ac:dyDescent="0.3">
      <c r="A5" s="5" t="s">
        <v>32</v>
      </c>
      <c r="B5" s="6">
        <f t="shared" si="0"/>
        <v>191</v>
      </c>
      <c r="C5" s="6">
        <f>B18+C18</f>
        <v>50</v>
      </c>
      <c r="D5" s="42">
        <f>C5/B5</f>
        <v>0.26178010471204188</v>
      </c>
      <c r="E5" s="39">
        <f>IFERROR( (('Nps Jul'!E5*'Nps Jul'!C5)+ ('Nps Ago'!E5*'Nps Ago'!C5)+ ('Nps Set'!E5*'Nps Set'!C5))/ ('Nps Jul'!C5+'Nps Ago'!C5+'Nps Set'!C5),0)</f>
        <v>4.9607843137254903</v>
      </c>
      <c r="F5" s="8"/>
      <c r="G5" s="31">
        <f t="shared" si="1"/>
        <v>4.9607843137254903</v>
      </c>
      <c r="H5" s="1"/>
      <c r="J5" s="25">
        <f>IF((((E18+B18+F18)*G5)/10)&gt;500,500,((E18+B18+F18)*G5/10))</f>
        <v>91.774509803921575</v>
      </c>
    </row>
    <row r="6" spans="1:10" x14ac:dyDescent="0.3">
      <c r="A6" s="19" t="s">
        <v>2213</v>
      </c>
      <c r="B6" s="20">
        <f t="shared" si="0"/>
        <v>201</v>
      </c>
      <c r="C6" s="20">
        <f>B19+C19</f>
        <v>55</v>
      </c>
      <c r="D6" s="21">
        <f>C6/B6</f>
        <v>0.27363184079601988</v>
      </c>
      <c r="E6" s="40">
        <f>IFERROR( (('Nps Jul'!E6*'Nps Jul'!C6)+ ('Nps Ago'!E6*'Nps Ago'!C6)+ ('Nps Set'!E6*'Nps Set'!C6))/ ('Nps Jul'!C6+'Nps Ago'!C6+'Nps Set'!C6),0)</f>
        <v>4.8909090909090907</v>
      </c>
      <c r="F6" s="26"/>
      <c r="G6" s="30">
        <f>E6-F6</f>
        <v>4.8909090909090907</v>
      </c>
      <c r="H6" s="1"/>
      <c r="J6" s="25">
        <f>IF((((E19+B19+F19)*G6)/10)&gt;500,500,((E19+B19+F19)*G6/10))</f>
        <v>95.861818181818165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J9" s="24">
        <f>SUM(J2:J7)</f>
        <v>729.77723774450874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6</v>
      </c>
      <c r="C15" s="20">
        <f>'Nps Jul'!C15+'Nps Ago'!C15+'Nps Set'!C15</f>
        <v>76</v>
      </c>
      <c r="D15" s="20">
        <f>'Nps Jul'!D15+'Nps Ago'!D15+'Nps Set'!D15</f>
        <v>28</v>
      </c>
      <c r="E15" s="20">
        <f>'Nps Jul'!E15+'Nps Ago'!E15+'Nps Set'!E15</f>
        <v>215</v>
      </c>
      <c r="F15" s="20">
        <f>'Nps Jul'!F15+'Nps Ago'!F15+'Nps Set'!F15</f>
        <v>76</v>
      </c>
      <c r="G15" s="20">
        <f>'Nps Jul'!G15+'Nps Ago'!G15+'Nps Set'!G15</f>
        <v>12</v>
      </c>
    </row>
    <row r="16" spans="1:10" x14ac:dyDescent="0.3">
      <c r="A16" s="5" t="s">
        <v>2238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4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156</v>
      </c>
      <c r="D17" s="20">
        <f>'Nps Jul'!D17+'Nps Ago'!D17+'Nps Set'!D17</f>
        <v>26</v>
      </c>
      <c r="E17" s="20">
        <f>'Nps Jul'!E17+'Nps Ago'!E17+'Nps Set'!E17</f>
        <v>379</v>
      </c>
      <c r="F17" s="20">
        <f>'Nps Jul'!F17+'Nps Ago'!F17+'Nps Set'!F17</f>
        <v>192</v>
      </c>
      <c r="G17" s="20">
        <f>'Nps Jul'!G17+'Nps Ago'!G17+'Nps Set'!G17</f>
        <v>43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50</v>
      </c>
      <c r="D18" s="6">
        <f>'Nps Jul'!D18+'Nps Ago'!D18+'Nps Set'!D18</f>
        <v>6</v>
      </c>
      <c r="E18" s="6">
        <f>'Nps Jul'!E18+'Nps Ago'!E18+'Nps Set'!E18</f>
        <v>115</v>
      </c>
      <c r="F18" s="6">
        <f>'Nps Jul'!F18+'Nps Ago'!F18+'Nps Set'!F18</f>
        <v>70</v>
      </c>
      <c r="G18" s="44">
        <f>'Nps Jul'!G18+'Nps Ago'!G18+'Nps Set'!G18</f>
        <v>14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55</v>
      </c>
      <c r="D19" s="20">
        <f>'Nps Jul'!D19+'Nps Ago'!D19+'Nps Set'!D19</f>
        <v>5</v>
      </c>
      <c r="E19" s="20">
        <f>'Nps Jul'!E19+'Nps Ago'!E19+'Nps Set'!E19</f>
        <v>5</v>
      </c>
      <c r="F19" s="20">
        <f>'Nps Jul'!F19+'Nps Ago'!F19+'Nps Set'!F19</f>
        <v>191</v>
      </c>
      <c r="G19" s="20">
        <f>'Nps Jul'!G19+'Nps Ago'!G19+'Nps Set'!G19</f>
        <v>55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2026-08-11T17:26:43Z</dcterms:modified>
</cp:coreProperties>
</file>