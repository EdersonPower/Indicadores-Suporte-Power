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2b8a10d02ff96ae/Documentos/Gestão/NPS/2026/"/>
    </mc:Choice>
  </mc:AlternateContent>
  <xr:revisionPtr revIDLastSave="331" documentId="13_ncr:1_{CD7DB75D-BDE6-4CCD-A425-E7061A2FAC39}" xr6:coauthVersionLast="47" xr6:coauthVersionMax="47" xr10:uidLastSave="{9632F776-E462-4DB3-A949-EFE2BBD4B324}"/>
  <bookViews>
    <workbookView xWindow="-108" yWindow="-108" windowWidth="23256" windowHeight="12456" tabRatio="720" firstSheet="1" activeTab="5" xr2:uid="{A0771A2B-1508-4555-BBA2-34AA067BC7E2}"/>
  </bookViews>
  <sheets>
    <sheet name="Abr" sheetId="17" r:id="rId1"/>
    <sheet name="Notas Abr" sheetId="18" r:id="rId2"/>
    <sheet name="Nps Abr" sheetId="19" r:id="rId3"/>
    <sheet name="Mai" sheetId="20" r:id="rId4"/>
    <sheet name="Notas Mai" sheetId="21" r:id="rId5"/>
    <sheet name="Nps Mai" sheetId="22" r:id="rId6"/>
    <sheet name="Jun" sheetId="23" r:id="rId7"/>
    <sheet name="Notas Jun" sheetId="24" r:id="rId8"/>
    <sheet name="Nps Jun" sheetId="25" r:id="rId9"/>
    <sheet name="Notas Trim" sheetId="13" r:id="rId10"/>
    <sheet name="NPS Trim" sheetId="12" r:id="rId11"/>
  </sheets>
  <definedNames>
    <definedName name="_xlnm._FilterDatabase" localSheetId="0" hidden="1">Abr!$A$1:$L$2658</definedName>
    <definedName name="_xlnm._FilterDatabase" localSheetId="6" hidden="1">Jun!$A$1:$L$2185</definedName>
    <definedName name="_xlnm._FilterDatabase" localSheetId="3" hidden="1">Mai!$A$1:$L$2686</definedName>
    <definedName name="_xlnm._FilterDatabase" localSheetId="1" hidden="1">'Notas Abr'!$A$1:$E$1</definedName>
    <definedName name="_xlnm._FilterDatabase" localSheetId="7" hidden="1">'Notas Jun'!$A$1:$E$1</definedName>
    <definedName name="_xlnm._FilterDatabase" localSheetId="4" hidden="1">'Notas Mai'!$A$1:$E$1</definedName>
    <definedName name="_xlnm._FilterDatabase" localSheetId="9" hidden="1">'Notas Trim'!$A$1:$E$1</definedName>
    <definedName name="_xlnm._FilterDatabase" localSheetId="2" hidden="1">'Nps Abr'!$A$1:$G$6</definedName>
    <definedName name="_xlnm._FilterDatabase" localSheetId="8" hidden="1">'Nps Jun'!$A$1:$G$6</definedName>
    <definedName name="_xlnm._FilterDatabase" localSheetId="5" hidden="1">'Nps Mai'!$A$1:$G$6</definedName>
    <definedName name="_xlnm._FilterDatabase" localSheetId="10" hidden="1">'NPS Trim'!$A$1:$G$6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2" l="1"/>
  <c r="C4" i="12"/>
  <c r="C3" i="12"/>
  <c r="C2" i="12"/>
  <c r="C5" i="25"/>
  <c r="C4" i="25"/>
  <c r="C3" i="25"/>
  <c r="C2" i="25"/>
  <c r="C6" i="22"/>
  <c r="C5" i="22"/>
  <c r="C4" i="22"/>
  <c r="C3" i="22"/>
  <c r="C2" i="22"/>
  <c r="C6" i="19"/>
  <c r="C5" i="19"/>
  <c r="C4" i="19"/>
  <c r="C3" i="19"/>
  <c r="C2" i="19"/>
  <c r="D5" i="12"/>
  <c r="E5" i="25"/>
  <c r="E4" i="25"/>
  <c r="E3" i="25"/>
  <c r="E2" i="25"/>
  <c r="E5" i="12"/>
  <c r="E4" i="12"/>
  <c r="E3" i="12"/>
  <c r="E2" i="12"/>
  <c r="B15" i="25" l="1"/>
  <c r="E15" i="25"/>
  <c r="D15" i="25"/>
  <c r="C15" i="25"/>
  <c r="E18" i="25"/>
  <c r="D18" i="25"/>
  <c r="C18" i="25"/>
  <c r="B18" i="25"/>
  <c r="E17" i="25"/>
  <c r="D17" i="25"/>
  <c r="C17" i="25"/>
  <c r="B17" i="25"/>
  <c r="E16" i="25"/>
  <c r="D16" i="25"/>
  <c r="C16" i="25"/>
  <c r="B16" i="25"/>
  <c r="I2" i="22"/>
  <c r="E19" i="22"/>
  <c r="D19" i="22"/>
  <c r="C19" i="22"/>
  <c r="E18" i="22"/>
  <c r="D18" i="22"/>
  <c r="C18" i="22"/>
  <c r="E17" i="22"/>
  <c r="D17" i="22"/>
  <c r="C17" i="22"/>
  <c r="E16" i="22"/>
  <c r="D16" i="22"/>
  <c r="C16" i="22"/>
  <c r="E15" i="22"/>
  <c r="D15" i="22"/>
  <c r="C15" i="22"/>
  <c r="B19" i="22"/>
  <c r="B18" i="22"/>
  <c r="B17" i="22"/>
  <c r="B16" i="22"/>
  <c r="B15" i="22"/>
  <c r="E19" i="19"/>
  <c r="D19" i="19"/>
  <c r="C19" i="19"/>
  <c r="B19" i="19"/>
  <c r="E6" i="19"/>
  <c r="E5" i="19"/>
  <c r="E4" i="19"/>
  <c r="E3" i="19"/>
  <c r="E2" i="19"/>
  <c r="E18" i="19"/>
  <c r="E17" i="19"/>
  <c r="E16" i="19"/>
  <c r="E15" i="19"/>
  <c r="D18" i="19"/>
  <c r="D17" i="19"/>
  <c r="D16" i="19"/>
  <c r="D15" i="19"/>
  <c r="C18" i="19"/>
  <c r="C17" i="19"/>
  <c r="C16" i="19"/>
  <c r="C15" i="19"/>
  <c r="B18" i="19" l="1"/>
  <c r="B17" i="19"/>
  <c r="B16" i="19"/>
  <c r="B15" i="19"/>
  <c r="G16" i="12"/>
  <c r="G17" i="12"/>
  <c r="G18" i="12"/>
  <c r="G15" i="12"/>
  <c r="F16" i="12"/>
  <c r="F17" i="12"/>
  <c r="F18" i="12"/>
  <c r="F15" i="12"/>
  <c r="G2" i="25"/>
  <c r="G5" i="25"/>
  <c r="G4" i="25"/>
  <c r="G3" i="25"/>
  <c r="E16" i="12"/>
  <c r="D17" i="12"/>
  <c r="D16" i="12"/>
  <c r="E6" i="22"/>
  <c r="G6" i="22" s="1"/>
  <c r="E5" i="22"/>
  <c r="G5" i="22" s="1"/>
  <c r="E4" i="22"/>
  <c r="G4" i="22" s="1"/>
  <c r="E3" i="22"/>
  <c r="G3" i="22" s="1"/>
  <c r="E2" i="22"/>
  <c r="G6" i="19"/>
  <c r="G5" i="19"/>
  <c r="G4" i="19"/>
  <c r="G3" i="19"/>
  <c r="E18" i="12"/>
  <c r="E17" i="12" l="1"/>
  <c r="C18" i="12"/>
  <c r="C16" i="12"/>
  <c r="C17" i="12"/>
  <c r="E15" i="12"/>
  <c r="D18" i="12"/>
  <c r="C15" i="12"/>
  <c r="B17" i="12"/>
  <c r="D15" i="12"/>
  <c r="B15" i="12"/>
  <c r="B16" i="12"/>
  <c r="B18" i="12"/>
  <c r="B3" i="25"/>
  <c r="I5" i="25"/>
  <c r="B4" i="25"/>
  <c r="B5" i="25"/>
  <c r="B2" i="25"/>
  <c r="E9" i="25"/>
  <c r="G9" i="25" s="1"/>
  <c r="E9" i="22"/>
  <c r="G9" i="22" s="1"/>
  <c r="G2" i="22"/>
  <c r="B6" i="22"/>
  <c r="B4" i="22"/>
  <c r="I3" i="22"/>
  <c r="I5" i="22"/>
  <c r="B2" i="22"/>
  <c r="B3" i="22"/>
  <c r="B5" i="22"/>
  <c r="E9" i="19"/>
  <c r="G9" i="19" s="1"/>
  <c r="I5" i="19"/>
  <c r="I3" i="19"/>
  <c r="B6" i="19"/>
  <c r="B5" i="19"/>
  <c r="B3" i="19"/>
  <c r="B2" i="19"/>
  <c r="B4" i="19"/>
  <c r="G2" i="19"/>
  <c r="G5" i="12"/>
  <c r="G4" i="12"/>
  <c r="G3" i="12"/>
  <c r="D4" i="25" l="1"/>
  <c r="I4" i="25"/>
  <c r="D5" i="25"/>
  <c r="I2" i="25"/>
  <c r="C9" i="25"/>
  <c r="B9" i="25"/>
  <c r="D2" i="25"/>
  <c r="I3" i="25"/>
  <c r="D3" i="25"/>
  <c r="D3" i="22"/>
  <c r="D4" i="22"/>
  <c r="I4" i="22"/>
  <c r="C9" i="22"/>
  <c r="D2" i="22"/>
  <c r="B9" i="22"/>
  <c r="D5" i="22"/>
  <c r="I6" i="22"/>
  <c r="D6" i="22"/>
  <c r="I2" i="19"/>
  <c r="C9" i="19"/>
  <c r="D3" i="19"/>
  <c r="D5" i="19"/>
  <c r="B9" i="19"/>
  <c r="D6" i="19"/>
  <c r="D2" i="19"/>
  <c r="I6" i="19"/>
  <c r="D4" i="19"/>
  <c r="I4" i="19"/>
  <c r="J4" i="12"/>
  <c r="J3" i="12"/>
  <c r="J6" i="12"/>
  <c r="J5" i="12"/>
  <c r="E9" i="12"/>
  <c r="G9" i="12" s="1"/>
  <c r="B5" i="12"/>
  <c r="B3" i="12"/>
  <c r="B2" i="12"/>
  <c r="B4" i="12"/>
  <c r="G2" i="12"/>
  <c r="J2" i="12" s="1"/>
  <c r="D9" i="25" l="1"/>
  <c r="D9" i="22"/>
  <c r="D9" i="19"/>
  <c r="D3" i="12"/>
  <c r="B9" i="12"/>
  <c r="C9" i="12"/>
  <c r="J9" i="12"/>
  <c r="D4" i="12"/>
  <c r="D2" i="12"/>
  <c r="D9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tc={15285D58-5CF7-487B-A15C-2F69373C1023}</author>
  </authors>
  <commentList>
    <comment ref="F1" authorId="0" shapeId="0" xr:uid="{15285D58-5CF7-487B-A15C-2F69373C102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tc={D5D8FF36-B8D9-4E15-9BA1-F833C961D28C}</author>
  </authors>
  <commentList>
    <comment ref="F1" authorId="0" shapeId="0" xr:uid="{D5D8FF36-B8D9-4E15-9BA1-F833C961D28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tc={FD9A6698-8DD3-48E4-A0E6-D993563D9CA4}</author>
  </authors>
  <commentList>
    <comment ref="F1" authorId="0" shapeId="0" xr:uid="{FD9A6698-8DD3-48E4-A0E6-D993563D9CA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tc={ABB3DEC3-6C15-4FC5-A025-1349A878ACC4}</author>
  </authors>
  <commentList>
    <comment ref="F1" authorId="0" shapeId="0" xr:uid="{ABB3DEC3-6C15-4FC5-A025-1349A878ACC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Notas 1 - Abate 0,40 da média
Notas 2 - Abate 0,20 da média</t>
      </text>
    </comment>
  </commentList>
</comments>
</file>

<file path=xl/sharedStrings.xml><?xml version="1.0" encoding="utf-8"?>
<sst xmlns="http://schemas.openxmlformats.org/spreadsheetml/2006/main" count="44490" uniqueCount="7607">
  <si>
    <t>date</t>
  </si>
  <si>
    <t>src</t>
  </si>
  <si>
    <t>dst</t>
  </si>
  <si>
    <t>did</t>
  </si>
  <si>
    <t>duration</t>
  </si>
  <si>
    <t>talk</t>
  </si>
  <si>
    <t>status</t>
  </si>
  <si>
    <t>uniqueid</t>
  </si>
  <si>
    <t>direction</t>
  </si>
  <si>
    <t>coust_center</t>
  </si>
  <si>
    <t>queue_name</t>
  </si>
  <si>
    <t>nps</t>
  </si>
  <si>
    <t>ATENDENTE</t>
  </si>
  <si>
    <t>QTD ATENDIMENTOS</t>
  </si>
  <si>
    <t>QTD AVALIADOS</t>
  </si>
  <si>
    <t>PERCENTUAL AVALIAÇÃO</t>
  </si>
  <si>
    <t>TOTAL</t>
  </si>
  <si>
    <t>QSA</t>
  </si>
  <si>
    <t>QEA</t>
  </si>
  <si>
    <t>1002 - Luiz</t>
  </si>
  <si>
    <t>1005 - Dayane</t>
  </si>
  <si>
    <t>1004 - Lukas</t>
  </si>
  <si>
    <t>1001 - Gabriel</t>
  </si>
  <si>
    <t>MÉDIA NOTAS</t>
  </si>
  <si>
    <t>DESCONTOS AVALIAÇÕES</t>
  </si>
  <si>
    <t>MÉDIA NOTAS FINAL</t>
  </si>
  <si>
    <t>PONTUAÇÃO CAIXINHA</t>
  </si>
  <si>
    <t>QEA = QUANTIDADE DE ENTRADAS AVALIADAS</t>
  </si>
  <si>
    <t>QSA = QUANTIDADE DE SAIDAS AVALIADA</t>
  </si>
  <si>
    <t>TS - TOTAL DE SAIDAS</t>
  </si>
  <si>
    <t>TE - TOTAL DE ENTRADAS</t>
  </si>
  <si>
    <t>BONIFICAÇÃO</t>
  </si>
  <si>
    <t>1013 - Lucas</t>
  </si>
  <si>
    <t>TE WHATS</t>
  </si>
  <si>
    <t>TE FONE</t>
  </si>
  <si>
    <t>TS FONE</t>
  </si>
  <si>
    <t>WHATS AVALIADOS</t>
  </si>
  <si>
    <t>PSYSTEM_1002</t>
  </si>
  <si>
    <t>ANSWERED</t>
  </si>
  <si>
    <t>E</t>
  </si>
  <si>
    <t>SUPORTE - POWER SYSTEM</t>
  </si>
  <si>
    <t>PSYSTEM_SUPORTE</t>
  </si>
  <si>
    <t>PSYSTEM_1001</t>
  </si>
  <si>
    <t>PSYSTEM_1004</t>
  </si>
  <si>
    <t>PSYSTEM_1013</t>
  </si>
  <si>
    <t>PSYSTEM_1005</t>
  </si>
  <si>
    <t>S</t>
  </si>
  <si>
    <t>UNKNOWN</t>
  </si>
  <si>
    <t>PSYSTEM_1000</t>
  </si>
  <si>
    <t>PSYSTEM_COMERCIAL</t>
  </si>
  <si>
    <t>PSYSTEM_1006</t>
  </si>
  <si>
    <t>R</t>
  </si>
  <si>
    <t>NO ANSWER</t>
  </si>
  <si>
    <t>GERAL - POWER SYSTEM</t>
  </si>
  <si>
    <t>PSYSTEM_1008</t>
  </si>
  <si>
    <t>COMERCIAL - POWER SYSTEM</t>
  </si>
  <si>
    <t>PSYSTEM_1010</t>
  </si>
  <si>
    <t>PSYSTEM_1009</t>
  </si>
  <si>
    <t>FlexPBX-1776458773.214180</t>
  </si>
  <si>
    <t>FlexPBX-1776458478.214112</t>
  </si>
  <si>
    <t>FlexPBX-1776458231.214102</t>
  </si>
  <si>
    <t>FlexPBX-1776458230.214094</t>
  </si>
  <si>
    <t>FlexPBX-1776458221.214086</t>
  </si>
  <si>
    <t>FlexPBX-1776457118.213965</t>
  </si>
  <si>
    <t>FlexPBX-1776456360.213951</t>
  </si>
  <si>
    <t>FlexPBX-1776456039.213937</t>
  </si>
  <si>
    <t>FlexPBX-1776455679.213929</t>
  </si>
  <si>
    <t>FlexPBX-1776454965.213887</t>
  </si>
  <si>
    <t>FlexPBX-1776454726.213855</t>
  </si>
  <si>
    <t>FlexPBX-1776454444.213743</t>
  </si>
  <si>
    <t>FlexPBX-1776454389.213731</t>
  </si>
  <si>
    <t>FlexPBX-1776454375.213727</t>
  </si>
  <si>
    <t>FlexPBX-1776454372.213719</t>
  </si>
  <si>
    <t>FlexPBX-1776454337.213714</t>
  </si>
  <si>
    <t>FlexPBX-1776454150.213694</t>
  </si>
  <si>
    <t>FlexPBX-1776454050.213674</t>
  </si>
  <si>
    <t>FlexPBX-1776454022.213666</t>
  </si>
  <si>
    <t>FlexPBX-1776453936.213652</t>
  </si>
  <si>
    <t>FlexPBX-1776453762.213644</t>
  </si>
  <si>
    <t>FlexPBX-1776453241.213605</t>
  </si>
  <si>
    <t>FlexPBX-1776452839.213555</t>
  </si>
  <si>
    <t>FlexPBX-1776452279.213541</t>
  </si>
  <si>
    <t>FlexPBX-1776451917.213515</t>
  </si>
  <si>
    <t>FlexPBX-1776451869.213484</t>
  </si>
  <si>
    <t>FlexPBX-1776451828.213452</t>
  </si>
  <si>
    <t>FlexPBX-1776451822.213438</t>
  </si>
  <si>
    <t>FlexPBX-1776451625.213262</t>
  </si>
  <si>
    <t>FlexPBX-1776451555.213227</t>
  </si>
  <si>
    <t>FlexPBX-1776451343.213187</t>
  </si>
  <si>
    <t>FlexPBX-1776450263.213105</t>
  </si>
  <si>
    <t>FlexPBX-1776449982.213063</t>
  </si>
  <si>
    <t>FlexPBX-1776449806.213049</t>
  </si>
  <si>
    <t>FlexPBX-1776449453.212939</t>
  </si>
  <si>
    <t>FlexPBX-1776448945.212879</t>
  </si>
  <si>
    <t>FlexPBX-1776448872.212859</t>
  </si>
  <si>
    <t>FlexPBX-1776448760.212852</t>
  </si>
  <si>
    <t>FlexPBX-1776448637.212833</t>
  </si>
  <si>
    <t>FlexPBX-1776448461.212727</t>
  </si>
  <si>
    <t>FlexPBX-1776448461.212725</t>
  </si>
  <si>
    <t>FlexPBX-1776448221.212651</t>
  </si>
  <si>
    <t>FlexPBX-1776448207.212648</t>
  </si>
  <si>
    <t>FlexPBX-1776448151.212640</t>
  </si>
  <si>
    <t>FlexPBX-1776447850.212620</t>
  </si>
  <si>
    <t>FlexPBX-1776447784.212606</t>
  </si>
  <si>
    <t>FlexPBX-1776447737.212596</t>
  </si>
  <si>
    <t>FlexPBX-1776447719.212582</t>
  </si>
  <si>
    <t>FlexPBX-1776447503.212473</t>
  </si>
  <si>
    <t>FlexPBX-1776447274.212434</t>
  </si>
  <si>
    <t>FlexPBX-1776447151.212385</t>
  </si>
  <si>
    <t>FlexPBX-1776446809.212362</t>
  </si>
  <si>
    <t>FlexPBX-1776446803.212347</t>
  </si>
  <si>
    <t>FlexPBX-1776446676.212273</t>
  </si>
  <si>
    <t>FlexPBX-1776446635.212265</t>
  </si>
  <si>
    <t>FlexPBX-1776446616.212257</t>
  </si>
  <si>
    <t>FlexPBX-1776446425.212212</t>
  </si>
  <si>
    <t>FlexPBX-1776446277.212130</t>
  </si>
  <si>
    <t>FlexPBX-1776446216.212107</t>
  </si>
  <si>
    <t>FlexPBX-1776446165.212093</t>
  </si>
  <si>
    <t>FlexPBX-1776446022.212070</t>
  </si>
  <si>
    <t>FlexPBX-1776445325.212007</t>
  </si>
  <si>
    <t>FlexPBX-1776445322.212004</t>
  </si>
  <si>
    <t>FlexPBX-1776445262.211974</t>
  </si>
  <si>
    <t>FlexPBX-1776445043.211959</t>
  </si>
  <si>
    <t>FlexPBX-1776444983.211951</t>
  </si>
  <si>
    <t>FlexPBX-1776444864.211906</t>
  </si>
  <si>
    <t>FlexPBX-1776444845.211903</t>
  </si>
  <si>
    <t>FlexPBX-1776444817.211884</t>
  </si>
  <si>
    <t>FlexPBX-1776444768.211871</t>
  </si>
  <si>
    <t>FlexPBX-1776444472.211833</t>
  </si>
  <si>
    <t>FlexPBX-1776444471.211829</t>
  </si>
  <si>
    <t>FlexPBX-1776444094.211796</t>
  </si>
  <si>
    <t>FlexPBX-1776443807.211772</t>
  </si>
  <si>
    <t>FlexPBX-1776443701.211751</t>
  </si>
  <si>
    <t>FlexPBX-1776443689.211727</t>
  </si>
  <si>
    <t>FlexPBX-1776443678.211720</t>
  </si>
  <si>
    <t>FlexPBX-1776443631.211650</t>
  </si>
  <si>
    <t>FlexPBX-1776443564.211587</t>
  </si>
  <si>
    <t>FlexPBX-1776443545.211583</t>
  </si>
  <si>
    <t>FlexPBX-1776443538.211575</t>
  </si>
  <si>
    <t>FlexPBX-1776443488.211567</t>
  </si>
  <si>
    <t>FlexPBX-1776443430.211559</t>
  </si>
  <si>
    <t>FlexPBX-1776443311.211551</t>
  </si>
  <si>
    <t>FlexPBX-1776443249.211518</t>
  </si>
  <si>
    <t>FlexPBX-1776443041.211499</t>
  </si>
  <si>
    <t>FlexPBX-1776439425.211494</t>
  </si>
  <si>
    <t>FlexPBX-1776438909.211489</t>
  </si>
  <si>
    <t>FlexPBX-1776438208.211484</t>
  </si>
  <si>
    <t>FlexPBX-1776437617.211369</t>
  </si>
  <si>
    <t>FlexPBX-1776437277.211353</t>
  </si>
  <si>
    <t>FlexPBX-1776436916.211344</t>
  </si>
  <si>
    <t>FlexPBX-1776436785.211336</t>
  </si>
  <si>
    <t>FlexPBX-1776436690.211311</t>
  </si>
  <si>
    <t>FlexPBX-1776435862.211286</t>
  </si>
  <si>
    <t>FlexPBX-1776435231.211164</t>
  </si>
  <si>
    <t>FlexPBX-1776435065.211128</t>
  </si>
  <si>
    <t>FlexPBX-1776434934.211081</t>
  </si>
  <si>
    <t>FlexPBX-1776434832.211024</t>
  </si>
  <si>
    <t>FlexPBX-1776434575.210969</t>
  </si>
  <si>
    <t>FlexPBX-1776434429.210891</t>
  </si>
  <si>
    <t>FlexPBX-1776434198.210811</t>
  </si>
  <si>
    <t>FlexPBX-1776433825.210774</t>
  </si>
  <si>
    <t>FlexPBX-1776433746.210731</t>
  </si>
  <si>
    <t>FlexPBX-1776433560.210705</t>
  </si>
  <si>
    <t>FlexPBX-1776433406.210629</t>
  </si>
  <si>
    <t>FlexPBX-1776433400.210626</t>
  </si>
  <si>
    <t>FlexPBX-1776433398.210623</t>
  </si>
  <si>
    <t>FlexPBX-1776433081.210568</t>
  </si>
  <si>
    <t>FlexPBX-1776432899.210554</t>
  </si>
  <si>
    <t>FlexPBX-1776432721.210490</t>
  </si>
  <si>
    <t>FlexPBX-1776432596.210457</t>
  </si>
  <si>
    <t>FlexPBX-1776432587.210453</t>
  </si>
  <si>
    <t>FlexPBX-1776432572.210445</t>
  </si>
  <si>
    <t>FlexPBX-1776432347.210423</t>
  </si>
  <si>
    <t>FlexPBX-1776432135.210401</t>
  </si>
  <si>
    <t>FlexPBX-1776432049.210360</t>
  </si>
  <si>
    <t>FlexPBX-1776432024.210335</t>
  </si>
  <si>
    <t>FlexPBX-1776431903.210327</t>
  </si>
  <si>
    <t>FlexPBX-1776431870.210313</t>
  </si>
  <si>
    <t>FlexPBX-1776431778.210293</t>
  </si>
  <si>
    <t>FlexPBX-1776431644.210251</t>
  </si>
  <si>
    <t>FlexPBX-1776431571.210204</t>
  </si>
  <si>
    <t>FlexPBX-1776431133.210159</t>
  </si>
  <si>
    <t>FlexPBX-1776430906.210075</t>
  </si>
  <si>
    <t>FlexPBX-1776430845.210040</t>
  </si>
  <si>
    <t>FlexPBX-1776430690.210000</t>
  </si>
  <si>
    <t>FlexPBX-1776430322.209951</t>
  </si>
  <si>
    <t>FlexPBX-1776429586.209903</t>
  </si>
  <si>
    <t>FlexPBX-1776429580.209889</t>
  </si>
  <si>
    <t>FlexPBX-1776429399.209861</t>
  </si>
  <si>
    <t>FlexPBX-1776429279.209838</t>
  </si>
  <si>
    <t>FlexPBX-1776429142.209801</t>
  </si>
  <si>
    <t>FlexPBX-1776429104.209781</t>
  </si>
  <si>
    <t>FlexPBX-1776429067.209763</t>
  </si>
  <si>
    <t>FlexPBX-1776428575.209654</t>
  </si>
  <si>
    <t>FlexPBX-1776428558.209651</t>
  </si>
  <si>
    <t>FlexPBX-1776428467.209640</t>
  </si>
  <si>
    <t>FlexPBX-1776428464.209635</t>
  </si>
  <si>
    <t>FlexPBX-1776428429.209630</t>
  </si>
  <si>
    <t>FlexPBX-1776428293.209602</t>
  </si>
  <si>
    <t>FlexPBX-1776428228.209582</t>
  </si>
  <si>
    <t>FlexPBX-1776428086.209571</t>
  </si>
  <si>
    <t>FlexPBX-1776427785.209539</t>
  </si>
  <si>
    <t>FlexPBX-1776427737.209527</t>
  </si>
  <si>
    <t>FlexPBX-1776427151.209443</t>
  </si>
  <si>
    <t>FlexPBX-1776427119.209408</t>
  </si>
  <si>
    <t>FlexPBX-1776427115.209390</t>
  </si>
  <si>
    <t>FlexPBX-1776427111.209382</t>
  </si>
  <si>
    <t>FlexPBX-1776427084.209362</t>
  </si>
  <si>
    <t>FlexPBX-1776427013.209325</t>
  </si>
  <si>
    <t>FlexPBX-1776426756.209234</t>
  </si>
  <si>
    <t>FlexPBX-1776426697.209191</t>
  </si>
  <si>
    <t>FlexPBX-1776426662.209186</t>
  </si>
  <si>
    <t>FlexPBX-1776426433.209166</t>
  </si>
  <si>
    <t>FlexPBX-1776426081.209146</t>
  </si>
  <si>
    <t>FlexPBX-1776426033.209135</t>
  </si>
  <si>
    <t>FlexPBX-1776425996.209105</t>
  </si>
  <si>
    <t>FlexPBX-1776425983.209102</t>
  </si>
  <si>
    <t>FlexPBX-1776425920.209055</t>
  </si>
  <si>
    <t>FlexPBX-1776425575.208992</t>
  </si>
  <si>
    <t>FlexPBX-1776425331.208987</t>
  </si>
  <si>
    <t>FlexPBX-1776424956.208982</t>
  </si>
  <si>
    <t>FlexPBX-1776424487.208977</t>
  </si>
  <si>
    <t>FlexPBX-1776424060.208972</t>
  </si>
  <si>
    <t>FlexPBX-1776372784.208883</t>
  </si>
  <si>
    <t>FlexPBX-1776371974.208875</t>
  </si>
  <si>
    <t>FlexPBX-1776371957.208867</t>
  </si>
  <si>
    <t>FlexPBX-1776371944.208859</t>
  </si>
  <si>
    <t>FlexPBX-1776371106.208828</t>
  </si>
  <si>
    <t>FlexPBX-1776370796.208818</t>
  </si>
  <si>
    <t>FlexPBX-1776370777.208806</t>
  </si>
  <si>
    <t>FlexPBX-1776370665.208763</t>
  </si>
  <si>
    <t>FlexPBX-1776370481.208728</t>
  </si>
  <si>
    <t>FlexPBX-1776370274.208608</t>
  </si>
  <si>
    <t>FlexPBX-1776370221.208550</t>
  </si>
  <si>
    <t>FlexPBX-1776370201.208537</t>
  </si>
  <si>
    <t>FlexPBX-1776369122.208431</t>
  </si>
  <si>
    <t>FlexPBX-1776368968.208338</t>
  </si>
  <si>
    <t>FlexPBX-1776368925.208311</t>
  </si>
  <si>
    <t>FlexPBX-1776367762.208292</t>
  </si>
  <si>
    <t>FlexPBX-1776367344.208283</t>
  </si>
  <si>
    <t>FlexPBX-1776367340.208279</t>
  </si>
  <si>
    <t>FlexPBX-1776367273.208255</t>
  </si>
  <si>
    <t>FlexPBX-1776366818.208223</t>
  </si>
  <si>
    <t>FlexPBX-1776366299.208178</t>
  </si>
  <si>
    <t>FlexPBX-1776366245.208162</t>
  </si>
  <si>
    <t>FlexPBX-1776366169.208121</t>
  </si>
  <si>
    <t>FlexPBX-1776365922.208085</t>
  </si>
  <si>
    <t>FlexPBX-1776365912.208072</t>
  </si>
  <si>
    <t>FlexPBX-1776365856.208039</t>
  </si>
  <si>
    <t>FlexPBX-1776365725.208017</t>
  </si>
  <si>
    <t>FlexPBX-1776365704.208003</t>
  </si>
  <si>
    <t>FlexPBX-1776365649.207995</t>
  </si>
  <si>
    <t>FlexPBX-1776365353.207966</t>
  </si>
  <si>
    <t>FlexPBX-1776365347.207960</t>
  </si>
  <si>
    <t>FlexPBX-1776365320.207910</t>
  </si>
  <si>
    <t>FlexPBX-1776365315.207898</t>
  </si>
  <si>
    <t>FlexPBX-1776365289.207885</t>
  </si>
  <si>
    <t>FlexPBX-1776365050.207849</t>
  </si>
  <si>
    <t>FlexPBX-1776365042.207845</t>
  </si>
  <si>
    <t>FlexPBX-1776365034.207833</t>
  </si>
  <si>
    <t>FlexPBX-1776364403.207790</t>
  </si>
  <si>
    <t>FlexPBX-1776364358.207765</t>
  </si>
  <si>
    <t>FlexPBX-1776364296.207691</t>
  </si>
  <si>
    <t>FlexPBX-1776364273.207680</t>
  </si>
  <si>
    <t>FlexPBX-1776364206.207672</t>
  </si>
  <si>
    <t>FlexPBX-1776363786.207616</t>
  </si>
  <si>
    <t>FlexPBX-1776363361.207572</t>
  </si>
  <si>
    <t>FlexPBX-1776363322.207517</t>
  </si>
  <si>
    <t>FlexPBX-1776363304.207506</t>
  </si>
  <si>
    <t>FlexPBX-1776363113.207479</t>
  </si>
  <si>
    <t>FlexPBX-1776363102.207471</t>
  </si>
  <si>
    <t>FlexPBX-1776363058.207463</t>
  </si>
  <si>
    <t>FlexPBX-1776363037.207455</t>
  </si>
  <si>
    <t>FlexPBX-1776363018.207447</t>
  </si>
  <si>
    <t>FlexPBX-1776363001.207439</t>
  </si>
  <si>
    <t>FlexPBX-1776362936.207423</t>
  </si>
  <si>
    <t>FlexPBX-1776362916.207411</t>
  </si>
  <si>
    <t>FlexPBX-1776362891.207395</t>
  </si>
  <si>
    <t>FlexPBX-1776362717.207374</t>
  </si>
  <si>
    <t>FlexPBX-1776362590.207345</t>
  </si>
  <si>
    <t>FlexPBX-1776362455.207335</t>
  </si>
  <si>
    <t>FlexPBX-1776362261.207321</t>
  </si>
  <si>
    <t>FlexPBX-1776362153.207264</t>
  </si>
  <si>
    <t>FlexPBX-1776361712.207232</t>
  </si>
  <si>
    <t>FlexPBX-1776361609.207179</t>
  </si>
  <si>
    <t>FlexPBX-1776361550.207148</t>
  </si>
  <si>
    <t>FlexPBX-1776361025.207087</t>
  </si>
  <si>
    <t>FlexPBX-1776360972.207052</t>
  </si>
  <si>
    <t>FlexPBX-1776360812.206981</t>
  </si>
  <si>
    <t>FlexPBX-1776360573.206969</t>
  </si>
  <si>
    <t>FlexPBX-1776360217.206941</t>
  </si>
  <si>
    <t>FlexPBX-1776360210.206936</t>
  </si>
  <si>
    <t>FlexPBX-1776359114.206866</t>
  </si>
  <si>
    <t>FlexPBX-1776358791.206798</t>
  </si>
  <si>
    <t>FlexPBX-1776358726.206775</t>
  </si>
  <si>
    <t>FlexPBX-1776358518.206761</t>
  </si>
  <si>
    <t>FlexPBX-1776358408.206696</t>
  </si>
  <si>
    <t>FlexPBX-1776358400.206684</t>
  </si>
  <si>
    <t>FlexPBX-1776358369.206669</t>
  </si>
  <si>
    <t>FlexPBX-1776358034.206636</t>
  </si>
  <si>
    <t>FlexPBX-1776357997.206625</t>
  </si>
  <si>
    <t>FlexPBX-1776357911.206605</t>
  </si>
  <si>
    <t>FlexPBX-1776357821.206565</t>
  </si>
  <si>
    <t>FlexPBX-1776357691.206541</t>
  </si>
  <si>
    <t>FlexPBX-1776357547.206527</t>
  </si>
  <si>
    <t>FlexPBX-1776357009.206457</t>
  </si>
  <si>
    <t>FlexPBX-1776355579.206438</t>
  </si>
  <si>
    <t>FlexPBX-1776351773.206419</t>
  </si>
  <si>
    <t>FlexPBX-1776350803.206369</t>
  </si>
  <si>
    <t>FlexPBX-1776350637.206349</t>
  </si>
  <si>
    <t>FlexPBX-1776350503.206335</t>
  </si>
  <si>
    <t>FlexPBX-1776350465.206330</t>
  </si>
  <si>
    <t>FlexPBX-1776350261.206304</t>
  </si>
  <si>
    <t>FlexPBX-1776350135.206284</t>
  </si>
  <si>
    <t>FlexPBX-1776350027.206236</t>
  </si>
  <si>
    <t>FlexPBX-1776349872.206203</t>
  </si>
  <si>
    <t>FlexPBX-1776349861.206200</t>
  </si>
  <si>
    <t>FlexPBX-1776349045.206160</t>
  </si>
  <si>
    <t>FlexPBX-1776348932.206144</t>
  </si>
  <si>
    <t>FlexPBX-1776348808.206130</t>
  </si>
  <si>
    <t>FlexPBX-1776348790.206110</t>
  </si>
  <si>
    <t>FlexPBX-1776348744.206102</t>
  </si>
  <si>
    <t>FlexPBX-1776348705.206088</t>
  </si>
  <si>
    <t>FlexPBX-1776348588.206080</t>
  </si>
  <si>
    <t>FlexPBX-1776348552.206068</t>
  </si>
  <si>
    <t>FlexPBX-1776348542.206064</t>
  </si>
  <si>
    <t>FlexPBX-1776348516.206056</t>
  </si>
  <si>
    <t>FlexPBX-1776348379.206040</t>
  </si>
  <si>
    <t>FlexPBX-1776348001.206008</t>
  </si>
  <si>
    <t>FlexPBX-1776347978.205994</t>
  </si>
  <si>
    <t>FlexPBX-1776347969.205976</t>
  </si>
  <si>
    <t>FlexPBX-1776347927.205959</t>
  </si>
  <si>
    <t>FlexPBX-1776347863.205951</t>
  </si>
  <si>
    <t>FlexPBX-1776347657.205923</t>
  </si>
  <si>
    <t>FlexPBX-1776347653.205915</t>
  </si>
  <si>
    <t>FlexPBX-1776347648.205907</t>
  </si>
  <si>
    <t>FlexPBX-1776347641.205890</t>
  </si>
  <si>
    <t>FlexPBX-1776347631.205858</t>
  </si>
  <si>
    <t>FlexPBX-1776347548.205813</t>
  </si>
  <si>
    <t>FlexPBX-1776347495.205805</t>
  </si>
  <si>
    <t>FlexPBX-1776347383.205791</t>
  </si>
  <si>
    <t>FlexPBX-1776347317.205777</t>
  </si>
  <si>
    <t>FlexPBX-1776347248.205754</t>
  </si>
  <si>
    <t>FlexPBX-1776347241.205738</t>
  </si>
  <si>
    <t>FlexPBX-1776347234.205735</t>
  </si>
  <si>
    <t>FlexPBX-1776347229.205721</t>
  </si>
  <si>
    <t>FlexPBX-1776347199.205695</t>
  </si>
  <si>
    <t>FlexPBX-1776347189.205692</t>
  </si>
  <si>
    <t>FlexPBX-1776346960.205666</t>
  </si>
  <si>
    <t>FlexPBX-1776346720.205646</t>
  </si>
  <si>
    <t>FlexPBX-1776346714.205638</t>
  </si>
  <si>
    <t>FlexPBX-1776346554.205592</t>
  </si>
  <si>
    <t>FlexPBX-1776346460.205561</t>
  </si>
  <si>
    <t>FlexPBX-1776346418.205527</t>
  </si>
  <si>
    <t>FlexPBX-1776346353.205488</t>
  </si>
  <si>
    <t>FlexPBX-1776346167.205347</t>
  </si>
  <si>
    <t>FlexPBX-1776346152.205344</t>
  </si>
  <si>
    <t>FlexPBX-1776345839.205330</t>
  </si>
  <si>
    <t>FlexPBX-1776345834.205322</t>
  </si>
  <si>
    <t>FlexPBX-1776345788.205314</t>
  </si>
  <si>
    <t>FlexPBX-1776345666.205212</t>
  </si>
  <si>
    <t>FlexPBX-1776345663.205209</t>
  </si>
  <si>
    <t>FlexPBX-1776345383.205151</t>
  </si>
  <si>
    <t>FlexPBX-1776345221.205027</t>
  </si>
  <si>
    <t>FlexPBX-1776345107.204971</t>
  </si>
  <si>
    <t>FlexPBX-1776344848.204886</t>
  </si>
  <si>
    <t>FlexPBX-1776344286.204802</t>
  </si>
  <si>
    <t>FlexPBX-1776343610.204754</t>
  </si>
  <si>
    <t>FlexPBX-1776343444.204626</t>
  </si>
  <si>
    <t>FlexPBX-1776343443.204623</t>
  </si>
  <si>
    <t>FlexPBX-1776342933.204586</t>
  </si>
  <si>
    <t>FlexPBX-1776342860.204548</t>
  </si>
  <si>
    <t>FlexPBX-1776342819.204498</t>
  </si>
  <si>
    <t>FlexPBX-1776342730.204432</t>
  </si>
  <si>
    <t>FlexPBX-1776342730.204434</t>
  </si>
  <si>
    <t>FlexPBX-1776342676.204424</t>
  </si>
  <si>
    <t>FlexPBX-1776342572.204410</t>
  </si>
  <si>
    <t>FlexPBX-1776341432.204280</t>
  </si>
  <si>
    <t>FlexPBX-1776341346.204268</t>
  </si>
  <si>
    <t>FlexPBX-1776341092.204196</t>
  </si>
  <si>
    <t>FlexPBX-1776341084.204192</t>
  </si>
  <si>
    <t>FlexPBX-1776340566.204136</t>
  </si>
  <si>
    <t>FlexPBX-1776340553.204128</t>
  </si>
  <si>
    <t>FlexPBX-1776340495.204111</t>
  </si>
  <si>
    <t>FlexPBX-1776340489.204107</t>
  </si>
  <si>
    <t>FlexPBX-1776340421.204099</t>
  </si>
  <si>
    <t>FlexPBX-1776340221.204091</t>
  </si>
  <si>
    <t>FlexPBX-1776340168.204083</t>
  </si>
  <si>
    <t>FlexPBX-1776340057.204015</t>
  </si>
  <si>
    <t>FlexPBX-1776339698.203937</t>
  </si>
  <si>
    <t>FlexPBX-1776339626.203926</t>
  </si>
  <si>
    <t>FlexPBX-1776339407.203892</t>
  </si>
  <si>
    <t>FlexPBX-1776339345.203865</t>
  </si>
  <si>
    <t>FlexPBX-1776339249.203818</t>
  </si>
  <si>
    <t>FlexPBX-1776339133.203810</t>
  </si>
  <si>
    <t>FlexPBX-1776339119.203802</t>
  </si>
  <si>
    <t>FlexPBX-1776339005.203750</t>
  </si>
  <si>
    <t>FlexPBX-1776338225.203745</t>
  </si>
  <si>
    <t>FlexPBX-1776337789.203731</t>
  </si>
  <si>
    <t>FlexPBX-1776337523.203711</t>
  </si>
  <si>
    <t>FlexPBX-1776337318.203703</t>
  </si>
  <si>
    <t>FlexPBX-1776286872.203689</t>
  </si>
  <si>
    <t>FlexPBX-1776286272.203498</t>
  </si>
  <si>
    <t>FlexPBX-1776284724.203480</t>
  </si>
  <si>
    <t>FlexPBX-1776284676.203460</t>
  </si>
  <si>
    <t>FlexPBX-1776284615.203446</t>
  </si>
  <si>
    <t>FlexPBX-1776284572.203432</t>
  </si>
  <si>
    <t>FlexPBX-1776284478.203414</t>
  </si>
  <si>
    <t>FlexPBX-1776284226.203323</t>
  </si>
  <si>
    <t>FlexPBX-1776284200.203315</t>
  </si>
  <si>
    <t>FlexPBX-1776283440.203196</t>
  </si>
  <si>
    <t>FlexPBX-1776283111.203183</t>
  </si>
  <si>
    <t>FlexPBX-1776282719.202880</t>
  </si>
  <si>
    <t>FlexPBX-1776282515.202870</t>
  </si>
  <si>
    <t>FlexPBX-1776282492.202858</t>
  </si>
  <si>
    <t>FlexPBX-1776282358.202791</t>
  </si>
  <si>
    <t>FlexPBX-1776282234.202764</t>
  </si>
  <si>
    <t>FlexPBX-1776281967.202751</t>
  </si>
  <si>
    <t>FlexPBX-1776281219.202717</t>
  </si>
  <si>
    <t>FlexPBX-1776280791.202691</t>
  </si>
  <si>
    <t>FlexPBX-1776280690.202640</t>
  </si>
  <si>
    <t>FlexPBX-1776280680.202631</t>
  </si>
  <si>
    <t>FlexPBX-1776280615.202581</t>
  </si>
  <si>
    <t>FlexPBX-1776280553.202524</t>
  </si>
  <si>
    <t>FlexPBX-1776279739.202480</t>
  </si>
  <si>
    <t>FlexPBX-1776279678.202460</t>
  </si>
  <si>
    <t>FlexPBX-1776279321.202434</t>
  </si>
  <si>
    <t>FlexPBX-1776279242.202343</t>
  </si>
  <si>
    <t>FlexPBX-1776279168.202290</t>
  </si>
  <si>
    <t>FlexPBX-1776278796.202260</t>
  </si>
  <si>
    <t>FlexPBX-1776278747.202241</t>
  </si>
  <si>
    <t>FlexPBX-1776278737.202238</t>
  </si>
  <si>
    <t>FlexPBX-1776278625.202167</t>
  </si>
  <si>
    <t>FlexPBX-1776278613.202149</t>
  </si>
  <si>
    <t>FlexPBX-1776278578.202138</t>
  </si>
  <si>
    <t>FlexPBX-1776278201.202100</t>
  </si>
  <si>
    <t>FlexPBX-1776277847.202084</t>
  </si>
  <si>
    <t>FlexPBX-1776277640.201999</t>
  </si>
  <si>
    <t>FlexPBX-1776277576.201974</t>
  </si>
  <si>
    <t>FlexPBX-1776277394.201931</t>
  </si>
  <si>
    <t>FlexPBX-1776277308.201886</t>
  </si>
  <si>
    <t>FlexPBX-1776277264.201858</t>
  </si>
  <si>
    <t>FlexPBX-1776277257.201848</t>
  </si>
  <si>
    <t>FlexPBX-1776277113.201771</t>
  </si>
  <si>
    <t>FlexPBX-1776276852.201696</t>
  </si>
  <si>
    <t>FlexPBX-1776276653.201620</t>
  </si>
  <si>
    <t>FlexPBX-1776276505.201575</t>
  </si>
  <si>
    <t>FlexPBX-1776276342.201557</t>
  </si>
  <si>
    <t>FlexPBX-1776276307.201525</t>
  </si>
  <si>
    <t>FlexPBX-1776276249.201482</t>
  </si>
  <si>
    <t>FlexPBX-1776275634.201397</t>
  </si>
  <si>
    <t>FlexPBX-1776275580.201345</t>
  </si>
  <si>
    <t>FlexPBX-1776275487.201282</t>
  </si>
  <si>
    <t>FlexPBX-1776274627.201178</t>
  </si>
  <si>
    <t>FlexPBX-1776274474.201170</t>
  </si>
  <si>
    <t>FlexPBX-1776274224.201118</t>
  </si>
  <si>
    <t>FlexPBX-1776273558.201041</t>
  </si>
  <si>
    <t>FlexPBX-1776273478.200990</t>
  </si>
  <si>
    <t>FlexPBX-1776273423.200963</t>
  </si>
  <si>
    <t>FlexPBX-1776272805.200913</t>
  </si>
  <si>
    <t>FlexPBX-1776272606.200866</t>
  </si>
  <si>
    <t>FlexPBX-1776272380.200846</t>
  </si>
  <si>
    <t>FlexPBX-1776272279.200834</t>
  </si>
  <si>
    <t>FlexPBX-1776272038.200805</t>
  </si>
  <si>
    <t>FlexPBX-1776271980.200751</t>
  </si>
  <si>
    <t>FlexPBX-1776271976.200748</t>
  </si>
  <si>
    <t>FlexPBX-1776271972.200734</t>
  </si>
  <si>
    <t>FlexPBX-1776271944.200713</t>
  </si>
  <si>
    <t>FlexPBX-1776271941.200709</t>
  </si>
  <si>
    <t>FlexPBX-1776271922.200687</t>
  </si>
  <si>
    <t>FlexPBX-1776271886.200666</t>
  </si>
  <si>
    <t>FlexPBX-1776271855.200650</t>
  </si>
  <si>
    <t>FlexPBX-1776271660.200561</t>
  </si>
  <si>
    <t>FlexPBX-1776271627.200540</t>
  </si>
  <si>
    <t>FlexPBX-1776271622.200537</t>
  </si>
  <si>
    <t>FlexPBX-1776270878.200430</t>
  </si>
  <si>
    <t>FlexPBX-1776270488.200425</t>
  </si>
  <si>
    <t>FlexPBX-1776270351.200420</t>
  </si>
  <si>
    <t>FlexPBX-1776270318.200415</t>
  </si>
  <si>
    <t>FlexPBX-1776270046.200410</t>
  </si>
  <si>
    <t>FlexPBX-1776264451.200374</t>
  </si>
  <si>
    <t>FlexPBX-1776264321.200358</t>
  </si>
  <si>
    <t>FlexPBX-1776264270.200340</t>
  </si>
  <si>
    <t>FlexPBX-1776263654.200296</t>
  </si>
  <si>
    <t>FlexPBX-1776263538.200278</t>
  </si>
  <si>
    <t>FlexPBX-1776263451.200259</t>
  </si>
  <si>
    <t>FlexPBX-1776263396.200236</t>
  </si>
  <si>
    <t>FlexPBX-1776263190.200184</t>
  </si>
  <si>
    <t>FlexPBX-1776262819.200150</t>
  </si>
  <si>
    <t>FlexPBX-1776262733.200105</t>
  </si>
  <si>
    <t>FlexPBX-1776262679.200090</t>
  </si>
  <si>
    <t>FlexPBX-1776262652.200082</t>
  </si>
  <si>
    <t>FlexPBX-1776262597.200045</t>
  </si>
  <si>
    <t>FlexPBX-1776262591.200033</t>
  </si>
  <si>
    <t>FlexPBX-1776262589.200030</t>
  </si>
  <si>
    <t>FlexPBX-1776262583.200022</t>
  </si>
  <si>
    <t>FlexPBX-1776262574.200010</t>
  </si>
  <si>
    <t>FlexPBX-1776262542.200002</t>
  </si>
  <si>
    <t>FlexPBX-1776262391.199966</t>
  </si>
  <si>
    <t>FlexPBX-1776262357.199955</t>
  </si>
  <si>
    <t>FlexPBX-1776262246.199941</t>
  </si>
  <si>
    <t>FlexPBX-1776262095.199919</t>
  </si>
  <si>
    <t>FlexPBX-1776262012.199911</t>
  </si>
  <si>
    <t>FlexPBX-1776261944.199903</t>
  </si>
  <si>
    <t>FlexPBX-1776261380.199779</t>
  </si>
  <si>
    <t>FlexPBX-1776260608.199685</t>
  </si>
  <si>
    <t>FlexPBX-1776260498.199674</t>
  </si>
  <si>
    <t>FlexPBX-1776260461.199666</t>
  </si>
  <si>
    <t>FlexPBX-1776260355.199652</t>
  </si>
  <si>
    <t>FlexPBX-1776260137.199616</t>
  </si>
  <si>
    <t>FlexPBX-1776260111.199577</t>
  </si>
  <si>
    <t>FlexPBX-1776260068.199544</t>
  </si>
  <si>
    <t>FlexPBX-1776259552.199512</t>
  </si>
  <si>
    <t>FlexPBX-1776259527.199487</t>
  </si>
  <si>
    <t>FlexPBX-1776259515.199480</t>
  </si>
  <si>
    <t>FlexPBX-1776259495.199472</t>
  </si>
  <si>
    <t>FlexPBX-1776259482.199468</t>
  </si>
  <si>
    <t>FlexPBX-1776259099.199425</t>
  </si>
  <si>
    <t>FlexPBX-1776258586.199381</t>
  </si>
  <si>
    <t>FlexPBX-1776258477.199367</t>
  </si>
  <si>
    <t>FlexPBX-1776258408.199349</t>
  </si>
  <si>
    <t>FlexPBX-1776258406.199345</t>
  </si>
  <si>
    <t>FlexPBX-1776258339.199337</t>
  </si>
  <si>
    <t>FlexPBX-1776257940.199264</t>
  </si>
  <si>
    <t>FlexPBX-1776257921.199256</t>
  </si>
  <si>
    <t>FlexPBX-1776257411.199206</t>
  </si>
  <si>
    <t>FlexPBX-1776257230.199186</t>
  </si>
  <si>
    <t>FlexPBX-1776257198.199172</t>
  </si>
  <si>
    <t>FlexPBX-1776257176.199156</t>
  </si>
  <si>
    <t>FlexPBX-1776257164.199131</t>
  </si>
  <si>
    <t>FlexPBX-1776257115.199116</t>
  </si>
  <si>
    <t>FlexPBX-1776256859.199094</t>
  </si>
  <si>
    <t>FlexPBX-1776256655.199024</t>
  </si>
  <si>
    <t>FlexPBX-1776256618.198967</t>
  </si>
  <si>
    <t>FlexPBX-1776256563.198896</t>
  </si>
  <si>
    <t>FlexPBX-1776256523.198883</t>
  </si>
  <si>
    <t>FlexPBX-1776255608.198835</t>
  </si>
  <si>
    <t>FlexPBX-1776255573.198814</t>
  </si>
  <si>
    <t>FlexPBX-1776254983.198798</t>
  </si>
  <si>
    <t>FlexPBX-1776254550.198746</t>
  </si>
  <si>
    <t>FlexPBX-1776254507.198724</t>
  </si>
  <si>
    <t>FlexPBX-1776254443.198704</t>
  </si>
  <si>
    <t>FlexPBX-1776254147.198668</t>
  </si>
  <si>
    <t>FlexPBX-1776253816.198604</t>
  </si>
  <si>
    <t>FlexPBX-1776253683.198590</t>
  </si>
  <si>
    <t>FlexPBX-1776253505.198568</t>
  </si>
  <si>
    <t>FlexPBX-1776253423.198560</t>
  </si>
  <si>
    <t>FlexPBX-1776253413.198552</t>
  </si>
  <si>
    <t>FlexPBX-1776253407.198544</t>
  </si>
  <si>
    <t>FlexPBX-1776253084.198510</t>
  </si>
  <si>
    <t>FlexPBX-1776252627.198470</t>
  </si>
  <si>
    <t>FlexPBX-1776252186.198462</t>
  </si>
  <si>
    <t>FlexPBX-1776252117.198457</t>
  </si>
  <si>
    <t>FlexPBX-1776251975.198449</t>
  </si>
  <si>
    <t>FlexPBX-1776251952.198441</t>
  </si>
  <si>
    <t>FlexPBX-1776251890.198427</t>
  </si>
  <si>
    <t>FlexPBX-1776251699.198413</t>
  </si>
  <si>
    <t>FlexPBX-1776200120.198408</t>
  </si>
  <si>
    <t>FlexPBX-1776199872.198394</t>
  </si>
  <si>
    <t>FlexPBX-1776199826.198380</t>
  </si>
  <si>
    <t>FlexPBX-1776199462.198296</t>
  </si>
  <si>
    <t>FlexPBX-1776198231.198276</t>
  </si>
  <si>
    <t>FlexPBX-1776198214.198268</t>
  </si>
  <si>
    <t>FlexPBX-1776198209.198260</t>
  </si>
  <si>
    <t>FlexPBX-1776198196.198252</t>
  </si>
  <si>
    <t>FlexPBX-1776198001.198238</t>
  </si>
  <si>
    <t>FlexPBX-1776197379.198179</t>
  </si>
  <si>
    <t>FlexPBX-1776197352.198166</t>
  </si>
  <si>
    <t>FlexPBX-1776197313.198146</t>
  </si>
  <si>
    <t>FlexPBX-1776196799.198126</t>
  </si>
  <si>
    <t>FlexPBX-1776196549.198112</t>
  </si>
  <si>
    <t>FlexPBX-1776196498.198088</t>
  </si>
  <si>
    <t>FlexPBX-1776196226.197979</t>
  </si>
  <si>
    <t>FlexPBX-1776196100.197874</t>
  </si>
  <si>
    <t>FlexPBX-1776195702.197792</t>
  </si>
  <si>
    <t>FlexPBX-1776195097.197750</t>
  </si>
  <si>
    <t>FlexPBX-1776194983.197730</t>
  </si>
  <si>
    <t>FlexPBX-1776194664.197716</t>
  </si>
  <si>
    <t>FlexPBX-1776194516.197698</t>
  </si>
  <si>
    <t>FlexPBX-1776194488.197693</t>
  </si>
  <si>
    <t>FlexPBX-1776194302.197679</t>
  </si>
  <si>
    <t>FlexPBX-1776193813.197649</t>
  </si>
  <si>
    <t>FlexPBX-1776193713.197588</t>
  </si>
  <si>
    <t>FlexPBX-1776193620.197553</t>
  </si>
  <si>
    <t>FlexPBX-1776193478.197521</t>
  </si>
  <si>
    <t>FlexPBX-1776193373.197509</t>
  </si>
  <si>
    <t>FlexPBX-1776193316.197479</t>
  </si>
  <si>
    <t>FlexPBX-1776193295.197461</t>
  </si>
  <si>
    <t>FlexPBX-1776193258.197438</t>
  </si>
  <si>
    <t>FlexPBX-1776193082.197395</t>
  </si>
  <si>
    <t>FlexPBX-1776192868.197309</t>
  </si>
  <si>
    <t>FlexPBX-1776192835.197286</t>
  </si>
  <si>
    <t>FlexPBX-1776192609.197277</t>
  </si>
  <si>
    <t>FlexPBX-1776191952.197230</t>
  </si>
  <si>
    <t>FlexPBX-1776191811.197206</t>
  </si>
  <si>
    <t>FlexPBX-1776191566.197194</t>
  </si>
  <si>
    <t>FlexPBX-1776191419.197116</t>
  </si>
  <si>
    <t>FlexPBX-1776190958.197065</t>
  </si>
  <si>
    <t>FlexPBX-1776190855.197051</t>
  </si>
  <si>
    <t>FlexPBX-1776190781.197038</t>
  </si>
  <si>
    <t>FlexPBX-1776190747.197022</t>
  </si>
  <si>
    <t>FlexPBX-1776190740.197010</t>
  </si>
  <si>
    <t>FlexPBX-1776190704.197002</t>
  </si>
  <si>
    <t>FlexPBX-1776190538.196989</t>
  </si>
  <si>
    <t>FlexPBX-1776190299.196844</t>
  </si>
  <si>
    <t>FlexPBX-1776189979.196828</t>
  </si>
  <si>
    <t>FlexPBX-1776189307.196723</t>
  </si>
  <si>
    <t>FlexPBX-1776188998.196715</t>
  </si>
  <si>
    <t>FlexPBX-1776188858.196685</t>
  </si>
  <si>
    <t>FlexPBX-1776188819.196677</t>
  </si>
  <si>
    <t>FlexPBX-1776188747.196656</t>
  </si>
  <si>
    <t>FlexPBX-1776188608.196604</t>
  </si>
  <si>
    <t>FlexPBX-1776188555.196599</t>
  </si>
  <si>
    <t>FlexPBX-1776188398.196566</t>
  </si>
  <si>
    <t>FlexPBX-1776188108.196536</t>
  </si>
  <si>
    <t>FlexPBX-1776188006.196522</t>
  </si>
  <si>
    <t>FlexPBX-1776187999.196510</t>
  </si>
  <si>
    <t>FlexPBX-1776187872.196435</t>
  </si>
  <si>
    <t>FlexPBX-1776187800.196421</t>
  </si>
  <si>
    <t>FlexPBX-1776187235.196382</t>
  </si>
  <si>
    <t>FlexPBX-1776187019.196342</t>
  </si>
  <si>
    <t>FlexPBX-1776186653.196211</t>
  </si>
  <si>
    <t>FlexPBX-1776186598.196173</t>
  </si>
  <si>
    <t>FlexPBX-1776186536.196111</t>
  </si>
  <si>
    <t>FlexPBX-1776186496.196076</t>
  </si>
  <si>
    <t>FlexPBX-1776186421.196031</t>
  </si>
  <si>
    <t>FlexPBX-1776185687.195973</t>
  </si>
  <si>
    <t>FlexPBX-1776184948.195928</t>
  </si>
  <si>
    <t>FlexPBX-1776184860.195916</t>
  </si>
  <si>
    <t>FlexPBX-1776184644.195839</t>
  </si>
  <si>
    <t>FlexPBX-1776184524.195764</t>
  </si>
  <si>
    <t>FlexPBX-1776184175.195745</t>
  </si>
  <si>
    <t>FlexPBX-1776178884.195712</t>
  </si>
  <si>
    <t>FlexPBX-1776178620.195677</t>
  </si>
  <si>
    <t>FlexPBX-1776178555.195653</t>
  </si>
  <si>
    <t>FlexPBX-1776178470.195621</t>
  </si>
  <si>
    <t>FlexPBX-1776178176.195552</t>
  </si>
  <si>
    <t>FlexPBX-1776178038.195494</t>
  </si>
  <si>
    <t>FlexPBX-1776177910.195468</t>
  </si>
  <si>
    <t>FlexPBX-1776177710.195442</t>
  </si>
  <si>
    <t>FlexPBX-1776177623.195434</t>
  </si>
  <si>
    <t>FlexPBX-1776177570.195420</t>
  </si>
  <si>
    <t>FlexPBX-1776177432.195396</t>
  </si>
  <si>
    <t>FlexPBX-1776177183.195260</t>
  </si>
  <si>
    <t>FlexPBX-1776177139.195252</t>
  </si>
  <si>
    <t>FlexPBX-1776177127.195244</t>
  </si>
  <si>
    <t>FlexPBX-1776177031.195236</t>
  </si>
  <si>
    <t>FlexPBX-1776176607.195126</t>
  </si>
  <si>
    <t>FlexPBX-1776176412.195092</t>
  </si>
  <si>
    <t>FlexPBX-1776176281.195056</t>
  </si>
  <si>
    <t>FlexPBX-1776176037.195022</t>
  </si>
  <si>
    <t>FlexPBX-1776175936.195002</t>
  </si>
  <si>
    <t>FlexPBX-1776175540.194919</t>
  </si>
  <si>
    <t>FlexPBX-1776175535.194901</t>
  </si>
  <si>
    <t>FlexPBX-1776175501.194878</t>
  </si>
  <si>
    <t>FlexPBX-1776175489.194874</t>
  </si>
  <si>
    <t>FlexPBX-1776175401.194854</t>
  </si>
  <si>
    <t>FlexPBX-1776175344.194836</t>
  </si>
  <si>
    <t>FlexPBX-1776175311.194832</t>
  </si>
  <si>
    <t>FlexPBX-1776175218.194824</t>
  </si>
  <si>
    <t>FlexPBX-1776175161.194801</t>
  </si>
  <si>
    <t>FlexPBX-1776175130.194787</t>
  </si>
  <si>
    <t>FlexPBX-1776175086.194779</t>
  </si>
  <si>
    <t>FlexPBX-1776174937.194771</t>
  </si>
  <si>
    <t>FlexPBX-1776174874.194755</t>
  </si>
  <si>
    <t>FlexPBX-1776174864.194743</t>
  </si>
  <si>
    <t>FlexPBX-1776174510.194711</t>
  </si>
  <si>
    <t>FlexPBX-1776174403.194675</t>
  </si>
  <si>
    <t>FlexPBX-1776174304.194645</t>
  </si>
  <si>
    <t>FlexPBX-1776174171.194613</t>
  </si>
  <si>
    <t>FlexPBX-1776173949.194599</t>
  </si>
  <si>
    <t>FlexPBX-1776173884.194591</t>
  </si>
  <si>
    <t>FlexPBX-1776173485.194540</t>
  </si>
  <si>
    <t>FlexPBX-1776173455.194531</t>
  </si>
  <si>
    <t>FlexPBX-1776173410.194523</t>
  </si>
  <si>
    <t>FlexPBX-1776173338.194476</t>
  </si>
  <si>
    <t>FlexPBX-1776173304.194465</t>
  </si>
  <si>
    <t>FlexPBX-1776172842.194409</t>
  </si>
  <si>
    <t>FlexPBX-1776172436.194369</t>
  </si>
  <si>
    <t>FlexPBX-1776172374.194355</t>
  </si>
  <si>
    <t>FlexPBX-1776172309.194329</t>
  </si>
  <si>
    <t>FlexPBX-1776172263.194308</t>
  </si>
  <si>
    <t>FlexPBX-1776172127.194256</t>
  </si>
  <si>
    <t>FlexPBX-1776171955.194242</t>
  </si>
  <si>
    <t>FlexPBX-1776171940.194234</t>
  </si>
  <si>
    <t>FlexPBX-1776171896.194226</t>
  </si>
  <si>
    <t>FlexPBX-1776171810.194212</t>
  </si>
  <si>
    <t>FlexPBX-1776171767.194194</t>
  </si>
  <si>
    <t>FlexPBX-1776171757.194190</t>
  </si>
  <si>
    <t>FlexPBX-1776171601.194176</t>
  </si>
  <si>
    <t>FlexPBX-1776171518.194099</t>
  </si>
  <si>
    <t>FlexPBX-1776171500.194069</t>
  </si>
  <si>
    <t>FlexPBX-1776171482.194058</t>
  </si>
  <si>
    <t>FlexPBX-1776171252.194048</t>
  </si>
  <si>
    <t>FlexPBX-1776171247.194046</t>
  </si>
  <si>
    <t>FlexPBX-1776171152.194032</t>
  </si>
  <si>
    <t>FlexPBX-1776171048.194018</t>
  </si>
  <si>
    <t>FlexPBX-1776170992.194004</t>
  </si>
  <si>
    <t>FlexPBX-1776170771.193984</t>
  </si>
  <si>
    <t>FlexPBX-1776170722.193970</t>
  </si>
  <si>
    <t>FlexPBX-1776170707.193956</t>
  </si>
  <si>
    <t>FlexPBX-1776170608.193898</t>
  </si>
  <si>
    <t>FlexPBX-1776170415.193878</t>
  </si>
  <si>
    <t>FlexPBX-1776170258.193830</t>
  </si>
  <si>
    <t>FlexPBX-1776170035.193760</t>
  </si>
  <si>
    <t>FlexPBX-1776170020.193752</t>
  </si>
  <si>
    <t>FlexPBX-1776169712.193702</t>
  </si>
  <si>
    <t>FlexPBX-1776168927.193578</t>
  </si>
  <si>
    <t>FlexPBX-1776167571.193516</t>
  </si>
  <si>
    <t>FlexPBX-1776167513.193500</t>
  </si>
  <si>
    <t>FlexPBX-1776167456.193488</t>
  </si>
  <si>
    <t>FlexPBX-1776167328.193480</t>
  </si>
  <si>
    <t>FlexPBX-1776166981.193450</t>
  </si>
  <si>
    <t>FlexPBX-1776166738.193429</t>
  </si>
  <si>
    <t>FlexPBX-1776166314.193387</t>
  </si>
  <si>
    <t>FlexPBX-1776166040.193379</t>
  </si>
  <si>
    <t>FlexPBX-1776166037.193375</t>
  </si>
  <si>
    <t>FlexPBX-1776166029.193367</t>
  </si>
  <si>
    <t>FlexPBX-1776166019.193359</t>
  </si>
  <si>
    <t>FlexPBX-1776165973.193351</t>
  </si>
  <si>
    <t>FlexPBX-1776164901.193337</t>
  </si>
  <si>
    <t>FlexPBX-1776113611.193271</t>
  </si>
  <si>
    <t>FlexPBX-1776113532.193215</t>
  </si>
  <si>
    <t>FlexPBX-1776113509.193206</t>
  </si>
  <si>
    <t>FlexPBX-1776111991.193175</t>
  </si>
  <si>
    <t>FlexPBX-1776111301.193159</t>
  </si>
  <si>
    <t>FlexPBX-1776111179.193145</t>
  </si>
  <si>
    <t>FlexPBX-1776111102.193137</t>
  </si>
  <si>
    <t>FlexPBX-1776111060.193114</t>
  </si>
  <si>
    <t>FlexPBX-1776110014.193063</t>
  </si>
  <si>
    <t>FlexPBX-1776109979.193041</t>
  </si>
  <si>
    <t>FlexPBX-1776109949.193019</t>
  </si>
  <si>
    <t>FlexPBX-1776109569.192934</t>
  </si>
  <si>
    <t>FlexPBX-1776109516.192925</t>
  </si>
  <si>
    <t>FlexPBX-1776109147.192920</t>
  </si>
  <si>
    <t>FlexPBX-1776107554.192781</t>
  </si>
  <si>
    <t>FlexPBX-1776107157.192724</t>
  </si>
  <si>
    <t>FlexPBX-1776107128.192721</t>
  </si>
  <si>
    <t>FlexPBX-1776107040.192707</t>
  </si>
  <si>
    <t>FlexPBX-1776107007.192699</t>
  </si>
  <si>
    <t>FlexPBX-1776106688.192674</t>
  </si>
  <si>
    <t>FlexPBX-1776106667.192657</t>
  </si>
  <si>
    <t>FlexPBX-1776106481.192484</t>
  </si>
  <si>
    <t>FlexPBX-1776105792.192404</t>
  </si>
  <si>
    <t>FlexPBX-1776105601.192294</t>
  </si>
  <si>
    <t>FlexPBX-1776105038.192267</t>
  </si>
  <si>
    <t>FlexPBX-1776103367.192227</t>
  </si>
  <si>
    <t>FlexPBX-1776103297.192215</t>
  </si>
  <si>
    <t>FlexPBX-1776103294.192203</t>
  </si>
  <si>
    <t>FlexPBX-1776103288.192191</t>
  </si>
  <si>
    <t>FlexPBX-1776103070.192118</t>
  </si>
  <si>
    <t>FlexPBX-1776102373.192031</t>
  </si>
  <si>
    <t>FlexPBX-1776102251.191976</t>
  </si>
  <si>
    <t>FlexPBX-1776101898.191934</t>
  </si>
  <si>
    <t>FlexPBX-1776101840.191929</t>
  </si>
  <si>
    <t>FlexPBX-1776101744.191874</t>
  </si>
  <si>
    <t>FlexPBX-1776101594.191860</t>
  </si>
  <si>
    <t>FlexPBX-1776101232.191828</t>
  </si>
  <si>
    <t>FlexPBX-1776101115.191783</t>
  </si>
  <si>
    <t>FlexPBX-1776100935.191732</t>
  </si>
  <si>
    <t>FlexPBX-1776100540.191643</t>
  </si>
  <si>
    <t>FlexPBX-1776100313.191627</t>
  </si>
  <si>
    <t>FlexPBX-1776100190.191572</t>
  </si>
  <si>
    <t>FlexPBX-1776099767.191498</t>
  </si>
  <si>
    <t>FlexPBX-1776099741.191476</t>
  </si>
  <si>
    <t>FlexPBX-1776099690.191467</t>
  </si>
  <si>
    <t>FlexPBX-1776098477.191446</t>
  </si>
  <si>
    <t>FlexPBX-1776098446.191432</t>
  </si>
  <si>
    <t>FlexPBX-1776098401.191424</t>
  </si>
  <si>
    <t>FlexPBX-1776098063.191416</t>
  </si>
  <si>
    <t>FlexPBX-1776097991.191408</t>
  </si>
  <si>
    <t>FlexPBX-1776097955.191400</t>
  </si>
  <si>
    <t>FlexPBX-1776096952.191395</t>
  </si>
  <si>
    <t>FlexPBX-1776091675.191313</t>
  </si>
  <si>
    <t>FlexPBX-1776091514.191291</t>
  </si>
  <si>
    <t>FlexPBX-1776091433.191272</t>
  </si>
  <si>
    <t>FlexPBX-1776091379.191264</t>
  </si>
  <si>
    <t>FlexPBX-1776091334.191256</t>
  </si>
  <si>
    <t>FlexPBX-1776091176.191228</t>
  </si>
  <si>
    <t>FlexPBX-1776091158.191222</t>
  </si>
  <si>
    <t>FlexPBX-1776091106.191210</t>
  </si>
  <si>
    <t>FlexPBX-1776091098.191202</t>
  </si>
  <si>
    <t>FlexPBX-1776091090.191194</t>
  </si>
  <si>
    <t>FlexPBX-1776091052.191184</t>
  </si>
  <si>
    <t>FlexPBX-1776091037.191172</t>
  </si>
  <si>
    <t>FlexPBX-1776090384.191158</t>
  </si>
  <si>
    <t>FlexPBX-1776089792.191039</t>
  </si>
  <si>
    <t>FlexPBX-1776089779.191028</t>
  </si>
  <si>
    <t>FlexPBX-1776088917.190988</t>
  </si>
  <si>
    <t>FlexPBX-1776087863.190960</t>
  </si>
  <si>
    <t>FlexPBX-1776087618.190946</t>
  </si>
  <si>
    <t>FlexPBX-1776086614.190879</t>
  </si>
  <si>
    <t>FlexPBX-1776086613.190876</t>
  </si>
  <si>
    <t>FlexPBX-1776086596.190871</t>
  </si>
  <si>
    <t>FlexPBX-1776086590.190868</t>
  </si>
  <si>
    <t>FlexPBX-1776086528.190835</t>
  </si>
  <si>
    <t>FlexPBX-1776086461.190816</t>
  </si>
  <si>
    <t>FlexPBX-1776086114.190808</t>
  </si>
  <si>
    <t>FlexPBX-1776085970.190790</t>
  </si>
  <si>
    <t>FlexPBX-1776085958.190784</t>
  </si>
  <si>
    <t>FlexPBX-1776085918.190742</t>
  </si>
  <si>
    <t>FlexPBX-1776085793.190734</t>
  </si>
  <si>
    <t>FlexPBX-1776085699.190714</t>
  </si>
  <si>
    <t>FlexPBX-1776084968.190576</t>
  </si>
  <si>
    <t>FlexPBX-1776083974.190522</t>
  </si>
  <si>
    <t>FlexPBX-1776083178.190488</t>
  </si>
  <si>
    <t>FlexPBX-1776083125.190472</t>
  </si>
  <si>
    <t>FlexPBX-1776082865.190464</t>
  </si>
  <si>
    <t>FlexPBX-1776082820.190450</t>
  </si>
  <si>
    <t>FlexPBX-1776082695.190430</t>
  </si>
  <si>
    <t>FlexPBX-1776082183.190404</t>
  </si>
  <si>
    <t>FlexPBX-1776081055.190378</t>
  </si>
  <si>
    <t>FlexPBX-1776079952.190364</t>
  </si>
  <si>
    <t>FlexPBX-1776079222.190350</t>
  </si>
  <si>
    <t>FlexPBX-1776078519.190336</t>
  </si>
  <si>
    <t>FlexPBX-1775907663.190317</t>
  </si>
  <si>
    <t>FlexPBX-1775907228.190312</t>
  </si>
  <si>
    <t>FlexPBX-1775907080.190307</t>
  </si>
  <si>
    <t>FlexPBX-1775854198.190248</t>
  </si>
  <si>
    <t>FlexPBX-1775854058.190234</t>
  </si>
  <si>
    <t>FlexPBX-1775853893.190226</t>
  </si>
  <si>
    <t>FlexPBX-1775853612.190212</t>
  </si>
  <si>
    <t>FlexPBX-1775853145.190198</t>
  </si>
  <si>
    <t>FlexPBX-1775853097.190178</t>
  </si>
  <si>
    <t>FlexPBX-1775852530.190094</t>
  </si>
  <si>
    <t>FlexPBX-1775852364.190080</t>
  </si>
  <si>
    <t>FlexPBX-1775852261.190072</t>
  </si>
  <si>
    <t>FlexPBX-1775851751.190060</t>
  </si>
  <si>
    <t>FlexPBX-1775851680.190046</t>
  </si>
  <si>
    <t>FlexPBX-1775851619.190032</t>
  </si>
  <si>
    <t>FlexPBX-1775851590.190008</t>
  </si>
  <si>
    <t>FlexPBX-1775851491.189994</t>
  </si>
  <si>
    <t>FlexPBX-1775851321.189980</t>
  </si>
  <si>
    <t>FlexPBX-1775851238.189942</t>
  </si>
  <si>
    <t>FlexPBX-1775851169.189928</t>
  </si>
  <si>
    <t>FlexPBX-1775850709.189902</t>
  </si>
  <si>
    <t>FlexPBX-1775850404.189894</t>
  </si>
  <si>
    <t>FlexPBX-1775850270.189874</t>
  </si>
  <si>
    <t>FlexPBX-1775850165.189822</t>
  </si>
  <si>
    <t>FlexPBX-1775849626.189788</t>
  </si>
  <si>
    <t>FlexPBX-1775849095.189730</t>
  </si>
  <si>
    <t>FlexPBX-1775848597.189690</t>
  </si>
  <si>
    <t>FlexPBX-1775848287.189664</t>
  </si>
  <si>
    <t>FlexPBX-1775848010.189650</t>
  </si>
  <si>
    <t>FlexPBX-1775847837.189624</t>
  </si>
  <si>
    <t>FlexPBX-1775847475.189606</t>
  </si>
  <si>
    <t>FlexPBX-1775847350.189594</t>
  </si>
  <si>
    <t>FlexPBX-1775847262.189580</t>
  </si>
  <si>
    <t>FlexPBX-1775847193.189541</t>
  </si>
  <si>
    <t>FlexPBX-1775847155.189502</t>
  </si>
  <si>
    <t>FlexPBX-1775847145.189499</t>
  </si>
  <si>
    <t>FlexPBX-1775847089.189491</t>
  </si>
  <si>
    <t>FlexPBX-1775847020.189470</t>
  </si>
  <si>
    <t>FlexPBX-1775846735.189465</t>
  </si>
  <si>
    <t>FlexPBX-1775846566.189381</t>
  </si>
  <si>
    <t>FlexPBX-1775846267.189376</t>
  </si>
  <si>
    <t>FlexPBX-1775846113.189368</t>
  </si>
  <si>
    <t>FlexPBX-1775844987.189348</t>
  </si>
  <si>
    <t>FlexPBX-1775844876.189282</t>
  </si>
  <si>
    <t>FlexPBX-1775844119.189224</t>
  </si>
  <si>
    <t>FlexPBX-1775843619.189198</t>
  </si>
  <si>
    <t>FlexPBX-1775843484.189156</t>
  </si>
  <si>
    <t>FlexPBX-1775843478.189152</t>
  </si>
  <si>
    <t>FlexPBX-1775843468.189140</t>
  </si>
  <si>
    <t>FlexPBX-1775843285.189124</t>
  </si>
  <si>
    <t>FlexPBX-1775843268.189112</t>
  </si>
  <si>
    <t>FlexPBX-1775843211.189098</t>
  </si>
  <si>
    <t>FlexPBX-1775842591.189070</t>
  </si>
  <si>
    <t>FlexPBX-1775841832.188928</t>
  </si>
  <si>
    <t>FlexPBX-1775841440.188914</t>
  </si>
  <si>
    <t>FlexPBX-1775841089.188904</t>
  </si>
  <si>
    <t>FlexPBX-1775841082.188892</t>
  </si>
  <si>
    <t>FlexPBX-1775840637.188812</t>
  </si>
  <si>
    <t>FlexPBX-1775840084.188786</t>
  </si>
  <si>
    <t>FlexPBX-1775839874.188743</t>
  </si>
  <si>
    <t>FlexPBX-1775839746.188735</t>
  </si>
  <si>
    <t>FlexPBX-1775839687.188727</t>
  </si>
  <si>
    <t>FlexPBX-1775839395.188690</t>
  </si>
  <si>
    <t>FlexPBX-1775839387.188668</t>
  </si>
  <si>
    <t>FlexPBX-1775839368.188655</t>
  </si>
  <si>
    <t>FlexPBX-1775838737.188633</t>
  </si>
  <si>
    <t>FlexPBX-1775838727.188621</t>
  </si>
  <si>
    <t>FlexPBX-1775838205.188608</t>
  </si>
  <si>
    <t>FlexPBX-1775837810.188603</t>
  </si>
  <si>
    <t>FlexPBX-1775835646.188598</t>
  </si>
  <si>
    <t>FlexPBX-1775833845.188551</t>
  </si>
  <si>
    <t>FlexPBX-1775833389.188546</t>
  </si>
  <si>
    <t>FlexPBX-1775833161.188514</t>
  </si>
  <si>
    <t>FlexPBX-1775833096.188488</t>
  </si>
  <si>
    <t>FlexPBX-1775832485.188404</t>
  </si>
  <si>
    <t>FlexPBX-1775832002.188372</t>
  </si>
  <si>
    <t>FlexPBX-1775831833.188228</t>
  </si>
  <si>
    <t>FlexPBX-1775831472.188218</t>
  </si>
  <si>
    <t>FlexPBX-1775831464.188206</t>
  </si>
  <si>
    <t>FlexPBX-1775830803.188166</t>
  </si>
  <si>
    <t>FlexPBX-1775830633.188098</t>
  </si>
  <si>
    <t>FlexPBX-1775830343.188084</t>
  </si>
  <si>
    <t>FlexPBX-1775830223.188076</t>
  </si>
  <si>
    <t>FlexPBX-1775830175.188025</t>
  </si>
  <si>
    <t>FlexPBX-1775830132.187993</t>
  </si>
  <si>
    <t>FlexPBX-1775830114.187984</t>
  </si>
  <si>
    <t>FlexPBX-1775830077.187974</t>
  </si>
  <si>
    <t>FlexPBX-1775830070.187960</t>
  </si>
  <si>
    <t>FlexPBX-1775830026.187911</t>
  </si>
  <si>
    <t>FlexPBX-1775829969.187857</t>
  </si>
  <si>
    <t>FlexPBX-1775829930.187842</t>
  </si>
  <si>
    <t>FlexPBX-1775829794.187825</t>
  </si>
  <si>
    <t>FlexPBX-1775829730.187765</t>
  </si>
  <si>
    <t>FlexPBX-1775829697.187727</t>
  </si>
  <si>
    <t>FlexPBX-1775829690.187724</t>
  </si>
  <si>
    <t>FlexPBX-1775829676.187721</t>
  </si>
  <si>
    <t>FlexPBX-1775829217.187681</t>
  </si>
  <si>
    <t>FlexPBX-1775828880.187673</t>
  </si>
  <si>
    <t>FlexPBX-1775828825.187665</t>
  </si>
  <si>
    <t>FlexPBX-1775828738.187616</t>
  </si>
  <si>
    <t>FlexPBX-1775828670.187553</t>
  </si>
  <si>
    <t>FlexPBX-1775828563.187533</t>
  </si>
  <si>
    <t>FlexPBX-1775828280.187495</t>
  </si>
  <si>
    <t>FlexPBX-1775828179.187405</t>
  </si>
  <si>
    <t>FlexPBX-1775827835.187315</t>
  </si>
  <si>
    <t>FlexPBX-1775827066.187291</t>
  </si>
  <si>
    <t>FlexPBX-1775826795.187277</t>
  </si>
  <si>
    <t>FlexPBX-1775826625.187257</t>
  </si>
  <si>
    <t>FlexPBX-1775826228.187173</t>
  </si>
  <si>
    <t>FlexPBX-1775826161.187131</t>
  </si>
  <si>
    <t>FlexPBX-1775826080.187067</t>
  </si>
  <si>
    <t>FlexPBX-1775825823.187053</t>
  </si>
  <si>
    <t>FlexPBX-1775825547.186941</t>
  </si>
  <si>
    <t>FlexPBX-1775825154.186913</t>
  </si>
  <si>
    <t>FlexPBX-1775825084.186879</t>
  </si>
  <si>
    <t>FlexPBX-1775825058.186859</t>
  </si>
  <si>
    <t>FlexPBX-1775825025.186827</t>
  </si>
  <si>
    <t>FlexPBX-1775825018.186819</t>
  </si>
  <si>
    <t>FlexPBX-1775824914.186791</t>
  </si>
  <si>
    <t>FlexPBX-1775824783.186783</t>
  </si>
  <si>
    <t>FlexPBX-1775824472.186706</t>
  </si>
  <si>
    <t>FlexPBX-1775824255.186684</t>
  </si>
  <si>
    <t>FlexPBX-1775824119.186618</t>
  </si>
  <si>
    <t>FlexPBX-1775823841.186582</t>
  </si>
  <si>
    <t>FlexPBX-1775822888.186530</t>
  </si>
  <si>
    <t>FlexPBX-1775822599.186514</t>
  </si>
  <si>
    <t>FlexPBX-1775822592.186502</t>
  </si>
  <si>
    <t>FlexPBX-1775822459.186425</t>
  </si>
  <si>
    <t>FlexPBX-1775822237.186405</t>
  </si>
  <si>
    <t>FlexPBX-1775821887.186379</t>
  </si>
  <si>
    <t>FlexPBX-1775821731.186365</t>
  </si>
  <si>
    <t>FlexPBX-1775821701.186350</t>
  </si>
  <si>
    <t>FlexPBX-1775821512.186198</t>
  </si>
  <si>
    <t>FlexPBX-1775820870.186182</t>
  </si>
  <si>
    <t>FlexPBX-1775819054.186177</t>
  </si>
  <si>
    <t>FlexPBX-1775766696.186097</t>
  </si>
  <si>
    <t>FlexPBX-1775766355.186077</t>
  </si>
  <si>
    <t>FlexPBX-1775766030.185898</t>
  </si>
  <si>
    <t>FlexPBX-1775765993.185887</t>
  </si>
  <si>
    <t>FlexPBX-1775765964.185883</t>
  </si>
  <si>
    <t>FlexPBX-1775765198.185710</t>
  </si>
  <si>
    <t>FlexPBX-1775765103.185617</t>
  </si>
  <si>
    <t>FlexPBX-1775763763.185583</t>
  </si>
  <si>
    <t>FlexPBX-1775763505.185463</t>
  </si>
  <si>
    <t>FlexPBX-1775763399.185410</t>
  </si>
  <si>
    <t>FlexPBX-1775762922.185249</t>
  </si>
  <si>
    <t>FlexPBX-1775762819.185156</t>
  </si>
  <si>
    <t>FlexPBX-1775762780.185131</t>
  </si>
  <si>
    <t>FlexPBX-1775762772.185125</t>
  </si>
  <si>
    <t>FlexPBX-1775762749.185121</t>
  </si>
  <si>
    <t>FlexPBX-1775762676.185103</t>
  </si>
  <si>
    <t>FlexPBX-1775762419.185048</t>
  </si>
  <si>
    <t>FlexPBX-1775762362.184995</t>
  </si>
  <si>
    <t>FlexPBX-1775761773.184981</t>
  </si>
  <si>
    <t>FlexPBX-1775761461.184967</t>
  </si>
  <si>
    <t>FlexPBX-1775761396.184951</t>
  </si>
  <si>
    <t>FlexPBX-1775761378.184939</t>
  </si>
  <si>
    <t>FlexPBX-1775760900.184895</t>
  </si>
  <si>
    <t>FlexPBX-1775760883.184889</t>
  </si>
  <si>
    <t>FlexPBX-1775760545.184775</t>
  </si>
  <si>
    <t>FlexPBX-1775760451.184745</t>
  </si>
  <si>
    <t>FlexPBX-1775760249.184731</t>
  </si>
  <si>
    <t>FlexPBX-1775760195.184709</t>
  </si>
  <si>
    <t>FlexPBX-1775760108.184695</t>
  </si>
  <si>
    <t>FlexPBX-1775759348.184567</t>
  </si>
  <si>
    <t>FlexPBX-1775759256.184513</t>
  </si>
  <si>
    <t>FlexPBX-1775758890.184417</t>
  </si>
  <si>
    <t>FlexPBX-1775758766.184381</t>
  </si>
  <si>
    <t>FlexPBX-1775758516.184317</t>
  </si>
  <si>
    <t>FlexPBX-1775758309.184309</t>
  </si>
  <si>
    <t>FlexPBX-1775757780.184239</t>
  </si>
  <si>
    <t>FlexPBX-1775757688.184234</t>
  </si>
  <si>
    <t>FlexPBX-1775756986.184217</t>
  </si>
  <si>
    <t>FlexPBX-1775756551.184150</t>
  </si>
  <si>
    <t>FlexPBX-1775756441.184089</t>
  </si>
  <si>
    <t>FlexPBX-1775756083.184057</t>
  </si>
  <si>
    <t>FlexPBX-1775755628.183990</t>
  </si>
  <si>
    <t>FlexPBX-1775755539.183931</t>
  </si>
  <si>
    <t>FlexPBX-1775755289.183799</t>
  </si>
  <si>
    <t>FlexPBX-1775755153.183776</t>
  </si>
  <si>
    <t>FlexPBX-1775755148.183772</t>
  </si>
  <si>
    <t>FlexPBX-1775755141.183760</t>
  </si>
  <si>
    <t>FlexPBX-1775754985.183684</t>
  </si>
  <si>
    <t>FlexPBX-1775754738.183648</t>
  </si>
  <si>
    <t>FlexPBX-1775754543.183608</t>
  </si>
  <si>
    <t>FlexPBX-1775754153.183572</t>
  </si>
  <si>
    <t>FlexPBX-1775753880.183525</t>
  </si>
  <si>
    <t>FlexPBX-1775753726.183441</t>
  </si>
  <si>
    <t>FlexPBX-1775753502.183357</t>
  </si>
  <si>
    <t>FlexPBX-1775753150.183306</t>
  </si>
  <si>
    <t>FlexPBX-1775752946.183298</t>
  </si>
  <si>
    <t>FlexPBX-1775752864.183293</t>
  </si>
  <si>
    <t>FlexPBX-1775752602.183249</t>
  </si>
  <si>
    <t>FlexPBX-1775747310.183230</t>
  </si>
  <si>
    <t>FlexPBX-1775745689.183180</t>
  </si>
  <si>
    <t>FlexPBX-1775744049.183134</t>
  </si>
  <si>
    <t>FlexPBX-1775743895.183090</t>
  </si>
  <si>
    <t>FlexPBX-1775743572.182965</t>
  </si>
  <si>
    <t>FlexPBX-1775742803.182949</t>
  </si>
  <si>
    <t>FlexPBX-1775742797.182937</t>
  </si>
  <si>
    <t>FlexPBX-1775741991.182871</t>
  </si>
  <si>
    <t>FlexPBX-1775741506.182845</t>
  </si>
  <si>
    <t>FlexPBX-1775741322.182820</t>
  </si>
  <si>
    <t>FlexPBX-1775739915.182798</t>
  </si>
  <si>
    <t>FlexPBX-1775739908.182786</t>
  </si>
  <si>
    <t>FlexPBX-1775739762.182772</t>
  </si>
  <si>
    <t>FlexPBX-1775739214.182674</t>
  </si>
  <si>
    <t>FlexPBX-1775739046.182653</t>
  </si>
  <si>
    <t>FlexPBX-1775739012.182638</t>
  </si>
  <si>
    <t>FlexPBX-1775738753.182543</t>
  </si>
  <si>
    <t>FlexPBX-1775738739.182520</t>
  </si>
  <si>
    <t>FlexPBX-1775738727.182507</t>
  </si>
  <si>
    <t>FlexPBX-1775738637.182424</t>
  </si>
  <si>
    <t>FlexPBX-1775737720.182413</t>
  </si>
  <si>
    <t>FlexPBX-1775737483.182369</t>
  </si>
  <si>
    <t>FlexPBX-1775737382.182355</t>
  </si>
  <si>
    <t>FlexPBX-1775737223.182329</t>
  </si>
  <si>
    <t>FlexPBX-1775737179.182317</t>
  </si>
  <si>
    <t>FlexPBX-1775736861.182289</t>
  </si>
  <si>
    <t>FlexPBX-1775736702.182259</t>
  </si>
  <si>
    <t>FlexPBX-1775736525.182215</t>
  </si>
  <si>
    <t>FlexPBX-1775736365.182210</t>
  </si>
  <si>
    <t>FlexPBX-1775735017.182184</t>
  </si>
  <si>
    <t>FlexPBX-1775734978.182176</t>
  </si>
  <si>
    <t>FlexPBX-1775734857.182092</t>
  </si>
  <si>
    <t>FlexPBX-1775734792.182058</t>
  </si>
  <si>
    <t>FlexPBX-1775734705.182050</t>
  </si>
  <si>
    <t>FlexPBX-1775734697.182036</t>
  </si>
  <si>
    <t>FlexPBX-1775734269.181930</t>
  </si>
  <si>
    <t>FlexPBX-1775733759.181914</t>
  </si>
  <si>
    <t>FlexPBX-1775733750.181902</t>
  </si>
  <si>
    <t>FlexPBX-1775733314.181894</t>
  </si>
  <si>
    <t>FlexPBX-1775681383.181868</t>
  </si>
  <si>
    <t>FlexPBX-1775681197.181816</t>
  </si>
  <si>
    <t>FlexPBX-1775681090.181753</t>
  </si>
  <si>
    <t>FlexPBX-1775681066.181744</t>
  </si>
  <si>
    <t>FlexPBX-1775680957.181730</t>
  </si>
  <si>
    <t>FlexPBX-1775680894.181681</t>
  </si>
  <si>
    <t>FlexPBX-1775680667.181470</t>
  </si>
  <si>
    <t>FlexPBX-1775680512.181440</t>
  </si>
  <si>
    <t>FlexPBX-1775680443.181368</t>
  </si>
  <si>
    <t>FlexPBX-1775680410.181341</t>
  </si>
  <si>
    <t>FlexPBX-1775680324.181319</t>
  </si>
  <si>
    <t>FlexPBX-1775680163.181292</t>
  </si>
  <si>
    <t>FlexPBX-1775678969.181261</t>
  </si>
  <si>
    <t>FlexPBX-1775678959.181254</t>
  </si>
  <si>
    <t>FlexPBX-1775678724.181220</t>
  </si>
  <si>
    <t>FlexPBX-1775678259.181144</t>
  </si>
  <si>
    <t>FlexPBX-1775677956.181026</t>
  </si>
  <si>
    <t>FlexPBX-1775677293.180990</t>
  </si>
  <si>
    <t>FlexPBX-1775677280.180982</t>
  </si>
  <si>
    <t>FlexPBX-1775676957.180974</t>
  </si>
  <si>
    <t>FlexPBX-1775676805.180960</t>
  </si>
  <si>
    <t>FlexPBX-1775675981.180920</t>
  </si>
  <si>
    <t>FlexPBX-1775675968.180912</t>
  </si>
  <si>
    <t>FlexPBX-1775675403.180894</t>
  </si>
  <si>
    <t>FlexPBX-1775675255.180779</t>
  </si>
  <si>
    <t>FlexPBX-1775675232.180768</t>
  </si>
  <si>
    <t>FlexPBX-1775674820.180659</t>
  </si>
  <si>
    <t>FlexPBX-1775674766.180606</t>
  </si>
  <si>
    <t>FlexPBX-1775674697.180598</t>
  </si>
  <si>
    <t>FlexPBX-1775674605.180590</t>
  </si>
  <si>
    <t>FlexPBX-1775674527.180572</t>
  </si>
  <si>
    <t>FlexPBX-1775674511.180564</t>
  </si>
  <si>
    <t>FlexPBX-1775674501.180556</t>
  </si>
  <si>
    <t>FlexPBX-1775674342.180457</t>
  </si>
  <si>
    <t>FlexPBX-1775674332.180442</t>
  </si>
  <si>
    <t>FlexPBX-1775674324.180434</t>
  </si>
  <si>
    <t>FlexPBX-1775674080.180420</t>
  </si>
  <si>
    <t>FlexPBX-1775673906.180350</t>
  </si>
  <si>
    <t>FlexPBX-1775673881.180330</t>
  </si>
  <si>
    <t>FlexPBX-1775673677.180322</t>
  </si>
  <si>
    <t>FlexPBX-1775672963.180198</t>
  </si>
  <si>
    <t>FlexPBX-1775672644.180178</t>
  </si>
  <si>
    <t>FlexPBX-1775672478.180136</t>
  </si>
  <si>
    <t>FlexPBX-1775672457.180131</t>
  </si>
  <si>
    <t>FlexPBX-1775671833.180025</t>
  </si>
  <si>
    <t>FlexPBX-1775671791.180017</t>
  </si>
  <si>
    <t>FlexPBX-1775670983.179978</t>
  </si>
  <si>
    <t>FlexPBX-1775670672.179928</t>
  </si>
  <si>
    <t>FlexPBX-1775670386.179906</t>
  </si>
  <si>
    <t>FlexPBX-1775670330.179894</t>
  </si>
  <si>
    <t>FlexPBX-1775670311.179890</t>
  </si>
  <si>
    <t>FlexPBX-1775670020.179885</t>
  </si>
  <si>
    <t>FlexPBX-1775669291.179857</t>
  </si>
  <si>
    <t>FlexPBX-1775668591.179777</t>
  </si>
  <si>
    <t>FlexPBX-1775666474.179763</t>
  </si>
  <si>
    <t>FlexPBX-1775666174.179755</t>
  </si>
  <si>
    <t>FlexPBX-1775666027.179731</t>
  </si>
  <si>
    <t>FlexPBX-1775663965.179726</t>
  </si>
  <si>
    <t>FlexPBX-1775662666.179721</t>
  </si>
  <si>
    <t>FlexPBX-1775661977.179716</t>
  </si>
  <si>
    <t>FlexPBX-1775661430.179711</t>
  </si>
  <si>
    <t>FlexPBX-1775660873.179706</t>
  </si>
  <si>
    <t>FlexPBX-1775659940.179680</t>
  </si>
  <si>
    <t>FlexPBX-1775659908.179670</t>
  </si>
  <si>
    <t>FlexPBX-1775659902.179658</t>
  </si>
  <si>
    <t>FlexPBX-1775659496.179606</t>
  </si>
  <si>
    <t>FlexPBX-1775659494.179598</t>
  </si>
  <si>
    <t>FlexPBX-1775659314.179565</t>
  </si>
  <si>
    <t>FlexPBX-1775658473.179501</t>
  </si>
  <si>
    <t>FlexPBX-1775658008.179496</t>
  </si>
  <si>
    <t>FlexPBX-1775657773.179482</t>
  </si>
  <si>
    <t>FlexPBX-1775657617.179468</t>
  </si>
  <si>
    <t>FlexPBX-1775657574.179452</t>
  </si>
  <si>
    <t>FlexPBX-1775657196.179424</t>
  </si>
  <si>
    <t>FlexPBX-1775656618.179407</t>
  </si>
  <si>
    <t>FlexPBX-1775656006.179307</t>
  </si>
  <si>
    <t>FlexPBX-1775655411.179273</t>
  </si>
  <si>
    <t>FlexPBX-1775655096.179194</t>
  </si>
  <si>
    <t>FlexPBX-1775654919.179057</t>
  </si>
  <si>
    <t>FlexPBX-1775654701.178933</t>
  </si>
  <si>
    <t>FlexPBX-1775654538.178919</t>
  </si>
  <si>
    <t>FlexPBX-1775654495.178911</t>
  </si>
  <si>
    <t>FlexPBX-1775654415.178853</t>
  </si>
  <si>
    <t>FlexPBX-1775654404.178850</t>
  </si>
  <si>
    <t>FlexPBX-1775654200.178808</t>
  </si>
  <si>
    <t>FlexPBX-1775654130.178800</t>
  </si>
  <si>
    <t>FlexPBX-1775652370.178758</t>
  </si>
  <si>
    <t>FlexPBX-1775652363.178746</t>
  </si>
  <si>
    <t>FlexPBX-1775652217.178694</t>
  </si>
  <si>
    <t>FlexPBX-1775652146.178650</t>
  </si>
  <si>
    <t>FlexPBX-1775651822.178538</t>
  </si>
  <si>
    <t>FlexPBX-1775651714.178530</t>
  </si>
  <si>
    <t>FlexPBX-1775651196.178362</t>
  </si>
  <si>
    <t>FlexPBX-1775651183.178359</t>
  </si>
  <si>
    <t>FlexPBX-1775651075.178339</t>
  </si>
  <si>
    <t>FlexPBX-1775650782.178291</t>
  </si>
  <si>
    <t>FlexPBX-1775650598.178267</t>
  </si>
  <si>
    <t>FlexPBX-1775650407.178213</t>
  </si>
  <si>
    <t>FlexPBX-1775650052.178187</t>
  </si>
  <si>
    <t>FlexPBX-1775649486.178153</t>
  </si>
  <si>
    <t>FlexPBX-1775649427.178118</t>
  </si>
  <si>
    <t>FlexPBX-1775649346.178065</t>
  </si>
  <si>
    <t>FlexPBX-1775649343.178062</t>
  </si>
  <si>
    <t>FlexPBX-1775649320.178046</t>
  </si>
  <si>
    <t>FlexPBX-1775648791.177996</t>
  </si>
  <si>
    <t>FlexPBX-1775648357.177976</t>
  </si>
  <si>
    <t>FlexPBX-1775648110.177956</t>
  </si>
  <si>
    <t>FlexPBX-1775647518.177944</t>
  </si>
  <si>
    <t>FlexPBX-1775594742.177870</t>
  </si>
  <si>
    <t>FlexPBX-1775594520.177733</t>
  </si>
  <si>
    <t>FlexPBX-1775593914.177603</t>
  </si>
  <si>
    <t>FlexPBX-1775593110.177598</t>
  </si>
  <si>
    <t>FlexPBX-1775592884.177548</t>
  </si>
  <si>
    <t>FlexPBX-1775592789.177534</t>
  </si>
  <si>
    <t>FlexPBX-1775592449.177508</t>
  </si>
  <si>
    <t>FlexPBX-1775592416.177494</t>
  </si>
  <si>
    <t>FlexPBX-1775592414.177482</t>
  </si>
  <si>
    <t>FlexPBX-1775592402.177474</t>
  </si>
  <si>
    <t>FlexPBX-1775592309.177460</t>
  </si>
  <si>
    <t>FlexPBX-1775592149.177452</t>
  </si>
  <si>
    <t>FlexPBX-1775592109.177444</t>
  </si>
  <si>
    <t>FlexPBX-1775591964.177417</t>
  </si>
  <si>
    <t>FlexPBX-1775591718.177383</t>
  </si>
  <si>
    <t>FlexPBX-1775591242.177226</t>
  </si>
  <si>
    <t>FlexPBX-1775591184.177193</t>
  </si>
  <si>
    <t>FlexPBX-1775590807.177125</t>
  </si>
  <si>
    <t>FlexPBX-1775590668.177009</t>
  </si>
  <si>
    <t>FlexPBX-1775590617.176982</t>
  </si>
  <si>
    <t>FlexPBX-1775590241.176930</t>
  </si>
  <si>
    <t>FlexPBX-1775589912.176870</t>
  </si>
  <si>
    <t>FlexPBX-1775589750.176860</t>
  </si>
  <si>
    <t>FlexPBX-1775589739.176848</t>
  </si>
  <si>
    <t>FlexPBX-1775589151.176803</t>
  </si>
  <si>
    <t>FlexPBX-1775588934.176795</t>
  </si>
  <si>
    <t>FlexPBX-1775588707.176719</t>
  </si>
  <si>
    <t>FlexPBX-1775588602.176699</t>
  </si>
  <si>
    <t>FlexPBX-1775588351.176685</t>
  </si>
  <si>
    <t>FlexPBX-1775587814.176633</t>
  </si>
  <si>
    <t>FlexPBX-1775587689.176613</t>
  </si>
  <si>
    <t>FlexPBX-1775587077.176571</t>
  </si>
  <si>
    <t>FlexPBX-1775586632.176505</t>
  </si>
  <si>
    <t>FlexPBX-1775586464.176491</t>
  </si>
  <si>
    <t>FlexPBX-1775585695.176433</t>
  </si>
  <si>
    <t>FlexPBX-1775585671.176428</t>
  </si>
  <si>
    <t>FlexPBX-1775585334.176380</t>
  </si>
  <si>
    <t>FlexPBX-1775585278.176349</t>
  </si>
  <si>
    <t>FlexPBX-1775585259.176327</t>
  </si>
  <si>
    <t>FlexPBX-1775585204.176294</t>
  </si>
  <si>
    <t>FlexPBX-1775584878.176218</t>
  </si>
  <si>
    <t>FlexPBX-1775584744.176199</t>
  </si>
  <si>
    <t>FlexPBX-1775584603.176189</t>
  </si>
  <si>
    <t>FlexPBX-1775584586.176177</t>
  </si>
  <si>
    <t>FlexPBX-1775584244.176110</t>
  </si>
  <si>
    <t>FlexPBX-1775584201.176093</t>
  </si>
  <si>
    <t>FlexPBX-1775584157.176070</t>
  </si>
  <si>
    <t>FlexPBX-1775583798.176054</t>
  </si>
  <si>
    <t>FlexPBX-1775583722.176018</t>
  </si>
  <si>
    <t>FlexPBX-1775583168.175928</t>
  </si>
  <si>
    <t>FlexPBX-1775582975.175884</t>
  </si>
  <si>
    <t>FlexPBX-1775582497.175829</t>
  </si>
  <si>
    <t>FlexPBX-1775582361.175722</t>
  </si>
  <si>
    <t>FlexPBX-1775581133.175648</t>
  </si>
  <si>
    <t>FlexPBX-1775580956.175560</t>
  </si>
  <si>
    <t>FlexPBX-1775580829.175440</t>
  </si>
  <si>
    <t>FlexPBX-1775580740.175361</t>
  </si>
  <si>
    <t>FlexPBX-1775579701.175263</t>
  </si>
  <si>
    <t>FlexPBX-1775578657.175258</t>
  </si>
  <si>
    <t>FlexPBX-1775578443.175253</t>
  </si>
  <si>
    <t>FlexPBX-1775577260.175248</t>
  </si>
  <si>
    <t>FlexPBX-1775575399.175243</t>
  </si>
  <si>
    <t>FlexPBX-1775573428.175163</t>
  </si>
  <si>
    <t>FlexPBX-1775572921.175142</t>
  </si>
  <si>
    <t>FlexPBX-1775572914.175137</t>
  </si>
  <si>
    <t>FlexPBX-1775572590.175085</t>
  </si>
  <si>
    <t>FlexPBX-1775572225.175043</t>
  </si>
  <si>
    <t>FlexPBX-1775571803.174858</t>
  </si>
  <si>
    <t>FlexPBX-1775571763.174837</t>
  </si>
  <si>
    <t>FlexPBX-1775571739.174832</t>
  </si>
  <si>
    <t>FlexPBX-1775570651.174812</t>
  </si>
  <si>
    <t>FlexPBX-1775570569.174798</t>
  </si>
  <si>
    <t>FlexPBX-1775570501.174784</t>
  </si>
  <si>
    <t>FlexPBX-1775570388.174770</t>
  </si>
  <si>
    <t>FlexPBX-1775570174.174730</t>
  </si>
  <si>
    <t>FlexPBX-1775569850.174619</t>
  </si>
  <si>
    <t>FlexPBX-1775569820.174616</t>
  </si>
  <si>
    <t>FlexPBX-1775569427.174574</t>
  </si>
  <si>
    <t>FlexPBX-1775568699.174558</t>
  </si>
  <si>
    <t>FlexPBX-1775568687.174546</t>
  </si>
  <si>
    <t>FlexPBX-1775568538.174496</t>
  </si>
  <si>
    <t>FlexPBX-1775568423.174469</t>
  </si>
  <si>
    <t>FlexPBX-1775568307.174402</t>
  </si>
  <si>
    <t>FlexPBX-1775567556.174382</t>
  </si>
  <si>
    <t>FlexPBX-1775567524.174349</t>
  </si>
  <si>
    <t>FlexPBX-1775567512.174325</t>
  </si>
  <si>
    <t>FlexPBX-1775567401.174210</t>
  </si>
  <si>
    <t>FlexPBX-1775566085.174186</t>
  </si>
  <si>
    <t>FlexPBX-1775565905.174130</t>
  </si>
  <si>
    <t>FlexPBX-1775565397.174046</t>
  </si>
  <si>
    <t>FlexPBX-1775565363.174037</t>
  </si>
  <si>
    <t>FlexPBX-1775564858.173997</t>
  </si>
  <si>
    <t>FlexPBX-1775564008.173945</t>
  </si>
  <si>
    <t>FlexPBX-1775563875.173919</t>
  </si>
  <si>
    <t>FlexPBX-1775563418.173889</t>
  </si>
  <si>
    <t>FlexPBX-1775563261.173873</t>
  </si>
  <si>
    <t>FlexPBX-1775563086.173834</t>
  </si>
  <si>
    <t>FlexPBX-1775563027.173801</t>
  </si>
  <si>
    <t>FlexPBX-1775562832.173688</t>
  </si>
  <si>
    <t>FlexPBX-1775562419.173630</t>
  </si>
  <si>
    <t>FlexPBX-1775562331.173616</t>
  </si>
  <si>
    <t>FlexPBX-1775561954.173596</t>
  </si>
  <si>
    <t>FlexPBX-1775561875.173582</t>
  </si>
  <si>
    <t>FlexPBX-1775561714.173570</t>
  </si>
  <si>
    <t>FlexPBX-1775561637.173554</t>
  </si>
  <si>
    <t>FlexPBX-1775561407.173470</t>
  </si>
  <si>
    <t>FlexPBX-1775561189.173465</t>
  </si>
  <si>
    <t>FlexPBX-1775560510.173460</t>
  </si>
  <si>
    <t>FlexPBX-1775559996.173455</t>
  </si>
  <si>
    <t>FlexPBX-1775507887.173441</t>
  </si>
  <si>
    <t>FlexPBX-1775506651.173421</t>
  </si>
  <si>
    <t>FlexPBX-1775506446.173407</t>
  </si>
  <si>
    <t>FlexPBX-1775506322.173307</t>
  </si>
  <si>
    <t>FlexPBX-1775506231.173293</t>
  </si>
  <si>
    <t>FlexPBX-1775506170.173277</t>
  </si>
  <si>
    <t>FlexPBX-1775506132.173265</t>
  </si>
  <si>
    <t>FlexPBX-1775505686.173179</t>
  </si>
  <si>
    <t>FlexPBX-1775505678.173171</t>
  </si>
  <si>
    <t>FlexPBX-1775505177.173149</t>
  </si>
  <si>
    <t>FlexPBX-1775505168.173139</t>
  </si>
  <si>
    <t>FlexPBX-1775505126.173128</t>
  </si>
  <si>
    <t>FlexPBX-1775505086.173120</t>
  </si>
  <si>
    <t>FlexPBX-1775505070.173112</t>
  </si>
  <si>
    <t>FlexPBX-1775504767.173036</t>
  </si>
  <si>
    <t>FlexPBX-1775504589.172920</t>
  </si>
  <si>
    <t>FlexPBX-1775503861.172828</t>
  </si>
  <si>
    <t>FlexPBX-1775503236.172776</t>
  </si>
  <si>
    <t>FlexPBX-1775502969.172672</t>
  </si>
  <si>
    <t>FlexPBX-1775502860.172662</t>
  </si>
  <si>
    <t>FlexPBX-1775502843.172648</t>
  </si>
  <si>
    <t>FlexPBX-1775502838.172636</t>
  </si>
  <si>
    <t>FlexPBX-1775502405.172593</t>
  </si>
  <si>
    <t>FlexPBX-1775502368.172578</t>
  </si>
  <si>
    <t>FlexPBX-1775502275.172532</t>
  </si>
  <si>
    <t>FlexPBX-1775502123.172506</t>
  </si>
  <si>
    <t>FlexPBX-1775501949.172472</t>
  </si>
  <si>
    <t>FlexPBX-1775501847.172414</t>
  </si>
  <si>
    <t>FlexPBX-1775501635.172343</t>
  </si>
  <si>
    <t>FlexPBX-1775501612.172340</t>
  </si>
  <si>
    <t>FlexPBX-1775501259.172271</t>
  </si>
  <si>
    <t>FlexPBX-1775499829.172219</t>
  </si>
  <si>
    <t>FlexPBX-1775499135.172199</t>
  </si>
  <si>
    <t>FlexPBX-1775498940.172171</t>
  </si>
  <si>
    <t>FlexPBX-1775498752.172155</t>
  </si>
  <si>
    <t>FlexPBX-1775498745.172143</t>
  </si>
  <si>
    <t>FlexPBX-1775498328.172097</t>
  </si>
  <si>
    <t>FlexPBX-1775498210.172069</t>
  </si>
  <si>
    <t>FlexPBX-1775498087.172033</t>
  </si>
  <si>
    <t>FlexPBX-1775497576.172007</t>
  </si>
  <si>
    <t>FlexPBX-1775497355.171944</t>
  </si>
  <si>
    <t>FlexPBX-1775497253.171866</t>
  </si>
  <si>
    <t>FlexPBX-1775497252.171863</t>
  </si>
  <si>
    <t>FlexPBX-1775496976.171823</t>
  </si>
  <si>
    <t>FlexPBX-1775496825.171778</t>
  </si>
  <si>
    <t>FlexPBX-1775496771.171718</t>
  </si>
  <si>
    <t>FlexPBX-1775496638.171640</t>
  </si>
  <si>
    <t>FlexPBX-1775496621.171633</t>
  </si>
  <si>
    <t>FlexPBX-1775495997.171607</t>
  </si>
  <si>
    <t>FlexPBX-1775495354.171510</t>
  </si>
  <si>
    <t>FlexPBX-1775495336.171486</t>
  </si>
  <si>
    <t>FlexPBX-1775495295.171477</t>
  </si>
  <si>
    <t>FlexPBX-1775495153.171466</t>
  </si>
  <si>
    <t>FlexPBX-1775494982.171452</t>
  </si>
  <si>
    <t>FlexPBX-1775494897.171444</t>
  </si>
  <si>
    <t>FlexPBX-1775494885.171436</t>
  </si>
  <si>
    <t>FlexPBX-1775494366.171394</t>
  </si>
  <si>
    <t>FlexPBX-1775494072.171346</t>
  </si>
  <si>
    <t>FlexPBX-1775493979.171310</t>
  </si>
  <si>
    <t>FlexPBX-1775493693.171234</t>
  </si>
  <si>
    <t>FlexPBX-1775493588.171205</t>
  </si>
  <si>
    <t>FlexPBX-1775493374.171197</t>
  </si>
  <si>
    <t>FlexPBX-1775493077.171114</t>
  </si>
  <si>
    <t>FlexPBX-1775493049.171095</t>
  </si>
  <si>
    <t>FlexPBX-1775492935.171079</t>
  </si>
  <si>
    <t>FlexPBX-1775492925.171067</t>
  </si>
  <si>
    <t>FlexPBX-1775487455.171047</t>
  </si>
  <si>
    <t>FlexPBX-1775487249.171031</t>
  </si>
  <si>
    <t>FlexPBX-1775487209.171017</t>
  </si>
  <si>
    <t>FlexPBX-1775487200.171005</t>
  </si>
  <si>
    <t>FlexPBX-1775487142.170997</t>
  </si>
  <si>
    <t>FlexPBX-1775486879.170989</t>
  </si>
  <si>
    <t>FlexPBX-1775486778.170975</t>
  </si>
  <si>
    <t>FlexPBX-1775486433.170890</t>
  </si>
  <si>
    <t>FlexPBX-1775486421.170885</t>
  </si>
  <si>
    <t>FlexPBX-1775486349.170871</t>
  </si>
  <si>
    <t>FlexPBX-1775486335.170863</t>
  </si>
  <si>
    <t>FlexPBX-1775486326.170851</t>
  </si>
  <si>
    <t>FlexPBX-1775485999.170797</t>
  </si>
  <si>
    <t>FlexPBX-1775485488.170777</t>
  </si>
  <si>
    <t>FlexPBX-1775485363.170741</t>
  </si>
  <si>
    <t>FlexPBX-1775484902.170709</t>
  </si>
  <si>
    <t>FlexPBX-1775484868.170702</t>
  </si>
  <si>
    <t>FlexPBX-1775484648.170617</t>
  </si>
  <si>
    <t>FlexPBX-1775484542.170536</t>
  </si>
  <si>
    <t>FlexPBX-1775484415.170522</t>
  </si>
  <si>
    <t>FlexPBX-1775484374.170514</t>
  </si>
  <si>
    <t>FlexPBX-1775483924.170414</t>
  </si>
  <si>
    <t>FlexPBX-1775483919.170410</t>
  </si>
  <si>
    <t>FlexPBX-1775483914.170398</t>
  </si>
  <si>
    <t>FlexPBX-1775483484.170362</t>
  </si>
  <si>
    <t>FlexPBX-1775482939.170310</t>
  </si>
  <si>
    <t>FlexPBX-1775482584.170189</t>
  </si>
  <si>
    <t>FlexPBX-1775482571.170186</t>
  </si>
  <si>
    <t>FlexPBX-1775482414.170143</t>
  </si>
  <si>
    <t>FlexPBX-1775482384.170135</t>
  </si>
  <si>
    <t>FlexPBX-1775482178.170033</t>
  </si>
  <si>
    <t>FlexPBX-1775481964.170016</t>
  </si>
  <si>
    <t>FlexPBX-1775481959.170011</t>
  </si>
  <si>
    <t>FlexPBX-1775481774.169988</t>
  </si>
  <si>
    <t>FlexPBX-1775481649.169971</t>
  </si>
  <si>
    <t>FlexPBX-1775481549.169951</t>
  </si>
  <si>
    <t>FlexPBX-1775481447.169911</t>
  </si>
  <si>
    <t>FlexPBX-1775480738.169841</t>
  </si>
  <si>
    <t>FlexPBX-1775479456.169799</t>
  </si>
  <si>
    <t>FlexPBX-1775479169.169779</t>
  </si>
  <si>
    <t>FlexPBX-1775478896.169765</t>
  </si>
  <si>
    <t>FlexPBX-1775478730.169711</t>
  </si>
  <si>
    <t>FlexPBX-1775478496.169695</t>
  </si>
  <si>
    <t>FlexPBX-1775477950.169617</t>
  </si>
  <si>
    <t>FlexPBX-1775477824.169565</t>
  </si>
  <si>
    <t>FlexPBX-1775477800.169562</t>
  </si>
  <si>
    <t>FlexPBX-1775477769.169541</t>
  </si>
  <si>
    <t>FlexPBX-1775477640.169494</t>
  </si>
  <si>
    <t>FlexPBX-1775477476.169476</t>
  </si>
  <si>
    <t>FlexPBX-1775477401.169430</t>
  </si>
  <si>
    <t>FlexPBX-1775477164.169425</t>
  </si>
  <si>
    <t>FlexPBX-1775477039.169397</t>
  </si>
  <si>
    <t>FlexPBX-1775476930.169383</t>
  </si>
  <si>
    <t>FlexPBX-1775476497.169355</t>
  </si>
  <si>
    <t>FlexPBX-1775476182.169291</t>
  </si>
  <si>
    <t>FlexPBX-1775475940.169239</t>
  </si>
  <si>
    <t>FlexPBX-1775312790.169234</t>
  </si>
  <si>
    <t>FlexPBX-1775161786.169144</t>
  </si>
  <si>
    <t>FlexPBX-1775161708.169139</t>
  </si>
  <si>
    <t>FlexPBX-1775161278.169055</t>
  </si>
  <si>
    <t>FlexPBX-1775161117.169041</t>
  </si>
  <si>
    <t>FlexPBX-1775160813.168997</t>
  </si>
  <si>
    <t>FlexPBX-1775160648.168992</t>
  </si>
  <si>
    <t>FlexPBX-1775160282.168906</t>
  </si>
  <si>
    <t>FlexPBX-1775159533.168832</t>
  </si>
  <si>
    <t>FlexPBX-1775159523.168829</t>
  </si>
  <si>
    <t>FlexPBX-1775159304.168757</t>
  </si>
  <si>
    <t>FlexPBX-1775159197.168650</t>
  </si>
  <si>
    <t>FlexPBX-1775159119.168587</t>
  </si>
  <si>
    <t>FlexPBX-1775158505.168556</t>
  </si>
  <si>
    <t>FlexPBX-1775158500.168552</t>
  </si>
  <si>
    <t>FlexPBX-1775158463.168542</t>
  </si>
  <si>
    <t>FlexPBX-1775158454.168530</t>
  </si>
  <si>
    <t>FlexPBX-1775157238.168400</t>
  </si>
  <si>
    <t>FlexPBX-1775156211.168320</t>
  </si>
  <si>
    <t>FlexPBX-1775155925.168288</t>
  </si>
  <si>
    <t>FlexPBX-1775155810.168193</t>
  </si>
  <si>
    <t>FlexPBX-1775155807.168190</t>
  </si>
  <si>
    <t>FlexPBX-1775155804.168182</t>
  </si>
  <si>
    <t>FlexPBX-1775155793.168168</t>
  </si>
  <si>
    <t>FlexPBX-1775155534.168007</t>
  </si>
  <si>
    <t>FlexPBX-1775155131.167966</t>
  </si>
  <si>
    <t>FlexPBX-1775155102.167949</t>
  </si>
  <si>
    <t>FlexPBX-1775154713.167913</t>
  </si>
  <si>
    <t>FlexPBX-1775154599.167898</t>
  </si>
  <si>
    <t>FlexPBX-1775154599.167894</t>
  </si>
  <si>
    <t>FlexPBX-1775154588.167886</t>
  </si>
  <si>
    <t>FlexPBX-1775154312.167872</t>
  </si>
  <si>
    <t>FlexPBX-1775154218.167820</t>
  </si>
  <si>
    <t>FlexPBX-1775154093.167736</t>
  </si>
  <si>
    <t>FlexPBX-1775153609.167616</t>
  </si>
  <si>
    <t>FlexPBX-1775153046.167570</t>
  </si>
  <si>
    <t>FlexPBX-1775152946.167550</t>
  </si>
  <si>
    <t>FlexPBX-1775152875.167537</t>
  </si>
  <si>
    <t>FlexPBX-1775152736.167509</t>
  </si>
  <si>
    <t>FlexPBX-1775152644.167473</t>
  </si>
  <si>
    <t>FlexPBX-1775152062.167430</t>
  </si>
  <si>
    <t>FlexPBX-1775152048.167406</t>
  </si>
  <si>
    <t>FlexPBX-1775151989.167336</t>
  </si>
  <si>
    <t>FlexPBX-1775151984.167324</t>
  </si>
  <si>
    <t>FlexPBX-1775151861.167211</t>
  </si>
  <si>
    <t>FlexPBX-1775151236.167185</t>
  </si>
  <si>
    <t>FlexPBX-1775151219.167171</t>
  </si>
  <si>
    <t>FlexPBX-1775151214.167163</t>
  </si>
  <si>
    <t>FlexPBX-1775151211.167155</t>
  </si>
  <si>
    <t>FlexPBX-1775151184.167141</t>
  </si>
  <si>
    <t>FlexPBX-1775151068.167101</t>
  </si>
  <si>
    <t>FlexPBX-1775150982.167031</t>
  </si>
  <si>
    <t>FlexPBX-1775150860.166979</t>
  </si>
  <si>
    <t>FlexPBX-1775150501.166933</t>
  </si>
  <si>
    <t>FlexPBX-1775150291.166909</t>
  </si>
  <si>
    <t>FlexPBX-1775149964.166845</t>
  </si>
  <si>
    <t>FlexPBX-1775149765.166828</t>
  </si>
  <si>
    <t>FlexPBX-1775149323.166747</t>
  </si>
  <si>
    <t>FlexPBX-1775149318.166744</t>
  </si>
  <si>
    <t>FlexPBX-1775149087.166692</t>
  </si>
  <si>
    <t>FlexPBX-1775148903.166648</t>
  </si>
  <si>
    <t>FlexPBX-1775148592.166638</t>
  </si>
  <si>
    <t>FlexPBX-1775148583.166626</t>
  </si>
  <si>
    <t>FlexPBX-1775148533.166616</t>
  </si>
  <si>
    <t>FlexPBX-1775148522.166608</t>
  </si>
  <si>
    <t>FlexPBX-1775148517.166596</t>
  </si>
  <si>
    <t>FlexPBX-1775146795.166577</t>
  </si>
  <si>
    <t>FlexPBX-1775143416.166558</t>
  </si>
  <si>
    <t>FlexPBX-1775142721.166553</t>
  </si>
  <si>
    <t>FlexPBX-1775141332.166526</t>
  </si>
  <si>
    <t>FlexPBX-1775141161.166462</t>
  </si>
  <si>
    <t>FlexPBX-1775140396.166352</t>
  </si>
  <si>
    <t>FlexPBX-1775139578.166272</t>
  </si>
  <si>
    <t>FlexPBX-1775138988.166246</t>
  </si>
  <si>
    <t>FlexPBX-1775138949.166238</t>
  </si>
  <si>
    <t>FlexPBX-1775138691.166158</t>
  </si>
  <si>
    <t>FlexPBX-1775138460.166112</t>
  </si>
  <si>
    <t>FlexPBX-1775138420.166085</t>
  </si>
  <si>
    <t>FlexPBX-1775138193.166021</t>
  </si>
  <si>
    <t>FlexPBX-1775137025.165881</t>
  </si>
  <si>
    <t>FlexPBX-1775136810.165870</t>
  </si>
  <si>
    <t>FlexPBX-1775136555.165799</t>
  </si>
  <si>
    <t>FlexPBX-1775136552.165796</t>
  </si>
  <si>
    <t>FlexPBX-1775136020.165776</t>
  </si>
  <si>
    <t>FlexPBX-1775135856.165750</t>
  </si>
  <si>
    <t>FlexPBX-1775135695.165726</t>
  </si>
  <si>
    <t>FlexPBX-1775135486.165712</t>
  </si>
  <si>
    <t>FlexPBX-1775135323.165698</t>
  </si>
  <si>
    <t>FlexPBX-1775134890.165539</t>
  </si>
  <si>
    <t>FlexPBX-1775134864.165526</t>
  </si>
  <si>
    <t>FlexPBX-1775133652.165512</t>
  </si>
  <si>
    <t>FlexPBX-1775133301.165402</t>
  </si>
  <si>
    <t>FlexPBX-1775133002.165358</t>
  </si>
  <si>
    <t>FlexPBX-1775132795.165288</t>
  </si>
  <si>
    <t>FlexPBX-1775132488.165258</t>
  </si>
  <si>
    <t>FlexPBX-1775131378.165162</t>
  </si>
  <si>
    <t>FlexPBX-1775076409.165032</t>
  </si>
  <si>
    <t>FlexPBX-1775075379.164988</t>
  </si>
  <si>
    <t>FlexPBX-1775074987.164936</t>
  </si>
  <si>
    <t>FlexPBX-1775074450.164808</t>
  </si>
  <si>
    <t>FlexPBX-1775074443.164805</t>
  </si>
  <si>
    <t>FlexPBX-1775074411.164794</t>
  </si>
  <si>
    <t>FlexPBX-1775074228.164651</t>
  </si>
  <si>
    <t>FlexPBX-1775074158.164588</t>
  </si>
  <si>
    <t>FlexPBX-1775073143.164580</t>
  </si>
  <si>
    <t>FlexPBX-1775073133.164572</t>
  </si>
  <si>
    <t>FlexPBX-1775073037.164558</t>
  </si>
  <si>
    <t>FlexPBX-1775072834.164407</t>
  </si>
  <si>
    <t>FlexPBX-1775072755.164348</t>
  </si>
  <si>
    <t>FlexPBX-1775072747.164330</t>
  </si>
  <si>
    <t>FlexPBX-1775072707.164319</t>
  </si>
  <si>
    <t>FlexPBX-1775072652.164305</t>
  </si>
  <si>
    <t>FlexPBX-1775072545.164297</t>
  </si>
  <si>
    <t>FlexPBX-1775072400.164289</t>
  </si>
  <si>
    <t>FlexPBX-1775072123.164215</t>
  </si>
  <si>
    <t>FlexPBX-1775071687.164201</t>
  </si>
  <si>
    <t>FlexPBX-1775071217.164181</t>
  </si>
  <si>
    <t>FlexPBX-1775071155.164167</t>
  </si>
  <si>
    <t>FlexPBX-1775070983.164149</t>
  </si>
  <si>
    <t>FlexPBX-1775070949.164138</t>
  </si>
  <si>
    <t>FlexPBX-1775070823.164128</t>
  </si>
  <si>
    <t>FlexPBX-1775070772.164116</t>
  </si>
  <si>
    <t>FlexPBX-1775070705.164108</t>
  </si>
  <si>
    <t>FlexPBX-1775070677.164100</t>
  </si>
  <si>
    <t>FlexPBX-1775070440.164084</t>
  </si>
  <si>
    <t>FlexPBX-1775070357.164061</t>
  </si>
  <si>
    <t>FlexPBX-1775070214.164047</t>
  </si>
  <si>
    <t>FlexPBX-1775070188.164039</t>
  </si>
  <si>
    <t>FlexPBX-1775070065.164027</t>
  </si>
  <si>
    <t>FlexPBX-1775070006.164013</t>
  </si>
  <si>
    <t>FlexPBX-1775069969.163997</t>
  </si>
  <si>
    <t>FlexPBX-1775069958.163985</t>
  </si>
  <si>
    <t>FlexPBX-1775069951.163981</t>
  </si>
  <si>
    <t>FlexPBX-1775069689.163943</t>
  </si>
  <si>
    <t>FlexPBX-1775069454.163923</t>
  </si>
  <si>
    <t>FlexPBX-1775069374.163907</t>
  </si>
  <si>
    <t>FlexPBX-1775069318.163899</t>
  </si>
  <si>
    <t>FlexPBX-1775069166.163831</t>
  </si>
  <si>
    <t>FlexPBX-1775068918.163793</t>
  </si>
  <si>
    <t>FlexPBX-1775068692.163741</t>
  </si>
  <si>
    <t>FlexPBX-1775068425.163619</t>
  </si>
  <si>
    <t>FlexPBX-1775068148.163565</t>
  </si>
  <si>
    <t>FlexPBX-1775067705.163493</t>
  </si>
  <si>
    <t>FlexPBX-1775067680.163490</t>
  </si>
  <si>
    <t>FlexPBX-1775067441.163413</t>
  </si>
  <si>
    <t>FlexPBX-1775067407.163392</t>
  </si>
  <si>
    <t>FlexPBX-1775067062.163368</t>
  </si>
  <si>
    <t>FlexPBX-1775067038.163359</t>
  </si>
  <si>
    <t>FlexPBX-1775066645.163335</t>
  </si>
  <si>
    <t>FlexPBX-1775066625.163327</t>
  </si>
  <si>
    <t>FlexPBX-1775066251.163297</t>
  </si>
  <si>
    <t>FlexPBX-1775066037.163278</t>
  </si>
  <si>
    <t>FlexPBX-1775065973.163270</t>
  </si>
  <si>
    <t>FlexPBX-1775065877.163262</t>
  </si>
  <si>
    <t>FlexPBX-1775065859.163244</t>
  </si>
  <si>
    <t>FlexPBX-1775065850.163232</t>
  </si>
  <si>
    <t>FlexPBX-1775065768.163205</t>
  </si>
  <si>
    <t>FlexPBX-1775065751.163191</t>
  </si>
  <si>
    <t>FlexPBX-1775065745.163179</t>
  </si>
  <si>
    <t>FlexPBX-1775065718.163161</t>
  </si>
  <si>
    <t>FlexPBX-1775065654.163104</t>
  </si>
  <si>
    <t>FlexPBX-1775065650.163095</t>
  </si>
  <si>
    <t>FlexPBX-1775065624.163088</t>
  </si>
  <si>
    <t>FlexPBX-1775065541.163070</t>
  </si>
  <si>
    <t>FlexPBX-1775065431.163050</t>
  </si>
  <si>
    <t>FlexPBX-1775065377.163027</t>
  </si>
  <si>
    <t>FlexPBX-1775065367.163017</t>
  </si>
  <si>
    <t>FlexPBX-1775065228.162952</t>
  </si>
  <si>
    <t>FlexPBX-1775065195.162947</t>
  </si>
  <si>
    <t>FlexPBX-1775065023.162914</t>
  </si>
  <si>
    <t>FlexPBX-1775064964.162877</t>
  </si>
  <si>
    <t>FlexPBX-1775064930.162861</t>
  </si>
  <si>
    <t>FlexPBX-1775064618.162825</t>
  </si>
  <si>
    <t>FlexPBX-1775063902.162749</t>
  </si>
  <si>
    <t>FlexPBX-1775063852.162702</t>
  </si>
  <si>
    <t>FlexPBX-1775063842.162699</t>
  </si>
  <si>
    <t>FlexPBX-1775063821.162694</t>
  </si>
  <si>
    <t>FlexPBX-1775063642.162673</t>
  </si>
  <si>
    <t>FlexPBX-1775063528.162665</t>
  </si>
  <si>
    <t>FlexPBX-1775063142.162546</t>
  </si>
  <si>
    <t>FlexPBX-1775063139.162534</t>
  </si>
  <si>
    <t>FlexPBX-1775063134.162531</t>
  </si>
  <si>
    <t>FlexPBX-1775062870.162503</t>
  </si>
  <si>
    <t>FlexPBX-1775062312.162455</t>
  </si>
  <si>
    <t>FlexPBX-1775062308.162441</t>
  </si>
  <si>
    <t>FlexPBX-1775062132.162429</t>
  </si>
  <si>
    <t>FlexPBX-1775061993.162409</t>
  </si>
  <si>
    <t>FlexPBX-1775061849.162369</t>
  </si>
  <si>
    <t>FlexPBX-1775061849.162372</t>
  </si>
  <si>
    <t>FlexPBX-1775061709.162317</t>
  </si>
  <si>
    <t>FlexPBX-1775061591.162233</t>
  </si>
  <si>
    <t>FlexPBX-1775061478.162217</t>
  </si>
  <si>
    <t>FlexPBX-1775061465.162205</t>
  </si>
  <si>
    <t>FlexPBX-1775061425.162197</t>
  </si>
  <si>
    <t>FlexPBX-1775061115.162013</t>
  </si>
  <si>
    <t>FlexPBX-1775060801.162008</t>
  </si>
  <si>
    <t>FlexPBX-1775059771.162003</t>
  </si>
  <si>
    <t>FlexPBX-1775057302.161998</t>
  </si>
  <si>
    <t>FlexPBX-1775054362.161956</t>
  </si>
  <si>
    <t>FlexPBX-1775053740.161928</t>
  </si>
  <si>
    <t>FlexPBX-1775053489.161887</t>
  </si>
  <si>
    <t>FlexPBX-1775053451.161841</t>
  </si>
  <si>
    <t>FlexPBX-1775053444.161833</t>
  </si>
  <si>
    <t>FlexPBX-1775053360.161760</t>
  </si>
  <si>
    <t>FlexPBX-1775052981.161666</t>
  </si>
  <si>
    <t>FlexPBX-1775052845.161646</t>
  </si>
  <si>
    <t>FlexPBX-1775052455.161590</t>
  </si>
  <si>
    <t>FlexPBX-1775052403.161566</t>
  </si>
  <si>
    <t>FlexPBX-1775052055.161534</t>
  </si>
  <si>
    <t>FlexPBX-1775051601.161486</t>
  </si>
  <si>
    <t>FlexPBX-1775051474.161478</t>
  </si>
  <si>
    <t>FlexPBX-1775051456.161470</t>
  </si>
  <si>
    <t>FlexPBX-1775051343.161386</t>
  </si>
  <si>
    <t>FlexPBX-1775051148.161364</t>
  </si>
  <si>
    <t>FlexPBX-1775051127.161352</t>
  </si>
  <si>
    <t>FlexPBX-1775050629.161292</t>
  </si>
  <si>
    <t>FlexPBX-1775050469.161263</t>
  </si>
  <si>
    <t>FlexPBX-1775050419.161252</t>
  </si>
  <si>
    <t>FlexPBX-1775050336.161230</t>
  </si>
  <si>
    <t>FlexPBX-1775050098.161154</t>
  </si>
  <si>
    <t>FlexPBX-1775050072.161144</t>
  </si>
  <si>
    <t>FlexPBX-1775050064.161132</t>
  </si>
  <si>
    <t>FlexPBX-1775050001.161106</t>
  </si>
  <si>
    <t>FlexPBX-1775049953.161101</t>
  </si>
  <si>
    <t>FlexPBX-1775049881.161077</t>
  </si>
  <si>
    <t>FlexPBX-1775049765.161069</t>
  </si>
  <si>
    <t>FlexPBX-1775049609.160972</t>
  </si>
  <si>
    <t>FlexPBX-1775049545.160964</t>
  </si>
  <si>
    <t>FlexPBX-1775049492.160950</t>
  </si>
  <si>
    <t>FlexPBX-1775049475.160942</t>
  </si>
  <si>
    <t>FlexPBX-1775049459.160932</t>
  </si>
  <si>
    <t>FlexPBX-1775048926.160795</t>
  </si>
  <si>
    <t>FlexPBX-1775048895.160777</t>
  </si>
  <si>
    <t>FlexPBX-1775048889.160770</t>
  </si>
  <si>
    <t>FlexPBX-1775048864.160760</t>
  </si>
  <si>
    <t>FlexPBX-1775048719.160734</t>
  </si>
  <si>
    <t>FlexPBX-1775048683.160717</t>
  </si>
  <si>
    <t>FlexPBX-1775048617.160665</t>
  </si>
  <si>
    <t>FlexPBX-1775048585.160650</t>
  </si>
  <si>
    <t>FlexPBX-1775048451.160550</t>
  </si>
  <si>
    <t>FlexPBX-1775048444.160538</t>
  </si>
  <si>
    <t>FlexPBX-1775048383.160473</t>
  </si>
  <si>
    <t>FlexPBX-1775048344.160442</t>
  </si>
  <si>
    <t>FlexPBX-1775047956.160420</t>
  </si>
  <si>
    <t>FlexPBX-1775047891.160400</t>
  </si>
  <si>
    <t>FlexPBX-1775047826.160359</t>
  </si>
  <si>
    <t>FlexPBX-1775047815.160356</t>
  </si>
  <si>
    <t>FlexPBX-1775047231.160341</t>
  </si>
  <si>
    <t>FlexPBX-1775047225.160337</t>
  </si>
  <si>
    <t>FlexPBX-1775046966.160213</t>
  </si>
  <si>
    <t>FlexPBX-1775046544.160173</t>
  </si>
  <si>
    <t>FlexPBX-1775046275.160147</t>
  </si>
  <si>
    <t>FlexPBX-1775046065.160133</t>
  </si>
  <si>
    <t>FlexPBX-1775046059.160125</t>
  </si>
  <si>
    <t>FlexPBX-1775045551.160069</t>
  </si>
  <si>
    <t>FlexPBX-1775045055.160029</t>
  </si>
  <si>
    <t>FlexPBX-1775045010.160021</t>
  </si>
  <si>
    <t>FlexPBX-1775044965.159973</t>
  </si>
  <si>
    <t>FlexPBX-1775044964.159969</t>
  </si>
  <si>
    <t>FlexPBX-1775044934.159959</t>
  </si>
  <si>
    <t>FlexPBX-1775044929.159947</t>
  </si>
  <si>
    <t>FlexPBX-1775043576.159925</t>
  </si>
  <si>
    <t>FlexPBX-1775043569.159913</t>
  </si>
  <si>
    <t>FlexPBX-1775043469.159899</t>
  </si>
  <si>
    <t>FlexPBX-1775043359.159815</t>
  </si>
  <si>
    <t>FlexPBX-1777581957.242579</t>
  </si>
  <si>
    <t>FlexPBX-1777581855.242565</t>
  </si>
  <si>
    <t>FlexPBX-1777581679.242551</t>
  </si>
  <si>
    <t>FlexPBX-1777581575.242537</t>
  </si>
  <si>
    <t>FlexPBX-1777581423.242529</t>
  </si>
  <si>
    <t>FlexPBX-1777581357.242521</t>
  </si>
  <si>
    <t>FlexPBX-1777581215.242516</t>
  </si>
  <si>
    <t>FlexPBX-1777579336.242496</t>
  </si>
  <si>
    <t>FlexPBX-1777579112.242452</t>
  </si>
  <si>
    <t>FlexPBX-1777578485.242395</t>
  </si>
  <si>
    <t>FlexPBX-1777577685.242362</t>
  </si>
  <si>
    <t>FlexPBX-1777577445.242354</t>
  </si>
  <si>
    <t>FlexPBX-1777576902.242349</t>
  </si>
  <si>
    <t>FlexPBX-1777576390.242319</t>
  </si>
  <si>
    <t>FlexPBX-1777575918.242290</t>
  </si>
  <si>
    <t>FlexPBX-1777575903.242287</t>
  </si>
  <si>
    <t>FlexPBX-1777575846.242248</t>
  </si>
  <si>
    <t>FlexPBX-1777574719.242208</t>
  </si>
  <si>
    <t>FlexPBX-1777574709.242194</t>
  </si>
  <si>
    <t>FlexPBX-1777574649.242176</t>
  </si>
  <si>
    <t>FlexPBX-1777574643.242164</t>
  </si>
  <si>
    <t>FlexPBX-1777574630.242156</t>
  </si>
  <si>
    <t>FlexPBX-1777574594.242148</t>
  </si>
  <si>
    <t>FlexPBX-1777574406.242134</t>
  </si>
  <si>
    <t>FlexPBX-1777574213.242118</t>
  </si>
  <si>
    <t>FlexPBX-1777574091.242092</t>
  </si>
  <si>
    <t>FlexPBX-1777574040.242084</t>
  </si>
  <si>
    <t>FlexPBX-1777573923.242063</t>
  </si>
  <si>
    <t>FlexPBX-1777573454.242036</t>
  </si>
  <si>
    <t>FlexPBX-1777573277.241997</t>
  </si>
  <si>
    <t>FlexPBX-1777571546.241958</t>
  </si>
  <si>
    <t>FlexPBX-1777570759.241914</t>
  </si>
  <si>
    <t>FlexPBX-1777570637.241889</t>
  </si>
  <si>
    <t>FlexPBX-1777570448.241834</t>
  </si>
  <si>
    <t>FlexPBX-1777570125.241823</t>
  </si>
  <si>
    <t>FlexPBX-1777569317.241751</t>
  </si>
  <si>
    <t>FlexPBX-1777568985.241735</t>
  </si>
  <si>
    <t>FlexPBX-1777568977.241723</t>
  </si>
  <si>
    <t>FlexPBX-1777568476.241686</t>
  </si>
  <si>
    <t>FlexPBX-1777567848.241660</t>
  </si>
  <si>
    <t>FlexPBX-1777567698.241596</t>
  </si>
  <si>
    <t>FlexPBX-1777567679.241585</t>
  </si>
  <si>
    <t>FlexPBX-1777565937.241572</t>
  </si>
  <si>
    <t>FlexPBX-1777565885.241567</t>
  </si>
  <si>
    <t>FlexPBX-1777559836.241510</t>
  </si>
  <si>
    <t>FlexPBX-1777559764.241474</t>
  </si>
  <si>
    <t>FlexPBX-1777559335.241427</t>
  </si>
  <si>
    <t>FlexPBX-1777558290.241383</t>
  </si>
  <si>
    <t>FlexPBX-1777558089.241332</t>
  </si>
  <si>
    <t>FlexPBX-1777557834.241292</t>
  </si>
  <si>
    <t>FlexPBX-1777557650.241266</t>
  </si>
  <si>
    <t>FlexPBX-1777557632.241257</t>
  </si>
  <si>
    <t>FlexPBX-1777557420.241222</t>
  </si>
  <si>
    <t>FlexPBX-1777557387.241211</t>
  </si>
  <si>
    <t>FlexPBX-1777557227.241137</t>
  </si>
  <si>
    <t>FlexPBX-1777557186.241132</t>
  </si>
  <si>
    <t>FlexPBX-1777556825.241115</t>
  </si>
  <si>
    <t>FlexPBX-1777556760.241107</t>
  </si>
  <si>
    <t>FlexPBX-1777556459.241073</t>
  </si>
  <si>
    <t>FlexPBX-1777556074.241051</t>
  </si>
  <si>
    <t>FlexPBX-1777556038.241040</t>
  </si>
  <si>
    <t>FlexPBX-1777556003.241030</t>
  </si>
  <si>
    <t>FlexPBX-1777555999.241027</t>
  </si>
  <si>
    <t>FlexPBX-1777555906.241019</t>
  </si>
  <si>
    <t>FlexPBX-1777555334.240993</t>
  </si>
  <si>
    <t>FlexPBX-1777555299.240985</t>
  </si>
  <si>
    <t>FlexPBX-1777555120.240968</t>
  </si>
  <si>
    <t>FlexPBX-1777555079.240948</t>
  </si>
  <si>
    <t>FlexPBX-1777554893.240940</t>
  </si>
  <si>
    <t>FlexPBX-1777554774.240929</t>
  </si>
  <si>
    <t>FlexPBX-1777554604.240919</t>
  </si>
  <si>
    <t>FlexPBX-1777554511.240911</t>
  </si>
  <si>
    <t>FlexPBX-1777554420.240895</t>
  </si>
  <si>
    <t>FlexPBX-1777554403.240883</t>
  </si>
  <si>
    <t>FlexPBX-1777554399.240875</t>
  </si>
  <si>
    <t>FlexPBX-1777554383.240867</t>
  </si>
  <si>
    <t>FlexPBX-1777554351.240846</t>
  </si>
  <si>
    <t>FlexPBX-1777554347.240834</t>
  </si>
  <si>
    <t>FlexPBX-1777554241.240773</t>
  </si>
  <si>
    <t>FlexPBX-1777554232.240766</t>
  </si>
  <si>
    <t>FlexPBX-1777554183.240755</t>
  </si>
  <si>
    <t>FlexPBX-1777554174.240741</t>
  </si>
  <si>
    <t>FlexPBX-1777554158.240733</t>
  </si>
  <si>
    <t>FlexPBX-1777554117.240719</t>
  </si>
  <si>
    <t>FlexPBX-1777553917.240691</t>
  </si>
  <si>
    <t>FlexPBX-1777553249.240663</t>
  </si>
  <si>
    <t>FlexPBX-1777553241.240655</t>
  </si>
  <si>
    <t>FlexPBX-1777553224.240639</t>
  </si>
  <si>
    <t>FlexPBX-1777553213.240627</t>
  </si>
  <si>
    <t>FlexPBX-1777553178.240622</t>
  </si>
  <si>
    <t>FlexPBX-1777553117.240614</t>
  </si>
  <si>
    <t>FlexPBX-1777552827.240580</t>
  </si>
  <si>
    <t>FlexPBX-1777552539.240535</t>
  </si>
  <si>
    <t>FlexPBX-1777551941.240523</t>
  </si>
  <si>
    <t>FlexPBX-1777551902.240493</t>
  </si>
  <si>
    <t>FlexPBX-1777551851.240466</t>
  </si>
  <si>
    <t>FlexPBX-1777551773.240458</t>
  </si>
  <si>
    <t>FlexPBX-1777551179.240402</t>
  </si>
  <si>
    <t>FlexPBX-1777551026.240367</t>
  </si>
  <si>
    <t>FlexPBX-1777550993.240362</t>
  </si>
  <si>
    <t>FlexPBX-1777550944.240353</t>
  </si>
  <si>
    <t>FlexPBX-1777550530.240336</t>
  </si>
  <si>
    <t>FlexPBX-1777550436.240315</t>
  </si>
  <si>
    <t>FlexPBX-1777550429.240305</t>
  </si>
  <si>
    <t>FlexPBX-1777550407.240294</t>
  </si>
  <si>
    <t>FlexPBX-1777550397.240285</t>
  </si>
  <si>
    <t>FlexPBX-1777549837.240263</t>
  </si>
  <si>
    <t>FlexPBX-1777549558.240241</t>
  </si>
  <si>
    <t>FlexPBX-1777549423.240221</t>
  </si>
  <si>
    <t>FlexPBX-1777549287.240203</t>
  </si>
  <si>
    <t>FlexPBX-1777549280.240191</t>
  </si>
  <si>
    <t>FlexPBX-1777549225.240153</t>
  </si>
  <si>
    <t>FlexPBX-1777548737.240122</t>
  </si>
  <si>
    <t>FlexPBX-1777547590.240114</t>
  </si>
  <si>
    <t>FlexPBX-1777547483.240100</t>
  </si>
  <si>
    <t>FlexPBX-1777547147.240092</t>
  </si>
  <si>
    <t>FlexPBX-1777494257.240069</t>
  </si>
  <si>
    <t>FlexPBX-1777493539.240061</t>
  </si>
  <si>
    <t>FlexPBX-1777493221.240021</t>
  </si>
  <si>
    <t>FlexPBX-1777492830.239942</t>
  </si>
  <si>
    <t>FlexPBX-1777492782.239915</t>
  </si>
  <si>
    <t>FlexPBX-1777492634.239901</t>
  </si>
  <si>
    <t>FlexPBX-1777491595.239821</t>
  </si>
  <si>
    <t>FlexPBX-1777491550.239801</t>
  </si>
  <si>
    <t>FlexPBX-1777491527.239797</t>
  </si>
  <si>
    <t>FlexPBX-1777491427.239771</t>
  </si>
  <si>
    <t>FlexPBX-1777491364.239742</t>
  </si>
  <si>
    <t>FlexPBX-1777491336.239737</t>
  </si>
  <si>
    <t>FlexPBX-1777491031.239691</t>
  </si>
  <si>
    <t>FlexPBX-1777491008.239686</t>
  </si>
  <si>
    <t>FlexPBX-1777490763.239672</t>
  </si>
  <si>
    <t>FlexPBX-1777490738.239664</t>
  </si>
  <si>
    <t>FlexPBX-1777490694.239644</t>
  </si>
  <si>
    <t>FlexPBX-1777490294.239608</t>
  </si>
  <si>
    <t>FlexPBX-1777489849.239600</t>
  </si>
  <si>
    <t>FlexPBX-1777489049.239558</t>
  </si>
  <si>
    <t>FlexPBX-1777488797.239544</t>
  </si>
  <si>
    <t>FlexPBX-1777488595.239502</t>
  </si>
  <si>
    <t>FlexPBX-1777488485.239418</t>
  </si>
  <si>
    <t>FlexPBX-1777488383.239413</t>
  </si>
  <si>
    <t>FlexPBX-1777488177.239408</t>
  </si>
  <si>
    <t>FlexPBX-1777487423.239388</t>
  </si>
  <si>
    <t>FlexPBX-1777487048.239380</t>
  </si>
  <si>
    <t>FlexPBX-1777486973.239358</t>
  </si>
  <si>
    <t>FlexPBX-1777486182.239338</t>
  </si>
  <si>
    <t>FlexPBX-1777486176.239330</t>
  </si>
  <si>
    <t>FlexPBX-1777485786.239316</t>
  </si>
  <si>
    <t>FlexPBX-1777485341.239247</t>
  </si>
  <si>
    <t>FlexPBX-1777485315.239236</t>
  </si>
  <si>
    <t>FlexPBX-1777485289.239231</t>
  </si>
  <si>
    <t>FlexPBX-1777484086.239148</t>
  </si>
  <si>
    <t>FlexPBX-1777484085.239145</t>
  </si>
  <si>
    <t>FlexPBX-1777484077.239137</t>
  </si>
  <si>
    <t>FlexPBX-1777483934.239088</t>
  </si>
  <si>
    <t>FlexPBX-1777483870.239051</t>
  </si>
  <si>
    <t>FlexPBX-1777483864.239047</t>
  </si>
  <si>
    <t>FlexPBX-1777483823.239042</t>
  </si>
  <si>
    <t>FlexPBX-1777483803.239034</t>
  </si>
  <si>
    <t>FlexPBX-1777483745.239018</t>
  </si>
  <si>
    <t>FlexPBX-1777483740.239010</t>
  </si>
  <si>
    <t>FlexPBX-1777483248.238972</t>
  </si>
  <si>
    <t>FlexPBX-1777482996.238940</t>
  </si>
  <si>
    <t>FlexPBX-1777482795.238900</t>
  </si>
  <si>
    <t>FlexPBX-1777482647.238856</t>
  </si>
  <si>
    <t>FlexPBX-1777482193.238828</t>
  </si>
  <si>
    <t>FlexPBX-1777482086.238820</t>
  </si>
  <si>
    <t>FlexPBX-1777482062.238806</t>
  </si>
  <si>
    <t>FlexPBX-1777481699.238784</t>
  </si>
  <si>
    <t>FlexPBX-1777481693.238772</t>
  </si>
  <si>
    <t>FlexPBX-1777481567.238723</t>
  </si>
  <si>
    <t>FlexPBX-1777481562.238720</t>
  </si>
  <si>
    <t>FlexPBX-1777481236.238692</t>
  </si>
  <si>
    <t>FlexPBX-1777481186.238677</t>
  </si>
  <si>
    <t>FlexPBX-1777481069.238650</t>
  </si>
  <si>
    <t>FlexPBX-1777481045.238641</t>
  </si>
  <si>
    <t>FlexPBX-1777480958.238589</t>
  </si>
  <si>
    <t>FlexPBX-1777475574.238568</t>
  </si>
  <si>
    <t>FlexPBX-1777474649.238544</t>
  </si>
  <si>
    <t>FlexPBX-1777474243.238536</t>
  </si>
  <si>
    <t>FlexPBX-1777474191.238528</t>
  </si>
  <si>
    <t>FlexPBX-1777473776.238488</t>
  </si>
  <si>
    <t>FlexPBX-1777473637.238480</t>
  </si>
  <si>
    <t>FlexPBX-1777473485.238458</t>
  </si>
  <si>
    <t>FlexPBX-1777473380.238436</t>
  </si>
  <si>
    <t>FlexPBX-1777473241.238416</t>
  </si>
  <si>
    <t>FlexPBX-1777473129.238389</t>
  </si>
  <si>
    <t>FlexPBX-1777473123.238385</t>
  </si>
  <si>
    <t>FlexPBX-1777472958.238343</t>
  </si>
  <si>
    <t>FlexPBX-1777471999.238239</t>
  </si>
  <si>
    <t>FlexPBX-1777471327.238213</t>
  </si>
  <si>
    <t>FlexPBX-1777471326.238205</t>
  </si>
  <si>
    <t>FlexPBX-1777471193.238189</t>
  </si>
  <si>
    <t>FlexPBX-1777471125.238181</t>
  </si>
  <si>
    <t>FlexPBX-1777470472.238158</t>
  </si>
  <si>
    <t>FlexPBX-1777469746.238136</t>
  </si>
  <si>
    <t>FlexPBX-1777469657.238098</t>
  </si>
  <si>
    <t>FlexPBX-1777469439.238060</t>
  </si>
  <si>
    <t>FlexPBX-1777469347.237992</t>
  </si>
  <si>
    <t>FlexPBX-1777468816.237978</t>
  </si>
  <si>
    <t>FlexPBX-1777468674.237964</t>
  </si>
  <si>
    <t>FlexPBX-1777468209.237898</t>
  </si>
  <si>
    <t>FlexPBX-1777468001.237848</t>
  </si>
  <si>
    <t>FlexPBX-1777467942.237820</t>
  </si>
  <si>
    <t>FlexPBX-1777467306.237809</t>
  </si>
  <si>
    <t>FlexPBX-1777467151.237793</t>
  </si>
  <si>
    <t>FlexPBX-1777467011.237752</t>
  </si>
  <si>
    <t>FlexPBX-1777466993.237741</t>
  </si>
  <si>
    <t>FlexPBX-1777466863.237719</t>
  </si>
  <si>
    <t>FlexPBX-1777466639.237703</t>
  </si>
  <si>
    <t>FlexPBX-1777466396.237679</t>
  </si>
  <si>
    <t>FlexPBX-1777466236.237651</t>
  </si>
  <si>
    <t>FlexPBX-1777466099.237637</t>
  </si>
  <si>
    <t>FlexPBX-1777465863.237623</t>
  </si>
  <si>
    <t>FlexPBX-1777465473.237593</t>
  </si>
  <si>
    <t>FlexPBX-1777465165.237545</t>
  </si>
  <si>
    <t>FlexPBX-1777464839.237503</t>
  </si>
  <si>
    <t>FlexPBX-1777464557.237487</t>
  </si>
  <si>
    <t>FlexPBX-1777464176.237453</t>
  </si>
  <si>
    <t>FlexPBX-1777464171.237445</t>
  </si>
  <si>
    <t>FlexPBX-1777464074.237431</t>
  </si>
  <si>
    <t>FlexPBX-1777464059.237423</t>
  </si>
  <si>
    <t>FlexPBX-1777464047.237415</t>
  </si>
  <si>
    <t>FlexPBX-1777463858.237401</t>
  </si>
  <si>
    <t>FlexPBX-1777463755.237396</t>
  </si>
  <si>
    <t>FlexPBX-1777462388.237338</t>
  </si>
  <si>
    <t>FlexPBX-1777461324.237324</t>
  </si>
  <si>
    <t>FlexPBX-1777408754.237310</t>
  </si>
  <si>
    <t>FlexPBX-1777406962.237254</t>
  </si>
  <si>
    <t>FlexPBX-1777406578.237232</t>
  </si>
  <si>
    <t>FlexPBX-1777406545.237224</t>
  </si>
  <si>
    <t>FlexPBX-1777406505.237216</t>
  </si>
  <si>
    <t>FlexPBX-1777406370.237163</t>
  </si>
  <si>
    <t>FlexPBX-1777406266.237072</t>
  </si>
  <si>
    <t>FlexPBX-1777406105.236941</t>
  </si>
  <si>
    <t>FlexPBX-1777404981.236913</t>
  </si>
  <si>
    <t>FlexPBX-1777404748.236897</t>
  </si>
  <si>
    <t>FlexPBX-1777404730.236885</t>
  </si>
  <si>
    <t>FlexPBX-1777404375.236872</t>
  </si>
  <si>
    <t>FlexPBX-1777403650.236864</t>
  </si>
  <si>
    <t>FlexPBX-1777403018.236777</t>
  </si>
  <si>
    <t>FlexPBX-1777403009.236769</t>
  </si>
  <si>
    <t>FlexPBX-1777402900.236762</t>
  </si>
  <si>
    <t>FlexPBX-1777402822.236754</t>
  </si>
  <si>
    <t>FlexPBX-1777402788.236744</t>
  </si>
  <si>
    <t>FlexPBX-1777402781.236732</t>
  </si>
  <si>
    <t>FlexPBX-1777402703.236722</t>
  </si>
  <si>
    <t>FlexPBX-1777402693.236714</t>
  </si>
  <si>
    <t>FlexPBX-1777402647.236688</t>
  </si>
  <si>
    <t>FlexPBX-1777402629.236669</t>
  </si>
  <si>
    <t>FlexPBX-1777402628.236665</t>
  </si>
  <si>
    <t>FlexPBX-1777402606.236634</t>
  </si>
  <si>
    <t>FlexPBX-1777402604.236631</t>
  </si>
  <si>
    <t>FlexPBX-1777402590.236627</t>
  </si>
  <si>
    <t>FlexPBX-1777402466.236563</t>
  </si>
  <si>
    <t>FlexPBX-1777402466.236567</t>
  </si>
  <si>
    <t>FlexPBX-1777402323.236456</t>
  </si>
  <si>
    <t>FlexPBX-1777402258.236448</t>
  </si>
  <si>
    <t>FlexPBX-1777402072.236440</t>
  </si>
  <si>
    <t>FlexPBX-1777401859.236426</t>
  </si>
  <si>
    <t>FlexPBX-1777400874.236404</t>
  </si>
  <si>
    <t>FlexPBX-1777400569.236362</t>
  </si>
  <si>
    <t>FlexPBX-1777400498.236321</t>
  </si>
  <si>
    <t>FlexPBX-1777400002.236239</t>
  </si>
  <si>
    <t>FlexPBX-1777399924.236194</t>
  </si>
  <si>
    <t>FlexPBX-1777399705.236130</t>
  </si>
  <si>
    <t>FlexPBX-1777399700.236118</t>
  </si>
  <si>
    <t>FlexPBX-1777399422.236086</t>
  </si>
  <si>
    <t>FlexPBX-1777399190.235980</t>
  </si>
  <si>
    <t>FlexPBX-1777399175.235977</t>
  </si>
  <si>
    <t>FlexPBX-1777398881.235881</t>
  </si>
  <si>
    <t>FlexPBX-1777398489.235828</t>
  </si>
  <si>
    <t>FlexPBX-1777398380.235714</t>
  </si>
  <si>
    <t>FlexPBX-1777398359.235703</t>
  </si>
  <si>
    <t>FlexPBX-1777398338.235700</t>
  </si>
  <si>
    <t>FlexPBX-1777398140.235599</t>
  </si>
  <si>
    <t>FlexPBX-1777398113.235595</t>
  </si>
  <si>
    <t>FlexPBX-1777398112.235592</t>
  </si>
  <si>
    <t>FlexPBX-1777397965.235505</t>
  </si>
  <si>
    <t>FlexPBX-1777397943.235502</t>
  </si>
  <si>
    <t>FlexPBX-1777397775.235488</t>
  </si>
  <si>
    <t>FlexPBX-1777397769.235480</t>
  </si>
  <si>
    <t>FlexPBX-1777396974.235339</t>
  </si>
  <si>
    <t>FlexPBX-1777396580.235244</t>
  </si>
  <si>
    <t>FlexPBX-1777396303.235191</t>
  </si>
  <si>
    <t>FlexPBX-1777396211.235132</t>
  </si>
  <si>
    <t>FlexPBX-1777395819.235052</t>
  </si>
  <si>
    <t>FlexPBX-1777395496.234960</t>
  </si>
  <si>
    <t>FlexPBX-1777395472.234943</t>
  </si>
  <si>
    <t>FlexPBX-1777395433.234934</t>
  </si>
  <si>
    <t>FlexPBX-1777395322.234896</t>
  </si>
  <si>
    <t>FlexPBX-1777395313.234884</t>
  </si>
  <si>
    <t>FlexPBX-1777394879.234844</t>
  </si>
  <si>
    <t>FlexPBX-1777394864.234841</t>
  </si>
  <si>
    <t>FlexPBX-1777394501.234820</t>
  </si>
  <si>
    <t>FlexPBX-1777394476.234817</t>
  </si>
  <si>
    <t>FlexPBX-1777394417.234809</t>
  </si>
  <si>
    <t>FlexPBX-1777393996.234770</t>
  </si>
  <si>
    <t>FlexPBX-1777393866.234701</t>
  </si>
  <si>
    <t>FlexPBX-1777393162.234696</t>
  </si>
  <si>
    <t>FlexPBX-1777392741.234691</t>
  </si>
  <si>
    <t>FlexPBX-1777392666.234686</t>
  </si>
  <si>
    <t>FlexPBX-1777388376.234669</t>
  </si>
  <si>
    <t>FlexPBX-1777387381.234590</t>
  </si>
  <si>
    <t>FlexPBX-1777387221.234571</t>
  </si>
  <si>
    <t>FlexPBX-1777386868.234547</t>
  </si>
  <si>
    <t>FlexPBX-1777386406.234536</t>
  </si>
  <si>
    <t>FlexPBX-1777385926.234491</t>
  </si>
  <si>
    <t>FlexPBX-1777385689.234475</t>
  </si>
  <si>
    <t>FlexPBX-1777385621.234452</t>
  </si>
  <si>
    <t>FlexPBX-1777385600.234449</t>
  </si>
  <si>
    <t>FlexPBX-1777385425.234428</t>
  </si>
  <si>
    <t>FlexPBX-1777385411.234425</t>
  </si>
  <si>
    <t>FlexPBX-1777385362.234397</t>
  </si>
  <si>
    <t>FlexPBX-1777384868.234312</t>
  </si>
  <si>
    <t>FlexPBX-1777384628.234289</t>
  </si>
  <si>
    <t>FlexPBX-1777384403.234262</t>
  </si>
  <si>
    <t>FlexPBX-1777384302.234207</t>
  </si>
  <si>
    <t>FlexPBX-1777384240.234200</t>
  </si>
  <si>
    <t>FlexPBX-1777384186.234180</t>
  </si>
  <si>
    <t>FlexPBX-1777384133.234172</t>
  </si>
  <si>
    <t>FlexPBX-1777384099.234153</t>
  </si>
  <si>
    <t>FlexPBX-1777383528.234114</t>
  </si>
  <si>
    <t>FlexPBX-1777383320.234094</t>
  </si>
  <si>
    <t>FlexPBX-1777382849.234060</t>
  </si>
  <si>
    <t>FlexPBX-1777382843.234056</t>
  </si>
  <si>
    <t>FlexPBX-1777382381.233995</t>
  </si>
  <si>
    <t>FlexPBX-1777382325.233955</t>
  </si>
  <si>
    <t>FlexPBX-1777381575.233872</t>
  </si>
  <si>
    <t>FlexPBX-1777381550.233867</t>
  </si>
  <si>
    <t>FlexPBX-1777380753.233831</t>
  </si>
  <si>
    <t>FlexPBX-1777380181.233775</t>
  </si>
  <si>
    <t>FlexPBX-1777380141.233759</t>
  </si>
  <si>
    <t>FlexPBX-1777380063.233727</t>
  </si>
  <si>
    <t>FlexPBX-1777380055.233723</t>
  </si>
  <si>
    <t>FlexPBX-1777379993.233707</t>
  </si>
  <si>
    <t>FlexPBX-1777379858.233649</t>
  </si>
  <si>
    <t>FlexPBX-1777379822.233632</t>
  </si>
  <si>
    <t>FlexPBX-1777379799.233621</t>
  </si>
  <si>
    <t>FlexPBX-1777379799.233625</t>
  </si>
  <si>
    <t>FlexPBX-1777379685.233609</t>
  </si>
  <si>
    <t>FlexPBX-1777379553.233593</t>
  </si>
  <si>
    <t>FlexPBX-1777379510.233581</t>
  </si>
  <si>
    <t>FlexPBX-1777379470.233573</t>
  </si>
  <si>
    <t>FlexPBX-1777379431.233559</t>
  </si>
  <si>
    <t>FlexPBX-1777379385.233545</t>
  </si>
  <si>
    <t>FlexPBX-1777379287.233529</t>
  </si>
  <si>
    <t>FlexPBX-1777379241.233515</t>
  </si>
  <si>
    <t>FlexPBX-1777379226.233507</t>
  </si>
  <si>
    <t>FlexPBX-1777379059.233487</t>
  </si>
  <si>
    <t>FlexPBX-1777378903.233461</t>
  </si>
  <si>
    <t>FlexPBX-1777378851.233441</t>
  </si>
  <si>
    <t>FlexPBX-1777378777.233381</t>
  </si>
  <si>
    <t>FlexPBX-1777378772.233374</t>
  </si>
  <si>
    <t>FlexPBX-1777378707.233351</t>
  </si>
  <si>
    <t>FlexPBX-1777378410.233343</t>
  </si>
  <si>
    <t>FlexPBX-1777378364.233320</t>
  </si>
  <si>
    <t>FlexPBX-1777378188.233296</t>
  </si>
  <si>
    <t>FlexPBX-1777378095.233284</t>
  </si>
  <si>
    <t>FlexPBX-1777377996.233237</t>
  </si>
  <si>
    <t>FlexPBX-1777377996.233233</t>
  </si>
  <si>
    <t>FlexPBX-1777377876.233165</t>
  </si>
  <si>
    <t>FlexPBX-1777377367.233151</t>
  </si>
  <si>
    <t>FlexPBX-1777376684.233131</t>
  </si>
  <si>
    <t>FlexPBX-1777376493.233095</t>
  </si>
  <si>
    <t>FlexPBX-1777321843.233075</t>
  </si>
  <si>
    <t>FlexPBX-1777320028.233010</t>
  </si>
  <si>
    <t>FlexPBX-1777319901.232929</t>
  </si>
  <si>
    <t>FlexPBX-1777319064.232847</t>
  </si>
  <si>
    <t>FlexPBX-1777318965.232833</t>
  </si>
  <si>
    <t>FlexPBX-1777318611.232771</t>
  </si>
  <si>
    <t>FlexPBX-1777318457.232720</t>
  </si>
  <si>
    <t>FlexPBX-1777318455.232717</t>
  </si>
  <si>
    <t>FlexPBX-1777318336.232689</t>
  </si>
  <si>
    <t>FlexPBX-1777317913.232567</t>
  </si>
  <si>
    <t>FlexPBX-1777317885.232562</t>
  </si>
  <si>
    <t>FlexPBX-1777317591.232554</t>
  </si>
  <si>
    <t>FlexPBX-1777317419.232540</t>
  </si>
  <si>
    <t>FlexPBX-1777316928.232487</t>
  </si>
  <si>
    <t>FlexPBX-1777316823.232479</t>
  </si>
  <si>
    <t>FlexPBX-1777316596.232465</t>
  </si>
  <si>
    <t>FlexPBX-1777316468.232332</t>
  </si>
  <si>
    <t>FlexPBX-1777316343.232241</t>
  </si>
  <si>
    <t>FlexPBX-1777316149.232221</t>
  </si>
  <si>
    <t>FlexPBX-1777316071.232207</t>
  </si>
  <si>
    <t>FlexPBX-1777316032.232199</t>
  </si>
  <si>
    <t>FlexPBX-1777315816.232152</t>
  </si>
  <si>
    <t>FlexPBX-1777315029.232103</t>
  </si>
  <si>
    <t>FlexPBX-1777315025.232100</t>
  </si>
  <si>
    <t>FlexPBX-1777314794.232048</t>
  </si>
  <si>
    <t>FlexPBX-1777314616.232034</t>
  </si>
  <si>
    <t>FlexPBX-1777314592.232026</t>
  </si>
  <si>
    <t>FlexPBX-1777314452.232006</t>
  </si>
  <si>
    <t>FlexPBX-1777314447.231994</t>
  </si>
  <si>
    <t>FlexPBX-1777314445.231990</t>
  </si>
  <si>
    <t>FlexPBX-1777314417.231985</t>
  </si>
  <si>
    <t>FlexPBX-1777314334.231975</t>
  </si>
  <si>
    <t>FlexPBX-1777314324.231963</t>
  </si>
  <si>
    <t>FlexPBX-1777314315.231951</t>
  </si>
  <si>
    <t>FlexPBX-1777314008.231865</t>
  </si>
  <si>
    <t>FlexPBX-1777313509.231802</t>
  </si>
  <si>
    <t>FlexPBX-1777313041.231747</t>
  </si>
  <si>
    <t>FlexPBX-1777312656.231687</t>
  </si>
  <si>
    <t>FlexPBX-1777312339.231623</t>
  </si>
  <si>
    <t>FlexPBX-1777312001.231520</t>
  </si>
  <si>
    <t>FlexPBX-1777311971.231517</t>
  </si>
  <si>
    <t>FlexPBX-1777311109.231483</t>
  </si>
  <si>
    <t>FlexPBX-1777310603.231416</t>
  </si>
  <si>
    <t>FlexPBX-1777310578.231407</t>
  </si>
  <si>
    <t>FlexPBX-1777310514.231399</t>
  </si>
  <si>
    <t>FlexPBX-1777310483.231381</t>
  </si>
  <si>
    <t>FlexPBX-1777310471.231377</t>
  </si>
  <si>
    <t>FlexPBX-1777310449.231365</t>
  </si>
  <si>
    <t>FlexPBX-1777310445.231357</t>
  </si>
  <si>
    <t>FlexPBX-1777310261.231346</t>
  </si>
  <si>
    <t>FlexPBX-1777309918.231304</t>
  </si>
  <si>
    <t>FlexPBX-1777309604.231270</t>
  </si>
  <si>
    <t>FlexPBX-1777309498.231262</t>
  </si>
  <si>
    <t>FlexPBX-1777309448.231241</t>
  </si>
  <si>
    <t>FlexPBX-1777309164.231233</t>
  </si>
  <si>
    <t>FlexPBX-1777309108.231212</t>
  </si>
  <si>
    <t>FlexPBX-1777308907.231189</t>
  </si>
  <si>
    <t>FlexPBX-1777308868.231153</t>
  </si>
  <si>
    <t>FlexPBX-1777308694.231145</t>
  </si>
  <si>
    <t>FlexPBX-1777308691.231141</t>
  </si>
  <si>
    <t>FlexPBX-1777308400.231119</t>
  </si>
  <si>
    <t>FlexPBX-1777308092.231099</t>
  </si>
  <si>
    <t>FlexPBX-1777308000.231071</t>
  </si>
  <si>
    <t>FlexPBX-1777307998.231067</t>
  </si>
  <si>
    <t>FlexPBX-1777307990.231059</t>
  </si>
  <si>
    <t>FlexPBX-1777307987.231055</t>
  </si>
  <si>
    <t>FlexPBX-1777307717.231015</t>
  </si>
  <si>
    <t>FlexPBX-1777307671.230988</t>
  </si>
  <si>
    <t>FlexPBX-1777307650.230978</t>
  </si>
  <si>
    <t>FlexPBX-1777307641.230966</t>
  </si>
  <si>
    <t>FlexPBX-1777307499.230956</t>
  </si>
  <si>
    <t>FlexPBX-1777307461.230938</t>
  </si>
  <si>
    <t>FlexPBX-1777307239.230930</t>
  </si>
  <si>
    <t>FlexPBX-1777307226.230922</t>
  </si>
  <si>
    <t>FlexPBX-1777302981.230917</t>
  </si>
  <si>
    <t>FlexPBX-1777301021.230877</t>
  </si>
  <si>
    <t>FlexPBX-1777301015.230865</t>
  </si>
  <si>
    <t>FlexPBX-1777300768.230810</t>
  </si>
  <si>
    <t>FlexPBX-1777300074.230737</t>
  </si>
  <si>
    <t>FlexPBX-1777300033.230729</t>
  </si>
  <si>
    <t>FlexPBX-1777299422.230713</t>
  </si>
  <si>
    <t>FlexPBX-1777299417.230701</t>
  </si>
  <si>
    <t>FlexPBX-1777299376.230693</t>
  </si>
  <si>
    <t>FlexPBX-1777299323.230685</t>
  </si>
  <si>
    <t>FlexPBX-1777299236.230677</t>
  </si>
  <si>
    <t>FlexPBX-1777299042.230669</t>
  </si>
  <si>
    <t>FlexPBX-1777298984.230661</t>
  </si>
  <si>
    <t>FlexPBX-1777298522.230641</t>
  </si>
  <si>
    <t>FlexPBX-1777298360.230627</t>
  </si>
  <si>
    <t>FlexPBX-1777297932.230556</t>
  </si>
  <si>
    <t>FlexPBX-1777297924.230545</t>
  </si>
  <si>
    <t>FlexPBX-1777297891.230537</t>
  </si>
  <si>
    <t>FlexPBX-1777297390.230516</t>
  </si>
  <si>
    <t>FlexPBX-1777297341.230509</t>
  </si>
  <si>
    <t>FlexPBX-1777296813.230471</t>
  </si>
  <si>
    <t>FlexPBX-1777296794.230463</t>
  </si>
  <si>
    <t>FlexPBX-1777296448.230419</t>
  </si>
  <si>
    <t>FlexPBX-1777296392.230396</t>
  </si>
  <si>
    <t>FlexPBX-1777296144.230340</t>
  </si>
  <si>
    <t>FlexPBX-1777296134.230333</t>
  </si>
  <si>
    <t>FlexPBX-1777296102.230329</t>
  </si>
  <si>
    <t>FlexPBX-1777295931.230321</t>
  </si>
  <si>
    <t>FlexPBX-1777295157.230297</t>
  </si>
  <si>
    <t>FlexPBX-1777295117.230248</t>
  </si>
  <si>
    <t>FlexPBX-1777295098.230224</t>
  </si>
  <si>
    <t>FlexPBX-1777295047.230197</t>
  </si>
  <si>
    <t>FlexPBX-1777293719.230131</t>
  </si>
  <si>
    <t>FlexPBX-1777293573.230115</t>
  </si>
  <si>
    <t>FlexPBX-1777293530.230097</t>
  </si>
  <si>
    <t>FlexPBX-1777293484.230089</t>
  </si>
  <si>
    <t>FlexPBX-1777293310.230009</t>
  </si>
  <si>
    <t>FlexPBX-1777293282.230000</t>
  </si>
  <si>
    <t>FlexPBX-1777293009.229966</t>
  </si>
  <si>
    <t>FlexPBX-1777292951.229958</t>
  </si>
  <si>
    <t>FlexPBX-1777292623.229940</t>
  </si>
  <si>
    <t>FlexPBX-1777292616.229932</t>
  </si>
  <si>
    <t>FlexPBX-1777292559.229882</t>
  </si>
  <si>
    <t>FlexPBX-1777292547.229868</t>
  </si>
  <si>
    <t>FlexPBX-1777292543.229860</t>
  </si>
  <si>
    <t>FlexPBX-1777292535.229851</t>
  </si>
  <si>
    <t>FlexPBX-1777292534.229843</t>
  </si>
  <si>
    <t>FlexPBX-1777292525.229835</t>
  </si>
  <si>
    <t>FlexPBX-1777292485.229819</t>
  </si>
  <si>
    <t>FlexPBX-1777292477.229807</t>
  </si>
  <si>
    <t>FlexPBX-1777292275.229793</t>
  </si>
  <si>
    <t>FlexPBX-1777292264.229785</t>
  </si>
  <si>
    <t>FlexPBX-1777292195.229749</t>
  </si>
  <si>
    <t>FlexPBX-1777291672.229735</t>
  </si>
  <si>
    <t>FlexPBX-1777291027.229681</t>
  </si>
  <si>
    <t>FlexPBX-1777290711.229652</t>
  </si>
  <si>
    <t>FlexPBX-1777290117.229619</t>
  </si>
  <si>
    <t>FlexPBX-1777290087.229611</t>
  </si>
  <si>
    <t>FlexPBX-1777290066.229603</t>
  </si>
  <si>
    <t>FlexPBX-1777290016.229589</t>
  </si>
  <si>
    <t>FlexPBX-1777289474.229531</t>
  </si>
  <si>
    <t>FlexPBX-1777289468.229528</t>
  </si>
  <si>
    <t>FlexPBX-1777063316.229484</t>
  </si>
  <si>
    <t>FlexPBX-1777062746.229364</t>
  </si>
  <si>
    <t>FlexPBX-1777062676.229331</t>
  </si>
  <si>
    <t>FlexPBX-1777062022.229274</t>
  </si>
  <si>
    <t>FlexPBX-1777061932.229229</t>
  </si>
  <si>
    <t>FlexPBX-1777061145.229215</t>
  </si>
  <si>
    <t>FlexPBX-1777061058.229207</t>
  </si>
  <si>
    <t>FlexPBX-1777060628.229177</t>
  </si>
  <si>
    <t>FlexPBX-1777060324.229148</t>
  </si>
  <si>
    <t>FlexPBX-1777059633.229128</t>
  </si>
  <si>
    <t>FlexPBX-1777059369.229083</t>
  </si>
  <si>
    <t>FlexPBX-1777059276.229042</t>
  </si>
  <si>
    <t>FlexPBX-1777059090.229032</t>
  </si>
  <si>
    <t>FlexPBX-1777059084.229020</t>
  </si>
  <si>
    <t>FlexPBX-1777058533.228998</t>
  </si>
  <si>
    <t>FlexPBX-1777057851.228831</t>
  </si>
  <si>
    <t>FlexPBX-1777056960.228826</t>
  </si>
  <si>
    <t>FlexPBX-1777056481.228691</t>
  </si>
  <si>
    <t>FlexPBX-1777056335.228683</t>
  </si>
  <si>
    <t>FlexPBX-1777056327.228675</t>
  </si>
  <si>
    <t>FlexPBX-1777056138.228667</t>
  </si>
  <si>
    <t>FlexPBX-1777056125.228659</t>
  </si>
  <si>
    <t>FlexPBX-1777055653.228497</t>
  </si>
  <si>
    <t>FlexPBX-1777055617.228486</t>
  </si>
  <si>
    <t>FlexPBX-1777055486.228478</t>
  </si>
  <si>
    <t>FlexPBX-1777055335.228416</t>
  </si>
  <si>
    <t>FlexPBX-1777055285.228399</t>
  </si>
  <si>
    <t>FlexPBX-1777054986.228372</t>
  </si>
  <si>
    <t>FlexPBX-1777054745.228325</t>
  </si>
  <si>
    <t>FlexPBX-1777054722.228313</t>
  </si>
  <si>
    <t>FlexPBX-1777054110.228237</t>
  </si>
  <si>
    <t>FlexPBX-1777054055.228229</t>
  </si>
  <si>
    <t>FlexPBX-1777054003.228221</t>
  </si>
  <si>
    <t>FlexPBX-1777053987.228213</t>
  </si>
  <si>
    <t>FlexPBX-1777053975.228203</t>
  </si>
  <si>
    <t>FlexPBX-1777053964.228182</t>
  </si>
  <si>
    <t>FlexPBX-1777053957.228167</t>
  </si>
  <si>
    <t>FlexPBX-1777053948.228155</t>
  </si>
  <si>
    <t>FlexPBX-1777053925.228132</t>
  </si>
  <si>
    <t>FlexPBX-1777053922.228128</t>
  </si>
  <si>
    <t>FlexPBX-1777053921.228125</t>
  </si>
  <si>
    <t>FlexPBX-1777053912.228103</t>
  </si>
  <si>
    <t>FlexPBX-1777053884.228087</t>
  </si>
  <si>
    <t>FlexPBX-1777053882.228083</t>
  </si>
  <si>
    <t>FlexPBX-1777053815.228060</t>
  </si>
  <si>
    <t>FlexPBX-1777053565.228047</t>
  </si>
  <si>
    <t>FlexPBX-1777053446.227958</t>
  </si>
  <si>
    <t>FlexPBX-1777053427.227947</t>
  </si>
  <si>
    <t>FlexPBX-1777053214.227906</t>
  </si>
  <si>
    <t>FlexPBX-1777053197.227898</t>
  </si>
  <si>
    <t>FlexPBX-1777053150.227893</t>
  </si>
  <si>
    <t>FlexPBX-1777052856.227865</t>
  </si>
  <si>
    <t>FlexPBX-1777052853.227862</t>
  </si>
  <si>
    <t>FlexPBX-1777052689.227857</t>
  </si>
  <si>
    <t>FlexPBX-1777052251.227841</t>
  </si>
  <si>
    <t>FlexPBX-1777052243.227833</t>
  </si>
  <si>
    <t>FlexPBX-1777052119.227819</t>
  </si>
  <si>
    <t>FlexPBX-1777052049.227811</t>
  </si>
  <si>
    <t>FlexPBX-1777051943.227795</t>
  </si>
  <si>
    <t>FlexPBX-1777051817.227787</t>
  </si>
  <si>
    <t>FlexPBX-1777051800.227779</t>
  </si>
  <si>
    <t>FlexPBX-1777051792.227771</t>
  </si>
  <si>
    <t>FlexPBX-1777051786.227763</t>
  </si>
  <si>
    <t>FlexPBX-1777051778.227751</t>
  </si>
  <si>
    <t>FlexPBX-1777051770.227743</t>
  </si>
  <si>
    <t>FlexPBX-1777051747.227735</t>
  </si>
  <si>
    <t>FlexPBX-1777051740.227727</t>
  </si>
  <si>
    <t>FlexPBX-1777051735.227719</t>
  </si>
  <si>
    <t>FlexPBX-1777051467.227707</t>
  </si>
  <si>
    <t>FlexPBX-1777051341.227652</t>
  </si>
  <si>
    <t>FlexPBX-1777051341.227644</t>
  </si>
  <si>
    <t>FlexPBX-1777051336.227636</t>
  </si>
  <si>
    <t>FlexPBX-1777051310.227628</t>
  </si>
  <si>
    <t>FlexPBX-1777051272.227618</t>
  </si>
  <si>
    <t>FlexPBX-1777051266.227610</t>
  </si>
  <si>
    <t>FlexPBX-1777050633.227562</t>
  </si>
  <si>
    <t>FlexPBX-1777050595.227541</t>
  </si>
  <si>
    <t>FlexPBX-1777050357.227527</t>
  </si>
  <si>
    <t>FlexPBX-1777050350.227519</t>
  </si>
  <si>
    <t>FlexPBX-1777050304.227505</t>
  </si>
  <si>
    <t>FlexPBX-1777050300.227497</t>
  </si>
  <si>
    <t>FlexPBX-1777050268.227467</t>
  </si>
  <si>
    <t>FlexPBX-1777050252.227450</t>
  </si>
  <si>
    <t>FlexPBX-1777050252.227454</t>
  </si>
  <si>
    <t>FlexPBX-1777050240.227443</t>
  </si>
  <si>
    <t>FlexPBX-1777050219.227427</t>
  </si>
  <si>
    <t>FlexPBX-1777050215.227421</t>
  </si>
  <si>
    <t>FlexPBX-1777050198.227409</t>
  </si>
  <si>
    <t>FlexPBX-1777050151.227401</t>
  </si>
  <si>
    <t>FlexPBX-1777050121.227391</t>
  </si>
  <si>
    <t>FlexPBX-1777050114.227379</t>
  </si>
  <si>
    <t>FlexPBX-1777050111.227371</t>
  </si>
  <si>
    <t>FlexPBX-1777050103.227363</t>
  </si>
  <si>
    <t>FlexPBX-1777050097.227355</t>
  </si>
  <si>
    <t>FlexPBX-1777049674.227302</t>
  </si>
  <si>
    <t>FlexPBX-1777047823.227272</t>
  </si>
  <si>
    <t>FlexPBX-1777047808.227260</t>
  </si>
  <si>
    <t>FlexPBX-1777045666.227255</t>
  </si>
  <si>
    <t>FlexPBX-1777044719.227250</t>
  </si>
  <si>
    <t>FlexPBX-1777044509.227245</t>
  </si>
  <si>
    <t>FlexPBX-1777043273.227240</t>
  </si>
  <si>
    <t>FlexPBX-1777042214.227210</t>
  </si>
  <si>
    <t>FlexPBX-1777042115.227157</t>
  </si>
  <si>
    <t>FlexPBX-1777041815.227152</t>
  </si>
  <si>
    <t>FlexPBX-1777041662.227132</t>
  </si>
  <si>
    <t>FlexPBX-1777041488.227084</t>
  </si>
  <si>
    <t>FlexPBX-1777041412.227045</t>
  </si>
  <si>
    <t>FlexPBX-1777040973.226965</t>
  </si>
  <si>
    <t>FlexPBX-1777040948.226938</t>
  </si>
  <si>
    <t>FlexPBX-1777040895.226903</t>
  </si>
  <si>
    <t>FlexPBX-1777040826.226889</t>
  </si>
  <si>
    <t>FlexPBX-1777040674.226853</t>
  </si>
  <si>
    <t>FlexPBX-1777040478.226829</t>
  </si>
  <si>
    <t>FlexPBX-1777040455.226821</t>
  </si>
  <si>
    <t>FlexPBX-1777040182.226805</t>
  </si>
  <si>
    <t>FlexPBX-1777039842.226776</t>
  </si>
  <si>
    <t>FlexPBX-1777039808.226771</t>
  </si>
  <si>
    <t>FlexPBX-1777039705.226733</t>
  </si>
  <si>
    <t>FlexPBX-1777039278.226670</t>
  </si>
  <si>
    <t>FlexPBX-1777038657.226592</t>
  </si>
  <si>
    <t>FlexPBX-1777038460.226553</t>
  </si>
  <si>
    <t>FlexPBX-1777038293.226539</t>
  </si>
  <si>
    <t>FlexPBX-1777038152.226525</t>
  </si>
  <si>
    <t>FlexPBX-1777038016.226505</t>
  </si>
  <si>
    <t>FlexPBX-1777037332.226421</t>
  </si>
  <si>
    <t>FlexPBX-1777037161.226407</t>
  </si>
  <si>
    <t>FlexPBX-1777036404.226387</t>
  </si>
  <si>
    <t>FlexPBX-1777036347.226373</t>
  </si>
  <si>
    <t>FlexPBX-1777036089.226359</t>
  </si>
  <si>
    <t>FlexPBX-1777035989.226351</t>
  </si>
  <si>
    <t>FlexPBX-1777035961.226343</t>
  </si>
  <si>
    <t>FlexPBX-1777035585.226335</t>
  </si>
  <si>
    <t>FlexPBX-1777034691.226284</t>
  </si>
  <si>
    <t>FlexPBX-1777034147.226173</t>
  </si>
  <si>
    <t>FlexPBX-1777034055.226159</t>
  </si>
  <si>
    <t>FlexPBX-1777033945.226149</t>
  </si>
  <si>
    <t>FlexPBX-1777033943.226146</t>
  </si>
  <si>
    <t>FlexPBX-1777033033.226118</t>
  </si>
  <si>
    <t>FlexPBX-1777032662.226092</t>
  </si>
  <si>
    <t>FlexPBX-1777032649.226082</t>
  </si>
  <si>
    <t>FlexPBX-1777032611.226057</t>
  </si>
  <si>
    <t>FlexPBX-1777032595.226050</t>
  </si>
  <si>
    <t>FlexPBX-1777032448.225956</t>
  </si>
  <si>
    <t>FlexPBX-1777032375.225885</t>
  </si>
  <si>
    <t>FlexPBX-1777032360.225872</t>
  </si>
  <si>
    <t>FlexPBX-1777032339.225865</t>
  </si>
  <si>
    <t>FlexPBX-1777031888.225795</t>
  </si>
  <si>
    <t>FlexPBX-1777031845.225787</t>
  </si>
  <si>
    <t>FlexPBX-1777031506.225763</t>
  </si>
  <si>
    <t>FlexPBX-1777031202.225737</t>
  </si>
  <si>
    <t>FlexPBX-1777031009.225730</t>
  </si>
  <si>
    <t>FlexPBX-1777030719.225706</t>
  </si>
  <si>
    <t>FlexPBX-1777030419.225666</t>
  </si>
  <si>
    <t>FlexPBX-1777030251.225550</t>
  </si>
  <si>
    <t>FlexPBX-1777029980.225545</t>
  </si>
  <si>
    <t>FlexPBX-1777029406.225525</t>
  </si>
  <si>
    <t>FlexPBX-1777029337.225517</t>
  </si>
  <si>
    <t>FlexPBX-1777029018.225503</t>
  </si>
  <si>
    <t>FlexPBX-1776977018.225489</t>
  </si>
  <si>
    <t>FlexPBX-1776976942.225475</t>
  </si>
  <si>
    <t>FlexPBX-1776976409.225449</t>
  </si>
  <si>
    <t>FlexPBX-1776975441.225326</t>
  </si>
  <si>
    <t>FlexPBX-1776975434.225323</t>
  </si>
  <si>
    <t>FlexPBX-1776975327.225315</t>
  </si>
  <si>
    <t>FlexPBX-1776975322.225307</t>
  </si>
  <si>
    <t>FlexPBX-1776975162.225287</t>
  </si>
  <si>
    <t>FlexPBX-1776975079.225252</t>
  </si>
  <si>
    <t>FlexPBX-1776974911.225165</t>
  </si>
  <si>
    <t>FlexPBX-1776974868.225151</t>
  </si>
  <si>
    <t>FlexPBX-1776974402.225123</t>
  </si>
  <si>
    <t>FlexPBX-1776974317.225109</t>
  </si>
  <si>
    <t>FlexPBX-1776973914.225072</t>
  </si>
  <si>
    <t>FlexPBX-1776973599.225046</t>
  </si>
  <si>
    <t>FlexPBX-1776973376.224947</t>
  </si>
  <si>
    <t>FlexPBX-1776973034.224906</t>
  </si>
  <si>
    <t>FlexPBX-1776972656.224898</t>
  </si>
  <si>
    <t>FlexPBX-1776972644.224893</t>
  </si>
  <si>
    <t>FlexPBX-1776972451.224873</t>
  </si>
  <si>
    <t>FlexPBX-1776972382.224859</t>
  </si>
  <si>
    <t>FlexPBX-1776972278.224822</t>
  </si>
  <si>
    <t>FlexPBX-1776972268.224819</t>
  </si>
  <si>
    <t>FlexPBX-1776972209.224811</t>
  </si>
  <si>
    <t>FlexPBX-1776972201.224795</t>
  </si>
  <si>
    <t>FlexPBX-1776971947.224775</t>
  </si>
  <si>
    <t>FlexPBX-1776971913.224765</t>
  </si>
  <si>
    <t>FlexPBX-1776971909.224757</t>
  </si>
  <si>
    <t>FlexPBX-1776971903.224745</t>
  </si>
  <si>
    <t>FlexPBX-1776971881.224723</t>
  </si>
  <si>
    <t>FlexPBX-1776971852.224715</t>
  </si>
  <si>
    <t>FlexPBX-1776971761.224707</t>
  </si>
  <si>
    <t>FlexPBX-1776971741.224699</t>
  </si>
  <si>
    <t>FlexPBX-1776971731.224691</t>
  </si>
  <si>
    <t>FlexPBX-1776971713.224677</t>
  </si>
  <si>
    <t>FlexPBX-1776970400.224611</t>
  </si>
  <si>
    <t>FlexPBX-1776969995.224519</t>
  </si>
  <si>
    <t>FlexPBX-1776969252.224469</t>
  </si>
  <si>
    <t>FlexPBX-1776969179.224440</t>
  </si>
  <si>
    <t>FlexPBX-1776969088.224431</t>
  </si>
  <si>
    <t>FlexPBX-1776969026.224423</t>
  </si>
  <si>
    <t>FlexPBX-1776968820.224395</t>
  </si>
  <si>
    <t>FlexPBX-1776968711.224390</t>
  </si>
  <si>
    <t>FlexPBX-1776968675.224361</t>
  </si>
  <si>
    <t>FlexPBX-1776968600.224328</t>
  </si>
  <si>
    <t>FlexPBX-1776968567.224283</t>
  </si>
  <si>
    <t>FlexPBX-1776968445.224226</t>
  </si>
  <si>
    <t>FlexPBX-1776968302.224200</t>
  </si>
  <si>
    <t>FlexPBX-1776968293.224196</t>
  </si>
  <si>
    <t>FlexPBX-1776967733.224173</t>
  </si>
  <si>
    <t>FlexPBX-1776967691.224165</t>
  </si>
  <si>
    <t>FlexPBX-1776967638.224157</t>
  </si>
  <si>
    <t>FlexPBX-1776967614.224149</t>
  </si>
  <si>
    <t>FlexPBX-1776967538.224141</t>
  </si>
  <si>
    <t>FlexPBX-1776967493.224119</t>
  </si>
  <si>
    <t>FlexPBX-1776967443.224092</t>
  </si>
  <si>
    <t>FlexPBX-1776967392.224072</t>
  </si>
  <si>
    <t>FlexPBX-1776967129.224001</t>
  </si>
  <si>
    <t>FlexPBX-1776967117.223991</t>
  </si>
  <si>
    <t>FlexPBX-1776967080.223970</t>
  </si>
  <si>
    <t>FlexPBX-1776967041.223956</t>
  </si>
  <si>
    <t>FlexPBX-1776966884.223948</t>
  </si>
  <si>
    <t>FlexPBX-1776966815.223940</t>
  </si>
  <si>
    <t>FlexPBX-1776966757.223904</t>
  </si>
  <si>
    <t>FlexPBX-1776966668.223890</t>
  </si>
  <si>
    <t>FlexPBX-1776966470.223850</t>
  </si>
  <si>
    <t>FlexPBX-1776966403.223836</t>
  </si>
  <si>
    <t>FlexPBX-1776966313.223781</t>
  </si>
  <si>
    <t>FlexPBX-1776966299.223778</t>
  </si>
  <si>
    <t>FlexPBX-1776966227.223765</t>
  </si>
  <si>
    <t>FlexPBX-1776966182.223757</t>
  </si>
  <si>
    <t>FlexPBX-1776966128.223743</t>
  </si>
  <si>
    <t>FlexPBX-1776965938.223720</t>
  </si>
  <si>
    <t>FlexPBX-1776965908.223706</t>
  </si>
  <si>
    <t>FlexPBX-1776965805.223688</t>
  </si>
  <si>
    <t>FlexPBX-1776965577.223653</t>
  </si>
  <si>
    <t>FlexPBX-1776965565.223650</t>
  </si>
  <si>
    <t>FlexPBX-1776965534.223636</t>
  </si>
  <si>
    <t>FlexPBX-1776965479.223616</t>
  </si>
  <si>
    <t>FlexPBX-1776965391.223608</t>
  </si>
  <si>
    <t>FlexPBX-1776965312.223588</t>
  </si>
  <si>
    <t>FlexPBX-1776965163.223509</t>
  </si>
  <si>
    <t>FlexPBX-1776965156.223506</t>
  </si>
  <si>
    <t>FlexPBX-1776965080.223472</t>
  </si>
  <si>
    <t>FlexPBX-1776964895.223444</t>
  </si>
  <si>
    <t>FlexPBX-1776964841.223416</t>
  </si>
  <si>
    <t>FlexPBX-1776964282.223377</t>
  </si>
  <si>
    <t>FlexPBX-1776964280.223374</t>
  </si>
  <si>
    <t>FlexPBX-1776963983.223364</t>
  </si>
  <si>
    <t>FlexPBX-1776963960.223352</t>
  </si>
  <si>
    <t>FlexPBX-1776963923.223344</t>
  </si>
  <si>
    <t>FlexPBX-1776963894.223336</t>
  </si>
  <si>
    <t>FlexPBX-1776963838.223314</t>
  </si>
  <si>
    <t>FlexPBX-1776963816.223311</t>
  </si>
  <si>
    <t>FlexPBX-1776963650.223303</t>
  </si>
  <si>
    <t>FlexPBX-1776963601.223281</t>
  </si>
  <si>
    <t>FlexPBX-1776963550.223241</t>
  </si>
  <si>
    <t>FlexPBX-1776963539.223238</t>
  </si>
  <si>
    <t>FlexPBX-1776963298.223218</t>
  </si>
  <si>
    <t>FlexPBX-1776963247.223191</t>
  </si>
  <si>
    <t>FlexPBX-1776963189.223170</t>
  </si>
  <si>
    <t>FlexPBX-1776962887.223138</t>
  </si>
  <si>
    <t>FlexPBX-1776962731.223104</t>
  </si>
  <si>
    <t>FlexPBX-1776962320.223082</t>
  </si>
  <si>
    <t>FlexPBX-1776962191.223040</t>
  </si>
  <si>
    <t>FlexPBX-1776961924.222983</t>
  </si>
  <si>
    <t>FlexPBX-1776961891.222974</t>
  </si>
  <si>
    <t>FlexPBX-1776961491.222966</t>
  </si>
  <si>
    <t>FlexPBX-1776961123.222961</t>
  </si>
  <si>
    <t>FlexPBX-1776960640.222956</t>
  </si>
  <si>
    <t>FlexPBX-1776960600.222951</t>
  </si>
  <si>
    <t>FlexPBX-1776960323.222946</t>
  </si>
  <si>
    <t>FlexPBX-1776955274.222884</t>
  </si>
  <si>
    <t>FlexPBX-1776955199.222861</t>
  </si>
  <si>
    <t>FlexPBX-1776955151.222842</t>
  </si>
  <si>
    <t>FlexPBX-1776955033.222806</t>
  </si>
  <si>
    <t>FlexPBX-1776955014.222803</t>
  </si>
  <si>
    <t>FlexPBX-1776954974.222795</t>
  </si>
  <si>
    <t>FlexPBX-1776954026.222755</t>
  </si>
  <si>
    <t>FlexPBX-1776953480.222713</t>
  </si>
  <si>
    <t>FlexPBX-1776953463.222710</t>
  </si>
  <si>
    <t>FlexPBX-1776953448.222705</t>
  </si>
  <si>
    <t>FlexPBX-1776953137.222697</t>
  </si>
  <si>
    <t>FlexPBX-1776952188.222616</t>
  </si>
  <si>
    <t>FlexPBX-1776952168.222608</t>
  </si>
  <si>
    <t>FlexPBX-1776952166.222605</t>
  </si>
  <si>
    <t>FlexPBX-1776951933.222521</t>
  </si>
  <si>
    <t>FlexPBX-1776950921.222495</t>
  </si>
  <si>
    <t>FlexPBX-1776950642.222436</t>
  </si>
  <si>
    <t>FlexPBX-1776950379.222428</t>
  </si>
  <si>
    <t>FlexPBX-1776949364.222390</t>
  </si>
  <si>
    <t>FlexPBX-1776949020.222382</t>
  </si>
  <si>
    <t>FlexPBX-1776948935.222368</t>
  </si>
  <si>
    <t>FlexPBX-1776948741.222340</t>
  </si>
  <si>
    <t>FlexPBX-1776948654.222326</t>
  </si>
  <si>
    <t>FlexPBX-1776948502.222318</t>
  </si>
  <si>
    <t>FlexPBX-1776948164.222298</t>
  </si>
  <si>
    <t>FlexPBX-1776948084.222280</t>
  </si>
  <si>
    <t>FlexPBX-1776948079.222276</t>
  </si>
  <si>
    <t>FlexPBX-1776947931.222237</t>
  </si>
  <si>
    <t>FlexPBX-1776947927.222234</t>
  </si>
  <si>
    <t>FlexPBX-1776947591.222214</t>
  </si>
  <si>
    <t>FlexPBX-1776947489.222194</t>
  </si>
  <si>
    <t>FlexPBX-1776947228.222135</t>
  </si>
  <si>
    <t>FlexPBX-1776947205.222128</t>
  </si>
  <si>
    <t>FlexPBX-1776947162.222120</t>
  </si>
  <si>
    <t>FlexPBX-1776946950.222094</t>
  </si>
  <si>
    <t>FlexPBX-1776946678.222086</t>
  </si>
  <si>
    <t>FlexPBX-1776944809.221964</t>
  </si>
  <si>
    <t>FlexPBX-1776944691.221928</t>
  </si>
  <si>
    <t>FlexPBX-1776944457.221918</t>
  </si>
  <si>
    <t>FlexPBX-1776944450.221906</t>
  </si>
  <si>
    <t>FlexPBX-1776943484.221892</t>
  </si>
  <si>
    <t>FlexPBX-1776943182.221876</t>
  </si>
  <si>
    <t>FlexPBX-1776943137.221864</t>
  </si>
  <si>
    <t>FlexPBX-1776890848.221827</t>
  </si>
  <si>
    <t>FlexPBX-1776890332.221677</t>
  </si>
  <si>
    <t>FlexPBX-1776888842.221653</t>
  </si>
  <si>
    <t>FlexPBX-1776888479.221603</t>
  </si>
  <si>
    <t>FlexPBX-1776888296.221598</t>
  </si>
  <si>
    <t>FlexPBX-1776888204.221590</t>
  </si>
  <si>
    <t>FlexPBX-1776887939.221582</t>
  </si>
  <si>
    <t>FlexPBX-1776887254.221562</t>
  </si>
  <si>
    <t>FlexPBX-1776887122.221534</t>
  </si>
  <si>
    <t>FlexPBX-1776886977.221496</t>
  </si>
  <si>
    <t>FlexPBX-1776886549.221321</t>
  </si>
  <si>
    <t>FlexPBX-1776886284.221228</t>
  </si>
  <si>
    <t>FlexPBX-1776886232.221201</t>
  </si>
  <si>
    <t>FlexPBX-1776886084.221187</t>
  </si>
  <si>
    <t>FlexPBX-1776885880.221135</t>
  </si>
  <si>
    <t>FlexPBX-1776885688.221117</t>
  </si>
  <si>
    <t>FlexPBX-1776885547.221101</t>
  </si>
  <si>
    <t>FlexPBX-1776885306.221097</t>
  </si>
  <si>
    <t>FlexPBX-1776884153.221061</t>
  </si>
  <si>
    <t>FlexPBX-1776884056.221010</t>
  </si>
  <si>
    <t>FlexPBX-1776883886.220990</t>
  </si>
  <si>
    <t>FlexPBX-1776883795.220982</t>
  </si>
  <si>
    <t>FlexPBX-1776883751.220968</t>
  </si>
  <si>
    <t>FlexPBX-1776883743.220960</t>
  </si>
  <si>
    <t>FlexPBX-1776883588.220946</t>
  </si>
  <si>
    <t>FlexPBX-1776883562.220934</t>
  </si>
  <si>
    <t>FlexPBX-1776883078.220856</t>
  </si>
  <si>
    <t>FlexPBX-1776882844.220834</t>
  </si>
  <si>
    <t>FlexPBX-1776882429.220825</t>
  </si>
  <si>
    <t>FlexPBX-1776882242.220733</t>
  </si>
  <si>
    <t>FlexPBX-1776882209.220715</t>
  </si>
  <si>
    <t>FlexPBX-1776882025.220689</t>
  </si>
  <si>
    <t>FlexPBX-1776881922.220681</t>
  </si>
  <si>
    <t>FlexPBX-1776881837.220636</t>
  </si>
  <si>
    <t>FlexPBX-1776881692.220521</t>
  </si>
  <si>
    <t>FlexPBX-1776881322.220499</t>
  </si>
  <si>
    <t>FlexPBX-1776881312.220487</t>
  </si>
  <si>
    <t>FlexPBX-1776881176.220465</t>
  </si>
  <si>
    <t>FlexPBX-1776881123.220451</t>
  </si>
  <si>
    <t>FlexPBX-1776880703.220425</t>
  </si>
  <si>
    <t>FlexPBX-1776880393.220349</t>
  </si>
  <si>
    <t>FlexPBX-1776880200.220338</t>
  </si>
  <si>
    <t>FlexPBX-1776880012.220286</t>
  </si>
  <si>
    <t>FlexPBX-1776879815.220278</t>
  </si>
  <si>
    <t>FlexPBX-1776878155.220250</t>
  </si>
  <si>
    <t>FlexPBX-1776878115.220242</t>
  </si>
  <si>
    <t>FlexPBX-1776877909.220221</t>
  </si>
  <si>
    <t>FlexPBX-1776877219.220169</t>
  </si>
  <si>
    <t>FlexPBX-1776876917.220133</t>
  </si>
  <si>
    <t>FlexPBX-1776876395.220089</t>
  </si>
  <si>
    <t>FlexPBX-1776876369.220084</t>
  </si>
  <si>
    <t>FlexPBX-1776874145.220065</t>
  </si>
  <si>
    <t>FlexPBX-1776873091.220060</t>
  </si>
  <si>
    <t>FlexPBX-1776872612.220055</t>
  </si>
  <si>
    <t>FlexPBX-1776871586.220027</t>
  </si>
  <si>
    <t>FlexPBX-1776869237.219972</t>
  </si>
  <si>
    <t>FlexPBX-1776868556.219913</t>
  </si>
  <si>
    <t>FlexPBX-1776868482.219862</t>
  </si>
  <si>
    <t>FlexPBX-1776868052.219753</t>
  </si>
  <si>
    <t>FlexPBX-1776867824.219742</t>
  </si>
  <si>
    <t>FlexPBX-1776867756.219737</t>
  </si>
  <si>
    <t>FlexPBX-1776867716.219732</t>
  </si>
  <si>
    <t>FlexPBX-1776867325.219718</t>
  </si>
  <si>
    <t>FlexPBX-1776866860.219666</t>
  </si>
  <si>
    <t>FlexPBX-1776866694.219644</t>
  </si>
  <si>
    <t>FlexPBX-1776866367.219622</t>
  </si>
  <si>
    <t>FlexPBX-1776866181.219522</t>
  </si>
  <si>
    <t>FlexPBX-1776865963.219517</t>
  </si>
  <si>
    <t>FlexPBX-1776865904.219506</t>
  </si>
  <si>
    <t>FlexPBX-1776865862.219501</t>
  </si>
  <si>
    <t>FlexPBX-1776865703.219439</t>
  </si>
  <si>
    <t>FlexPBX-1776865644.219431</t>
  </si>
  <si>
    <t>FlexPBX-1776865598.219423</t>
  </si>
  <si>
    <t>FlexPBX-1776865576.219413</t>
  </si>
  <si>
    <t>FlexPBX-1776865522.219401</t>
  </si>
  <si>
    <t>FlexPBX-1776865481.219393</t>
  </si>
  <si>
    <t>FlexPBX-1776865465.219385</t>
  </si>
  <si>
    <t>FlexPBX-1776865451.219377</t>
  </si>
  <si>
    <t>FlexPBX-1776865345.219369</t>
  </si>
  <si>
    <t>FlexPBX-1776865296.219361</t>
  </si>
  <si>
    <t>FlexPBX-1776865226.219335</t>
  </si>
  <si>
    <t>FlexPBX-1776865210.219327</t>
  </si>
  <si>
    <t>FlexPBX-1776865201.219324</t>
  </si>
  <si>
    <t>FlexPBX-1776865187.219316</t>
  </si>
  <si>
    <t>FlexPBX-1776865022.219308</t>
  </si>
  <si>
    <t>FlexPBX-1776864914.219294</t>
  </si>
  <si>
    <t>FlexPBX-1776863658.219215</t>
  </si>
  <si>
    <t>FlexPBX-1776863157.219201</t>
  </si>
  <si>
    <t>FlexPBX-1776863130.219191</t>
  </si>
  <si>
    <t>FlexPBX-1776863125.219179</t>
  </si>
  <si>
    <t>FlexPBX-1776863119.219171</t>
  </si>
  <si>
    <t>FlexPBX-1776863088.219163</t>
  </si>
  <si>
    <t>FlexPBX-1776863074.219155</t>
  </si>
  <si>
    <t>FlexPBX-1776863045.219147</t>
  </si>
  <si>
    <t>FlexPBX-1776862773.219133</t>
  </si>
  <si>
    <t>FlexPBX-1776862606.219109</t>
  </si>
  <si>
    <t>FlexPBX-1776861518.219034</t>
  </si>
  <si>
    <t>FlexPBX-1776861204.218955</t>
  </si>
  <si>
    <t>FlexPBX-1776860975.218939</t>
  </si>
  <si>
    <t>FlexPBX-1776860736.218893</t>
  </si>
  <si>
    <t>FlexPBX-1776860682.218864</t>
  </si>
  <si>
    <t>FlexPBX-1776859426.218827</t>
  </si>
  <si>
    <t>FlexPBX-1776858998.218777</t>
  </si>
  <si>
    <t>FlexPBX-1776858903.218760</t>
  </si>
  <si>
    <t>FlexPBX-1776858073.218736</t>
  </si>
  <si>
    <t>FlexPBX-1776857861.218720</t>
  </si>
  <si>
    <t>FlexPBX-1776856903.218706</t>
  </si>
  <si>
    <t>FlexPBX-1776856742.218692</t>
  </si>
  <si>
    <t>FlexPBX-1776856211.218687</t>
  </si>
  <si>
    <t>FlexPBX-1776855993.218673</t>
  </si>
  <si>
    <t>FlexPBX-1776718420.218649</t>
  </si>
  <si>
    <t>FlexPBX-1776718045.218536</t>
  </si>
  <si>
    <t>FlexPBX-1776717892.218449</t>
  </si>
  <si>
    <t>FlexPBX-1776717382.218444</t>
  </si>
  <si>
    <t>FlexPBX-1776717318.218424</t>
  </si>
  <si>
    <t>FlexPBX-1776717259.218410</t>
  </si>
  <si>
    <t>FlexPBX-1776717076.218394</t>
  </si>
  <si>
    <t>FlexPBX-1776717070.218382</t>
  </si>
  <si>
    <t>FlexPBX-1776716657.218368</t>
  </si>
  <si>
    <t>FlexPBX-1776716170.218258</t>
  </si>
  <si>
    <t>FlexPBX-1776715761.218232</t>
  </si>
  <si>
    <t>FlexPBX-1776715656.218176</t>
  </si>
  <si>
    <t>FlexPBX-1776715617.218151</t>
  </si>
  <si>
    <t>FlexPBX-1776715560.218102</t>
  </si>
  <si>
    <t>FlexPBX-1776714884.218018</t>
  </si>
  <si>
    <t>FlexPBX-1776714516.217988</t>
  </si>
  <si>
    <t>FlexPBX-1776714099.217939</t>
  </si>
  <si>
    <t>FlexPBX-1776714068.217878</t>
  </si>
  <si>
    <t>FlexPBX-1776714016.217818</t>
  </si>
  <si>
    <t>FlexPBX-1776714006.217815</t>
  </si>
  <si>
    <t>FlexPBX-1776714000.217812</t>
  </si>
  <si>
    <t>FlexPBX-1776713575.217804</t>
  </si>
  <si>
    <t>FlexPBX-1776713571.217796</t>
  </si>
  <si>
    <t>FlexPBX-1776712900.217770</t>
  </si>
  <si>
    <t>FlexPBX-1776712756.217680</t>
  </si>
  <si>
    <t>FlexPBX-1776712653.217670</t>
  </si>
  <si>
    <t>FlexPBX-1776712194.217632</t>
  </si>
  <si>
    <t>FlexPBX-1776712134.217624</t>
  </si>
  <si>
    <t>FlexPBX-1776711995.217616</t>
  </si>
  <si>
    <t>FlexPBX-1776711736.217574</t>
  </si>
  <si>
    <t>FlexPBX-1776711328.217516</t>
  </si>
  <si>
    <t>FlexPBX-1776710885.217490</t>
  </si>
  <si>
    <t>FlexPBX-1776710701.217436</t>
  </si>
  <si>
    <t>FlexPBX-1776710459.217383</t>
  </si>
  <si>
    <t>FlexPBX-1776710038.217363</t>
  </si>
  <si>
    <t>FlexPBX-1776709699.217337</t>
  </si>
  <si>
    <t>FlexPBX-1776709658.217329</t>
  </si>
  <si>
    <t>FlexPBX-1776709568.217315</t>
  </si>
  <si>
    <t>FlexPBX-1776709482.217301</t>
  </si>
  <si>
    <t>FlexPBX-1776709368.217281</t>
  </si>
  <si>
    <t>FlexPBX-1776709302.217266</t>
  </si>
  <si>
    <t>FlexPBX-1776709273.217252</t>
  </si>
  <si>
    <t>FlexPBX-1776709270.217244</t>
  </si>
  <si>
    <t>FlexPBX-1776709192.217230</t>
  </si>
  <si>
    <t>FlexPBX-1776709171.217216</t>
  </si>
  <si>
    <t>FlexPBX-1776708685.217202</t>
  </si>
  <si>
    <t>FlexPBX-1776708478.217129</t>
  </si>
  <si>
    <t>FlexPBX-1776708337.217014</t>
  </si>
  <si>
    <t>FlexPBX-1776707976.216986</t>
  </si>
  <si>
    <t>FlexPBX-1776707323.216940</t>
  </si>
  <si>
    <t>FlexPBX-1776707002.216896</t>
  </si>
  <si>
    <t>FlexPBX-1776706961.216888</t>
  </si>
  <si>
    <t>FlexPBX-1776706837.216842</t>
  </si>
  <si>
    <t>FlexPBX-1776706818.216832</t>
  </si>
  <si>
    <t>FlexPBX-1776706806.216820</t>
  </si>
  <si>
    <t>FlexPBX-1776706804.216815</t>
  </si>
  <si>
    <t>FlexPBX-1776706226.216708</t>
  </si>
  <si>
    <t>FlexPBX-1776706214.216705</t>
  </si>
  <si>
    <t>FlexPBX-1776706135.216700</t>
  </si>
  <si>
    <t>FlexPBX-1776705990.216672</t>
  </si>
  <si>
    <t>FlexPBX-1776705909.216604</t>
  </si>
  <si>
    <t>FlexPBX-1776705721.216590</t>
  </si>
  <si>
    <t>FlexPBX-1776705659.216560</t>
  </si>
  <si>
    <t>FlexPBX-1776705489.216548</t>
  </si>
  <si>
    <t>FlexPBX-1776705314.216503</t>
  </si>
  <si>
    <t>FlexPBX-1776705246.216435</t>
  </si>
  <si>
    <t>FlexPBX-1776705195.216369</t>
  </si>
  <si>
    <t>FlexPBX-1776705070.216274</t>
  </si>
  <si>
    <t>FlexPBX-1776704895.216247</t>
  </si>
  <si>
    <t>FlexPBX-1776704756.216239</t>
  </si>
  <si>
    <t>FlexPBX-1776704245.216089</t>
  </si>
  <si>
    <t>FlexPBX-1776704218.216081</t>
  </si>
  <si>
    <t>FlexPBX-1776704046.216017</t>
  </si>
  <si>
    <t>FlexPBX-1776703566.215905</t>
  </si>
  <si>
    <t>FlexPBX-1776703137.215785</t>
  </si>
  <si>
    <t>FlexPBX-1776702934.215721</t>
  </si>
  <si>
    <t>FlexPBX-1776701708.215716</t>
  </si>
  <si>
    <t>FlexPBX-1776700238.215697</t>
  </si>
  <si>
    <t>FlexPBX-1776697303.215692</t>
  </si>
  <si>
    <t>FlexPBX-1776696601.215665</t>
  </si>
  <si>
    <t>FlexPBX-1776696264.215651</t>
  </si>
  <si>
    <t>FlexPBX-1776696057.215641</t>
  </si>
  <si>
    <t>FlexPBX-1776695621.215617</t>
  </si>
  <si>
    <t>FlexPBX-1776695076.215578</t>
  </si>
  <si>
    <t>FlexPBX-1776695002.215555</t>
  </si>
  <si>
    <t>FlexPBX-1776694490.215527</t>
  </si>
  <si>
    <t>FlexPBX-1776694305.215511</t>
  </si>
  <si>
    <t>FlexPBX-1776694301.215503</t>
  </si>
  <si>
    <t>FlexPBX-1776694194.215491</t>
  </si>
  <si>
    <t>FlexPBX-1776694000.215477</t>
  </si>
  <si>
    <t>FlexPBX-1776693895.215373</t>
  </si>
  <si>
    <t>FlexPBX-1776693720.215363</t>
  </si>
  <si>
    <t>FlexPBX-1776693689.215334</t>
  </si>
  <si>
    <t>FlexPBX-1776693685.215326</t>
  </si>
  <si>
    <t>FlexPBX-1776693582.215218</t>
  </si>
  <si>
    <t>FlexPBX-1776693567.215200</t>
  </si>
  <si>
    <t>FlexPBX-1776693566.215197</t>
  </si>
  <si>
    <t>FlexPBX-1776693193.215113</t>
  </si>
  <si>
    <t>FlexPBX-1776692855.215099</t>
  </si>
  <si>
    <t>FlexPBX-1776691968.215051</t>
  </si>
  <si>
    <t>FlexPBX-1776691175.215032</t>
  </si>
  <si>
    <t>FlexPBX-1776691107.215003</t>
  </si>
  <si>
    <t>FlexPBX-1776691073.214996</t>
  </si>
  <si>
    <t>FlexPBX-1776690804.214963</t>
  </si>
  <si>
    <t>FlexPBX-1776690761.214934</t>
  </si>
  <si>
    <t>FlexPBX-1776690754.214923</t>
  </si>
  <si>
    <t>FlexPBX-1776690741.214913</t>
  </si>
  <si>
    <t>FlexPBX-1776690681.214863</t>
  </si>
  <si>
    <t>FlexPBX-1776690664.214856</t>
  </si>
  <si>
    <t>FlexPBX-1776690572.214840</t>
  </si>
  <si>
    <t>FlexPBX-1776689931.214806</t>
  </si>
  <si>
    <t>FlexPBX-1776689851.214786</t>
  </si>
  <si>
    <t>FlexPBX-1776689408.214772</t>
  </si>
  <si>
    <t>FlexPBX-1776689321.214744</t>
  </si>
  <si>
    <t>FlexPBX-1776689291.214732</t>
  </si>
  <si>
    <t>FlexPBX-1776689275.214724</t>
  </si>
  <si>
    <t>FlexPBX-1776689260.214720</t>
  </si>
  <si>
    <t>FlexPBX-1776689216.214710</t>
  </si>
  <si>
    <t>FlexPBX-1776689208.214698</t>
  </si>
  <si>
    <t>FlexPBX-1776689200.214694</t>
  </si>
  <si>
    <t>FlexPBX-1776689116.214680</t>
  </si>
  <si>
    <t>FlexPBX-1776689110.214668</t>
  </si>
  <si>
    <t>FlexPBX-1776689107.214660</t>
  </si>
  <si>
    <t>FlexPBX-1776689103.214652</t>
  </si>
  <si>
    <t>FlexPBX-1776688356.214638</t>
  </si>
  <si>
    <t>FlexPBX-1776688345.214630</t>
  </si>
  <si>
    <t>FlexPBX-1776688325.214622</t>
  </si>
  <si>
    <t>FlexPBX-1776688296.214614</t>
  </si>
  <si>
    <t>FlexPBX-1776688087.214488</t>
  </si>
  <si>
    <t>FlexPBX-1776688074.214485</t>
  </si>
  <si>
    <t>FlexPBX-1776687909.214461</t>
  </si>
  <si>
    <t>FlexPBX-1776687570.214435</t>
  </si>
  <si>
    <t>FlexPBX-1776687337.214368</t>
  </si>
  <si>
    <t>FlexPBX-1776687320.214350</t>
  </si>
  <si>
    <t>FlexPBX-1776687290.214339</t>
  </si>
  <si>
    <t>FlexPBX-1776687094.214315</t>
  </si>
  <si>
    <t>FlexPBX-1776685881.214301</t>
  </si>
  <si>
    <t>FlexPBX-1776685099.214269</t>
  </si>
  <si>
    <t>FlexPBX-1776685044.214233</t>
  </si>
  <si>
    <t>FlexPBX-1776683616.214219</t>
  </si>
  <si>
    <t>FlexPBX-1776683356.214205</t>
  </si>
  <si>
    <t>Sem interação</t>
  </si>
  <si>
    <t xml:space="preserve">1 - Marcos machado contabilidade, impressão de relatório de faturamento, normal </t>
  </si>
  <si>
    <t>2 - Claudio Guimaraes, ajuste folha sindicato</t>
  </si>
  <si>
    <t>1003 - Pamela</t>
  </si>
  <si>
    <t>FlexPBX-1780154142.308536</t>
  </si>
  <si>
    <t>FlexPBX-1780142920.308531</t>
  </si>
  <si>
    <t>FlexPBX-1780087753.308477</t>
  </si>
  <si>
    <t>FlexPBX-1780086763.308401</t>
  </si>
  <si>
    <t>FlexPBX-1780085780.308295</t>
  </si>
  <si>
    <t>FlexPBX-1780084645.308260</t>
  </si>
  <si>
    <t>FlexPBX-1780084107.308240</t>
  </si>
  <si>
    <t>FlexPBX-1780083002.308198</t>
  </si>
  <si>
    <t>FlexPBX-1780082886.308129</t>
  </si>
  <si>
    <t>FlexPBX-1780082429.308087</t>
  </si>
  <si>
    <t>FlexPBX-1780082400.308078</t>
  </si>
  <si>
    <t>FlexPBX-1780082043.308073</t>
  </si>
  <si>
    <t>FlexPBX-1780081976.308045</t>
  </si>
  <si>
    <t>FlexPBX-1780081640.307947</t>
  </si>
  <si>
    <t>FlexPBX-1780078028.307921</t>
  </si>
  <si>
    <t>FlexPBX-1780078012.307913</t>
  </si>
  <si>
    <t>FlexPBX-1780077552.307883</t>
  </si>
  <si>
    <t>FlexPBX-1780075334.307835</t>
  </si>
  <si>
    <t>FlexPBX-1780075232.307827</t>
  </si>
  <si>
    <t>FlexPBX-1780074813.307799</t>
  </si>
  <si>
    <t>FlexPBX-1780074356.307785</t>
  </si>
  <si>
    <t>FlexPBX-1780073888.307765</t>
  </si>
  <si>
    <t>FlexPBX-1780073485.307709</t>
  </si>
  <si>
    <t>FlexPBX-1780073343.307683</t>
  </si>
  <si>
    <t>FlexPBX-1780072935.307597</t>
  </si>
  <si>
    <t>FlexPBX-1780072385.307553</t>
  </si>
  <si>
    <t>FlexPBX-1780066674.307532</t>
  </si>
  <si>
    <t>FlexPBX-1780066353.307527</t>
  </si>
  <si>
    <t>FlexPBX-1780066155.307489</t>
  </si>
  <si>
    <t>FlexPBX-1780065953.307436</t>
  </si>
  <si>
    <t>FlexPBX-1780065403.307402</t>
  </si>
  <si>
    <t>FlexPBX-1780065327.307394</t>
  </si>
  <si>
    <t>FlexPBX-1780064273.307346</t>
  </si>
  <si>
    <t>FlexPBX-1780064231.307338</t>
  </si>
  <si>
    <t>FlexPBX-1780064207.307324</t>
  </si>
  <si>
    <t>FlexPBX-1780064151.307310</t>
  </si>
  <si>
    <t>FlexPBX-1780064113.307290</t>
  </si>
  <si>
    <t>FlexPBX-1780063837.307189</t>
  </si>
  <si>
    <t>FlexPBX-1780063831.307186</t>
  </si>
  <si>
    <t>FlexPBX-1780063474.307134</t>
  </si>
  <si>
    <t>FlexPBX-1780063120.307126</t>
  </si>
  <si>
    <t>FlexPBX-1780062057.307102</t>
  </si>
  <si>
    <t>FlexPBX-1780061640.307056</t>
  </si>
  <si>
    <t>FlexPBX-1780061199.306968</t>
  </si>
  <si>
    <t>FlexPBX-1780060641.306945</t>
  </si>
  <si>
    <t>FlexPBX-1780059846.306925</t>
  </si>
  <si>
    <t>FlexPBX-1780058604.306873</t>
  </si>
  <si>
    <t>FlexPBX-1780058196.306839</t>
  </si>
  <si>
    <t>FlexPBX-1780057839.306805</t>
  </si>
  <si>
    <t>FlexPBX-1780056787.306785</t>
  </si>
  <si>
    <t>FlexPBX-1780056243.306759</t>
  </si>
  <si>
    <t>FlexPBX-1780055541.306701</t>
  </si>
  <si>
    <t>FlexPBX-1780009071.306696</t>
  </si>
  <si>
    <t>FlexPBX-1779999919.306682</t>
  </si>
  <si>
    <t>FlexPBX-1779998848.306660</t>
  </si>
  <si>
    <t>FlexPBX-1779998329.306616</t>
  </si>
  <si>
    <t>FlexPBX-1779997915.306611</t>
  </si>
  <si>
    <t>FlexPBX-1779997222.306555</t>
  </si>
  <si>
    <t>FlexPBX-1779997034.306512</t>
  </si>
  <si>
    <t>FlexPBX-1779996188.306498</t>
  </si>
  <si>
    <t>FlexPBX-1779996181.306486</t>
  </si>
  <si>
    <t>FlexPBX-1779995875.306450</t>
  </si>
  <si>
    <t>FlexPBX-1779995162.306378</t>
  </si>
  <si>
    <t>FlexPBX-1779995159.306375</t>
  </si>
  <si>
    <t>FlexPBX-1779993918.306361</t>
  </si>
  <si>
    <t>FlexPBX-1779993422.306298</t>
  </si>
  <si>
    <t>FlexPBX-1779993359.306293</t>
  </si>
  <si>
    <t>FlexPBX-1779992304.306262</t>
  </si>
  <si>
    <t>FlexPBX-1779992282.306257</t>
  </si>
  <si>
    <t>FlexPBX-1779990228.306205</t>
  </si>
  <si>
    <t>FlexPBX-1779990165.306188</t>
  </si>
  <si>
    <t>FlexPBX-1779989760.306151</t>
  </si>
  <si>
    <t>FlexPBX-1779989581.306087</t>
  </si>
  <si>
    <t>FlexPBX-1779989453.306060</t>
  </si>
  <si>
    <t>FlexPBX-1779989361.306052</t>
  </si>
  <si>
    <t>FlexPBX-1779988651.305991</t>
  </si>
  <si>
    <t>FlexPBX-1779988578.305949</t>
  </si>
  <si>
    <t>FlexPBX-1779988322.305938</t>
  </si>
  <si>
    <t>FlexPBX-1779988059.305902</t>
  </si>
  <si>
    <t>FlexPBX-1779987940.305879</t>
  </si>
  <si>
    <t>FlexPBX-1779987709.305839</t>
  </si>
  <si>
    <t>FlexPBX-1779987696.305836</t>
  </si>
  <si>
    <t>FlexPBX-1779986854.305764</t>
  </si>
  <si>
    <t>FlexPBX-1779986466.305727</t>
  </si>
  <si>
    <t>FlexPBX-1779986160.305694</t>
  </si>
  <si>
    <t>FlexPBX-1779985908.305575</t>
  </si>
  <si>
    <t>FlexPBX-1779985517.305570</t>
  </si>
  <si>
    <t>FlexPBX-1779984898.305561</t>
  </si>
  <si>
    <t>FlexPBX-1779978799.305532</t>
  </si>
  <si>
    <t>FlexPBX-1779978451.305521</t>
  </si>
  <si>
    <t>FlexPBX-1779978203.305502</t>
  </si>
  <si>
    <t>FlexPBX-1779977837.305407</t>
  </si>
  <si>
    <t>FlexPBX-1779977180.305337</t>
  </si>
  <si>
    <t>FlexPBX-1779977001.305325</t>
  </si>
  <si>
    <t>FlexPBX-1779976801.305311</t>
  </si>
  <si>
    <t>FlexPBX-1779976757.305299</t>
  </si>
  <si>
    <t>FlexPBX-1779976628.305271</t>
  </si>
  <si>
    <t>FlexPBX-1779976492.305201</t>
  </si>
  <si>
    <t>FlexPBX-1779976054.305178</t>
  </si>
  <si>
    <t>FlexPBX-1779975814.305081</t>
  </si>
  <si>
    <t>FlexPBX-1779975794.305070</t>
  </si>
  <si>
    <t>FlexPBX-1779975398.305036</t>
  </si>
  <si>
    <t>FlexPBX-1779975277.304945</t>
  </si>
  <si>
    <t>FlexPBX-1779974340.304898</t>
  </si>
  <si>
    <t>FlexPBX-1779974248.304890</t>
  </si>
  <si>
    <t>FlexPBX-1779974070.304882</t>
  </si>
  <si>
    <t>FlexPBX-1779973784.304830</t>
  </si>
  <si>
    <t>FlexPBX-1779973690.304814</t>
  </si>
  <si>
    <t>FlexPBX-1779973682.304806</t>
  </si>
  <si>
    <t>FlexPBX-1779973672.304798</t>
  </si>
  <si>
    <t>FlexPBX-1779973667.304790</t>
  </si>
  <si>
    <t>FlexPBX-1779973006.304767</t>
  </si>
  <si>
    <t>FlexPBX-1779972829.304739</t>
  </si>
  <si>
    <t>FlexPBX-1779972231.304554</t>
  </si>
  <si>
    <t>FlexPBX-1779970771.304506</t>
  </si>
  <si>
    <t>FlexPBX-1779970658.304486</t>
  </si>
  <si>
    <t>FlexPBX-1779970432.304453</t>
  </si>
  <si>
    <t>FlexPBX-1779970348.304434</t>
  </si>
  <si>
    <t>FlexPBX-1779969982.304391</t>
  </si>
  <si>
    <t>FlexPBX-1779969981.304388</t>
  </si>
  <si>
    <t>FlexPBX-1779969444.304368</t>
  </si>
  <si>
    <t>FlexPBX-1779969268.304349</t>
  </si>
  <si>
    <t>FlexPBX-1779968392.304316</t>
  </si>
  <si>
    <t>FlexPBX-1779968364.304302</t>
  </si>
  <si>
    <t>FlexPBX-1779968337.304290</t>
  </si>
  <si>
    <t>FlexPBX-1779968288.304269</t>
  </si>
  <si>
    <t>FlexPBX-1779968189.304246</t>
  </si>
  <si>
    <t>FlexPBX-1779967918.304220</t>
  </si>
  <si>
    <t>FlexPBX-1779967465.304206</t>
  </si>
  <si>
    <t>FlexPBX-1779966261.304195</t>
  </si>
  <si>
    <t>FlexPBX-1779966169.304187</t>
  </si>
  <si>
    <t>FlexPBX-1779913901.304052</t>
  </si>
  <si>
    <t>FlexPBX-1779913711.304030</t>
  </si>
  <si>
    <t>FlexPBX-1779913157.304016</t>
  </si>
  <si>
    <t>FlexPBX-1779912725.303979</t>
  </si>
  <si>
    <t>FlexPBX-1779912635.303944</t>
  </si>
  <si>
    <t>FlexPBX-1779912624.303929</t>
  </si>
  <si>
    <t>FlexPBX-1779912612.303924</t>
  </si>
  <si>
    <t>FlexPBX-1779912575.303903</t>
  </si>
  <si>
    <t>FlexPBX-1779911935.303889</t>
  </si>
  <si>
    <t>FlexPBX-1779911202.303869</t>
  </si>
  <si>
    <t>FlexPBX-1779910341.303839</t>
  </si>
  <si>
    <t>FlexPBX-1779910177.303818</t>
  </si>
  <si>
    <t>FlexPBX-1779910156.303809</t>
  </si>
  <si>
    <t>FlexPBX-1779909956.303767</t>
  </si>
  <si>
    <t>FlexPBX-1779909829.303696</t>
  </si>
  <si>
    <t>FlexPBX-1779909510.303675</t>
  </si>
  <si>
    <t>FlexPBX-1779908740.303608</t>
  </si>
  <si>
    <t>FlexPBX-1779908597.303600</t>
  </si>
  <si>
    <t>FlexPBX-1779908592.303592</t>
  </si>
  <si>
    <t>FlexPBX-1779908589.303584</t>
  </si>
  <si>
    <t>FlexPBX-1779908140.303544</t>
  </si>
  <si>
    <t>FlexPBX-1779907715.303505</t>
  </si>
  <si>
    <t>FlexPBX-1779907188.303473</t>
  </si>
  <si>
    <t>FlexPBX-1779907016.303402</t>
  </si>
  <si>
    <t>FlexPBX-1779906370.303371</t>
  </si>
  <si>
    <t>FlexPBX-1779904903.303338</t>
  </si>
  <si>
    <t>FlexPBX-1779902235.303303</t>
  </si>
  <si>
    <t>FlexPBX-1779902207.303277</t>
  </si>
  <si>
    <t>FlexPBX-1779902055.303272</t>
  </si>
  <si>
    <t>FlexPBX-1779901179.303250</t>
  </si>
  <si>
    <t>FlexPBX-1779901165.303234</t>
  </si>
  <si>
    <t>FlexPBX-1779901143.303231</t>
  </si>
  <si>
    <t>FlexPBX-1779900443.303181</t>
  </si>
  <si>
    <t>FlexPBX-1779900310.303167</t>
  </si>
  <si>
    <t>FlexPBX-1779900092.303135</t>
  </si>
  <si>
    <t>FlexPBX-1779899893.303122</t>
  </si>
  <si>
    <t>FlexPBX-1779899656.303101</t>
  </si>
  <si>
    <t>FlexPBX-1779899556.303046</t>
  </si>
  <si>
    <t>FlexPBX-1779899187.303031</t>
  </si>
  <si>
    <t>FlexPBX-1779899171.303028</t>
  </si>
  <si>
    <t>FlexPBX-1779899084.303023</t>
  </si>
  <si>
    <t>FlexPBX-1779899041.303018</t>
  </si>
  <si>
    <t>FlexPBX-1779892695.302993</t>
  </si>
  <si>
    <t>FlexPBX-1779892508.302977</t>
  </si>
  <si>
    <t>FlexPBX-1779891286.302898</t>
  </si>
  <si>
    <t>FlexPBX-1779890024.302812</t>
  </si>
  <si>
    <t>FlexPBX-1779889860.302761</t>
  </si>
  <si>
    <t>FlexPBX-1779889246.302753</t>
  </si>
  <si>
    <t>FlexPBX-1779889165.302745</t>
  </si>
  <si>
    <t>FlexPBX-1779889063.302706</t>
  </si>
  <si>
    <t>FlexPBX-1779888099.302666</t>
  </si>
  <si>
    <t>FlexPBX-1779888045.302646</t>
  </si>
  <si>
    <t>FlexPBX-1779887071.302593</t>
  </si>
  <si>
    <t>FlexPBX-1779886813.302585</t>
  </si>
  <si>
    <t>FlexPBX-1779885793.302563</t>
  </si>
  <si>
    <t>FlexPBX-1779885067.302514</t>
  </si>
  <si>
    <t>FlexPBX-1779884830.302500</t>
  </si>
  <si>
    <t>FlexPBX-1779884709.302492</t>
  </si>
  <si>
    <t>FlexPBX-1779884318.302467</t>
  </si>
  <si>
    <t>FlexPBX-1779883744.302433</t>
  </si>
  <si>
    <t>FlexPBX-1779882877.302419</t>
  </si>
  <si>
    <t>FlexPBX-1779881873.302341</t>
  </si>
  <si>
    <t>FlexPBX-1779881645.302327</t>
  </si>
  <si>
    <t>FlexPBX-1779881441.302296</t>
  </si>
  <si>
    <t>FlexPBX-1779880355.302288</t>
  </si>
  <si>
    <t>FlexPBX-1779880337.302280</t>
  </si>
  <si>
    <t>FlexPBX-1779880282.302272</t>
  </si>
  <si>
    <t>FlexPBX-1779879949.302261</t>
  </si>
  <si>
    <t>FlexPBX-1779879848.302253</t>
  </si>
  <si>
    <t>FlexPBX-1779827568.302131</t>
  </si>
  <si>
    <t>FlexPBX-1779826857.302073</t>
  </si>
  <si>
    <t>FlexPBX-1779825435.302059</t>
  </si>
  <si>
    <t>FlexPBX-1779823811.302001</t>
  </si>
  <si>
    <t>FlexPBX-1779823668.301993</t>
  </si>
  <si>
    <t>FlexPBX-1779823638.301985</t>
  </si>
  <si>
    <t>FlexPBX-1779823522.301977</t>
  </si>
  <si>
    <t>FlexPBX-1779822867.301963</t>
  </si>
  <si>
    <t>FlexPBX-1779822844.301938</t>
  </si>
  <si>
    <t>FlexPBX-1779822830.301935</t>
  </si>
  <si>
    <t>FlexPBX-1779822806.301927</t>
  </si>
  <si>
    <t>FlexPBX-1779822536.301913</t>
  </si>
  <si>
    <t>FlexPBX-1779822533.301905</t>
  </si>
  <si>
    <t>FlexPBX-1779822524.301897</t>
  </si>
  <si>
    <t>FlexPBX-1779821937.301892</t>
  </si>
  <si>
    <t>FlexPBX-1779821703.301876</t>
  </si>
  <si>
    <t>FlexPBX-1779821608.301853</t>
  </si>
  <si>
    <t>FlexPBX-1779821411.301839</t>
  </si>
  <si>
    <t>FlexPBX-1779821309.301825</t>
  </si>
  <si>
    <t>FlexPBX-1779821243.301807</t>
  </si>
  <si>
    <t>FlexPBX-1779821203.301799</t>
  </si>
  <si>
    <t>FlexPBX-1779821134.301787</t>
  </si>
  <si>
    <t>FlexPBX-1779821125.301779</t>
  </si>
  <si>
    <t>FlexPBX-1779821120.301771</t>
  </si>
  <si>
    <t>FlexPBX-1779821081.301763</t>
  </si>
  <si>
    <t>FlexPBX-1779821077.301755</t>
  </si>
  <si>
    <t>FlexPBX-1779821072.301747</t>
  </si>
  <si>
    <t>FlexPBX-1779821065.301739</t>
  </si>
  <si>
    <t>FlexPBX-1779821055.301731</t>
  </si>
  <si>
    <t>FlexPBX-1779821044.301723</t>
  </si>
  <si>
    <t>FlexPBX-1779821022.301715</t>
  </si>
  <si>
    <t>FlexPBX-1779821016.301707</t>
  </si>
  <si>
    <t>FlexPBX-1779820815.301687</t>
  </si>
  <si>
    <t>FlexPBX-1779820809.301679</t>
  </si>
  <si>
    <t>FlexPBX-1779819602.301546</t>
  </si>
  <si>
    <t>FlexPBX-1779819553.301523</t>
  </si>
  <si>
    <t>FlexPBX-1779819437.301515</t>
  </si>
  <si>
    <t>FlexPBX-1779818903.301423</t>
  </si>
  <si>
    <t>FlexPBX-1779818810.301371</t>
  </si>
  <si>
    <t>FlexPBX-1779817233.301343</t>
  </si>
  <si>
    <t>FlexPBX-1779817113.301273</t>
  </si>
  <si>
    <t>FlexPBX-1779817105.301265</t>
  </si>
  <si>
    <t>FlexPBX-1779816539.301244</t>
  </si>
  <si>
    <t>FlexPBX-1779815250.301196</t>
  </si>
  <si>
    <t>FlexPBX-1779815243.301188</t>
  </si>
  <si>
    <t>FlexPBX-1779815215.301180</t>
  </si>
  <si>
    <t>FlexPBX-1779815205.301172</t>
  </si>
  <si>
    <t>FlexPBX-1779815101.301130</t>
  </si>
  <si>
    <t>FlexPBX-1779814857.301100</t>
  </si>
  <si>
    <t>FlexPBX-1779814478.301074</t>
  </si>
  <si>
    <t>FlexPBX-1779814277.301069</t>
  </si>
  <si>
    <t>FlexPBX-1779813913.301037</t>
  </si>
  <si>
    <t>FlexPBX-1779813516.300997</t>
  </si>
  <si>
    <t>FlexPBX-1779813435.300962</t>
  </si>
  <si>
    <t>FlexPBX-1779813037.300939</t>
  </si>
  <si>
    <t>FlexPBX-1779806780.300855</t>
  </si>
  <si>
    <t>FlexPBX-1779806545.300797</t>
  </si>
  <si>
    <t>FlexPBX-1779806527.300794</t>
  </si>
  <si>
    <t>FlexPBX-1779805237.300711</t>
  </si>
  <si>
    <t>FlexPBX-1779805158.300647</t>
  </si>
  <si>
    <t>FlexPBX-1779805155.300644</t>
  </si>
  <si>
    <t>FlexPBX-1779804375.300502</t>
  </si>
  <si>
    <t>FlexPBX-1779803761.300453</t>
  </si>
  <si>
    <t>FlexPBX-1779802865.300383</t>
  </si>
  <si>
    <t>FlexPBX-1779802699.300316</t>
  </si>
  <si>
    <t>FlexPBX-1779802573.300215</t>
  </si>
  <si>
    <t>FlexPBX-1779802511.300194</t>
  </si>
  <si>
    <t>FlexPBX-1779802352.300078</t>
  </si>
  <si>
    <t>FlexPBX-1779800504.300029</t>
  </si>
  <si>
    <t>FlexPBX-1779800371.299978</t>
  </si>
  <si>
    <t>FlexPBX-1779799997.299945</t>
  </si>
  <si>
    <t>FlexPBX-1779799440.299890</t>
  </si>
  <si>
    <t>FlexPBX-1779799362.299878</t>
  </si>
  <si>
    <t>FlexPBX-1779799240.299855</t>
  </si>
  <si>
    <t>FlexPBX-1779798846.299813</t>
  </si>
  <si>
    <t>FlexPBX-1779798793.299788</t>
  </si>
  <si>
    <t>FlexPBX-1779798732.299765</t>
  </si>
  <si>
    <t>FlexPBX-1779798668.299732</t>
  </si>
  <si>
    <t>FlexPBX-1779798643.299724</t>
  </si>
  <si>
    <t>FlexPBX-1779798130.299701</t>
  </si>
  <si>
    <t>FlexPBX-1779795573.299626</t>
  </si>
  <si>
    <t>FlexPBX-1779795219.299591</t>
  </si>
  <si>
    <t>FlexPBX-1779795132.299563</t>
  </si>
  <si>
    <t>FlexPBX-1779795073.299555</t>
  </si>
  <si>
    <t>FlexPBX-1779794719.299550</t>
  </si>
  <si>
    <t>FlexPBX-1779793440.299536</t>
  </si>
  <si>
    <t>FlexPBX-1779793303.299531</t>
  </si>
  <si>
    <t>FlexPBX-1779740383.299386</t>
  </si>
  <si>
    <t>FlexPBX-1779739622.299354</t>
  </si>
  <si>
    <t>FlexPBX-1779739527.299338</t>
  </si>
  <si>
    <t>FlexPBX-1779738783.299269</t>
  </si>
  <si>
    <t>FlexPBX-1779738753.299247</t>
  </si>
  <si>
    <t>FlexPBX-1779738715.299240</t>
  </si>
  <si>
    <t>FlexPBX-1779738627.299209</t>
  </si>
  <si>
    <t>FlexPBX-1779738113.299118</t>
  </si>
  <si>
    <t>FlexPBX-1779737505.299074</t>
  </si>
  <si>
    <t>FlexPBX-1779737140.298955</t>
  </si>
  <si>
    <t>FlexPBX-1779737122.298950</t>
  </si>
  <si>
    <t>FlexPBX-1779736343.298914</t>
  </si>
  <si>
    <t>FlexPBX-1779736128.298803</t>
  </si>
  <si>
    <t>FlexPBX-1779736064.298770</t>
  </si>
  <si>
    <t>FlexPBX-1779735788.298759</t>
  </si>
  <si>
    <t>FlexPBX-1779734942.298725</t>
  </si>
  <si>
    <t>FlexPBX-1779734426.298701</t>
  </si>
  <si>
    <t>FlexPBX-1779734341.298673</t>
  </si>
  <si>
    <t>FlexPBX-1779733972.298659</t>
  </si>
  <si>
    <t>FlexPBX-1779733831.298645</t>
  </si>
  <si>
    <t>FlexPBX-1779733720.298640</t>
  </si>
  <si>
    <t>FlexPBX-1779733661.298624</t>
  </si>
  <si>
    <t>FlexPBX-1779733477.298592</t>
  </si>
  <si>
    <t>FlexPBX-1779733206.298545</t>
  </si>
  <si>
    <t>FlexPBX-1779733179.298526</t>
  </si>
  <si>
    <t>FlexPBX-1779733175.298522</t>
  </si>
  <si>
    <t>FlexPBX-1779732810.298477</t>
  </si>
  <si>
    <t>FlexPBX-1779731730.298441</t>
  </si>
  <si>
    <t>FlexPBX-1779731518.298421</t>
  </si>
  <si>
    <t>FlexPBX-1779731418.298390</t>
  </si>
  <si>
    <t>FlexPBX-1779730072.298306</t>
  </si>
  <si>
    <t>FlexPBX-1779729883.298235</t>
  </si>
  <si>
    <t>FlexPBX-1779729859.298209</t>
  </si>
  <si>
    <t>FlexPBX-1779729783.298158</t>
  </si>
  <si>
    <t>FlexPBX-1779729331.298109</t>
  </si>
  <si>
    <t>FlexPBX-1779728875.298080</t>
  </si>
  <si>
    <t>FlexPBX-1779728689.298059</t>
  </si>
  <si>
    <t>FlexPBX-1779728294.298004</t>
  </si>
  <si>
    <t>FlexPBX-1779727326.297970</t>
  </si>
  <si>
    <t>FlexPBX-1779726999.297962</t>
  </si>
  <si>
    <t>FlexPBX-1779726257.297948</t>
  </si>
  <si>
    <t>FlexPBX-1779726226.297940</t>
  </si>
  <si>
    <t>FlexPBX-1779720510.297926</t>
  </si>
  <si>
    <t>FlexPBX-1779720327.297904</t>
  </si>
  <si>
    <t>FlexPBX-1779720048.297890</t>
  </si>
  <si>
    <t>FlexPBX-1779719969.297857</t>
  </si>
  <si>
    <t>FlexPBX-1779719955.297850</t>
  </si>
  <si>
    <t>FlexPBX-1779719929.297842</t>
  </si>
  <si>
    <t>FlexPBX-1779719713.297812</t>
  </si>
  <si>
    <t>FlexPBX-1779719688.297792</t>
  </si>
  <si>
    <t>FlexPBX-1779719197.297784</t>
  </si>
  <si>
    <t>FlexPBX-1779719048.297776</t>
  </si>
  <si>
    <t>FlexPBX-1779719033.297766</t>
  </si>
  <si>
    <t>FlexPBX-1779719026.297758</t>
  </si>
  <si>
    <t>FlexPBX-1779719019.297746</t>
  </si>
  <si>
    <t>FlexPBX-1779718745.297724</t>
  </si>
  <si>
    <t>FlexPBX-1779718736.297721</t>
  </si>
  <si>
    <t>FlexPBX-1779718574.297713</t>
  </si>
  <si>
    <t>FlexPBX-1779718551.297705</t>
  </si>
  <si>
    <t>FlexPBX-1779718535.297697</t>
  </si>
  <si>
    <t>FlexPBX-1779718518.297689</t>
  </si>
  <si>
    <t>FlexPBX-1779718492.297681</t>
  </si>
  <si>
    <t>FlexPBX-1779718490.297673</t>
  </si>
  <si>
    <t>FlexPBX-1779718486.297665</t>
  </si>
  <si>
    <t>FlexPBX-1779717667.297609</t>
  </si>
  <si>
    <t>FlexPBX-1779717639.297593</t>
  </si>
  <si>
    <t>FlexPBX-1779717637.297590</t>
  </si>
  <si>
    <t>FlexPBX-1779717566.297582</t>
  </si>
  <si>
    <t>FlexPBX-1779717509.297568</t>
  </si>
  <si>
    <t>FlexPBX-1779717475.297560</t>
  </si>
  <si>
    <t>FlexPBX-1779717423.297552</t>
  </si>
  <si>
    <t>FlexPBX-1779717391.297544</t>
  </si>
  <si>
    <t>FlexPBX-1779717378.297536</t>
  </si>
  <si>
    <t>FlexPBX-1779717369.297528</t>
  </si>
  <si>
    <t>FlexPBX-1779717176.297520</t>
  </si>
  <si>
    <t>FlexPBX-1779717170.297512</t>
  </si>
  <si>
    <t>FlexPBX-1779717151.297504</t>
  </si>
  <si>
    <t>FlexPBX-1779716523.297478</t>
  </si>
  <si>
    <t>FlexPBX-1779716089.297458</t>
  </si>
  <si>
    <t>FlexPBX-1779715652.297428</t>
  </si>
  <si>
    <t>FlexPBX-1779715526.297412</t>
  </si>
  <si>
    <t>FlexPBX-1779715508.297404</t>
  </si>
  <si>
    <t>FlexPBX-1779715455.297384</t>
  </si>
  <si>
    <t>FlexPBX-1779714744.297362</t>
  </si>
  <si>
    <t>FlexPBX-1779712529.297310</t>
  </si>
  <si>
    <t>FlexPBX-1779712057.297284</t>
  </si>
  <si>
    <t>FlexPBX-1779711887.297264</t>
  </si>
  <si>
    <t>FlexPBX-1779711217.297251</t>
  </si>
  <si>
    <t>FlexPBX-1779710141.297217</t>
  </si>
  <si>
    <t>FlexPBX-1779709853.297176</t>
  </si>
  <si>
    <t>FlexPBX-1779709814.297168</t>
  </si>
  <si>
    <t>FlexPBX-1779709696.297152</t>
  </si>
  <si>
    <t>FlexPBX-1779709267.297125</t>
  </si>
  <si>
    <t>FlexPBX-1779709131.297102</t>
  </si>
  <si>
    <t>FlexPBX-1779708824.297076</t>
  </si>
  <si>
    <t>FlexPBX-1779708803.297068</t>
  </si>
  <si>
    <t>FlexPBX-1779708641.297036</t>
  </si>
  <si>
    <t>FlexPBX-1779708591.297018</t>
  </si>
  <si>
    <t>FlexPBX-1779707979.297013</t>
  </si>
  <si>
    <t>FlexPBX-1779707819.297003</t>
  </si>
  <si>
    <t>FlexPBX-1779707810.296995</t>
  </si>
  <si>
    <t>FlexPBX-1779707621.296981</t>
  </si>
  <si>
    <t>FlexPBX-1779707615.296969</t>
  </si>
  <si>
    <t>FlexPBX-1779569572.296950</t>
  </si>
  <si>
    <t>FlexPBX-1779537557.296917</t>
  </si>
  <si>
    <t>FlexPBX-1779537457.296912</t>
  </si>
  <si>
    <t>FlexPBX-1779534451.296907</t>
  </si>
  <si>
    <t>FlexPBX-1779490014.296846</t>
  </si>
  <si>
    <t>FlexPBX-1779484739.296841</t>
  </si>
  <si>
    <t>FlexPBX-1779481207.296813</t>
  </si>
  <si>
    <t>FlexPBX-1779480557.296803</t>
  </si>
  <si>
    <t>FlexPBX-1779480550.296791</t>
  </si>
  <si>
    <t>FlexPBX-1779480021.296766</t>
  </si>
  <si>
    <t>FlexPBX-1779479918.296758</t>
  </si>
  <si>
    <t>FlexPBX-1779479846.296746</t>
  </si>
  <si>
    <t>FlexPBX-1779479836.296742</t>
  </si>
  <si>
    <t>FlexPBX-1779479763.296728</t>
  </si>
  <si>
    <t>FlexPBX-1779479519.296676</t>
  </si>
  <si>
    <t>FlexPBX-1779479407.296662</t>
  </si>
  <si>
    <t>FlexPBX-1779479333.296642</t>
  </si>
  <si>
    <t>FlexPBX-1779479282.296628</t>
  </si>
  <si>
    <t>FlexPBX-1779479195.296614</t>
  </si>
  <si>
    <t>FlexPBX-1779478832.296580</t>
  </si>
  <si>
    <t>FlexPBX-1779478771.296568</t>
  </si>
  <si>
    <t>FlexPBX-1779478671.296546</t>
  </si>
  <si>
    <t>FlexPBX-1779478378.296530</t>
  </si>
  <si>
    <t>FlexPBX-1779478375.296527</t>
  </si>
  <si>
    <t>FlexPBX-1779478200.296504</t>
  </si>
  <si>
    <t>FlexPBX-1779477963.296472</t>
  </si>
  <si>
    <t>FlexPBX-1779477804.296400</t>
  </si>
  <si>
    <t>FlexPBX-1779477771.296385</t>
  </si>
  <si>
    <t>FlexPBX-1779477737.296380</t>
  </si>
  <si>
    <t>FlexPBX-1779477629.296360</t>
  </si>
  <si>
    <t>FlexPBX-1779477353.296324</t>
  </si>
  <si>
    <t>FlexPBX-1779477257.296316</t>
  </si>
  <si>
    <t>FlexPBX-1779477191.296302</t>
  </si>
  <si>
    <t>FlexPBX-1779477008.296239</t>
  </si>
  <si>
    <t>FlexPBX-1779476979.296232</t>
  </si>
  <si>
    <t>FlexPBX-1779476870.296219</t>
  </si>
  <si>
    <t>FlexPBX-1779476774.296211</t>
  </si>
  <si>
    <t>FlexPBX-1779476720.296203</t>
  </si>
  <si>
    <t>FlexPBX-1779476368.296105</t>
  </si>
  <si>
    <t>FlexPBX-1779476338.296091</t>
  </si>
  <si>
    <t>FlexPBX-1779476033.296067</t>
  </si>
  <si>
    <t>FlexPBX-1779475513.295946</t>
  </si>
  <si>
    <t>FlexPBX-1779475443.295911</t>
  </si>
  <si>
    <t>FlexPBX-1779475385.295894</t>
  </si>
  <si>
    <t>FlexPBX-1779475259.295884</t>
  </si>
  <si>
    <t>FlexPBX-1779475049.295866</t>
  </si>
  <si>
    <t>FlexPBX-1779474893.295838</t>
  </si>
  <si>
    <t>FlexPBX-1779474815.295830</t>
  </si>
  <si>
    <t>FlexPBX-1779474769.295816</t>
  </si>
  <si>
    <t>FlexPBX-1779474708.295788</t>
  </si>
  <si>
    <t>FlexPBX-1779474650.295783</t>
  </si>
  <si>
    <t>FlexPBX-1779474542.295780</t>
  </si>
  <si>
    <t>FlexPBX-1779474413.295767</t>
  </si>
  <si>
    <t>FlexPBX-1779474184.295734</t>
  </si>
  <si>
    <t>FlexPBX-1779473927.295687</t>
  </si>
  <si>
    <t>FlexPBX-1779473658.295665</t>
  </si>
  <si>
    <t>FlexPBX-1779473360.295636</t>
  </si>
  <si>
    <t>FlexPBX-1779473322.295628</t>
  </si>
  <si>
    <t>FlexPBX-1779473281.295600</t>
  </si>
  <si>
    <t>FlexPBX-1779473211.295586</t>
  </si>
  <si>
    <t>FlexPBX-1779472989.295543</t>
  </si>
  <si>
    <t>FlexPBX-1779472321.295529</t>
  </si>
  <si>
    <t>FlexPBX-1779471173.295495</t>
  </si>
  <si>
    <t>FlexPBX-1779470025.295441</t>
  </si>
  <si>
    <t>FlexPBX-1779469598.295395</t>
  </si>
  <si>
    <t>FlexPBX-1779468324.295231</t>
  </si>
  <si>
    <t>FlexPBX-1779467825.295186</t>
  </si>
  <si>
    <t>FlexPBX-1779465918.295181</t>
  </si>
  <si>
    <t>FlexPBX-1779461530.295133</t>
  </si>
  <si>
    <t>FlexPBX-1779460932.295097</t>
  </si>
  <si>
    <t>FlexPBX-1779460872.295064</t>
  </si>
  <si>
    <t>FlexPBX-1779459430.295031</t>
  </si>
  <si>
    <t>FlexPBX-1779459290.295018</t>
  </si>
  <si>
    <t>FlexPBX-1779458783.294995</t>
  </si>
  <si>
    <t>FlexPBX-1779458340.294971</t>
  </si>
  <si>
    <t>FlexPBX-1779458217.294894</t>
  </si>
  <si>
    <t>FlexPBX-1779457768.294886</t>
  </si>
  <si>
    <t>FlexPBX-1779457452.294872</t>
  </si>
  <si>
    <t>FlexPBX-1779456534.294830</t>
  </si>
  <si>
    <t>FlexPBX-1779456021.294788</t>
  </si>
  <si>
    <t>FlexPBX-1779455895.294771</t>
  </si>
  <si>
    <t>FlexPBX-1779454884.294742</t>
  </si>
  <si>
    <t>FlexPBX-1779454798.294724</t>
  </si>
  <si>
    <t>FlexPBX-1779454761.294716</t>
  </si>
  <si>
    <t>FlexPBX-1779454618.294657</t>
  </si>
  <si>
    <t>FlexPBX-1779454612.294639</t>
  </si>
  <si>
    <t>FlexPBX-1779454581.294619</t>
  </si>
  <si>
    <t>FlexPBX-1779454573.294611</t>
  </si>
  <si>
    <t>FlexPBX-1779454563.294608</t>
  </si>
  <si>
    <t>FlexPBX-1779454332.294547</t>
  </si>
  <si>
    <t>FlexPBX-1779454223.294498</t>
  </si>
  <si>
    <t>FlexPBX-1779454218.294488</t>
  </si>
  <si>
    <t>FlexPBX-1779454205.294485</t>
  </si>
  <si>
    <t>FlexPBX-1779454201.294475</t>
  </si>
  <si>
    <t>FlexPBX-1779454177.294468</t>
  </si>
  <si>
    <t>FlexPBX-1779454141.294458</t>
  </si>
  <si>
    <t>FlexPBX-1779454138.294450</t>
  </si>
  <si>
    <t>FlexPBX-1779454132.294438</t>
  </si>
  <si>
    <t>FlexPBX-1779454114.294428</t>
  </si>
  <si>
    <t>FlexPBX-1779454111.294420</t>
  </si>
  <si>
    <t>FlexPBX-1779454107.294412</t>
  </si>
  <si>
    <t>FlexPBX-1779454093.294400</t>
  </si>
  <si>
    <t>FlexPBX-1779453941.294363</t>
  </si>
  <si>
    <t>FlexPBX-1779453907.294352</t>
  </si>
  <si>
    <t>FlexPBX-1779453629.294330</t>
  </si>
  <si>
    <t>FlexPBX-1779453527.294270</t>
  </si>
  <si>
    <t>FlexPBX-1779453311.294230</t>
  </si>
  <si>
    <t>FlexPBX-1779453292.294225</t>
  </si>
  <si>
    <t>FlexPBX-1779453280.294222</t>
  </si>
  <si>
    <t>FlexPBX-1779452964.294186</t>
  </si>
  <si>
    <t>FlexPBX-1779452365.294172</t>
  </si>
  <si>
    <t>FlexPBX-1779452083.294156</t>
  </si>
  <si>
    <t>FlexPBX-1779451768.294140</t>
  </si>
  <si>
    <t>FlexPBX-1779451666.294122</t>
  </si>
  <si>
    <t>FlexPBX-1779451617.294112</t>
  </si>
  <si>
    <t>FlexPBX-1779451603.294100</t>
  </si>
  <si>
    <t>FlexPBX-1779451387.294086</t>
  </si>
  <si>
    <t>FlexPBX-1779451254.294072</t>
  </si>
  <si>
    <t>FlexPBX-1779450871.294058</t>
  </si>
  <si>
    <t>FlexPBX-1779450823.294050</t>
  </si>
  <si>
    <t>FlexPBX-1779450579.294038</t>
  </si>
  <si>
    <t>FlexPBX-1779450007.294016</t>
  </si>
  <si>
    <t>FlexPBX-1779449637.293976</t>
  </si>
  <si>
    <t>FlexPBX-1779449543.293968</t>
  </si>
  <si>
    <t>FlexPBX-1779449449.293949</t>
  </si>
  <si>
    <t>FlexPBX-1779448944.293935</t>
  </si>
  <si>
    <t>FlexPBX-1779447541.293921</t>
  </si>
  <si>
    <t>FlexPBX-1779396542.293891</t>
  </si>
  <si>
    <t>FlexPBX-1779396459.293879</t>
  </si>
  <si>
    <t>FlexPBX-1779396024.293871</t>
  </si>
  <si>
    <t>FlexPBX-1779395944.293863</t>
  </si>
  <si>
    <t>FlexPBX-1779395901.293855</t>
  </si>
  <si>
    <t>FlexPBX-1779395628.293841</t>
  </si>
  <si>
    <t>FlexPBX-1779395588.293833</t>
  </si>
  <si>
    <t>FlexPBX-1779395405.293825</t>
  </si>
  <si>
    <t>FlexPBX-1779395386.293811</t>
  </si>
  <si>
    <t>FlexPBX-1779394381.293789</t>
  </si>
  <si>
    <t>FlexPBX-1779394317.293769</t>
  </si>
  <si>
    <t>FlexPBX-1779394261.293755</t>
  </si>
  <si>
    <t>FlexPBX-1779394066.293730</t>
  </si>
  <si>
    <t>FlexPBX-1779393922.293633</t>
  </si>
  <si>
    <t>FlexPBX-1779393428.293582</t>
  </si>
  <si>
    <t>FlexPBX-1779392823.293531</t>
  </si>
  <si>
    <t>FlexPBX-1779391678.293463</t>
  </si>
  <si>
    <t>FlexPBX-1779391669.293460</t>
  </si>
  <si>
    <t>FlexPBX-1779391542.293452</t>
  </si>
  <si>
    <t>FlexPBX-1779391332.293426</t>
  </si>
  <si>
    <t>FlexPBX-1779390903.293395</t>
  </si>
  <si>
    <t>FlexPBX-1779390856.293377</t>
  </si>
  <si>
    <t>FlexPBX-1779390853.293374</t>
  </si>
  <si>
    <t>FlexPBX-1779389618.293348</t>
  </si>
  <si>
    <t>FlexPBX-1779389566.293328</t>
  </si>
  <si>
    <t>FlexPBX-1779389395.293309</t>
  </si>
  <si>
    <t>FlexPBX-1779389289.293282</t>
  </si>
  <si>
    <t>FlexPBX-1779388960.293265</t>
  </si>
  <si>
    <t>FlexPBX-1779388779.293182</t>
  </si>
  <si>
    <t>FlexPBX-1779388165.293148</t>
  </si>
  <si>
    <t>FlexPBX-1779387620.293127</t>
  </si>
  <si>
    <t>FlexPBX-1779387581.293112</t>
  </si>
  <si>
    <t>FlexPBX-1779386560.293042</t>
  </si>
  <si>
    <t>FlexPBX-1779386319.292987</t>
  </si>
  <si>
    <t>FlexPBX-1779386200.292970</t>
  </si>
  <si>
    <t>FlexPBX-1779384909.292942</t>
  </si>
  <si>
    <t>FlexPBX-1779384862.292925</t>
  </si>
  <si>
    <t>FlexPBX-1779384744.292896</t>
  </si>
  <si>
    <t>FlexPBX-1779384365.292844</t>
  </si>
  <si>
    <t>FlexPBX-1779384328.292827</t>
  </si>
  <si>
    <t>FlexPBX-1779384324.292824</t>
  </si>
  <si>
    <t>FlexPBX-1779383604.292743</t>
  </si>
  <si>
    <t>FlexPBX-1779383154.292701</t>
  </si>
  <si>
    <t>FlexPBX-1779383097.292686</t>
  </si>
  <si>
    <t>FlexPBX-1779382817.292670</t>
  </si>
  <si>
    <t>FlexPBX-1779382624.292649</t>
  </si>
  <si>
    <t>FlexPBX-1779382410.292626</t>
  </si>
  <si>
    <t>FlexPBX-1779381798.292603</t>
  </si>
  <si>
    <t>FlexPBX-1779381413.292565</t>
  </si>
  <si>
    <t>FlexPBX-1779381048.292474</t>
  </si>
  <si>
    <t>FlexPBX-1779380726.292469</t>
  </si>
  <si>
    <t>FlexPBX-1779380359.292464</t>
  </si>
  <si>
    <t>FlexPBX-1779380202.292459</t>
  </si>
  <si>
    <t>FlexPBX-1779375708.292454</t>
  </si>
  <si>
    <t>FlexPBX-1779373745.292416</t>
  </si>
  <si>
    <t>FlexPBX-1779373177.292373</t>
  </si>
  <si>
    <t>FlexPBX-1779372888.292359</t>
  </si>
  <si>
    <t>FlexPBX-1779371995.292315</t>
  </si>
  <si>
    <t>FlexPBX-1779371928.292292</t>
  </si>
  <si>
    <t>FlexPBX-1779371831.292278</t>
  </si>
  <si>
    <t>FlexPBX-1779371744.292270</t>
  </si>
  <si>
    <t>FlexPBX-1779371088.292250</t>
  </si>
  <si>
    <t>FlexPBX-1779370919.292233</t>
  </si>
  <si>
    <t>FlexPBX-1779370844.292202</t>
  </si>
  <si>
    <t>FlexPBX-1779370374.292154</t>
  </si>
  <si>
    <t>FlexPBX-1779370342.292150</t>
  </si>
  <si>
    <t>FlexPBX-1779370329.292142</t>
  </si>
  <si>
    <t>FlexPBX-1779370240.292130</t>
  </si>
  <si>
    <t>FlexPBX-1779370107.292111</t>
  </si>
  <si>
    <t>FlexPBX-1779369848.292089</t>
  </si>
  <si>
    <t>FlexPBX-1779369255.292075</t>
  </si>
  <si>
    <t>FlexPBX-1779369185.292047</t>
  </si>
  <si>
    <t>FlexPBX-1779369074.292033</t>
  </si>
  <si>
    <t>FlexPBX-1779369059.292025</t>
  </si>
  <si>
    <t>FlexPBX-1779368850.292017</t>
  </si>
  <si>
    <t>FlexPBX-1779367299.291984</t>
  </si>
  <si>
    <t>FlexPBX-1779367166.291974</t>
  </si>
  <si>
    <t>FlexPBX-1779367161.291962</t>
  </si>
  <si>
    <t>FlexPBX-1779367068.291905</t>
  </si>
  <si>
    <t>FlexPBX-1779366917.291880</t>
  </si>
  <si>
    <t>FlexPBX-1779366648.291866</t>
  </si>
  <si>
    <t>FlexPBX-1779366443.291852</t>
  </si>
  <si>
    <t>FlexPBX-1779365731.291838</t>
  </si>
  <si>
    <t>FlexPBX-1779365684.291828</t>
  </si>
  <si>
    <t>FlexPBX-1779365679.291816</t>
  </si>
  <si>
    <t>FlexPBX-1779365673.291808</t>
  </si>
  <si>
    <t>FlexPBX-1779364830.291763</t>
  </si>
  <si>
    <t>FlexPBX-1779364617.291755</t>
  </si>
  <si>
    <t>FlexPBX-1779364366.291742</t>
  </si>
  <si>
    <t>FlexPBX-1779364234.291706</t>
  </si>
  <si>
    <t>FlexPBX-1779363875.291688</t>
  </si>
  <si>
    <t>FlexPBX-1779363248.291648</t>
  </si>
  <si>
    <t>FlexPBX-1779363147.291625</t>
  </si>
  <si>
    <t>FlexPBX-1779363128.291612</t>
  </si>
  <si>
    <t>FlexPBX-1779363093.291593</t>
  </si>
  <si>
    <t>FlexPBX-1779363007.291556</t>
  </si>
  <si>
    <t>FlexPBX-1779362878.291545</t>
  </si>
  <si>
    <t>FlexPBX-1779362479.291532</t>
  </si>
  <si>
    <t>FlexPBX-1779310789.291499</t>
  </si>
  <si>
    <t>FlexPBX-1779310751.291477</t>
  </si>
  <si>
    <t>FlexPBX-1779310097.291469</t>
  </si>
  <si>
    <t>FlexPBX-1779309833.291455</t>
  </si>
  <si>
    <t>FlexPBX-1779309752.291447</t>
  </si>
  <si>
    <t>FlexPBX-1779308862.291433</t>
  </si>
  <si>
    <t>FlexPBX-1779308053.291395</t>
  </si>
  <si>
    <t>FlexPBX-1779307766.291383</t>
  </si>
  <si>
    <t>FlexPBX-1779307357.291352</t>
  </si>
  <si>
    <t>FlexPBX-1779307035.291330</t>
  </si>
  <si>
    <t>FlexPBX-1779306751.291302</t>
  </si>
  <si>
    <t>FlexPBX-1779306437.291260</t>
  </si>
  <si>
    <t>FlexPBX-1779304760.291244</t>
  </si>
  <si>
    <t>FlexPBX-1779304556.291225</t>
  </si>
  <si>
    <t>FlexPBX-1779304508.291211</t>
  </si>
  <si>
    <t>FlexPBX-1779304021.291172</t>
  </si>
  <si>
    <t>FlexPBX-1779303627.291126</t>
  </si>
  <si>
    <t>FlexPBX-1779303584.291110</t>
  </si>
  <si>
    <t>FlexPBX-1779303502.291087</t>
  </si>
  <si>
    <t>FlexPBX-1779303231.291074</t>
  </si>
  <si>
    <t>FlexPBX-1779303135.291060</t>
  </si>
  <si>
    <t>FlexPBX-1779302838.291055</t>
  </si>
  <si>
    <t>FlexPBX-1779302505.291035</t>
  </si>
  <si>
    <t>FlexPBX-1779302139.291004</t>
  </si>
  <si>
    <t>FlexPBX-1779301929.290973</t>
  </si>
  <si>
    <t>FlexPBX-1779301834.290965</t>
  </si>
  <si>
    <t>FlexPBX-1779301811.290951</t>
  </si>
  <si>
    <t>FlexPBX-1779301776.290939</t>
  </si>
  <si>
    <t>FlexPBX-1779301766.290931</t>
  </si>
  <si>
    <t>FlexPBX-1779301716.290917</t>
  </si>
  <si>
    <t>FlexPBX-1779301625.290909</t>
  </si>
  <si>
    <t>FlexPBX-1779301551.290895</t>
  </si>
  <si>
    <t>FlexPBX-1779301470.290855</t>
  </si>
  <si>
    <t>FlexPBX-1779301442.290829</t>
  </si>
  <si>
    <t>FlexPBX-1779301426.290820</t>
  </si>
  <si>
    <t>FlexPBX-1779301317.290806</t>
  </si>
  <si>
    <t>FlexPBX-1779301302.290798</t>
  </si>
  <si>
    <t>FlexPBX-1779301282.290790</t>
  </si>
  <si>
    <t>FlexPBX-1779301271.290782</t>
  </si>
  <si>
    <t>FlexPBX-1779301215.290760</t>
  </si>
  <si>
    <t>FlexPBX-1779301179.290742</t>
  </si>
  <si>
    <t>FlexPBX-1779301106.290730</t>
  </si>
  <si>
    <t>FlexPBX-1779301088.290720</t>
  </si>
  <si>
    <t>FlexPBX-1779301063.290706</t>
  </si>
  <si>
    <t>FlexPBX-1779301019.290694</t>
  </si>
  <si>
    <t>FlexPBX-1779301006.290686</t>
  </si>
  <si>
    <t>FlexPBX-1779300995.290678</t>
  </si>
  <si>
    <t>FlexPBX-1779300937.290650</t>
  </si>
  <si>
    <t>FlexPBX-1779300866.290636</t>
  </si>
  <si>
    <t>FlexPBX-1779300804.290618</t>
  </si>
  <si>
    <t>FlexPBX-1779300791.290610</t>
  </si>
  <si>
    <t>FlexPBX-1779300614.290602</t>
  </si>
  <si>
    <t>FlexPBX-1779300536.290584</t>
  </si>
  <si>
    <t>FlexPBX-1779299452.290546</t>
  </si>
  <si>
    <t>FlexPBX-1779299236.290528</t>
  </si>
  <si>
    <t>FlexPBX-1779298713.290506</t>
  </si>
  <si>
    <t>FlexPBX-1779298528.290461</t>
  </si>
  <si>
    <t>FlexPBX-1779298406.290408</t>
  </si>
  <si>
    <t>FlexPBX-1779298130.290386</t>
  </si>
  <si>
    <t>FlexPBX-1779297345.290351</t>
  </si>
  <si>
    <t>FlexPBX-1779297337.290348</t>
  </si>
  <si>
    <t>FlexPBX-1779297244.290297</t>
  </si>
  <si>
    <t>FlexPBX-1779297212.290280</t>
  </si>
  <si>
    <t>FlexPBX-1779297119.290245</t>
  </si>
  <si>
    <t>FlexPBX-1779296907.290184</t>
  </si>
  <si>
    <t>FlexPBX-1779296297.290093</t>
  </si>
  <si>
    <t>FlexPBX-1779296261.290086</t>
  </si>
  <si>
    <t>FlexPBX-1779295304.290066</t>
  </si>
  <si>
    <t>FlexPBX-1779295256.290058</t>
  </si>
  <si>
    <t>FlexPBX-1779295219.290050</t>
  </si>
  <si>
    <t>FlexPBX-1779295091.290035</t>
  </si>
  <si>
    <t>FlexPBX-1779294879.289992</t>
  </si>
  <si>
    <t>FlexPBX-1779294861.289988</t>
  </si>
  <si>
    <t>FlexPBX-1779294795.289972</t>
  </si>
  <si>
    <t>FlexPBX-1779294761.289960</t>
  </si>
  <si>
    <t>FlexPBX-1779294514.289955</t>
  </si>
  <si>
    <t>FlexPBX-1779289717.289880</t>
  </si>
  <si>
    <t>FlexPBX-1779288772.289841</t>
  </si>
  <si>
    <t>FlexPBX-1779288223.289778</t>
  </si>
  <si>
    <t>FlexPBX-1779287972.289685</t>
  </si>
  <si>
    <t>FlexPBX-1779285868.289622</t>
  </si>
  <si>
    <t>FlexPBX-1779285069.289572</t>
  </si>
  <si>
    <t>FlexPBX-1779284996.289557</t>
  </si>
  <si>
    <t>FlexPBX-1779284895.289518</t>
  </si>
  <si>
    <t>FlexPBX-1779284241.289476</t>
  </si>
  <si>
    <t>FlexPBX-1779284127.289471</t>
  </si>
  <si>
    <t>FlexPBX-1779283940.289450</t>
  </si>
  <si>
    <t>FlexPBX-1779283908.289434</t>
  </si>
  <si>
    <t>FlexPBX-1779283119.289410</t>
  </si>
  <si>
    <t>FlexPBX-1779282760.289372</t>
  </si>
  <si>
    <t>FlexPBX-1779282759.289368</t>
  </si>
  <si>
    <t>FlexPBX-1779282721.289359</t>
  </si>
  <si>
    <t>FlexPBX-1779282678.289344</t>
  </si>
  <si>
    <t>FlexPBX-1779282643.289336</t>
  </si>
  <si>
    <t>FlexPBX-1779282406.289283</t>
  </si>
  <si>
    <t>FlexPBX-1779282379.289280</t>
  </si>
  <si>
    <t>FlexPBX-1779282201.289256</t>
  </si>
  <si>
    <t>FlexPBX-1779282177.289252</t>
  </si>
  <si>
    <t>FlexPBX-1779281911.289238</t>
  </si>
  <si>
    <t>FlexPBX-1779281843.289224</t>
  </si>
  <si>
    <t>FlexPBX-1779281604.289200</t>
  </si>
  <si>
    <t>FlexPBX-1779281604.289204</t>
  </si>
  <si>
    <t>FlexPBX-1779281574.289188</t>
  </si>
  <si>
    <t>FlexPBX-1779281185.289147</t>
  </si>
  <si>
    <t>FlexPBX-1779281153.289140</t>
  </si>
  <si>
    <t>FlexPBX-1779281042.289128</t>
  </si>
  <si>
    <t>FlexPBX-1779280948.289088</t>
  </si>
  <si>
    <t>FlexPBX-1779280239.289058</t>
  </si>
  <si>
    <t>FlexPBX-1779279827.289039</t>
  </si>
  <si>
    <t>FlexPBX-1779279741.289006</t>
  </si>
  <si>
    <t>FlexPBX-1779279507.288964</t>
  </si>
  <si>
    <t>FlexPBX-1779279431.288948</t>
  </si>
  <si>
    <t>FlexPBX-1779279170.288925</t>
  </si>
  <si>
    <t>FlexPBX-1779279152.288915</t>
  </si>
  <si>
    <t>FlexPBX-1779278929.288903</t>
  </si>
  <si>
    <t>FlexPBX-1779277796.288852</t>
  </si>
  <si>
    <t>FlexPBX-1779277640.288787</t>
  </si>
  <si>
    <t>FlexPBX-1779277479.288692</t>
  </si>
  <si>
    <t>FlexPBX-1779276886.288624</t>
  </si>
  <si>
    <t>FlexPBX-1779276881.288621</t>
  </si>
  <si>
    <t>FlexPBX-1779276819.288616</t>
  </si>
  <si>
    <t>FlexPBX-1779276736.288606</t>
  </si>
  <si>
    <t>FlexPBX-1779276730.288594</t>
  </si>
  <si>
    <t>FlexPBX-1779276618.288580</t>
  </si>
  <si>
    <t>FlexPBX-1779276593.288566</t>
  </si>
  <si>
    <t>FlexPBX-1779276588.288562</t>
  </si>
  <si>
    <t>FlexPBX-1779276242.288557</t>
  </si>
  <si>
    <t>FlexPBX-1779223411.288462</t>
  </si>
  <si>
    <t>FlexPBX-1779223402.288459</t>
  </si>
  <si>
    <t>FlexPBX-1779223342.288451</t>
  </si>
  <si>
    <t>FlexPBX-1779222849.288240</t>
  </si>
  <si>
    <t>FlexPBX-1779222693.288232</t>
  </si>
  <si>
    <t>FlexPBX-1779222621.288224</t>
  </si>
  <si>
    <t>FlexPBX-1779222485.288216</t>
  </si>
  <si>
    <t>FlexPBX-1779221498.288096</t>
  </si>
  <si>
    <t>FlexPBX-1779221306.288056</t>
  </si>
  <si>
    <t>FlexPBX-1779220323.288040</t>
  </si>
  <si>
    <t>FlexPBX-1779220283.288020</t>
  </si>
  <si>
    <t>FlexPBX-1779220049.287939</t>
  </si>
  <si>
    <t>FlexPBX-1779219950.287882</t>
  </si>
  <si>
    <t>FlexPBX-1779219505.287860</t>
  </si>
  <si>
    <t>FlexPBX-1779219457.287842</t>
  </si>
  <si>
    <t>FlexPBX-1779219428.287832</t>
  </si>
  <si>
    <t>FlexPBX-1779219041.287771</t>
  </si>
  <si>
    <t>FlexPBX-1779218498.287694</t>
  </si>
  <si>
    <t>FlexPBX-1779218482.287687</t>
  </si>
  <si>
    <t>FlexPBX-1779218178.287555</t>
  </si>
  <si>
    <t>FlexPBX-1779217626.287533</t>
  </si>
  <si>
    <t>FlexPBX-1779217356.287521</t>
  </si>
  <si>
    <t>FlexPBX-1779216960.287491</t>
  </si>
  <si>
    <t>FlexPBX-1779216944.287482</t>
  </si>
  <si>
    <t>FlexPBX-1779216831.287454</t>
  </si>
  <si>
    <t>FlexPBX-1779216635.287431</t>
  </si>
  <si>
    <t>FlexPBX-1779216380.287410</t>
  </si>
  <si>
    <t>FlexPBX-1779216368.287396</t>
  </si>
  <si>
    <t>FlexPBX-1779216335.287380</t>
  </si>
  <si>
    <t>FlexPBX-1779216105.287295</t>
  </si>
  <si>
    <t>FlexPBX-1779215968.287267</t>
  </si>
  <si>
    <t>FlexPBX-1779215762.287243</t>
  </si>
  <si>
    <t>FlexPBX-1779215574.287235</t>
  </si>
  <si>
    <t>FlexPBX-1779215343.287200</t>
  </si>
  <si>
    <t>FlexPBX-1779215261.287176</t>
  </si>
  <si>
    <t>FlexPBX-1779215172.287153</t>
  </si>
  <si>
    <t>FlexPBX-1779215165.287149</t>
  </si>
  <si>
    <t>FlexPBX-1779215127.287141</t>
  </si>
  <si>
    <t>FlexPBX-1779215109.287127</t>
  </si>
  <si>
    <t>FlexPBX-1779215102.287119</t>
  </si>
  <si>
    <t>FlexPBX-1779215026.287092</t>
  </si>
  <si>
    <t>FlexPBX-1779214979.287055</t>
  </si>
  <si>
    <t>FlexPBX-1779214883.287028</t>
  </si>
  <si>
    <t>FlexPBX-1779214488.287003</t>
  </si>
  <si>
    <t>FlexPBX-1779214294.286975</t>
  </si>
  <si>
    <t>FlexPBX-1779214043.286956</t>
  </si>
  <si>
    <t>FlexPBX-1779213903.286925</t>
  </si>
  <si>
    <t>FlexPBX-1779213371.286899</t>
  </si>
  <si>
    <t>FlexPBX-1779213363.286885</t>
  </si>
  <si>
    <t>FlexPBX-1779213297.286852</t>
  </si>
  <si>
    <t>FlexPBX-1779213294.286849</t>
  </si>
  <si>
    <t>FlexPBX-1779213257.286835</t>
  </si>
  <si>
    <t>FlexPBX-1779213194.286812</t>
  </si>
  <si>
    <t>FlexPBX-1779213133.286796</t>
  </si>
  <si>
    <t>FlexPBX-1779213048.286782</t>
  </si>
  <si>
    <t>FlexPBX-1779213043.286770</t>
  </si>
  <si>
    <t>FlexPBX-1779212927.286756</t>
  </si>
  <si>
    <t>FlexPBX-1779212907.286740</t>
  </si>
  <si>
    <t>FlexPBX-1779212902.286728</t>
  </si>
  <si>
    <t>FlexPBX-1779212782.286684</t>
  </si>
  <si>
    <t>FlexPBX-1779212553.286618</t>
  </si>
  <si>
    <t>FlexPBX-1779212538.286605</t>
  </si>
  <si>
    <t>FlexPBX-1779212537.286601</t>
  </si>
  <si>
    <t>FlexPBX-1779212494.286592</t>
  </si>
  <si>
    <t>FlexPBX-1779212440.286576</t>
  </si>
  <si>
    <t>FlexPBX-1779212435.286564</t>
  </si>
  <si>
    <t>FlexPBX-1779212194.286514</t>
  </si>
  <si>
    <t>FlexPBX-1779212178.286505</t>
  </si>
  <si>
    <t>FlexPBX-1779212173.286502</t>
  </si>
  <si>
    <t>FlexPBX-1779212152.286490</t>
  </si>
  <si>
    <t>FlexPBX-1779212134.286478</t>
  </si>
  <si>
    <t>FlexPBX-1779212127.286470</t>
  </si>
  <si>
    <t>FlexPBX-1779212108.286458</t>
  </si>
  <si>
    <t>FlexPBX-1779211984.286413</t>
  </si>
  <si>
    <t>FlexPBX-1779211857.286366</t>
  </si>
  <si>
    <t>FlexPBX-1779211853.286363</t>
  </si>
  <si>
    <t>FlexPBX-1779211625.286297</t>
  </si>
  <si>
    <t>FlexPBX-1779211611.286294</t>
  </si>
  <si>
    <t>FlexPBX-1779211466.286276</t>
  </si>
  <si>
    <t>FlexPBX-1779211420.286267</t>
  </si>
  <si>
    <t>FlexPBX-1779211346.286258</t>
  </si>
  <si>
    <t>FlexPBX-1779211282.286240</t>
  </si>
  <si>
    <t>FlexPBX-1779211155.286197</t>
  </si>
  <si>
    <t>FlexPBX-1779211127.286190</t>
  </si>
  <si>
    <t>FlexPBX-1779211071.286171</t>
  </si>
  <si>
    <t>FlexPBX-1779210771.286122</t>
  </si>
  <si>
    <t>FlexPBX-1779210583.286085</t>
  </si>
  <si>
    <t>FlexPBX-1779210434.286068</t>
  </si>
  <si>
    <t>FlexPBX-1779210411.286060</t>
  </si>
  <si>
    <t>FlexPBX-1779210371.286052</t>
  </si>
  <si>
    <t>FlexPBX-1779209997.286012</t>
  </si>
  <si>
    <t>FlexPBX-1779209901.285966</t>
  </si>
  <si>
    <t>FlexPBX-1779209809.285924</t>
  </si>
  <si>
    <t>FlexPBX-1779209733.285853</t>
  </si>
  <si>
    <t>FlexPBX-1779209728.285848</t>
  </si>
  <si>
    <t>FlexPBX-1779209624.285791</t>
  </si>
  <si>
    <t>FlexPBX-1779209548.285783</t>
  </si>
  <si>
    <t>FlexPBX-1779209504.285761</t>
  </si>
  <si>
    <t>FlexPBX-1779209187.285731</t>
  </si>
  <si>
    <t>FlexPBX-1779209030.285715</t>
  </si>
  <si>
    <t>FlexPBX-1779208603.285707</t>
  </si>
  <si>
    <t>FlexPBX-1779208581.285683</t>
  </si>
  <si>
    <t>FlexPBX-1779208491.285630</t>
  </si>
  <si>
    <t>FlexPBX-1779208246.285597</t>
  </si>
  <si>
    <t>FlexPBX-1779207394.285592</t>
  </si>
  <si>
    <t>FlexPBX-1779202175.285490</t>
  </si>
  <si>
    <t>FlexPBX-1779202101.285451</t>
  </si>
  <si>
    <t>FlexPBX-1779201816.285428</t>
  </si>
  <si>
    <t>FlexPBX-1779201574.285414</t>
  </si>
  <si>
    <t>FlexPBX-1779201491.285400</t>
  </si>
  <si>
    <t>FlexPBX-1779201377.285386</t>
  </si>
  <si>
    <t>FlexPBX-1779201016.285370</t>
  </si>
  <si>
    <t>FlexPBX-1779200962.285325</t>
  </si>
  <si>
    <t>FlexPBX-1779200949.285311</t>
  </si>
  <si>
    <t>FlexPBX-1779200945.285308</t>
  </si>
  <si>
    <t>FlexPBX-1779200907.285301</t>
  </si>
  <si>
    <t>FlexPBX-1779200846.285288</t>
  </si>
  <si>
    <t>FlexPBX-1779200763.285274</t>
  </si>
  <si>
    <t>FlexPBX-1779200572.285260</t>
  </si>
  <si>
    <t>FlexPBX-1779200402.285240</t>
  </si>
  <si>
    <t>FlexPBX-1779200227.285214</t>
  </si>
  <si>
    <t>FlexPBX-1779200140.285198</t>
  </si>
  <si>
    <t>FlexPBX-1779200090.285193</t>
  </si>
  <si>
    <t>FlexPBX-1779199939.285188</t>
  </si>
  <si>
    <t>FlexPBX-1779199721.285180</t>
  </si>
  <si>
    <t>FlexPBX-1779199705.285166</t>
  </si>
  <si>
    <t>FlexPBX-1779199556.285146</t>
  </si>
  <si>
    <t>FlexPBX-1779199437.285132</t>
  </si>
  <si>
    <t>FlexPBX-1779199367.285103</t>
  </si>
  <si>
    <t>FlexPBX-1779199048.285087</t>
  </si>
  <si>
    <t>FlexPBX-1779198769.285066</t>
  </si>
  <si>
    <t>FlexPBX-1779198460.285044</t>
  </si>
  <si>
    <t>FlexPBX-1779198452.285036</t>
  </si>
  <si>
    <t>FlexPBX-1779198181.285018</t>
  </si>
  <si>
    <t>FlexPBX-1779198174.285014</t>
  </si>
  <si>
    <t>FlexPBX-1779198125.284982</t>
  </si>
  <si>
    <t>FlexPBX-1779198083.284975</t>
  </si>
  <si>
    <t>FlexPBX-1779197750.284948</t>
  </si>
  <si>
    <t>FlexPBX-1779197581.284936</t>
  </si>
  <si>
    <t>FlexPBX-1779197535.284918</t>
  </si>
  <si>
    <t>FlexPBX-1779197529.284915</t>
  </si>
  <si>
    <t>FlexPBX-1779197489.284902</t>
  </si>
  <si>
    <t>FlexPBX-1779197195.284871</t>
  </si>
  <si>
    <t>FlexPBX-1779196737.284854</t>
  </si>
  <si>
    <t>FlexPBX-1779195960.284815</t>
  </si>
  <si>
    <t>FlexPBX-1779195955.284807</t>
  </si>
  <si>
    <t>FlexPBX-1779195895.284784</t>
  </si>
  <si>
    <t>FlexPBX-1779195882.284781</t>
  </si>
  <si>
    <t>FlexPBX-1779195824.284759</t>
  </si>
  <si>
    <t>FlexPBX-1779195677.284721</t>
  </si>
  <si>
    <t>FlexPBX-1779195536.284664</t>
  </si>
  <si>
    <t>FlexPBX-1779195513.284650</t>
  </si>
  <si>
    <t>FlexPBX-1779195482.284638</t>
  </si>
  <si>
    <t>FlexPBX-1779195272.284507</t>
  </si>
  <si>
    <t>FlexPBX-1779195257.284504</t>
  </si>
  <si>
    <t>FlexPBX-1779194944.284417</t>
  </si>
  <si>
    <t>FlexPBX-1779194684.284401</t>
  </si>
  <si>
    <t>FlexPBX-1779194672.284393</t>
  </si>
  <si>
    <t>FlexPBX-1779193703.284373</t>
  </si>
  <si>
    <t>FlexPBX-1779193698.284365</t>
  </si>
  <si>
    <t>FlexPBX-1779193669.284360</t>
  </si>
  <si>
    <t>FlexPBX-1779193532.284325</t>
  </si>
  <si>
    <t>FlexPBX-1779193522.284321</t>
  </si>
  <si>
    <t>FlexPBX-1779193157.284290</t>
  </si>
  <si>
    <t>FlexPBX-1779192855.284268</t>
  </si>
  <si>
    <t>FlexPBX-1779192171.284227</t>
  </si>
  <si>
    <t>FlexPBX-1779192151.284212</t>
  </si>
  <si>
    <t>FlexPBX-1779192139.284204</t>
  </si>
  <si>
    <t>FlexPBX-1779191426.284184</t>
  </si>
  <si>
    <t>FlexPBX-1779190712.284156</t>
  </si>
  <si>
    <t>FlexPBX-1779190375.284095</t>
  </si>
  <si>
    <t>FlexPBX-1779190348.284092</t>
  </si>
  <si>
    <t>FlexPBX-1779189974.284087</t>
  </si>
  <si>
    <t>FlexPBX-1779189790.284082</t>
  </si>
  <si>
    <t>FlexPBX-1779189572.284074</t>
  </si>
  <si>
    <t>FlexPBX-1779188756.284060</t>
  </si>
  <si>
    <t>FlexPBX-1779137359.284046</t>
  </si>
  <si>
    <t>FlexPBX-1779137271.284015</t>
  </si>
  <si>
    <t>FlexPBX-1779137254.284008</t>
  </si>
  <si>
    <t>FlexPBX-1779136715.283990</t>
  </si>
  <si>
    <t>FlexPBX-1779136485.283941</t>
  </si>
  <si>
    <t>FlexPBX-1779136477.283934</t>
  </si>
  <si>
    <t>FlexPBX-1779136476.283926</t>
  </si>
  <si>
    <t>FlexPBX-1779136380.283903</t>
  </si>
  <si>
    <t>FlexPBX-1779136194.283853</t>
  </si>
  <si>
    <t>FlexPBX-1779136031.283824</t>
  </si>
  <si>
    <t>FlexPBX-1779136018.283802</t>
  </si>
  <si>
    <t>FlexPBX-1779135979.283793</t>
  </si>
  <si>
    <t>FlexPBX-1779135480.283773</t>
  </si>
  <si>
    <t>FlexPBX-1779135295.283759</t>
  </si>
  <si>
    <t>FlexPBX-1779134624.283735</t>
  </si>
  <si>
    <t>FlexPBX-1779134516.283727</t>
  </si>
  <si>
    <t>FlexPBX-1779134329.283719</t>
  </si>
  <si>
    <t>FlexPBX-1779134038.283705</t>
  </si>
  <si>
    <t>FlexPBX-1779133498.283689</t>
  </si>
  <si>
    <t>FlexPBX-1779133491.283677</t>
  </si>
  <si>
    <t>FlexPBX-1779133180.283629</t>
  </si>
  <si>
    <t>FlexPBX-1779133119.283600</t>
  </si>
  <si>
    <t>FlexPBX-1779132623.283592</t>
  </si>
  <si>
    <t>FlexPBX-1779132542.283584</t>
  </si>
  <si>
    <t>FlexPBX-1779132005.283491</t>
  </si>
  <si>
    <t>FlexPBX-1779131663.283461</t>
  </si>
  <si>
    <t>FlexPBX-1779131366.283427</t>
  </si>
  <si>
    <t>FlexPBX-1779131077.283385</t>
  </si>
  <si>
    <t>FlexPBX-1779130570.283239</t>
  </si>
  <si>
    <t>FlexPBX-1779130502.283231</t>
  </si>
  <si>
    <t>FlexPBX-1779129588.283157</t>
  </si>
  <si>
    <t>FlexPBX-1779129397.283137</t>
  </si>
  <si>
    <t>FlexPBX-1779129287.283113</t>
  </si>
  <si>
    <t>FlexPBX-1779129179.283105</t>
  </si>
  <si>
    <t>FlexPBX-1779128801.283085</t>
  </si>
  <si>
    <t>FlexPBX-1779128760.283074</t>
  </si>
  <si>
    <t>FlexPBX-1779128623.283055</t>
  </si>
  <si>
    <t>FlexPBX-1779128435.283046</t>
  </si>
  <si>
    <t>FlexPBX-1779127985.283038</t>
  </si>
  <si>
    <t>FlexPBX-1779127633.283020</t>
  </si>
  <si>
    <t>FlexPBX-1779127361.282981</t>
  </si>
  <si>
    <t>FlexPBX-1779127336.282959</t>
  </si>
  <si>
    <t>FlexPBX-1779127275.282914</t>
  </si>
  <si>
    <t>FlexPBX-1779127257.282902</t>
  </si>
  <si>
    <t>FlexPBX-1779127231.282880</t>
  </si>
  <si>
    <t>FlexPBX-1779127174.282847</t>
  </si>
  <si>
    <t>FlexPBX-1779126348.282738</t>
  </si>
  <si>
    <t>FlexPBX-1779126068.282707</t>
  </si>
  <si>
    <t>FlexPBX-1779126005.282694</t>
  </si>
  <si>
    <t>FlexPBX-1779125782.282610</t>
  </si>
  <si>
    <t>FlexPBX-1779125263.282516</t>
  </si>
  <si>
    <t>FlexPBX-1779125095.282508</t>
  </si>
  <si>
    <t>FlexPBX-1779124606.282478</t>
  </si>
  <si>
    <t>FlexPBX-1779124360.282417</t>
  </si>
  <si>
    <t>FlexPBX-1779124358.282414</t>
  </si>
  <si>
    <t>FlexPBX-1779124193.282403</t>
  </si>
  <si>
    <t>FlexPBX-1779123945.282384</t>
  </si>
  <si>
    <t>FlexPBX-1779123859.282376</t>
  </si>
  <si>
    <t>FlexPBX-1779123759.282367</t>
  </si>
  <si>
    <t>FlexPBX-1779123591.282308</t>
  </si>
  <si>
    <t>FlexPBX-1779123581.282303</t>
  </si>
  <si>
    <t>FlexPBX-1779123403.282279</t>
  </si>
  <si>
    <t>FlexPBX-1779123386.282272</t>
  </si>
  <si>
    <t>FlexPBX-1779122545.282226</t>
  </si>
  <si>
    <t>FlexPBX-1779122251.282167</t>
  </si>
  <si>
    <t>FlexPBX-1779122228.282140</t>
  </si>
  <si>
    <t>FlexPBX-1779121897.281998</t>
  </si>
  <si>
    <t>FlexPBX-1779121865.281982</t>
  </si>
  <si>
    <t>FlexPBX-1779121741.281977</t>
  </si>
  <si>
    <t>FlexPBX-1779121568.281972</t>
  </si>
  <si>
    <t>FlexPBX-1779120847.281967</t>
  </si>
  <si>
    <t>FlexPBX-1779119850.281948</t>
  </si>
  <si>
    <t>FlexPBX-1779116181.281914</t>
  </si>
  <si>
    <t>FlexPBX-1779115757.281891</t>
  </si>
  <si>
    <t>FlexPBX-1779115511.281871</t>
  </si>
  <si>
    <t>FlexPBX-1779115398.281855</t>
  </si>
  <si>
    <t>FlexPBX-1779115309.281837</t>
  </si>
  <si>
    <t>FlexPBX-1779115085.281807</t>
  </si>
  <si>
    <t>FlexPBX-1779115084.281804</t>
  </si>
  <si>
    <t>FlexPBX-1779115004.281773</t>
  </si>
  <si>
    <t>FlexPBX-1779114528.281758</t>
  </si>
  <si>
    <t>FlexPBX-1779114334.281736</t>
  </si>
  <si>
    <t>FlexPBX-1779114319.281733</t>
  </si>
  <si>
    <t>FlexPBX-1779113689.281688</t>
  </si>
  <si>
    <t>FlexPBX-1779113646.281674</t>
  </si>
  <si>
    <t>FlexPBX-1779113606.281660</t>
  </si>
  <si>
    <t>FlexPBX-1779113067.281618</t>
  </si>
  <si>
    <t>FlexPBX-1779112942.281593</t>
  </si>
  <si>
    <t>FlexPBX-1779112852.281585</t>
  </si>
  <si>
    <t>FlexPBX-1779112787.281577</t>
  </si>
  <si>
    <t>FlexPBX-1779112642.281510</t>
  </si>
  <si>
    <t>FlexPBX-1779112560.281502</t>
  </si>
  <si>
    <t>FlexPBX-1779112449.281471</t>
  </si>
  <si>
    <t>FlexPBX-1779112328.281448</t>
  </si>
  <si>
    <t>FlexPBX-1779112127.281414</t>
  </si>
  <si>
    <t>FlexPBX-1779111766.281352</t>
  </si>
  <si>
    <t>FlexPBX-1779111350.281309</t>
  </si>
  <si>
    <t>FlexPBX-1779111308.281274</t>
  </si>
  <si>
    <t>FlexPBX-1779111278.281267</t>
  </si>
  <si>
    <t>FlexPBX-1779110730.281217</t>
  </si>
  <si>
    <t>FlexPBX-1779110656.281181</t>
  </si>
  <si>
    <t>FlexPBX-1779110640.281178</t>
  </si>
  <si>
    <t>FlexPBX-1779110339.281160</t>
  </si>
  <si>
    <t>FlexPBX-1779110326.281150</t>
  </si>
  <si>
    <t>FlexPBX-1779110281.281140</t>
  </si>
  <si>
    <t>FlexPBX-1779110199.281126</t>
  </si>
  <si>
    <t>FlexPBX-1779110129.281097</t>
  </si>
  <si>
    <t>FlexPBX-1779110052.281077</t>
  </si>
  <si>
    <t>FlexPBX-1779109908.281006</t>
  </si>
  <si>
    <t>FlexPBX-1779109895.281002</t>
  </si>
  <si>
    <t>FlexPBX-1779109615.280988</t>
  </si>
  <si>
    <t>FlexPBX-1779108852.280908</t>
  </si>
  <si>
    <t>FlexPBX-1779108677.280895</t>
  </si>
  <si>
    <t>FlexPBX-1779108556.280871</t>
  </si>
  <si>
    <t>FlexPBX-1779108196.280855</t>
  </si>
  <si>
    <t>FlexPBX-1779108147.280839</t>
  </si>
  <si>
    <t>FlexPBX-1779108110.280827</t>
  </si>
  <si>
    <t>FlexPBX-1779107951.280812</t>
  </si>
  <si>
    <t>FlexPBX-1779107772.280788</t>
  </si>
  <si>
    <t>FlexPBX-1779107747.280781</t>
  </si>
  <si>
    <t>FlexPBX-1779107737.280777</t>
  </si>
  <si>
    <t>FlexPBX-1779107512.280762</t>
  </si>
  <si>
    <t>FlexPBX-1779107503.280750</t>
  </si>
  <si>
    <t>FlexPBX-1779106715.280711</t>
  </si>
  <si>
    <t>FlexPBX-1779105659.280683</t>
  </si>
  <si>
    <t>FlexPBX-1779105440.280669</t>
  </si>
  <si>
    <t>FlexPBX-1779105305.280649</t>
  </si>
  <si>
    <t>FlexPBX-1779105233.280632</t>
  </si>
  <si>
    <t>FlexPBX-1779104420.280589</t>
  </si>
  <si>
    <t>FlexPBX-1779104387.280584</t>
  </si>
  <si>
    <t>FlexPBX-1779104096.280562</t>
  </si>
  <si>
    <t>FlexPBX-1779103840.280547</t>
  </si>
  <si>
    <t>FlexPBX-1779103801.280526</t>
  </si>
  <si>
    <t>FlexPBX-1779103162.280512</t>
  </si>
  <si>
    <t>FlexPBX-1779040958.280507</t>
  </si>
  <si>
    <t>FlexPBX-1778946727.280502</t>
  </si>
  <si>
    <t>FlexPBX-1778942508.280497</t>
  </si>
  <si>
    <t>FlexPBX-1778937018.280492</t>
  </si>
  <si>
    <t>FlexPBX-1778929683.280485</t>
  </si>
  <si>
    <t>FlexPBX-1778929679.280482</t>
  </si>
  <si>
    <t>FlexPBX-1778877335.280468</t>
  </si>
  <si>
    <t>FlexPBX-1778875659.280460</t>
  </si>
  <si>
    <t>FlexPBX-1778874866.280438</t>
  </si>
  <si>
    <t>FlexPBX-1778874828.280426</t>
  </si>
  <si>
    <t>FlexPBX-1778874772.280412</t>
  </si>
  <si>
    <t>FlexPBX-1778874109.280384</t>
  </si>
  <si>
    <t>FlexPBX-1778873951.280362</t>
  </si>
  <si>
    <t>FlexPBX-1778873905.280348</t>
  </si>
  <si>
    <t>FlexPBX-1778873747.280291</t>
  </si>
  <si>
    <t>FlexPBX-1778873698.280280</t>
  </si>
  <si>
    <t>FlexPBX-1778873355.280266</t>
  </si>
  <si>
    <t>FlexPBX-1778873308.280250</t>
  </si>
  <si>
    <t>FlexPBX-1778873106.280213</t>
  </si>
  <si>
    <t>FlexPBX-1778873093.280199</t>
  </si>
  <si>
    <t>FlexPBX-1778873071.280193</t>
  </si>
  <si>
    <t>FlexPBX-1778873055.280190</t>
  </si>
  <si>
    <t>FlexPBX-1778873002.280178</t>
  </si>
  <si>
    <t>FlexPBX-1778872712.280104</t>
  </si>
  <si>
    <t>FlexPBX-1778872691.280088</t>
  </si>
  <si>
    <t>FlexPBX-1778872661.280060</t>
  </si>
  <si>
    <t>FlexPBX-1778872655.280052</t>
  </si>
  <si>
    <t>FlexPBX-1778872650.280038</t>
  </si>
  <si>
    <t>FlexPBX-1778872582.279992</t>
  </si>
  <si>
    <t>FlexPBX-1778872578.279989</t>
  </si>
  <si>
    <t>FlexPBX-1778872518.279975</t>
  </si>
  <si>
    <t>FlexPBX-1778872352.279952</t>
  </si>
  <si>
    <t>FlexPBX-1778872320.279936</t>
  </si>
  <si>
    <t>FlexPBX-1778872224.279912</t>
  </si>
  <si>
    <t>FlexPBX-1778872116.279896</t>
  </si>
  <si>
    <t>FlexPBX-1778871841.279861</t>
  </si>
  <si>
    <t>FlexPBX-1778871709.279829</t>
  </si>
  <si>
    <t>FlexPBX-1778871627.279809</t>
  </si>
  <si>
    <t>FlexPBX-1778871596.279801</t>
  </si>
  <si>
    <t>FlexPBX-1778871493.279793</t>
  </si>
  <si>
    <t>FlexPBX-1778871265.279762</t>
  </si>
  <si>
    <t>FlexPBX-1778871229.279753</t>
  </si>
  <si>
    <t>FlexPBX-1778870828.279717</t>
  </si>
  <si>
    <t>FlexPBX-1778870813.279713</t>
  </si>
  <si>
    <t>FlexPBX-1778870717.279705</t>
  </si>
  <si>
    <t>FlexPBX-1778870196.279668</t>
  </si>
  <si>
    <t>FlexPBX-1778869862.279648</t>
  </si>
  <si>
    <t>FlexPBX-1778869843.279640</t>
  </si>
  <si>
    <t>FlexPBX-1778869745.279599</t>
  </si>
  <si>
    <t>FlexPBX-1778869028.279565</t>
  </si>
  <si>
    <t>FlexPBX-1778868894.279551</t>
  </si>
  <si>
    <t>FlexPBX-1778868593.279512</t>
  </si>
  <si>
    <t>FlexPBX-1778868562.279505</t>
  </si>
  <si>
    <t>FlexPBX-1778868425.279486</t>
  </si>
  <si>
    <t>FlexPBX-1778868341.279456</t>
  </si>
  <si>
    <t>FlexPBX-1778868266.279394</t>
  </si>
  <si>
    <t>FlexPBX-1778868246.279385</t>
  </si>
  <si>
    <t>FlexPBX-1778868136.279343</t>
  </si>
  <si>
    <t>FlexPBX-1778868104.279331</t>
  </si>
  <si>
    <t>FlexPBX-1778868031.279323</t>
  </si>
  <si>
    <t>FlexPBX-1778867932.279278</t>
  </si>
  <si>
    <t>FlexPBX-1778867896.279264</t>
  </si>
  <si>
    <t>FlexPBX-1778867833.279248</t>
  </si>
  <si>
    <t>FlexPBX-1778867824.279226</t>
  </si>
  <si>
    <t>FlexPBX-1778867812.279222</t>
  </si>
  <si>
    <t>FlexPBX-1778867684.279214</t>
  </si>
  <si>
    <t>FlexPBX-1778867600.279199</t>
  </si>
  <si>
    <t>FlexPBX-1778867593.279195</t>
  </si>
  <si>
    <t>FlexPBX-1778867470.279177</t>
  </si>
  <si>
    <t>FlexPBX-1778867376.279151</t>
  </si>
  <si>
    <t>FlexPBX-1778867317.279143</t>
  </si>
  <si>
    <t>FlexPBX-1778867235.279117</t>
  </si>
  <si>
    <t>FlexPBX-1778867234.279114</t>
  </si>
  <si>
    <t>FlexPBX-1778867048.279096</t>
  </si>
  <si>
    <t>FlexPBX-1778867036.279092</t>
  </si>
  <si>
    <t>FlexPBX-1778866938.279078</t>
  </si>
  <si>
    <t>FlexPBX-1778866873.279064</t>
  </si>
  <si>
    <t>FlexPBX-1778866779.279056</t>
  </si>
  <si>
    <t>FlexPBX-1778866664.279035</t>
  </si>
  <si>
    <t>FlexPBX-1778866627.279026</t>
  </si>
  <si>
    <t>FlexPBX-1778866529.278989</t>
  </si>
  <si>
    <t>FlexPBX-1778866502.278985</t>
  </si>
  <si>
    <t>FlexPBX-1778866475.278973</t>
  </si>
  <si>
    <t>FlexPBX-1778866449.278963</t>
  </si>
  <si>
    <t>FlexPBX-1778866349.278953</t>
  </si>
  <si>
    <t>FlexPBX-1778866342.278941</t>
  </si>
  <si>
    <t>FlexPBX-1778866222.278914</t>
  </si>
  <si>
    <t>FlexPBX-1778866215.278911</t>
  </si>
  <si>
    <t>FlexPBX-1778865842.278891</t>
  </si>
  <si>
    <t>FlexPBX-1778865462.278865</t>
  </si>
  <si>
    <t>FlexPBX-1778865150.278853</t>
  </si>
  <si>
    <t>FlexPBX-1778865049.278825</t>
  </si>
  <si>
    <t>FlexPBX-1778863961.278774</t>
  </si>
  <si>
    <t>FlexPBX-1778863946.278766</t>
  </si>
  <si>
    <t>FlexPBX-1778863701.278717</t>
  </si>
  <si>
    <t>FlexPBX-1778863697.278709</t>
  </si>
  <si>
    <t>FlexPBX-1778863687.278697</t>
  </si>
  <si>
    <t>FlexPBX-1778863671.278686</t>
  </si>
  <si>
    <t>FlexPBX-1778863639.278672</t>
  </si>
  <si>
    <t>FlexPBX-1778863591.278661</t>
  </si>
  <si>
    <t>FlexPBX-1778863574.278653</t>
  </si>
  <si>
    <t>FlexPBX-1778863495.278645</t>
  </si>
  <si>
    <t>FlexPBX-1778863346.278615</t>
  </si>
  <si>
    <t>FlexPBX-1778863218.278598</t>
  </si>
  <si>
    <t>FlexPBX-1778863103.278590</t>
  </si>
  <si>
    <t>FlexPBX-1778863066.278582</t>
  </si>
  <si>
    <t>FlexPBX-1778861201.278541</t>
  </si>
  <si>
    <t>FlexPBX-1778856868.278416</t>
  </si>
  <si>
    <t>FlexPBX-1778855950.278357</t>
  </si>
  <si>
    <t>FlexPBX-1778855333.278341</t>
  </si>
  <si>
    <t>FlexPBX-1778855327.278329</t>
  </si>
  <si>
    <t>FlexPBX-1778855146.278313</t>
  </si>
  <si>
    <t>FlexPBX-1778854403.278267</t>
  </si>
  <si>
    <t>FlexPBX-1778854208.278214</t>
  </si>
  <si>
    <t>FlexPBX-1778854205.278211</t>
  </si>
  <si>
    <t>FlexPBX-1778853974.278190</t>
  </si>
  <si>
    <t>FlexPBX-1778853825.278176</t>
  </si>
  <si>
    <t>FlexPBX-1778853807.278162</t>
  </si>
  <si>
    <t>FlexPBX-1778853800.278152</t>
  </si>
  <si>
    <t>FlexPBX-1778853679.278123</t>
  </si>
  <si>
    <t>FlexPBX-1778853631.278115</t>
  </si>
  <si>
    <t>FlexPBX-1778853578.278096</t>
  </si>
  <si>
    <t>FlexPBX-1778853572.278093</t>
  </si>
  <si>
    <t>FlexPBX-1778853340.278065</t>
  </si>
  <si>
    <t>FlexPBX-1778853263.278030</t>
  </si>
  <si>
    <t>FlexPBX-1778853227.278015</t>
  </si>
  <si>
    <t>FlexPBX-1778853192.278007</t>
  </si>
  <si>
    <t>FlexPBX-1778853184.277999</t>
  </si>
  <si>
    <t>FlexPBX-1778853112.277985</t>
  </si>
  <si>
    <t>FlexPBX-1778853013.277977</t>
  </si>
  <si>
    <t>FlexPBX-1778852957.277969</t>
  </si>
  <si>
    <t>FlexPBX-1778852904.277955</t>
  </si>
  <si>
    <t>FlexPBX-1778852780.277932</t>
  </si>
  <si>
    <t>FlexPBX-1778852612.277894</t>
  </si>
  <si>
    <t>FlexPBX-1778852566.277851</t>
  </si>
  <si>
    <t>FlexPBX-1778852477.277820</t>
  </si>
  <si>
    <t>FlexPBX-1778852419.277807</t>
  </si>
  <si>
    <t>FlexPBX-1778852265.277771</t>
  </si>
  <si>
    <t>FlexPBX-1778852203.277763</t>
  </si>
  <si>
    <t>FlexPBX-1778852085.277742</t>
  </si>
  <si>
    <t>FlexPBX-1778851997.277722</t>
  </si>
  <si>
    <t>FlexPBX-1778851739.277694</t>
  </si>
  <si>
    <t>FlexPBX-1778851557.277672</t>
  </si>
  <si>
    <t>FlexPBX-1778851519.277658</t>
  </si>
  <si>
    <t>FlexPBX-1778851243.277603</t>
  </si>
  <si>
    <t>FlexPBX-1778851212.277595</t>
  </si>
  <si>
    <t>FlexPBX-1778851168.277587</t>
  </si>
  <si>
    <t>FlexPBX-1778851072.277573</t>
  </si>
  <si>
    <t>FlexPBX-1778851028.277559</t>
  </si>
  <si>
    <t>FlexPBX-1778850988.277541</t>
  </si>
  <si>
    <t>FlexPBX-1778850793.277516</t>
  </si>
  <si>
    <t>FlexPBX-1778850677.277440</t>
  </si>
  <si>
    <t>FlexPBX-1778850638.277429</t>
  </si>
  <si>
    <t>FlexPBX-1778850591.277403</t>
  </si>
  <si>
    <t>FlexPBX-1778850577.277399</t>
  </si>
  <si>
    <t>FlexPBX-1778850572.277389</t>
  </si>
  <si>
    <t>FlexPBX-1778850430.277310</t>
  </si>
  <si>
    <t>FlexPBX-1778850418.277300</t>
  </si>
  <si>
    <t>FlexPBX-1778849978.277280</t>
  </si>
  <si>
    <t>FlexPBX-1778849869.277236</t>
  </si>
  <si>
    <t>FlexPBX-1778849795.277216</t>
  </si>
  <si>
    <t>FlexPBX-1778849703.277208</t>
  </si>
  <si>
    <t>FlexPBX-1778849541.277200</t>
  </si>
  <si>
    <t>FlexPBX-1778849462.277180</t>
  </si>
  <si>
    <t>FlexPBX-1778849151.277118</t>
  </si>
  <si>
    <t>FlexPBX-1778848956.277061</t>
  </si>
  <si>
    <t>FlexPBX-1778848956.277059</t>
  </si>
  <si>
    <t>FlexPBX-1778848713.277007</t>
  </si>
  <si>
    <t>FlexPBX-1778848684.276995</t>
  </si>
  <si>
    <t>FlexPBX-1778848662.276985</t>
  </si>
  <si>
    <t>FlexPBX-1778848531.276897</t>
  </si>
  <si>
    <t>FlexPBX-1778848519.276894</t>
  </si>
  <si>
    <t>FlexPBX-1778848246.276858</t>
  </si>
  <si>
    <t>FlexPBX-1778848021.276833</t>
  </si>
  <si>
    <t>FlexPBX-1778847964.276811</t>
  </si>
  <si>
    <t>FlexPBX-1778847726.276770</t>
  </si>
  <si>
    <t>FlexPBX-1778847706.276760</t>
  </si>
  <si>
    <t>FlexPBX-1778847617.276744</t>
  </si>
  <si>
    <t>FlexPBX-1778847413.276730</t>
  </si>
  <si>
    <t>FlexPBX-1778847014.276722</t>
  </si>
  <si>
    <t>FlexPBX-1778846884.276702</t>
  </si>
  <si>
    <t>FlexPBX-1778846861.276690</t>
  </si>
  <si>
    <t>FlexPBX-1778846759.276650</t>
  </si>
  <si>
    <t>FlexPBX-1778846745.276639</t>
  </si>
  <si>
    <t>FlexPBX-1778846717.276627</t>
  </si>
  <si>
    <t>FlexPBX-1778846631.276604</t>
  </si>
  <si>
    <t>FlexPBX-1778846601.276593</t>
  </si>
  <si>
    <t>FlexPBX-1778846424.276565</t>
  </si>
  <si>
    <t>FlexPBX-1778845948.276545</t>
  </si>
  <si>
    <t>FlexPBX-1778845336.276519</t>
  </si>
  <si>
    <t>FlexPBX-1778845293.276514</t>
  </si>
  <si>
    <t>FlexPBX-1778845027.276474</t>
  </si>
  <si>
    <t>FlexPBX-1778844822.276440</t>
  </si>
  <si>
    <t>FlexPBX-1778844803.276421</t>
  </si>
  <si>
    <t>FlexPBX-1778844793.276411</t>
  </si>
  <si>
    <t>FlexPBX-1778844748.276390</t>
  </si>
  <si>
    <t>FlexPBX-1778844548.276378</t>
  </si>
  <si>
    <t>FlexPBX-1778844057.276373</t>
  </si>
  <si>
    <t>FlexPBX-1778790551.275822</t>
  </si>
  <si>
    <t>FlexPBX-1778790488.275798</t>
  </si>
  <si>
    <t>FlexPBX-1778790392.275790</t>
  </si>
  <si>
    <t>FlexPBX-1778789491.275752</t>
  </si>
  <si>
    <t>FlexPBX-1778789435.275733</t>
  </si>
  <si>
    <t>FlexPBX-1778789429.275725</t>
  </si>
  <si>
    <t>FlexPBX-1778789388.275691</t>
  </si>
  <si>
    <t>FlexPBX-1778789264.275624</t>
  </si>
  <si>
    <t>FlexPBX-1778789124.275581</t>
  </si>
  <si>
    <t>FlexPBX-1778789025.275556</t>
  </si>
  <si>
    <t>FlexPBX-1778788575.275473</t>
  </si>
  <si>
    <t>FlexPBX-1778788572.275470</t>
  </si>
  <si>
    <t>FlexPBX-1778788524.275453</t>
  </si>
  <si>
    <t>FlexPBX-1778788234.275392</t>
  </si>
  <si>
    <t>FlexPBX-1778787559.275322</t>
  </si>
  <si>
    <t>FlexPBX-1778787261.275311</t>
  </si>
  <si>
    <t>FlexPBX-1778787213.275303</t>
  </si>
  <si>
    <t>FlexPBX-1778787167.275295</t>
  </si>
  <si>
    <t>FlexPBX-1778787161.275287</t>
  </si>
  <si>
    <t>FlexPBX-1778787004.275259</t>
  </si>
  <si>
    <t>FlexPBX-1778786896.275254</t>
  </si>
  <si>
    <t>FlexPBX-1778786323.275213</t>
  </si>
  <si>
    <t>FlexPBX-1778785913.275172</t>
  </si>
  <si>
    <t>FlexPBX-1778785903.275167</t>
  </si>
  <si>
    <t>FlexPBX-1778785765.275148</t>
  </si>
  <si>
    <t>FlexPBX-1778785683.275117</t>
  </si>
  <si>
    <t>FlexPBX-1778785461.275039</t>
  </si>
  <si>
    <t>FlexPBX-1778785443.275036</t>
  </si>
  <si>
    <t>FlexPBX-1778785427.275028</t>
  </si>
  <si>
    <t>FlexPBX-1778785421.275020</t>
  </si>
  <si>
    <t>FlexPBX-1778785354.275012</t>
  </si>
  <si>
    <t>FlexPBX-1778785294.275004</t>
  </si>
  <si>
    <t>FlexPBX-1778785237.274980</t>
  </si>
  <si>
    <t>FlexPBX-1778785149.274968</t>
  </si>
  <si>
    <t>FlexPBX-1778785127.274946</t>
  </si>
  <si>
    <t>FlexPBX-1778785076.274924</t>
  </si>
  <si>
    <t>FlexPBX-1778785002.274893</t>
  </si>
  <si>
    <t>FlexPBX-1778784977.274885</t>
  </si>
  <si>
    <t>FlexPBX-1778784891.274851</t>
  </si>
  <si>
    <t>FlexPBX-1778784872.274835</t>
  </si>
  <si>
    <t>FlexPBX-1778784865.274827</t>
  </si>
  <si>
    <t>FlexPBX-1778784842.274819</t>
  </si>
  <si>
    <t>FlexPBX-1778784535.274790</t>
  </si>
  <si>
    <t>FlexPBX-1778784530.274785</t>
  </si>
  <si>
    <t>FlexPBX-1778784506.274780</t>
  </si>
  <si>
    <t>FlexPBX-1778784457.274763</t>
  </si>
  <si>
    <t>FlexPBX-1778784073.274737</t>
  </si>
  <si>
    <t>FlexPBX-1778783980.274729</t>
  </si>
  <si>
    <t>FlexPBX-1778783957.274715</t>
  </si>
  <si>
    <t>FlexPBX-1778783912.274701</t>
  </si>
  <si>
    <t>FlexPBX-1778783718.274667</t>
  </si>
  <si>
    <t>FlexPBX-1778783496.274650</t>
  </si>
  <si>
    <t>FlexPBX-1778783437.274628</t>
  </si>
  <si>
    <t>FlexPBX-1778783420.274618</t>
  </si>
  <si>
    <t>FlexPBX-1778783402.274606</t>
  </si>
  <si>
    <t>FlexPBX-1778782752.274593</t>
  </si>
  <si>
    <t>FlexPBX-1778782024.274554</t>
  </si>
  <si>
    <t>FlexPBX-1778781916.274541</t>
  </si>
  <si>
    <t>FlexPBX-1778781839.274520</t>
  </si>
  <si>
    <t>FlexPBX-1778781688.274486</t>
  </si>
  <si>
    <t>FlexPBX-1778781615.274449</t>
  </si>
  <si>
    <t>FlexPBX-1778781295.274406</t>
  </si>
  <si>
    <t>FlexPBX-1778781269.274398</t>
  </si>
  <si>
    <t>FlexPBX-1778781145.274376</t>
  </si>
  <si>
    <t>FlexPBX-1778781140.274373</t>
  </si>
  <si>
    <t>FlexPBX-1778781013.274360</t>
  </si>
  <si>
    <t>FlexPBX-1778780986.274355</t>
  </si>
  <si>
    <t>FlexPBX-1778780928.274350</t>
  </si>
  <si>
    <t>FlexPBX-1778780789.274325</t>
  </si>
  <si>
    <t>FlexPBX-1778780779.274322</t>
  </si>
  <si>
    <t>FlexPBX-1778780390.274314</t>
  </si>
  <si>
    <t>FlexPBX-1778780145.274284</t>
  </si>
  <si>
    <t>FlexPBX-1778780032.274273</t>
  </si>
  <si>
    <t>FlexPBX-1778779663.274221</t>
  </si>
  <si>
    <t>FlexPBX-1778779638.274217</t>
  </si>
  <si>
    <t>FlexPBX-1778779613.274207</t>
  </si>
  <si>
    <t>FlexPBX-1778779607.274189</t>
  </si>
  <si>
    <t>FlexPBX-1778779502.274160</t>
  </si>
  <si>
    <t>FlexPBX-1778779499.274157</t>
  </si>
  <si>
    <t>FlexPBX-1778779294.274131</t>
  </si>
  <si>
    <t>FlexPBX-1778779283.274108</t>
  </si>
  <si>
    <t>FlexPBX-1778779256.274097</t>
  </si>
  <si>
    <t>FlexPBX-1778779230.274085</t>
  </si>
  <si>
    <t>FlexPBX-1778779019.274040</t>
  </si>
  <si>
    <t>FlexPBX-1778778031.273915</t>
  </si>
  <si>
    <t>FlexPBX-1778778002.273906</t>
  </si>
  <si>
    <t>FlexPBX-1778777722.273882</t>
  </si>
  <si>
    <t>FlexPBX-1778777714.273870</t>
  </si>
  <si>
    <t>FlexPBX-1778777358.273804</t>
  </si>
  <si>
    <t>FlexPBX-1778777320.273785</t>
  </si>
  <si>
    <t>FlexPBX-1778777283.273777</t>
  </si>
  <si>
    <t>FlexPBX-1778777170.273749</t>
  </si>
  <si>
    <t>FlexPBX-1778777109.273721</t>
  </si>
  <si>
    <t>FlexPBX-1778776978.273701</t>
  </si>
  <si>
    <t>FlexPBX-1778776918.273696</t>
  </si>
  <si>
    <t>FlexPBX-1778776826.273693</t>
  </si>
  <si>
    <t>FlexPBX-1778776620.273671</t>
  </si>
  <si>
    <t>FlexPBX-1778776564.273657</t>
  </si>
  <si>
    <t>FlexPBX-1778776538.273654</t>
  </si>
  <si>
    <t>FlexPBX-1778776430.273646</t>
  </si>
  <si>
    <t>FlexPBX-1778776373.273634</t>
  </si>
  <si>
    <t>FlexPBX-1778776223.273626</t>
  </si>
  <si>
    <t>FlexPBX-1778775976.273621</t>
  </si>
  <si>
    <t>FlexPBX-1778769855.273580</t>
  </si>
  <si>
    <t>FlexPBX-1778769190.273467</t>
  </si>
  <si>
    <t>FlexPBX-1778769070.273453</t>
  </si>
  <si>
    <t>FlexPBX-1778768271.273313</t>
  </si>
  <si>
    <t>FlexPBX-1778768202.273297</t>
  </si>
  <si>
    <t>FlexPBX-1778767813.273265</t>
  </si>
  <si>
    <t>FlexPBX-1778767531.273249</t>
  </si>
  <si>
    <t>FlexPBX-1778767358.273217</t>
  </si>
  <si>
    <t>FlexPBX-1778767182.273210</t>
  </si>
  <si>
    <t>FlexPBX-1778766935.273197</t>
  </si>
  <si>
    <t>FlexPBX-1778766376.273139</t>
  </si>
  <si>
    <t>FlexPBX-1778766336.273109</t>
  </si>
  <si>
    <t>FlexPBX-1778766331.273101</t>
  </si>
  <si>
    <t>FlexPBX-1778766324.273089</t>
  </si>
  <si>
    <t>FlexPBX-1778766282.273057</t>
  </si>
  <si>
    <t>FlexPBX-1778766247.273046</t>
  </si>
  <si>
    <t>FlexPBX-1778766126.273026</t>
  </si>
  <si>
    <t>FlexPBX-1778765955.273013</t>
  </si>
  <si>
    <t>FlexPBX-1778765763.272986</t>
  </si>
  <si>
    <t>FlexPBX-1778765723.272972</t>
  </si>
  <si>
    <t>FlexPBX-1778765716.272964</t>
  </si>
  <si>
    <t>FlexPBX-1778765708.272961</t>
  </si>
  <si>
    <t>FlexPBX-1778765611.272947</t>
  </si>
  <si>
    <t>FlexPBX-1778765139.272903</t>
  </si>
  <si>
    <t>FlexPBX-1778765129.272895</t>
  </si>
  <si>
    <t>FlexPBX-1778765119.272883</t>
  </si>
  <si>
    <t>FlexPBX-1778764973.272869</t>
  </si>
  <si>
    <t>FlexPBX-1778763636.272845</t>
  </si>
  <si>
    <t>FlexPBX-1778763351.272776</t>
  </si>
  <si>
    <t>FlexPBX-1778762968.272760</t>
  </si>
  <si>
    <t>FlexPBX-1778762961.272748</t>
  </si>
  <si>
    <t>FlexPBX-1778762312.272718</t>
  </si>
  <si>
    <t>FlexPBX-1778762252.272713</t>
  </si>
  <si>
    <t>FlexPBX-1778761875.272689</t>
  </si>
  <si>
    <t>FlexPBX-1778761663.272672</t>
  </si>
  <si>
    <t>FlexPBX-1778761480.272649</t>
  </si>
  <si>
    <t>FlexPBX-1778761372.272635</t>
  </si>
  <si>
    <t>FlexPBX-1778760850.272593</t>
  </si>
  <si>
    <t>FlexPBX-1778760649.272577</t>
  </si>
  <si>
    <t>FlexPBX-1778759577.272535</t>
  </si>
  <si>
    <t>FlexPBX-1778759544.272523</t>
  </si>
  <si>
    <t>FlexPBX-1778759511.272515</t>
  </si>
  <si>
    <t>FlexPBX-1778759486.272510</t>
  </si>
  <si>
    <t>FlexPBX-1778759243.272496</t>
  </si>
  <si>
    <t>FlexPBX-1778758727.272470</t>
  </si>
  <si>
    <t>FlexPBX-1778758522.272429</t>
  </si>
  <si>
    <t>FlexPBX-1778758510.272415</t>
  </si>
  <si>
    <t>FlexPBX-1778758503.272407</t>
  </si>
  <si>
    <t>FlexPBX-1778758501.272400</t>
  </si>
  <si>
    <t>FlexPBX-1778758469.272392</t>
  </si>
  <si>
    <t>FlexPBX-1778757424.272378</t>
  </si>
  <si>
    <t>FlexPBX-1778704673.272350</t>
  </si>
  <si>
    <t>FlexPBX-1778704326.272326</t>
  </si>
  <si>
    <t>FlexPBX-1778703751.272296</t>
  </si>
  <si>
    <t>FlexPBX-1778703622.272265</t>
  </si>
  <si>
    <t>FlexPBX-1778703445.272173</t>
  </si>
  <si>
    <t>FlexPBX-1778703080.272149</t>
  </si>
  <si>
    <t>FlexPBX-1778703050.272141</t>
  </si>
  <si>
    <t>FlexPBX-1778702134.272081</t>
  </si>
  <si>
    <t>FlexPBX-1778702054.272049</t>
  </si>
  <si>
    <t>FlexPBX-1778701526.272033</t>
  </si>
  <si>
    <t>FlexPBX-1778701523.272025</t>
  </si>
  <si>
    <t>FlexPBX-1778701516.272015</t>
  </si>
  <si>
    <t>FlexPBX-1778701510.272003</t>
  </si>
  <si>
    <t>FlexPBX-1778701360.271951</t>
  </si>
  <si>
    <t>FlexPBX-1778701353.271939</t>
  </si>
  <si>
    <t>FlexPBX-1778701284.271911</t>
  </si>
  <si>
    <t>FlexPBX-1778699373.271881</t>
  </si>
  <si>
    <t>FlexPBX-1778699334.271872</t>
  </si>
  <si>
    <t>FlexPBX-1778699099.271844</t>
  </si>
  <si>
    <t>FlexPBX-1778698394.271805</t>
  </si>
  <si>
    <t>FlexPBX-1778698294.271763</t>
  </si>
  <si>
    <t>FlexPBX-1778697870.271747</t>
  </si>
  <si>
    <t>FlexPBX-1778697235.271717</t>
  </si>
  <si>
    <t>FlexPBX-1778697124.271683</t>
  </si>
  <si>
    <t>FlexPBX-1778697073.271669</t>
  </si>
  <si>
    <t>FlexPBX-1778696945.271637</t>
  </si>
  <si>
    <t>FlexPBX-1778696281.271607</t>
  </si>
  <si>
    <t>FlexPBX-1778695925.271546</t>
  </si>
  <si>
    <t>FlexPBX-1778695914.271536</t>
  </si>
  <si>
    <t>FlexPBX-1778695900.271531</t>
  </si>
  <si>
    <t>FlexPBX-1778695814.271526</t>
  </si>
  <si>
    <t>FlexPBX-1778695759.271506</t>
  </si>
  <si>
    <t>FlexPBX-1778695135.271453</t>
  </si>
  <si>
    <t>FlexPBX-1778695096.271439</t>
  </si>
  <si>
    <t>FlexPBX-1778694606.271398</t>
  </si>
  <si>
    <t>FlexPBX-1778694568.271384</t>
  </si>
  <si>
    <t>FlexPBX-1778694562.271376</t>
  </si>
  <si>
    <t>FlexPBX-1778693930.271354</t>
  </si>
  <si>
    <t>FlexPBX-1778693834.271340</t>
  </si>
  <si>
    <t>FlexPBX-1778693491.271281</t>
  </si>
  <si>
    <t>FlexPBX-1778693112.271167</t>
  </si>
  <si>
    <t>FlexPBX-1778693049.271138</t>
  </si>
  <si>
    <t>FlexPBX-1778692664.271111</t>
  </si>
  <si>
    <t>FlexPBX-1778692516.271103</t>
  </si>
  <si>
    <t>FlexPBX-1778692305.271051</t>
  </si>
  <si>
    <t>FlexPBX-1778692258.271026</t>
  </si>
  <si>
    <t>FlexPBX-1778692223.271000</t>
  </si>
  <si>
    <t>FlexPBX-1778692208.270991</t>
  </si>
  <si>
    <t>FlexPBX-1778691751.270934</t>
  </si>
  <si>
    <t>FlexPBX-1778691589.270875</t>
  </si>
  <si>
    <t>FlexPBX-1778690992.270834</t>
  </si>
  <si>
    <t>FlexPBX-1778690891.270816</t>
  </si>
  <si>
    <t>FlexPBX-1778690618.270789</t>
  </si>
  <si>
    <t>FlexPBX-1778690583.270786</t>
  </si>
  <si>
    <t>FlexPBX-1778690402.270774</t>
  </si>
  <si>
    <t>FlexPBX-1778690232.270748</t>
  </si>
  <si>
    <t>FlexPBX-1778690088.270720</t>
  </si>
  <si>
    <t>FlexPBX-1778689968.270644</t>
  </si>
  <si>
    <t>FlexPBX-1778689903.270622</t>
  </si>
  <si>
    <t>FlexPBX-1778689797.270617</t>
  </si>
  <si>
    <t>FlexPBX-1778689405.270612</t>
  </si>
  <si>
    <t>FlexPBX-1778689311.270607</t>
  </si>
  <si>
    <t>FlexPBX-1778689282.270602</t>
  </si>
  <si>
    <t>FlexPBX-1778684428.270588</t>
  </si>
  <si>
    <t>FlexPBX-1778683627.270559</t>
  </si>
  <si>
    <t>FlexPBX-1778682134.270471</t>
  </si>
  <si>
    <t>FlexPBX-1778681811.270413</t>
  </si>
  <si>
    <t>FlexPBX-1778681792.270406</t>
  </si>
  <si>
    <t>FlexPBX-1778681673.270375</t>
  </si>
  <si>
    <t>FlexPBX-1778681221.270329</t>
  </si>
  <si>
    <t>FlexPBX-1778680670.270289</t>
  </si>
  <si>
    <t>FlexPBX-1778680577.270258</t>
  </si>
  <si>
    <t>FlexPBX-1778680571.270248</t>
  </si>
  <si>
    <t>FlexPBX-1778680547.270241</t>
  </si>
  <si>
    <t>FlexPBX-1778680331.270212</t>
  </si>
  <si>
    <t>FlexPBX-1778680164.270167</t>
  </si>
  <si>
    <t>FlexPBX-1778680161.270164</t>
  </si>
  <si>
    <t>FlexPBX-1778679973.270159</t>
  </si>
  <si>
    <t>FlexPBX-1778679923.270151</t>
  </si>
  <si>
    <t>FlexPBX-1778679846.270131</t>
  </si>
  <si>
    <t>FlexPBX-1778679521.270100</t>
  </si>
  <si>
    <t>FlexPBX-1778679494.270086</t>
  </si>
  <si>
    <t>FlexPBX-1778679358.270081</t>
  </si>
  <si>
    <t>FlexPBX-1778679232.270065</t>
  </si>
  <si>
    <t>FlexPBX-1778679041.270048</t>
  </si>
  <si>
    <t>FlexPBX-1778678636.270005</t>
  </si>
  <si>
    <t>FlexPBX-1778678280.269991</t>
  </si>
  <si>
    <t>FlexPBX-1778678216.269981</t>
  </si>
  <si>
    <t>FlexPBX-1778678208.269971</t>
  </si>
  <si>
    <t>FlexPBX-1778677788.269933</t>
  </si>
  <si>
    <t>FlexPBX-1778677360.269878</t>
  </si>
  <si>
    <t>FlexPBX-1778676818.269830</t>
  </si>
  <si>
    <t>FlexPBX-1778676769.269815</t>
  </si>
  <si>
    <t>FlexPBX-1778676094.269784</t>
  </si>
  <si>
    <t>FlexPBX-1778675915.269779</t>
  </si>
  <si>
    <t>FlexPBX-1778675558.269755</t>
  </si>
  <si>
    <t>FlexPBX-1778675464.269734</t>
  </si>
  <si>
    <t>FlexPBX-1778675279.269716</t>
  </si>
  <si>
    <t>FlexPBX-1778675212.269696</t>
  </si>
  <si>
    <t>FlexPBX-1778675120.269680</t>
  </si>
  <si>
    <t>FlexPBX-1778674541.269664</t>
  </si>
  <si>
    <t>FlexPBX-1778674532.269652</t>
  </si>
  <si>
    <t>FlexPBX-1778673582.269638</t>
  </si>
  <si>
    <t>FlexPBX-1778673579.269630</t>
  </si>
  <si>
    <t>FlexPBX-1778673527.269601</t>
  </si>
  <si>
    <t>FlexPBX-1778672627.269569</t>
  </si>
  <si>
    <t>FlexPBX-1778672545.269541</t>
  </si>
  <si>
    <t>FlexPBX-1778672097.269510</t>
  </si>
  <si>
    <t>FlexPBX-1778624728.269491</t>
  </si>
  <si>
    <t>FlexPBX-1778618476.269480</t>
  </si>
  <si>
    <t>FlexPBX-1778618142.269472</t>
  </si>
  <si>
    <t>FlexPBX-1778617371.269410</t>
  </si>
  <si>
    <t>FlexPBX-1778617361.269390</t>
  </si>
  <si>
    <t>FlexPBX-1778617288.269345</t>
  </si>
  <si>
    <t>FlexPBX-1778617007.269297</t>
  </si>
  <si>
    <t>FlexPBX-1778616579.269200</t>
  </si>
  <si>
    <t>FlexPBX-1778615604.269180</t>
  </si>
  <si>
    <t>FlexPBX-1778615544.269152</t>
  </si>
  <si>
    <t>FlexPBX-1778615306.269052</t>
  </si>
  <si>
    <t>FlexPBX-1778615237.269012</t>
  </si>
  <si>
    <t>FlexPBX-1778614010.268944</t>
  </si>
  <si>
    <t>FlexPBX-1778613490.268913</t>
  </si>
  <si>
    <t>FlexPBX-1778613481.268910</t>
  </si>
  <si>
    <t>FlexPBX-1778613414.268890</t>
  </si>
  <si>
    <t>FlexPBX-1778613037.268814</t>
  </si>
  <si>
    <t>FlexPBX-1778612977.268781</t>
  </si>
  <si>
    <t>FlexPBX-1778612971.268777</t>
  </si>
  <si>
    <t>FlexPBX-1778612870.268759</t>
  </si>
  <si>
    <t>FlexPBX-1778612649.268732</t>
  </si>
  <si>
    <t>FlexPBX-1778612630.268718</t>
  </si>
  <si>
    <t>FlexPBX-1778612592.268684</t>
  </si>
  <si>
    <t>FlexPBX-1778612590.268680</t>
  </si>
  <si>
    <t>FlexPBX-1778612558.268656</t>
  </si>
  <si>
    <t>FlexPBX-1778612557.268653</t>
  </si>
  <si>
    <t>FlexPBX-1778612503.268613</t>
  </si>
  <si>
    <t>FlexPBX-1778612445.268584</t>
  </si>
  <si>
    <t>FlexPBX-1778612436.268576</t>
  </si>
  <si>
    <t>FlexPBX-1778612380.268562</t>
  </si>
  <si>
    <t>FlexPBX-1778612324.268540</t>
  </si>
  <si>
    <t>FlexPBX-1778612157.268467</t>
  </si>
  <si>
    <t>FlexPBX-1778611598.268427</t>
  </si>
  <si>
    <t>FlexPBX-1778611540.268407</t>
  </si>
  <si>
    <t>FlexPBX-1778611512.268391</t>
  </si>
  <si>
    <t>FlexPBX-1778611470.268371</t>
  </si>
  <si>
    <t>FlexPBX-1778611458.268363</t>
  </si>
  <si>
    <t>FlexPBX-1778611326.268334</t>
  </si>
  <si>
    <t>FlexPBX-1778610875.268280</t>
  </si>
  <si>
    <t>FlexPBX-1778610818.268254</t>
  </si>
  <si>
    <t>FlexPBX-1778610791.268234</t>
  </si>
  <si>
    <t>FlexPBX-1778610790.268230</t>
  </si>
  <si>
    <t>FlexPBX-1778610773.268214</t>
  </si>
  <si>
    <t>FlexPBX-1778610687.268187</t>
  </si>
  <si>
    <t>FlexPBX-1778610618.268174</t>
  </si>
  <si>
    <t>FlexPBX-1778610599.268166</t>
  </si>
  <si>
    <t>FlexPBX-1778610523.268161</t>
  </si>
  <si>
    <t>FlexPBX-1778610394.268124</t>
  </si>
  <si>
    <t>FlexPBX-1778610373.268104</t>
  </si>
  <si>
    <t>FlexPBX-1778610326.268068</t>
  </si>
  <si>
    <t>FlexPBX-1778610315.268052</t>
  </si>
  <si>
    <t>FlexPBX-1778610301.268030</t>
  </si>
  <si>
    <t>FlexPBX-1778610255.268009</t>
  </si>
  <si>
    <t>FlexPBX-1778609871.267971</t>
  </si>
  <si>
    <t>FlexPBX-1778609820.267944</t>
  </si>
  <si>
    <t>FlexPBX-1778609697.267924</t>
  </si>
  <si>
    <t>FlexPBX-1778609629.267907</t>
  </si>
  <si>
    <t>FlexPBX-1778609515.267899</t>
  </si>
  <si>
    <t>FlexPBX-1778609508.267891</t>
  </si>
  <si>
    <t>FlexPBX-1778609463.267872</t>
  </si>
  <si>
    <t>FlexPBX-1778609417.267832</t>
  </si>
  <si>
    <t>FlexPBX-1778609404.267823</t>
  </si>
  <si>
    <t>FlexPBX-1778609307.267805</t>
  </si>
  <si>
    <t>FlexPBX-1778609289.267797</t>
  </si>
  <si>
    <t>FlexPBX-1778609123.267718</t>
  </si>
  <si>
    <t>FlexPBX-1778609071.267679</t>
  </si>
  <si>
    <t>FlexPBX-1778608864.267663</t>
  </si>
  <si>
    <t>FlexPBX-1778608851.267655</t>
  </si>
  <si>
    <t>FlexPBX-1778608837.267647</t>
  </si>
  <si>
    <t>FlexPBX-1778608767.267635</t>
  </si>
  <si>
    <t>FlexPBX-1778608738.267621</t>
  </si>
  <si>
    <t>FlexPBX-1778608600.267591</t>
  </si>
  <si>
    <t>FlexPBX-1778608549.267573</t>
  </si>
  <si>
    <t>FlexPBX-1778608526.267561</t>
  </si>
  <si>
    <t>FlexPBX-1778608473.267530</t>
  </si>
  <si>
    <t>FlexPBX-1778608421.267501</t>
  </si>
  <si>
    <t>FlexPBX-1778608405.267497</t>
  </si>
  <si>
    <t>FlexPBX-1778608245.267469</t>
  </si>
  <si>
    <t>FlexPBX-1778608152.267437</t>
  </si>
  <si>
    <t>FlexPBX-1778608118.267423</t>
  </si>
  <si>
    <t>FlexPBX-1778607998.267365</t>
  </si>
  <si>
    <t>FlexPBX-1778607969.267357</t>
  </si>
  <si>
    <t>FlexPBX-1778607958.267343</t>
  </si>
  <si>
    <t>FlexPBX-1778607503.267313</t>
  </si>
  <si>
    <t>FlexPBX-1778607464.267305</t>
  </si>
  <si>
    <t>FlexPBX-1778607416.267300</t>
  </si>
  <si>
    <t>FlexPBX-1778607287.267292</t>
  </si>
  <si>
    <t>FlexPBX-1778607275.267282</t>
  </si>
  <si>
    <t>FlexPBX-1778607261.267274</t>
  </si>
  <si>
    <t>FlexPBX-1778607254.267266</t>
  </si>
  <si>
    <t>FlexPBX-1778607230.267254</t>
  </si>
  <si>
    <t>FlexPBX-1778607213.267246</t>
  </si>
  <si>
    <t>FlexPBX-1778607180.267232</t>
  </si>
  <si>
    <t>FlexPBX-1778607109.267218</t>
  </si>
  <si>
    <t>FlexPBX-1778607103.267210</t>
  </si>
  <si>
    <t>FlexPBX-1778606966.267192</t>
  </si>
  <si>
    <t>FlexPBX-1778606879.267140</t>
  </si>
  <si>
    <t>FlexPBX-1778606175.267080</t>
  </si>
  <si>
    <t>FlexPBX-1778606165.267072</t>
  </si>
  <si>
    <t>FlexPBX-1778606164.267068</t>
  </si>
  <si>
    <t>FlexPBX-1778606158.267056</t>
  </si>
  <si>
    <t>FlexPBX-1778605373.267012</t>
  </si>
  <si>
    <t>FlexPBX-1778605073.266998</t>
  </si>
  <si>
    <t>FlexPBX-1778604889.266984</t>
  </si>
  <si>
    <t>FlexPBX-1778604747.266949</t>
  </si>
  <si>
    <t>FlexPBX-1778604056.266906</t>
  </si>
  <si>
    <t>FlexPBX-1778603903.266891</t>
  </si>
  <si>
    <t>FlexPBX-1778603895.266874</t>
  </si>
  <si>
    <t>FlexPBX-1778603866.266860</t>
  </si>
  <si>
    <t>FlexPBX-1778603743.266838</t>
  </si>
  <si>
    <t>FlexPBX-1778603716.266830</t>
  </si>
  <si>
    <t>FlexPBX-1778603710.266822</t>
  </si>
  <si>
    <t>FlexPBX-1778603552.266776</t>
  </si>
  <si>
    <t>FlexPBX-1778603530.266768</t>
  </si>
  <si>
    <t>FlexPBX-1778603435.266704</t>
  </si>
  <si>
    <t>FlexPBX-1778603413.266693</t>
  </si>
  <si>
    <t>FlexPBX-1778603052.266688</t>
  </si>
  <si>
    <t>FlexPBX-1778602623.266669</t>
  </si>
  <si>
    <t>FlexPBX-1778597205.266639</t>
  </si>
  <si>
    <t>FlexPBX-1778596651.266613</t>
  </si>
  <si>
    <t>FlexPBX-1778596069.266600</t>
  </si>
  <si>
    <t>FlexPBX-1778595368.266574</t>
  </si>
  <si>
    <t>FlexPBX-1778595287.266540</t>
  </si>
  <si>
    <t>FlexPBX-1778595168.266484</t>
  </si>
  <si>
    <t>FlexPBX-1778595110.266476</t>
  </si>
  <si>
    <t>FlexPBX-1778594774.266446</t>
  </si>
  <si>
    <t>FlexPBX-1778594731.266441</t>
  </si>
  <si>
    <t>FlexPBX-1778594629.266423</t>
  </si>
  <si>
    <t>FlexPBX-1778594192.266369</t>
  </si>
  <si>
    <t>FlexPBX-1778594096.266317</t>
  </si>
  <si>
    <t>FlexPBX-1778594076.266308</t>
  </si>
  <si>
    <t>FlexPBX-1778594013.266286</t>
  </si>
  <si>
    <t>FlexPBX-1778593982.266277</t>
  </si>
  <si>
    <t>FlexPBX-1778593578.266263</t>
  </si>
  <si>
    <t>FlexPBX-1778592921.266241</t>
  </si>
  <si>
    <t>FlexPBX-1778591951.266187</t>
  </si>
  <si>
    <t>FlexPBX-1778591833.266122</t>
  </si>
  <si>
    <t>FlexPBX-1778591794.266111</t>
  </si>
  <si>
    <t>FlexPBX-1778591655.266095</t>
  </si>
  <si>
    <t>FlexPBX-1778591089.265991</t>
  </si>
  <si>
    <t>FlexPBX-1778591043.265941</t>
  </si>
  <si>
    <t>FlexPBX-1778591028.265930</t>
  </si>
  <si>
    <t>FlexPBX-1778591021.265919</t>
  </si>
  <si>
    <t>FlexPBX-1778590974.265902</t>
  </si>
  <si>
    <t>FlexPBX-1778590640.265849</t>
  </si>
  <si>
    <t>FlexPBX-1778590344.265841</t>
  </si>
  <si>
    <t>FlexPBX-1778589948.265764</t>
  </si>
  <si>
    <t>FlexPBX-1778589789.265750</t>
  </si>
  <si>
    <t>FlexPBX-1778589730.265742</t>
  </si>
  <si>
    <t>FlexPBX-1778589470.265709</t>
  </si>
  <si>
    <t>FlexPBX-1778589191.265701</t>
  </si>
  <si>
    <t>FlexPBX-1778588276.265630</t>
  </si>
  <si>
    <t>FlexPBX-1778587891.265616</t>
  </si>
  <si>
    <t>FlexPBX-1778587886.265608</t>
  </si>
  <si>
    <t>FlexPBX-1778587679.265600</t>
  </si>
  <si>
    <t>FlexPBX-1778587632.265586</t>
  </si>
  <si>
    <t>FlexPBX-1778587625.265578</t>
  </si>
  <si>
    <t>FlexPBX-1778587447.265554</t>
  </si>
  <si>
    <t>FlexPBX-1778587243.265542</t>
  </si>
  <si>
    <t>FlexPBX-1778587159.265502</t>
  </si>
  <si>
    <t>FlexPBX-1778586882.265478</t>
  </si>
  <si>
    <t>FlexPBX-1778586164.265444</t>
  </si>
  <si>
    <t>FlexPBX-1778586050.265410</t>
  </si>
  <si>
    <t>FlexPBX-1778586030.265407</t>
  </si>
  <si>
    <t>FlexPBX-1778585988.265399</t>
  </si>
  <si>
    <t>FlexPBX-1778585745.265365</t>
  </si>
  <si>
    <t>FlexPBX-1778585530.265293</t>
  </si>
  <si>
    <t>FlexPBX-1778585032.265288</t>
  </si>
  <si>
    <t>FlexPBX-1778584399.265274</t>
  </si>
  <si>
    <t>FlexPBX-1778584381.265266</t>
  </si>
  <si>
    <t>FlexPBX-1778530735.265208</t>
  </si>
  <si>
    <t>FlexPBX-1778530664.265186</t>
  </si>
  <si>
    <t>FlexPBX-1778530632.265174</t>
  </si>
  <si>
    <t>FlexPBX-1778530499.265148</t>
  </si>
  <si>
    <t>FlexPBX-1778530444.265134</t>
  </si>
  <si>
    <t>FlexPBX-1778530359.265106</t>
  </si>
  <si>
    <t>FlexPBX-1778530302.265098</t>
  </si>
  <si>
    <t>FlexPBX-1778530293.265083</t>
  </si>
  <si>
    <t>FlexPBX-1778530271.265076</t>
  </si>
  <si>
    <t>FlexPBX-1778530256.265071</t>
  </si>
  <si>
    <t>FlexPBX-1778530239.265068</t>
  </si>
  <si>
    <t>FlexPBX-1778529789.265036</t>
  </si>
  <si>
    <t>FlexPBX-1778529779.265033</t>
  </si>
  <si>
    <t>FlexPBX-1778529669.265020</t>
  </si>
  <si>
    <t>FlexPBX-1778529642.265006</t>
  </si>
  <si>
    <t>FlexPBX-1778529476.264998</t>
  </si>
  <si>
    <t>FlexPBX-1778529353.264993</t>
  </si>
  <si>
    <t>FlexPBX-1778529040.264972</t>
  </si>
  <si>
    <t>FlexPBX-1778528853.264959</t>
  </si>
  <si>
    <t>FlexPBX-1778528737.264931</t>
  </si>
  <si>
    <t>FlexPBX-1778528686.264917</t>
  </si>
  <si>
    <t>FlexPBX-1778528153.264826</t>
  </si>
  <si>
    <t>FlexPBX-1778528078.264740</t>
  </si>
  <si>
    <t>FlexPBX-1778527667.264690</t>
  </si>
  <si>
    <t>FlexPBX-1778527659.264675</t>
  </si>
  <si>
    <t>FlexPBX-1778527542.264585</t>
  </si>
  <si>
    <t>FlexPBX-1778527168.264513</t>
  </si>
  <si>
    <t>FlexPBX-1778527137.264497</t>
  </si>
  <si>
    <t>FlexPBX-1778526976.264435</t>
  </si>
  <si>
    <t>FlexPBX-1778526789.264421</t>
  </si>
  <si>
    <t>FlexPBX-1778526784.264413</t>
  </si>
  <si>
    <t>FlexPBX-1778526494.264377</t>
  </si>
  <si>
    <t>FlexPBX-1778526121.264372</t>
  </si>
  <si>
    <t>FlexPBX-1778524952.264358</t>
  </si>
  <si>
    <t>FlexPBX-1778524267.264330</t>
  </si>
  <si>
    <t>FlexPBX-1778523660.264319</t>
  </si>
  <si>
    <t>FlexPBX-1778523356.264307</t>
  </si>
  <si>
    <t>FlexPBX-1778523352.264295</t>
  </si>
  <si>
    <t>FlexPBX-1778522629.264206</t>
  </si>
  <si>
    <t>FlexPBX-1778522585.264201</t>
  </si>
  <si>
    <t>FlexPBX-1778522304.264146</t>
  </si>
  <si>
    <t>FlexPBX-1778522184.264138</t>
  </si>
  <si>
    <t>FlexPBX-1778522116.264130</t>
  </si>
  <si>
    <t>FlexPBX-1778521530.264110</t>
  </si>
  <si>
    <t>FlexPBX-1778521503.264102</t>
  </si>
  <si>
    <t>FlexPBX-1778521394.264086</t>
  </si>
  <si>
    <t>FlexPBX-1778521259.264061</t>
  </si>
  <si>
    <t>FlexPBX-1778521222.264044</t>
  </si>
  <si>
    <t>FlexPBX-1778521198.264037</t>
  </si>
  <si>
    <t>FlexPBX-1778521172.264028</t>
  </si>
  <si>
    <t>FlexPBX-1778521109.264008</t>
  </si>
  <si>
    <t>FlexPBX-1778521057.263974</t>
  </si>
  <si>
    <t>FlexPBX-1778520792.263839</t>
  </si>
  <si>
    <t>FlexPBX-1778520182.263802</t>
  </si>
  <si>
    <t>FlexPBX-1778519712.263761</t>
  </si>
  <si>
    <t>FlexPBX-1778519597.263735</t>
  </si>
  <si>
    <t>FlexPBX-1778519584.263724</t>
  </si>
  <si>
    <t>FlexPBX-1778519542.263717</t>
  </si>
  <si>
    <t>FlexPBX-1778519208.263709</t>
  </si>
  <si>
    <t>FlexPBX-1778518572.263682</t>
  </si>
  <si>
    <t>FlexPBX-1778517953.263648</t>
  </si>
  <si>
    <t>FlexPBX-1778517840.263634</t>
  </si>
  <si>
    <t>FlexPBX-1778517805.263626</t>
  </si>
  <si>
    <t>FlexPBX-1778517734.263610</t>
  </si>
  <si>
    <t>FlexPBX-1778517563.263596</t>
  </si>
  <si>
    <t>FlexPBX-1778517336.263573</t>
  </si>
  <si>
    <t>FlexPBX-1778517122.263531</t>
  </si>
  <si>
    <t>FlexPBX-1778517072.263496</t>
  </si>
  <si>
    <t>FlexPBX-1778510170.263388</t>
  </si>
  <si>
    <t>FlexPBX-1778510093.263334</t>
  </si>
  <si>
    <t>FlexPBX-1778510068.263323</t>
  </si>
  <si>
    <t>FlexPBX-1778510016.263300</t>
  </si>
  <si>
    <t>FlexPBX-1778509677.263276</t>
  </si>
  <si>
    <t>FlexPBX-1778509461.263249</t>
  </si>
  <si>
    <t>FlexPBX-1778509221.263239</t>
  </si>
  <si>
    <t>FlexPBX-1778509006.263195</t>
  </si>
  <si>
    <t>FlexPBX-1778508843.263161</t>
  </si>
  <si>
    <t>FlexPBX-1778508094.263131</t>
  </si>
  <si>
    <t>FlexPBX-1778508057.263109</t>
  </si>
  <si>
    <t>FlexPBX-1778507927.263075</t>
  </si>
  <si>
    <t>FlexPBX-1778507888.263055</t>
  </si>
  <si>
    <t>FlexPBX-1778507767.262998</t>
  </si>
  <si>
    <t>FlexPBX-1778507727.262989</t>
  </si>
  <si>
    <t>FlexPBX-1778507631.262950</t>
  </si>
  <si>
    <t>FlexPBX-1778507367.262940</t>
  </si>
  <si>
    <t>FlexPBX-1778507322.262918</t>
  </si>
  <si>
    <t>FlexPBX-1778507167.262899</t>
  </si>
  <si>
    <t>FlexPBX-1778506868.262871</t>
  </si>
  <si>
    <t>FlexPBX-1778506638.262833</t>
  </si>
  <si>
    <t>FlexPBX-1778506567.262788</t>
  </si>
  <si>
    <t>FlexPBX-1778505998.262754</t>
  </si>
  <si>
    <t>FlexPBX-1778505953.262746</t>
  </si>
  <si>
    <t>FlexPBX-1778505923.262738</t>
  </si>
  <si>
    <t>FlexPBX-1778505908.262725</t>
  </si>
  <si>
    <t>FlexPBX-1778505900.262713</t>
  </si>
  <si>
    <t>FlexPBX-1778505889.262710</t>
  </si>
  <si>
    <t>FlexPBX-1778505652.262687</t>
  </si>
  <si>
    <t>FlexPBX-1778505553.262667</t>
  </si>
  <si>
    <t>FlexPBX-1778505310.262653</t>
  </si>
  <si>
    <t>FlexPBX-1778504994.262630</t>
  </si>
  <si>
    <t>FlexPBX-1778504824.262616</t>
  </si>
  <si>
    <t>FlexPBX-1778504670.262602</t>
  </si>
  <si>
    <t>FlexPBX-1778504658.262594</t>
  </si>
  <si>
    <t>FlexPBX-1778504647.262586</t>
  </si>
  <si>
    <t>FlexPBX-1778504084.262548</t>
  </si>
  <si>
    <t>FlexPBX-1778503948.262534</t>
  </si>
  <si>
    <t>FlexPBX-1778503724.262522</t>
  </si>
  <si>
    <t>FlexPBX-1778503586.262453</t>
  </si>
  <si>
    <t>FlexPBX-1778503583.262449</t>
  </si>
  <si>
    <t>FlexPBX-1778503451.262435</t>
  </si>
  <si>
    <t>FlexPBX-1778503296.262413</t>
  </si>
  <si>
    <t>FlexPBX-1778502933.262391</t>
  </si>
  <si>
    <t>FlexPBX-1778502285.262337</t>
  </si>
  <si>
    <t>FlexPBX-1778502052.262303</t>
  </si>
  <si>
    <t>FlexPBX-1778501900.262289</t>
  </si>
  <si>
    <t>FlexPBX-1778501806.262250</t>
  </si>
  <si>
    <t>FlexPBX-1778501707.262193</t>
  </si>
  <si>
    <t>FlexPBX-1778500145.262162</t>
  </si>
  <si>
    <t>FlexPBX-1778499720.262154</t>
  </si>
  <si>
    <t>FlexPBX-1778499387.262107</t>
  </si>
  <si>
    <t>FlexPBX-1778324610.262102</t>
  </si>
  <si>
    <t>FlexPBX-1778324460.262097</t>
  </si>
  <si>
    <t>FlexPBX-1778273753.262069</t>
  </si>
  <si>
    <t>FlexPBX-1778273736.262053</t>
  </si>
  <si>
    <t>FlexPBX-1778273723.262039</t>
  </si>
  <si>
    <t>FlexPBX-1778273717.262027</t>
  </si>
  <si>
    <t>FlexPBX-1778273619.262012</t>
  </si>
  <si>
    <t>FlexPBX-1778273520.261948</t>
  </si>
  <si>
    <t>FlexPBX-1778273420.261934</t>
  </si>
  <si>
    <t>FlexPBX-1778272312.261926</t>
  </si>
  <si>
    <t>FlexPBX-1778272008.261884</t>
  </si>
  <si>
    <t>FlexPBX-1778271308.261859</t>
  </si>
  <si>
    <t>FlexPBX-1778271233.261845</t>
  </si>
  <si>
    <t>FlexPBX-1778271178.261835</t>
  </si>
  <si>
    <t>FlexPBX-1778271083.261812</t>
  </si>
  <si>
    <t>FlexPBX-1778271042.261794</t>
  </si>
  <si>
    <t>FlexPBX-1778270634.261637</t>
  </si>
  <si>
    <t>FlexPBX-1778270631.261633</t>
  </si>
  <si>
    <t>FlexPBX-1778270129.261572</t>
  </si>
  <si>
    <t>FlexPBX-1778269663.261523</t>
  </si>
  <si>
    <t>FlexPBX-1778269454.261471</t>
  </si>
  <si>
    <t>FlexPBX-1778269038.261455</t>
  </si>
  <si>
    <t>FlexPBX-1778268500.261433</t>
  </si>
  <si>
    <t>FlexPBX-1778268471.261425</t>
  </si>
  <si>
    <t>FlexPBX-1778268433.261417</t>
  </si>
  <si>
    <t>FlexPBX-1778268354.261403</t>
  </si>
  <si>
    <t>FlexPBX-1778268303.261389</t>
  </si>
  <si>
    <t>FlexPBX-1778268140.261358</t>
  </si>
  <si>
    <t>FlexPBX-1778267533.261344</t>
  </si>
  <si>
    <t>FlexPBX-1778267457.261336</t>
  </si>
  <si>
    <t>FlexPBX-1778267390.261296</t>
  </si>
  <si>
    <t>FlexPBX-1778267333.261272</t>
  </si>
  <si>
    <t>FlexPBX-1778267328.261264</t>
  </si>
  <si>
    <t>FlexPBX-1778267324.261260</t>
  </si>
  <si>
    <t>FlexPBX-1778266789.261231</t>
  </si>
  <si>
    <t>FlexPBX-1778266687.261216</t>
  </si>
  <si>
    <t>FlexPBX-1778266371.261203</t>
  </si>
  <si>
    <t>FlexPBX-1778265726.261154</t>
  </si>
  <si>
    <t>FlexPBX-1778265711.261151</t>
  </si>
  <si>
    <t>FlexPBX-1778265478.261112</t>
  </si>
  <si>
    <t>FlexPBX-1778265207.261104</t>
  </si>
  <si>
    <t>FlexPBX-1778264386.261050</t>
  </si>
  <si>
    <t>FlexPBX-1778264097.261020</t>
  </si>
  <si>
    <t>FlexPBX-1778264075.261017</t>
  </si>
  <si>
    <t>FlexPBX-1778263911.260984</t>
  </si>
  <si>
    <t>FlexPBX-1778263714.260927</t>
  </si>
  <si>
    <t>FlexPBX-1778263589.260909</t>
  </si>
  <si>
    <t>FlexPBX-1778263473.260893</t>
  </si>
  <si>
    <t>FlexPBX-1778263307.260867</t>
  </si>
  <si>
    <t>FlexPBX-1778263259.260858</t>
  </si>
  <si>
    <t>FlexPBX-1778263236.260846</t>
  </si>
  <si>
    <t>FlexPBX-1778263187.260838</t>
  </si>
  <si>
    <t>FlexPBX-1778263092.260799</t>
  </si>
  <si>
    <t>FlexPBX-1778263047.260760</t>
  </si>
  <si>
    <t>FlexPBX-1778263018.260757</t>
  </si>
  <si>
    <t>FlexPBX-1778262985.260752</t>
  </si>
  <si>
    <t>FlexPBX-1778262952.260732</t>
  </si>
  <si>
    <t>FlexPBX-1778262307.260718</t>
  </si>
  <si>
    <t>FlexPBX-1778261852.260713</t>
  </si>
  <si>
    <t>FlexPBX-1778260593.260690</t>
  </si>
  <si>
    <t>FlexPBX-1778260537.260680</t>
  </si>
  <si>
    <t>FlexPBX-1778260534.260668</t>
  </si>
  <si>
    <t>FlexPBX-1778260313.260602</t>
  </si>
  <si>
    <t>FlexPBX-1778259749.260538</t>
  </si>
  <si>
    <t>FlexPBX-1778259606.260453</t>
  </si>
  <si>
    <t>FlexPBX-1778258878.260445</t>
  </si>
  <si>
    <t>FlexPBX-1778258268.260414</t>
  </si>
  <si>
    <t>FlexPBX-1778258256.260400</t>
  </si>
  <si>
    <t>FlexPBX-1778258249.260392</t>
  </si>
  <si>
    <t>FlexPBX-1778258244.260389</t>
  </si>
  <si>
    <t>FlexPBX-1778258141.260355</t>
  </si>
  <si>
    <t>FlexPBX-1778257876.260290</t>
  </si>
  <si>
    <t>FlexPBX-1778257844.260279</t>
  </si>
  <si>
    <t>FlexPBX-1778257570.260271</t>
  </si>
  <si>
    <t>FlexPBX-1778251890.260252</t>
  </si>
  <si>
    <t>FlexPBX-1778251576.260165</t>
  </si>
  <si>
    <t>FlexPBX-1778251364.260154</t>
  </si>
  <si>
    <t>FlexPBX-1778251096.260128</t>
  </si>
  <si>
    <t>FlexPBX-1778250850.260095</t>
  </si>
  <si>
    <t>FlexPBX-1778250743.260072</t>
  </si>
  <si>
    <t>FlexPBX-1778250448.260051</t>
  </si>
  <si>
    <t>FlexPBX-1778250419.260043</t>
  </si>
  <si>
    <t>FlexPBX-1778250328.260029</t>
  </si>
  <si>
    <t>FlexPBX-1778250262.260021</t>
  </si>
  <si>
    <t>FlexPBX-1778250125.260007</t>
  </si>
  <si>
    <t>FlexPBX-1778249087.259979</t>
  </si>
  <si>
    <t>FlexPBX-1778248920.259958</t>
  </si>
  <si>
    <t>FlexPBX-1778248533.259944</t>
  </si>
  <si>
    <t>FlexPBX-1778248519.259936</t>
  </si>
  <si>
    <t>FlexPBX-1778248343.259874</t>
  </si>
  <si>
    <t>FlexPBX-1778247958.259851</t>
  </si>
  <si>
    <t>FlexPBX-1778247890.259831</t>
  </si>
  <si>
    <t>FlexPBX-1778247779.259813</t>
  </si>
  <si>
    <t>FlexPBX-1778247759.259810</t>
  </si>
  <si>
    <t>FlexPBX-1778247128.259767</t>
  </si>
  <si>
    <t>FlexPBX-1778247125.259759</t>
  </si>
  <si>
    <t>FlexPBX-1778247088.259752</t>
  </si>
  <si>
    <t>FlexPBX-1778246647.259710</t>
  </si>
  <si>
    <t>FlexPBX-1778246416.259684</t>
  </si>
  <si>
    <t>FlexPBX-1778246410.259680</t>
  </si>
  <si>
    <t>FlexPBX-1778246394.259672</t>
  </si>
  <si>
    <t>FlexPBX-1778245407.259614</t>
  </si>
  <si>
    <t>FlexPBX-1778245190.259597</t>
  </si>
  <si>
    <t>FlexPBX-1778245188.259594</t>
  </si>
  <si>
    <t>FlexPBX-1778245079.259580</t>
  </si>
  <si>
    <t>FlexPBX-1778244601.259550</t>
  </si>
  <si>
    <t>FlexPBX-1778244364.259461</t>
  </si>
  <si>
    <t>FlexPBX-1778244362.259457</t>
  </si>
  <si>
    <t>FlexPBX-1778244350.259443</t>
  </si>
  <si>
    <t>FlexPBX-1778244266.259438</t>
  </si>
  <si>
    <t>FlexPBX-1778244058.259433</t>
  </si>
  <si>
    <t>FlexPBX-1778243953.259413</t>
  </si>
  <si>
    <t>FlexPBX-1778243308.259391</t>
  </si>
  <si>
    <t>FlexPBX-1778243303.259383</t>
  </si>
  <si>
    <t>FlexPBX-1778243112.259351</t>
  </si>
  <si>
    <t>FlexPBX-1778243034.259311</t>
  </si>
  <si>
    <t>FlexPBX-1778242746.259272</t>
  </si>
  <si>
    <t>FlexPBX-1778242396.259258</t>
  </si>
  <si>
    <t>FlexPBX-1778242382.259250</t>
  </si>
  <si>
    <t>FlexPBX-1778242255.259236</t>
  </si>
  <si>
    <t>FlexPBX-1778242242.259228</t>
  </si>
  <si>
    <t>FlexPBX-1778242048.259170</t>
  </si>
  <si>
    <t>FlexPBX-1778241632.259135</t>
  </si>
  <si>
    <t>FlexPBX-1778241458.259096</t>
  </si>
  <si>
    <t>FlexPBX-1778240510.259065</t>
  </si>
  <si>
    <t>FlexPBX-1778239927.259051</t>
  </si>
  <si>
    <t>FlexPBX-1778239856.259009</t>
  </si>
  <si>
    <t>FlexPBX-1778239530.259004</t>
  </si>
  <si>
    <t>FlexPBX-1778239392.258999</t>
  </si>
  <si>
    <t>FlexPBX-1778238856.258994</t>
  </si>
  <si>
    <t>FlexPBX-1778238736.258989</t>
  </si>
  <si>
    <t>FlexPBX-1778238181.258984</t>
  </si>
  <si>
    <t>FlexPBX-1778187400.258979</t>
  </si>
  <si>
    <t>FlexPBX-1778186908.258957</t>
  </si>
  <si>
    <t>FlexPBX-1778186609.258930</t>
  </si>
  <si>
    <t>FlexPBX-1778186413.258916</t>
  </si>
  <si>
    <t>FlexPBX-1778186371.258900</t>
  </si>
  <si>
    <t>FlexPBX-1778186248.258888</t>
  </si>
  <si>
    <t>FlexPBX-1778186192.258876</t>
  </si>
  <si>
    <t>FlexPBX-1778186014.258862</t>
  </si>
  <si>
    <t>FlexPBX-1778185933.258854</t>
  </si>
  <si>
    <t>FlexPBX-1778185880.258846</t>
  </si>
  <si>
    <t>FlexPBX-1778185816.258832</t>
  </si>
  <si>
    <t>FlexPBX-1778185648.258797</t>
  </si>
  <si>
    <t>FlexPBX-1778185641.258794</t>
  </si>
  <si>
    <t>FlexPBX-1778185590.258753</t>
  </si>
  <si>
    <t>FlexPBX-1778185523.258720</t>
  </si>
  <si>
    <t>FlexPBX-1778185381.258700</t>
  </si>
  <si>
    <t>FlexPBX-1778185221.258686</t>
  </si>
  <si>
    <t>FlexPBX-1778185044.258670</t>
  </si>
  <si>
    <t>FlexPBX-1778185040.258666</t>
  </si>
  <si>
    <t>FlexPBX-1778184977.258640</t>
  </si>
  <si>
    <t>FlexPBX-1778184360.258622</t>
  </si>
  <si>
    <t>FlexPBX-1778183966.258606</t>
  </si>
  <si>
    <t>FlexPBX-1778183654.258558</t>
  </si>
  <si>
    <t>FlexPBX-1778183524.258518</t>
  </si>
  <si>
    <t>FlexPBX-1778183354.258418</t>
  </si>
  <si>
    <t>FlexPBX-1778182734.258378</t>
  </si>
  <si>
    <t>FlexPBX-1778182678.258370</t>
  </si>
  <si>
    <t>FlexPBX-1778182674.258365</t>
  </si>
  <si>
    <t>FlexPBX-1778182583.258350</t>
  </si>
  <si>
    <t>FlexPBX-1778182557.258336</t>
  </si>
  <si>
    <t>FlexPBX-1778182304.258328</t>
  </si>
  <si>
    <t>FlexPBX-1778181867.258231</t>
  </si>
  <si>
    <t>FlexPBX-1778181853.258228</t>
  </si>
  <si>
    <t>FlexPBX-1778181809.258205</t>
  </si>
  <si>
    <t>FlexPBX-1778181779.258194</t>
  </si>
  <si>
    <t>FlexPBX-1778181721.258186</t>
  </si>
  <si>
    <t>FlexPBX-1778181715.258178</t>
  </si>
  <si>
    <t>FlexPBX-1778180987.258162</t>
  </si>
  <si>
    <t>FlexPBX-1778180526.258082</t>
  </si>
  <si>
    <t>FlexPBX-1778180512.258077</t>
  </si>
  <si>
    <t>FlexPBX-1778180406.258072</t>
  </si>
  <si>
    <t>FlexPBX-1778179226.258032</t>
  </si>
  <si>
    <t>FlexPBX-1778178911.257934</t>
  </si>
  <si>
    <t>FlexPBX-1778178748.257917</t>
  </si>
  <si>
    <t>FlexPBX-1778178721.257911</t>
  </si>
  <si>
    <t>FlexPBX-1778178717.257905</t>
  </si>
  <si>
    <t>FlexPBX-1778178706.257897</t>
  </si>
  <si>
    <t>FlexPBX-1778178686.257893</t>
  </si>
  <si>
    <t>FlexPBX-1778178681.257889</t>
  </si>
  <si>
    <t>FlexPBX-1778178675.257885</t>
  </si>
  <si>
    <t>FlexPBX-1778178253.257851</t>
  </si>
  <si>
    <t>FlexPBX-1778178118.257832</t>
  </si>
  <si>
    <t>FlexPBX-1778178064.257824</t>
  </si>
  <si>
    <t>FlexPBX-1778177981.257802</t>
  </si>
  <si>
    <t>FlexPBX-1778177740.257788</t>
  </si>
  <si>
    <t>FlexPBX-1778177083.257752</t>
  </si>
  <si>
    <t>FlexPBX-1778176699.257735</t>
  </si>
  <si>
    <t>FlexPBX-1778176567.257714</t>
  </si>
  <si>
    <t>FlexPBX-1778176315.257675</t>
  </si>
  <si>
    <t>FlexPBX-1778176183.257651</t>
  </si>
  <si>
    <t>FlexPBX-1778176101.257638</t>
  </si>
  <si>
    <t>FlexPBX-1778176052.257620</t>
  </si>
  <si>
    <t>FlexPBX-1778176016.257592</t>
  </si>
  <si>
    <t>FlexPBX-1778176011.257580</t>
  </si>
  <si>
    <t>FlexPBX-1778175980.257551</t>
  </si>
  <si>
    <t>FlexPBX-1778175520.257452</t>
  </si>
  <si>
    <t>FlexPBX-1778175361.257424</t>
  </si>
  <si>
    <t>FlexPBX-1778175100.257361</t>
  </si>
  <si>
    <t>FlexPBX-1778175038.257326</t>
  </si>
  <si>
    <t>FlexPBX-1778174766.257306</t>
  </si>
  <si>
    <t>FlexPBX-1778174529.257295</t>
  </si>
  <si>
    <t>FlexPBX-1778174366.257276</t>
  </si>
  <si>
    <t>FlexPBX-1778174118.257257</t>
  </si>
  <si>
    <t>FlexPBX-1778174000.257210</t>
  </si>
  <si>
    <t>FlexPBX-1778173843.257178</t>
  </si>
  <si>
    <t>FlexPBX-1778173759.257166</t>
  </si>
  <si>
    <t>FlexPBX-1778173480.257120</t>
  </si>
  <si>
    <t>FlexPBX-1778173413.257112</t>
  </si>
  <si>
    <t>FlexPBX-1778173390.257104</t>
  </si>
  <si>
    <t>FlexPBX-1778173135.257084</t>
  </si>
  <si>
    <t>FlexPBX-1778173050.257049</t>
  </si>
  <si>
    <t>FlexPBX-1778173021.257040</t>
  </si>
  <si>
    <t>FlexPBX-1778172393.257009</t>
  </si>
  <si>
    <t>FlexPBX-1778172388.257001</t>
  </si>
  <si>
    <t>FlexPBX-1778172333.256975</t>
  </si>
  <si>
    <t>FlexPBX-1778171907.256957</t>
  </si>
  <si>
    <t>FlexPBX-1778171807.256941</t>
  </si>
  <si>
    <t>FlexPBX-1778171802.256929</t>
  </si>
  <si>
    <t>FlexPBX-1778171649.256911</t>
  </si>
  <si>
    <t>FlexPBX-1778171538.256883</t>
  </si>
  <si>
    <t>FlexPBX-1778171487.256856</t>
  </si>
  <si>
    <t>FlexPBX-1778171397.256848</t>
  </si>
  <si>
    <t>FlexPBX-1778171303.256834</t>
  </si>
  <si>
    <t>FlexPBX-1778171292.256826</t>
  </si>
  <si>
    <t>FlexPBX-1778170357.256821</t>
  </si>
  <si>
    <t>FlexPBX-1778167816.256816</t>
  </si>
  <si>
    <t>FlexPBX-1778165332.256778</t>
  </si>
  <si>
    <t>FlexPBX-1778164761.256768</t>
  </si>
  <si>
    <t>FlexPBX-1778164755.256760</t>
  </si>
  <si>
    <t>FlexPBX-1778164371.256722</t>
  </si>
  <si>
    <t>FlexPBX-1778163474.256615</t>
  </si>
  <si>
    <t>FlexPBX-1778163448.256599</t>
  </si>
  <si>
    <t>FlexPBX-1778163439.256592</t>
  </si>
  <si>
    <t>FlexPBX-1778163166.256550</t>
  </si>
  <si>
    <t>FlexPBX-1778162847.256538</t>
  </si>
  <si>
    <t>FlexPBX-1778162727.256524</t>
  </si>
  <si>
    <t>FlexPBX-1778162694.256497</t>
  </si>
  <si>
    <t>FlexPBX-1778162693.256493</t>
  </si>
  <si>
    <t>FlexPBX-1778162678.256477</t>
  </si>
  <si>
    <t>FlexPBX-1778162668.256463</t>
  </si>
  <si>
    <t>FlexPBX-1778162655.256454</t>
  </si>
  <si>
    <t>FlexPBX-1778162373.256382</t>
  </si>
  <si>
    <t>FlexPBX-1778162358.256375</t>
  </si>
  <si>
    <t>FlexPBX-1778162312.256364</t>
  </si>
  <si>
    <t>FlexPBX-1778162104.256332</t>
  </si>
  <si>
    <t>FlexPBX-1778162063.256317</t>
  </si>
  <si>
    <t>FlexPBX-1778161964.256286</t>
  </si>
  <si>
    <t>FlexPBX-1778161874.256281</t>
  </si>
  <si>
    <t>FlexPBX-1778161755.256273</t>
  </si>
  <si>
    <t>FlexPBX-1778161328.256258</t>
  </si>
  <si>
    <t>FlexPBX-1778161281.256250</t>
  </si>
  <si>
    <t>FlexPBX-1778160977.256198</t>
  </si>
  <si>
    <t>FlexPBX-1778160437.256182</t>
  </si>
  <si>
    <t>FlexPBX-1778160374.256146</t>
  </si>
  <si>
    <t>FlexPBX-1778160327.256138</t>
  </si>
  <si>
    <t>FlexPBX-1778160080.256113</t>
  </si>
  <si>
    <t>FlexPBX-1778159942.256073</t>
  </si>
  <si>
    <t>FlexPBX-1778159300.256050</t>
  </si>
  <si>
    <t>FlexPBX-1778159092.256024</t>
  </si>
  <si>
    <t>FlexPBX-1778158994.256008</t>
  </si>
  <si>
    <t>FlexPBX-1778158737.255954</t>
  </si>
  <si>
    <t>FlexPBX-1778158404.255916</t>
  </si>
  <si>
    <t>FlexPBX-1778157818.255883</t>
  </si>
  <si>
    <t>FlexPBX-1778157663.255858</t>
  </si>
  <si>
    <t>FlexPBX-1778157572.255846</t>
  </si>
  <si>
    <t>FlexPBX-1778157305.255816</t>
  </si>
  <si>
    <t>FlexPBX-1778157163.255734</t>
  </si>
  <si>
    <t>FlexPBX-1778157120.255719</t>
  </si>
  <si>
    <t>FlexPBX-1778156917.255640</t>
  </si>
  <si>
    <t>FlexPBX-1778156156.255606</t>
  </si>
  <si>
    <t>FlexPBX-1778155339.255546</t>
  </si>
  <si>
    <t>FlexPBX-1778155243.255526</t>
  </si>
  <si>
    <t>FlexPBX-1778155012.255516</t>
  </si>
  <si>
    <t>FlexPBX-1778154916.255487</t>
  </si>
  <si>
    <t>FlexPBX-1778154852.255459</t>
  </si>
  <si>
    <t>FlexPBX-1778154830.255452</t>
  </si>
  <si>
    <t>FlexPBX-1778154755.255444</t>
  </si>
  <si>
    <t>FlexPBX-1778154676.255436</t>
  </si>
  <si>
    <t>FlexPBX-1778154624.255422</t>
  </si>
  <si>
    <t>FlexPBX-1778154605.255414</t>
  </si>
  <si>
    <t>FlexPBX-1778154315.255392</t>
  </si>
  <si>
    <t>FlexPBX-1778154137.255322</t>
  </si>
  <si>
    <t>FlexPBX-1778154065.255273</t>
  </si>
  <si>
    <t>FlexPBX-1778154055.255270</t>
  </si>
  <si>
    <t>FlexPBX-1778153598.255249</t>
  </si>
  <si>
    <t>FlexPBX-1778153505.255241</t>
  </si>
  <si>
    <t>FlexPBX-1778153219.255225</t>
  </si>
  <si>
    <t>FlexPBX-1778153214.255222</t>
  </si>
  <si>
    <t>FlexPBX-1778152918.255208</t>
  </si>
  <si>
    <t>FlexPBX-1778151909.255203</t>
  </si>
  <si>
    <t>FlexPBX-1778151795.255189</t>
  </si>
  <si>
    <t>FlexPBX-1778099096.255151</t>
  </si>
  <si>
    <t>FlexPBX-1778098799.255143</t>
  </si>
  <si>
    <t>FlexPBX-1778098331.255118</t>
  </si>
  <si>
    <t>FlexPBX-1778098260.255054</t>
  </si>
  <si>
    <t>FlexPBX-1778098214.255039</t>
  </si>
  <si>
    <t>FlexPBX-1778098160.255034</t>
  </si>
  <si>
    <t>FlexPBX-1778098065.255026</t>
  </si>
  <si>
    <t>FlexPBX-1778098000.255012</t>
  </si>
  <si>
    <t>FlexPBX-1778097896.254950</t>
  </si>
  <si>
    <t>FlexPBX-1778097821.254945</t>
  </si>
  <si>
    <t>FlexPBX-1778097718.254928</t>
  </si>
  <si>
    <t>FlexPBX-1778097687.254920</t>
  </si>
  <si>
    <t>FlexPBX-1778097650.254912</t>
  </si>
  <si>
    <t>FlexPBX-1778097608.254896</t>
  </si>
  <si>
    <t>FlexPBX-1778097599.254888</t>
  </si>
  <si>
    <t>FlexPBX-1778097558.254880</t>
  </si>
  <si>
    <t>FlexPBX-1778097438.254852</t>
  </si>
  <si>
    <t>FlexPBX-1778097347.254838</t>
  </si>
  <si>
    <t>FlexPBX-1778097250.254816</t>
  </si>
  <si>
    <t>FlexPBX-1778097237.254813</t>
  </si>
  <si>
    <t>FlexPBX-1778096809.254757</t>
  </si>
  <si>
    <t>FlexPBX-1778096676.254741</t>
  </si>
  <si>
    <t>FlexPBX-1778096590.254729</t>
  </si>
  <si>
    <t>FlexPBX-1778096461.254721</t>
  </si>
  <si>
    <t>FlexPBX-1778096441.254713</t>
  </si>
  <si>
    <t>FlexPBX-1778096260.254705</t>
  </si>
  <si>
    <t>FlexPBX-1778096198.254691</t>
  </si>
  <si>
    <t>FlexPBX-1778096092.254675</t>
  </si>
  <si>
    <t>FlexPBX-1778096040.254663</t>
  </si>
  <si>
    <t>FlexPBX-1778095846.254630</t>
  </si>
  <si>
    <t>FlexPBX-1778095821.254621</t>
  </si>
  <si>
    <t>FlexPBX-1778095682.254584</t>
  </si>
  <si>
    <t>FlexPBX-1778095681.254581</t>
  </si>
  <si>
    <t>FlexPBX-1778095527.254535</t>
  </si>
  <si>
    <t>FlexPBX-1778095260.254424</t>
  </si>
  <si>
    <t>FlexPBX-1778095025.254385</t>
  </si>
  <si>
    <t>FlexPBX-1778094892.254354</t>
  </si>
  <si>
    <t>FlexPBX-1778094856.254335</t>
  </si>
  <si>
    <t>FlexPBX-1778094723.254283</t>
  </si>
  <si>
    <t>FlexPBX-1778094613.254211</t>
  </si>
  <si>
    <t>FlexPBX-1778094593.254208</t>
  </si>
  <si>
    <t>FlexPBX-1778094346.254169</t>
  </si>
  <si>
    <t>FlexPBX-1778094245.254153</t>
  </si>
  <si>
    <t>FlexPBX-1778094152.254139</t>
  </si>
  <si>
    <t>FlexPBX-1778094071.254116</t>
  </si>
  <si>
    <t>FlexPBX-1778094023.254105</t>
  </si>
  <si>
    <t>FlexPBX-1778093783.254074</t>
  </si>
  <si>
    <t>FlexPBX-1778093579.254033</t>
  </si>
  <si>
    <t>FlexPBX-1778093374.254010</t>
  </si>
  <si>
    <t>FlexPBX-1778092963.253951</t>
  </si>
  <si>
    <t>FlexPBX-1778092922.253936</t>
  </si>
  <si>
    <t>FlexPBX-1778092888.253926</t>
  </si>
  <si>
    <t>FlexPBX-1778092794.253894</t>
  </si>
  <si>
    <t>FlexPBX-1778092762.253884</t>
  </si>
  <si>
    <t>FlexPBX-1778092716.253851</t>
  </si>
  <si>
    <t>FlexPBX-1778092707.253847</t>
  </si>
  <si>
    <t>FlexPBX-1778092674.253833</t>
  </si>
  <si>
    <t>FlexPBX-1778092659.253825</t>
  </si>
  <si>
    <t>FlexPBX-1778092507.253805</t>
  </si>
  <si>
    <t>FlexPBX-1778092433.253791</t>
  </si>
  <si>
    <t>FlexPBX-1778092397.253777</t>
  </si>
  <si>
    <t>FlexPBX-1778092379.253755</t>
  </si>
  <si>
    <t>FlexPBX-1778092369.253747</t>
  </si>
  <si>
    <t>FlexPBX-1778092266.253736</t>
  </si>
  <si>
    <t>FlexPBX-1778092126.253708</t>
  </si>
  <si>
    <t>FlexPBX-1778092122.253700</t>
  </si>
  <si>
    <t>FlexPBX-1778091843.253670</t>
  </si>
  <si>
    <t>FlexPBX-1778091799.253656</t>
  </si>
  <si>
    <t>FlexPBX-1778091757.253640</t>
  </si>
  <si>
    <t>FlexPBX-1778091678.253618</t>
  </si>
  <si>
    <t>FlexPBX-1778091468.253506</t>
  </si>
  <si>
    <t>FlexPBX-1778091399.253477</t>
  </si>
  <si>
    <t>FlexPBX-1778091285.253463</t>
  </si>
  <si>
    <t>FlexPBX-1778091163.253427</t>
  </si>
  <si>
    <t>FlexPBX-1778091158.253424</t>
  </si>
  <si>
    <t>FlexPBX-1778091094.253410</t>
  </si>
  <si>
    <t>FlexPBX-1778091007.253402</t>
  </si>
  <si>
    <t>FlexPBX-1778090981.253394</t>
  </si>
  <si>
    <t>FlexPBX-1778090788.253384</t>
  </si>
  <si>
    <t>FlexPBX-1778090785.253376</t>
  </si>
  <si>
    <t>FlexPBX-1778090705.253358</t>
  </si>
  <si>
    <t>FlexPBX-1778090700.253350</t>
  </si>
  <si>
    <t>FlexPBX-1778090634.253327</t>
  </si>
  <si>
    <t>FlexPBX-1778090261.253261</t>
  </si>
  <si>
    <t>FlexPBX-1778090239.253237</t>
  </si>
  <si>
    <t>FlexPBX-1778090197.253208</t>
  </si>
  <si>
    <t>FlexPBX-1778090137.253182</t>
  </si>
  <si>
    <t>FlexPBX-1778089131.253119</t>
  </si>
  <si>
    <t>FlexPBX-1778089130.253117</t>
  </si>
  <si>
    <t>FlexPBX-1778089065.253099</t>
  </si>
  <si>
    <t>FlexPBX-1778089057.253095</t>
  </si>
  <si>
    <t>FlexPBX-1778089053.253092</t>
  </si>
  <si>
    <t>FlexPBX-1778089040.253088</t>
  </si>
  <si>
    <t>FlexPBX-1778088796.253006</t>
  </si>
  <si>
    <t>FlexPBX-1778088783.252995</t>
  </si>
  <si>
    <t>FlexPBX-1778088733.252968</t>
  </si>
  <si>
    <t>FlexPBX-1778088692.252960</t>
  </si>
  <si>
    <t>FlexPBX-1778088590.252952</t>
  </si>
  <si>
    <t>FlexPBX-1778088412.252938</t>
  </si>
  <si>
    <t>FlexPBX-1778088032.252924</t>
  </si>
  <si>
    <t>FlexPBX-1778087528.252899</t>
  </si>
  <si>
    <t>FlexPBX-1778087441.252885</t>
  </si>
  <si>
    <t>FlexPBX-1778087253.252863</t>
  </si>
  <si>
    <t>FlexPBX-1778087073.252830</t>
  </si>
  <si>
    <t>FlexPBX-1778086863.252804</t>
  </si>
  <si>
    <t>FlexPBX-1778086853.252801</t>
  </si>
  <si>
    <t>FlexPBX-1778086641.252773</t>
  </si>
  <si>
    <t>FlexPBX-1778086285.252759</t>
  </si>
  <si>
    <t>FlexPBX-1778085736.252683</t>
  </si>
  <si>
    <t>FlexPBX-1778085709.252680</t>
  </si>
  <si>
    <t>FlexPBX-1778085552.252657</t>
  </si>
  <si>
    <t>FlexPBX-1778085419.252647</t>
  </si>
  <si>
    <t>FlexPBX-1778085290.252604</t>
  </si>
  <si>
    <t>FlexPBX-1778085060.252568</t>
  </si>
  <si>
    <t>FlexPBX-1778083454.252563</t>
  </si>
  <si>
    <t>FlexPBX-1778083275.252558</t>
  </si>
  <si>
    <t>FlexPBX-1778079060.252553</t>
  </si>
  <si>
    <t>FlexPBX-1778078971.252545</t>
  </si>
  <si>
    <t>FlexPBX-1778078883.252537</t>
  </si>
  <si>
    <t>FlexPBX-1778078770.252529</t>
  </si>
  <si>
    <t>FlexPBX-1778078712.252521</t>
  </si>
  <si>
    <t>FlexPBX-1778078608.252507</t>
  </si>
  <si>
    <t>FlexPBX-1778078520.252493</t>
  </si>
  <si>
    <t>FlexPBX-1778078439.252479</t>
  </si>
  <si>
    <t>FlexPBX-1778078098.252459</t>
  </si>
  <si>
    <t>FlexPBX-1778078074.252451</t>
  </si>
  <si>
    <t>FlexPBX-1778078012.252442</t>
  </si>
  <si>
    <t>FlexPBX-1778077980.252432</t>
  </si>
  <si>
    <t>FlexPBX-1778077909.252416</t>
  </si>
  <si>
    <t>FlexPBX-1778077904.252408</t>
  </si>
  <si>
    <t>FlexPBX-1778077812.252394</t>
  </si>
  <si>
    <t>FlexPBX-1778077756.252386</t>
  </si>
  <si>
    <t>FlexPBX-1778077681.252372</t>
  </si>
  <si>
    <t>FlexPBX-1778077607.252364</t>
  </si>
  <si>
    <t>FlexPBX-1778077429.252340</t>
  </si>
  <si>
    <t>FlexPBX-1778077394.252328</t>
  </si>
  <si>
    <t>FlexPBX-1778077297.252306</t>
  </si>
  <si>
    <t>FlexPBX-1778077152.252298</t>
  </si>
  <si>
    <t>FlexPBX-1778076943.252246</t>
  </si>
  <si>
    <t>FlexPBX-1778076660.252146</t>
  </si>
  <si>
    <t>FlexPBX-1778076646.252142</t>
  </si>
  <si>
    <t>FlexPBX-1778076517.252128</t>
  </si>
  <si>
    <t>FlexPBX-1778076441.252114</t>
  </si>
  <si>
    <t>FlexPBX-1778076269.252096</t>
  </si>
  <si>
    <t>FlexPBX-1778076062.252025</t>
  </si>
  <si>
    <t>FlexPBX-1778075630.252011</t>
  </si>
  <si>
    <t>PSYSTEM_3009</t>
  </si>
  <si>
    <t>FlexPBX-1778075626.252007</t>
  </si>
  <si>
    <t>FlexPBX-1778075551.251993</t>
  </si>
  <si>
    <t>FlexPBX-1778075479.251979</t>
  </si>
  <si>
    <t>FlexPBX-1778075389.251971</t>
  </si>
  <si>
    <t>FlexPBX-1778075307.251954</t>
  </si>
  <si>
    <t>FlexPBX-1778075192.251914</t>
  </si>
  <si>
    <t>FlexPBX-1778075109.251868</t>
  </si>
  <si>
    <t>FlexPBX-1778074989.251821</t>
  </si>
  <si>
    <t>FlexPBX-1778074662.251791</t>
  </si>
  <si>
    <t>FlexPBX-1778074624.251779</t>
  </si>
  <si>
    <t>FlexPBX-1778074541.251711</t>
  </si>
  <si>
    <t>FlexPBX-1778074161.251680</t>
  </si>
  <si>
    <t>FlexPBX-1778073420.251666</t>
  </si>
  <si>
    <t>FlexPBX-1778073179.251646</t>
  </si>
  <si>
    <t>FlexPBX-1778073036.251632</t>
  </si>
  <si>
    <t>FlexPBX-1778073001.251609</t>
  </si>
  <si>
    <t>FlexPBX-1778072967.251572</t>
  </si>
  <si>
    <t>FlexPBX-1778072860.251503</t>
  </si>
  <si>
    <t>FlexPBX-1778072826.251495</t>
  </si>
  <si>
    <t>FlexPBX-1778072635.251487</t>
  </si>
  <si>
    <t>FlexPBX-1778072365.251431</t>
  </si>
  <si>
    <t>FlexPBX-1778072357.251428</t>
  </si>
  <si>
    <t>FlexPBX-1778072289.251386</t>
  </si>
  <si>
    <t>FlexPBX-1778072175.251372</t>
  </si>
  <si>
    <t>FlexPBX-1778072005.251288</t>
  </si>
  <si>
    <t>FlexPBX-1778071648.251231</t>
  </si>
  <si>
    <t>FlexPBX-1778071628.251219</t>
  </si>
  <si>
    <t>FlexPBX-1778071532.251186</t>
  </si>
  <si>
    <t>FlexPBX-1778071518.251182</t>
  </si>
  <si>
    <t>FlexPBX-1778071438.251160</t>
  </si>
  <si>
    <t>FlexPBX-1778071302.251149</t>
  </si>
  <si>
    <t>FlexPBX-1778071255.251136</t>
  </si>
  <si>
    <t>FlexPBX-1778071192.251126</t>
  </si>
  <si>
    <t>FlexPBX-1778071185.251114</t>
  </si>
  <si>
    <t>FlexPBX-1778070823.251094</t>
  </si>
  <si>
    <t>FlexPBX-1778070687.251089</t>
  </si>
  <si>
    <t>FlexPBX-1778070369.251077</t>
  </si>
  <si>
    <t>FlexPBX-1778070044.251046</t>
  </si>
  <si>
    <t>FlexPBX-1778069598.250976</t>
  </si>
  <si>
    <t>FlexPBX-1778069290.250901</t>
  </si>
  <si>
    <t>FlexPBX-1778069253.250880</t>
  </si>
  <si>
    <t>FlexPBX-1778069006.250858</t>
  </si>
  <si>
    <t>FlexPBX-1778068838.250835</t>
  </si>
  <si>
    <t>FlexPBX-1778068787.250825</t>
  </si>
  <si>
    <t>FlexPBX-1778068763.250817</t>
  </si>
  <si>
    <t>FlexPBX-1778068758.250809</t>
  </si>
  <si>
    <t>FlexPBX-1778068676.250781</t>
  </si>
  <si>
    <t>FlexPBX-1778068666.250778</t>
  </si>
  <si>
    <t>FlexPBX-1778068620.250747</t>
  </si>
  <si>
    <t>FlexPBX-1778068478.250710</t>
  </si>
  <si>
    <t>FlexPBX-1778068402.250702</t>
  </si>
  <si>
    <t>FlexPBX-1778068374.250690</t>
  </si>
  <si>
    <t>FlexPBX-1778068254.250643</t>
  </si>
  <si>
    <t>FlexPBX-1778067879.250611</t>
  </si>
  <si>
    <t>FlexPBX-1778067637.250550</t>
  </si>
  <si>
    <t>FlexPBX-1778067367.250540</t>
  </si>
  <si>
    <t>FlexPBX-1778067290.250532</t>
  </si>
  <si>
    <t>FlexPBX-1778067120.250427</t>
  </si>
  <si>
    <t>FlexPBX-1778067115.250424</t>
  </si>
  <si>
    <t>FlexPBX-1778067005.250416</t>
  </si>
  <si>
    <t>FlexPBX-1778066997.250408</t>
  </si>
  <si>
    <t>FlexPBX-1778066360.250403</t>
  </si>
  <si>
    <t>FlexPBX-1778066029.250398</t>
  </si>
  <si>
    <t>FlexPBX-1778065882.250384</t>
  </si>
  <si>
    <t>FlexPBX-1778065861.250376</t>
  </si>
  <si>
    <t>FlexPBX-1778065841.250368</t>
  </si>
  <si>
    <t>FlexPBX-1778065832.250360</t>
  </si>
  <si>
    <t>FlexPBX-1778015721.250355</t>
  </si>
  <si>
    <t>FlexPBX-1778014395.250317</t>
  </si>
  <si>
    <t>FlexPBX-1778014249.250297</t>
  </si>
  <si>
    <t>FlexPBX-1778014121.250283</t>
  </si>
  <si>
    <t>FlexPBX-1778013985.250250</t>
  </si>
  <si>
    <t>FlexPBX-1778013849.250209</t>
  </si>
  <si>
    <t>FlexPBX-1778013758.250169</t>
  </si>
  <si>
    <t>FlexPBX-1778013639.250153</t>
  </si>
  <si>
    <t>FlexPBX-1778013320.250144</t>
  </si>
  <si>
    <t>FlexPBX-1778012985.250134</t>
  </si>
  <si>
    <t>FlexPBX-1778012878.250114</t>
  </si>
  <si>
    <t>FlexPBX-1778012813.250106</t>
  </si>
  <si>
    <t>FlexPBX-1778012784.250076</t>
  </si>
  <si>
    <t>FlexPBX-1778012779.250068</t>
  </si>
  <si>
    <t>FlexPBX-1778012774.250060</t>
  </si>
  <si>
    <t>FlexPBX-1778012735.250039</t>
  </si>
  <si>
    <t>FlexPBX-1778012715.250031</t>
  </si>
  <si>
    <t>FlexPBX-1778012569.250017</t>
  </si>
  <si>
    <t>FlexPBX-1778012470.249997</t>
  </si>
  <si>
    <t>FlexPBX-1778012461.249989</t>
  </si>
  <si>
    <t>FlexPBX-1778012129.249951</t>
  </si>
  <si>
    <t>FlexPBX-1778011773.249875</t>
  </si>
  <si>
    <t>FlexPBX-1778011719.249839</t>
  </si>
  <si>
    <t>FlexPBX-1778011706.249836</t>
  </si>
  <si>
    <t>FlexPBX-1778011634.249822</t>
  </si>
  <si>
    <t>FlexPBX-1778011351.249698</t>
  </si>
  <si>
    <t>FlexPBX-1778011323.249671</t>
  </si>
  <si>
    <t>FlexPBX-1778011265.249644</t>
  </si>
  <si>
    <t>FlexPBX-1778010772.249628</t>
  </si>
  <si>
    <t>FlexPBX-1778010713.249575</t>
  </si>
  <si>
    <t>FlexPBX-1778010665.249560</t>
  </si>
  <si>
    <t>FlexPBX-1778010372.249549</t>
  </si>
  <si>
    <t>FlexPBX-1778010266.249532</t>
  </si>
  <si>
    <t>FlexPBX-1778009762.249503</t>
  </si>
  <si>
    <t>FlexPBX-1778009740.249500</t>
  </si>
  <si>
    <t>FlexPBX-1778009303.249484</t>
  </si>
  <si>
    <t>FlexPBX-1778009281.249476</t>
  </si>
  <si>
    <t>FlexPBX-1778008878.249448</t>
  </si>
  <si>
    <t>FlexPBX-1778008846.249438</t>
  </si>
  <si>
    <t>FlexPBX-1778008720.249424</t>
  </si>
  <si>
    <t>FlexPBX-1778008713.249412</t>
  </si>
  <si>
    <t>FlexPBX-1778008324.249374</t>
  </si>
  <si>
    <t>FlexPBX-1778008223.249366</t>
  </si>
  <si>
    <t>FlexPBX-1778008151.249348</t>
  </si>
  <si>
    <t>FlexPBX-1778008088.249326</t>
  </si>
  <si>
    <t>FlexPBX-1778008066.249323</t>
  </si>
  <si>
    <t>FlexPBX-1778008000.249307</t>
  </si>
  <si>
    <t>FlexPBX-1778007738.249287</t>
  </si>
  <si>
    <t>FlexPBX-1778007603.249272</t>
  </si>
  <si>
    <t>FlexPBX-1778007533.249267</t>
  </si>
  <si>
    <t>FlexPBX-1778007497.249255</t>
  </si>
  <si>
    <t>FlexPBX-1778007424.249225</t>
  </si>
  <si>
    <t>FlexPBX-1778007371.249201</t>
  </si>
  <si>
    <t>FlexPBX-1778007167.249185</t>
  </si>
  <si>
    <t>FlexPBX-1778006968.249117</t>
  </si>
  <si>
    <t>FlexPBX-1778006780.249109</t>
  </si>
  <si>
    <t>FlexPBX-1778006699.249089</t>
  </si>
  <si>
    <t>FlexPBX-1778006466.249055</t>
  </si>
  <si>
    <t>FlexPBX-1778006383.249039</t>
  </si>
  <si>
    <t>FlexPBX-1778006287.249017</t>
  </si>
  <si>
    <t>FlexPBX-1778006192.248987</t>
  </si>
  <si>
    <t>FlexPBX-1778005978.248974</t>
  </si>
  <si>
    <t>FlexPBX-1778005895.248950</t>
  </si>
  <si>
    <t>FlexPBX-1778005573.248924</t>
  </si>
  <si>
    <t>FlexPBX-1778004633.248904</t>
  </si>
  <si>
    <t>FlexPBX-1778004469.248882</t>
  </si>
  <si>
    <t>FlexPBX-1778004393.248861</t>
  </si>
  <si>
    <t>FlexPBX-1778004367.248847</t>
  </si>
  <si>
    <t>FlexPBX-1778004363.248839</t>
  </si>
  <si>
    <t>FlexPBX-1778004358.248836</t>
  </si>
  <si>
    <t>FlexPBX-1778004271.248822</t>
  </si>
  <si>
    <t>FlexPBX-1778004176.248808</t>
  </si>
  <si>
    <t>FlexPBX-1778004083.248789</t>
  </si>
  <si>
    <t>FlexPBX-1778004073.248786</t>
  </si>
  <si>
    <t>FlexPBX-1778003969.248772</t>
  </si>
  <si>
    <t>FlexPBX-1778003881.248764</t>
  </si>
  <si>
    <t>FlexPBX-1778003844.248752</t>
  </si>
  <si>
    <t>FlexPBX-1778003780.248744</t>
  </si>
  <si>
    <t>FlexPBX-1778003727.248728</t>
  </si>
  <si>
    <t>FlexPBX-1778003700.248716</t>
  </si>
  <si>
    <t>FlexPBX-1778003463.248658</t>
  </si>
  <si>
    <t>FlexPBX-1778003456.248647</t>
  </si>
  <si>
    <t>FlexPBX-1778003426.248636</t>
  </si>
  <si>
    <t>FlexPBX-1778003045.248568</t>
  </si>
  <si>
    <t>FlexPBX-1778002852.248557</t>
  </si>
  <si>
    <t>FlexPBX-1778002747.248524</t>
  </si>
  <si>
    <t>FlexPBX-1778002596.248515</t>
  </si>
  <si>
    <t>FlexPBX-1778002595.248512</t>
  </si>
  <si>
    <t>FlexPBX-1778002263.248455</t>
  </si>
  <si>
    <t>FlexPBX-1778002261.248452</t>
  </si>
  <si>
    <t>FlexPBX-1778002036.248416</t>
  </si>
  <si>
    <t>FlexPBX-1778001814.248375</t>
  </si>
  <si>
    <t>FlexPBX-1778001796.248368</t>
  </si>
  <si>
    <t>FlexPBX-1778001386.248291</t>
  </si>
  <si>
    <t>FlexPBX-1778001332.248279</t>
  </si>
  <si>
    <t>FlexPBX-1778001287.248263</t>
  </si>
  <si>
    <t>FlexPBX-1778001157.248240</t>
  </si>
  <si>
    <t>FlexPBX-1778001142.248235</t>
  </si>
  <si>
    <t>FlexPBX-1778001000.248207</t>
  </si>
  <si>
    <t>FlexPBX-1778000353.248156</t>
  </si>
  <si>
    <t>FlexPBX-1778000323.248126</t>
  </si>
  <si>
    <t>FlexPBX-1778000298.248117</t>
  </si>
  <si>
    <t>FlexPBX-1778000243.248112</t>
  </si>
  <si>
    <t>FlexPBX-1778000135.248098</t>
  </si>
  <si>
    <t>FlexPBX-1778000016.248088</t>
  </si>
  <si>
    <t>FlexPBX-1777999964.248076</t>
  </si>
  <si>
    <t>FlexPBX-1777999878.248062</t>
  </si>
  <si>
    <t>FlexPBX-1777999481.248006</t>
  </si>
  <si>
    <t>FlexPBX-1777996963.247987</t>
  </si>
  <si>
    <t>FlexPBX-1777993280.247982</t>
  </si>
  <si>
    <t>FlexPBX-1777992804.247962</t>
  </si>
  <si>
    <t>FlexPBX-1777992783.247954</t>
  </si>
  <si>
    <t>FlexPBX-1777992643.247897</t>
  </si>
  <si>
    <t>FlexPBX-1777992573.247877</t>
  </si>
  <si>
    <t>FlexPBX-1777992507.247847</t>
  </si>
  <si>
    <t>FlexPBX-1777992422.247825</t>
  </si>
  <si>
    <t>FlexPBX-1777992314.247810</t>
  </si>
  <si>
    <t>FlexPBX-1777992282.247803</t>
  </si>
  <si>
    <t>FlexPBX-1777992192.247792</t>
  </si>
  <si>
    <t>FlexPBX-1777992022.247779</t>
  </si>
  <si>
    <t>FlexPBX-1777992014.247776</t>
  </si>
  <si>
    <t>FlexPBX-1777991895.247740</t>
  </si>
  <si>
    <t>FlexPBX-1777991507.247697</t>
  </si>
  <si>
    <t>FlexPBX-1777991497.247692</t>
  </si>
  <si>
    <t>FlexPBX-1777991490.247689</t>
  </si>
  <si>
    <t>FlexPBX-1777991397.247666</t>
  </si>
  <si>
    <t>FlexPBX-1777991373.247655</t>
  </si>
  <si>
    <t>FlexPBX-1777991261.247641</t>
  </si>
  <si>
    <t>FlexPBX-1777991160.247625</t>
  </si>
  <si>
    <t>FlexPBX-1777990676.247583</t>
  </si>
  <si>
    <t>FlexPBX-1777990420.247532</t>
  </si>
  <si>
    <t>FlexPBX-1777990412.247529</t>
  </si>
  <si>
    <t>FlexPBX-1777990318.247505</t>
  </si>
  <si>
    <t>FlexPBX-1777990298.247496</t>
  </si>
  <si>
    <t>FlexPBX-1777990167.247488</t>
  </si>
  <si>
    <t>FlexPBX-1777989923.247480</t>
  </si>
  <si>
    <t>FlexPBX-1777989857.247460</t>
  </si>
  <si>
    <t>FlexPBX-1777989702.247452</t>
  </si>
  <si>
    <t>FlexPBX-1777989610.247429</t>
  </si>
  <si>
    <t>FlexPBX-1777989585.247418</t>
  </si>
  <si>
    <t>FlexPBX-1777989286.247392</t>
  </si>
  <si>
    <t>FlexPBX-1777989248.247364</t>
  </si>
  <si>
    <t>FlexPBX-1777988727.247335</t>
  </si>
  <si>
    <t>FlexPBX-1777988594.247321</t>
  </si>
  <si>
    <t>FlexPBX-1777988393.247296</t>
  </si>
  <si>
    <t>FlexPBX-1777988346.247276</t>
  </si>
  <si>
    <t>FlexPBX-1777988024.247268</t>
  </si>
  <si>
    <t>FlexPBX-1777987496.247230</t>
  </si>
  <si>
    <t>FlexPBX-1777987139.247208</t>
  </si>
  <si>
    <t>FlexPBX-1777986975.247182</t>
  </si>
  <si>
    <t>FlexPBX-1777986934.247166</t>
  </si>
  <si>
    <t>FlexPBX-1777986897.247161</t>
  </si>
  <si>
    <t>FlexPBX-1777986710.247156</t>
  </si>
  <si>
    <t>FlexPBX-1777986564.247148</t>
  </si>
  <si>
    <t>FlexPBX-1777986527.247121</t>
  </si>
  <si>
    <t>FlexPBX-1777986521.247117</t>
  </si>
  <si>
    <t>FlexPBX-1777986488.247103</t>
  </si>
  <si>
    <t>FlexPBX-1777986475.247095</t>
  </si>
  <si>
    <t>FlexPBX-1777986457.247087</t>
  </si>
  <si>
    <t>FlexPBX-1777986302.247073</t>
  </si>
  <si>
    <t>FlexPBX-1777986221.247059</t>
  </si>
  <si>
    <t>FlexPBX-1777986130.247045</t>
  </si>
  <si>
    <t>FlexPBX-1777985990.247025</t>
  </si>
  <si>
    <t>FlexPBX-1777985919.247017</t>
  </si>
  <si>
    <t>FlexPBX-1777985662.246968</t>
  </si>
  <si>
    <t>FlexPBX-1777985528.246954</t>
  </si>
  <si>
    <t>FlexPBX-1777985477.246938</t>
  </si>
  <si>
    <t>FlexPBX-1777985452.246926</t>
  </si>
  <si>
    <t>FlexPBX-1777985408.246912</t>
  </si>
  <si>
    <t>FlexPBX-1777985268.246900</t>
  </si>
  <si>
    <t>FlexPBX-1777984875.246852</t>
  </si>
  <si>
    <t>FlexPBX-1777984228.246829</t>
  </si>
  <si>
    <t>FlexPBX-1777984158.246801</t>
  </si>
  <si>
    <t>FlexPBX-1777984155.246798</t>
  </si>
  <si>
    <t>FlexPBX-1777983620.246766</t>
  </si>
  <si>
    <t>FlexPBX-1777983158.246740</t>
  </si>
  <si>
    <t>FlexPBX-1777983150.246732</t>
  </si>
  <si>
    <t>FlexPBX-1777983078.246704</t>
  </si>
  <si>
    <t>FlexPBX-1777982652.246649</t>
  </si>
  <si>
    <t>FlexPBX-1777982531.246614</t>
  </si>
  <si>
    <t>FlexPBX-1777982471.246601</t>
  </si>
  <si>
    <t>FlexPBX-1777982305.246573</t>
  </si>
  <si>
    <t>FlexPBX-1777982257.246557</t>
  </si>
  <si>
    <t>FlexPBX-1777981573.246524</t>
  </si>
  <si>
    <t>FlexPBX-1777981311.246510</t>
  </si>
  <si>
    <t>FlexPBX-1777981180.246475</t>
  </si>
  <si>
    <t>FlexPBX-1777981027.246454</t>
  </si>
  <si>
    <t>FlexPBX-1777980918.246399</t>
  </si>
  <si>
    <t>FlexPBX-1777980211.246394</t>
  </si>
  <si>
    <t>FlexPBX-1777979698.246383</t>
  </si>
  <si>
    <t>FlexPBX-1777979647.246375</t>
  </si>
  <si>
    <t>FlexPBX-1777927788.246349</t>
  </si>
  <si>
    <t>FlexPBX-1777927554.246329</t>
  </si>
  <si>
    <t>FlexPBX-1777927442.246315</t>
  </si>
  <si>
    <t>FlexPBX-1777927096.246307</t>
  </si>
  <si>
    <t>FlexPBX-1777927090.246299</t>
  </si>
  <si>
    <t>FlexPBX-1777925911.246285</t>
  </si>
  <si>
    <t>FlexPBX-1777925483.246253</t>
  </si>
  <si>
    <t>FlexPBX-1777925397.246233</t>
  </si>
  <si>
    <t>FlexPBX-1777925256.246221</t>
  </si>
  <si>
    <t>FlexPBX-1777925182.246205</t>
  </si>
  <si>
    <t>FlexPBX-1777924911.246185</t>
  </si>
  <si>
    <t>FlexPBX-1777924764.246159</t>
  </si>
  <si>
    <t>FlexPBX-1777924378.246137</t>
  </si>
  <si>
    <t>FlexPBX-1777924250.246115</t>
  </si>
  <si>
    <t>FlexPBX-1777924244.246107</t>
  </si>
  <si>
    <t>FlexPBX-1777924236.246099</t>
  </si>
  <si>
    <t>FlexPBX-1777924228.246091</t>
  </si>
  <si>
    <t>FlexPBX-1777924151.246064</t>
  </si>
  <si>
    <t>FlexPBX-1777924106.246029</t>
  </si>
  <si>
    <t>FlexPBX-1777924082.246021</t>
  </si>
  <si>
    <t>FlexPBX-1777923853.245967</t>
  </si>
  <si>
    <t>FlexPBX-1777923717.245951</t>
  </si>
  <si>
    <t>FlexPBX-1777923541.245899</t>
  </si>
  <si>
    <t>FlexPBX-1777923525.245883</t>
  </si>
  <si>
    <t>FlexPBX-1777923507.245880</t>
  </si>
  <si>
    <t>FlexPBX-1777923409.245860</t>
  </si>
  <si>
    <t>FlexPBX-1777923396.245846</t>
  </si>
  <si>
    <t>FlexPBX-1777923292.245816</t>
  </si>
  <si>
    <t>FlexPBX-1777923069.245769</t>
  </si>
  <si>
    <t>FlexPBX-1777923053.245766</t>
  </si>
  <si>
    <t>FlexPBX-1777922975.245752</t>
  </si>
  <si>
    <t>FlexPBX-1777922668.245731</t>
  </si>
  <si>
    <t>FlexPBX-1777922384.245700</t>
  </si>
  <si>
    <t>FlexPBX-1777921954.245655</t>
  </si>
  <si>
    <t>FlexPBX-1777921933.245648</t>
  </si>
  <si>
    <t>FlexPBX-1777921844.245632</t>
  </si>
  <si>
    <t>FlexPBX-1777921691.245596</t>
  </si>
  <si>
    <t>FlexPBX-1777921574.245584</t>
  </si>
  <si>
    <t>FlexPBX-1777921467.245568</t>
  </si>
  <si>
    <t>FlexPBX-1777921394.245548</t>
  </si>
  <si>
    <t>FlexPBX-1777921220.245526</t>
  </si>
  <si>
    <t>FlexPBX-1777921171.245518</t>
  </si>
  <si>
    <t>FlexPBX-1777921141.245491</t>
  </si>
  <si>
    <t>FlexPBX-1777921045.245486</t>
  </si>
  <si>
    <t>FlexPBX-1777920861.245405</t>
  </si>
  <si>
    <t>FlexPBX-1777920380.245372</t>
  </si>
  <si>
    <t>FlexPBX-1777920220.245349</t>
  </si>
  <si>
    <t>FlexPBX-1777920012.245332</t>
  </si>
  <si>
    <t>FlexPBX-1777919904.245272</t>
  </si>
  <si>
    <t>FlexPBX-1777919899.245265</t>
  </si>
  <si>
    <t>FlexPBX-1777919882.245260</t>
  </si>
  <si>
    <t>FlexPBX-1777919804.245242</t>
  </si>
  <si>
    <t>FlexPBX-1777919800.245230</t>
  </si>
  <si>
    <t>FlexPBX-1777919764.245195</t>
  </si>
  <si>
    <t>FlexPBX-1777919758.245191</t>
  </si>
  <si>
    <t>FlexPBX-1777919627.245146</t>
  </si>
  <si>
    <t>FlexPBX-1777919491.245085</t>
  </si>
  <si>
    <t>FlexPBX-1777919345.245077</t>
  </si>
  <si>
    <t>FlexPBX-1777919131.245054</t>
  </si>
  <si>
    <t>FlexPBX-1777918968.245049</t>
  </si>
  <si>
    <t>FlexPBX-1777918661.245035</t>
  </si>
  <si>
    <t>FlexPBX-1777918646.245021</t>
  </si>
  <si>
    <t>FlexPBX-1777918579.245013</t>
  </si>
  <si>
    <t>FlexPBX-1777918553.245001</t>
  </si>
  <si>
    <t>FlexPBX-1777918535.244993</t>
  </si>
  <si>
    <t>FlexPBX-1777918382.244961</t>
  </si>
  <si>
    <t>FlexPBX-1777918341.244953</t>
  </si>
  <si>
    <t>FlexPBX-1777918330.244945</t>
  </si>
  <si>
    <t>FlexPBX-1777918205.244923</t>
  </si>
  <si>
    <t>FlexPBX-1777918139.244903</t>
  </si>
  <si>
    <t>FlexPBX-1777918135.244899</t>
  </si>
  <si>
    <t>FlexPBX-1777917908.244870</t>
  </si>
  <si>
    <t>FlexPBX-1777917856.244848</t>
  </si>
  <si>
    <t>FlexPBX-1777917820.244841</t>
  </si>
  <si>
    <t>FlexPBX-1777917789.244833</t>
  </si>
  <si>
    <t>FlexPBX-1777917703.244825</t>
  </si>
  <si>
    <t>FlexPBX-1777917606.244785</t>
  </si>
  <si>
    <t>FlexPBX-1777917219.244732</t>
  </si>
  <si>
    <t>FlexPBX-1777917172.244710</t>
  </si>
  <si>
    <t>FlexPBX-1777917152.244703</t>
  </si>
  <si>
    <t>FlexPBX-1777917079.244698</t>
  </si>
  <si>
    <t>FlexPBX-1777916865.244632</t>
  </si>
  <si>
    <t>FlexPBX-1777916374.244526</t>
  </si>
  <si>
    <t>FlexPBX-1777916322.244501</t>
  </si>
  <si>
    <t>FlexPBX-1777916212.244485</t>
  </si>
  <si>
    <t>FlexPBX-1777916092.244448</t>
  </si>
  <si>
    <t>FlexPBX-1777916068.244439</t>
  </si>
  <si>
    <t>FlexPBX-1777916008.244431</t>
  </si>
  <si>
    <t>FlexPBX-1777915178.244386</t>
  </si>
  <si>
    <t>FlexPBX-1777914706.244366</t>
  </si>
  <si>
    <t>FlexPBX-1777914566.244352</t>
  </si>
  <si>
    <t>FlexPBX-1777914502.244336</t>
  </si>
  <si>
    <t>FlexPBX-1777914430.244306</t>
  </si>
  <si>
    <t>FlexPBX-1777914416.244298</t>
  </si>
  <si>
    <t>FlexPBX-1777914327.244275</t>
  </si>
  <si>
    <t>FlexPBX-1777913803.244239</t>
  </si>
  <si>
    <t>FlexPBX-1777913615.244171</t>
  </si>
  <si>
    <t>FlexPBX-1777913611.244164</t>
  </si>
  <si>
    <t>FlexPBX-1777913591.244150</t>
  </si>
  <si>
    <t>FlexPBX-1777913419.244102</t>
  </si>
  <si>
    <t>FlexPBX-1777913362.244086</t>
  </si>
  <si>
    <t>FlexPBX-1777913340.244074</t>
  </si>
  <si>
    <t>FlexPBX-1777913333.244066</t>
  </si>
  <si>
    <t>FlexPBX-1777913168.244044</t>
  </si>
  <si>
    <t>FlexPBX-1777912933.244026</t>
  </si>
  <si>
    <t>FlexPBX-1777912926.244010</t>
  </si>
  <si>
    <t>FlexPBX-1777912886.243994</t>
  </si>
  <si>
    <t>FlexPBX-1777912678.243974</t>
  </si>
  <si>
    <t>FlexPBX-1777912390.243957</t>
  </si>
  <si>
    <t>FlexPBX-1777912117.243938</t>
  </si>
  <si>
    <t>FlexPBX-1777911876.243933</t>
  </si>
  <si>
    <t>FlexPBX-1777911522.243920</t>
  </si>
  <si>
    <t>FlexPBX-1777905849.243898</t>
  </si>
  <si>
    <t>FlexPBX-1777905749.243833</t>
  </si>
  <si>
    <t>FlexPBX-1777905680.243825</t>
  </si>
  <si>
    <t>FlexPBX-1777905647.243811</t>
  </si>
  <si>
    <t>FlexPBX-1777905614.243806</t>
  </si>
  <si>
    <t>FlexPBX-1777905153.243792</t>
  </si>
  <si>
    <t>FlexPBX-1777905082.243778</t>
  </si>
  <si>
    <t>FlexPBX-1777905039.243770</t>
  </si>
  <si>
    <t>FlexPBX-1777905030.243756</t>
  </si>
  <si>
    <t>FlexPBX-1777904814.243729</t>
  </si>
  <si>
    <t>FlexPBX-1777904280.243715</t>
  </si>
  <si>
    <t>FlexPBX-1777904258.243701</t>
  </si>
  <si>
    <t>FlexPBX-1777904130.243696</t>
  </si>
  <si>
    <t>FlexPBX-1777903693.243682</t>
  </si>
  <si>
    <t>FlexPBX-1777903549.243670</t>
  </si>
  <si>
    <t>FlexPBX-1777903511.243656</t>
  </si>
  <si>
    <t>FlexPBX-1777903354.243646</t>
  </si>
  <si>
    <t>FlexPBX-1777903336.243643</t>
  </si>
  <si>
    <t>FlexPBX-1777903307.243629</t>
  </si>
  <si>
    <t>FlexPBX-1777903287.243613</t>
  </si>
  <si>
    <t>FlexPBX-1777903042.243553</t>
  </si>
  <si>
    <t>FlexPBX-1777903027.243545</t>
  </si>
  <si>
    <t>FlexPBX-1777902991.243520</t>
  </si>
  <si>
    <t>FlexPBX-1777902967.243512</t>
  </si>
  <si>
    <t>FlexPBX-1777902875.243507</t>
  </si>
  <si>
    <t>FlexPBX-1777902743.243458</t>
  </si>
  <si>
    <t>FlexPBX-1777902055.243438</t>
  </si>
  <si>
    <t>FlexPBX-1777901851.243424</t>
  </si>
  <si>
    <t>FlexPBX-1777901661.243410</t>
  </si>
  <si>
    <t>FlexPBX-1777901403.243392</t>
  </si>
  <si>
    <t>FlexPBX-1777901310.243375</t>
  </si>
  <si>
    <t>FlexPBX-1777900854.243361</t>
  </si>
  <si>
    <t>FlexPBX-1777900836.243353</t>
  </si>
  <si>
    <t>FlexPBX-1777900770.243339</t>
  </si>
  <si>
    <t>FlexPBX-1777900462.243318</t>
  </si>
  <si>
    <t>FlexPBX-1777900420.243312</t>
  </si>
  <si>
    <t>FlexPBX-1777900385.243290</t>
  </si>
  <si>
    <t>FlexPBX-1777900349.243285</t>
  </si>
  <si>
    <t>FlexPBX-1777900254.243262</t>
  </si>
  <si>
    <t>FlexPBX-1777900200.243240</t>
  </si>
  <si>
    <t>FlexPBX-1777900057.243222</t>
  </si>
  <si>
    <t>FlexPBX-1777899765.243186</t>
  </si>
  <si>
    <t>FlexPBX-1777899749.243183</t>
  </si>
  <si>
    <t>FlexPBX-1777899336.243175</t>
  </si>
  <si>
    <t>FlexPBX-1777899314.243172</t>
  </si>
  <si>
    <t>FlexPBX-1777899223.243143</t>
  </si>
  <si>
    <t>FlexPBX-1777899135.243115</t>
  </si>
  <si>
    <t>FlexPBX-1777899104.243100</t>
  </si>
  <si>
    <t>FlexPBX-1777899097.243096</t>
  </si>
  <si>
    <t>FlexPBX-1777898999.243065</t>
  </si>
  <si>
    <t>FlexPBX-1777898973.243042</t>
  </si>
  <si>
    <t>FlexPBX-1777898929.243035</t>
  </si>
  <si>
    <t>FlexPBX-1777898885.243027</t>
  </si>
  <si>
    <t>FlexPBX-1777898837.243013</t>
  </si>
  <si>
    <t>FlexPBX-1777897733.242993</t>
  </si>
  <si>
    <t>FlexPBX-1777897695.242985</t>
  </si>
  <si>
    <t>FlexPBX-1777897586.242955</t>
  </si>
  <si>
    <t>FlexPBX-1777897494.242912</t>
  </si>
  <si>
    <t>FlexPBX-1777896554.242876</t>
  </si>
  <si>
    <t>FlexPBX-1777896171.242841</t>
  </si>
  <si>
    <t>FlexPBX-1777896167.242838</t>
  </si>
  <si>
    <t>FlexPBX-1777895995.242815</t>
  </si>
  <si>
    <t>FlexPBX-1777895564.242790</t>
  </si>
  <si>
    <t>FlexPBX-1777895280.242732</t>
  </si>
  <si>
    <t>FlexPBX-1777895132.242721</t>
  </si>
  <si>
    <t>FlexPBX-1777894417.242662</t>
  </si>
  <si>
    <t>FlexPBX-1777894219.242634</t>
  </si>
  <si>
    <t>FlexPBX-1777894210.242629</t>
  </si>
  <si>
    <t>FlexPBX-1777893369.242624</t>
  </si>
  <si>
    <t>FlexPBX-1777893130.242619</t>
  </si>
  <si>
    <t>FlexPBX-1777893082.242614</t>
  </si>
  <si>
    <t>FlexPBX-1777892519.242600</t>
  </si>
  <si>
    <t>FlexPBX-1777745794.242592</t>
  </si>
  <si>
    <t>FlexPBX-1777666130.242587</t>
  </si>
  <si>
    <t>1 - Luciana Taborda, importou serviços tomados e vieram sem base de pis/cofins devido parametros, para ajustar a solução seria reimportar ou ajustar nota a nota, não temos em lote e ela queria uma forma que não temos atualmente, atendimento normal, oque ela avaliou foi a falta de rotina</t>
  </si>
  <si>
    <t>1 - Luciana Taborda, duvida no anexo do simples da nota, 5401 e estava entrando como sem ST no simples, Dayane não entendeu o problema e pediu para ela levantar com a consultoria, é algo que o cliente deveria saber mas ela se enrolou na informação focando no pis-cofins sendo que o problema é no icms</t>
  </si>
  <si>
    <t>1 - Ezequiel, funcionário afastado calculando salario normal no recibo, orientado nos estornos e ajuste dos afastamentos sem vinculação, normal</t>
  </si>
  <si>
    <t>1 - Daniel Nexo - atendimento sobre livro pdfa, atendimento normal e orientado conforme precisava, cliente gerando invididual e ele mostrou a tela nova como funcionava para melhorar o fluxo para o cliente</t>
  </si>
  <si>
    <t>FlexPBX-1782852127.373935</t>
  </si>
  <si>
    <t>LUIZ</t>
  </si>
  <si>
    <t>FlexPBX-1782851079.373905</t>
  </si>
  <si>
    <t>EDERSON</t>
  </si>
  <si>
    <t>FlexPBX-1782850143.373850</t>
  </si>
  <si>
    <t>FlexPBX-1782849625.373738</t>
  </si>
  <si>
    <t>FlexPBX-1782849343.373684</t>
  </si>
  <si>
    <t>LUCAS</t>
  </si>
  <si>
    <t>FlexPBX-1782849166.373640</t>
  </si>
  <si>
    <t>LUKAS</t>
  </si>
  <si>
    <t>FlexPBX-1782849002.373588</t>
  </si>
  <si>
    <t>FlexPBX-1782848587.373566</t>
  </si>
  <si>
    <t>DAYANE</t>
  </si>
  <si>
    <t>FlexPBX-1782847361.373340</t>
  </si>
  <si>
    <t>FlexPBX-1782846584.373260</t>
  </si>
  <si>
    <t>FlexPBX-1782846418.373252</t>
  </si>
  <si>
    <t>FlexPBX-1782845219.373196</t>
  </si>
  <si>
    <t>FlexPBX-1782844705.373042</t>
  </si>
  <si>
    <t>FlexPBX-1782843965.373022</t>
  </si>
  <si>
    <t>FlexPBX-1782843887.373000</t>
  </si>
  <si>
    <t>FlexPBX-1782843745.372930</t>
  </si>
  <si>
    <t>FlexPBX-1782843525.372884</t>
  </si>
  <si>
    <t>FlexPBX-1782843344.372834</t>
  </si>
  <si>
    <t>FlexPBX-1782842936.372734</t>
  </si>
  <si>
    <t>FlexPBX-1782842928.372725</t>
  </si>
  <si>
    <t>FlexPBX-1782842896.372683</t>
  </si>
  <si>
    <t>FlexPBX-1782842762.372586</t>
  </si>
  <si>
    <t>FlexPBX-1782842584.372575</t>
  </si>
  <si>
    <t>FlexPBX-1782842342.372507</t>
  </si>
  <si>
    <t>FlexPBX-1782842227.372443</t>
  </si>
  <si>
    <t>FlexPBX-1782841584.372403</t>
  </si>
  <si>
    <t>CLEBER</t>
  </si>
  <si>
    <t>FlexPBX-1782841575.372389</t>
  </si>
  <si>
    <t>FlexPBX-1782841281.372358</t>
  </si>
  <si>
    <t>FlexPBX-1782841273.372344</t>
  </si>
  <si>
    <t>FlexPBX-1782841225.372337</t>
  </si>
  <si>
    <t>FlexPBX-1782841094.372289</t>
  </si>
  <si>
    <t>FlexPBX-1782841056.372252</t>
  </si>
  <si>
    <t>FlexPBX-1782840914.372145</t>
  </si>
  <si>
    <t>FlexPBX-1782840832.372108</t>
  </si>
  <si>
    <t>FlexPBX-1782840177.371957</t>
  </si>
  <si>
    <t>FlexPBX-1782840171.371954</t>
  </si>
  <si>
    <t>FlexPBX-1782839761.371922</t>
  </si>
  <si>
    <t>FlexPBX-1782838988.371864</t>
  </si>
  <si>
    <t>FlexPBX-1782838818.371824</t>
  </si>
  <si>
    <t>FlexPBX-1782838462.371716</t>
  </si>
  <si>
    <t>FlexPBX-1782837705.371696</t>
  </si>
  <si>
    <t>ADRIANA</t>
  </si>
  <si>
    <t>FlexPBX-1782837434.371672</t>
  </si>
  <si>
    <t>FlexPBX-1782837353.371644</t>
  </si>
  <si>
    <t>FlexPBX-1782837300.371615</t>
  </si>
  <si>
    <t>FlexPBX-1782837147.371563</t>
  </si>
  <si>
    <t>FlexPBX-1782830232.371455</t>
  </si>
  <si>
    <t>FlexPBX-1782830197.371440</t>
  </si>
  <si>
    <t>FlexPBX-1782829933.371424</t>
  </si>
  <si>
    <t>FlexPBX-1782829810.371402</t>
  </si>
  <si>
    <t>FlexPBX-1782829742.371382</t>
  </si>
  <si>
    <t>FlexPBX-1782829631.371368</t>
  </si>
  <si>
    <t>FlexPBX-1782828881.371310</t>
  </si>
  <si>
    <t>FlexPBX-1782828032.371251</t>
  </si>
  <si>
    <t>FlexPBX-1782827984.371194</t>
  </si>
  <si>
    <t>FlexPBX-1782827943.371167</t>
  </si>
  <si>
    <t>FlexPBX-1782827933.371164</t>
  </si>
  <si>
    <t>FlexPBX-1782827668.371108</t>
  </si>
  <si>
    <t>FlexPBX-1782827243.371002</t>
  </si>
  <si>
    <t>FlexPBX-1782827067.370918</t>
  </si>
  <si>
    <t>FlexPBX-1782826857.370883</t>
  </si>
  <si>
    <t>FlexPBX-1782826518.370825</t>
  </si>
  <si>
    <t>FlexPBX-1782826463.370814</t>
  </si>
  <si>
    <t>FlexPBX-1782825914.370806</t>
  </si>
  <si>
    <t>FlexPBX-1782825527.370772</t>
  </si>
  <si>
    <t>FlexPBX-1782824869.370748</t>
  </si>
  <si>
    <t>FlexPBX-1782824662.370720</t>
  </si>
  <si>
    <t>FlexPBX-1782824108.370662</t>
  </si>
  <si>
    <t>FlexPBX-1782823909.370640</t>
  </si>
  <si>
    <t>FlexPBX-1782823412.370626</t>
  </si>
  <si>
    <t>FlexPBX-1782823404.370618</t>
  </si>
  <si>
    <t>FlexPBX-1782823356.370610</t>
  </si>
  <si>
    <t>FlexPBX-1782822778.370574</t>
  </si>
  <si>
    <t>FlexPBX-1782822596.370562</t>
  </si>
  <si>
    <t>FlexPBX-1782822243.370498</t>
  </si>
  <si>
    <t>FlexPBX-1782821601.370448</t>
  </si>
  <si>
    <t>FlexPBX-1782820794.370428</t>
  </si>
  <si>
    <t>FlexPBX-1782820651.370408</t>
  </si>
  <si>
    <t>FlexPBX-1782820528.370331</t>
  </si>
  <si>
    <t>FlexPBX-1782820441.370256</t>
  </si>
  <si>
    <t>FlexPBX-1782820408.370251</t>
  </si>
  <si>
    <t>FlexPBX-1782820383.370246</t>
  </si>
  <si>
    <t>FlexPBX-1782820350.370241</t>
  </si>
  <si>
    <t>FlexPBX-1782819760.370227</t>
  </si>
  <si>
    <t>FlexPBX-1782819003.370169</t>
  </si>
  <si>
    <t>FlexPBX-1782818161.370164</t>
  </si>
  <si>
    <t>FlexPBX-1782766400.370140</t>
  </si>
  <si>
    <t>FlexPBX-1782766204.370028</t>
  </si>
  <si>
    <t>FlexPBX-1782765401.370014</t>
  </si>
  <si>
    <t>FlexPBX-1782765394.370006</t>
  </si>
  <si>
    <t>FlexPBX-1782763727.369980</t>
  </si>
  <si>
    <t>FlexPBX-1782761215.369966</t>
  </si>
  <si>
    <t>FlexPBX-1782761188.369952</t>
  </si>
  <si>
    <t>FlexPBX-1782755757.369723</t>
  </si>
  <si>
    <t>FlexPBX-1782747138.369718</t>
  </si>
  <si>
    <t>FlexPBX-1782745585.369713</t>
  </si>
  <si>
    <t>FlexPBX-1782744845.369699</t>
  </si>
  <si>
    <t>FlexPBX-1782744398.369685</t>
  </si>
  <si>
    <t>FlexPBX-1782744255.369677</t>
  </si>
  <si>
    <t>FlexPBX-1782744192.369641</t>
  </si>
  <si>
    <t>FlexPBX-1782743759.369621</t>
  </si>
  <si>
    <t>FlexPBX-1782743607.369585</t>
  </si>
  <si>
    <t>FlexPBX-1782743280.369571</t>
  </si>
  <si>
    <t>FlexPBX-1782743032.369551</t>
  </si>
  <si>
    <t>FlexPBX-1782742997.369537</t>
  </si>
  <si>
    <t>FlexPBX-1782742963.369517</t>
  </si>
  <si>
    <t>FlexPBX-1782742810.369509</t>
  </si>
  <si>
    <t>FlexPBX-1782742625.369466</t>
  </si>
  <si>
    <t>FlexPBX-1782742620.369454</t>
  </si>
  <si>
    <t>FlexPBX-1782742600.369451</t>
  </si>
  <si>
    <t>FlexPBX-1782742057.369419</t>
  </si>
  <si>
    <t>FlexPBX-1782741795.369405</t>
  </si>
  <si>
    <t>FlexPBX-1782741182.369391</t>
  </si>
  <si>
    <t>FlexPBX-1782741115.369370</t>
  </si>
  <si>
    <t>FlexPBX-1782741077.369349</t>
  </si>
  <si>
    <t>FlexPBX-1782741030.369341</t>
  </si>
  <si>
    <t>FlexPBX-1782740944.369300</t>
  </si>
  <si>
    <t>FlexPBX-1782740677.369241</t>
  </si>
  <si>
    <t>FlexPBX-1782740671.369229</t>
  </si>
  <si>
    <t>FlexPBX-1782740565.369172</t>
  </si>
  <si>
    <t>FlexPBX-1782740417.369134</t>
  </si>
  <si>
    <t>FlexPBX-1782740068.369122</t>
  </si>
  <si>
    <t>RAQUEL</t>
  </si>
  <si>
    <t>FlexPBX-1782739996.369108</t>
  </si>
  <si>
    <t>NÃƒO IDENTIFICADO</t>
  </si>
  <si>
    <t>FlexPBX-1782739843.369024</t>
  </si>
  <si>
    <t>FlexPBX-1782739782.369016</t>
  </si>
  <si>
    <t>FlexPBX-1782739588.368996</t>
  </si>
  <si>
    <t>FlexPBX-1782739446.368980</t>
  </si>
  <si>
    <t>FlexPBX-1782739349.368913</t>
  </si>
  <si>
    <t>FlexPBX-1782739337.368909</t>
  </si>
  <si>
    <t>FlexPBX-1782739191.368901</t>
  </si>
  <si>
    <t>FlexPBX-1782739145.368879</t>
  </si>
  <si>
    <t>FlexPBX-1782739097.368867</t>
  </si>
  <si>
    <t>FlexPBX-1782738980.368849</t>
  </si>
  <si>
    <t>FlexPBX-1782738899.368799</t>
  </si>
  <si>
    <t>FlexPBX-1782738894.368796</t>
  </si>
  <si>
    <t>FlexPBX-1782738890.368792</t>
  </si>
  <si>
    <t>FlexPBX-1782738815.368750</t>
  </si>
  <si>
    <t>FlexPBX-1782738798.368724</t>
  </si>
  <si>
    <t>FlexPBX-1782738742.368677</t>
  </si>
  <si>
    <t>FlexPBX-1782738713.368666</t>
  </si>
  <si>
    <t>FlexPBX-1782738682.368658</t>
  </si>
  <si>
    <t>FlexPBX-1782738544.368627</t>
  </si>
  <si>
    <t>FlexPBX-1782738346.368595</t>
  </si>
  <si>
    <t>FlexPBX-1782738339.368591</t>
  </si>
  <si>
    <t>FlexPBX-1782737842.368577</t>
  </si>
  <si>
    <t>FlexPBX-1782737067.368537</t>
  </si>
  <si>
    <t>FlexPBX-1782736962.368500</t>
  </si>
  <si>
    <t>FlexPBX-1782736726.368426</t>
  </si>
  <si>
    <t>FlexPBX-1782736706.368415</t>
  </si>
  <si>
    <t>FlexPBX-1782736690.368410</t>
  </si>
  <si>
    <t>FlexPBX-1782736457.368398</t>
  </si>
  <si>
    <t>FlexPBX-1782735774.368372</t>
  </si>
  <si>
    <t>FlexPBX-1782735615.368340</t>
  </si>
  <si>
    <t>FlexPBX-1782735553.368314</t>
  </si>
  <si>
    <t>FlexPBX-1782735492.368306</t>
  </si>
  <si>
    <t>FlexPBX-1782735283.368280</t>
  </si>
  <si>
    <t>FlexPBX-1782735275.368277</t>
  </si>
  <si>
    <t>FlexPBX-1782735157.368263</t>
  </si>
  <si>
    <t>FlexPBX-1782735120.368249</t>
  </si>
  <si>
    <t>FlexPBX-1782734463.368221</t>
  </si>
  <si>
    <t>FlexPBX-1782734451.368217</t>
  </si>
  <si>
    <t>FlexPBX-1782734195.368193</t>
  </si>
  <si>
    <t>FlexPBX-1782734083.368181</t>
  </si>
  <si>
    <t>FlexPBX-1782734010.368162</t>
  </si>
  <si>
    <t>FlexPBX-1782733970.368153</t>
  </si>
  <si>
    <t>FlexPBX-1782733478.368129</t>
  </si>
  <si>
    <t>FlexPBX-1782733043.368095</t>
  </si>
  <si>
    <t>FlexPBX-1782732777.368072</t>
  </si>
  <si>
    <t>FlexPBX-1782732741.368046</t>
  </si>
  <si>
    <t>FlexPBX-1782732709.368039</t>
  </si>
  <si>
    <t>FlexPBX-1782562658.368020</t>
  </si>
  <si>
    <t>FlexPBX-1782558106.368015</t>
  </si>
  <si>
    <t>FlexPBX-1782508348.368010</t>
  </si>
  <si>
    <t>FlexPBX-1782506648.368002</t>
  </si>
  <si>
    <t>FlexPBX-1782505082.367956</t>
  </si>
  <si>
    <t>FlexPBX-1782504447.367930</t>
  </si>
  <si>
    <t>FlexPBX-1782503947.367910</t>
  </si>
  <si>
    <t>FlexPBX-1782503583.367888</t>
  </si>
  <si>
    <t>FlexPBX-1782502859.367860</t>
  </si>
  <si>
    <t>FlexPBX-1782502304.367820</t>
  </si>
  <si>
    <t>FlexPBX-1782502283.367812</t>
  </si>
  <si>
    <t>FlexPBX-1782502265.367798</t>
  </si>
  <si>
    <t>FlexPBX-1782501746.367759</t>
  </si>
  <si>
    <t>FlexPBX-1782501655.367703</t>
  </si>
  <si>
    <t>FlexPBX-1782501645.367700</t>
  </si>
  <si>
    <t>FlexPBX-1782501145.367689</t>
  </si>
  <si>
    <t>FlexPBX-1782500746.367663</t>
  </si>
  <si>
    <t>FlexPBX-1782500324.367623</t>
  </si>
  <si>
    <t>FlexPBX-1782500232.367589</t>
  </si>
  <si>
    <t>FlexPBX-1782499600.367575</t>
  </si>
  <si>
    <t>FlexPBX-1782498768.367514</t>
  </si>
  <si>
    <t>FlexPBX-1782498713.367476</t>
  </si>
  <si>
    <t>FlexPBX-1782498707.367473</t>
  </si>
  <si>
    <t>FlexPBX-1782498486.367459</t>
  </si>
  <si>
    <t>FlexPBX-1782498385.367451</t>
  </si>
  <si>
    <t>FlexPBX-1782498331.367429</t>
  </si>
  <si>
    <t>FlexPBX-1782498056.367415</t>
  </si>
  <si>
    <t>FlexPBX-1782497970.367403</t>
  </si>
  <si>
    <t>FlexPBX-1782497901.367395</t>
  </si>
  <si>
    <t>FlexPBX-1782497634.367381</t>
  </si>
  <si>
    <t>FlexPBX-1782497535.367367</t>
  </si>
  <si>
    <t>FlexPBX-1782497107.367323</t>
  </si>
  <si>
    <t>FlexPBX-1782496970.367303</t>
  </si>
  <si>
    <t>FlexPBX-1782496771.367231</t>
  </si>
  <si>
    <t>FlexPBX-1782496175.367165</t>
  </si>
  <si>
    <t>FlexPBX-1782495899.367125</t>
  </si>
  <si>
    <t>FlexPBX-1782495360.367081</t>
  </si>
  <si>
    <t>FlexPBX-1782494825.367063</t>
  </si>
  <si>
    <t>FlexPBX-1782494517.367039</t>
  </si>
  <si>
    <t>FlexPBX-1782494333.367013</t>
  </si>
  <si>
    <t>FlexPBX-1782494083.366985</t>
  </si>
  <si>
    <t>FlexPBX-1782493436.366921</t>
  </si>
  <si>
    <t>FlexPBX-1782492410.366851</t>
  </si>
  <si>
    <t>FlexPBX-1782492253.366835</t>
  </si>
  <si>
    <t>FlexPBX-1782492248.366823</t>
  </si>
  <si>
    <t>FlexPBX-1782491505.366779</t>
  </si>
  <si>
    <t>FlexPBX-1782491306.366768</t>
  </si>
  <si>
    <t>FlexPBX-1782491191.366759</t>
  </si>
  <si>
    <t>FlexPBX-1782491159.366755</t>
  </si>
  <si>
    <t>FlexPBX-1782484835.366739</t>
  </si>
  <si>
    <t>FlexPBX-1782484829.366727</t>
  </si>
  <si>
    <t>FlexPBX-1782484447.366547</t>
  </si>
  <si>
    <t>FlexPBX-1782483997.366527</t>
  </si>
  <si>
    <t>FlexPBX-1782483816.366513</t>
  </si>
  <si>
    <t>FlexPBX-1782483242.366457</t>
  </si>
  <si>
    <t>FlexPBX-1782483209.366440</t>
  </si>
  <si>
    <t>FlexPBX-1782483205.366437</t>
  </si>
  <si>
    <t>FlexPBX-1782482705.366350</t>
  </si>
  <si>
    <t>FlexPBX-1782482592.366307</t>
  </si>
  <si>
    <t>FlexPBX-1782481680.366277</t>
  </si>
  <si>
    <t>FlexPBX-1782481607.366269</t>
  </si>
  <si>
    <t>FlexPBX-1782481474.366264</t>
  </si>
  <si>
    <t>FlexPBX-1782480759.366133</t>
  </si>
  <si>
    <t>FlexPBX-1782480745.366130</t>
  </si>
  <si>
    <t>FlexPBX-1782480642.366125</t>
  </si>
  <si>
    <t>FlexPBX-1782480613.366117</t>
  </si>
  <si>
    <t>FlexPBX-1782480520.366101</t>
  </si>
  <si>
    <t>FlexPBX-1782480511.366093</t>
  </si>
  <si>
    <t>FlexPBX-1782480508.366085</t>
  </si>
  <si>
    <t>FlexPBX-1782480503.366069</t>
  </si>
  <si>
    <t>FlexPBX-1782480497.366063</t>
  </si>
  <si>
    <t>FlexPBX-1782480459.366052</t>
  </si>
  <si>
    <t>FlexPBX-1782480284.366038</t>
  </si>
  <si>
    <t>FlexPBX-1782480269.366028</t>
  </si>
  <si>
    <t>FlexPBX-1782480267.366016</t>
  </si>
  <si>
    <t>FlexPBX-1782480055.365982</t>
  </si>
  <si>
    <t>FlexPBX-1782479876.365974</t>
  </si>
  <si>
    <t>FlexPBX-1782478983.365946</t>
  </si>
  <si>
    <t>FlexPBX-1782478437.365926</t>
  </si>
  <si>
    <t>FlexPBX-1782478324.365908</t>
  </si>
  <si>
    <t>FlexPBX-1782477698.365830</t>
  </si>
  <si>
    <t>FlexPBX-1782477692.365826</t>
  </si>
  <si>
    <t>FlexPBX-1782477583.365818</t>
  </si>
  <si>
    <t>FlexPBX-1782476864.365813</t>
  </si>
  <si>
    <t>FlexPBX-1782476560.365787</t>
  </si>
  <si>
    <t>FlexPBX-1782476021.365767</t>
  </si>
  <si>
    <t>FlexPBX-1782475605.365713</t>
  </si>
  <si>
    <t>FlexPBX-1782475403.365687</t>
  </si>
  <si>
    <t>FlexPBX-1782475316.365667</t>
  </si>
  <si>
    <t>FlexPBX-1782475143.365647</t>
  </si>
  <si>
    <t>FlexPBX-1782475121.365631</t>
  </si>
  <si>
    <t>FlexPBX-1782474354.365607</t>
  </si>
  <si>
    <t>FlexPBX-1782473867.365567</t>
  </si>
  <si>
    <t>FlexPBX-1782473410.365521</t>
  </si>
  <si>
    <t>FlexPBX-1782473364.365516</t>
  </si>
  <si>
    <t>FlexPBX-1782473331.365511</t>
  </si>
  <si>
    <t>FlexPBX-1782473294.365506</t>
  </si>
  <si>
    <t>FlexPBX-1782472735.365498</t>
  </si>
  <si>
    <t>FlexPBX-1782420241.365456</t>
  </si>
  <si>
    <t>FlexPBX-1782420149.365427</t>
  </si>
  <si>
    <t>FlexPBX-1782420142.365424</t>
  </si>
  <si>
    <t>FlexPBX-1782419977.365343</t>
  </si>
  <si>
    <t>FlexPBX-1782419924.365340</t>
  </si>
  <si>
    <t>FlexPBX-1782419487.365316</t>
  </si>
  <si>
    <t>FlexPBX-1782419484.365312</t>
  </si>
  <si>
    <t>FlexPBX-1782419373.365304</t>
  </si>
  <si>
    <t>FlexPBX-1782419328.365283</t>
  </si>
  <si>
    <t>FlexPBX-1782419229.365244</t>
  </si>
  <si>
    <t>FlexPBX-1782418883.365196</t>
  </si>
  <si>
    <t>FlexPBX-1782418724.365168</t>
  </si>
  <si>
    <t>FlexPBX-1782418175.365147</t>
  </si>
  <si>
    <t>FlexPBX-1782418097.365125</t>
  </si>
  <si>
    <t>FlexPBX-1782418092.365122</t>
  </si>
  <si>
    <t>FlexPBX-1782418019.365108</t>
  </si>
  <si>
    <t>FlexPBX-1782417718.365045</t>
  </si>
  <si>
    <t>FlexPBX-1782417695.365029</t>
  </si>
  <si>
    <t>FlexPBX-1782417672.365026</t>
  </si>
  <si>
    <t>FlexPBX-1782417585.365012</t>
  </si>
  <si>
    <t>FlexPBX-1782417464.364998</t>
  </si>
  <si>
    <t>FlexPBX-1782417376.364984</t>
  </si>
  <si>
    <t>FlexPBX-1782417281.364976</t>
  </si>
  <si>
    <t>FlexPBX-1782417165.364929</t>
  </si>
  <si>
    <t>FlexPBX-1782417095.364906</t>
  </si>
  <si>
    <t>FlexPBX-1782417025.364898</t>
  </si>
  <si>
    <t>FlexPBX-1782416629.364884</t>
  </si>
  <si>
    <t>FlexPBX-1782416503.364851</t>
  </si>
  <si>
    <t>FlexPBX-1782416374.364800</t>
  </si>
  <si>
    <t>FlexPBX-1782415428.364786</t>
  </si>
  <si>
    <t>FlexPBX-1782415025.364760</t>
  </si>
  <si>
    <t>FlexPBX-1782414799.364744</t>
  </si>
  <si>
    <t>FlexPBX-1782413658.364682</t>
  </si>
  <si>
    <t>FlexPBX-1782413515.364638</t>
  </si>
  <si>
    <t>FlexPBX-1782413345.364612</t>
  </si>
  <si>
    <t>FlexPBX-1782413160.364598</t>
  </si>
  <si>
    <t>FlexPBX-1782413029.364584</t>
  </si>
  <si>
    <t>FlexPBX-1782412921.364572</t>
  </si>
  <si>
    <t>FlexPBX-1782412580.364448</t>
  </si>
  <si>
    <t>FlexPBX-1782412090.364422</t>
  </si>
  <si>
    <t>FlexPBX-1782411821.364328</t>
  </si>
  <si>
    <t>FlexPBX-1782411735.364265</t>
  </si>
  <si>
    <t>FlexPBX-1782411667.364232</t>
  </si>
  <si>
    <t>FlexPBX-1782411492.364218</t>
  </si>
  <si>
    <t>FlexPBX-1782411443.364210</t>
  </si>
  <si>
    <t>FlexPBX-1782411410.364202</t>
  </si>
  <si>
    <t>FlexPBX-1782411240.364114</t>
  </si>
  <si>
    <t>FlexPBX-1782410750.364090</t>
  </si>
  <si>
    <t>FlexPBX-1782409727.364056</t>
  </si>
  <si>
    <t>FlexPBX-1782409002.364016</t>
  </si>
  <si>
    <t>FlexPBX-1782408252.363992</t>
  </si>
  <si>
    <t>FlexPBX-1782407749.363956</t>
  </si>
  <si>
    <t>FlexPBX-1782407122.363862</t>
  </si>
  <si>
    <t>FlexPBX-1782406516.363854</t>
  </si>
  <si>
    <t>FlexPBX-1782405327.363849</t>
  </si>
  <si>
    <t>FlexPBX-1782403676.363813</t>
  </si>
  <si>
    <t>FlexPBX-1782398487.363781</t>
  </si>
  <si>
    <t>FlexPBX-1782397933.363732</t>
  </si>
  <si>
    <t>FlexPBX-1782397836.363697</t>
  </si>
  <si>
    <t>FlexPBX-1782397787.363669</t>
  </si>
  <si>
    <t>FlexPBX-1782397699.363661</t>
  </si>
  <si>
    <t>HENRIQUE</t>
  </si>
  <si>
    <t>FlexPBX-1782397095.363641</t>
  </si>
  <si>
    <t>FlexPBX-1782396031.363550</t>
  </si>
  <si>
    <t>FlexPBX-1782395903.363475</t>
  </si>
  <si>
    <t>FlexPBX-1782395461.363461</t>
  </si>
  <si>
    <t>FlexPBX-1782395183.363437</t>
  </si>
  <si>
    <t>FlexPBX-1782395119.363425</t>
  </si>
  <si>
    <t>FlexPBX-1782394202.363397</t>
  </si>
  <si>
    <t>FlexPBX-1782393913.363371</t>
  </si>
  <si>
    <t>FlexPBX-1782393515.363349</t>
  </si>
  <si>
    <t>FlexPBX-1782392524.363288</t>
  </si>
  <si>
    <t>FlexPBX-1782392463.363268</t>
  </si>
  <si>
    <t>FlexPBX-1782392302.363225</t>
  </si>
  <si>
    <t>FlexPBX-1782392276.363216</t>
  </si>
  <si>
    <t>FlexPBX-1782392225.363207</t>
  </si>
  <si>
    <t>FlexPBX-1782392116.363199</t>
  </si>
  <si>
    <t>FlexPBX-1782391839.363171</t>
  </si>
  <si>
    <t>FlexPBX-1782391589.363126</t>
  </si>
  <si>
    <t>FlexPBX-1782391503.363113</t>
  </si>
  <si>
    <t>FlexPBX-1782390235.363063</t>
  </si>
  <si>
    <t>FlexPBX-1782389593.363049</t>
  </si>
  <si>
    <t>FlexPBX-1782389587.363041</t>
  </si>
  <si>
    <t>FlexPBX-1782389522.363025</t>
  </si>
  <si>
    <t>FlexPBX-1782388514.362991</t>
  </si>
  <si>
    <t>FlexPBX-1782388508.362979</t>
  </si>
  <si>
    <t>FlexPBX-1782388317.362948</t>
  </si>
  <si>
    <t>FlexPBX-1782388307.362941</t>
  </si>
  <si>
    <t>FlexPBX-1782388162.362925</t>
  </si>
  <si>
    <t>FlexPBX-1782388128.362917</t>
  </si>
  <si>
    <t>FlexPBX-1782387282.362869</t>
  </si>
  <si>
    <t>FlexPBX-1782387240.362836</t>
  </si>
  <si>
    <t>FlexPBX-1782387213.362815</t>
  </si>
  <si>
    <t>FlexPBX-1782334453.362807</t>
  </si>
  <si>
    <t>FlexPBX-1782334435.362799</t>
  </si>
  <si>
    <t>FlexPBX-1782334426.362791</t>
  </si>
  <si>
    <t>FlexPBX-1782333001.362777</t>
  </si>
  <si>
    <t>FlexPBX-1782332803.362735</t>
  </si>
  <si>
    <t>FlexPBX-1782332304.362709</t>
  </si>
  <si>
    <t>FlexPBX-1782332254.362696</t>
  </si>
  <si>
    <t>FlexPBX-1782331477.362654</t>
  </si>
  <si>
    <t>FlexPBX-1782330856.362609</t>
  </si>
  <si>
    <t>FlexPBX-1782330846.362604</t>
  </si>
  <si>
    <t>FlexPBX-1782330354.362504</t>
  </si>
  <si>
    <t>FlexPBX-1782330331.362495</t>
  </si>
  <si>
    <t>FlexPBX-1782330320.362490</t>
  </si>
  <si>
    <t>FlexPBX-1782328840.362420</t>
  </si>
  <si>
    <t>FlexPBX-1782328623.362406</t>
  </si>
  <si>
    <t>FlexPBX-1782328615.362398</t>
  </si>
  <si>
    <t>FlexPBX-1782328565.362373</t>
  </si>
  <si>
    <t>FlexPBX-1782328553.362355</t>
  </si>
  <si>
    <t>FlexPBX-1782328503.362340</t>
  </si>
  <si>
    <t>FlexPBX-1782328494.362332</t>
  </si>
  <si>
    <t>FlexPBX-1782327428.362268</t>
  </si>
  <si>
    <t>FlexPBX-1782327353.362250</t>
  </si>
  <si>
    <t>FlexPBX-1782327342.362245</t>
  </si>
  <si>
    <t>FlexPBX-1782327118.362219</t>
  </si>
  <si>
    <t>FlexPBX-1782326918.362181</t>
  </si>
  <si>
    <t>FlexPBX-1782326154.362161</t>
  </si>
  <si>
    <t>FlexPBX-1782325879.362125</t>
  </si>
  <si>
    <t>FlexPBX-1782325872.362109</t>
  </si>
  <si>
    <t>FlexPBX-1782325836.362086</t>
  </si>
  <si>
    <t>FlexPBX-1782325772.362059</t>
  </si>
  <si>
    <t>FlexPBX-1782324921.361979</t>
  </si>
  <si>
    <t>FlexPBX-1782324836.361958</t>
  </si>
  <si>
    <t>FlexPBX-1782324808.361953</t>
  </si>
  <si>
    <t>FlexPBX-1782324727.361941</t>
  </si>
  <si>
    <t>FlexPBX-1782324644.361913</t>
  </si>
  <si>
    <t>FlexPBX-1782324134.361821</t>
  </si>
  <si>
    <t>FlexPBX-1782323823.361785</t>
  </si>
  <si>
    <t>FlexPBX-1782323672.361780</t>
  </si>
  <si>
    <t>FlexPBX-1782323598.361740</t>
  </si>
  <si>
    <t>FlexPBX-1782323114.361726</t>
  </si>
  <si>
    <t>FlexPBX-1782323109.361718</t>
  </si>
  <si>
    <t>FlexPBX-1782323063.361704</t>
  </si>
  <si>
    <t>FlexPBX-1782323056.361696</t>
  </si>
  <si>
    <t>FlexPBX-1782323039.361682</t>
  </si>
  <si>
    <t>FlexPBX-1782322667.361634</t>
  </si>
  <si>
    <t>FlexPBX-1782322351.361564</t>
  </si>
  <si>
    <t>FlexPBX-1782321816.361522</t>
  </si>
  <si>
    <t>FlexPBX-1782321250.361484</t>
  </si>
  <si>
    <t>FlexPBX-1782320989.361452</t>
  </si>
  <si>
    <t>FlexPBX-1782320959.361447</t>
  </si>
  <si>
    <t>FlexPBX-1782320289.361421</t>
  </si>
  <si>
    <t>FlexPBX-1782320192.361393</t>
  </si>
  <si>
    <t>FlexPBX-1782319358.361339</t>
  </si>
  <si>
    <t>FlexPBX-1782319236.361311</t>
  </si>
  <si>
    <t>FlexPBX-1782319012.361299</t>
  </si>
  <si>
    <t>FlexPBX-1782315918.361272</t>
  </si>
  <si>
    <t>FlexPBX-1782310894.361252</t>
  </si>
  <si>
    <t>FlexPBX-1782310782.361188</t>
  </si>
  <si>
    <t>FlexPBX-1782309827.361040</t>
  </si>
  <si>
    <t>FlexPBX-1782309353.361004</t>
  </si>
  <si>
    <t>FlexPBX-1782308990.360942</t>
  </si>
  <si>
    <t>FlexPBX-1782308963.360925</t>
  </si>
  <si>
    <t>FlexPBX-1782308882.360872</t>
  </si>
  <si>
    <t>FlexPBX-1782308862.360863</t>
  </si>
  <si>
    <t>FlexPBX-1782308544.360855</t>
  </si>
  <si>
    <t>FlexPBX-1782307851.360815</t>
  </si>
  <si>
    <t>FlexPBX-1782307424.360807</t>
  </si>
  <si>
    <t>FlexPBX-1782307414.360799</t>
  </si>
  <si>
    <t>FlexPBX-1782307302.360777</t>
  </si>
  <si>
    <t>FlexPBX-1782307198.360763</t>
  </si>
  <si>
    <t>FlexPBX-1782307099.360723</t>
  </si>
  <si>
    <t>FlexPBX-1782306687.360709</t>
  </si>
  <si>
    <t>FlexPBX-1782306339.360645</t>
  </si>
  <si>
    <t>FlexPBX-1782306334.360638</t>
  </si>
  <si>
    <t>FlexPBX-1782306270.360609</t>
  </si>
  <si>
    <t>FlexPBX-1782306249.360595</t>
  </si>
  <si>
    <t>FlexPBX-1782306161.360587</t>
  </si>
  <si>
    <t>FlexPBX-1782306021.360559</t>
  </si>
  <si>
    <t>FlexPBX-1782305092.360499</t>
  </si>
  <si>
    <t>FlexPBX-1782303803.360423</t>
  </si>
  <si>
    <t>FlexPBX-1782303683.360370</t>
  </si>
  <si>
    <t>FlexPBX-1782302889.360356</t>
  </si>
  <si>
    <t>FlexPBX-1782301997.360340</t>
  </si>
  <si>
    <t>FlexPBX-1782301172.360270</t>
  </si>
  <si>
    <t>FlexPBX-1782247740.360238</t>
  </si>
  <si>
    <t>FlexPBX-1782247253.360210</t>
  </si>
  <si>
    <t>FlexPBX-1782246202.360184</t>
  </si>
  <si>
    <t>FlexPBX-1782245893.360167</t>
  </si>
  <si>
    <t>FlexPBX-1782245842.360143</t>
  </si>
  <si>
    <t>FlexPBX-1782245840.360139</t>
  </si>
  <si>
    <t>FlexPBX-1782245725.360113</t>
  </si>
  <si>
    <t>FlexPBX-1782245658.360105</t>
  </si>
  <si>
    <t>FlexPBX-1782245632.360097</t>
  </si>
  <si>
    <t>FlexPBX-1782245607.360089</t>
  </si>
  <si>
    <t>FlexPBX-1782245194.360050</t>
  </si>
  <si>
    <t>FlexPBX-1782245147.360035</t>
  </si>
  <si>
    <t>FlexPBX-1782245018.360008</t>
  </si>
  <si>
    <t>FlexPBX-1782244511.359984</t>
  </si>
  <si>
    <t>FlexPBX-1782244078.359911</t>
  </si>
  <si>
    <t>FlexPBX-1782244044.359890</t>
  </si>
  <si>
    <t>FlexPBX-1782243150.359860</t>
  </si>
  <si>
    <t>FlexPBX-1782242494.359846</t>
  </si>
  <si>
    <t>FlexPBX-1782241430.359824</t>
  </si>
  <si>
    <t>FlexPBX-1782240381.359800</t>
  </si>
  <si>
    <t>FlexPBX-1782239860.359710</t>
  </si>
  <si>
    <t>FlexPBX-1782239296.359654</t>
  </si>
  <si>
    <t>FlexPBX-1782238729.359624</t>
  </si>
  <si>
    <t>FlexPBX-1782238508.359616</t>
  </si>
  <si>
    <t>FlexPBX-1782238378.359572</t>
  </si>
  <si>
    <t>FlexPBX-1782237654.359544</t>
  </si>
  <si>
    <t>FlexPBX-1782237463.359524</t>
  </si>
  <si>
    <t>FlexPBX-1782237414.359516</t>
  </si>
  <si>
    <t>FlexPBX-1782237356.359473</t>
  </si>
  <si>
    <t>FlexPBX-1782237342.359459</t>
  </si>
  <si>
    <t>FlexPBX-1782237282.359419</t>
  </si>
  <si>
    <t>FlexPBX-1782237276.359401</t>
  </si>
  <si>
    <t>FlexPBX-1782237252.359398</t>
  </si>
  <si>
    <t>FlexPBX-1782237171.359384</t>
  </si>
  <si>
    <t>FlexPBX-1782235974.359356</t>
  </si>
  <si>
    <t>FlexPBX-1782235299.359328</t>
  </si>
  <si>
    <t>FlexPBX-1782235176.359314</t>
  </si>
  <si>
    <t>FlexPBX-1782234927.359300</t>
  </si>
  <si>
    <t>FlexPBX-1782234391.359237</t>
  </si>
  <si>
    <t>FlexPBX-1782234080.359215</t>
  </si>
  <si>
    <t>FlexPBX-1782233332.359189</t>
  </si>
  <si>
    <t>FlexPBX-1782233218.359173</t>
  </si>
  <si>
    <t>FlexPBX-1782233005.359159</t>
  </si>
  <si>
    <t>FlexPBX-1782232923.359107</t>
  </si>
  <si>
    <t>FlexPBX-1782232801.359054</t>
  </si>
  <si>
    <t>FlexPBX-1782231826.359049</t>
  </si>
  <si>
    <t>FlexPBX-1782227619.359035</t>
  </si>
  <si>
    <t>FlexPBX-1782227298.359027</t>
  </si>
  <si>
    <t>FlexPBX-1782225001.358947</t>
  </si>
  <si>
    <t>FlexPBX-1782224730.358915</t>
  </si>
  <si>
    <t>FlexPBX-1782224395.358863</t>
  </si>
  <si>
    <t>FlexPBX-1782223696.358812</t>
  </si>
  <si>
    <t>FlexPBX-1782223613.358787</t>
  </si>
  <si>
    <t>FlexPBX-1782223395.358767</t>
  </si>
  <si>
    <t>FlexPBX-1782222775.358737</t>
  </si>
  <si>
    <t>FlexPBX-1782222426.358707</t>
  </si>
  <si>
    <t>FlexPBX-1782222193.358649</t>
  </si>
  <si>
    <t>FlexPBX-1782222123.358633</t>
  </si>
  <si>
    <t>FlexPBX-1782222055.358619</t>
  </si>
  <si>
    <t>FlexPBX-1782221991.358611</t>
  </si>
  <si>
    <t>FlexPBX-1782221847.358577</t>
  </si>
  <si>
    <t>FlexPBX-1782221339.358453</t>
  </si>
  <si>
    <t>FlexPBX-1782220797.358439</t>
  </si>
  <si>
    <t>FlexPBX-1782219431.358363</t>
  </si>
  <si>
    <t>FlexPBX-1782218809.358321</t>
  </si>
  <si>
    <t>FlexPBX-1782218152.358263</t>
  </si>
  <si>
    <t>FlexPBX-1782217847.358221</t>
  </si>
  <si>
    <t>FlexPBX-1782217377.358187</t>
  </si>
  <si>
    <t>FlexPBX-1782217238.358144</t>
  </si>
  <si>
    <t>FlexPBX-1782217198.358129</t>
  </si>
  <si>
    <t>FlexPBX-1782216613.358049</t>
  </si>
  <si>
    <t>FlexPBX-1782216332.358029</t>
  </si>
  <si>
    <t>FlexPBX-1782216107.358013</t>
  </si>
  <si>
    <t>FlexPBX-1782215424.357993</t>
  </si>
  <si>
    <t>FlexPBX-1782215267.357979</t>
  </si>
  <si>
    <t>FlexPBX-1782215033.357961</t>
  </si>
  <si>
    <t>FlexPBX-1782214801.357953</t>
  </si>
  <si>
    <t>FlexPBX-1782214690.357913</t>
  </si>
  <si>
    <t>FlexPBX-1782166607.357908</t>
  </si>
  <si>
    <t>FlexPBX-1782160771.357798</t>
  </si>
  <si>
    <t>FlexPBX-1782158803.357756</t>
  </si>
  <si>
    <t>FlexPBX-1782158369.357748</t>
  </si>
  <si>
    <t>FlexPBX-1782158155.357725</t>
  </si>
  <si>
    <t>FlexPBX-1782158103.357698</t>
  </si>
  <si>
    <t>FlexPBX-1782156477.357632</t>
  </si>
  <si>
    <t>FlexPBX-1782156250.357614</t>
  </si>
  <si>
    <t>FlexPBX-1782156166.357562</t>
  </si>
  <si>
    <t>FlexPBX-1782155083.357478</t>
  </si>
  <si>
    <t>FlexPBX-1782154808.357458</t>
  </si>
  <si>
    <t>FlexPBX-1782154577.357422</t>
  </si>
  <si>
    <t>FlexPBX-1782154483.357406</t>
  </si>
  <si>
    <t>FlexPBX-1782153680.357340</t>
  </si>
  <si>
    <t>FlexPBX-1782153451.357220</t>
  </si>
  <si>
    <t>FlexPBX-1782153122.357206</t>
  </si>
  <si>
    <t>FlexPBX-1782152999.357192</t>
  </si>
  <si>
    <t>FlexPBX-1782152165.357166</t>
  </si>
  <si>
    <t>FlexPBX-1782151397.357158</t>
  </si>
  <si>
    <t>FlexPBX-1782150972.357144</t>
  </si>
  <si>
    <t>FlexPBX-1782150333.357126</t>
  </si>
  <si>
    <t>FlexPBX-1782150326.357114</t>
  </si>
  <si>
    <t>FlexPBX-1782149362.357084</t>
  </si>
  <si>
    <t>FlexPBX-1782148752.357041</t>
  </si>
  <si>
    <t>FlexPBX-1782148709.357019</t>
  </si>
  <si>
    <t>FlexPBX-1782148623.356982</t>
  </si>
  <si>
    <t>FlexPBX-1782148235.356933</t>
  </si>
  <si>
    <t>FlexPBX-1782148102.356858</t>
  </si>
  <si>
    <t>FlexPBX-1782146834.356754</t>
  </si>
  <si>
    <t>FlexPBX-1782142165.356730</t>
  </si>
  <si>
    <t>FlexPBX-1782140093.356704</t>
  </si>
  <si>
    <t>FlexPBX-1782139465.356676</t>
  </si>
  <si>
    <t>FlexPBX-1782139073.356664</t>
  </si>
  <si>
    <t>FlexPBX-1782138782.356612</t>
  </si>
  <si>
    <t>FlexPBX-1782137788.356584</t>
  </si>
  <si>
    <t>FlexPBX-1782137509.356556</t>
  </si>
  <si>
    <t>FlexPBX-1782137344.356522</t>
  </si>
  <si>
    <t>FlexPBX-1782137291.356498</t>
  </si>
  <si>
    <t>FlexPBX-1782136874.356486</t>
  </si>
  <si>
    <t>FlexPBX-1782136780.356470</t>
  </si>
  <si>
    <t>FlexPBX-1782136350.356428</t>
  </si>
  <si>
    <t>FlexPBX-1782136257.356393</t>
  </si>
  <si>
    <t>FlexPBX-1782135740.356329</t>
  </si>
  <si>
    <t>FlexPBX-1782135475.356274</t>
  </si>
  <si>
    <t>FlexPBX-1782135378.356243</t>
  </si>
  <si>
    <t>FlexPBX-1782134770.356215</t>
  </si>
  <si>
    <t>FlexPBX-1782134493.356169</t>
  </si>
  <si>
    <t>FlexPBX-1782133678.356063</t>
  </si>
  <si>
    <t>FlexPBX-1782133650.356060</t>
  </si>
  <si>
    <t>FlexPBX-1782132117.356020</t>
  </si>
  <si>
    <t>FlexPBX-1782130598.356005</t>
  </si>
  <si>
    <t>FlexPBX-1782130540.355983</t>
  </si>
  <si>
    <t>FlexPBX-1782130131.355971</t>
  </si>
  <si>
    <t>FlexPBX-1782129610.355943</t>
  </si>
  <si>
    <t>FlexPBX-1782129043.355825</t>
  </si>
  <si>
    <t>FlexPBX-1782129029.355811</t>
  </si>
  <si>
    <t>FlexPBX-1782128302.355731</t>
  </si>
  <si>
    <t>FlexPBX-1782127496.355717</t>
  </si>
  <si>
    <t>FlexPBX-1781960241.355708</t>
  </si>
  <si>
    <t>FlexPBX-1781957255.355703</t>
  </si>
  <si>
    <t>FlexPBX-1781902046.355653</t>
  </si>
  <si>
    <t>FlexPBX-1781900943.355615</t>
  </si>
  <si>
    <t>FlexPBX-1781900938.355603</t>
  </si>
  <si>
    <t>FlexPBX-1781900910.355591</t>
  </si>
  <si>
    <t>FlexPBX-1781900575.355551</t>
  </si>
  <si>
    <t>FlexPBX-1781900416.355520</t>
  </si>
  <si>
    <t>FlexPBX-1781900415.355517</t>
  </si>
  <si>
    <t>FlexPBX-1781900367.355509</t>
  </si>
  <si>
    <t>FlexPBX-1781900317.355501</t>
  </si>
  <si>
    <t>FlexPBX-1781899578.355487</t>
  </si>
  <si>
    <t>FlexPBX-1781899485.355473</t>
  </si>
  <si>
    <t>FlexPBX-1781899289.355459</t>
  </si>
  <si>
    <t>FlexPBX-1781899186.355445</t>
  </si>
  <si>
    <t>FlexPBX-1781898934.355417</t>
  </si>
  <si>
    <t>FlexPBX-1781898918.355413</t>
  </si>
  <si>
    <t>FlexPBX-1781898896.355401</t>
  </si>
  <si>
    <t>FlexPBX-1781898868.355393</t>
  </si>
  <si>
    <t>FlexPBX-1781898841.355385</t>
  </si>
  <si>
    <t>FlexPBX-1781898397.355365</t>
  </si>
  <si>
    <t>FlexPBX-1781898274.355351</t>
  </si>
  <si>
    <t>FlexPBX-1781898116.355339</t>
  </si>
  <si>
    <t>FlexPBX-1781897762.355315</t>
  </si>
  <si>
    <t>FlexPBX-1781897379.355279</t>
  </si>
  <si>
    <t>FlexPBX-1781897318.355258</t>
  </si>
  <si>
    <t>FlexPBX-1781897256.355250</t>
  </si>
  <si>
    <t>FlexPBX-1781897090.355230</t>
  </si>
  <si>
    <t>FlexPBX-1781897016.355222</t>
  </si>
  <si>
    <t>FlexPBX-1781896898.355202</t>
  </si>
  <si>
    <t>FlexPBX-1781896863.355190</t>
  </si>
  <si>
    <t>FlexPBX-1781896843.355182</t>
  </si>
  <si>
    <t>FlexPBX-1781896793.355168</t>
  </si>
  <si>
    <t>FlexPBX-1781896490.355154</t>
  </si>
  <si>
    <t>FlexPBX-1781896480.355146</t>
  </si>
  <si>
    <t>FlexPBX-1781896328.355138</t>
  </si>
  <si>
    <t>FlexPBX-1781896162.355122</t>
  </si>
  <si>
    <t>FlexPBX-1781896160.355118</t>
  </si>
  <si>
    <t>FlexPBX-1781896154.355110</t>
  </si>
  <si>
    <t>FlexPBX-1781896108.355102</t>
  </si>
  <si>
    <t>FlexPBX-1781896101.355094</t>
  </si>
  <si>
    <t>FlexPBX-1781896075.355076</t>
  </si>
  <si>
    <t>FlexPBX-1781896064.355072</t>
  </si>
  <si>
    <t>FlexPBX-1781895957.355058</t>
  </si>
  <si>
    <t>FlexPBX-1781895856.355032</t>
  </si>
  <si>
    <t>FlexPBX-1781895767.355010</t>
  </si>
  <si>
    <t>FlexPBX-1781895700.355002</t>
  </si>
  <si>
    <t>FlexPBX-1781895647.354988</t>
  </si>
  <si>
    <t>FlexPBX-1781895275.354968</t>
  </si>
  <si>
    <t>FlexPBX-1781895269.354960</t>
  </si>
  <si>
    <t>FlexPBX-1781895249.354942</t>
  </si>
  <si>
    <t>FlexPBX-1781895233.354938</t>
  </si>
  <si>
    <t>FlexPBX-1781894966.354916</t>
  </si>
  <si>
    <t>FlexPBX-1781894935.354908</t>
  </si>
  <si>
    <t>FlexPBX-1781894431.354858</t>
  </si>
  <si>
    <t>FlexPBX-1781894406.354842</t>
  </si>
  <si>
    <t>FlexPBX-1781894270.354828</t>
  </si>
  <si>
    <t>FlexPBX-1781894259.354820</t>
  </si>
  <si>
    <t>FlexPBX-1781894249.354812</t>
  </si>
  <si>
    <t>FlexPBX-1781894030.354780</t>
  </si>
  <si>
    <t>FlexPBX-1781893968.354766</t>
  </si>
  <si>
    <t>FlexPBX-1781893774.354709</t>
  </si>
  <si>
    <t>FlexPBX-1781893759.354706</t>
  </si>
  <si>
    <t>FlexPBX-1781893203.354675</t>
  </si>
  <si>
    <t>FlexPBX-1781893080.354637</t>
  </si>
  <si>
    <t>FlexPBX-1781893050.354628</t>
  </si>
  <si>
    <t>FlexPBX-1781892792.354608</t>
  </si>
  <si>
    <t>FlexPBX-1781892774.354596</t>
  </si>
  <si>
    <t>FlexPBX-1781892704.354580</t>
  </si>
  <si>
    <t>FlexPBX-1781892645.354563</t>
  </si>
  <si>
    <t>FlexPBX-1781892596.354552</t>
  </si>
  <si>
    <t>FlexPBX-1781892440.354463</t>
  </si>
  <si>
    <t>FlexPBX-1781892117.354359</t>
  </si>
  <si>
    <t>FlexPBX-1781892113.354352</t>
  </si>
  <si>
    <t>FlexPBX-1781892079.354343</t>
  </si>
  <si>
    <t>FlexPBX-1781891908.354307</t>
  </si>
  <si>
    <t>FlexPBX-1781891631.354271</t>
  </si>
  <si>
    <t>FlexPBX-1781891261.354263</t>
  </si>
  <si>
    <t>FlexPBX-1781891248.354255</t>
  </si>
  <si>
    <t>FlexPBX-1781891237.354247</t>
  </si>
  <si>
    <t>FlexPBX-1781891221.354239</t>
  </si>
  <si>
    <t>FlexPBX-1781891021.354155</t>
  </si>
  <si>
    <t>FlexPBX-1781890981.354147</t>
  </si>
  <si>
    <t>FlexPBX-1781890866.354139</t>
  </si>
  <si>
    <t>FlexPBX-1781890697.354104</t>
  </si>
  <si>
    <t>FlexPBX-1781890575.354096</t>
  </si>
  <si>
    <t>FlexPBX-1781890212.354043</t>
  </si>
  <si>
    <t>FlexPBX-1781889862.353991</t>
  </si>
  <si>
    <t>FlexPBX-1781889805.353986</t>
  </si>
  <si>
    <t>FlexPBX-1781889314.353958</t>
  </si>
  <si>
    <t>FlexPBX-1781888413.353894</t>
  </si>
  <si>
    <t>FlexPBX-1781887699.353833</t>
  </si>
  <si>
    <t>FlexPBX-1781887624.353788</t>
  </si>
  <si>
    <t>FlexPBX-1781887532.353780</t>
  </si>
  <si>
    <t>FlexPBX-1781886774.353693</t>
  </si>
  <si>
    <t>FlexPBX-1781886715.353672</t>
  </si>
  <si>
    <t>FlexPBX-1781886702.353667</t>
  </si>
  <si>
    <t>FlexPBX-1781886590.353662</t>
  </si>
  <si>
    <t>FlexPBX-1781886048.353657</t>
  </si>
  <si>
    <t>FlexPBX-1781886033.353652</t>
  </si>
  <si>
    <t>FlexPBX-1781880720.353644</t>
  </si>
  <si>
    <t>FlexPBX-1781879881.353630</t>
  </si>
  <si>
    <t>FlexPBX-1781878656.353576</t>
  </si>
  <si>
    <t>FlexPBX-1781878493.353564</t>
  </si>
  <si>
    <t>FlexPBX-1781878281.353507</t>
  </si>
  <si>
    <t>FlexPBX-1781878253.353482</t>
  </si>
  <si>
    <t>FlexPBX-1781878226.353459</t>
  </si>
  <si>
    <t>FlexPBX-1781878218.353456</t>
  </si>
  <si>
    <t>FlexPBX-1781878177.353448</t>
  </si>
  <si>
    <t>FlexPBX-1781877993.353428</t>
  </si>
  <si>
    <t>FlexPBX-1781877929.353420</t>
  </si>
  <si>
    <t>FlexPBX-1781877874.353408</t>
  </si>
  <si>
    <t>FlexPBX-1781877827.353400</t>
  </si>
  <si>
    <t>FlexPBX-1781877802.353392</t>
  </si>
  <si>
    <t>FlexPBX-1781877663.353378</t>
  </si>
  <si>
    <t>FlexPBX-1781877536.353303</t>
  </si>
  <si>
    <t>FlexPBX-1781877441.353232</t>
  </si>
  <si>
    <t>FlexPBX-1781877320.353163</t>
  </si>
  <si>
    <t>FlexPBX-1781876109.353125</t>
  </si>
  <si>
    <t>FlexPBX-1781876022.353111</t>
  </si>
  <si>
    <t>FlexPBX-1781875900.353097</t>
  </si>
  <si>
    <t>FlexPBX-1781875820.353083</t>
  </si>
  <si>
    <t>FlexPBX-1781875394.353069</t>
  </si>
  <si>
    <t>FlexPBX-1781875236.353064</t>
  </si>
  <si>
    <t>FlexPBX-1781875154.352987</t>
  </si>
  <si>
    <t>FlexPBX-1781875073.352942</t>
  </si>
  <si>
    <t>FlexPBX-1781875055.352926</t>
  </si>
  <si>
    <t>FlexPBX-1781875035.352919</t>
  </si>
  <si>
    <t>FlexPBX-1781874984.352914</t>
  </si>
  <si>
    <t>FlexPBX-1781874552.352894</t>
  </si>
  <si>
    <t>FlexPBX-1781874430.352858</t>
  </si>
  <si>
    <t>FlexPBX-1781874230.352853</t>
  </si>
  <si>
    <t>FlexPBX-1781874136.352823</t>
  </si>
  <si>
    <t>FlexPBX-1781873677.352775</t>
  </si>
  <si>
    <t>FlexPBX-1781873441.352736</t>
  </si>
  <si>
    <t>FlexPBX-1781873380.352721</t>
  </si>
  <si>
    <t>FlexPBX-1781872860.352676</t>
  </si>
  <si>
    <t>FlexPBX-1781872837.352659</t>
  </si>
  <si>
    <t>FlexPBX-1781872740.352602</t>
  </si>
  <si>
    <t>FlexPBX-1781871124.352554</t>
  </si>
  <si>
    <t>FlexPBX-1781868937.352477</t>
  </si>
  <si>
    <t>FlexPBX-1781868932.352474</t>
  </si>
  <si>
    <t>FlexPBX-1781868413.352460</t>
  </si>
  <si>
    <t>FlexPBX-1781868227.352446</t>
  </si>
  <si>
    <t>FlexPBX-1781868097.352435</t>
  </si>
  <si>
    <t>FlexPBX-1781868062.352425</t>
  </si>
  <si>
    <t>FlexPBX-1781868052.352413</t>
  </si>
  <si>
    <t>FlexPBX-1781815006.352373</t>
  </si>
  <si>
    <t>FlexPBX-1781814785.352365</t>
  </si>
  <si>
    <t>FlexPBX-1781814735.352337</t>
  </si>
  <si>
    <t>FlexPBX-1781813839.352267</t>
  </si>
  <si>
    <t>FlexPBX-1781812616.352231</t>
  </si>
  <si>
    <t>FlexPBX-1781812381.352151</t>
  </si>
  <si>
    <t>FlexPBX-1781812266.352127</t>
  </si>
  <si>
    <t>FlexPBX-1781812245.352111</t>
  </si>
  <si>
    <t>FlexPBX-1781812219.352072</t>
  </si>
  <si>
    <t>FlexPBX-1781812166.352036</t>
  </si>
  <si>
    <t>FlexPBX-1781812119.352007</t>
  </si>
  <si>
    <t>FlexPBX-1781812101.352004</t>
  </si>
  <si>
    <t>FlexPBX-1781811659.351968</t>
  </si>
  <si>
    <t>FlexPBX-1781811596.351960</t>
  </si>
  <si>
    <t>FlexPBX-1781811369.351899</t>
  </si>
  <si>
    <t>FlexPBX-1781811273.351885</t>
  </si>
  <si>
    <t>FlexPBX-1781810726.351790</t>
  </si>
  <si>
    <t>FlexPBX-1781810646.351745</t>
  </si>
  <si>
    <t>FlexPBX-1781810370.351731</t>
  </si>
  <si>
    <t>FlexPBX-1781810194.351713</t>
  </si>
  <si>
    <t>FlexPBX-1781810189.351709</t>
  </si>
  <si>
    <t>FlexPBX-1781810170.351697</t>
  </si>
  <si>
    <t>FlexPBX-1781810158.351687</t>
  </si>
  <si>
    <t>FlexPBX-1781810155.351683</t>
  </si>
  <si>
    <t>FlexPBX-1781810057.351671</t>
  </si>
  <si>
    <t>FlexPBX-1781809723.351651</t>
  </si>
  <si>
    <t>FlexPBX-1781809461.351625</t>
  </si>
  <si>
    <t>FlexPBX-1781808796.351605</t>
  </si>
  <si>
    <t>FlexPBX-1781808658.351597</t>
  </si>
  <si>
    <t>FlexPBX-1781808482.351589</t>
  </si>
  <si>
    <t>FlexPBX-1781808456.351581</t>
  </si>
  <si>
    <t>FlexPBX-1781808336.351563</t>
  </si>
  <si>
    <t>FlexPBX-1781808259.351551</t>
  </si>
  <si>
    <t>FlexPBX-1781808008.351509</t>
  </si>
  <si>
    <t>FlexPBX-1781807993.351506</t>
  </si>
  <si>
    <t>FlexPBX-1781807814.351454</t>
  </si>
  <si>
    <t>FlexPBX-1781807465.351378</t>
  </si>
  <si>
    <t>FlexPBX-1781807292.351370</t>
  </si>
  <si>
    <t>FlexPBX-1781807282.351362</t>
  </si>
  <si>
    <t>FlexPBX-1781807174.351350</t>
  </si>
  <si>
    <t>FlexPBX-1781807163.351342</t>
  </si>
  <si>
    <t>FlexPBX-1781807149.351334</t>
  </si>
  <si>
    <t>FlexPBX-1781806874.351320</t>
  </si>
  <si>
    <t>FlexPBX-1781806236.351304</t>
  </si>
  <si>
    <t>FlexPBX-1781805721.351168</t>
  </si>
  <si>
    <t>FlexPBX-1781804711.351086</t>
  </si>
  <si>
    <t>FlexPBX-1781803829.351032</t>
  </si>
  <si>
    <t>FlexPBX-1781803809.351020</t>
  </si>
  <si>
    <t>FlexPBX-1781803775.351011</t>
  </si>
  <si>
    <t>FlexPBX-1781803678.351003</t>
  </si>
  <si>
    <t>FlexPBX-1781803432.350942</t>
  </si>
  <si>
    <t>FlexPBX-1781803228.350837</t>
  </si>
  <si>
    <t>FlexPBX-1781802239.350755</t>
  </si>
  <si>
    <t>FlexPBX-1781801930.350739</t>
  </si>
  <si>
    <t>FlexPBX-1781801924.350725</t>
  </si>
  <si>
    <t>FlexPBX-1781801364.350641</t>
  </si>
  <si>
    <t>FlexPBX-1781801139.350580</t>
  </si>
  <si>
    <t>FlexPBX-1781801053.350555</t>
  </si>
  <si>
    <t>FlexPBX-1781800824.350547</t>
  </si>
  <si>
    <t>FlexPBX-1781800688.350472</t>
  </si>
  <si>
    <t>FlexPBX-1781800663.350463</t>
  </si>
  <si>
    <t>FlexPBX-1781792326.350357</t>
  </si>
  <si>
    <t>FlexPBX-1781792242.350328</t>
  </si>
  <si>
    <t>FlexPBX-1781791378.350296</t>
  </si>
  <si>
    <t>FlexPBX-1781791278.350265</t>
  </si>
  <si>
    <t>FlexPBX-1781791272.350262</t>
  </si>
  <si>
    <t>FlexPBX-1781791211.350247</t>
  </si>
  <si>
    <t>FlexPBX-1781791200.350239</t>
  </si>
  <si>
    <t>FlexPBX-1781791114.350211</t>
  </si>
  <si>
    <t>FlexPBX-1781790869.350191</t>
  </si>
  <si>
    <t>FlexPBX-1781790701.350163</t>
  </si>
  <si>
    <t>FlexPBX-1781790624.350155</t>
  </si>
  <si>
    <t>FlexPBX-1781790582.350147</t>
  </si>
  <si>
    <t>FlexPBX-1781790047.350113</t>
  </si>
  <si>
    <t>FlexPBX-1781789470.350085</t>
  </si>
  <si>
    <t>FlexPBX-1781789394.350057</t>
  </si>
  <si>
    <t>FlexPBX-1781789084.350019</t>
  </si>
  <si>
    <t>FlexPBX-1781788803.350011</t>
  </si>
  <si>
    <t>FlexPBX-1781788564.349991</t>
  </si>
  <si>
    <t>FlexPBX-1781788522.349964</t>
  </si>
  <si>
    <t>FlexPBX-1781788395.349917</t>
  </si>
  <si>
    <t>FlexPBX-1781788177.349841</t>
  </si>
  <si>
    <t>FlexPBX-1781788072.349831</t>
  </si>
  <si>
    <t>FlexPBX-1781787839.349819</t>
  </si>
  <si>
    <t>FlexPBX-1781787416.349791</t>
  </si>
  <si>
    <t>FlexPBX-1781785542.349758</t>
  </si>
  <si>
    <t>FlexPBX-1781785542.349756</t>
  </si>
  <si>
    <t>FlexPBX-1781785541.349751</t>
  </si>
  <si>
    <t>FlexPBX-1781785427.349723</t>
  </si>
  <si>
    <t>FlexPBX-1781785164.349645</t>
  </si>
  <si>
    <t>FlexPBX-1781784973.349589</t>
  </si>
  <si>
    <t>FlexPBX-1781784625.349571</t>
  </si>
  <si>
    <t>FlexPBX-1781784506.349550</t>
  </si>
  <si>
    <t>FlexPBX-1781784200.349512</t>
  </si>
  <si>
    <t>FlexPBX-1781784056.349492</t>
  </si>
  <si>
    <t>FlexPBX-1781783717.349448</t>
  </si>
  <si>
    <t>FlexPBX-1781783523.349398</t>
  </si>
  <si>
    <t>FlexPBX-1781783522.349394</t>
  </si>
  <si>
    <t>FlexPBX-1781782429.349292</t>
  </si>
  <si>
    <t>FlexPBX-1781782394.349283</t>
  </si>
  <si>
    <t>FlexPBX-1781782269.349267</t>
  </si>
  <si>
    <t>FlexPBX-1781782234.349255</t>
  </si>
  <si>
    <t>FlexPBX-1781782082.349237</t>
  </si>
  <si>
    <t>FlexPBX-1781782079.349233</t>
  </si>
  <si>
    <t>FlexPBX-1781782074.349225</t>
  </si>
  <si>
    <t>FlexPBX-1781782033.349217</t>
  </si>
  <si>
    <t>FlexPBX-1781781850.349212</t>
  </si>
  <si>
    <t>FlexPBX-1781781710.349204</t>
  </si>
  <si>
    <t>FlexPBX-1781781377.349188</t>
  </si>
  <si>
    <t>FlexPBX-1781781311.349176</t>
  </si>
  <si>
    <t>FlexPBX-1781780850.349162</t>
  </si>
  <si>
    <t>FlexPBX-1781729147.349117</t>
  </si>
  <si>
    <t>FlexPBX-1781728789.349103</t>
  </si>
  <si>
    <t>FlexPBX-1781728516.349095</t>
  </si>
  <si>
    <t>FlexPBX-1781728433.349040</t>
  </si>
  <si>
    <t>FlexPBX-1781728362.349009</t>
  </si>
  <si>
    <t>FlexPBX-1781728182.348915</t>
  </si>
  <si>
    <t>FlexPBX-1781728102.348910</t>
  </si>
  <si>
    <t>FlexPBX-1781728079.348902</t>
  </si>
  <si>
    <t>FlexPBX-1781727878.348880</t>
  </si>
  <si>
    <t>FlexPBX-1781727837.348868</t>
  </si>
  <si>
    <t>FlexPBX-1781727095.348822</t>
  </si>
  <si>
    <t>FlexPBX-1781727063.348813</t>
  </si>
  <si>
    <t>FlexPBX-1781726809.348769</t>
  </si>
  <si>
    <t>FlexPBX-1781726518.348753</t>
  </si>
  <si>
    <t>FlexPBX-1781726493.348748</t>
  </si>
  <si>
    <t>FlexPBX-1781726368.348740</t>
  </si>
  <si>
    <t>FlexPBX-1781726227.348718</t>
  </si>
  <si>
    <t>FlexPBX-1781726081.348695</t>
  </si>
  <si>
    <t>FlexPBX-1781726077.348685</t>
  </si>
  <si>
    <t>FlexPBX-1781726053.348665</t>
  </si>
  <si>
    <t>FlexPBX-1781726017.348633</t>
  </si>
  <si>
    <t>FlexPBX-1781726012.348621</t>
  </si>
  <si>
    <t>FlexPBX-1781725928.348572</t>
  </si>
  <si>
    <t>FlexPBX-1781725374.348546</t>
  </si>
  <si>
    <t>FlexPBX-1781725329.348538</t>
  </si>
  <si>
    <t>FlexPBX-1781725181.348444</t>
  </si>
  <si>
    <t>FlexPBX-1781725139.348423</t>
  </si>
  <si>
    <t>FlexPBX-1781725110.348418</t>
  </si>
  <si>
    <t>FlexPBX-1781724772.348404</t>
  </si>
  <si>
    <t>FlexPBX-1781724713.348396</t>
  </si>
  <si>
    <t>FlexPBX-1781724266.348347</t>
  </si>
  <si>
    <t>FlexPBX-1781724224.348339</t>
  </si>
  <si>
    <t>FlexPBX-1781723682.348247</t>
  </si>
  <si>
    <t>FlexPBX-1781723292.348231</t>
  </si>
  <si>
    <t>FlexPBX-1781723245.348223</t>
  </si>
  <si>
    <t>FlexPBX-1781723224.348215</t>
  </si>
  <si>
    <t>FlexPBX-1781723198.348205</t>
  </si>
  <si>
    <t>FlexPBX-1781723082.348135</t>
  </si>
  <si>
    <t>FlexPBX-1781722921.348039</t>
  </si>
  <si>
    <t>FlexPBX-1781722866.348016</t>
  </si>
  <si>
    <t>FlexPBX-1781722389.347958</t>
  </si>
  <si>
    <t>FlexPBX-1781722379.347955</t>
  </si>
  <si>
    <t>FlexPBX-1781722128.347927</t>
  </si>
  <si>
    <t>FlexPBX-1781721935.347919</t>
  </si>
  <si>
    <t>FlexPBX-1781721921.347905</t>
  </si>
  <si>
    <t>FlexPBX-1781720639.347877</t>
  </si>
  <si>
    <t>FlexPBX-1781720476.347827</t>
  </si>
  <si>
    <t>FlexPBX-1781720365.347798</t>
  </si>
  <si>
    <t>FlexPBX-1781719771.347601</t>
  </si>
  <si>
    <t>FlexPBX-1781719653.347562</t>
  </si>
  <si>
    <t>FlexPBX-1781719351.347528</t>
  </si>
  <si>
    <t>FlexPBX-1781719313.347520</t>
  </si>
  <si>
    <t>FlexPBX-1781719287.347510</t>
  </si>
  <si>
    <t>FlexPBX-1781719251.347496</t>
  </si>
  <si>
    <t>FlexPBX-1781719245.347484</t>
  </si>
  <si>
    <t>FlexPBX-1781717127.347454</t>
  </si>
  <si>
    <t>FlexPBX-1781717121.347442</t>
  </si>
  <si>
    <t>FlexPBX-1781716599.347408</t>
  </si>
  <si>
    <t>FlexPBX-1781716571.347403</t>
  </si>
  <si>
    <t>FlexPBX-1781715998.347361</t>
  </si>
  <si>
    <t>FlexPBX-1781715199.347248</t>
  </si>
  <si>
    <t>FlexPBX-1781715198.347245</t>
  </si>
  <si>
    <t>FlexPBX-1781715106.347224</t>
  </si>
  <si>
    <t>FlexPBX-1781714905.347204</t>
  </si>
  <si>
    <t>FlexPBX-1781714408.347154</t>
  </si>
  <si>
    <t>FlexPBX-1781714364.347119</t>
  </si>
  <si>
    <t>FlexPBX-1781714303.347098</t>
  </si>
  <si>
    <t>FlexPBX-1781713855.347090</t>
  </si>
  <si>
    <t>FlexPBX-1781707170.347062</t>
  </si>
  <si>
    <t>FlexPBX-1781707097.347054</t>
  </si>
  <si>
    <t>FlexPBX-1781707067.347046</t>
  </si>
  <si>
    <t>FlexPBX-1781706474.347038</t>
  </si>
  <si>
    <t>FlexPBX-1781705902.346998</t>
  </si>
  <si>
    <t>FlexPBX-1781704524.346909</t>
  </si>
  <si>
    <t>FlexPBX-1781704437.346874</t>
  </si>
  <si>
    <t>FlexPBX-1781704124.346854</t>
  </si>
  <si>
    <t>FlexPBX-1781703981.346838</t>
  </si>
  <si>
    <t>FlexPBX-1781703904.346810</t>
  </si>
  <si>
    <t>FlexPBX-1781703715.346760</t>
  </si>
  <si>
    <t>FlexPBX-1781703208.346710</t>
  </si>
  <si>
    <t>FlexPBX-1781701727.346658</t>
  </si>
  <si>
    <t>FlexPBX-1781701341.346644</t>
  </si>
  <si>
    <t>FlexPBX-1781701175.346618</t>
  </si>
  <si>
    <t>FlexPBX-1781700224.346567</t>
  </si>
  <si>
    <t>FlexPBX-1781700178.346558</t>
  </si>
  <si>
    <t>FlexPBX-1781700113.346553</t>
  </si>
  <si>
    <t>FlexPBX-1781700096.346543</t>
  </si>
  <si>
    <t>FlexPBX-1781700072.346540</t>
  </si>
  <si>
    <t>FlexPBX-1781700005.346526</t>
  </si>
  <si>
    <t>FlexPBX-1781699883.346510</t>
  </si>
  <si>
    <t>FlexPBX-1781699873.346498</t>
  </si>
  <si>
    <t>FlexPBX-1781699493.346482</t>
  </si>
  <si>
    <t>FlexPBX-1781698351.346418</t>
  </si>
  <si>
    <t>FlexPBX-1781698346.346411</t>
  </si>
  <si>
    <t>FlexPBX-1781698345.346403</t>
  </si>
  <si>
    <t>FlexPBX-1781698330.346400</t>
  </si>
  <si>
    <t>FlexPBX-1781698120.346374</t>
  </si>
  <si>
    <t>FlexPBX-1781697842.346292</t>
  </si>
  <si>
    <t>FlexPBX-1781696763.346268</t>
  </si>
  <si>
    <t>FlexPBX-1781696728.346256</t>
  </si>
  <si>
    <t>FlexPBX-1781696305.346224</t>
  </si>
  <si>
    <t>FlexPBX-1781696246.346207</t>
  </si>
  <si>
    <t>FlexPBX-1781696179.346188</t>
  </si>
  <si>
    <t>FlexPBX-1781696153.346174</t>
  </si>
  <si>
    <t>FlexPBX-1781696134.346171</t>
  </si>
  <si>
    <t>FlexPBX-1781696118.346167</t>
  </si>
  <si>
    <t>FlexPBX-1781695580.346162</t>
  </si>
  <si>
    <t>FlexPBX-1781695545.346157</t>
  </si>
  <si>
    <t>FlexPBX-1781695037.346149</t>
  </si>
  <si>
    <t>FlexPBX-1781694994.346144</t>
  </si>
  <si>
    <t>FlexPBX-1781663599.346139</t>
  </si>
  <si>
    <t>FlexPBX-1781663504.346134</t>
  </si>
  <si>
    <t>FlexPBX-1781642446.346120</t>
  </si>
  <si>
    <t>FlexPBX-1781641870.346088</t>
  </si>
  <si>
    <t>FlexPBX-1781641690.346080</t>
  </si>
  <si>
    <t>FlexPBX-1781641352.345992</t>
  </si>
  <si>
    <t>FlexPBX-1781640903.345954</t>
  </si>
  <si>
    <t>FlexPBX-1781640813.345913</t>
  </si>
  <si>
    <t>FlexPBX-1781640811.345910</t>
  </si>
  <si>
    <t>FlexPBX-1781640574.345858</t>
  </si>
  <si>
    <t>FlexPBX-1781640466.345836</t>
  </si>
  <si>
    <t>FlexPBX-1781640347.345806</t>
  </si>
  <si>
    <t>FlexPBX-1781640278.345771</t>
  </si>
  <si>
    <t>FlexPBX-1781640102.345713</t>
  </si>
  <si>
    <t>FlexPBX-1781639798.345673</t>
  </si>
  <si>
    <t>FlexPBX-1781639591.345633</t>
  </si>
  <si>
    <t>FlexPBX-1781639418.345623</t>
  </si>
  <si>
    <t>FlexPBX-1781639410.345611</t>
  </si>
  <si>
    <t>FlexPBX-1781639091.345585</t>
  </si>
  <si>
    <t>FlexPBX-1781639067.345577</t>
  </si>
  <si>
    <t>FlexPBX-1781639054.345569</t>
  </si>
  <si>
    <t>FlexPBX-1781639010.345555</t>
  </si>
  <si>
    <t>FlexPBX-1781638854.345535</t>
  </si>
  <si>
    <t>FlexPBX-1781638845.345527</t>
  </si>
  <si>
    <t>FlexPBX-1781638831.345519</t>
  </si>
  <si>
    <t>FlexPBX-1781638741.345491</t>
  </si>
  <si>
    <t>FlexPBX-1781638488.345418</t>
  </si>
  <si>
    <t>FlexPBX-1781638443.345388</t>
  </si>
  <si>
    <t>FlexPBX-1781638432.345379</t>
  </si>
  <si>
    <t>FlexPBX-1781638430.345371</t>
  </si>
  <si>
    <t>FlexPBX-1781638395.345359</t>
  </si>
  <si>
    <t>FlexPBX-1781638381.345351</t>
  </si>
  <si>
    <t>FlexPBX-1781638376.345343</t>
  </si>
  <si>
    <t>FlexPBX-1781638364.345329</t>
  </si>
  <si>
    <t>FlexPBX-1781638329.345314</t>
  </si>
  <si>
    <t>FlexPBX-1781638310.345310</t>
  </si>
  <si>
    <t>FlexPBX-1781638301.345298</t>
  </si>
  <si>
    <t>FlexPBX-1781638291.345290</t>
  </si>
  <si>
    <t>FlexPBX-1781638274.345286</t>
  </si>
  <si>
    <t>FlexPBX-1781638236.345278</t>
  </si>
  <si>
    <t>FlexPBX-1781638148.345264</t>
  </si>
  <si>
    <t>FlexPBX-1781637942.345238</t>
  </si>
  <si>
    <t>FlexPBX-1781637923.345230</t>
  </si>
  <si>
    <t>FlexPBX-1781637783.345222</t>
  </si>
  <si>
    <t>FlexPBX-1781637716.345202</t>
  </si>
  <si>
    <t>FlexPBX-1781637564.345188</t>
  </si>
  <si>
    <t>FlexPBX-1781637529.345180</t>
  </si>
  <si>
    <t>FlexPBX-1781637500.345172</t>
  </si>
  <si>
    <t>FlexPBX-1781637427.345158</t>
  </si>
  <si>
    <t>FlexPBX-1781637386.345138</t>
  </si>
  <si>
    <t>FlexPBX-1781637349.345130</t>
  </si>
  <si>
    <t>FlexPBX-1781637149.345056</t>
  </si>
  <si>
    <t>FlexPBX-1781636480.344921</t>
  </si>
  <si>
    <t>FlexPBX-1781636202.344838</t>
  </si>
  <si>
    <t>FlexPBX-1781635815.344824</t>
  </si>
  <si>
    <t>FlexPBX-1781635066.344768</t>
  </si>
  <si>
    <t>FlexPBX-1781634978.344742</t>
  </si>
  <si>
    <t>FlexPBX-1781634766.344720</t>
  </si>
  <si>
    <t>FlexPBX-1781634690.344706</t>
  </si>
  <si>
    <t>FlexPBX-1781634688.344695</t>
  </si>
  <si>
    <t>FlexPBX-1781634619.344681</t>
  </si>
  <si>
    <t>FlexPBX-1781634604.344673</t>
  </si>
  <si>
    <t>FlexPBX-1781634594.344665</t>
  </si>
  <si>
    <t>FlexPBX-1781634581.344657</t>
  </si>
  <si>
    <t>FlexPBX-1781634487.344632</t>
  </si>
  <si>
    <t>FlexPBX-1781634475.344629</t>
  </si>
  <si>
    <t>FlexPBX-1781634376.344593</t>
  </si>
  <si>
    <t>FlexPBX-1781634199.344534</t>
  </si>
  <si>
    <t>FlexPBX-1781634099.344465</t>
  </si>
  <si>
    <t>FlexPBX-1781633972.344451</t>
  </si>
  <si>
    <t>FlexPBX-1781633963.344443</t>
  </si>
  <si>
    <t>FlexPBX-1781633932.344429</t>
  </si>
  <si>
    <t>FlexPBX-1781633878.344415</t>
  </si>
  <si>
    <t>FlexPBX-1781633865.344407</t>
  </si>
  <si>
    <t>FlexPBX-1781633852.344399</t>
  </si>
  <si>
    <t>FlexPBX-1781633804.344385</t>
  </si>
  <si>
    <t>FlexPBX-1781633693.344339</t>
  </si>
  <si>
    <t>FlexPBX-1781633228.344331</t>
  </si>
  <si>
    <t>FlexPBX-1781633021.344261</t>
  </si>
  <si>
    <t>FlexPBX-1781632587.344233</t>
  </si>
  <si>
    <t>FlexPBX-1781632517.344225</t>
  </si>
  <si>
    <t>FlexPBX-1781632311.344167</t>
  </si>
  <si>
    <t>FlexPBX-1781631741.344145</t>
  </si>
  <si>
    <t>FlexPBX-1781631025.344121</t>
  </si>
  <si>
    <t>FlexPBX-1781630792.344096</t>
  </si>
  <si>
    <t>FlexPBX-1781630728.344060</t>
  </si>
  <si>
    <t>FlexPBX-1781630681.344024</t>
  </si>
  <si>
    <t>FlexPBX-1781630677.344016</t>
  </si>
  <si>
    <t>FlexPBX-1781630620.343972</t>
  </si>
  <si>
    <t>FlexPBX-1781630583.343951</t>
  </si>
  <si>
    <t>FlexPBX-1781629805.343782</t>
  </si>
  <si>
    <t>FlexPBX-1781629803.343779</t>
  </si>
  <si>
    <t>FlexPBX-1781629747.343752</t>
  </si>
  <si>
    <t>FlexPBX-1781629387.343687</t>
  </si>
  <si>
    <t>FlexPBX-1781628601.343609</t>
  </si>
  <si>
    <t>FlexPBX-1781628434.343567</t>
  </si>
  <si>
    <t>FlexPBX-1781628257.343521</t>
  </si>
  <si>
    <t>FlexPBX-1781628123.343467</t>
  </si>
  <si>
    <t>FlexPBX-1781627860.343397</t>
  </si>
  <si>
    <t>FlexPBX-1781627521.343383</t>
  </si>
  <si>
    <t>FlexPBX-1781627492.343363</t>
  </si>
  <si>
    <t>FlexPBX-1781625028.343358</t>
  </si>
  <si>
    <t>FlexPBX-1781620682.343330</t>
  </si>
  <si>
    <t>FlexPBX-1781619595.343267</t>
  </si>
  <si>
    <t>FlexPBX-1781619591.343253</t>
  </si>
  <si>
    <t>FlexPBX-1781619496.343186</t>
  </si>
  <si>
    <t>FlexPBX-1781619139.343169</t>
  </si>
  <si>
    <t>FlexPBX-1781619000.343159</t>
  </si>
  <si>
    <t>FlexPBX-1781618994.343147</t>
  </si>
  <si>
    <t>FlexPBX-1781618988.343139</t>
  </si>
  <si>
    <t>FlexPBX-1781618636.343075</t>
  </si>
  <si>
    <t>FlexPBX-1781618026.343049</t>
  </si>
  <si>
    <t>FlexPBX-1781617985.343029</t>
  </si>
  <si>
    <t>FlexPBX-1781617900.342989</t>
  </si>
  <si>
    <t>FlexPBX-1781617650.342859</t>
  </si>
  <si>
    <t>FlexPBX-1781617371.342819</t>
  </si>
  <si>
    <t>FlexPBX-1781617212.342735</t>
  </si>
  <si>
    <t>FlexPBX-1781616965.342727</t>
  </si>
  <si>
    <t>FlexPBX-1781616397.342705</t>
  </si>
  <si>
    <t>FlexPBX-1781615671.342675</t>
  </si>
  <si>
    <t>FlexPBX-1781615668.342672</t>
  </si>
  <si>
    <t>FlexPBX-1781615436.342652</t>
  </si>
  <si>
    <t>FlexPBX-1781615392.342636</t>
  </si>
  <si>
    <t>FlexPBX-1781615040.342593</t>
  </si>
  <si>
    <t>FlexPBX-1781614981.342570</t>
  </si>
  <si>
    <t>FlexPBX-1781614905.342528</t>
  </si>
  <si>
    <t>FlexPBX-1781614887.342512</t>
  </si>
  <si>
    <t>FlexPBX-1781614153.342447</t>
  </si>
  <si>
    <t>FlexPBX-1781613747.342400</t>
  </si>
  <si>
    <t>FlexPBX-1781613736.342397</t>
  </si>
  <si>
    <t>FlexPBX-1781613660.342367</t>
  </si>
  <si>
    <t>FlexPBX-1781613653.342364</t>
  </si>
  <si>
    <t>FlexPBX-1781613206.342302</t>
  </si>
  <si>
    <t>FlexPBX-1781612902.342266</t>
  </si>
  <si>
    <t>FlexPBX-1781612532.342261</t>
  </si>
  <si>
    <t>FlexPBX-1781611605.342235</t>
  </si>
  <si>
    <t>FlexPBX-1781609621.342207</t>
  </si>
  <si>
    <t>FlexPBX-1781609505.342121</t>
  </si>
  <si>
    <t>FlexPBX-1781609503.342118</t>
  </si>
  <si>
    <t>FlexPBX-1781609311.342113</t>
  </si>
  <si>
    <t>FlexPBX-1781609274.342108</t>
  </si>
  <si>
    <t>FlexPBX-1781609253.342101</t>
  </si>
  <si>
    <t>FlexPBX-1781609230.342098</t>
  </si>
  <si>
    <t>FlexPBX-1781608655.342093</t>
  </si>
  <si>
    <t>FlexPBX-1781556034.342037</t>
  </si>
  <si>
    <t>FlexPBX-1781555995.342028</t>
  </si>
  <si>
    <t>FlexPBX-1781555334.341986</t>
  </si>
  <si>
    <t>FlexPBX-1781555192.341960</t>
  </si>
  <si>
    <t>FlexPBX-1781554564.341908</t>
  </si>
  <si>
    <t>FlexPBX-1781552039.341850</t>
  </si>
  <si>
    <t>FlexPBX-1781551983.341845</t>
  </si>
  <si>
    <t>FlexPBX-1781551695.341827</t>
  </si>
  <si>
    <t>FlexPBX-1781551629.341802</t>
  </si>
  <si>
    <t>FlexPBX-1781551620.341799</t>
  </si>
  <si>
    <t>FlexPBX-1781551578.341791</t>
  </si>
  <si>
    <t>FlexPBX-1781551573.341783</t>
  </si>
  <si>
    <t>FlexPBX-1781551545.341775</t>
  </si>
  <si>
    <t>FlexPBX-1781551038.341663</t>
  </si>
  <si>
    <t>FlexPBX-1781550817.341627</t>
  </si>
  <si>
    <t>FlexPBX-1781550730.341606</t>
  </si>
  <si>
    <t>FlexPBX-1781548766.341564</t>
  </si>
  <si>
    <t>FlexPBX-1781548485.341506</t>
  </si>
  <si>
    <t>FlexPBX-1781547315.341411</t>
  </si>
  <si>
    <t>FlexPBX-1781546675.341385</t>
  </si>
  <si>
    <t>FlexPBX-1781546535.341375</t>
  </si>
  <si>
    <t>FlexPBX-1781546476.341349</t>
  </si>
  <si>
    <t>FlexPBX-1781546418.341320</t>
  </si>
  <si>
    <t>FlexPBX-1781546348.341272</t>
  </si>
  <si>
    <t>FlexPBX-1781546284.341249</t>
  </si>
  <si>
    <t>FlexPBX-1781546257.341235</t>
  </si>
  <si>
    <t>FlexPBX-1781546179.341227</t>
  </si>
  <si>
    <t>FlexPBX-1781546106.341206</t>
  </si>
  <si>
    <t>FlexPBX-1781546085.341182</t>
  </si>
  <si>
    <t>FlexPBX-1781546071.341179</t>
  </si>
  <si>
    <t>FlexPBX-1781546008.341165</t>
  </si>
  <si>
    <t>FlexPBX-1781545862.341119</t>
  </si>
  <si>
    <t>FlexPBX-1781545834.341105</t>
  </si>
  <si>
    <t>FlexPBX-1781545761.341058</t>
  </si>
  <si>
    <t>FlexPBX-1781545756.341055</t>
  </si>
  <si>
    <t>FlexPBX-1781545717.341041</t>
  </si>
  <si>
    <t>FlexPBX-1781545111.341019</t>
  </si>
  <si>
    <t>FlexPBX-1781545098.341011</t>
  </si>
  <si>
    <t>FlexPBX-1781545017.341003</t>
  </si>
  <si>
    <t>FlexPBX-1781544952.340995</t>
  </si>
  <si>
    <t>FlexPBX-1781544904.340987</t>
  </si>
  <si>
    <t>FlexPBX-1781544492.340899</t>
  </si>
  <si>
    <t>FlexPBX-1781543901.340862</t>
  </si>
  <si>
    <t>FlexPBX-1781543896.340859</t>
  </si>
  <si>
    <t>FlexPBX-1781543727.340789</t>
  </si>
  <si>
    <t>FlexPBX-1781543004.340760</t>
  </si>
  <si>
    <t>FlexPBX-1781542759.340739</t>
  </si>
  <si>
    <t>FlexPBX-1781542673.340684</t>
  </si>
  <si>
    <t>FlexPBX-1781542633.340661</t>
  </si>
  <si>
    <t>FlexPBX-1781542597.340646</t>
  </si>
  <si>
    <t>FlexPBX-1781542296.340618</t>
  </si>
  <si>
    <t>FlexPBX-1781541357.340578</t>
  </si>
  <si>
    <t>FlexPBX-1781541284.340538</t>
  </si>
  <si>
    <t>FlexPBX-1781541269.340530</t>
  </si>
  <si>
    <t>FlexPBX-1781541254.340522</t>
  </si>
  <si>
    <t>FlexPBX-1781541241.340514</t>
  </si>
  <si>
    <t>FlexPBX-1781541237.340506</t>
  </si>
  <si>
    <t>FlexPBX-1781541225.340498</t>
  </si>
  <si>
    <t>FlexPBX-1781541199.340490</t>
  </si>
  <si>
    <t>FlexPBX-1781534199.340394</t>
  </si>
  <si>
    <t>FlexPBX-1781534090.340350</t>
  </si>
  <si>
    <t>FlexPBX-1781532855.340241</t>
  </si>
  <si>
    <t>FlexPBX-1781532854.340238</t>
  </si>
  <si>
    <t>FlexPBX-1781532463.340196</t>
  </si>
  <si>
    <t>FlexPBX-1781531875.340141</t>
  </si>
  <si>
    <t>FlexPBX-1781531850.340134</t>
  </si>
  <si>
    <t>FlexPBX-1781531730.340129</t>
  </si>
  <si>
    <t>FlexPBX-1781531394.340103</t>
  </si>
  <si>
    <t>FlexPBX-1781531201.340063</t>
  </si>
  <si>
    <t>FlexPBX-1781530919.340029</t>
  </si>
  <si>
    <t>FlexPBX-1781530390.340007</t>
  </si>
  <si>
    <t>FlexPBX-1781529695.339967</t>
  </si>
  <si>
    <t>FlexPBX-1781529524.339959</t>
  </si>
  <si>
    <t>FlexPBX-1781529493.339949</t>
  </si>
  <si>
    <t>FlexPBX-1781529488.339937</t>
  </si>
  <si>
    <t>FlexPBX-1781529486.339929</t>
  </si>
  <si>
    <t>FlexPBX-1781529478.339921</t>
  </si>
  <si>
    <t>FlexPBX-1781529122.339856</t>
  </si>
  <si>
    <t>FlexPBX-1781529093.339845</t>
  </si>
  <si>
    <t>FlexPBX-1781528728.339821</t>
  </si>
  <si>
    <t>FlexPBX-1781528515.339768</t>
  </si>
  <si>
    <t>FlexPBX-1781528496.339763</t>
  </si>
  <si>
    <t>FlexPBX-1781528080.339713</t>
  </si>
  <si>
    <t>FlexPBX-1781527977.339705</t>
  </si>
  <si>
    <t>FlexPBX-1781527777.339652</t>
  </si>
  <si>
    <t>FlexPBX-1781527122.339628</t>
  </si>
  <si>
    <t>FlexPBX-1781526519.339602</t>
  </si>
  <si>
    <t>FlexPBX-1781526364.339556</t>
  </si>
  <si>
    <t>FlexPBX-1781525374.339491</t>
  </si>
  <si>
    <t>FlexPBX-1781525373.339488</t>
  </si>
  <si>
    <t>FlexPBX-1781525197.339438</t>
  </si>
  <si>
    <t>FlexPBX-1781524803.339418</t>
  </si>
  <si>
    <t>FlexPBX-1781524472.339396</t>
  </si>
  <si>
    <t>FlexPBX-1781524385.339391</t>
  </si>
  <si>
    <t>FlexPBX-1781524322.339386</t>
  </si>
  <si>
    <t>FlexPBX-1781523788.339378</t>
  </si>
  <si>
    <t>FlexPBX-1781523441.339364</t>
  </si>
  <si>
    <t>FlexPBX-1781523415.339359</t>
  </si>
  <si>
    <t>FlexPBX-1781523189.339345</t>
  </si>
  <si>
    <t>FlexPBX-1781523086.339333</t>
  </si>
  <si>
    <t>FlexPBX-1781523023.339305</t>
  </si>
  <si>
    <t>FlexPBX-1781521669.339300</t>
  </si>
  <si>
    <t>FlexPBX-1781359928.339295</t>
  </si>
  <si>
    <t>FlexPBX-1781353965.339290</t>
  </si>
  <si>
    <t>FlexPBX-1781296919.339202</t>
  </si>
  <si>
    <t>FlexPBX-1781296730.339134</t>
  </si>
  <si>
    <t>FlexPBX-1781295530.339120</t>
  </si>
  <si>
    <t>FlexPBX-1781295500.339112</t>
  </si>
  <si>
    <t>FlexPBX-1781295490.339104</t>
  </si>
  <si>
    <t>FlexPBX-1781294808.339018</t>
  </si>
  <si>
    <t>FlexPBX-1781294806.339015</t>
  </si>
  <si>
    <t>FlexPBX-1781294805.339012</t>
  </si>
  <si>
    <t>FlexPBX-1781294625.338978</t>
  </si>
  <si>
    <t>FlexPBX-1781294090.338938</t>
  </si>
  <si>
    <t>FlexPBX-1781294022.338905</t>
  </si>
  <si>
    <t>FlexPBX-1781293943.338846</t>
  </si>
  <si>
    <t>FlexPBX-1781293094.338838</t>
  </si>
  <si>
    <t>FlexPBX-1781293048.338818</t>
  </si>
  <si>
    <t>FlexPBX-1781293042.338810</t>
  </si>
  <si>
    <t>FlexPBX-1781292424.338796</t>
  </si>
  <si>
    <t>FlexPBX-1781292355.338788</t>
  </si>
  <si>
    <t>FlexPBX-1781291908.338768</t>
  </si>
  <si>
    <t>FlexPBX-1781291902.338760</t>
  </si>
  <si>
    <t>FlexPBX-1781291781.338750</t>
  </si>
  <si>
    <t>FlexPBX-1781291186.338710</t>
  </si>
  <si>
    <t>FlexPBX-1781291106.338674</t>
  </si>
  <si>
    <t>FlexPBX-1781290553.338548</t>
  </si>
  <si>
    <t>FlexPBX-1781290280.338540</t>
  </si>
  <si>
    <t>FlexPBX-1781290214.338526</t>
  </si>
  <si>
    <t>FlexPBX-1781290124.338518</t>
  </si>
  <si>
    <t>FlexPBX-1781290066.338510</t>
  </si>
  <si>
    <t>FlexPBX-1781290002.338496</t>
  </si>
  <si>
    <t>FlexPBX-1781289870.338476</t>
  </si>
  <si>
    <t>FlexPBX-1781289797.338462</t>
  </si>
  <si>
    <t>FlexPBX-1781289766.338454</t>
  </si>
  <si>
    <t>FlexPBX-1781289100.338388</t>
  </si>
  <si>
    <t>FlexPBX-1781289057.338366</t>
  </si>
  <si>
    <t>FlexPBX-1781288990.338358</t>
  </si>
  <si>
    <t>FlexPBX-1781288768.338334</t>
  </si>
  <si>
    <t>FlexPBX-1781288758.338330</t>
  </si>
  <si>
    <t>FlexPBX-1781288689.338316</t>
  </si>
  <si>
    <t>FlexPBX-1781288595.338302</t>
  </si>
  <si>
    <t>FlexPBX-1781288476.338288</t>
  </si>
  <si>
    <t>FlexPBX-1781288404.338280</t>
  </si>
  <si>
    <t>FlexPBX-1781288056.338272</t>
  </si>
  <si>
    <t>FlexPBX-1781287955.338267</t>
  </si>
  <si>
    <t>FlexPBX-1781287920.338253</t>
  </si>
  <si>
    <t>FlexPBX-1781287832.338239</t>
  </si>
  <si>
    <t>FlexPBX-1781287728.338231</t>
  </si>
  <si>
    <t>FlexPBX-1781287703.338213</t>
  </si>
  <si>
    <t>FlexPBX-1781287463.338188</t>
  </si>
  <si>
    <t>FlexPBX-1781287431.338173</t>
  </si>
  <si>
    <t>FlexPBX-1781287263.338144</t>
  </si>
  <si>
    <t>FlexPBX-1781287256.338132</t>
  </si>
  <si>
    <t>FlexPBX-1781287185.338099</t>
  </si>
  <si>
    <t>FlexPBX-1781287166.338094</t>
  </si>
  <si>
    <t>FlexPBX-1781286992.338072</t>
  </si>
  <si>
    <t>FlexPBX-1781286860.338036</t>
  </si>
  <si>
    <t>FlexPBX-1781286724.338028</t>
  </si>
  <si>
    <t>FlexPBX-1781286679.338020</t>
  </si>
  <si>
    <t>FlexPBX-1781286568.337983</t>
  </si>
  <si>
    <t>FlexPBX-1781286534.337975</t>
  </si>
  <si>
    <t>FlexPBX-1781286473.337961</t>
  </si>
  <si>
    <t>FlexPBX-1781286434.337911</t>
  </si>
  <si>
    <t>FlexPBX-1781286394.337898</t>
  </si>
  <si>
    <t>FlexPBX-1781286115.337851</t>
  </si>
  <si>
    <t>FlexPBX-1781285752.337809</t>
  </si>
  <si>
    <t>FlexPBX-1781285657.337795</t>
  </si>
  <si>
    <t>FlexPBX-1781285581.337787</t>
  </si>
  <si>
    <t>FlexPBX-1781285391.337782</t>
  </si>
  <si>
    <t>FlexPBX-1781284926.337758</t>
  </si>
  <si>
    <t>FlexPBX-1781284834.337744</t>
  </si>
  <si>
    <t>FlexPBX-1781284824.337736</t>
  </si>
  <si>
    <t>FlexPBX-1781284709.337722</t>
  </si>
  <si>
    <t>FlexPBX-1781283988.337650</t>
  </si>
  <si>
    <t>FlexPBX-1781283967.337615</t>
  </si>
  <si>
    <t>FlexPBX-1781283960.337605</t>
  </si>
  <si>
    <t>FlexPBX-1781283948.337594</t>
  </si>
  <si>
    <t>FlexPBX-1781283940.337590</t>
  </si>
  <si>
    <t>FlexPBX-1781283934.337582</t>
  </si>
  <si>
    <t>FlexPBX-1781283665.337568</t>
  </si>
  <si>
    <t>FlexPBX-1781283505.337554</t>
  </si>
  <si>
    <t>FlexPBX-1781283417.337525</t>
  </si>
  <si>
    <t>FlexPBX-1781283353.337504</t>
  </si>
  <si>
    <t>FlexPBX-1781283243.337494</t>
  </si>
  <si>
    <t>FlexPBX-1781283240.337482</t>
  </si>
  <si>
    <t>FlexPBX-1781281987.337468</t>
  </si>
  <si>
    <t>FlexPBX-1781275560.337387</t>
  </si>
  <si>
    <t>FlexPBX-1781275517.337366</t>
  </si>
  <si>
    <t>FlexPBX-1781275360.337361</t>
  </si>
  <si>
    <t>FlexPBX-1781275115.337341</t>
  </si>
  <si>
    <t>FlexPBX-1781275058.337333</t>
  </si>
  <si>
    <t>FlexPBX-1781274661.337309</t>
  </si>
  <si>
    <t>FlexPBX-1781274657.337301</t>
  </si>
  <si>
    <t>FlexPBX-1781274494.337227</t>
  </si>
  <si>
    <t>FlexPBX-1781274319.337168</t>
  </si>
  <si>
    <t>FlexPBX-1781274287.337157</t>
  </si>
  <si>
    <t>FlexPBX-1781273891.337068</t>
  </si>
  <si>
    <t>FlexPBX-1781273889.337065</t>
  </si>
  <si>
    <t>FlexPBX-1781273818.337051</t>
  </si>
  <si>
    <t>FlexPBX-1781272516.337017</t>
  </si>
  <si>
    <t>FlexPBX-1781272463.336987</t>
  </si>
  <si>
    <t>FlexPBX-1781272390.336952</t>
  </si>
  <si>
    <t>FlexPBX-1781271993.336916</t>
  </si>
  <si>
    <t>FlexPBX-1781271810.336909</t>
  </si>
  <si>
    <t>FlexPBX-1781270730.336877</t>
  </si>
  <si>
    <t>FlexPBX-1781270725.336869</t>
  </si>
  <si>
    <t>FlexPBX-1781270115.336828</t>
  </si>
  <si>
    <t>FlexPBX-1781270086.336817</t>
  </si>
  <si>
    <t>FlexPBX-1781269806.336759</t>
  </si>
  <si>
    <t>FlexPBX-1781269668.336735</t>
  </si>
  <si>
    <t>FlexPBX-1781269204.336709</t>
  </si>
  <si>
    <t>FlexPBX-1781268626.336671</t>
  </si>
  <si>
    <t>FlexPBX-1781268528.336625</t>
  </si>
  <si>
    <t>FlexPBX-1781268515.336614</t>
  </si>
  <si>
    <t>FlexPBX-1781268163.336523</t>
  </si>
  <si>
    <t>FlexPBX-1781268105.336515</t>
  </si>
  <si>
    <t>FlexPBX-1781268067.336497</t>
  </si>
  <si>
    <t>FlexPBX-1781267897.336446</t>
  </si>
  <si>
    <t>FlexPBX-1781267871.336429</t>
  </si>
  <si>
    <t>FlexPBX-1781267807.336402</t>
  </si>
  <si>
    <t>FlexPBX-1781267699.336354</t>
  </si>
  <si>
    <t>FlexPBX-1781267610.336320</t>
  </si>
  <si>
    <t>FlexPBX-1781267420.336223</t>
  </si>
  <si>
    <t>FlexPBX-1781267411.336220</t>
  </si>
  <si>
    <t>FlexPBX-1781267387.336215</t>
  </si>
  <si>
    <t>FlexPBX-1781267270.336197</t>
  </si>
  <si>
    <t>FlexPBX-1781266598.336192</t>
  </si>
  <si>
    <t>FlexPBX-1781266291.336116</t>
  </si>
  <si>
    <t>FlexPBX-1781265274.336080</t>
  </si>
  <si>
    <t>FlexPBX-1781264583.336007</t>
  </si>
  <si>
    <t>FlexPBX-1781264549.335996</t>
  </si>
  <si>
    <t>FlexPBX-1781263773.335991</t>
  </si>
  <si>
    <t>FlexPBX-1781263464.335977</t>
  </si>
  <si>
    <t>FlexPBX-1781263149.335963</t>
  </si>
  <si>
    <t>FlexPBX-1781210451.335917</t>
  </si>
  <si>
    <t>FlexPBX-1781210403.335897</t>
  </si>
  <si>
    <t>FlexPBX-1781210292.335883</t>
  </si>
  <si>
    <t>FlexPBX-1781210287.335875</t>
  </si>
  <si>
    <t>FlexPBX-1781210263.335867</t>
  </si>
  <si>
    <t>FlexPBX-1781210157.335811</t>
  </si>
  <si>
    <t>FlexPBX-1781209805.335806</t>
  </si>
  <si>
    <t>FlexPBX-1781209676.335786</t>
  </si>
  <si>
    <t>FlexPBX-1781209452.335766</t>
  </si>
  <si>
    <t>FlexPBX-1781209168.335664</t>
  </si>
  <si>
    <t>FlexPBX-1781209110.335650</t>
  </si>
  <si>
    <t>FlexPBX-1781208638.335598</t>
  </si>
  <si>
    <t>FlexPBX-1781208141.335578</t>
  </si>
  <si>
    <t>FlexPBX-1781208137.335570</t>
  </si>
  <si>
    <t>FlexPBX-1781207856.335498</t>
  </si>
  <si>
    <t>FlexPBX-1781207663.335466</t>
  </si>
  <si>
    <t>FlexPBX-1781207298.335398</t>
  </si>
  <si>
    <t>FlexPBX-1781207278.335380</t>
  </si>
  <si>
    <t>FlexPBX-1781207273.335376</t>
  </si>
  <si>
    <t>FlexPBX-1781207264.335373</t>
  </si>
  <si>
    <t>FlexPBX-1781207225.335364</t>
  </si>
  <si>
    <t>FlexPBX-1781207197.335360</t>
  </si>
  <si>
    <t>FlexPBX-1781207021.335338</t>
  </si>
  <si>
    <t>FlexPBX-1781207002.335330</t>
  </si>
  <si>
    <t>FlexPBX-1781206935.335313</t>
  </si>
  <si>
    <t>FlexPBX-1781206876.335284</t>
  </si>
  <si>
    <t>FlexPBX-1781206872.335278</t>
  </si>
  <si>
    <t>FlexPBX-1781206585.335216</t>
  </si>
  <si>
    <t>FlexPBX-1781206326.335190</t>
  </si>
  <si>
    <t>FlexPBX-1781206084.335182</t>
  </si>
  <si>
    <t>FlexPBX-1781206033.335163</t>
  </si>
  <si>
    <t>FlexPBX-1781205981.335127</t>
  </si>
  <si>
    <t>FlexPBX-1781205948.335107</t>
  </si>
  <si>
    <t>FlexPBX-1781205935.335104</t>
  </si>
  <si>
    <t>FlexPBX-1781205904.335091</t>
  </si>
  <si>
    <t>FlexPBX-1781205317.335019</t>
  </si>
  <si>
    <t>FlexPBX-1781205274.335004</t>
  </si>
  <si>
    <t>FlexPBX-1781205060.334970</t>
  </si>
  <si>
    <t>FlexPBX-1781204726.334962</t>
  </si>
  <si>
    <t>FlexPBX-1781204717.334954</t>
  </si>
  <si>
    <t>FlexPBX-1781204695.334946</t>
  </si>
  <si>
    <t>FlexPBX-1781204674.334925</t>
  </si>
  <si>
    <t>FlexPBX-1781204667.334913</t>
  </si>
  <si>
    <t>FlexPBX-1781204584.334862</t>
  </si>
  <si>
    <t>FlexPBX-1781204217.334840</t>
  </si>
  <si>
    <t>FlexPBX-1781203595.334768</t>
  </si>
  <si>
    <t>FlexPBX-1781203454.334747</t>
  </si>
  <si>
    <t>FlexPBX-1781202511.334713</t>
  </si>
  <si>
    <t>FlexPBX-1781201409.334669</t>
  </si>
  <si>
    <t>FlexPBX-1781201267.334629</t>
  </si>
  <si>
    <t>FlexPBX-1781201259.334625</t>
  </si>
  <si>
    <t>FlexPBX-1781201194.334605</t>
  </si>
  <si>
    <t>FlexPBX-1781200865.334588</t>
  </si>
  <si>
    <t>FlexPBX-1781200316.334519</t>
  </si>
  <si>
    <t>FlexPBX-1781200260.334488</t>
  </si>
  <si>
    <t>FlexPBX-1781200235.334480</t>
  </si>
  <si>
    <t>FlexPBX-1781200231.334472</t>
  </si>
  <si>
    <t>FlexPBX-1781200222.334464</t>
  </si>
  <si>
    <t>FlexPBX-1781200204.334456</t>
  </si>
  <si>
    <t>FlexPBX-1781200200.334448</t>
  </si>
  <si>
    <t>FlexPBX-1781200192.334440</t>
  </si>
  <si>
    <t>FlexPBX-1781200188.334432</t>
  </si>
  <si>
    <t>FlexPBX-1781200161.334422</t>
  </si>
  <si>
    <t>FlexPBX-1781200148.334410</t>
  </si>
  <si>
    <t>FlexPBX-1781199840.334355</t>
  </si>
  <si>
    <t>FlexPBX-1781199554.334219</t>
  </si>
  <si>
    <t>FlexPBX-1781199523.334212</t>
  </si>
  <si>
    <t>FlexPBX-1781198911.334136</t>
  </si>
  <si>
    <t>FlexPBX-1781198554.334128</t>
  </si>
  <si>
    <t>FlexPBX-1781198542.334120</t>
  </si>
  <si>
    <t>FlexPBX-1781198329.334110</t>
  </si>
  <si>
    <t>FlexPBX-1781198325.334102</t>
  </si>
  <si>
    <t>FlexPBX-1781198316.334090</t>
  </si>
  <si>
    <t>FlexPBX-1781198306.334082</t>
  </si>
  <si>
    <t>FlexPBX-1781198301.334074</t>
  </si>
  <si>
    <t>FlexPBX-1781198212.334022</t>
  </si>
  <si>
    <t>FlexPBX-1781197728.333970</t>
  </si>
  <si>
    <t>FlexPBX-1781197570.333944</t>
  </si>
  <si>
    <t>FlexPBX-1781197528.333936</t>
  </si>
  <si>
    <t>FlexPBX-1781196517.333900</t>
  </si>
  <si>
    <t>FlexPBX-1781196063.333851</t>
  </si>
  <si>
    <t>FlexPBX-1781196020.333830</t>
  </si>
  <si>
    <t>FlexPBX-1781195568.333814</t>
  </si>
  <si>
    <t>FlexPBX-1781195559.333802</t>
  </si>
  <si>
    <t>FlexPBX-1781195463.333766</t>
  </si>
  <si>
    <t>FlexPBX-1781195294.333761</t>
  </si>
  <si>
    <t>FlexPBX-1781195264.333756</t>
  </si>
  <si>
    <t>FlexPBX-1781192593.333751</t>
  </si>
  <si>
    <t>FlexPBX-1781192191.333746</t>
  </si>
  <si>
    <t>FlexPBX-1781189963.333706</t>
  </si>
  <si>
    <t>FlexPBX-1781189433.333656</t>
  </si>
  <si>
    <t>FlexPBX-1781189378.333648</t>
  </si>
  <si>
    <t>FlexPBX-1781189366.333638</t>
  </si>
  <si>
    <t>FlexPBX-1781189355.333623</t>
  </si>
  <si>
    <t>FlexPBX-1781189345.333590</t>
  </si>
  <si>
    <t>FlexPBX-1781189316.333563</t>
  </si>
  <si>
    <t>FlexPBX-1781189267.333542</t>
  </si>
  <si>
    <t>FlexPBX-1781188643.333446</t>
  </si>
  <si>
    <t>FlexPBX-1781187427.333376</t>
  </si>
  <si>
    <t>FlexPBX-1781187345.333315</t>
  </si>
  <si>
    <t>FlexPBX-1781186717.333293</t>
  </si>
  <si>
    <t>FlexPBX-1781186014.333257</t>
  </si>
  <si>
    <t>FlexPBX-1781184964.333231</t>
  </si>
  <si>
    <t>FlexPBX-1781184218.333091</t>
  </si>
  <si>
    <t>FlexPBX-1781184119.333074</t>
  </si>
  <si>
    <t>FlexPBX-1781184084.333062</t>
  </si>
  <si>
    <t>FlexPBX-1781183976.333054</t>
  </si>
  <si>
    <t>FlexPBX-1781183750.332941</t>
  </si>
  <si>
    <t>FlexPBX-1781183746.332938</t>
  </si>
  <si>
    <t>FlexPBX-1781182564.332884</t>
  </si>
  <si>
    <t>FlexPBX-1781182377.332840</t>
  </si>
  <si>
    <t>FlexPBX-1781182149.332734</t>
  </si>
  <si>
    <t>FlexPBX-1781182023.332668</t>
  </si>
  <si>
    <t>FlexPBX-1781181929.332628</t>
  </si>
  <si>
    <t>FlexPBX-1781181547.332620</t>
  </si>
  <si>
    <t>FlexPBX-1781181096.332540</t>
  </si>
  <si>
    <t>FlexPBX-1781180340.332496</t>
  </si>
  <si>
    <t>FlexPBX-1781180206.332480</t>
  </si>
  <si>
    <t>FlexPBX-1781180082.332472</t>
  </si>
  <si>
    <t>FlexPBX-1781180073.332464</t>
  </si>
  <si>
    <t>FlexPBX-1781179776.332450</t>
  </si>
  <si>
    <t>FlexPBX-1781179517.332424</t>
  </si>
  <si>
    <t>FlexPBX-1781179252.332375</t>
  </si>
  <si>
    <t>FlexPBX-1781179234.332370</t>
  </si>
  <si>
    <t>FlexPBX-1781178913.332326</t>
  </si>
  <si>
    <t>FlexPBX-1781178815.332277</t>
  </si>
  <si>
    <t>FlexPBX-1781178783.332266</t>
  </si>
  <si>
    <t>FlexPBX-1781178525.332173</t>
  </si>
  <si>
    <t>FlexPBX-1781178054.332143</t>
  </si>
  <si>
    <t>FlexPBX-1781177988.332102</t>
  </si>
  <si>
    <t>FlexPBX-1781177890.332022</t>
  </si>
  <si>
    <t>FlexPBX-1781177877.332019</t>
  </si>
  <si>
    <t>FlexPBX-1781177698.332011</t>
  </si>
  <si>
    <t>FlexPBX-1781177526.331997</t>
  </si>
  <si>
    <t>FlexPBX-1781177487.331989</t>
  </si>
  <si>
    <t>FlexPBX-1781177481.331981</t>
  </si>
  <si>
    <t>FlexPBX-1781177444.331973</t>
  </si>
  <si>
    <t>FlexPBX-1781177374.331968</t>
  </si>
  <si>
    <t>FlexPBX-1781176780.331952</t>
  </si>
  <si>
    <t>FlexPBX-1781176776.331940</t>
  </si>
  <si>
    <t>FlexPBX-1781176718.331935</t>
  </si>
  <si>
    <t>FlexPBX-1781124298.331921</t>
  </si>
  <si>
    <t>FlexPBX-1781123862.331907</t>
  </si>
  <si>
    <t>FlexPBX-1781122927.331875</t>
  </si>
  <si>
    <t>FlexPBX-1781122786.331842</t>
  </si>
  <si>
    <t>FlexPBX-1781122761.331839</t>
  </si>
  <si>
    <t>FlexPBX-1781122747.331831</t>
  </si>
  <si>
    <t>FlexPBX-1781122700.331817</t>
  </si>
  <si>
    <t>FlexPBX-1781122676.331809</t>
  </si>
  <si>
    <t>FlexPBX-1781122608.331801</t>
  </si>
  <si>
    <t>FlexPBX-1781122583.331782</t>
  </si>
  <si>
    <t>FlexPBX-1781122566.331768</t>
  </si>
  <si>
    <t>FlexPBX-1781122519.331757</t>
  </si>
  <si>
    <t>FlexPBX-1781122503.331749</t>
  </si>
  <si>
    <t>FlexPBX-1781122500.331741</t>
  </si>
  <si>
    <t>FlexPBX-1781122452.331733</t>
  </si>
  <si>
    <t>FlexPBX-1781122389.331712</t>
  </si>
  <si>
    <t>FlexPBX-1781122295.331669</t>
  </si>
  <si>
    <t>FlexPBX-1781121720.331542</t>
  </si>
  <si>
    <t>FlexPBX-1781121679.331535</t>
  </si>
  <si>
    <t>FlexPBX-1781121590.331525</t>
  </si>
  <si>
    <t>FlexPBX-1781121474.331469</t>
  </si>
  <si>
    <t>FlexPBX-1781121072.331425</t>
  </si>
  <si>
    <t>FlexPBX-1781121068.331421</t>
  </si>
  <si>
    <t>FlexPBX-1781120346.331383</t>
  </si>
  <si>
    <t>FlexPBX-1781119349.331357</t>
  </si>
  <si>
    <t>FlexPBX-1781119037.331264</t>
  </si>
  <si>
    <t>FlexPBX-1781119028.331245</t>
  </si>
  <si>
    <t>FlexPBX-1781119019.331233</t>
  </si>
  <si>
    <t>FlexPBX-1781119009.331220</t>
  </si>
  <si>
    <t>FlexPBX-1781118976.331189</t>
  </si>
  <si>
    <t>FlexPBX-1781118920.331160</t>
  </si>
  <si>
    <t>FlexPBX-1781118428.331112</t>
  </si>
  <si>
    <t>FlexPBX-1781118173.331100</t>
  </si>
  <si>
    <t>FlexPBX-1781118010.331040</t>
  </si>
  <si>
    <t>FlexPBX-1781117820.330972</t>
  </si>
  <si>
    <t>FlexPBX-1781117601.330896</t>
  </si>
  <si>
    <t>FlexPBX-1781117032.330842</t>
  </si>
  <si>
    <t>FlexPBX-1781116319.330818</t>
  </si>
  <si>
    <t>FlexPBX-1781116179.330766</t>
  </si>
  <si>
    <t>FlexPBX-1781115860.330650</t>
  </si>
  <si>
    <t>FlexPBX-1781115206.330584</t>
  </si>
  <si>
    <t>FlexPBX-1781115187.330581</t>
  </si>
  <si>
    <t>FlexPBX-1781114489.330529</t>
  </si>
  <si>
    <t>FlexPBX-1781114454.330521</t>
  </si>
  <si>
    <t>FlexPBX-1781113657.330507</t>
  </si>
  <si>
    <t>FlexPBX-1781113097.330493</t>
  </si>
  <si>
    <t>FlexPBX-1781112419.330381</t>
  </si>
  <si>
    <t>FlexPBX-1781111694.330325</t>
  </si>
  <si>
    <t>FlexPBX-1781111156.330283</t>
  </si>
  <si>
    <t>FlexPBX-1781110872.330219</t>
  </si>
  <si>
    <t>FlexPBX-1781110793.330199</t>
  </si>
  <si>
    <t>FlexPBX-1781109911.330162</t>
  </si>
  <si>
    <t>FlexPBX-1781109872.330153</t>
  </si>
  <si>
    <t>FlexPBX-1781109626.330101</t>
  </si>
  <si>
    <t>FlexPBX-1781102255.330073</t>
  </si>
  <si>
    <t>FlexPBX-1781101965.329947</t>
  </si>
  <si>
    <t>FlexPBX-1781101012.329873</t>
  </si>
  <si>
    <t>FlexPBX-1781099428.329839</t>
  </si>
  <si>
    <t>FlexPBX-1781098995.329805</t>
  </si>
  <si>
    <t>FlexPBX-1781098696.329695</t>
  </si>
  <si>
    <t>FlexPBX-1781098492.329651</t>
  </si>
  <si>
    <t>FlexPBX-1781098112.329615</t>
  </si>
  <si>
    <t>FlexPBX-1781098099.329607</t>
  </si>
  <si>
    <t>FlexPBX-1781097502.329593</t>
  </si>
  <si>
    <t>FlexPBX-1781097492.329581</t>
  </si>
  <si>
    <t>FlexPBX-1781097487.329569</t>
  </si>
  <si>
    <t>FlexPBX-1781097301.329497</t>
  </si>
  <si>
    <t>FlexPBX-1781097237.329477</t>
  </si>
  <si>
    <t>FlexPBX-1781096540.329437</t>
  </si>
  <si>
    <t>FlexPBX-1781096281.329383</t>
  </si>
  <si>
    <t>FlexPBX-1781096208.329331</t>
  </si>
  <si>
    <t>FlexPBX-1781096025.329291</t>
  </si>
  <si>
    <t>FlexPBX-1781095957.329277</t>
  </si>
  <si>
    <t>FlexPBX-1781095897.329263</t>
  </si>
  <si>
    <t>FlexPBX-1781095860.329249</t>
  </si>
  <si>
    <t>FlexPBX-1781095089.329197</t>
  </si>
  <si>
    <t>FlexPBX-1781094727.329145</t>
  </si>
  <si>
    <t>FlexPBX-1781094088.329101</t>
  </si>
  <si>
    <t>FlexPBX-1781094083.329098</t>
  </si>
  <si>
    <t>FlexPBX-1781093919.329060</t>
  </si>
  <si>
    <t>FlexPBX-1781093914.329056</t>
  </si>
  <si>
    <t>FlexPBX-1781093805.328979</t>
  </si>
  <si>
    <t>FlexPBX-1781093122.328855</t>
  </si>
  <si>
    <t>FlexPBX-1781092691.328841</t>
  </si>
  <si>
    <t>FlexPBX-1781092654.328833</t>
  </si>
  <si>
    <t>FlexPBX-1781092452.328792</t>
  </si>
  <si>
    <t>FlexPBX-1781092424.328768</t>
  </si>
  <si>
    <t>FlexPBX-1781092416.328765</t>
  </si>
  <si>
    <t>FlexPBX-1781092329.328757</t>
  </si>
  <si>
    <t>FlexPBX-1781092324.328747</t>
  </si>
  <si>
    <t>FlexPBX-1781091457.328719</t>
  </si>
  <si>
    <t>FlexPBX-1781091336.328711</t>
  </si>
  <si>
    <t>FlexPBX-1781091069.328644</t>
  </si>
  <si>
    <t>FlexPBX-1781091054.328635</t>
  </si>
  <si>
    <t>FlexPBX-1781090807.328624</t>
  </si>
  <si>
    <t>FlexPBX-1781090749.328619</t>
  </si>
  <si>
    <t>FlexPBX-1781090455.328605</t>
  </si>
  <si>
    <t>FlexPBX-1781090447.328601</t>
  </si>
  <si>
    <t>FlexPBX-1781090441.328589</t>
  </si>
  <si>
    <t>FlexPBX-1781090227.328575</t>
  </si>
  <si>
    <t>FlexPBX-1781090165.328565</t>
  </si>
  <si>
    <t>FlexPBX-1781090160.328553</t>
  </si>
  <si>
    <t>FlexPBX-1781037188.328545</t>
  </si>
  <si>
    <t>FlexPBX-1781037071.328529</t>
  </si>
  <si>
    <t>FlexPBX-1781036890.328517</t>
  </si>
  <si>
    <t>FlexPBX-1781036811.328509</t>
  </si>
  <si>
    <t>FlexPBX-1781036809.328501</t>
  </si>
  <si>
    <t>FlexPBX-1781036585.328333</t>
  </si>
  <si>
    <t>FlexPBX-1781035838.328281</t>
  </si>
  <si>
    <t>FlexPBX-1781035266.328247</t>
  </si>
  <si>
    <t>FlexPBX-1781035201.328227</t>
  </si>
  <si>
    <t>FlexPBX-1781034676.328003</t>
  </si>
  <si>
    <t>FlexPBX-1781034424.327958</t>
  </si>
  <si>
    <t>FlexPBX-1781034352.327925</t>
  </si>
  <si>
    <t>FlexPBX-1781034237.327873</t>
  </si>
  <si>
    <t>FlexPBX-1781033545.327845</t>
  </si>
  <si>
    <t>FlexPBX-1781033540.327833</t>
  </si>
  <si>
    <t>FlexPBX-1781033316.327780</t>
  </si>
  <si>
    <t>FlexPBX-1781033139.327717</t>
  </si>
  <si>
    <t>FlexPBX-1781033133.327708</t>
  </si>
  <si>
    <t>FlexPBX-1781033069.327700</t>
  </si>
  <si>
    <t>FlexPBX-1781032705.327688</t>
  </si>
  <si>
    <t>FlexPBX-1781032508.327654</t>
  </si>
  <si>
    <t>FlexPBX-1781032352.327618</t>
  </si>
  <si>
    <t>FlexPBX-1781031644.327592</t>
  </si>
  <si>
    <t>FlexPBX-1781031547.327570</t>
  </si>
  <si>
    <t>FlexPBX-1781031166.327562</t>
  </si>
  <si>
    <t>FlexPBX-1781031145.327554</t>
  </si>
  <si>
    <t>FlexPBX-1781031141.327546</t>
  </si>
  <si>
    <t>FlexPBX-1781031139.327538</t>
  </si>
  <si>
    <t>FlexPBX-1781031127.327530</t>
  </si>
  <si>
    <t>FlexPBX-1781030902.327502</t>
  </si>
  <si>
    <t>FlexPBX-1781030555.327482</t>
  </si>
  <si>
    <t>FlexPBX-1781030090.327442</t>
  </si>
  <si>
    <t>FlexPBX-1781029803.327379</t>
  </si>
  <si>
    <t>FlexPBX-1781029797.327376</t>
  </si>
  <si>
    <t>FlexPBX-1781029529.327324</t>
  </si>
  <si>
    <t>FlexPBX-1781028921.327310</t>
  </si>
  <si>
    <t>FlexPBX-1781028532.327289</t>
  </si>
  <si>
    <t>FlexPBX-1781028486.327262</t>
  </si>
  <si>
    <t>FlexPBX-1781028030.327194</t>
  </si>
  <si>
    <t>FlexPBX-1781027510.327176</t>
  </si>
  <si>
    <t>FlexPBX-1781027397.327162</t>
  </si>
  <si>
    <t>FlexPBX-1781027367.327137</t>
  </si>
  <si>
    <t>FlexPBX-1781027249.327068</t>
  </si>
  <si>
    <t>FlexPBX-1781027034.327018</t>
  </si>
  <si>
    <t>FlexPBX-1781026802.327002</t>
  </si>
  <si>
    <t>FlexPBX-1781026794.326980</t>
  </si>
  <si>
    <t>FlexPBX-1781026709.326947</t>
  </si>
  <si>
    <t>FlexPBX-1781026219.326912</t>
  </si>
  <si>
    <t>FlexPBX-1781025709.326870</t>
  </si>
  <si>
    <t>FlexPBX-1781025614.326854</t>
  </si>
  <si>
    <t>FlexPBX-1781025473.326838</t>
  </si>
  <si>
    <t>FlexPBX-1781025408.326826</t>
  </si>
  <si>
    <t>FlexPBX-1781025365.326810</t>
  </si>
  <si>
    <t>FlexPBX-1781024041.326790</t>
  </si>
  <si>
    <t>FlexPBX-1781023759.326762</t>
  </si>
  <si>
    <t>FlexPBX-1781023096.326738</t>
  </si>
  <si>
    <t>FlexPBX-1781022974.326702</t>
  </si>
  <si>
    <t>FlexPBX-1781022800.326612</t>
  </si>
  <si>
    <t>FlexPBX-1781022093.326599</t>
  </si>
  <si>
    <t>FlexPBX-1781016158.326539</t>
  </si>
  <si>
    <t>FlexPBX-1781016015.326455</t>
  </si>
  <si>
    <t>FlexPBX-1781015401.326409</t>
  </si>
  <si>
    <t>FlexPBX-1781015327.326382</t>
  </si>
  <si>
    <t>FlexPBX-1781015303.326373</t>
  </si>
  <si>
    <t>FlexPBX-1781015006.326304</t>
  </si>
  <si>
    <t>FlexPBX-1781014997.326301</t>
  </si>
  <si>
    <t>FlexPBX-1781014926.326287</t>
  </si>
  <si>
    <t>FlexPBX-1781014381.326247</t>
  </si>
  <si>
    <t>FlexPBX-1781014213.326198</t>
  </si>
  <si>
    <t>FlexPBX-1781014157.326171</t>
  </si>
  <si>
    <t>FlexPBX-1781013576.326133</t>
  </si>
  <si>
    <t>FlexPBX-1781013531.326121</t>
  </si>
  <si>
    <t>FlexPBX-1781013484.326091</t>
  </si>
  <si>
    <t>FlexPBX-1781013350.326015</t>
  </si>
  <si>
    <t>FlexPBX-1781013030.325992</t>
  </si>
  <si>
    <t>FlexPBX-1781012944.325978</t>
  </si>
  <si>
    <t>FlexPBX-1781012794.325970</t>
  </si>
  <si>
    <t>FlexPBX-1781012330.325926</t>
  </si>
  <si>
    <t>FlexPBX-1781012313.325910</t>
  </si>
  <si>
    <t>FlexPBX-1781012264.325889</t>
  </si>
  <si>
    <t>FlexPBX-1781012263.325886</t>
  </si>
  <si>
    <t>FlexPBX-1781012157.325870</t>
  </si>
  <si>
    <t>FlexPBX-1781011929.325818</t>
  </si>
  <si>
    <t>FlexPBX-1781011153.325776</t>
  </si>
  <si>
    <t>FlexPBX-1781011061.325740</t>
  </si>
  <si>
    <t>FlexPBX-1781010788.325720</t>
  </si>
  <si>
    <t>FlexPBX-1781010701.325712</t>
  </si>
  <si>
    <t>FlexPBX-1781010685.325704</t>
  </si>
  <si>
    <t>FlexPBX-1781010598.325690</t>
  </si>
  <si>
    <t>FlexPBX-1781010513.325620</t>
  </si>
  <si>
    <t>FlexPBX-1781010502.325617</t>
  </si>
  <si>
    <t>FlexPBX-1781010032.325591</t>
  </si>
  <si>
    <t>FlexPBX-1781008961.325545</t>
  </si>
  <si>
    <t>FlexPBX-1781008753.325513</t>
  </si>
  <si>
    <t>FlexPBX-1781008466.325491</t>
  </si>
  <si>
    <t>FlexPBX-1781007941.325419</t>
  </si>
  <si>
    <t>FlexPBX-1781007277.325367</t>
  </si>
  <si>
    <t>FlexPBX-1781006654.325311</t>
  </si>
  <si>
    <t>FlexPBX-1781006609.325295</t>
  </si>
  <si>
    <t>FlexPBX-1781006258.325255</t>
  </si>
  <si>
    <t>FlexPBX-1781005938.325225</t>
  </si>
  <si>
    <t>FlexPBX-1781005742.325135</t>
  </si>
  <si>
    <t>FlexPBX-1781005711.325124</t>
  </si>
  <si>
    <t>FlexPBX-1781005710.325121</t>
  </si>
  <si>
    <t>FlexPBX-1781005484.325053</t>
  </si>
  <si>
    <t>FlexPBX-1781004259.325048</t>
  </si>
  <si>
    <t>FlexPBX-1780951578.325018</t>
  </si>
  <si>
    <t>FlexPBX-1780951573.325006</t>
  </si>
  <si>
    <t>FlexPBX-1780951476.324998</t>
  </si>
  <si>
    <t>FlexPBX-1780951414.324990</t>
  </si>
  <si>
    <t>FlexPBX-1780951356.324982</t>
  </si>
  <si>
    <t>FlexPBX-1780951316.324974</t>
  </si>
  <si>
    <t>FlexPBX-1780951257.324966</t>
  </si>
  <si>
    <t>FlexPBX-1780951196.324952</t>
  </si>
  <si>
    <t>FlexPBX-1780951147.324938</t>
  </si>
  <si>
    <t>FlexPBX-1780951120.324930</t>
  </si>
  <si>
    <t>FlexPBX-1780950966.324922</t>
  </si>
  <si>
    <t>FlexPBX-1780950665.324888</t>
  </si>
  <si>
    <t>FlexPBX-1780950614.324860</t>
  </si>
  <si>
    <t>FlexPBX-1780949506.324846</t>
  </si>
  <si>
    <t>FlexPBX-1780949363.324791</t>
  </si>
  <si>
    <t>FlexPBX-1780949352.324788</t>
  </si>
  <si>
    <t>FlexPBX-1780949294.324780</t>
  </si>
  <si>
    <t>FlexPBX-1780949032.324766</t>
  </si>
  <si>
    <t>FlexPBX-1780948335.324742</t>
  </si>
  <si>
    <t>FlexPBX-1780948035.324635</t>
  </si>
  <si>
    <t>FlexPBX-1780948016.324624</t>
  </si>
  <si>
    <t>FlexPBX-1780946620.324518</t>
  </si>
  <si>
    <t>FlexPBX-1780946518.324459</t>
  </si>
  <si>
    <t>FlexPBX-1780945880.324378</t>
  </si>
  <si>
    <t>FlexPBX-1780945874.324370</t>
  </si>
  <si>
    <t>FlexPBX-1780945820.324324</t>
  </si>
  <si>
    <t>FlexPBX-1780945777.324295</t>
  </si>
  <si>
    <t>FlexPBX-1780944452.324247</t>
  </si>
  <si>
    <t>FlexPBX-1780944171.324233</t>
  </si>
  <si>
    <t>FlexPBX-1780943430.324137</t>
  </si>
  <si>
    <t>FlexPBX-1780943359.324123</t>
  </si>
  <si>
    <t>FlexPBX-1780943267.324075</t>
  </si>
  <si>
    <t>FlexPBX-1780943053.323982</t>
  </si>
  <si>
    <t>FlexPBX-1780943017.323953</t>
  </si>
  <si>
    <t>FlexPBX-1780942213.323837</t>
  </si>
  <si>
    <t>FlexPBX-1780942193.323834</t>
  </si>
  <si>
    <t>FlexPBX-1780941844.323774</t>
  </si>
  <si>
    <t>FlexPBX-1780941175.323612</t>
  </si>
  <si>
    <t>FlexPBX-1780941072.323598</t>
  </si>
  <si>
    <t>FlexPBX-1780940480.323554</t>
  </si>
  <si>
    <t>FlexPBX-1780940331.323517</t>
  </si>
  <si>
    <t>FlexPBX-1780940317.323512</t>
  </si>
  <si>
    <t>FlexPBX-1780940135.323450</t>
  </si>
  <si>
    <t>FlexPBX-1780940034.323412</t>
  </si>
  <si>
    <t>FlexPBX-1780939715.323376</t>
  </si>
  <si>
    <t>FlexPBX-1780939561.323313</t>
  </si>
  <si>
    <t>FlexPBX-1780939536.323304</t>
  </si>
  <si>
    <t>FlexPBX-1780939225.323256</t>
  </si>
  <si>
    <t>FlexPBX-1780939126.323198</t>
  </si>
  <si>
    <t>FlexPBX-1780939049.323190</t>
  </si>
  <si>
    <t>FlexPBX-1780938813.323137</t>
  </si>
  <si>
    <t>FlexPBX-1780938544.323077</t>
  </si>
  <si>
    <t>FlexPBX-1780937943.323041</t>
  </si>
  <si>
    <t>FlexPBX-1780937873.323027</t>
  </si>
  <si>
    <t>FlexPBX-1780936375.322946</t>
  </si>
  <si>
    <t>FlexPBX-1780936299.322895</t>
  </si>
  <si>
    <t>FlexPBX-1780936237.322874</t>
  </si>
  <si>
    <t>FlexPBX-1780935940.322869</t>
  </si>
  <si>
    <t>FlexPBX-1780931145.322852</t>
  </si>
  <si>
    <t>FlexPBX-1780930594.322844</t>
  </si>
  <si>
    <t>FlexPBX-1780929727.322774</t>
  </si>
  <si>
    <t>FlexPBX-1780928275.322751</t>
  </si>
  <si>
    <t>FlexPBX-1780928015.322703</t>
  </si>
  <si>
    <t>FlexPBX-1780927946.322695</t>
  </si>
  <si>
    <t>FlexPBX-1780927818.322675</t>
  </si>
  <si>
    <t>FlexPBX-1780927807.322667</t>
  </si>
  <si>
    <t>FlexPBX-1780927482.322641</t>
  </si>
  <si>
    <t>FlexPBX-1780927417.322633</t>
  </si>
  <si>
    <t>FlexPBX-1780927195.322585</t>
  </si>
  <si>
    <t>FlexPBX-1780926954.322497</t>
  </si>
  <si>
    <t>FlexPBX-1780926876.322468</t>
  </si>
  <si>
    <t>FlexPBX-1780926670.322457</t>
  </si>
  <si>
    <t>FlexPBX-1780926399.322423</t>
  </si>
  <si>
    <t>FlexPBX-1780925506.322369</t>
  </si>
  <si>
    <t>FlexPBX-1780924685.322333</t>
  </si>
  <si>
    <t>FlexPBX-1780923826.322264</t>
  </si>
  <si>
    <t>FlexPBX-1780923748.322219</t>
  </si>
  <si>
    <t>FlexPBX-1780923174.322155</t>
  </si>
  <si>
    <t>FlexPBX-1780922415.322125</t>
  </si>
  <si>
    <t>FlexPBX-1780922103.322042</t>
  </si>
  <si>
    <t>FlexPBX-1780922085.322037</t>
  </si>
  <si>
    <t>FlexPBX-1780921994.322019</t>
  </si>
  <si>
    <t>FlexPBX-1780921816.321966</t>
  </si>
  <si>
    <t>FlexPBX-1780921759.321925</t>
  </si>
  <si>
    <t>FlexPBX-1780921736.321908</t>
  </si>
  <si>
    <t>FlexPBX-1780921535.321900</t>
  </si>
  <si>
    <t>FlexPBX-1780921413.321886</t>
  </si>
  <si>
    <t>FlexPBX-1780921328.321874</t>
  </si>
  <si>
    <t>FlexPBX-1780921313.321870</t>
  </si>
  <si>
    <t>FlexPBX-1780921089.321765</t>
  </si>
  <si>
    <t>FlexPBX-1780921079.321762</t>
  </si>
  <si>
    <t>FlexPBX-1780921007.321757</t>
  </si>
  <si>
    <t>FlexPBX-1780920985.321743</t>
  </si>
  <si>
    <t>FlexPBX-1780920927.321735</t>
  </si>
  <si>
    <t>FlexPBX-1780920870.321727</t>
  </si>
  <si>
    <t>FlexPBX-1780920830.321713</t>
  </si>
  <si>
    <t>FlexPBX-1780920730.321705</t>
  </si>
  <si>
    <t>FlexPBX-1780920566.321697</t>
  </si>
  <si>
    <t>FlexPBX-1780920489.321689</t>
  </si>
  <si>
    <t>FlexPBX-1780920431.321675</t>
  </si>
  <si>
    <t>FlexPBX-1780920378.321667</t>
  </si>
  <si>
    <t>FlexPBX-1780919918.321645</t>
  </si>
  <si>
    <t>FlexPBX-1780919868.321609</t>
  </si>
  <si>
    <t>FlexPBX-1780919485.321583</t>
  </si>
  <si>
    <t>FlexPBX-1780919466.321562</t>
  </si>
  <si>
    <t>FlexPBX-1780919366.321557</t>
  </si>
  <si>
    <t>FlexPBX-1780918486.321517</t>
  </si>
  <si>
    <t>FlexPBX-1780918454.321512</t>
  </si>
  <si>
    <t>FlexPBX-1780918383.321492</t>
  </si>
  <si>
    <t>FlexPBX-1780917333.321487</t>
  </si>
  <si>
    <t>FlexPBX-1780917318.321482</t>
  </si>
  <si>
    <t>FlexPBX-1780744621.321477</t>
  </si>
  <si>
    <t>FlexPBX-1780692532.321469</t>
  </si>
  <si>
    <t>FlexPBX-1780692482.321461</t>
  </si>
  <si>
    <t>FlexPBX-1780691719.321431</t>
  </si>
  <si>
    <t>FlexPBX-1780691598.321386</t>
  </si>
  <si>
    <t>FlexPBX-1780691510.321309</t>
  </si>
  <si>
    <t>FlexPBX-1780691423.321250</t>
  </si>
  <si>
    <t>FlexPBX-1780690649.321226</t>
  </si>
  <si>
    <t>FlexPBX-1780690629.321216</t>
  </si>
  <si>
    <t>FlexPBX-1780690603.321208</t>
  </si>
  <si>
    <t>FlexPBX-1780689730.321156</t>
  </si>
  <si>
    <t>FlexPBX-1780689359.321066</t>
  </si>
  <si>
    <t>FlexPBX-1780689213.321061</t>
  </si>
  <si>
    <t>FlexPBX-1780688440.321034</t>
  </si>
  <si>
    <t>FlexPBX-1780687209.320842</t>
  </si>
  <si>
    <t>FlexPBX-1780686669.320809</t>
  </si>
  <si>
    <t>FlexPBX-1780686246.320577</t>
  </si>
  <si>
    <t>FlexPBX-1780686246.320574</t>
  </si>
  <si>
    <t>FlexPBX-1780685533.320468</t>
  </si>
  <si>
    <t>FlexPBX-1780685145.320435</t>
  </si>
  <si>
    <t>FlexPBX-1780684754.320382</t>
  </si>
  <si>
    <t>FlexPBX-1780684642.320307</t>
  </si>
  <si>
    <t>FlexPBX-1780684353.320267</t>
  </si>
  <si>
    <t>FlexPBX-1780682760.320215</t>
  </si>
  <si>
    <t>FlexPBX-1780682248.320124</t>
  </si>
  <si>
    <t>FlexPBX-1780682157.320012</t>
  </si>
  <si>
    <t>FlexPBX-1780682102.319963</t>
  </si>
  <si>
    <t>FlexPBX-1780682096.319960</t>
  </si>
  <si>
    <t>FlexPBX-1780681748.319872</t>
  </si>
  <si>
    <t>FlexPBX-1780681502.319802</t>
  </si>
  <si>
    <t>FlexPBX-1780681287.319774</t>
  </si>
  <si>
    <t>FlexPBX-1780680984.319760</t>
  </si>
  <si>
    <t>FlexPBX-1780680894.319694</t>
  </si>
  <si>
    <t>FlexPBX-1780680871.319683</t>
  </si>
  <si>
    <t>FlexPBX-1780679485.319575</t>
  </si>
  <si>
    <t>FlexPBX-1780679449.319533</t>
  </si>
  <si>
    <t>FlexPBX-1780679443.319524</t>
  </si>
  <si>
    <t>FlexPBX-1780679373.319460</t>
  </si>
  <si>
    <t>FlexPBX-1780679350.319445</t>
  </si>
  <si>
    <t>FlexPBX-1780679312.319434</t>
  </si>
  <si>
    <t>FlexPBX-1780678715.319406</t>
  </si>
  <si>
    <t>FlexPBX-1780678449.319332</t>
  </si>
  <si>
    <t>FlexPBX-1780678356.319306</t>
  </si>
  <si>
    <t>FlexPBX-1780677992.319290</t>
  </si>
  <si>
    <t>FlexPBX-1780677787.319238</t>
  </si>
  <si>
    <t>FlexPBX-1780677389.319197</t>
  </si>
  <si>
    <t>FlexPBX-1780677316.319154</t>
  </si>
  <si>
    <t>FlexPBX-1780671260.319121</t>
  </si>
  <si>
    <t>FlexPBX-1780670294.319113</t>
  </si>
  <si>
    <t>FlexPBX-1780669850.319089</t>
  </si>
  <si>
    <t>FlexPBX-1780669585.319013</t>
  </si>
  <si>
    <t>FlexPBX-1780669376.318985</t>
  </si>
  <si>
    <t>FlexPBX-1780668553.318967</t>
  </si>
  <si>
    <t>FlexPBX-1780668252.318939</t>
  </si>
  <si>
    <t>FlexPBX-1780668150.318887</t>
  </si>
  <si>
    <t>FlexPBX-1780667339.318821</t>
  </si>
  <si>
    <t>FlexPBX-1780667230.318768</t>
  </si>
  <si>
    <t>FlexPBX-1780666899.318704</t>
  </si>
  <si>
    <t>FlexPBX-1780666422.318608</t>
  </si>
  <si>
    <t>FlexPBX-1780666389.318596</t>
  </si>
  <si>
    <t>FlexPBX-1780666293.318557</t>
  </si>
  <si>
    <t>FlexPBX-1780666267.318548</t>
  </si>
  <si>
    <t>FlexPBX-1780665935.318534</t>
  </si>
  <si>
    <t>FlexPBX-1780665523.318474</t>
  </si>
  <si>
    <t>FlexPBX-1780665011.318448</t>
  </si>
  <si>
    <t>FlexPBX-1780664587.318377</t>
  </si>
  <si>
    <t>FlexPBX-1780664575.318374</t>
  </si>
  <si>
    <t>FlexPBX-1780663710.318323</t>
  </si>
  <si>
    <t>FlexPBX-1780663552.318279</t>
  </si>
  <si>
    <t>FlexPBX-1780663286.318255</t>
  </si>
  <si>
    <t>FlexPBX-1780662798.318137</t>
  </si>
  <si>
    <t>FlexPBX-1780662005.318129</t>
  </si>
  <si>
    <t>FlexPBX-1780661695.318048</t>
  </si>
  <si>
    <t>FlexPBX-1780661620.317993</t>
  </si>
  <si>
    <t>FlexPBX-1780661258.317975</t>
  </si>
  <si>
    <t>FlexPBX-1780660792.317965</t>
  </si>
  <si>
    <t>FlexPBX-1780660783.317953</t>
  </si>
  <si>
    <t>FlexPBX-1780660752.317945</t>
  </si>
  <si>
    <t>FlexPBX-1780660740.317937</t>
  </si>
  <si>
    <t>FlexPBX-1780660594.317909</t>
  </si>
  <si>
    <t>FlexPBX-1780659883.317851</t>
  </si>
  <si>
    <t>FlexPBX-1780659363.317831</t>
  </si>
  <si>
    <t>FlexPBX-1780659318.317826</t>
  </si>
  <si>
    <t>FlexPBX-1780603960.317821</t>
  </si>
  <si>
    <t>FlexPBX-1780591237.317816</t>
  </si>
  <si>
    <t>FlexPBX-1780590846.317811</t>
  </si>
  <si>
    <t>FlexPBX-1780590752.317806</t>
  </si>
  <si>
    <t>FlexPBX-1780590485.317801</t>
  </si>
  <si>
    <t>FlexPBX-1780580246.317796</t>
  </si>
  <si>
    <t>FlexPBX-1780541438.317791</t>
  </si>
  <si>
    <t>FlexPBX-1780520201.317780</t>
  </si>
  <si>
    <t>FlexPBX-1780519715.317710</t>
  </si>
  <si>
    <t>FlexPBX-1780519497.317684</t>
  </si>
  <si>
    <t>FlexPBX-1780519049.317664</t>
  </si>
  <si>
    <t>FlexPBX-1780518825.317625</t>
  </si>
  <si>
    <t>FlexPBX-1780518785.317586</t>
  </si>
  <si>
    <t>FlexPBX-1780518764.317582</t>
  </si>
  <si>
    <t>FlexPBX-1780518739.317568</t>
  </si>
  <si>
    <t>FlexPBX-1780518697.317554</t>
  </si>
  <si>
    <t>FlexPBX-1780517533.317518</t>
  </si>
  <si>
    <t>FlexPBX-1780517374.317458</t>
  </si>
  <si>
    <t>FlexPBX-1780517347.317455</t>
  </si>
  <si>
    <t>FlexPBX-1780517070.317450</t>
  </si>
  <si>
    <t>FlexPBX-1780516989.317442</t>
  </si>
  <si>
    <t>FlexPBX-1780516757.317428</t>
  </si>
  <si>
    <t>FlexPBX-1780516705.317420</t>
  </si>
  <si>
    <t>FlexPBX-1780516611.317400</t>
  </si>
  <si>
    <t>FlexPBX-1780516449.317384</t>
  </si>
  <si>
    <t>FlexPBX-1780516249.317323</t>
  </si>
  <si>
    <t>FlexPBX-1780516242.317320</t>
  </si>
  <si>
    <t>FlexPBX-1780516062.317252</t>
  </si>
  <si>
    <t>FlexPBX-1780514913.317216</t>
  </si>
  <si>
    <t>FlexPBX-1780514228.317166</t>
  </si>
  <si>
    <t>FlexPBX-1780514019.317117</t>
  </si>
  <si>
    <t>FlexPBX-1780513905.317042</t>
  </si>
  <si>
    <t>FlexPBX-1780513674.317000</t>
  </si>
  <si>
    <t>FlexPBX-1780513605.316986</t>
  </si>
  <si>
    <t>FlexPBX-1780513601.316983</t>
  </si>
  <si>
    <t>FlexPBX-1780513527.316961</t>
  </si>
  <si>
    <t>FlexPBX-1780513081.316859</t>
  </si>
  <si>
    <t>FlexPBX-1780512546.316787</t>
  </si>
  <si>
    <t>FlexPBX-1780512064.316746</t>
  </si>
  <si>
    <t>FlexPBX-1780512024.316731</t>
  </si>
  <si>
    <t>FlexPBX-1780511677.316689</t>
  </si>
  <si>
    <t>FlexPBX-1780511471.316661</t>
  </si>
  <si>
    <t>FlexPBX-1780511436.316654</t>
  </si>
  <si>
    <t>FlexPBX-1780511406.316642</t>
  </si>
  <si>
    <t>FlexPBX-1780511341.316614</t>
  </si>
  <si>
    <t>FlexPBX-1780511092.316582</t>
  </si>
  <si>
    <t>FlexPBX-1780510968.316548</t>
  </si>
  <si>
    <t>FlexPBX-1780510762.316479</t>
  </si>
  <si>
    <t>FlexPBX-1780510717.316443</t>
  </si>
  <si>
    <t>FlexPBX-1780510712.316440</t>
  </si>
  <si>
    <t>FlexPBX-1780510706.316436</t>
  </si>
  <si>
    <t>FlexPBX-1780510691.316422</t>
  </si>
  <si>
    <t>FlexPBX-1780510685.316414</t>
  </si>
  <si>
    <t>FlexPBX-1780510591.316406</t>
  </si>
  <si>
    <t>FlexPBX-1780510531.316386</t>
  </si>
  <si>
    <t>FlexPBX-1780510391.316378</t>
  </si>
  <si>
    <t>FlexPBX-1780510343.316365</t>
  </si>
  <si>
    <t>FlexPBX-1780510307.316350</t>
  </si>
  <si>
    <t>FlexPBX-1780509794.316298</t>
  </si>
  <si>
    <t>FlexPBX-1780509343.316284</t>
  </si>
  <si>
    <t>FlexPBX-1780509191.316274</t>
  </si>
  <si>
    <t>FlexPBX-1780509172.316262</t>
  </si>
  <si>
    <t>FlexPBX-1780509163.316254</t>
  </si>
  <si>
    <t>FlexPBX-1780508787.316202</t>
  </si>
  <si>
    <t>FlexPBX-1780508483.316144</t>
  </si>
  <si>
    <t>FlexPBX-1780508081.316089</t>
  </si>
  <si>
    <t>FlexPBX-1780508056.316080</t>
  </si>
  <si>
    <t>FlexPBX-1780507715.316054</t>
  </si>
  <si>
    <t>FlexPBX-1780507452.316028</t>
  </si>
  <si>
    <t>FlexPBX-1780507234.315954</t>
  </si>
  <si>
    <t>FlexPBX-1780507170.315918</t>
  </si>
  <si>
    <t>FlexPBX-1780506298.315868</t>
  </si>
  <si>
    <t>FlexPBX-1780505544.315776</t>
  </si>
  <si>
    <t>FlexPBX-1780505207.315748</t>
  </si>
  <si>
    <t>FlexPBX-1780504787.315727</t>
  </si>
  <si>
    <t>FlexPBX-1780504682.315669</t>
  </si>
  <si>
    <t>FlexPBX-1780503937.315664</t>
  </si>
  <si>
    <t>FlexPBX-1780498169.315600</t>
  </si>
  <si>
    <t>FlexPBX-1780498109.315571</t>
  </si>
  <si>
    <t>FlexPBX-1780497851.315566</t>
  </si>
  <si>
    <t>FlexPBX-1780497627.315552</t>
  </si>
  <si>
    <t>FlexPBX-1780497239.315514</t>
  </si>
  <si>
    <t>FlexPBX-1780496986.315398</t>
  </si>
  <si>
    <t>FlexPBX-1780496241.315372</t>
  </si>
  <si>
    <t>FlexPBX-1780495198.315302</t>
  </si>
  <si>
    <t>FlexPBX-1780494930.315273</t>
  </si>
  <si>
    <t>FlexPBX-1780494612.315245</t>
  </si>
  <si>
    <t>FlexPBX-1780494597.315235</t>
  </si>
  <si>
    <t>FlexPBX-1780494380.315191</t>
  </si>
  <si>
    <t>FlexPBX-1780494002.315165</t>
  </si>
  <si>
    <t>FlexPBX-1780493859.315121</t>
  </si>
  <si>
    <t>FlexPBX-1780493857.315118</t>
  </si>
  <si>
    <t>FlexPBX-1780493743.315091</t>
  </si>
  <si>
    <t>FlexPBX-1780493674.315079</t>
  </si>
  <si>
    <t>FlexPBX-1780493463.315067</t>
  </si>
  <si>
    <t>FlexPBX-1780493000.315041</t>
  </si>
  <si>
    <t>FlexPBX-1780492276.315021</t>
  </si>
  <si>
    <t>FlexPBX-1780492184.315009</t>
  </si>
  <si>
    <t>FlexPBX-1780492121.314987</t>
  </si>
  <si>
    <t>FlexPBX-1780492068.314947</t>
  </si>
  <si>
    <t>FlexPBX-1780491951.314854</t>
  </si>
  <si>
    <t>FlexPBX-1780491306.314828</t>
  </si>
  <si>
    <t>FlexPBX-1780491300.314816</t>
  </si>
  <si>
    <t>FlexPBX-1780491051.314792</t>
  </si>
  <si>
    <t>FlexPBX-1780490927.314772</t>
  </si>
  <si>
    <t>FlexPBX-1780490604.314732</t>
  </si>
  <si>
    <t>FlexPBX-1780490530.314706</t>
  </si>
  <si>
    <t>FlexPBX-1780490403.314655</t>
  </si>
  <si>
    <t>FlexPBX-1780490402.314652</t>
  </si>
  <si>
    <t>FlexPBX-1780490096.314620</t>
  </si>
  <si>
    <t>FlexPBX-1780488965.314606</t>
  </si>
  <si>
    <t>FlexPBX-1780488949.314598</t>
  </si>
  <si>
    <t>FlexPBX-1780488232.314590</t>
  </si>
  <si>
    <t>FlexPBX-1780488189.314582</t>
  </si>
  <si>
    <t>FlexPBX-1780488182.314574</t>
  </si>
  <si>
    <t>FlexPBX-1780487653.314546</t>
  </si>
  <si>
    <t>FlexPBX-1780487158.314518</t>
  </si>
  <si>
    <t>FlexPBX-1780487024.314490</t>
  </si>
  <si>
    <t>FlexPBX-1780486933.314462</t>
  </si>
  <si>
    <t>FlexPBX-1780486840.314454</t>
  </si>
  <si>
    <t>FlexPBX-1780486475.314414</t>
  </si>
  <si>
    <t>FlexPBX-1780486237.314356</t>
  </si>
  <si>
    <t>FlexPBX-1780486182.314351</t>
  </si>
  <si>
    <t>FlexPBX-1780485597.314346</t>
  </si>
  <si>
    <t>FlexPBX-1780432848.314275</t>
  </si>
  <si>
    <t>FlexPBX-1780432632.314261</t>
  </si>
  <si>
    <t>FlexPBX-1780432095.314219</t>
  </si>
  <si>
    <t>FlexPBX-1780431960.314203</t>
  </si>
  <si>
    <t>FlexPBX-1780431228.314137</t>
  </si>
  <si>
    <t>FlexPBX-1780430815.314129</t>
  </si>
  <si>
    <t>FlexPBX-1780430676.314121</t>
  </si>
  <si>
    <t>FlexPBX-1780430513.314113</t>
  </si>
  <si>
    <t>FlexPBX-1780430351.314081</t>
  </si>
  <si>
    <t>FlexPBX-1780429670.313925</t>
  </si>
  <si>
    <t>FlexPBX-1780429644.313905</t>
  </si>
  <si>
    <t>FlexPBX-1780429574.313895</t>
  </si>
  <si>
    <t>FlexPBX-1780429568.313887</t>
  </si>
  <si>
    <t>FlexPBX-1780429469.313863</t>
  </si>
  <si>
    <t>FlexPBX-1780429238.313821</t>
  </si>
  <si>
    <t>FlexPBX-1780427423.313775</t>
  </si>
  <si>
    <t>FlexPBX-1780427358.313767</t>
  </si>
  <si>
    <t>FlexPBX-1780427205.313747</t>
  </si>
  <si>
    <t>FlexPBX-1780427077.313722</t>
  </si>
  <si>
    <t>FlexPBX-1780426991.313665</t>
  </si>
  <si>
    <t>FlexPBX-1780426983.313662</t>
  </si>
  <si>
    <t>FlexPBX-1780426978.313659</t>
  </si>
  <si>
    <t>FlexPBX-1780426735.313654</t>
  </si>
  <si>
    <t>FlexPBX-1780426581.313634</t>
  </si>
  <si>
    <t>FlexPBX-1780426536.313613</t>
  </si>
  <si>
    <t>FlexPBX-1780425481.313605</t>
  </si>
  <si>
    <t>FlexPBX-1780424811.313547</t>
  </si>
  <si>
    <t>FlexPBX-1780424784.313538</t>
  </si>
  <si>
    <t>FlexPBX-1780424591.313490</t>
  </si>
  <si>
    <t>FlexPBX-1780424556.313454</t>
  </si>
  <si>
    <t>FlexPBX-1780424525.313445</t>
  </si>
  <si>
    <t>FlexPBX-1780424253.313307</t>
  </si>
  <si>
    <t>FlexPBX-1780423668.313224</t>
  </si>
  <si>
    <t>FlexPBX-1780423576.313149</t>
  </si>
  <si>
    <t>FlexPBX-1780423043.313107</t>
  </si>
  <si>
    <t>FlexPBX-1780422512.313082</t>
  </si>
  <si>
    <t>FlexPBX-1780422129.313022</t>
  </si>
  <si>
    <t>FlexPBX-1780422122.313019</t>
  </si>
  <si>
    <t>FlexPBX-1780422050.313011</t>
  </si>
  <si>
    <t>FlexPBX-1780421497.312991</t>
  </si>
  <si>
    <t>FlexPBX-1780421337.312949</t>
  </si>
  <si>
    <t>FlexPBX-1780421080.312944</t>
  </si>
  <si>
    <t>FlexPBX-1780420681.312874</t>
  </si>
  <si>
    <t>FlexPBX-1780420302.312852</t>
  </si>
  <si>
    <t>FlexPBX-1780419699.312818</t>
  </si>
  <si>
    <t>FlexPBX-1780419286.312778</t>
  </si>
  <si>
    <t>FlexPBX-1780418938.312738</t>
  </si>
  <si>
    <t>FlexPBX-1780418715.312663</t>
  </si>
  <si>
    <t>FlexPBX-1780418643.312604</t>
  </si>
  <si>
    <t>FlexPBX-1780418386.312599</t>
  </si>
  <si>
    <t>FlexPBX-1780411469.312565</t>
  </si>
  <si>
    <t>FlexPBX-1780411341.312551</t>
  </si>
  <si>
    <t>FlexPBX-1780411248.312535</t>
  </si>
  <si>
    <t>FlexPBX-1780411093.312451</t>
  </si>
  <si>
    <t>FlexPBX-1780410990.312426</t>
  </si>
  <si>
    <t>FlexPBX-1780410952.312405</t>
  </si>
  <si>
    <t>FlexPBX-1780410894.312374</t>
  </si>
  <si>
    <t>FlexPBX-1780410805.312356</t>
  </si>
  <si>
    <t>FlexPBX-1780410352.312323</t>
  </si>
  <si>
    <t>FlexPBX-1780410334.312316</t>
  </si>
  <si>
    <t>FlexPBX-1780410246.312302</t>
  </si>
  <si>
    <t>FlexPBX-1780410119.312234</t>
  </si>
  <si>
    <t>FlexPBX-1780410111.312226</t>
  </si>
  <si>
    <t>FlexPBX-1780410103.312215</t>
  </si>
  <si>
    <t>FlexPBX-1780410082.312206</t>
  </si>
  <si>
    <t>FlexPBX-1780410042.312198</t>
  </si>
  <si>
    <t>FlexPBX-1780409941.312156</t>
  </si>
  <si>
    <t>FlexPBX-1780408813.312091</t>
  </si>
  <si>
    <t>FlexPBX-1780408779.312086</t>
  </si>
  <si>
    <t>FlexPBX-1780408673.312066</t>
  </si>
  <si>
    <t>FlexPBX-1780408490.312032</t>
  </si>
  <si>
    <t>FlexPBX-1780408460.312016</t>
  </si>
  <si>
    <t>FlexPBX-1780408142.311990</t>
  </si>
  <si>
    <t>FlexPBX-1780408043.311970</t>
  </si>
  <si>
    <t>FlexPBX-1780407441.311935</t>
  </si>
  <si>
    <t>FlexPBX-1780407379.311921</t>
  </si>
  <si>
    <t>FlexPBX-1780407190.311885</t>
  </si>
  <si>
    <t>FlexPBX-1780406922.311875</t>
  </si>
  <si>
    <t>FlexPBX-1780406892.311863</t>
  </si>
  <si>
    <t>FlexPBX-1780406821.311843</t>
  </si>
  <si>
    <t>FlexPBX-1780406812.311835</t>
  </si>
  <si>
    <t>FlexPBX-1780406558.311751</t>
  </si>
  <si>
    <t>FlexPBX-1780406333.311737</t>
  </si>
  <si>
    <t>FlexPBX-1780406318.311729</t>
  </si>
  <si>
    <t>FlexPBX-1780404504.311669</t>
  </si>
  <si>
    <t>FlexPBX-1780404432.311620</t>
  </si>
  <si>
    <t>FlexPBX-1780404402.311599</t>
  </si>
  <si>
    <t>FlexPBX-1780404377.311595</t>
  </si>
  <si>
    <t>FlexPBX-1780404333.311581</t>
  </si>
  <si>
    <t>FlexPBX-1780404311.311567</t>
  </si>
  <si>
    <t>FlexPBX-1780404171.311553</t>
  </si>
  <si>
    <t>FlexPBX-1780404160.311539</t>
  </si>
  <si>
    <t>FlexPBX-1780403716.311519</t>
  </si>
  <si>
    <t>FlexPBX-1780403635.311505</t>
  </si>
  <si>
    <t>FlexPBX-1780403016.311491</t>
  </si>
  <si>
    <t>FlexPBX-1780402964.311477</t>
  </si>
  <si>
    <t>FlexPBX-1780402948.311463</t>
  </si>
  <si>
    <t>FlexPBX-1780402933.311455</t>
  </si>
  <si>
    <t>FlexPBX-1780402811.311429</t>
  </si>
  <si>
    <t>FlexPBX-1780402633.311389</t>
  </si>
  <si>
    <t>FlexPBX-1780402476.311369</t>
  </si>
  <si>
    <t>FlexPBX-1780402469.311361</t>
  </si>
  <si>
    <t>FlexPBX-1780402263.311341</t>
  </si>
  <si>
    <t>FlexPBX-1780402191.311330</t>
  </si>
  <si>
    <t>FlexPBX-1780401742.311306</t>
  </si>
  <si>
    <t>FlexPBX-1780401533.311218</t>
  </si>
  <si>
    <t>FlexPBX-1780401435.311182</t>
  </si>
  <si>
    <t>FlexPBX-1780400673.311120</t>
  </si>
  <si>
    <t>FlexPBX-1780400585.311100</t>
  </si>
  <si>
    <t>FlexPBX-1780400374.311066</t>
  </si>
  <si>
    <t>FlexPBX-1780400220.311044</t>
  </si>
  <si>
    <t>FlexPBX-1780400109.310976</t>
  </si>
  <si>
    <t>FlexPBX-1780399110.310971</t>
  </si>
  <si>
    <t>FlexPBX-1780398446.310957</t>
  </si>
  <si>
    <t>FlexPBX-1780398361.310952</t>
  </si>
  <si>
    <t>FlexPBX-1780346741.310774</t>
  </si>
  <si>
    <t>FlexPBX-1780344359.310662</t>
  </si>
  <si>
    <t>FlexPBX-1780344191.310642</t>
  </si>
  <si>
    <t>FlexPBX-1780344007.310622</t>
  </si>
  <si>
    <t>FlexPBX-1780343700.310596</t>
  </si>
  <si>
    <t>FlexPBX-1780343469.310560</t>
  </si>
  <si>
    <t>FlexPBX-1780343247.310552</t>
  </si>
  <si>
    <t>FlexPBX-1780343192.310544</t>
  </si>
  <si>
    <t>FlexPBX-1780342009.310504</t>
  </si>
  <si>
    <t>FlexPBX-1780341160.310438</t>
  </si>
  <si>
    <t>FlexPBX-1780341073.310412</t>
  </si>
  <si>
    <t>FlexPBX-1780341010.310400</t>
  </si>
  <si>
    <t>FlexPBX-1780340830.310335</t>
  </si>
  <si>
    <t>FlexPBX-1780340787.310314</t>
  </si>
  <si>
    <t>FlexPBX-1780340718.310309</t>
  </si>
  <si>
    <t>FlexPBX-1780339246.310255</t>
  </si>
  <si>
    <t>FlexPBX-1780337970.310196</t>
  </si>
  <si>
    <t>FlexPBX-1780337948.310181</t>
  </si>
  <si>
    <t>FlexPBX-1780337581.310162</t>
  </si>
  <si>
    <t>FlexPBX-1780337231.310140</t>
  </si>
  <si>
    <t>FlexPBX-1780337028.310116</t>
  </si>
  <si>
    <t>FlexPBX-1780336936.310087</t>
  </si>
  <si>
    <t>FlexPBX-1780336889.310049</t>
  </si>
  <si>
    <t>FlexPBX-1780336839.310028</t>
  </si>
  <si>
    <t>FlexPBX-1780336807.310020</t>
  </si>
  <si>
    <t>FlexPBX-1780336747.310012</t>
  </si>
  <si>
    <t>FlexPBX-1780336103.309978</t>
  </si>
  <si>
    <t>FlexPBX-1780335762.309956</t>
  </si>
  <si>
    <t>FlexPBX-1780335196.309916</t>
  </si>
  <si>
    <t>FlexPBX-1780335158.309908</t>
  </si>
  <si>
    <t>FlexPBX-1780335017.309888</t>
  </si>
  <si>
    <t>FlexPBX-1780334675.309829</t>
  </si>
  <si>
    <t>FlexPBX-1780334630.309787</t>
  </si>
  <si>
    <t>FlexPBX-1780334621.309784</t>
  </si>
  <si>
    <t>FlexPBX-1780334210.309742</t>
  </si>
  <si>
    <t>FlexPBX-1780333500.309684</t>
  </si>
  <si>
    <t>FlexPBX-1780332227.309617</t>
  </si>
  <si>
    <t>FlexPBX-1780332092.309559</t>
  </si>
  <si>
    <t>FlexPBX-1780331407.309525</t>
  </si>
  <si>
    <t>FlexPBX-1780331180.309520</t>
  </si>
  <si>
    <t>FlexPBX-1780326293.309507</t>
  </si>
  <si>
    <t>FlexPBX-1780326009.309499</t>
  </si>
  <si>
    <t>FlexPBX-1780324827.309445</t>
  </si>
  <si>
    <t>FlexPBX-1780324633.309409</t>
  </si>
  <si>
    <t>FlexPBX-1780324257.309392</t>
  </si>
  <si>
    <t>FlexPBX-1780323846.309340</t>
  </si>
  <si>
    <t>FlexPBX-1780322027.309276</t>
  </si>
  <si>
    <t>FlexPBX-1780321619.309256</t>
  </si>
  <si>
    <t>FlexPBX-1780321086.309181</t>
  </si>
  <si>
    <t>FlexPBX-1780320968.309124</t>
  </si>
  <si>
    <t>FlexPBX-1780320896.309102</t>
  </si>
  <si>
    <t>FlexPBX-1780320526.309054</t>
  </si>
  <si>
    <t>FlexPBX-1780319529.309031</t>
  </si>
  <si>
    <t>FlexPBX-1780318822.308995</t>
  </si>
  <si>
    <t>FlexPBX-1780318374.308967</t>
  </si>
  <si>
    <t>FlexPBX-1780318082.308953</t>
  </si>
  <si>
    <t>FlexPBX-1780318043.308945</t>
  </si>
  <si>
    <t>FlexPBX-1780317547.308898</t>
  </si>
  <si>
    <t>FlexPBX-1780317537.308890</t>
  </si>
  <si>
    <t>FlexPBX-1780317492.308846</t>
  </si>
  <si>
    <t>FlexPBX-1780317454.308826</t>
  </si>
  <si>
    <t>FlexPBX-1780317444.308821</t>
  </si>
  <si>
    <t>FlexPBX-1780317442.308815</t>
  </si>
  <si>
    <t>FlexPBX-1780316406.308710</t>
  </si>
  <si>
    <t>FlexPBX-1780316377.308699</t>
  </si>
  <si>
    <t>FlexPBX-1780315611.308651</t>
  </si>
  <si>
    <t>FlexPBX-1780315611.308648</t>
  </si>
  <si>
    <t>FlexPBX-1780315583.308639</t>
  </si>
  <si>
    <t>FlexPBX-1780315196.308615</t>
  </si>
  <si>
    <t>FlexPBX-1780314570.308607</t>
  </si>
  <si>
    <t>FlexPBX-1780313625.308589</t>
  </si>
  <si>
    <t>FlexPBX-1780313407.308561</t>
  </si>
  <si>
    <t>FlexPBX-1780313370.308556</t>
  </si>
  <si>
    <t>FlexPBX-1780313166.308551</t>
  </si>
  <si>
    <t>FlexPBX-1780312967.308546</t>
  </si>
  <si>
    <t>FlexPBX-1780311954.308541</t>
  </si>
  <si>
    <t>Observação</t>
  </si>
  <si>
    <t>1 - Adelmo AM Lopes - Calculo de adiantamento que não fazia, atendimento normal</t>
  </si>
  <si>
    <t>1 - João Accontax - Envio de Reinf que estava tudo ok mas não sobe para DCTF, atendimento ok, conferido com o cliente</t>
  </si>
  <si>
    <t>1 - Luciana Taborda - Atendimento normal sobre como mudar anexo do simples no item de serviço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</si>
</sst>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11"/>
      <name val="Aptos Narrow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13" fillId="33" borderId="10" xfId="0" applyFont="1" applyFill="1" applyBorder="1" applyAlignment="1">
      <alignment horizontal="center" vertical="center"/>
    </xf>
    <xf numFmtId="0" fontId="13" fillId="33" borderId="11" xfId="0" applyFont="1" applyFill="1" applyBorder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18" fillId="0" borderId="13" xfId="42" applyFon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9" fontId="0" fillId="0" borderId="0" xfId="42" applyFont="1" applyAlignment="1">
      <alignment horizontal="center" vertical="center"/>
    </xf>
    <xf numFmtId="0" fontId="13" fillId="35" borderId="0" xfId="0" applyFont="1" applyFill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6" fillId="36" borderId="13" xfId="0" applyFont="1" applyFill="1" applyBorder="1" applyAlignment="1">
      <alignment horizontal="center" vertical="center"/>
    </xf>
    <xf numFmtId="9" fontId="19" fillId="36" borderId="13" xfId="0" applyNumberFormat="1" applyFont="1" applyFill="1" applyBorder="1" applyAlignment="1">
      <alignment horizontal="center" vertical="center"/>
    </xf>
    <xf numFmtId="2" fontId="16" fillId="36" borderId="13" xfId="0" applyNumberFormat="1" applyFont="1" applyFill="1" applyBorder="1" applyAlignment="1">
      <alignment horizontal="center" vertical="center"/>
    </xf>
    <xf numFmtId="2" fontId="19" fillId="36" borderId="13" xfId="0" applyNumberFormat="1" applyFont="1" applyFill="1" applyBorder="1" applyAlignment="1">
      <alignment horizontal="center" vertical="center"/>
    </xf>
    <xf numFmtId="1" fontId="16" fillId="36" borderId="13" xfId="0" applyNumberFormat="1" applyFont="1" applyFill="1" applyBorder="1" applyAlignment="1">
      <alignment horizontal="center" vertical="center"/>
    </xf>
    <xf numFmtId="0" fontId="16" fillId="37" borderId="13" xfId="0" applyFont="1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9" fontId="18" fillId="37" borderId="13" xfId="42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" fontId="20" fillId="34" borderId="13" xfId="0" applyNumberFormat="1" applyFont="1" applyFill="1" applyBorder="1" applyAlignment="1">
      <alignment horizontal="center" vertical="center"/>
    </xf>
    <xf numFmtId="44" fontId="16" fillId="36" borderId="13" xfId="43" applyFont="1" applyFill="1" applyBorder="1" applyAlignment="1">
      <alignment horizontal="center" vertical="center"/>
    </xf>
    <xf numFmtId="44" fontId="14" fillId="34" borderId="13" xfId="43" applyFont="1" applyFill="1" applyBorder="1" applyAlignment="1">
      <alignment horizontal="center" vertical="center"/>
    </xf>
    <xf numFmtId="2" fontId="0" fillId="37" borderId="13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3" fillId="39" borderId="0" xfId="0" applyFont="1" applyFill="1" applyAlignment="1">
      <alignment horizontal="center" vertical="center"/>
    </xf>
    <xf numFmtId="0" fontId="13" fillId="39" borderId="13" xfId="0" applyFont="1" applyFill="1" applyBorder="1" applyAlignment="1">
      <alignment horizontal="center" vertical="center"/>
    </xf>
    <xf numFmtId="2" fontId="19" fillId="37" borderId="13" xfId="0" applyNumberFormat="1" applyFont="1" applyFill="1" applyBorder="1" applyAlignment="1">
      <alignment horizontal="center" vertical="center"/>
    </xf>
    <xf numFmtId="2" fontId="19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9" fontId="18" fillId="0" borderId="13" xfId="42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1" fontId="20" fillId="38" borderId="13" xfId="0" applyNumberFormat="1" applyFont="1" applyFill="1" applyBorder="1" applyAlignment="1">
      <alignment horizontal="center" vertical="center"/>
    </xf>
    <xf numFmtId="0" fontId="13" fillId="39" borderId="0" xfId="0" applyFont="1" applyFill="1" applyAlignment="1">
      <alignment horizontal="center"/>
    </xf>
    <xf numFmtId="22" fontId="0" fillId="0" borderId="0" xfId="0" applyNumberFormat="1" applyAlignment="1">
      <alignment horizontal="center" vertical="center"/>
    </xf>
    <xf numFmtId="0" fontId="0" fillId="38" borderId="0" xfId="0" applyFill="1" applyAlignment="1">
      <alignment horizontal="center" vertical="center"/>
    </xf>
    <xf numFmtId="22" fontId="0" fillId="0" borderId="0" xfId="0" applyNumberFormat="1" applyAlignment="1">
      <alignment horizontal="center"/>
    </xf>
    <xf numFmtId="0" fontId="0" fillId="38" borderId="0" xfId="0" applyFill="1" applyAlignment="1">
      <alignment horizontal="center"/>
    </xf>
    <xf numFmtId="0" fontId="13" fillId="39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40" borderId="13" xfId="0" applyNumberFormat="1" applyFill="1" applyBorder="1" applyAlignment="1">
      <alignment horizontal="center" vertical="center"/>
    </xf>
  </cellXfs>
  <cellStyles count="44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Moeda" xfId="43" builtinId="4"/>
    <cellStyle name="Neutro" xfId="8" builtinId="28" customBuiltin="1"/>
    <cellStyle name="Normal" xfId="0" builtinId="0"/>
    <cellStyle name="Nota" xfId="15" builtinId="10" customBuiltin="1"/>
    <cellStyle name="Porcentagem" xfId="42" builtinId="5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derson  - Power System Maringá" id="{3840E4B0-465B-48F6-9F9B-207362B89881}" userId="82b8a10d02ff96ae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15285D58-5CF7-487B-A15C-2F69373C1023}">
    <text>Notas 1 - Abate 0,40 da média
Notas 2 - Abate 0,20 da média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D5D8FF36-B8D9-4E15-9BA1-F833C961D28C}">
    <text>Notas 1 - Abate 0,40 da média
Notas 2 - Abate 0,20 da média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FD9A6698-8DD3-48E4-A0E6-D993563D9CA4}">
    <text>Notas 1 - Abate 0,40 da média
Notas 2 - Abate 0,20 da média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F1" dT="2025-07-07T13:55:15.85" personId="{3840E4B0-465B-48F6-9F9B-207362B89881}" id="{ABB3DEC3-6C15-4FC5-A025-1349A878ACC4}">
    <text>Notas 1 - Abate 0,40 da média
Notas 2 - Abate 0,20 da média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5727-7AB2-49C6-8590-B73660D451D8}">
  <sheetPr filterMode="1"/>
  <dimension ref="A1:M2658"/>
  <sheetViews>
    <sheetView zoomScale="71" workbookViewId="0">
      <selection activeCell="G2669" sqref="G2669"/>
    </sheetView>
  </sheetViews>
  <sheetFormatPr defaultColWidth="8.88671875" defaultRowHeight="14.4" x14ac:dyDescent="0.3"/>
  <cols>
    <col min="1" max="1" width="16.33203125" style="32" bestFit="1" customWidth="1"/>
    <col min="2" max="2" width="18.44140625" style="32" bestFit="1" customWidth="1"/>
    <col min="3" max="3" width="13.44140625" style="32" bestFit="1" customWidth="1"/>
    <col min="4" max="4" width="11" style="32" bestFit="1" customWidth="1"/>
    <col min="5" max="5" width="14" style="32" bestFit="1" customWidth="1"/>
    <col min="6" max="6" width="9.6640625" style="32" bestFit="1" customWidth="1"/>
    <col min="7" max="7" width="12.109375" style="32" bestFit="1" customWidth="1"/>
    <col min="8" max="8" width="25.33203125" style="32" bestFit="1" customWidth="1"/>
    <col min="9" max="9" width="14.5546875" style="32" bestFit="1" customWidth="1"/>
    <col min="10" max="10" width="26.109375" style="32" bestFit="1" customWidth="1"/>
    <col min="11" max="11" width="19.5546875" style="32" bestFit="1" customWidth="1"/>
    <col min="12" max="12" width="9.6640625" style="32" bestFit="1" customWidth="1"/>
    <col min="13" max="13" width="115.44140625" style="1" bestFit="1" customWidth="1"/>
    <col min="14" max="16384" width="8.88671875" style="1"/>
  </cols>
  <sheetData>
    <row r="1" spans="1:12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</row>
    <row r="2" spans="1:12" s="32" customFormat="1" hidden="1" x14ac:dyDescent="0.3">
      <c r="A2" s="37">
        <v>46142.740243055552</v>
      </c>
      <c r="B2" s="1" t="s">
        <v>54</v>
      </c>
      <c r="C2" s="1">
        <v>11963903641</v>
      </c>
      <c r="D2" s="1"/>
      <c r="E2" s="1">
        <v>5</v>
      </c>
      <c r="F2" s="1">
        <v>0</v>
      </c>
      <c r="G2" s="1" t="s">
        <v>47</v>
      </c>
      <c r="H2" s="1" t="s">
        <v>1651</v>
      </c>
      <c r="I2" s="1" t="s">
        <v>46</v>
      </c>
      <c r="J2" s="1" t="s">
        <v>55</v>
      </c>
      <c r="K2" s="1"/>
      <c r="L2" s="1"/>
    </row>
    <row r="3" spans="1:12" s="32" customFormat="1" hidden="1" x14ac:dyDescent="0.3">
      <c r="A3" s="37">
        <v>46142.739062499997</v>
      </c>
      <c r="B3" s="1" t="s">
        <v>54</v>
      </c>
      <c r="C3" s="1">
        <v>92982774522</v>
      </c>
      <c r="D3" s="1"/>
      <c r="E3" s="1">
        <v>12</v>
      </c>
      <c r="F3" s="1">
        <v>2</v>
      </c>
      <c r="G3" s="1" t="s">
        <v>38</v>
      </c>
      <c r="H3" s="1" t="s">
        <v>1652</v>
      </c>
      <c r="I3" s="1" t="s">
        <v>46</v>
      </c>
      <c r="J3" s="1" t="s">
        <v>55</v>
      </c>
      <c r="K3" s="1"/>
      <c r="L3" s="1"/>
    </row>
    <row r="4" spans="1:12" s="32" customFormat="1" hidden="1" x14ac:dyDescent="0.3">
      <c r="A4" s="37">
        <v>46142.737025462964</v>
      </c>
      <c r="B4" s="1" t="s">
        <v>54</v>
      </c>
      <c r="C4" s="1">
        <v>37999995076</v>
      </c>
      <c r="D4" s="1"/>
      <c r="E4" s="1">
        <v>12</v>
      </c>
      <c r="F4" s="1">
        <v>3</v>
      </c>
      <c r="G4" s="1" t="s">
        <v>38</v>
      </c>
      <c r="H4" s="1" t="s">
        <v>1653</v>
      </c>
      <c r="I4" s="1" t="s">
        <v>46</v>
      </c>
      <c r="J4" s="1" t="s">
        <v>55</v>
      </c>
      <c r="K4" s="1"/>
      <c r="L4" s="1"/>
    </row>
    <row r="5" spans="1:12" s="32" customFormat="1" hidden="1" x14ac:dyDescent="0.3">
      <c r="A5" s="37">
        <v>46142.735821759263</v>
      </c>
      <c r="B5" s="1" t="s">
        <v>54</v>
      </c>
      <c r="C5" s="1">
        <v>24992577455</v>
      </c>
      <c r="D5" s="1"/>
      <c r="E5" s="1">
        <v>28</v>
      </c>
      <c r="F5" s="1">
        <v>6</v>
      </c>
      <c r="G5" s="1" t="s">
        <v>38</v>
      </c>
      <c r="H5" s="1" t="s">
        <v>1654</v>
      </c>
      <c r="I5" s="1" t="s">
        <v>46</v>
      </c>
      <c r="J5" s="1" t="s">
        <v>55</v>
      </c>
      <c r="K5" s="1"/>
      <c r="L5" s="1"/>
    </row>
    <row r="6" spans="1:12" s="32" customFormat="1" hidden="1" x14ac:dyDescent="0.3">
      <c r="A6" s="37">
        <v>46142.7340625</v>
      </c>
      <c r="B6" s="1" t="s">
        <v>54</v>
      </c>
      <c r="C6" s="1">
        <v>28999457117</v>
      </c>
      <c r="D6" s="1"/>
      <c r="E6" s="1">
        <v>8</v>
      </c>
      <c r="F6" s="1">
        <v>0</v>
      </c>
      <c r="G6" s="1" t="s">
        <v>47</v>
      </c>
      <c r="H6" s="1" t="s">
        <v>1655</v>
      </c>
      <c r="I6" s="1" t="s">
        <v>46</v>
      </c>
      <c r="J6" s="1" t="s">
        <v>55</v>
      </c>
      <c r="K6" s="1"/>
      <c r="L6" s="1"/>
    </row>
    <row r="7" spans="1:12" s="32" customFormat="1" hidden="1" x14ac:dyDescent="0.3">
      <c r="A7" s="37">
        <v>46142.733298611114</v>
      </c>
      <c r="B7" s="1" t="s">
        <v>54</v>
      </c>
      <c r="C7" s="1">
        <v>11999610017</v>
      </c>
      <c r="D7" s="1"/>
      <c r="E7" s="1">
        <v>3</v>
      </c>
      <c r="F7" s="1">
        <v>0</v>
      </c>
      <c r="G7" s="1" t="s">
        <v>47</v>
      </c>
      <c r="H7" s="1" t="s">
        <v>1656</v>
      </c>
      <c r="I7" s="1" t="s">
        <v>46</v>
      </c>
      <c r="J7" s="1" t="s">
        <v>55</v>
      </c>
      <c r="K7" s="1"/>
      <c r="L7" s="1"/>
    </row>
    <row r="8" spans="1:12" s="32" customFormat="1" hidden="1" x14ac:dyDescent="0.3">
      <c r="A8" s="37">
        <v>46142.73165509259</v>
      </c>
      <c r="B8" s="1">
        <v>4421032936</v>
      </c>
      <c r="C8" s="1">
        <v>4430265054</v>
      </c>
      <c r="D8" s="1">
        <v>4430265054</v>
      </c>
      <c r="E8" s="1">
        <v>3</v>
      </c>
      <c r="F8" s="1">
        <v>2</v>
      </c>
      <c r="G8" s="1" t="s">
        <v>52</v>
      </c>
      <c r="H8" s="1" t="s">
        <v>1657</v>
      </c>
      <c r="I8" s="1" t="s">
        <v>39</v>
      </c>
      <c r="J8" s="1" t="s">
        <v>53</v>
      </c>
      <c r="K8" s="1"/>
      <c r="L8" s="1"/>
    </row>
    <row r="9" spans="1:12" s="32" customFormat="1" hidden="1" x14ac:dyDescent="0.3">
      <c r="A9" s="37">
        <v>46142.709907407407</v>
      </c>
      <c r="B9" s="1" t="s">
        <v>48</v>
      </c>
      <c r="C9" s="1">
        <v>4436292220</v>
      </c>
      <c r="D9" s="1"/>
      <c r="E9" s="1">
        <v>392</v>
      </c>
      <c r="F9" s="1">
        <v>375</v>
      </c>
      <c r="G9" s="1" t="s">
        <v>38</v>
      </c>
      <c r="H9" s="1" t="s">
        <v>1658</v>
      </c>
      <c r="I9" s="1" t="s">
        <v>46</v>
      </c>
      <c r="J9" s="1" t="s">
        <v>40</v>
      </c>
      <c r="K9" s="1"/>
      <c r="L9" s="1"/>
    </row>
    <row r="10" spans="1:12" s="32" customFormat="1" hidden="1" x14ac:dyDescent="0.3">
      <c r="A10" s="37">
        <v>46142.707314814812</v>
      </c>
      <c r="B10" s="1">
        <v>44998636008</v>
      </c>
      <c r="C10" s="1" t="s">
        <v>45</v>
      </c>
      <c r="D10" s="1">
        <v>4430265054</v>
      </c>
      <c r="E10" s="1">
        <v>649</v>
      </c>
      <c r="F10" s="1">
        <v>599</v>
      </c>
      <c r="G10" s="1" t="s">
        <v>38</v>
      </c>
      <c r="H10" s="1" t="s">
        <v>1659</v>
      </c>
      <c r="I10" s="1" t="s">
        <v>39</v>
      </c>
      <c r="J10" s="1" t="s">
        <v>40</v>
      </c>
      <c r="K10" s="1" t="s">
        <v>41</v>
      </c>
      <c r="L10" s="1">
        <v>5</v>
      </c>
    </row>
    <row r="11" spans="1:12" s="32" customFormat="1" hidden="1" x14ac:dyDescent="0.3">
      <c r="A11" s="37">
        <v>46142.700057870374</v>
      </c>
      <c r="B11" s="1">
        <v>1143744993</v>
      </c>
      <c r="C11" s="1" t="s">
        <v>44</v>
      </c>
      <c r="D11" s="1">
        <v>4431268225</v>
      </c>
      <c r="E11" s="1">
        <v>810</v>
      </c>
      <c r="F11" s="1">
        <v>729</v>
      </c>
      <c r="G11" s="1" t="s">
        <v>38</v>
      </c>
      <c r="H11" s="1" t="s">
        <v>1660</v>
      </c>
      <c r="I11" s="1" t="s">
        <v>39</v>
      </c>
      <c r="J11" s="1" t="s">
        <v>40</v>
      </c>
      <c r="K11" s="1" t="s">
        <v>41</v>
      </c>
      <c r="L11" s="1"/>
    </row>
    <row r="12" spans="1:12" s="32" customFormat="1" hidden="1" x14ac:dyDescent="0.3">
      <c r="A12" s="37">
        <v>46142.690798611111</v>
      </c>
      <c r="B12" s="1">
        <v>3432424736</v>
      </c>
      <c r="C12" s="1" t="s">
        <v>37</v>
      </c>
      <c r="D12" s="1">
        <v>4430265054</v>
      </c>
      <c r="E12" s="1">
        <v>232</v>
      </c>
      <c r="F12" s="1">
        <v>194</v>
      </c>
      <c r="G12" s="1" t="s">
        <v>38</v>
      </c>
      <c r="H12" s="1" t="s">
        <v>1661</v>
      </c>
      <c r="I12" s="1" t="s">
        <v>39</v>
      </c>
      <c r="J12" s="1" t="s">
        <v>40</v>
      </c>
      <c r="K12" s="1" t="s">
        <v>41</v>
      </c>
      <c r="L12" s="1"/>
    </row>
    <row r="13" spans="1:12" s="32" customFormat="1" hidden="1" x14ac:dyDescent="0.3">
      <c r="A13" s="37">
        <v>46142.688020833331</v>
      </c>
      <c r="B13" s="1" t="s">
        <v>43</v>
      </c>
      <c r="C13" s="1">
        <v>6434530674</v>
      </c>
      <c r="D13" s="1"/>
      <c r="E13" s="1">
        <v>400</v>
      </c>
      <c r="F13" s="1">
        <v>394</v>
      </c>
      <c r="G13" s="1" t="s">
        <v>38</v>
      </c>
      <c r="H13" s="1" t="s">
        <v>1662</v>
      </c>
      <c r="I13" s="1" t="s">
        <v>46</v>
      </c>
      <c r="J13" s="1" t="s">
        <v>40</v>
      </c>
      <c r="K13" s="1"/>
      <c r="L13" s="1"/>
    </row>
    <row r="14" spans="1:12" s="32" customFormat="1" hidden="1" x14ac:dyDescent="0.3">
      <c r="A14" s="37">
        <v>46142.68173611111</v>
      </c>
      <c r="B14" s="1">
        <v>4421032924</v>
      </c>
      <c r="C14" s="1">
        <v>4430265054</v>
      </c>
      <c r="D14" s="1">
        <v>4430265054</v>
      </c>
      <c r="E14" s="1">
        <v>3</v>
      </c>
      <c r="F14" s="1">
        <v>2</v>
      </c>
      <c r="G14" s="1" t="s">
        <v>52</v>
      </c>
      <c r="H14" s="1" t="s">
        <v>1663</v>
      </c>
      <c r="I14" s="1" t="s">
        <v>39</v>
      </c>
      <c r="J14" s="1" t="s">
        <v>53</v>
      </c>
      <c r="K14" s="1"/>
      <c r="L14" s="1"/>
    </row>
    <row r="15" spans="1:12" s="32" customFormat="1" hidden="1" x14ac:dyDescent="0.3">
      <c r="A15" s="37">
        <v>46142.675810185188</v>
      </c>
      <c r="B15" s="1">
        <v>4435226025</v>
      </c>
      <c r="C15" s="1" t="s">
        <v>43</v>
      </c>
      <c r="D15" s="1">
        <v>4430265054</v>
      </c>
      <c r="E15" s="1">
        <v>196</v>
      </c>
      <c r="F15" s="1">
        <v>157</v>
      </c>
      <c r="G15" s="1" t="s">
        <v>38</v>
      </c>
      <c r="H15" s="1" t="s">
        <v>1664</v>
      </c>
      <c r="I15" s="1" t="s">
        <v>39</v>
      </c>
      <c r="J15" s="1" t="s">
        <v>40</v>
      </c>
      <c r="K15" s="1" t="s">
        <v>41</v>
      </c>
      <c r="L15" s="1"/>
    </row>
    <row r="16" spans="1:12" s="32" customFormat="1" hidden="1" x14ac:dyDescent="0.3">
      <c r="A16" s="37">
        <v>46142.670347222222</v>
      </c>
      <c r="B16" s="1" t="s">
        <v>37</v>
      </c>
      <c r="C16" s="1">
        <v>3432424736</v>
      </c>
      <c r="D16" s="1"/>
      <c r="E16" s="1">
        <v>159</v>
      </c>
      <c r="F16" s="1">
        <v>158</v>
      </c>
      <c r="G16" s="1" t="s">
        <v>38</v>
      </c>
      <c r="H16" s="1" t="s">
        <v>1665</v>
      </c>
      <c r="I16" s="1" t="s">
        <v>46</v>
      </c>
      <c r="J16" s="1" t="s">
        <v>40</v>
      </c>
      <c r="K16" s="1"/>
      <c r="L16" s="1"/>
    </row>
    <row r="17" spans="1:12" s="32" customFormat="1" hidden="1" x14ac:dyDescent="0.3">
      <c r="A17" s="37">
        <v>46142.670173611114</v>
      </c>
      <c r="B17" s="1">
        <v>4430346845</v>
      </c>
      <c r="C17" s="1" t="s">
        <v>43</v>
      </c>
      <c r="D17" s="1">
        <v>4430265054</v>
      </c>
      <c r="E17" s="1">
        <v>112</v>
      </c>
      <c r="F17" s="1">
        <v>76</v>
      </c>
      <c r="G17" s="1" t="s">
        <v>38</v>
      </c>
      <c r="H17" s="1" t="s">
        <v>1666</v>
      </c>
      <c r="I17" s="1" t="s">
        <v>39</v>
      </c>
      <c r="J17" s="1" t="s">
        <v>40</v>
      </c>
      <c r="K17" s="1" t="s">
        <v>41</v>
      </c>
      <c r="L17" s="1"/>
    </row>
    <row r="18" spans="1:12" s="32" customFormat="1" hidden="1" x14ac:dyDescent="0.3">
      <c r="A18" s="37">
        <v>46142.66951388889</v>
      </c>
      <c r="B18" s="1">
        <v>4133491428</v>
      </c>
      <c r="C18" s="1" t="s">
        <v>45</v>
      </c>
      <c r="D18" s="1">
        <v>4430265054</v>
      </c>
      <c r="E18" s="1">
        <v>616</v>
      </c>
      <c r="F18" s="1">
        <v>580</v>
      </c>
      <c r="G18" s="1" t="s">
        <v>38</v>
      </c>
      <c r="H18" s="1" t="s">
        <v>1667</v>
      </c>
      <c r="I18" s="1" t="s">
        <v>39</v>
      </c>
      <c r="J18" s="1" t="s">
        <v>40</v>
      </c>
      <c r="K18" s="1" t="s">
        <v>41</v>
      </c>
      <c r="L18" s="1"/>
    </row>
    <row r="19" spans="1:12" s="32" customFormat="1" hidden="1" x14ac:dyDescent="0.3">
      <c r="A19" s="37">
        <v>46142.656469907408</v>
      </c>
      <c r="B19" s="1" t="s">
        <v>50</v>
      </c>
      <c r="C19" s="1">
        <v>4436295470</v>
      </c>
      <c r="D19" s="1"/>
      <c r="E19" s="1">
        <v>267</v>
      </c>
      <c r="F19" s="1">
        <v>260</v>
      </c>
      <c r="G19" s="1" t="s">
        <v>38</v>
      </c>
      <c r="H19" s="1" t="s">
        <v>1668</v>
      </c>
      <c r="I19" s="1" t="s">
        <v>46</v>
      </c>
      <c r="J19" s="1" t="s">
        <v>55</v>
      </c>
      <c r="K19" s="1"/>
      <c r="L19" s="1"/>
    </row>
    <row r="20" spans="1:12" s="32" customFormat="1" hidden="1" x14ac:dyDescent="0.3">
      <c r="A20" s="37">
        <v>46142.656354166669</v>
      </c>
      <c r="B20" s="1" t="s">
        <v>50</v>
      </c>
      <c r="C20" s="1">
        <v>4436295470</v>
      </c>
      <c r="D20" s="1"/>
      <c r="E20" s="1">
        <v>7</v>
      </c>
      <c r="F20" s="1">
        <v>6</v>
      </c>
      <c r="G20" s="1" t="s">
        <v>38</v>
      </c>
      <c r="H20" s="1" t="s">
        <v>1669</v>
      </c>
      <c r="I20" s="1" t="s">
        <v>46</v>
      </c>
      <c r="J20" s="1" t="s">
        <v>55</v>
      </c>
      <c r="K20" s="1"/>
      <c r="L20" s="1"/>
    </row>
    <row r="21" spans="1:12" s="32" customFormat="1" hidden="1" x14ac:dyDescent="0.3">
      <c r="A21" s="37">
        <v>46142.655659722222</v>
      </c>
      <c r="B21" s="1" t="s">
        <v>44</v>
      </c>
      <c r="C21" s="1">
        <v>4430152533</v>
      </c>
      <c r="D21" s="1"/>
      <c r="E21" s="1">
        <v>110</v>
      </c>
      <c r="F21" s="1">
        <v>86</v>
      </c>
      <c r="G21" s="1" t="s">
        <v>38</v>
      </c>
      <c r="H21" s="1" t="s">
        <v>1670</v>
      </c>
      <c r="I21" s="1" t="s">
        <v>46</v>
      </c>
      <c r="J21" s="1" t="s">
        <v>40</v>
      </c>
      <c r="K21" s="1"/>
      <c r="L21" s="1"/>
    </row>
    <row r="22" spans="1:12" s="32" customFormat="1" hidden="1" x14ac:dyDescent="0.3">
      <c r="A22" s="37">
        <v>46142.655590277776</v>
      </c>
      <c r="B22" s="1" t="s">
        <v>44</v>
      </c>
      <c r="C22" s="1">
        <v>4430152533</v>
      </c>
      <c r="D22" s="1"/>
      <c r="E22" s="1">
        <v>26</v>
      </c>
      <c r="F22" s="1">
        <v>25</v>
      </c>
      <c r="G22" s="1" t="s">
        <v>38</v>
      </c>
      <c r="H22" s="1" t="s">
        <v>1671</v>
      </c>
      <c r="I22" s="1" t="s">
        <v>46</v>
      </c>
      <c r="J22" s="1" t="s">
        <v>40</v>
      </c>
      <c r="K22" s="1"/>
      <c r="L22" s="1"/>
    </row>
    <row r="23" spans="1:12" s="32" customFormat="1" hidden="1" x14ac:dyDescent="0.3">
      <c r="A23" s="37">
        <v>46142.655439814815</v>
      </c>
      <c r="B23" s="1" t="s">
        <v>50</v>
      </c>
      <c r="C23" s="1">
        <v>44999688098</v>
      </c>
      <c r="D23" s="1"/>
      <c r="E23" s="1">
        <v>1</v>
      </c>
      <c r="F23" s="1">
        <v>0</v>
      </c>
      <c r="G23" s="1" t="s">
        <v>47</v>
      </c>
      <c r="H23" s="1" t="s">
        <v>1672</v>
      </c>
      <c r="I23" s="1" t="s">
        <v>46</v>
      </c>
      <c r="J23" s="1" t="s">
        <v>55</v>
      </c>
      <c r="K23" s="1"/>
      <c r="L23" s="1"/>
    </row>
    <row r="24" spans="1:12" s="32" customFormat="1" hidden="1" x14ac:dyDescent="0.3">
      <c r="A24" s="37">
        <v>46142.655023148145</v>
      </c>
      <c r="B24" s="1" t="s">
        <v>50</v>
      </c>
      <c r="C24" s="1">
        <v>44999688098</v>
      </c>
      <c r="D24" s="1"/>
      <c r="E24" s="1">
        <v>1</v>
      </c>
      <c r="F24" s="1">
        <v>0</v>
      </c>
      <c r="G24" s="1" t="s">
        <v>47</v>
      </c>
      <c r="H24" s="1" t="s">
        <v>1673</v>
      </c>
      <c r="I24" s="1" t="s">
        <v>46</v>
      </c>
      <c r="J24" s="1" t="s">
        <v>55</v>
      </c>
      <c r="K24" s="1"/>
      <c r="L24" s="1"/>
    </row>
    <row r="25" spans="1:12" s="32" customFormat="1" hidden="1" x14ac:dyDescent="0.3">
      <c r="A25" s="37">
        <v>46142.65284722222</v>
      </c>
      <c r="B25" s="1" t="s">
        <v>54</v>
      </c>
      <c r="C25" s="1">
        <v>11996276137</v>
      </c>
      <c r="D25" s="1"/>
      <c r="E25" s="1">
        <v>57</v>
      </c>
      <c r="F25" s="1">
        <v>43</v>
      </c>
      <c r="G25" s="1" t="s">
        <v>38</v>
      </c>
      <c r="H25" s="1" t="s">
        <v>1674</v>
      </c>
      <c r="I25" s="1" t="s">
        <v>46</v>
      </c>
      <c r="J25" s="1" t="s">
        <v>55</v>
      </c>
      <c r="K25" s="1"/>
      <c r="L25" s="1"/>
    </row>
    <row r="26" spans="1:12" s="32" customFormat="1" hidden="1" x14ac:dyDescent="0.3">
      <c r="A26" s="37">
        <v>46142.650613425925</v>
      </c>
      <c r="B26" s="1" t="s">
        <v>44</v>
      </c>
      <c r="C26" s="1">
        <v>91981481202</v>
      </c>
      <c r="D26" s="1"/>
      <c r="E26" s="1">
        <v>44</v>
      </c>
      <c r="F26" s="1">
        <v>39</v>
      </c>
      <c r="G26" s="1" t="s">
        <v>38</v>
      </c>
      <c r="H26" s="1" t="s">
        <v>1675</v>
      </c>
      <c r="I26" s="1" t="s">
        <v>46</v>
      </c>
      <c r="J26" s="1" t="s">
        <v>40</v>
      </c>
      <c r="K26" s="1"/>
      <c r="L26" s="1"/>
    </row>
    <row r="27" spans="1:12" s="32" customFormat="1" hidden="1" x14ac:dyDescent="0.3">
      <c r="A27" s="37">
        <v>46142.649201388886</v>
      </c>
      <c r="B27" s="1" t="s">
        <v>45</v>
      </c>
      <c r="C27" s="1">
        <v>45999334612</v>
      </c>
      <c r="D27" s="1"/>
      <c r="E27" s="1">
        <v>43</v>
      </c>
      <c r="F27" s="1">
        <v>29</v>
      </c>
      <c r="G27" s="1" t="s">
        <v>38</v>
      </c>
      <c r="H27" s="1" t="s">
        <v>1676</v>
      </c>
      <c r="I27" s="1" t="s">
        <v>46</v>
      </c>
      <c r="J27" s="1" t="s">
        <v>40</v>
      </c>
      <c r="K27" s="1"/>
      <c r="L27" s="1"/>
    </row>
    <row r="28" spans="1:12" s="32" customFormat="1" hidden="1" x14ac:dyDescent="0.3">
      <c r="A28" s="37">
        <v>46142.648611111108</v>
      </c>
      <c r="B28" s="1" t="s">
        <v>54</v>
      </c>
      <c r="C28" s="1">
        <v>51998609261</v>
      </c>
      <c r="D28" s="1"/>
      <c r="E28" s="1">
        <v>10</v>
      </c>
      <c r="F28" s="1">
        <v>0</v>
      </c>
      <c r="G28" s="1" t="s">
        <v>47</v>
      </c>
      <c r="H28" s="1" t="s">
        <v>1677</v>
      </c>
      <c r="I28" s="1" t="s">
        <v>46</v>
      </c>
      <c r="J28" s="1" t="s">
        <v>55</v>
      </c>
      <c r="K28" s="1"/>
      <c r="L28" s="1"/>
    </row>
    <row r="29" spans="1:12" s="32" customFormat="1" x14ac:dyDescent="0.3">
      <c r="A29" s="37">
        <v>46142.647256944445</v>
      </c>
      <c r="B29" s="1">
        <v>44999670264</v>
      </c>
      <c r="C29" s="1" t="s">
        <v>37</v>
      </c>
      <c r="D29" s="1">
        <v>4430265054</v>
      </c>
      <c r="E29" s="1">
        <v>290</v>
      </c>
      <c r="F29" s="1">
        <v>266</v>
      </c>
      <c r="G29" s="1" t="s">
        <v>38</v>
      </c>
      <c r="H29" s="1" t="s">
        <v>1678</v>
      </c>
      <c r="I29" s="1" t="s">
        <v>39</v>
      </c>
      <c r="J29" s="1" t="s">
        <v>40</v>
      </c>
      <c r="K29" s="1" t="s">
        <v>41</v>
      </c>
      <c r="L29" s="1">
        <v>5</v>
      </c>
    </row>
    <row r="30" spans="1:12" s="32" customFormat="1" hidden="1" x14ac:dyDescent="0.3">
      <c r="A30" s="37">
        <v>46142.641828703701</v>
      </c>
      <c r="B30" s="1">
        <v>45999334612</v>
      </c>
      <c r="C30" s="1" t="s">
        <v>45</v>
      </c>
      <c r="D30" s="1">
        <v>4430265054</v>
      </c>
      <c r="E30" s="1">
        <v>469</v>
      </c>
      <c r="F30" s="1">
        <v>449</v>
      </c>
      <c r="G30" s="1" t="s">
        <v>38</v>
      </c>
      <c r="H30" s="1" t="s">
        <v>1679</v>
      </c>
      <c r="I30" s="1" t="s">
        <v>39</v>
      </c>
      <c r="J30" s="1" t="s">
        <v>40</v>
      </c>
      <c r="K30" s="1" t="s">
        <v>41</v>
      </c>
      <c r="L30" s="1">
        <v>5</v>
      </c>
    </row>
    <row r="31" spans="1:12" s="32" customFormat="1" hidden="1" x14ac:dyDescent="0.3">
      <c r="A31" s="37">
        <v>46142.639780092592</v>
      </c>
      <c r="B31" s="1">
        <v>91981481202</v>
      </c>
      <c r="C31" s="1" t="s">
        <v>44</v>
      </c>
      <c r="D31" s="1">
        <v>4430265054</v>
      </c>
      <c r="E31" s="1">
        <v>842</v>
      </c>
      <c r="F31" s="1">
        <v>817</v>
      </c>
      <c r="G31" s="1" t="s">
        <v>38</v>
      </c>
      <c r="H31" s="1" t="s">
        <v>1680</v>
      </c>
      <c r="I31" s="1" t="s">
        <v>39</v>
      </c>
      <c r="J31" s="1" t="s">
        <v>40</v>
      </c>
      <c r="K31" s="1" t="s">
        <v>41</v>
      </c>
      <c r="L31" s="1"/>
    </row>
    <row r="32" spans="1:12" s="32" customFormat="1" hidden="1" x14ac:dyDescent="0.3">
      <c r="A32" s="37">
        <v>46142.619745370372</v>
      </c>
      <c r="B32" s="1">
        <v>67992169496</v>
      </c>
      <c r="C32" s="1" t="s">
        <v>45</v>
      </c>
      <c r="D32" s="1">
        <v>4430265054</v>
      </c>
      <c r="E32" s="1">
        <v>220</v>
      </c>
      <c r="F32" s="1">
        <v>176</v>
      </c>
      <c r="G32" s="1" t="s">
        <v>38</v>
      </c>
      <c r="H32" s="1" t="s">
        <v>1681</v>
      </c>
      <c r="I32" s="1" t="s">
        <v>39</v>
      </c>
      <c r="J32" s="1" t="s">
        <v>40</v>
      </c>
      <c r="K32" s="1" t="s">
        <v>41</v>
      </c>
      <c r="L32" s="1"/>
    </row>
    <row r="33" spans="1:12" s="32" customFormat="1" hidden="1" x14ac:dyDescent="0.3">
      <c r="A33" s="37">
        <v>46142.610636574071</v>
      </c>
      <c r="B33" s="1">
        <v>44998721566</v>
      </c>
      <c r="C33" s="1" t="s">
        <v>37</v>
      </c>
      <c r="D33" s="1">
        <v>4430265054</v>
      </c>
      <c r="E33" s="1">
        <v>1197</v>
      </c>
      <c r="F33" s="1">
        <v>1146</v>
      </c>
      <c r="G33" s="1" t="s">
        <v>38</v>
      </c>
      <c r="H33" s="1" t="s">
        <v>1682</v>
      </c>
      <c r="I33" s="1" t="s">
        <v>39</v>
      </c>
      <c r="J33" s="1" t="s">
        <v>40</v>
      </c>
      <c r="K33" s="1" t="s">
        <v>41</v>
      </c>
      <c r="L33" s="1"/>
    </row>
    <row r="34" spans="1:12" s="32" customFormat="1" hidden="1" x14ac:dyDescent="0.3">
      <c r="A34" s="37">
        <v>46142.609224537038</v>
      </c>
      <c r="B34" s="1">
        <v>3130691100</v>
      </c>
      <c r="C34" s="1">
        <v>4531273156</v>
      </c>
      <c r="D34" s="1">
        <v>4531273156</v>
      </c>
      <c r="E34" s="1">
        <v>47</v>
      </c>
      <c r="F34" s="1">
        <v>46</v>
      </c>
      <c r="G34" s="1" t="s">
        <v>52</v>
      </c>
      <c r="H34" s="1" t="s">
        <v>1683</v>
      </c>
      <c r="I34" s="1" t="s">
        <v>39</v>
      </c>
      <c r="J34" s="1" t="s">
        <v>53</v>
      </c>
      <c r="K34" s="1" t="s">
        <v>41</v>
      </c>
      <c r="L34" s="1"/>
    </row>
    <row r="35" spans="1:12" s="32" customFormat="1" hidden="1" x14ac:dyDescent="0.3">
      <c r="A35" s="37">
        <v>46142.607037037036</v>
      </c>
      <c r="B35" s="1">
        <v>44999859732</v>
      </c>
      <c r="C35" s="1" t="s">
        <v>45</v>
      </c>
      <c r="D35" s="1">
        <v>4430265054</v>
      </c>
      <c r="E35" s="1">
        <v>293</v>
      </c>
      <c r="F35" s="1">
        <v>225</v>
      </c>
      <c r="G35" s="1" t="s">
        <v>38</v>
      </c>
      <c r="H35" s="1" t="s">
        <v>1684</v>
      </c>
      <c r="I35" s="1" t="s">
        <v>39</v>
      </c>
      <c r="J35" s="1" t="s">
        <v>40</v>
      </c>
      <c r="K35" s="1" t="s">
        <v>41</v>
      </c>
      <c r="L35" s="1">
        <v>5</v>
      </c>
    </row>
    <row r="36" spans="1:12" s="32" customFormat="1" hidden="1" x14ac:dyDescent="0.3">
      <c r="A36" s="37">
        <v>46142.603298611109</v>
      </c>
      <c r="B36" s="1">
        <v>4433015977</v>
      </c>
      <c r="C36" s="1">
        <v>4430265054</v>
      </c>
      <c r="D36" s="1">
        <v>4430265054</v>
      </c>
      <c r="E36" s="1">
        <v>3</v>
      </c>
      <c r="F36" s="1">
        <v>2</v>
      </c>
      <c r="G36" s="1" t="s">
        <v>52</v>
      </c>
      <c r="H36" s="1" t="s">
        <v>1685</v>
      </c>
      <c r="I36" s="1" t="s">
        <v>39</v>
      </c>
      <c r="J36" s="1" t="s">
        <v>53</v>
      </c>
      <c r="K36" s="1"/>
      <c r="L36" s="1"/>
    </row>
    <row r="37" spans="1:12" s="32" customFormat="1" hidden="1" x14ac:dyDescent="0.3">
      <c r="A37" s="37">
        <v>46142.593946759262</v>
      </c>
      <c r="B37" s="1">
        <v>11990144272</v>
      </c>
      <c r="C37" s="1" t="s">
        <v>43</v>
      </c>
      <c r="D37" s="1">
        <v>4431268225</v>
      </c>
      <c r="E37" s="1">
        <v>1067</v>
      </c>
      <c r="F37" s="1">
        <v>979</v>
      </c>
      <c r="G37" s="1" t="s">
        <v>38</v>
      </c>
      <c r="H37" s="1" t="s">
        <v>1686</v>
      </c>
      <c r="I37" s="1" t="s">
        <v>39</v>
      </c>
      <c r="J37" s="1" t="s">
        <v>40</v>
      </c>
      <c r="K37" s="1" t="s">
        <v>41</v>
      </c>
      <c r="L37" s="1">
        <v>5</v>
      </c>
    </row>
    <row r="38" spans="1:12" s="32" customFormat="1" hidden="1" x14ac:dyDescent="0.3">
      <c r="A38" s="37">
        <v>46142.590104166666</v>
      </c>
      <c r="B38" s="1" t="s">
        <v>45</v>
      </c>
      <c r="C38" s="1">
        <v>4430289556</v>
      </c>
      <c r="D38" s="1"/>
      <c r="E38" s="1">
        <v>198</v>
      </c>
      <c r="F38" s="1">
        <v>186</v>
      </c>
      <c r="G38" s="1" t="s">
        <v>38</v>
      </c>
      <c r="H38" s="1" t="s">
        <v>1687</v>
      </c>
      <c r="I38" s="1" t="s">
        <v>46</v>
      </c>
      <c r="J38" s="1" t="s">
        <v>40</v>
      </c>
      <c r="K38" s="1"/>
      <c r="L38" s="1">
        <v>5</v>
      </c>
    </row>
    <row r="39" spans="1:12" s="32" customFormat="1" hidden="1" x14ac:dyDescent="0.3">
      <c r="A39" s="37">
        <v>46142.590011574073</v>
      </c>
      <c r="B39" s="1" t="s">
        <v>45</v>
      </c>
      <c r="C39" s="1">
        <v>4430289556</v>
      </c>
      <c r="D39" s="1"/>
      <c r="E39" s="1">
        <v>26</v>
      </c>
      <c r="F39" s="1">
        <v>25</v>
      </c>
      <c r="G39" s="1" t="s">
        <v>38</v>
      </c>
      <c r="H39" s="1" t="s">
        <v>1688</v>
      </c>
      <c r="I39" s="1" t="s">
        <v>46</v>
      </c>
      <c r="J39" s="1" t="s">
        <v>40</v>
      </c>
      <c r="K39" s="1"/>
      <c r="L39" s="1"/>
    </row>
    <row r="40" spans="1:12" s="32" customFormat="1" hidden="1" x14ac:dyDescent="0.3">
      <c r="A40" s="37">
        <v>46142.58421296296</v>
      </c>
      <c r="B40" s="1">
        <v>43984810043</v>
      </c>
      <c r="C40" s="1" t="s">
        <v>37</v>
      </c>
      <c r="D40" s="1">
        <v>4430265054</v>
      </c>
      <c r="E40" s="1">
        <v>1121</v>
      </c>
      <c r="F40" s="1">
        <v>1060</v>
      </c>
      <c r="G40" s="1" t="s">
        <v>38</v>
      </c>
      <c r="H40" s="1" t="s">
        <v>1689</v>
      </c>
      <c r="I40" s="1" t="s">
        <v>39</v>
      </c>
      <c r="J40" s="1" t="s">
        <v>40</v>
      </c>
      <c r="K40" s="1" t="s">
        <v>41</v>
      </c>
      <c r="L40" s="1"/>
    </row>
    <row r="41" spans="1:12" s="32" customFormat="1" hidden="1" x14ac:dyDescent="0.3">
      <c r="A41" s="37">
        <v>46142.576944444445</v>
      </c>
      <c r="B41" s="1">
        <v>4430289556</v>
      </c>
      <c r="C41" s="1" t="s">
        <v>45</v>
      </c>
      <c r="D41" s="1">
        <v>4430265054</v>
      </c>
      <c r="E41" s="1">
        <v>994</v>
      </c>
      <c r="F41" s="1">
        <v>975</v>
      </c>
      <c r="G41" s="1" t="s">
        <v>38</v>
      </c>
      <c r="H41" s="1" t="s">
        <v>1690</v>
      </c>
      <c r="I41" s="1" t="s">
        <v>39</v>
      </c>
      <c r="J41" s="1" t="s">
        <v>40</v>
      </c>
      <c r="K41" s="1" t="s">
        <v>41</v>
      </c>
      <c r="L41" s="1"/>
    </row>
    <row r="42" spans="1:12" s="32" customFormat="1" hidden="1" x14ac:dyDescent="0.3">
      <c r="A42" s="37">
        <v>46142.575208333335</v>
      </c>
      <c r="B42" s="1">
        <v>4432256273</v>
      </c>
      <c r="C42" s="1" t="s">
        <v>43</v>
      </c>
      <c r="D42" s="1">
        <v>4430265054</v>
      </c>
      <c r="E42" s="1">
        <v>669</v>
      </c>
      <c r="F42" s="1">
        <v>607</v>
      </c>
      <c r="G42" s="1" t="s">
        <v>38</v>
      </c>
      <c r="H42" s="1" t="s">
        <v>1691</v>
      </c>
      <c r="I42" s="1" t="s">
        <v>39</v>
      </c>
      <c r="J42" s="1" t="s">
        <v>40</v>
      </c>
      <c r="K42" s="1" t="s">
        <v>41</v>
      </c>
      <c r="L42" s="1">
        <v>5</v>
      </c>
    </row>
    <row r="43" spans="1:12" s="32" customFormat="1" hidden="1" x14ac:dyDescent="0.3">
      <c r="A43" s="37">
        <v>46142.574988425928</v>
      </c>
      <c r="B43" s="1">
        <v>12997346335</v>
      </c>
      <c r="C43" s="1" t="s">
        <v>44</v>
      </c>
      <c r="D43" s="1">
        <v>4430265054</v>
      </c>
      <c r="E43" s="1">
        <v>715</v>
      </c>
      <c r="F43" s="1">
        <v>647</v>
      </c>
      <c r="G43" s="1" t="s">
        <v>38</v>
      </c>
      <c r="H43" s="1" t="s">
        <v>1692</v>
      </c>
      <c r="I43" s="1" t="s">
        <v>39</v>
      </c>
      <c r="J43" s="1" t="s">
        <v>40</v>
      </c>
      <c r="K43" s="1" t="s">
        <v>41</v>
      </c>
      <c r="L43" s="1">
        <v>5</v>
      </c>
    </row>
    <row r="44" spans="1:12" s="32" customFormat="1" hidden="1" x14ac:dyDescent="0.3">
      <c r="A44" s="37">
        <v>46142.554826388892</v>
      </c>
      <c r="B44" s="1">
        <v>4331724400</v>
      </c>
      <c r="C44" s="1">
        <v>4430265054</v>
      </c>
      <c r="D44" s="1">
        <v>4430265054</v>
      </c>
      <c r="E44" s="1">
        <v>13</v>
      </c>
      <c r="F44" s="1">
        <v>12</v>
      </c>
      <c r="G44" s="1" t="s">
        <v>52</v>
      </c>
      <c r="H44" s="1" t="s">
        <v>1693</v>
      </c>
      <c r="I44" s="1" t="s">
        <v>39</v>
      </c>
      <c r="J44" s="1" t="s">
        <v>53</v>
      </c>
      <c r="K44" s="1"/>
      <c r="L44" s="1"/>
    </row>
    <row r="45" spans="1:12" s="32" customFormat="1" hidden="1" x14ac:dyDescent="0.3">
      <c r="A45" s="37">
        <v>46142.554224537038</v>
      </c>
      <c r="B45" s="1">
        <v>4331724400</v>
      </c>
      <c r="C45" s="1">
        <v>4430265054</v>
      </c>
      <c r="D45" s="1">
        <v>4430265054</v>
      </c>
      <c r="E45" s="1">
        <v>29</v>
      </c>
      <c r="F45" s="1">
        <v>28</v>
      </c>
      <c r="G45" s="1" t="s">
        <v>52</v>
      </c>
      <c r="H45" s="1" t="s">
        <v>1694</v>
      </c>
      <c r="I45" s="1" t="s">
        <v>39</v>
      </c>
      <c r="J45" s="1" t="s">
        <v>53</v>
      </c>
      <c r="K45" s="1"/>
      <c r="L45" s="1"/>
    </row>
    <row r="46" spans="1:12" s="32" customFormat="1" hidden="1" x14ac:dyDescent="0.3">
      <c r="A46" s="37">
        <v>46142.484212962961</v>
      </c>
      <c r="B46" s="1">
        <v>1143744993</v>
      </c>
      <c r="C46" s="1" t="s">
        <v>44</v>
      </c>
      <c r="D46" s="1">
        <v>4431268225</v>
      </c>
      <c r="E46" s="1">
        <v>394</v>
      </c>
      <c r="F46" s="1">
        <v>320</v>
      </c>
      <c r="G46" s="1" t="s">
        <v>38</v>
      </c>
      <c r="H46" s="1" t="s">
        <v>1695</v>
      </c>
      <c r="I46" s="1" t="s">
        <v>39</v>
      </c>
      <c r="J46" s="1" t="s">
        <v>40</v>
      </c>
      <c r="K46" s="1" t="s">
        <v>41</v>
      </c>
      <c r="L46" s="1">
        <v>5</v>
      </c>
    </row>
    <row r="47" spans="1:12" s="32" customFormat="1" hidden="1" x14ac:dyDescent="0.3">
      <c r="A47" s="37">
        <v>46142.48337962963</v>
      </c>
      <c r="B47" s="1">
        <v>44997456641</v>
      </c>
      <c r="C47" s="1" t="s">
        <v>45</v>
      </c>
      <c r="D47" s="1">
        <v>4430265054</v>
      </c>
      <c r="E47" s="1">
        <v>234</v>
      </c>
      <c r="F47" s="1">
        <v>186</v>
      </c>
      <c r="G47" s="1" t="s">
        <v>38</v>
      </c>
      <c r="H47" s="1" t="s">
        <v>1696</v>
      </c>
      <c r="I47" s="1" t="s">
        <v>39</v>
      </c>
      <c r="J47" s="1" t="s">
        <v>40</v>
      </c>
      <c r="K47" s="1" t="s">
        <v>41</v>
      </c>
      <c r="L47" s="1"/>
    </row>
    <row r="48" spans="1:12" s="32" customFormat="1" hidden="1" x14ac:dyDescent="0.3">
      <c r="A48" s="37">
        <v>46142.478414351855</v>
      </c>
      <c r="B48" s="1">
        <v>44999859732</v>
      </c>
      <c r="C48" s="1" t="s">
        <v>45</v>
      </c>
      <c r="D48" s="1">
        <v>4430265054</v>
      </c>
      <c r="E48" s="1">
        <v>102</v>
      </c>
      <c r="F48" s="1">
        <v>45</v>
      </c>
      <c r="G48" s="1" t="s">
        <v>38</v>
      </c>
      <c r="H48" s="1" t="s">
        <v>1697</v>
      </c>
      <c r="I48" s="1" t="s">
        <v>39</v>
      </c>
      <c r="J48" s="1" t="s">
        <v>40</v>
      </c>
      <c r="K48" s="1" t="s">
        <v>41</v>
      </c>
      <c r="L48" s="1"/>
    </row>
    <row r="49" spans="1:12" s="32" customFormat="1" x14ac:dyDescent="0.3">
      <c r="A49" s="37">
        <v>46142.466319444444</v>
      </c>
      <c r="B49" s="1">
        <v>11990144272</v>
      </c>
      <c r="C49" s="1" t="s">
        <v>37</v>
      </c>
      <c r="D49" s="1">
        <v>4431268225</v>
      </c>
      <c r="E49" s="1">
        <v>276</v>
      </c>
      <c r="F49" s="1">
        <v>265</v>
      </c>
      <c r="G49" s="1" t="s">
        <v>38</v>
      </c>
      <c r="H49" s="1" t="s">
        <v>1698</v>
      </c>
      <c r="I49" s="1" t="s">
        <v>39</v>
      </c>
      <c r="J49" s="1" t="s">
        <v>40</v>
      </c>
      <c r="K49" s="1" t="s">
        <v>41</v>
      </c>
      <c r="L49" s="1">
        <v>5</v>
      </c>
    </row>
    <row r="50" spans="1:12" s="32" customFormat="1" hidden="1" x14ac:dyDescent="0.3">
      <c r="A50" s="37">
        <v>46142.463993055557</v>
      </c>
      <c r="B50" s="1">
        <v>91989363636</v>
      </c>
      <c r="C50" s="1" t="s">
        <v>43</v>
      </c>
      <c r="D50" s="1">
        <v>4430265054</v>
      </c>
      <c r="E50" s="1">
        <v>431</v>
      </c>
      <c r="F50" s="1">
        <v>395</v>
      </c>
      <c r="G50" s="1" t="s">
        <v>38</v>
      </c>
      <c r="H50" s="1" t="s">
        <v>1699</v>
      </c>
      <c r="I50" s="1" t="s">
        <v>39</v>
      </c>
      <c r="J50" s="1" t="s">
        <v>40</v>
      </c>
      <c r="K50" s="1" t="s">
        <v>41</v>
      </c>
      <c r="L50" s="1"/>
    </row>
    <row r="51" spans="1:12" s="32" customFormat="1" hidden="1" x14ac:dyDescent="0.3">
      <c r="A51" s="37">
        <v>46142.461041666669</v>
      </c>
      <c r="B51" s="1">
        <v>81983567163</v>
      </c>
      <c r="C51" s="1" t="s">
        <v>48</v>
      </c>
      <c r="D51" s="1">
        <v>4430265054</v>
      </c>
      <c r="E51" s="1">
        <v>391</v>
      </c>
      <c r="F51" s="1">
        <v>391</v>
      </c>
      <c r="G51" s="1" t="s">
        <v>38</v>
      </c>
      <c r="H51" s="1" t="s">
        <v>1700</v>
      </c>
      <c r="I51" s="1" t="s">
        <v>39</v>
      </c>
      <c r="J51" s="1" t="s">
        <v>40</v>
      </c>
      <c r="K51" s="1" t="s">
        <v>41</v>
      </c>
      <c r="L51" s="1"/>
    </row>
    <row r="52" spans="1:12" s="32" customFormat="1" hidden="1" x14ac:dyDescent="0.3">
      <c r="A52" s="37">
        <v>46142.458912037036</v>
      </c>
      <c r="B52" s="1">
        <v>4133491428</v>
      </c>
      <c r="C52" s="1" t="s">
        <v>43</v>
      </c>
      <c r="D52" s="1">
        <v>4430265054</v>
      </c>
      <c r="E52" s="1">
        <v>372</v>
      </c>
      <c r="F52" s="1">
        <v>340</v>
      </c>
      <c r="G52" s="1" t="s">
        <v>38</v>
      </c>
      <c r="H52" s="1" t="s">
        <v>1701</v>
      </c>
      <c r="I52" s="1" t="s">
        <v>39</v>
      </c>
      <c r="J52" s="1" t="s">
        <v>40</v>
      </c>
      <c r="K52" s="1" t="s">
        <v>41</v>
      </c>
      <c r="L52" s="1"/>
    </row>
    <row r="53" spans="1:12" s="32" customFormat="1" hidden="1" x14ac:dyDescent="0.3">
      <c r="A53" s="37">
        <v>46142.458703703705</v>
      </c>
      <c r="B53" s="1">
        <v>4430152533</v>
      </c>
      <c r="C53" s="1" t="s">
        <v>44</v>
      </c>
      <c r="D53" s="1">
        <v>4430265054</v>
      </c>
      <c r="E53" s="1">
        <v>479</v>
      </c>
      <c r="F53" s="1">
        <v>451</v>
      </c>
      <c r="G53" s="1" t="s">
        <v>38</v>
      </c>
      <c r="H53" s="1" t="s">
        <v>1702</v>
      </c>
      <c r="I53" s="1" t="s">
        <v>39</v>
      </c>
      <c r="J53" s="1" t="s">
        <v>40</v>
      </c>
      <c r="K53" s="1" t="s">
        <v>41</v>
      </c>
      <c r="L53" s="1"/>
    </row>
    <row r="54" spans="1:12" s="32" customFormat="1" hidden="1" x14ac:dyDescent="0.3">
      <c r="A54" s="37">
        <v>46142.456250000003</v>
      </c>
      <c r="B54" s="1">
        <v>4130155076</v>
      </c>
      <c r="C54" s="1" t="s">
        <v>45</v>
      </c>
      <c r="D54" s="1">
        <v>4430265054</v>
      </c>
      <c r="E54" s="1">
        <v>825</v>
      </c>
      <c r="F54" s="1">
        <v>805</v>
      </c>
      <c r="G54" s="1" t="s">
        <v>38</v>
      </c>
      <c r="H54" s="1" t="s">
        <v>1703</v>
      </c>
      <c r="I54" s="1" t="s">
        <v>39</v>
      </c>
      <c r="J54" s="1" t="s">
        <v>40</v>
      </c>
      <c r="K54" s="1" t="s">
        <v>41</v>
      </c>
      <c r="L54" s="1">
        <v>5</v>
      </c>
    </row>
    <row r="55" spans="1:12" s="32" customFormat="1" hidden="1" x14ac:dyDescent="0.3">
      <c r="A55" s="37">
        <v>46142.455868055556</v>
      </c>
      <c r="B55" s="1">
        <v>2232340190</v>
      </c>
      <c r="C55" s="1">
        <v>4531273156</v>
      </c>
      <c r="D55" s="1">
        <v>4531273156</v>
      </c>
      <c r="E55" s="1">
        <v>46</v>
      </c>
      <c r="F55" s="1">
        <v>46</v>
      </c>
      <c r="G55" s="1" t="s">
        <v>52</v>
      </c>
      <c r="H55" s="1" t="s">
        <v>1704</v>
      </c>
      <c r="I55" s="1" t="s">
        <v>39</v>
      </c>
      <c r="J55" s="1" t="s">
        <v>53</v>
      </c>
      <c r="K55" s="1" t="s">
        <v>41</v>
      </c>
      <c r="L55" s="1"/>
    </row>
    <row r="56" spans="1:12" s="32" customFormat="1" hidden="1" x14ac:dyDescent="0.3">
      <c r="A56" s="37">
        <v>46142.454016203701</v>
      </c>
      <c r="B56" s="1">
        <v>45999211357</v>
      </c>
      <c r="C56" s="1" t="s">
        <v>45</v>
      </c>
      <c r="D56" s="1">
        <v>4431268225</v>
      </c>
      <c r="E56" s="1">
        <v>136</v>
      </c>
      <c r="F56" s="1">
        <v>69</v>
      </c>
      <c r="G56" s="1" t="s">
        <v>38</v>
      </c>
      <c r="H56" s="1" t="s">
        <v>1705</v>
      </c>
      <c r="I56" s="1" t="s">
        <v>39</v>
      </c>
      <c r="J56" s="1" t="s">
        <v>40</v>
      </c>
      <c r="K56" s="1" t="s">
        <v>41</v>
      </c>
      <c r="L56" s="1">
        <v>5</v>
      </c>
    </row>
    <row r="57" spans="1:12" s="32" customFormat="1" hidden="1" x14ac:dyDescent="0.3">
      <c r="A57" s="37">
        <v>46142.453541666669</v>
      </c>
      <c r="B57" s="1">
        <v>45999211357</v>
      </c>
      <c r="C57" s="1">
        <v>4431268225</v>
      </c>
      <c r="D57" s="1">
        <v>4431268225</v>
      </c>
      <c r="E57" s="1">
        <v>13</v>
      </c>
      <c r="F57" s="1">
        <v>12</v>
      </c>
      <c r="G57" s="1" t="s">
        <v>52</v>
      </c>
      <c r="H57" s="1" t="s">
        <v>1706</v>
      </c>
      <c r="I57" s="1" t="s">
        <v>39</v>
      </c>
      <c r="J57" s="1" t="s">
        <v>53</v>
      </c>
      <c r="K57" s="1"/>
      <c r="L57" s="1"/>
    </row>
    <row r="58" spans="1:12" s="32" customFormat="1" hidden="1" x14ac:dyDescent="0.3">
      <c r="A58" s="37">
        <v>46142.449363425927</v>
      </c>
      <c r="B58" s="1">
        <v>4433015972</v>
      </c>
      <c r="C58" s="1">
        <v>4430265054</v>
      </c>
      <c r="D58" s="1">
        <v>4430265054</v>
      </c>
      <c r="E58" s="1">
        <v>4</v>
      </c>
      <c r="F58" s="1">
        <v>3</v>
      </c>
      <c r="G58" s="1" t="s">
        <v>52</v>
      </c>
      <c r="H58" s="1" t="s">
        <v>1707</v>
      </c>
      <c r="I58" s="1" t="s">
        <v>39</v>
      </c>
      <c r="J58" s="1" t="s">
        <v>53</v>
      </c>
      <c r="K58" s="1"/>
      <c r="L58" s="1"/>
    </row>
    <row r="59" spans="1:12" s="32" customFormat="1" hidden="1" x14ac:dyDescent="0.3">
      <c r="A59" s="37">
        <v>46142.448611111111</v>
      </c>
      <c r="B59" s="1" t="s">
        <v>48</v>
      </c>
      <c r="C59" s="1">
        <v>4436292220</v>
      </c>
      <c r="D59" s="1"/>
      <c r="E59" s="1">
        <v>69</v>
      </c>
      <c r="F59" s="1">
        <v>61</v>
      </c>
      <c r="G59" s="1" t="s">
        <v>38</v>
      </c>
      <c r="H59" s="1" t="s">
        <v>1708</v>
      </c>
      <c r="I59" s="1" t="s">
        <v>46</v>
      </c>
      <c r="J59" s="1" t="s">
        <v>40</v>
      </c>
      <c r="K59" s="1"/>
      <c r="L59" s="1"/>
    </row>
    <row r="60" spans="1:12" s="32" customFormat="1" hidden="1" x14ac:dyDescent="0.3">
      <c r="A60" s="37">
        <v>46142.445127314815</v>
      </c>
      <c r="B60" s="1">
        <v>4436313274</v>
      </c>
      <c r="C60" s="1" t="s">
        <v>45</v>
      </c>
      <c r="D60" s="1">
        <v>4430265054</v>
      </c>
      <c r="E60" s="1">
        <v>251</v>
      </c>
      <c r="F60" s="1">
        <v>205</v>
      </c>
      <c r="G60" s="1" t="s">
        <v>38</v>
      </c>
      <c r="H60" s="1" t="s">
        <v>1709</v>
      </c>
      <c r="I60" s="1" t="s">
        <v>39</v>
      </c>
      <c r="J60" s="1" t="s">
        <v>40</v>
      </c>
      <c r="K60" s="1" t="s">
        <v>41</v>
      </c>
      <c r="L60" s="1">
        <v>5</v>
      </c>
    </row>
    <row r="61" spans="1:12" s="32" customFormat="1" hidden="1" x14ac:dyDescent="0.3">
      <c r="A61" s="37">
        <v>46142.440671296295</v>
      </c>
      <c r="B61" s="1" t="s">
        <v>54</v>
      </c>
      <c r="C61" s="1">
        <v>11954286713</v>
      </c>
      <c r="D61" s="1"/>
      <c r="E61" s="1">
        <v>5</v>
      </c>
      <c r="F61" s="1">
        <v>0</v>
      </c>
      <c r="G61" s="1" t="s">
        <v>47</v>
      </c>
      <c r="H61" s="1" t="s">
        <v>1710</v>
      </c>
      <c r="I61" s="1" t="s">
        <v>46</v>
      </c>
      <c r="J61" s="1" t="s">
        <v>55</v>
      </c>
      <c r="K61" s="1"/>
      <c r="L61" s="1"/>
    </row>
    <row r="62" spans="1:12" s="32" customFormat="1" hidden="1" x14ac:dyDescent="0.3">
      <c r="A62" s="37">
        <v>46142.440254629626</v>
      </c>
      <c r="B62" s="1">
        <v>1143744993</v>
      </c>
      <c r="C62" s="1" t="s">
        <v>37</v>
      </c>
      <c r="D62" s="1">
        <v>4431268225</v>
      </c>
      <c r="E62" s="1">
        <v>917</v>
      </c>
      <c r="F62" s="1">
        <v>877</v>
      </c>
      <c r="G62" s="1" t="s">
        <v>38</v>
      </c>
      <c r="H62" s="1" t="s">
        <v>1711</v>
      </c>
      <c r="I62" s="1" t="s">
        <v>39</v>
      </c>
      <c r="J62" s="1" t="s">
        <v>40</v>
      </c>
      <c r="K62" s="1" t="s">
        <v>41</v>
      </c>
      <c r="L62" s="1"/>
    </row>
    <row r="63" spans="1:12" s="32" customFormat="1" hidden="1" x14ac:dyDescent="0.3">
      <c r="A63" s="37">
        <v>46142.439849537041</v>
      </c>
      <c r="B63" s="1" t="s">
        <v>54</v>
      </c>
      <c r="C63" s="1">
        <v>1124952873</v>
      </c>
      <c r="D63" s="1"/>
      <c r="E63" s="1">
        <v>1</v>
      </c>
      <c r="F63" s="1">
        <v>0</v>
      </c>
      <c r="G63" s="1" t="s">
        <v>47</v>
      </c>
      <c r="H63" s="1" t="s">
        <v>1712</v>
      </c>
      <c r="I63" s="1" t="s">
        <v>46</v>
      </c>
      <c r="J63" s="1" t="s">
        <v>55</v>
      </c>
      <c r="K63" s="1"/>
      <c r="L63" s="1"/>
    </row>
    <row r="64" spans="1:12" s="32" customFormat="1" hidden="1" x14ac:dyDescent="0.3">
      <c r="A64" s="37">
        <v>46142.439803240741</v>
      </c>
      <c r="B64" s="1">
        <v>1143744993</v>
      </c>
      <c r="C64" s="1">
        <v>4431268225</v>
      </c>
      <c r="D64" s="1">
        <v>4431268225</v>
      </c>
      <c r="E64" s="1">
        <v>12</v>
      </c>
      <c r="F64" s="1">
        <v>12</v>
      </c>
      <c r="G64" s="1" t="s">
        <v>52</v>
      </c>
      <c r="H64" s="1" t="s">
        <v>1713</v>
      </c>
      <c r="I64" s="1" t="s">
        <v>39</v>
      </c>
      <c r="J64" s="1" t="s">
        <v>53</v>
      </c>
      <c r="K64" s="1"/>
      <c r="L64" s="1"/>
    </row>
    <row r="65" spans="1:12" s="32" customFormat="1" hidden="1" x14ac:dyDescent="0.3">
      <c r="A65" s="37">
        <v>46142.438726851855</v>
      </c>
      <c r="B65" s="1" t="s">
        <v>54</v>
      </c>
      <c r="C65" s="1">
        <v>31971300014</v>
      </c>
      <c r="D65" s="1"/>
      <c r="E65" s="1">
        <v>9</v>
      </c>
      <c r="F65" s="1">
        <v>0</v>
      </c>
      <c r="G65" s="1" t="s">
        <v>47</v>
      </c>
      <c r="H65" s="1" t="s">
        <v>1714</v>
      </c>
      <c r="I65" s="1" t="s">
        <v>46</v>
      </c>
      <c r="J65" s="1" t="s">
        <v>55</v>
      </c>
      <c r="K65" s="1"/>
      <c r="L65" s="1"/>
    </row>
    <row r="66" spans="1:12" s="32" customFormat="1" hidden="1" x14ac:dyDescent="0.3">
      <c r="A66" s="37">
        <v>46142.432106481479</v>
      </c>
      <c r="B66" s="1" t="s">
        <v>48</v>
      </c>
      <c r="C66" s="1">
        <v>4436292220</v>
      </c>
      <c r="D66" s="1"/>
      <c r="E66" s="1">
        <v>319</v>
      </c>
      <c r="F66" s="1">
        <v>312</v>
      </c>
      <c r="G66" s="1" t="s">
        <v>38</v>
      </c>
      <c r="H66" s="1" t="s">
        <v>1715</v>
      </c>
      <c r="I66" s="1" t="s">
        <v>46</v>
      </c>
      <c r="J66" s="1" t="s">
        <v>40</v>
      </c>
      <c r="K66" s="1"/>
      <c r="L66" s="1"/>
    </row>
    <row r="67" spans="1:12" s="32" customFormat="1" hidden="1" x14ac:dyDescent="0.3">
      <c r="A67" s="37">
        <v>46142.431701388887</v>
      </c>
      <c r="B67" s="1">
        <v>44998640313</v>
      </c>
      <c r="C67" s="1" t="s">
        <v>57</v>
      </c>
      <c r="D67" s="1">
        <v>4430265054</v>
      </c>
      <c r="E67" s="1">
        <v>422</v>
      </c>
      <c r="F67" s="1">
        <v>396</v>
      </c>
      <c r="G67" s="1" t="s">
        <v>38</v>
      </c>
      <c r="H67" s="1" t="s">
        <v>1716</v>
      </c>
      <c r="I67" s="1" t="s">
        <v>39</v>
      </c>
      <c r="J67" s="1" t="s">
        <v>55</v>
      </c>
      <c r="K67" s="1" t="s">
        <v>49</v>
      </c>
      <c r="L67" s="1"/>
    </row>
    <row r="68" spans="1:12" s="32" customFormat="1" hidden="1" x14ac:dyDescent="0.3">
      <c r="A68" s="37">
        <v>46142.429629629631</v>
      </c>
      <c r="B68" s="1">
        <v>4121418115</v>
      </c>
      <c r="C68" s="1">
        <v>4531273155</v>
      </c>
      <c r="D68" s="1">
        <v>4531273155</v>
      </c>
      <c r="E68" s="1">
        <v>46</v>
      </c>
      <c r="F68" s="1">
        <v>46</v>
      </c>
      <c r="G68" s="1" t="s">
        <v>52</v>
      </c>
      <c r="H68" s="1" t="s">
        <v>1717</v>
      </c>
      <c r="I68" s="1" t="s">
        <v>39</v>
      </c>
      <c r="J68" s="1" t="s">
        <v>53</v>
      </c>
      <c r="K68" s="1" t="s">
        <v>41</v>
      </c>
      <c r="L68" s="1"/>
    </row>
    <row r="69" spans="1:12" s="32" customFormat="1" hidden="1" x14ac:dyDescent="0.3">
      <c r="A69" s="37">
        <v>46142.429155092592</v>
      </c>
      <c r="B69" s="1" t="s">
        <v>54</v>
      </c>
      <c r="C69" s="1">
        <v>62999866642</v>
      </c>
      <c r="D69" s="1"/>
      <c r="E69" s="1">
        <v>8</v>
      </c>
      <c r="F69" s="1">
        <v>1</v>
      </c>
      <c r="G69" s="1" t="s">
        <v>38</v>
      </c>
      <c r="H69" s="1" t="s">
        <v>1718</v>
      </c>
      <c r="I69" s="1" t="s">
        <v>46</v>
      </c>
      <c r="J69" s="1" t="s">
        <v>55</v>
      </c>
      <c r="K69" s="1"/>
      <c r="L69" s="1"/>
    </row>
    <row r="70" spans="1:12" s="32" customFormat="1" hidden="1" x14ac:dyDescent="0.3">
      <c r="A70" s="37">
        <v>46142.427002314813</v>
      </c>
      <c r="B70" s="1" t="s">
        <v>48</v>
      </c>
      <c r="C70" s="1">
        <v>4532541802</v>
      </c>
      <c r="D70" s="1"/>
      <c r="E70" s="1">
        <v>198</v>
      </c>
      <c r="F70" s="1">
        <v>197</v>
      </c>
      <c r="G70" s="1" t="s">
        <v>38</v>
      </c>
      <c r="H70" s="1" t="s">
        <v>1719</v>
      </c>
      <c r="I70" s="1" t="s">
        <v>46</v>
      </c>
      <c r="J70" s="1" t="s">
        <v>40</v>
      </c>
      <c r="K70" s="1"/>
      <c r="L70" s="1"/>
    </row>
    <row r="71" spans="1:12" s="32" customFormat="1" hidden="1" x14ac:dyDescent="0.3">
      <c r="A71" s="37">
        <v>46142.425625000003</v>
      </c>
      <c r="B71" s="1">
        <v>4433015965</v>
      </c>
      <c r="C71" s="1">
        <v>4430265054</v>
      </c>
      <c r="D71" s="1">
        <v>4430265054</v>
      </c>
      <c r="E71" s="1">
        <v>3</v>
      </c>
      <c r="F71" s="1">
        <v>2</v>
      </c>
      <c r="G71" s="1" t="s">
        <v>52</v>
      </c>
      <c r="H71" s="1" t="s">
        <v>1720</v>
      </c>
      <c r="I71" s="1" t="s">
        <v>39</v>
      </c>
      <c r="J71" s="1" t="s">
        <v>53</v>
      </c>
      <c r="K71" s="1"/>
      <c r="L71" s="1"/>
    </row>
    <row r="72" spans="1:12" s="32" customFormat="1" hidden="1" x14ac:dyDescent="0.3">
      <c r="A72" s="37">
        <v>46142.423657407409</v>
      </c>
      <c r="B72" s="1" t="s">
        <v>37</v>
      </c>
      <c r="C72" s="1">
        <v>44998761561</v>
      </c>
      <c r="D72" s="1"/>
      <c r="E72" s="1">
        <v>7</v>
      </c>
      <c r="F72" s="1">
        <v>0</v>
      </c>
      <c r="G72" s="1" t="s">
        <v>47</v>
      </c>
      <c r="H72" s="1" t="s">
        <v>1721</v>
      </c>
      <c r="I72" s="1" t="s">
        <v>46</v>
      </c>
      <c r="J72" s="1" t="s">
        <v>40</v>
      </c>
      <c r="K72" s="1"/>
      <c r="L72" s="1"/>
    </row>
    <row r="73" spans="1:12" s="32" customFormat="1" hidden="1" x14ac:dyDescent="0.3">
      <c r="A73" s="37">
        <v>46142.422581018516</v>
      </c>
      <c r="B73" s="1" t="s">
        <v>37</v>
      </c>
      <c r="C73" s="1">
        <v>44998761561</v>
      </c>
      <c r="D73" s="1"/>
      <c r="E73" s="1">
        <v>14</v>
      </c>
      <c r="F73" s="1">
        <v>0</v>
      </c>
      <c r="G73" s="1" t="s">
        <v>47</v>
      </c>
      <c r="H73" s="1" t="s">
        <v>1722</v>
      </c>
      <c r="I73" s="1" t="s">
        <v>46</v>
      </c>
      <c r="J73" s="1" t="s">
        <v>40</v>
      </c>
      <c r="K73" s="1"/>
      <c r="L73" s="1"/>
    </row>
    <row r="74" spans="1:12" s="32" customFormat="1" hidden="1" x14ac:dyDescent="0.3">
      <c r="A74" s="37">
        <v>46142.421527777777</v>
      </c>
      <c r="B74" s="1" t="s">
        <v>37</v>
      </c>
      <c r="C74" s="1">
        <v>44998761561</v>
      </c>
      <c r="D74" s="1"/>
      <c r="E74" s="1">
        <v>13</v>
      </c>
      <c r="F74" s="1">
        <v>0</v>
      </c>
      <c r="G74" s="1" t="s">
        <v>47</v>
      </c>
      <c r="H74" s="1" t="s">
        <v>1723</v>
      </c>
      <c r="I74" s="1" t="s">
        <v>46</v>
      </c>
      <c r="J74" s="1" t="s">
        <v>40</v>
      </c>
      <c r="K74" s="1"/>
      <c r="L74" s="1"/>
    </row>
    <row r="75" spans="1:12" s="32" customFormat="1" hidden="1" x14ac:dyDescent="0.3">
      <c r="A75" s="37">
        <v>46142.421331018515</v>
      </c>
      <c r="B75" s="1" t="s">
        <v>37</v>
      </c>
      <c r="C75" s="1">
        <v>44998761561</v>
      </c>
      <c r="D75" s="1"/>
      <c r="E75" s="1">
        <v>14</v>
      </c>
      <c r="F75" s="1">
        <v>0</v>
      </c>
      <c r="G75" s="1" t="s">
        <v>47</v>
      </c>
      <c r="H75" s="1" t="s">
        <v>1724</v>
      </c>
      <c r="I75" s="1" t="s">
        <v>46</v>
      </c>
      <c r="J75" s="1" t="s">
        <v>40</v>
      </c>
      <c r="K75" s="1"/>
      <c r="L75" s="1"/>
    </row>
    <row r="76" spans="1:12" s="32" customFormat="1" hidden="1" x14ac:dyDescent="0.3">
      <c r="A76" s="37">
        <v>46142.421284722222</v>
      </c>
      <c r="B76" s="1" t="s">
        <v>37</v>
      </c>
      <c r="C76" s="1">
        <v>44998761561</v>
      </c>
      <c r="D76" s="1"/>
      <c r="E76" s="1">
        <v>2</v>
      </c>
      <c r="F76" s="1">
        <v>0</v>
      </c>
      <c r="G76" s="1" t="s">
        <v>47</v>
      </c>
      <c r="H76" s="1" t="s">
        <v>1725</v>
      </c>
      <c r="I76" s="1" t="s">
        <v>46</v>
      </c>
      <c r="J76" s="1" t="s">
        <v>40</v>
      </c>
      <c r="K76" s="1"/>
      <c r="L76" s="1"/>
    </row>
    <row r="77" spans="1:12" s="32" customFormat="1" hidden="1" x14ac:dyDescent="0.3">
      <c r="A77" s="37">
        <v>46142.421099537038</v>
      </c>
      <c r="B77" s="1" t="s">
        <v>37</v>
      </c>
      <c r="C77" s="1">
        <v>44998761561</v>
      </c>
      <c r="D77" s="1"/>
      <c r="E77" s="1">
        <v>14</v>
      </c>
      <c r="F77" s="1">
        <v>0</v>
      </c>
      <c r="G77" s="1" t="s">
        <v>47</v>
      </c>
      <c r="H77" s="1" t="s">
        <v>1726</v>
      </c>
      <c r="I77" s="1" t="s">
        <v>46</v>
      </c>
      <c r="J77" s="1" t="s">
        <v>40</v>
      </c>
      <c r="K77" s="1"/>
      <c r="L77" s="1"/>
    </row>
    <row r="78" spans="1:12" s="32" customFormat="1" hidden="1" x14ac:dyDescent="0.3">
      <c r="A78" s="37">
        <v>46142.420729166668</v>
      </c>
      <c r="B78" s="1" t="s">
        <v>48</v>
      </c>
      <c r="C78" s="1">
        <v>4436292220</v>
      </c>
      <c r="D78" s="1"/>
      <c r="E78" s="1">
        <v>69</v>
      </c>
      <c r="F78" s="1">
        <v>63</v>
      </c>
      <c r="G78" s="1" t="s">
        <v>38</v>
      </c>
      <c r="H78" s="1" t="s">
        <v>1727</v>
      </c>
      <c r="I78" s="1" t="s">
        <v>46</v>
      </c>
      <c r="J78" s="1" t="s">
        <v>40</v>
      </c>
      <c r="K78" s="1"/>
      <c r="L78" s="1"/>
    </row>
    <row r="79" spans="1:12" s="32" customFormat="1" hidden="1" x14ac:dyDescent="0.3">
      <c r="A79" s="37">
        <v>46142.420682870368</v>
      </c>
      <c r="B79" s="1" t="s">
        <v>48</v>
      </c>
      <c r="C79" s="1">
        <v>4436292220</v>
      </c>
      <c r="D79" s="1"/>
      <c r="E79" s="1">
        <v>25</v>
      </c>
      <c r="F79" s="1">
        <v>24</v>
      </c>
      <c r="G79" s="1" t="s">
        <v>38</v>
      </c>
      <c r="H79" s="1" t="s">
        <v>1728</v>
      </c>
      <c r="I79" s="1" t="s">
        <v>46</v>
      </c>
      <c r="J79" s="1" t="s">
        <v>40</v>
      </c>
      <c r="K79" s="1"/>
      <c r="L79" s="1"/>
    </row>
    <row r="80" spans="1:12" s="32" customFormat="1" hidden="1" x14ac:dyDescent="0.3">
      <c r="A80" s="37">
        <v>46142.419456018521</v>
      </c>
      <c r="B80" s="1" t="s">
        <v>54</v>
      </c>
      <c r="C80" s="1">
        <v>85991974545</v>
      </c>
      <c r="D80" s="1"/>
      <c r="E80" s="1">
        <v>2</v>
      </c>
      <c r="F80" s="1">
        <v>0</v>
      </c>
      <c r="G80" s="1" t="s">
        <v>47</v>
      </c>
      <c r="H80" s="1" t="s">
        <v>1729</v>
      </c>
      <c r="I80" s="1" t="s">
        <v>46</v>
      </c>
      <c r="J80" s="1" t="s">
        <v>55</v>
      </c>
      <c r="K80" s="1"/>
      <c r="L80" s="1"/>
    </row>
    <row r="81" spans="1:12" s="32" customFormat="1" hidden="1" x14ac:dyDescent="0.3">
      <c r="A81" s="37">
        <v>46142.419351851851</v>
      </c>
      <c r="B81" s="1">
        <v>4434239353</v>
      </c>
      <c r="C81" s="1" t="s">
        <v>45</v>
      </c>
      <c r="D81" s="1">
        <v>4430265054</v>
      </c>
      <c r="E81" s="1">
        <v>1169</v>
      </c>
      <c r="F81" s="1">
        <v>1085</v>
      </c>
      <c r="G81" s="1" t="s">
        <v>38</v>
      </c>
      <c r="H81" s="1" t="s">
        <v>1730</v>
      </c>
      <c r="I81" s="1" t="s">
        <v>39</v>
      </c>
      <c r="J81" s="1" t="s">
        <v>40</v>
      </c>
      <c r="K81" s="1" t="s">
        <v>41</v>
      </c>
      <c r="L81" s="1">
        <v>5</v>
      </c>
    </row>
    <row r="82" spans="1:12" s="32" customFormat="1" hidden="1" x14ac:dyDescent="0.3">
      <c r="A82" s="37">
        <v>46142.41878472222</v>
      </c>
      <c r="B82" s="1">
        <v>44998761561</v>
      </c>
      <c r="C82" s="1" t="s">
        <v>37</v>
      </c>
      <c r="D82" s="1">
        <v>4430265054</v>
      </c>
      <c r="E82" s="1">
        <v>186</v>
      </c>
      <c r="F82" s="1">
        <v>64</v>
      </c>
      <c r="G82" s="1" t="s">
        <v>38</v>
      </c>
      <c r="H82" s="1" t="s">
        <v>1731</v>
      </c>
      <c r="I82" s="1" t="s">
        <v>39</v>
      </c>
      <c r="J82" s="1" t="s">
        <v>40</v>
      </c>
      <c r="K82" s="1" t="s">
        <v>41</v>
      </c>
      <c r="L82" s="1"/>
    </row>
    <row r="83" spans="1:12" s="32" customFormat="1" hidden="1" x14ac:dyDescent="0.3">
      <c r="A83" s="37">
        <v>46142.418680555558</v>
      </c>
      <c r="B83" s="1" t="s">
        <v>54</v>
      </c>
      <c r="C83" s="1">
        <v>31998340534</v>
      </c>
      <c r="D83" s="1"/>
      <c r="E83" s="1">
        <v>6</v>
      </c>
      <c r="F83" s="1">
        <v>3</v>
      </c>
      <c r="G83" s="1" t="s">
        <v>38</v>
      </c>
      <c r="H83" s="1" t="s">
        <v>1732</v>
      </c>
      <c r="I83" s="1" t="s">
        <v>46</v>
      </c>
      <c r="J83" s="1" t="s">
        <v>55</v>
      </c>
      <c r="K83" s="1"/>
      <c r="L83" s="1"/>
    </row>
    <row r="84" spans="1:12" s="32" customFormat="1" hidden="1" x14ac:dyDescent="0.3">
      <c r="A84" s="37">
        <v>46142.418495370373</v>
      </c>
      <c r="B84" s="1" t="s">
        <v>48</v>
      </c>
      <c r="C84" s="1">
        <v>4436351414</v>
      </c>
      <c r="D84" s="1"/>
      <c r="E84" s="1">
        <v>108</v>
      </c>
      <c r="F84" s="1">
        <v>94</v>
      </c>
      <c r="G84" s="1" t="s">
        <v>38</v>
      </c>
      <c r="H84" s="1" t="s">
        <v>1733</v>
      </c>
      <c r="I84" s="1" t="s">
        <v>46</v>
      </c>
      <c r="J84" s="1" t="s">
        <v>40</v>
      </c>
      <c r="K84" s="1"/>
      <c r="L84" s="1"/>
    </row>
    <row r="85" spans="1:12" s="32" customFormat="1" hidden="1" x14ac:dyDescent="0.3">
      <c r="A85" s="37">
        <v>46142.418020833335</v>
      </c>
      <c r="B85" s="1" t="s">
        <v>54</v>
      </c>
      <c r="C85" s="1">
        <v>21998114423</v>
      </c>
      <c r="D85" s="1"/>
      <c r="E85" s="1">
        <v>13</v>
      </c>
      <c r="F85" s="1">
        <v>1</v>
      </c>
      <c r="G85" s="1" t="s">
        <v>38</v>
      </c>
      <c r="H85" s="1" t="s">
        <v>1734</v>
      </c>
      <c r="I85" s="1" t="s">
        <v>46</v>
      </c>
      <c r="J85" s="1" t="s">
        <v>55</v>
      </c>
      <c r="K85" s="1"/>
      <c r="L85" s="1"/>
    </row>
    <row r="86" spans="1:12" s="32" customFormat="1" hidden="1" x14ac:dyDescent="0.3">
      <c r="A86" s="37">
        <v>46142.415706018517</v>
      </c>
      <c r="B86" s="1">
        <v>41991740047</v>
      </c>
      <c r="C86" s="1" t="s">
        <v>44</v>
      </c>
      <c r="D86" s="1">
        <v>4430265054</v>
      </c>
      <c r="E86" s="1">
        <v>963</v>
      </c>
      <c r="F86" s="1">
        <v>941</v>
      </c>
      <c r="G86" s="1" t="s">
        <v>38</v>
      </c>
      <c r="H86" s="1" t="s">
        <v>1735</v>
      </c>
      <c r="I86" s="1" t="s">
        <v>39</v>
      </c>
      <c r="J86" s="1" t="s">
        <v>40</v>
      </c>
      <c r="K86" s="1" t="s">
        <v>41</v>
      </c>
      <c r="L86" s="1">
        <v>5</v>
      </c>
    </row>
    <row r="87" spans="1:12" s="32" customFormat="1" hidden="1" x14ac:dyDescent="0.3">
      <c r="A87" s="37">
        <v>46142.40797453704</v>
      </c>
      <c r="B87" s="1" t="s">
        <v>44</v>
      </c>
      <c r="C87" s="1">
        <v>4435228300</v>
      </c>
      <c r="D87" s="1"/>
      <c r="E87" s="1">
        <v>118</v>
      </c>
      <c r="F87" s="1">
        <v>112</v>
      </c>
      <c r="G87" s="1" t="s">
        <v>38</v>
      </c>
      <c r="H87" s="1" t="s">
        <v>1736</v>
      </c>
      <c r="I87" s="1" t="s">
        <v>46</v>
      </c>
      <c r="J87" s="1" t="s">
        <v>40</v>
      </c>
      <c r="K87" s="1"/>
      <c r="L87" s="1"/>
    </row>
    <row r="88" spans="1:12" s="32" customFormat="1" hidden="1" x14ac:dyDescent="0.3">
      <c r="A88" s="37">
        <v>46142.407881944448</v>
      </c>
      <c r="B88" s="1" t="s">
        <v>44</v>
      </c>
      <c r="C88" s="1">
        <v>4435228300</v>
      </c>
      <c r="D88" s="1"/>
      <c r="E88" s="1">
        <v>4</v>
      </c>
      <c r="F88" s="1">
        <v>0</v>
      </c>
      <c r="G88" s="1" t="s">
        <v>47</v>
      </c>
      <c r="H88" s="1" t="s">
        <v>1737</v>
      </c>
      <c r="I88" s="1" t="s">
        <v>46</v>
      </c>
      <c r="J88" s="1" t="s">
        <v>40</v>
      </c>
      <c r="K88" s="1"/>
      <c r="L88" s="1"/>
    </row>
    <row r="89" spans="1:12" s="32" customFormat="1" hidden="1" x14ac:dyDescent="0.3">
      <c r="A89" s="37">
        <v>46142.407685185186</v>
      </c>
      <c r="B89" s="1" t="s">
        <v>44</v>
      </c>
      <c r="C89" s="1">
        <v>4435228300</v>
      </c>
      <c r="D89" s="1"/>
      <c r="E89" s="1">
        <v>13</v>
      </c>
      <c r="F89" s="1">
        <v>1</v>
      </c>
      <c r="G89" s="1" t="s">
        <v>38</v>
      </c>
      <c r="H89" s="1" t="s">
        <v>1738</v>
      </c>
      <c r="I89" s="1" t="s">
        <v>46</v>
      </c>
      <c r="J89" s="1" t="s">
        <v>40</v>
      </c>
      <c r="K89" s="1"/>
      <c r="L89" s="1"/>
    </row>
    <row r="90" spans="1:12" s="32" customFormat="1" hidden="1" x14ac:dyDescent="0.3">
      <c r="A90" s="37">
        <v>46142.407557870371</v>
      </c>
      <c r="B90" s="1" t="s">
        <v>44</v>
      </c>
      <c r="C90" s="1">
        <v>4435228300</v>
      </c>
      <c r="D90" s="1"/>
      <c r="E90" s="1">
        <v>25</v>
      </c>
      <c r="F90" s="1">
        <v>25</v>
      </c>
      <c r="G90" s="1" t="s">
        <v>38</v>
      </c>
      <c r="H90" s="1" t="s">
        <v>1739</v>
      </c>
      <c r="I90" s="1" t="s">
        <v>46</v>
      </c>
      <c r="J90" s="1" t="s">
        <v>40</v>
      </c>
      <c r="K90" s="1"/>
      <c r="L90" s="1"/>
    </row>
    <row r="91" spans="1:12" s="32" customFormat="1" hidden="1" x14ac:dyDescent="0.3">
      <c r="A91" s="37">
        <v>46142.407152777778</v>
      </c>
      <c r="B91" s="1">
        <v>4433015967</v>
      </c>
      <c r="C91" s="1">
        <v>4430265054</v>
      </c>
      <c r="D91" s="1">
        <v>4430265054</v>
      </c>
      <c r="E91" s="1">
        <v>3</v>
      </c>
      <c r="F91" s="1">
        <v>3</v>
      </c>
      <c r="G91" s="1" t="s">
        <v>52</v>
      </c>
      <c r="H91" s="1" t="s">
        <v>1740</v>
      </c>
      <c r="I91" s="1" t="s">
        <v>39</v>
      </c>
      <c r="J91" s="1" t="s">
        <v>53</v>
      </c>
      <c r="K91" s="1"/>
      <c r="L91" s="1"/>
    </row>
    <row r="92" spans="1:12" s="32" customFormat="1" hidden="1" x14ac:dyDescent="0.3">
      <c r="A92" s="37">
        <v>46142.406446759262</v>
      </c>
      <c r="B92" s="1" t="s">
        <v>45</v>
      </c>
      <c r="C92" s="1">
        <v>91981481202</v>
      </c>
      <c r="D92" s="1"/>
      <c r="E92" s="1">
        <v>155</v>
      </c>
      <c r="F92" s="1">
        <v>149</v>
      </c>
      <c r="G92" s="1" t="s">
        <v>38</v>
      </c>
      <c r="H92" s="1" t="s">
        <v>1741</v>
      </c>
      <c r="I92" s="1" t="s">
        <v>46</v>
      </c>
      <c r="J92" s="1" t="s">
        <v>40</v>
      </c>
      <c r="K92" s="1"/>
      <c r="L92" s="1">
        <v>5</v>
      </c>
    </row>
    <row r="93" spans="1:12" s="32" customFormat="1" hidden="1" x14ac:dyDescent="0.3">
      <c r="A93" s="37">
        <v>46142.403090277781</v>
      </c>
      <c r="B93" s="1">
        <v>6434530674</v>
      </c>
      <c r="C93" s="1" t="s">
        <v>43</v>
      </c>
      <c r="D93" s="1">
        <v>4430265054</v>
      </c>
      <c r="E93" s="1">
        <v>1683</v>
      </c>
      <c r="F93" s="1">
        <v>1616</v>
      </c>
      <c r="G93" s="1" t="s">
        <v>38</v>
      </c>
      <c r="H93" s="1" t="s">
        <v>1742</v>
      </c>
      <c r="I93" s="1" t="s">
        <v>39</v>
      </c>
      <c r="J93" s="1" t="s">
        <v>40</v>
      </c>
      <c r="K93" s="1" t="s">
        <v>41</v>
      </c>
      <c r="L93" s="1">
        <v>5</v>
      </c>
    </row>
    <row r="94" spans="1:12" s="32" customFormat="1" x14ac:dyDescent="0.3">
      <c r="A94" s="37">
        <v>46142.399756944447</v>
      </c>
      <c r="B94" s="1">
        <v>4432272377</v>
      </c>
      <c r="C94" s="1" t="s">
        <v>37</v>
      </c>
      <c r="D94" s="1">
        <v>4430265054</v>
      </c>
      <c r="E94" s="1">
        <v>1181</v>
      </c>
      <c r="F94" s="1">
        <v>1090</v>
      </c>
      <c r="G94" s="1" t="s">
        <v>38</v>
      </c>
      <c r="H94" s="1" t="s">
        <v>1743</v>
      </c>
      <c r="I94" s="1" t="s">
        <v>39</v>
      </c>
      <c r="J94" s="1" t="s">
        <v>40</v>
      </c>
      <c r="K94" s="1" t="s">
        <v>41</v>
      </c>
      <c r="L94" s="1">
        <v>5</v>
      </c>
    </row>
    <row r="95" spans="1:12" s="32" customFormat="1" hidden="1" x14ac:dyDescent="0.3">
      <c r="A95" s="37">
        <v>46142.392835648148</v>
      </c>
      <c r="B95" s="1">
        <v>4435228300</v>
      </c>
      <c r="C95" s="1" t="s">
        <v>44</v>
      </c>
      <c r="D95" s="1">
        <v>4430265054</v>
      </c>
      <c r="E95" s="1">
        <v>998</v>
      </c>
      <c r="F95" s="1">
        <v>983</v>
      </c>
      <c r="G95" s="1" t="s">
        <v>38</v>
      </c>
      <c r="H95" s="1" t="s">
        <v>1744</v>
      </c>
      <c r="I95" s="1" t="s">
        <v>39</v>
      </c>
      <c r="J95" s="1" t="s">
        <v>40</v>
      </c>
      <c r="K95" s="1" t="s">
        <v>41</v>
      </c>
      <c r="L95" s="1"/>
    </row>
    <row r="96" spans="1:12" s="32" customFormat="1" hidden="1" x14ac:dyDescent="0.3">
      <c r="A96" s="37">
        <v>46142.392384259256</v>
      </c>
      <c r="B96" s="1" t="s">
        <v>54</v>
      </c>
      <c r="C96" s="1">
        <v>41988506556</v>
      </c>
      <c r="D96" s="1"/>
      <c r="E96" s="1">
        <v>9</v>
      </c>
      <c r="F96" s="1">
        <v>4</v>
      </c>
      <c r="G96" s="1" t="s">
        <v>38</v>
      </c>
      <c r="H96" s="1" t="s">
        <v>1745</v>
      </c>
      <c r="I96" s="1" t="s">
        <v>46</v>
      </c>
      <c r="J96" s="1" t="s">
        <v>55</v>
      </c>
      <c r="K96" s="1"/>
      <c r="L96" s="1"/>
    </row>
    <row r="97" spans="1:12" s="32" customFormat="1" hidden="1" x14ac:dyDescent="0.3">
      <c r="A97" s="37">
        <v>46142.391793981478</v>
      </c>
      <c r="B97" s="1">
        <v>4430451163</v>
      </c>
      <c r="C97" s="1" t="s">
        <v>43</v>
      </c>
      <c r="D97" s="1">
        <v>4430265054</v>
      </c>
      <c r="E97" s="1">
        <v>787</v>
      </c>
      <c r="F97" s="1">
        <v>724</v>
      </c>
      <c r="G97" s="1" t="s">
        <v>38</v>
      </c>
      <c r="H97" s="1" t="s">
        <v>1746</v>
      </c>
      <c r="I97" s="1" t="s">
        <v>39</v>
      </c>
      <c r="J97" s="1" t="s">
        <v>40</v>
      </c>
      <c r="K97" s="1" t="s">
        <v>41</v>
      </c>
      <c r="L97" s="1">
        <v>5</v>
      </c>
    </row>
    <row r="98" spans="1:12" s="32" customFormat="1" hidden="1" x14ac:dyDescent="0.3">
      <c r="A98" s="37">
        <v>46142.3908912037</v>
      </c>
      <c r="B98" s="1" t="s">
        <v>45</v>
      </c>
      <c r="C98" s="1">
        <v>4532541802</v>
      </c>
      <c r="D98" s="1"/>
      <c r="E98" s="1">
        <v>850</v>
      </c>
      <c r="F98" s="1">
        <v>850</v>
      </c>
      <c r="G98" s="1" t="s">
        <v>38</v>
      </c>
      <c r="H98" s="1" t="s">
        <v>1747</v>
      </c>
      <c r="I98" s="1" t="s">
        <v>46</v>
      </c>
      <c r="J98" s="1" t="s">
        <v>40</v>
      </c>
      <c r="K98" s="1"/>
      <c r="L98" s="1"/>
    </row>
    <row r="99" spans="1:12" s="32" customFormat="1" hidden="1" x14ac:dyDescent="0.3">
      <c r="A99" s="37">
        <v>46142.384016203701</v>
      </c>
      <c r="B99" s="1">
        <v>4532541802</v>
      </c>
      <c r="C99" s="1" t="s">
        <v>45</v>
      </c>
      <c r="D99" s="1">
        <v>4430265054</v>
      </c>
      <c r="E99" s="1">
        <v>318</v>
      </c>
      <c r="F99" s="1">
        <v>282</v>
      </c>
      <c r="G99" s="1" t="s">
        <v>38</v>
      </c>
      <c r="H99" s="1" t="s">
        <v>1748</v>
      </c>
      <c r="I99" s="1" t="s">
        <v>39</v>
      </c>
      <c r="J99" s="1" t="s">
        <v>40</v>
      </c>
      <c r="K99" s="1" t="s">
        <v>41</v>
      </c>
      <c r="L99" s="1"/>
    </row>
    <row r="100" spans="1:12" s="32" customFormat="1" hidden="1" x14ac:dyDescent="0.3">
      <c r="A100" s="37">
        <v>46142.382245370369</v>
      </c>
      <c r="B100" s="1">
        <v>4532541802</v>
      </c>
      <c r="C100" s="1">
        <v>4430265054</v>
      </c>
      <c r="D100" s="1">
        <v>4430265054</v>
      </c>
      <c r="E100" s="1">
        <v>85</v>
      </c>
      <c r="F100" s="1">
        <v>84</v>
      </c>
      <c r="G100" s="1" t="s">
        <v>52</v>
      </c>
      <c r="H100" s="1" t="s">
        <v>1749</v>
      </c>
      <c r="I100" s="1" t="s">
        <v>39</v>
      </c>
      <c r="J100" s="1" t="s">
        <v>53</v>
      </c>
      <c r="K100" s="1" t="s">
        <v>41</v>
      </c>
      <c r="L100" s="1"/>
    </row>
    <row r="101" spans="1:12" s="32" customFormat="1" hidden="1" x14ac:dyDescent="0.3">
      <c r="A101" s="37">
        <v>46142.381863425922</v>
      </c>
      <c r="B101" s="1">
        <v>4532541802</v>
      </c>
      <c r="C101" s="1">
        <v>4430265054</v>
      </c>
      <c r="D101" s="1">
        <v>4430265054</v>
      </c>
      <c r="E101" s="1">
        <v>19</v>
      </c>
      <c r="F101" s="1">
        <v>18</v>
      </c>
      <c r="G101" s="1" t="s">
        <v>52</v>
      </c>
      <c r="H101" s="1" t="s">
        <v>1750</v>
      </c>
      <c r="I101" s="1" t="s">
        <v>39</v>
      </c>
      <c r="J101" s="1" t="s">
        <v>53</v>
      </c>
      <c r="K101" s="1"/>
      <c r="L101" s="1"/>
    </row>
    <row r="102" spans="1:12" s="32" customFormat="1" hidden="1" x14ac:dyDescent="0.3">
      <c r="A102" s="37">
        <v>46142.381296296298</v>
      </c>
      <c r="B102" s="1">
        <v>4532541802</v>
      </c>
      <c r="C102" s="1">
        <v>4430265054</v>
      </c>
      <c r="D102" s="1">
        <v>4430265054</v>
      </c>
      <c r="E102" s="1">
        <v>41</v>
      </c>
      <c r="F102" s="1">
        <v>40</v>
      </c>
      <c r="G102" s="1" t="s">
        <v>52</v>
      </c>
      <c r="H102" s="1" t="s">
        <v>1751</v>
      </c>
      <c r="I102" s="1" t="s">
        <v>39</v>
      </c>
      <c r="J102" s="1" t="s">
        <v>53</v>
      </c>
      <c r="K102" s="1" t="s">
        <v>41</v>
      </c>
      <c r="L102" s="1"/>
    </row>
    <row r="103" spans="1:12" s="32" customFormat="1" hidden="1" x14ac:dyDescent="0.3">
      <c r="A103" s="37">
        <v>46142.376504629632</v>
      </c>
      <c r="B103" s="1">
        <v>4435228300</v>
      </c>
      <c r="C103" s="1" t="s">
        <v>48</v>
      </c>
      <c r="D103" s="1">
        <v>4430265054</v>
      </c>
      <c r="E103" s="1">
        <v>1182</v>
      </c>
      <c r="F103" s="1">
        <v>1158</v>
      </c>
      <c r="G103" s="1" t="s">
        <v>38</v>
      </c>
      <c r="H103" s="1" t="s">
        <v>1752</v>
      </c>
      <c r="I103" s="1" t="s">
        <v>39</v>
      </c>
      <c r="J103" s="1" t="s">
        <v>40</v>
      </c>
      <c r="K103" s="1" t="s">
        <v>41</v>
      </c>
      <c r="L103" s="1"/>
    </row>
    <row r="104" spans="1:12" s="32" customFormat="1" hidden="1" x14ac:dyDescent="0.3">
      <c r="A104" s="37">
        <v>46142.375416666669</v>
      </c>
      <c r="B104" s="1">
        <v>4432677399</v>
      </c>
      <c r="C104" s="1" t="s">
        <v>44</v>
      </c>
      <c r="D104" s="1">
        <v>4430265054</v>
      </c>
      <c r="E104" s="1">
        <v>659</v>
      </c>
      <c r="F104" s="1">
        <v>601</v>
      </c>
      <c r="G104" s="1" t="s">
        <v>38</v>
      </c>
      <c r="H104" s="1" t="s">
        <v>1753</v>
      </c>
      <c r="I104" s="1" t="s">
        <v>39</v>
      </c>
      <c r="J104" s="1" t="s">
        <v>40</v>
      </c>
      <c r="K104" s="1" t="s">
        <v>41</v>
      </c>
      <c r="L104" s="1"/>
    </row>
    <row r="105" spans="1:12" s="32" customFormat="1" hidden="1" x14ac:dyDescent="0.3">
      <c r="A105" s="37">
        <v>46142.375335648147</v>
      </c>
      <c r="B105" s="1">
        <v>6234347959</v>
      </c>
      <c r="C105" s="1" t="s">
        <v>43</v>
      </c>
      <c r="D105" s="1">
        <v>4430265054</v>
      </c>
      <c r="E105" s="1">
        <v>1034</v>
      </c>
      <c r="F105" s="1">
        <v>1012</v>
      </c>
      <c r="G105" s="1" t="s">
        <v>38</v>
      </c>
      <c r="H105" s="1" t="s">
        <v>1754</v>
      </c>
      <c r="I105" s="1" t="s">
        <v>39</v>
      </c>
      <c r="J105" s="1" t="s">
        <v>40</v>
      </c>
      <c r="K105" s="1" t="s">
        <v>41</v>
      </c>
      <c r="L105" s="1">
        <v>5</v>
      </c>
    </row>
    <row r="106" spans="1:12" s="32" customFormat="1" hidden="1" x14ac:dyDescent="0.3">
      <c r="A106" s="37">
        <v>46142.375081018516</v>
      </c>
      <c r="B106" s="1">
        <v>4432256273</v>
      </c>
      <c r="C106" s="1" t="s">
        <v>45</v>
      </c>
      <c r="D106" s="1">
        <v>4430265054</v>
      </c>
      <c r="E106" s="1">
        <v>877</v>
      </c>
      <c r="F106" s="1">
        <v>851</v>
      </c>
      <c r="G106" s="1" t="s">
        <v>38</v>
      </c>
      <c r="H106" s="1" t="s">
        <v>1755</v>
      </c>
      <c r="I106" s="1" t="s">
        <v>39</v>
      </c>
      <c r="J106" s="1" t="s">
        <v>40</v>
      </c>
      <c r="K106" s="1" t="s">
        <v>41</v>
      </c>
      <c r="L106" s="1">
        <v>5</v>
      </c>
    </row>
    <row r="107" spans="1:12" s="32" customFormat="1" hidden="1" x14ac:dyDescent="0.3">
      <c r="A107" s="37">
        <v>46142.374965277777</v>
      </c>
      <c r="B107" s="1">
        <v>6234347959</v>
      </c>
      <c r="C107" s="1">
        <v>4430265054</v>
      </c>
      <c r="D107" s="1">
        <v>4430265054</v>
      </c>
      <c r="E107" s="1">
        <v>1</v>
      </c>
      <c r="F107" s="1">
        <v>1</v>
      </c>
      <c r="G107" s="1" t="s">
        <v>52</v>
      </c>
      <c r="H107" s="1" t="s">
        <v>1756</v>
      </c>
      <c r="I107" s="1" t="s">
        <v>39</v>
      </c>
      <c r="J107" s="1" t="s">
        <v>53</v>
      </c>
      <c r="K107" s="1"/>
      <c r="L107" s="1"/>
    </row>
    <row r="108" spans="1:12" s="32" customFormat="1" x14ac:dyDescent="0.3">
      <c r="A108" s="37">
        <v>46142.368483796294</v>
      </c>
      <c r="B108" s="1">
        <v>43999317663</v>
      </c>
      <c r="C108" s="1" t="s">
        <v>37</v>
      </c>
      <c r="D108" s="1">
        <v>4430265054</v>
      </c>
      <c r="E108" s="1">
        <v>842</v>
      </c>
      <c r="F108" s="1">
        <v>821</v>
      </c>
      <c r="G108" s="1" t="s">
        <v>38</v>
      </c>
      <c r="H108" s="1" t="s">
        <v>1757</v>
      </c>
      <c r="I108" s="1" t="s">
        <v>39</v>
      </c>
      <c r="J108" s="1" t="s">
        <v>40</v>
      </c>
      <c r="K108" s="1" t="s">
        <v>41</v>
      </c>
      <c r="L108" s="1">
        <v>5</v>
      </c>
    </row>
    <row r="109" spans="1:12" s="32" customFormat="1" hidden="1" x14ac:dyDescent="0.3">
      <c r="A109" s="37">
        <v>46142.365254629629</v>
      </c>
      <c r="B109" s="1">
        <v>62991155122</v>
      </c>
      <c r="C109" s="1" t="s">
        <v>45</v>
      </c>
      <c r="D109" s="1">
        <v>4430265054</v>
      </c>
      <c r="E109" s="1">
        <v>190</v>
      </c>
      <c r="F109" s="1">
        <v>166</v>
      </c>
      <c r="G109" s="1" t="s">
        <v>38</v>
      </c>
      <c r="H109" s="1" t="s">
        <v>1758</v>
      </c>
      <c r="I109" s="1" t="s">
        <v>39</v>
      </c>
      <c r="J109" s="1" t="s">
        <v>40</v>
      </c>
      <c r="K109" s="1" t="s">
        <v>41</v>
      </c>
      <c r="L109" s="1">
        <v>5</v>
      </c>
    </row>
    <row r="110" spans="1:12" s="32" customFormat="1" hidden="1" x14ac:dyDescent="0.3">
      <c r="A110" s="37">
        <v>46142.363692129627</v>
      </c>
      <c r="B110" s="1">
        <v>41991740047</v>
      </c>
      <c r="C110" s="1" t="s">
        <v>44</v>
      </c>
      <c r="D110" s="1">
        <v>4430265054</v>
      </c>
      <c r="E110" s="1">
        <v>1006</v>
      </c>
      <c r="F110" s="1">
        <v>983</v>
      </c>
      <c r="G110" s="1" t="s">
        <v>38</v>
      </c>
      <c r="H110" s="1" t="s">
        <v>1759</v>
      </c>
      <c r="I110" s="1" t="s">
        <v>39</v>
      </c>
      <c r="J110" s="1" t="s">
        <v>40</v>
      </c>
      <c r="K110" s="1" t="s">
        <v>41</v>
      </c>
      <c r="L110" s="1">
        <v>5</v>
      </c>
    </row>
    <row r="111" spans="1:12" s="32" customFormat="1" hidden="1" x14ac:dyDescent="0.3">
      <c r="A111" s="37">
        <v>46142.362118055556</v>
      </c>
      <c r="B111" s="1" t="s">
        <v>48</v>
      </c>
      <c r="C111" s="1">
        <v>4436249360</v>
      </c>
      <c r="D111" s="1"/>
      <c r="E111" s="1">
        <v>662</v>
      </c>
      <c r="F111" s="1">
        <v>650</v>
      </c>
      <c r="G111" s="1" t="s">
        <v>38</v>
      </c>
      <c r="H111" s="1" t="s">
        <v>1760</v>
      </c>
      <c r="I111" s="1" t="s">
        <v>46</v>
      </c>
      <c r="J111" s="1" t="s">
        <v>40</v>
      </c>
      <c r="K111" s="1"/>
      <c r="L111" s="1"/>
    </row>
    <row r="112" spans="1:12" s="32" customFormat="1" hidden="1" x14ac:dyDescent="0.3">
      <c r="A112" s="37">
        <v>46142.362037037034</v>
      </c>
      <c r="B112" s="1" t="s">
        <v>48</v>
      </c>
      <c r="C112" s="1">
        <v>4436249360</v>
      </c>
      <c r="D112" s="1"/>
      <c r="E112" s="1">
        <v>26</v>
      </c>
      <c r="F112" s="1">
        <v>25</v>
      </c>
      <c r="G112" s="1" t="s">
        <v>38</v>
      </c>
      <c r="H112" s="1" t="s">
        <v>1761</v>
      </c>
      <c r="I112" s="1" t="s">
        <v>46</v>
      </c>
      <c r="J112" s="1" t="s">
        <v>40</v>
      </c>
      <c r="K112" s="1"/>
      <c r="L112" s="1"/>
    </row>
    <row r="113" spans="1:12" s="32" customFormat="1" hidden="1" x14ac:dyDescent="0.3">
      <c r="A113" s="37">
        <v>46142.361400462964</v>
      </c>
      <c r="B113" s="1">
        <v>6234347959</v>
      </c>
      <c r="C113" s="1" t="s">
        <v>43</v>
      </c>
      <c r="D113" s="1">
        <v>4430265054</v>
      </c>
      <c r="E113" s="1">
        <v>104</v>
      </c>
      <c r="F113" s="1">
        <v>90</v>
      </c>
      <c r="G113" s="1" t="s">
        <v>38</v>
      </c>
      <c r="H113" s="1" t="s">
        <v>1762</v>
      </c>
      <c r="I113" s="1" t="s">
        <v>39</v>
      </c>
      <c r="J113" s="1" t="s">
        <v>40</v>
      </c>
      <c r="K113" s="1" t="s">
        <v>41</v>
      </c>
      <c r="L113" s="1"/>
    </row>
    <row r="114" spans="1:12" s="32" customFormat="1" hidden="1" x14ac:dyDescent="0.3">
      <c r="A114" s="37">
        <v>46142.355752314812</v>
      </c>
      <c r="B114" s="1">
        <v>4436249360</v>
      </c>
      <c r="C114" s="1" t="s">
        <v>44</v>
      </c>
      <c r="D114" s="1">
        <v>4430265054</v>
      </c>
      <c r="E114" s="1">
        <v>126</v>
      </c>
      <c r="F114" s="1">
        <v>101</v>
      </c>
      <c r="G114" s="1" t="s">
        <v>38</v>
      </c>
      <c r="H114" s="1" t="s">
        <v>1763</v>
      </c>
      <c r="I114" s="1" t="s">
        <v>39</v>
      </c>
      <c r="J114" s="1" t="s">
        <v>40</v>
      </c>
      <c r="K114" s="1" t="s">
        <v>41</v>
      </c>
      <c r="L114" s="1"/>
    </row>
    <row r="115" spans="1:12" s="32" customFormat="1" hidden="1" x14ac:dyDescent="0.3">
      <c r="A115" s="37">
        <v>46142.342476851853</v>
      </c>
      <c r="B115" s="1" t="s">
        <v>44</v>
      </c>
      <c r="C115" s="1">
        <v>41996175686</v>
      </c>
      <c r="D115" s="1"/>
      <c r="E115" s="1">
        <v>36</v>
      </c>
      <c r="F115" s="1">
        <v>0</v>
      </c>
      <c r="G115" s="1" t="s">
        <v>47</v>
      </c>
      <c r="H115" s="1" t="s">
        <v>1764</v>
      </c>
      <c r="I115" s="1" t="s">
        <v>46</v>
      </c>
      <c r="J115" s="1" t="s">
        <v>40</v>
      </c>
      <c r="K115" s="1"/>
      <c r="L115" s="1"/>
    </row>
    <row r="116" spans="1:12" s="32" customFormat="1" hidden="1" x14ac:dyDescent="0.3">
      <c r="A116" s="37">
        <v>46142.341238425928</v>
      </c>
      <c r="B116" s="1" t="s">
        <v>43</v>
      </c>
      <c r="C116" s="1">
        <v>6234347959</v>
      </c>
      <c r="D116" s="1"/>
      <c r="E116" s="1">
        <v>74</v>
      </c>
      <c r="F116" s="1">
        <v>0</v>
      </c>
      <c r="G116" s="1" t="s">
        <v>47</v>
      </c>
      <c r="H116" s="1" t="s">
        <v>1765</v>
      </c>
      <c r="I116" s="1" t="s">
        <v>46</v>
      </c>
      <c r="J116" s="1" t="s">
        <v>40</v>
      </c>
      <c r="K116" s="1"/>
      <c r="L116" s="1"/>
    </row>
    <row r="117" spans="1:12" s="32" customFormat="1" hidden="1" x14ac:dyDescent="0.3">
      <c r="A117" s="37">
        <v>46142.33734953704</v>
      </c>
      <c r="B117" s="1" t="s">
        <v>45</v>
      </c>
      <c r="C117" s="1">
        <v>91981481202</v>
      </c>
      <c r="D117" s="1"/>
      <c r="E117" s="1">
        <v>338</v>
      </c>
      <c r="F117" s="1">
        <v>332</v>
      </c>
      <c r="G117" s="1" t="s">
        <v>38</v>
      </c>
      <c r="H117" s="1" t="s">
        <v>1766</v>
      </c>
      <c r="I117" s="1" t="s">
        <v>46</v>
      </c>
      <c r="J117" s="1" t="s">
        <v>40</v>
      </c>
      <c r="K117" s="1"/>
      <c r="L117" s="1"/>
    </row>
    <row r="118" spans="1:12" s="32" customFormat="1" hidden="1" x14ac:dyDescent="0.3">
      <c r="A118" s="37">
        <v>46141.72519675926</v>
      </c>
      <c r="B118" s="1">
        <v>6436133762</v>
      </c>
      <c r="C118" s="1">
        <v>4430265054</v>
      </c>
      <c r="D118" s="1">
        <v>4430265054</v>
      </c>
      <c r="E118" s="1">
        <v>35</v>
      </c>
      <c r="F118" s="1">
        <v>34</v>
      </c>
      <c r="G118" s="1" t="s">
        <v>52</v>
      </c>
      <c r="H118" s="1" t="s">
        <v>1767</v>
      </c>
      <c r="I118" s="1" t="s">
        <v>39</v>
      </c>
      <c r="J118" s="1" t="s">
        <v>53</v>
      </c>
      <c r="K118" s="1" t="s">
        <v>41</v>
      </c>
      <c r="L118" s="1"/>
    </row>
    <row r="119" spans="1:12" s="32" customFormat="1" hidden="1" x14ac:dyDescent="0.3">
      <c r="A119" s="37">
        <v>46141.716886574075</v>
      </c>
      <c r="B119" s="1" t="s">
        <v>37</v>
      </c>
      <c r="C119" s="1">
        <v>1131043888</v>
      </c>
      <c r="D119" s="1"/>
      <c r="E119" s="1">
        <v>798</v>
      </c>
      <c r="F119" s="1">
        <v>797</v>
      </c>
      <c r="G119" s="1" t="s">
        <v>38</v>
      </c>
      <c r="H119" s="1" t="s">
        <v>1768</v>
      </c>
      <c r="I119" s="1" t="s">
        <v>46</v>
      </c>
      <c r="J119" s="1" t="s">
        <v>40</v>
      </c>
      <c r="K119" s="1"/>
      <c r="L119" s="1"/>
    </row>
    <row r="120" spans="1:12" s="32" customFormat="1" hidden="1" x14ac:dyDescent="0.3">
      <c r="A120" s="37">
        <v>46141.713206018518</v>
      </c>
      <c r="B120" s="1">
        <v>91989363636</v>
      </c>
      <c r="C120" s="1" t="s">
        <v>43</v>
      </c>
      <c r="D120" s="1">
        <v>4430265054</v>
      </c>
      <c r="E120" s="1">
        <v>222</v>
      </c>
      <c r="F120" s="1">
        <v>184</v>
      </c>
      <c r="G120" s="1" t="s">
        <v>38</v>
      </c>
      <c r="H120" s="1" t="s">
        <v>1769</v>
      </c>
      <c r="I120" s="1" t="s">
        <v>39</v>
      </c>
      <c r="J120" s="1" t="s">
        <v>40</v>
      </c>
      <c r="K120" s="1" t="s">
        <v>41</v>
      </c>
      <c r="L120" s="1"/>
    </row>
    <row r="121" spans="1:12" s="32" customFormat="1" hidden="1" x14ac:dyDescent="0.3">
      <c r="A121" s="37">
        <v>46141.708680555559</v>
      </c>
      <c r="B121" s="1">
        <v>1131043888</v>
      </c>
      <c r="C121" s="1" t="s">
        <v>37</v>
      </c>
      <c r="D121" s="1">
        <v>4430265054</v>
      </c>
      <c r="E121" s="1">
        <v>494</v>
      </c>
      <c r="F121" s="1">
        <v>416</v>
      </c>
      <c r="G121" s="1" t="s">
        <v>38</v>
      </c>
      <c r="H121" s="1" t="s">
        <v>1770</v>
      </c>
      <c r="I121" s="1" t="s">
        <v>39</v>
      </c>
      <c r="J121" s="1" t="s">
        <v>40</v>
      </c>
      <c r="K121" s="1" t="s">
        <v>41</v>
      </c>
      <c r="L121" s="1"/>
    </row>
    <row r="122" spans="1:12" s="32" customFormat="1" hidden="1" x14ac:dyDescent="0.3">
      <c r="A122" s="37">
        <v>46141.708124999997</v>
      </c>
      <c r="B122" s="1">
        <v>4532541802</v>
      </c>
      <c r="C122" s="1" t="s">
        <v>43</v>
      </c>
      <c r="D122" s="1">
        <v>4430265054</v>
      </c>
      <c r="E122" s="1">
        <v>200</v>
      </c>
      <c r="F122" s="1">
        <v>130</v>
      </c>
      <c r="G122" s="1" t="s">
        <v>38</v>
      </c>
      <c r="H122" s="1" t="s">
        <v>1771</v>
      </c>
      <c r="I122" s="1" t="s">
        <v>39</v>
      </c>
      <c r="J122" s="1" t="s">
        <v>40</v>
      </c>
      <c r="K122" s="1" t="s">
        <v>41</v>
      </c>
      <c r="L122" s="1">
        <v>5</v>
      </c>
    </row>
    <row r="123" spans="1:12" s="32" customFormat="1" hidden="1" x14ac:dyDescent="0.3">
      <c r="A123" s="37">
        <v>46141.706412037034</v>
      </c>
      <c r="B123" s="1" t="s">
        <v>48</v>
      </c>
      <c r="C123" s="1">
        <v>4430459001</v>
      </c>
      <c r="D123" s="1"/>
      <c r="E123" s="1">
        <v>114</v>
      </c>
      <c r="F123" s="1">
        <v>103</v>
      </c>
      <c r="G123" s="1" t="s">
        <v>38</v>
      </c>
      <c r="H123" s="1" t="s">
        <v>1772</v>
      </c>
      <c r="I123" s="1" t="s">
        <v>46</v>
      </c>
      <c r="J123" s="1" t="s">
        <v>40</v>
      </c>
      <c r="K123" s="1"/>
      <c r="L123" s="1"/>
    </row>
    <row r="124" spans="1:12" s="32" customFormat="1" hidden="1" x14ac:dyDescent="0.3">
      <c r="A124" s="37">
        <v>46141.694386574076</v>
      </c>
      <c r="B124" s="1">
        <v>4430318516</v>
      </c>
      <c r="C124" s="1" t="s">
        <v>43</v>
      </c>
      <c r="D124" s="1">
        <v>4430265054</v>
      </c>
      <c r="E124" s="1">
        <v>656</v>
      </c>
      <c r="F124" s="1">
        <v>484</v>
      </c>
      <c r="G124" s="1" t="s">
        <v>38</v>
      </c>
      <c r="H124" s="1" t="s">
        <v>1773</v>
      </c>
      <c r="I124" s="1" t="s">
        <v>39</v>
      </c>
      <c r="J124" s="1" t="s">
        <v>40</v>
      </c>
      <c r="K124" s="1" t="s">
        <v>41</v>
      </c>
      <c r="L124" s="1"/>
    </row>
    <row r="125" spans="1:12" s="32" customFormat="1" hidden="1" x14ac:dyDescent="0.3">
      <c r="A125" s="37">
        <v>46141.693865740737</v>
      </c>
      <c r="B125" s="1">
        <v>1131043888</v>
      </c>
      <c r="C125" s="1" t="s">
        <v>44</v>
      </c>
      <c r="D125" s="1">
        <v>4430265054</v>
      </c>
      <c r="E125" s="1">
        <v>332</v>
      </c>
      <c r="F125" s="1">
        <v>311</v>
      </c>
      <c r="G125" s="1" t="s">
        <v>38</v>
      </c>
      <c r="H125" s="1" t="s">
        <v>1774</v>
      </c>
      <c r="I125" s="1" t="s">
        <v>39</v>
      </c>
      <c r="J125" s="1" t="s">
        <v>40</v>
      </c>
      <c r="K125" s="1" t="s">
        <v>41</v>
      </c>
      <c r="L125" s="1"/>
    </row>
    <row r="126" spans="1:12" s="32" customFormat="1" hidden="1" x14ac:dyDescent="0.3">
      <c r="A126" s="37">
        <v>46141.693599537037</v>
      </c>
      <c r="B126" s="1" t="s">
        <v>54</v>
      </c>
      <c r="C126" s="1">
        <v>15981871702</v>
      </c>
      <c r="D126" s="1"/>
      <c r="E126" s="1">
        <v>25</v>
      </c>
      <c r="F126" s="1">
        <v>0</v>
      </c>
      <c r="G126" s="1" t="s">
        <v>47</v>
      </c>
      <c r="H126" s="1" t="s">
        <v>1775</v>
      </c>
      <c r="I126" s="1" t="s">
        <v>46</v>
      </c>
      <c r="J126" s="1" t="s">
        <v>55</v>
      </c>
      <c r="K126" s="1"/>
      <c r="L126" s="1"/>
    </row>
    <row r="127" spans="1:12" s="32" customFormat="1" hidden="1" x14ac:dyDescent="0.3">
      <c r="A127" s="37">
        <v>46141.692442129628</v>
      </c>
      <c r="B127" s="1">
        <v>1131043888</v>
      </c>
      <c r="C127" s="1" t="s">
        <v>44</v>
      </c>
      <c r="D127" s="1">
        <v>4430265054</v>
      </c>
      <c r="E127" s="1">
        <v>16</v>
      </c>
      <c r="F127" s="1">
        <v>3</v>
      </c>
      <c r="G127" s="1" t="s">
        <v>38</v>
      </c>
      <c r="H127" s="1" t="s">
        <v>1776</v>
      </c>
      <c r="I127" s="1" t="s">
        <v>39</v>
      </c>
      <c r="J127" s="1" t="s">
        <v>40</v>
      </c>
      <c r="K127" s="1" t="s">
        <v>41</v>
      </c>
      <c r="L127" s="1"/>
    </row>
    <row r="128" spans="1:12" s="32" customFormat="1" hidden="1" x14ac:dyDescent="0.3">
      <c r="A128" s="37">
        <v>46141.691712962966</v>
      </c>
      <c r="B128" s="1">
        <v>1131043888</v>
      </c>
      <c r="C128" s="1">
        <v>4430265054</v>
      </c>
      <c r="D128" s="1">
        <v>4430265054</v>
      </c>
      <c r="E128" s="1">
        <v>61</v>
      </c>
      <c r="F128" s="1">
        <v>61</v>
      </c>
      <c r="G128" s="1" t="s">
        <v>52</v>
      </c>
      <c r="H128" s="1" t="s">
        <v>1777</v>
      </c>
      <c r="I128" s="1" t="s">
        <v>39</v>
      </c>
      <c r="J128" s="1" t="s">
        <v>53</v>
      </c>
      <c r="K128" s="1" t="s">
        <v>41</v>
      </c>
      <c r="L128" s="1"/>
    </row>
    <row r="129" spans="1:12" s="32" customFormat="1" hidden="1" x14ac:dyDescent="0.3">
      <c r="A129" s="37">
        <v>46141.691388888888</v>
      </c>
      <c r="B129" s="1">
        <v>1131043888</v>
      </c>
      <c r="C129" s="1">
        <v>4430265054</v>
      </c>
      <c r="D129" s="1">
        <v>4430265054</v>
      </c>
      <c r="E129" s="1">
        <v>17</v>
      </c>
      <c r="F129" s="1">
        <v>17</v>
      </c>
      <c r="G129" s="1" t="s">
        <v>52</v>
      </c>
      <c r="H129" s="1" t="s">
        <v>1778</v>
      </c>
      <c r="I129" s="1" t="s">
        <v>39</v>
      </c>
      <c r="J129" s="1" t="s">
        <v>53</v>
      </c>
      <c r="K129" s="1"/>
      <c r="L129" s="1"/>
    </row>
    <row r="130" spans="1:12" s="32" customFormat="1" hidden="1" x14ac:dyDescent="0.3">
      <c r="A130" s="37">
        <v>46141.687858796293</v>
      </c>
      <c r="B130" s="1">
        <v>1131043888</v>
      </c>
      <c r="C130" s="1" t="s">
        <v>44</v>
      </c>
      <c r="D130" s="1">
        <v>4430265054</v>
      </c>
      <c r="E130" s="1">
        <v>123</v>
      </c>
      <c r="F130" s="1">
        <v>73</v>
      </c>
      <c r="G130" s="1" t="s">
        <v>38</v>
      </c>
      <c r="H130" s="1" t="s">
        <v>1779</v>
      </c>
      <c r="I130" s="1" t="s">
        <v>39</v>
      </c>
      <c r="J130" s="1" t="s">
        <v>40</v>
      </c>
      <c r="K130" s="1" t="s">
        <v>41</v>
      </c>
      <c r="L130" s="1"/>
    </row>
    <row r="131" spans="1:12" s="32" customFormat="1" hidden="1" x14ac:dyDescent="0.3">
      <c r="A131" s="37">
        <v>46141.687592592592</v>
      </c>
      <c r="B131" s="1">
        <v>1131043888</v>
      </c>
      <c r="C131" s="1">
        <v>4430265054</v>
      </c>
      <c r="D131" s="1">
        <v>4430265054</v>
      </c>
      <c r="E131" s="1">
        <v>16</v>
      </c>
      <c r="F131" s="1">
        <v>15</v>
      </c>
      <c r="G131" s="1" t="s">
        <v>52</v>
      </c>
      <c r="H131" s="1" t="s">
        <v>1780</v>
      </c>
      <c r="I131" s="1" t="s">
        <v>39</v>
      </c>
      <c r="J131" s="1" t="s">
        <v>53</v>
      </c>
      <c r="K131" s="1"/>
      <c r="L131" s="1"/>
    </row>
    <row r="132" spans="1:12" s="32" customFormat="1" hidden="1" x14ac:dyDescent="0.3">
      <c r="A132" s="37">
        <v>46141.684756944444</v>
      </c>
      <c r="B132" s="1" t="s">
        <v>43</v>
      </c>
      <c r="C132" s="1">
        <v>6234347959</v>
      </c>
      <c r="D132" s="1"/>
      <c r="E132" s="1">
        <v>30</v>
      </c>
      <c r="F132" s="1">
        <v>0</v>
      </c>
      <c r="G132" s="1" t="s">
        <v>47</v>
      </c>
      <c r="H132" s="1" t="s">
        <v>1781</v>
      </c>
      <c r="I132" s="1" t="s">
        <v>46</v>
      </c>
      <c r="J132" s="1" t="s">
        <v>40</v>
      </c>
      <c r="K132" s="1"/>
      <c r="L132" s="1"/>
    </row>
    <row r="133" spans="1:12" s="32" customFormat="1" hidden="1" x14ac:dyDescent="0.3">
      <c r="A133" s="37">
        <v>46141.684467592589</v>
      </c>
      <c r="B133" s="1" t="s">
        <v>48</v>
      </c>
      <c r="C133" s="1">
        <v>4430459001</v>
      </c>
      <c r="D133" s="1"/>
      <c r="E133" s="1">
        <v>112</v>
      </c>
      <c r="F133" s="1">
        <v>100</v>
      </c>
      <c r="G133" s="1" t="s">
        <v>38</v>
      </c>
      <c r="H133" s="1" t="s">
        <v>1782</v>
      </c>
      <c r="I133" s="1" t="s">
        <v>46</v>
      </c>
      <c r="J133" s="1" t="s">
        <v>40</v>
      </c>
      <c r="K133" s="1"/>
      <c r="L133" s="1"/>
    </row>
    <row r="134" spans="1:12" s="32" customFormat="1" hidden="1" x14ac:dyDescent="0.3">
      <c r="A134" s="37">
        <v>46141.683958333335</v>
      </c>
      <c r="B134" s="1" t="s">
        <v>54</v>
      </c>
      <c r="C134" s="1">
        <v>19993956729</v>
      </c>
      <c r="D134" s="1"/>
      <c r="E134" s="1">
        <v>36</v>
      </c>
      <c r="F134" s="1">
        <v>1</v>
      </c>
      <c r="G134" s="1" t="s">
        <v>38</v>
      </c>
      <c r="H134" s="1" t="s">
        <v>1783</v>
      </c>
      <c r="I134" s="1" t="s">
        <v>46</v>
      </c>
      <c r="J134" s="1" t="s">
        <v>55</v>
      </c>
      <c r="K134" s="1"/>
      <c r="L134" s="1"/>
    </row>
    <row r="135" spans="1:12" s="32" customFormat="1" hidden="1" x14ac:dyDescent="0.3">
      <c r="A135" s="37">
        <v>46141.679328703707</v>
      </c>
      <c r="B135" s="1">
        <v>1128787060</v>
      </c>
      <c r="C135" s="1" t="s">
        <v>37</v>
      </c>
      <c r="D135" s="1">
        <v>4430265054</v>
      </c>
      <c r="E135" s="1">
        <v>413</v>
      </c>
      <c r="F135" s="1">
        <v>386</v>
      </c>
      <c r="G135" s="1" t="s">
        <v>38</v>
      </c>
      <c r="H135" s="1" t="s">
        <v>1784</v>
      </c>
      <c r="I135" s="1" t="s">
        <v>39</v>
      </c>
      <c r="J135" s="1" t="s">
        <v>40</v>
      </c>
      <c r="K135" s="1" t="s">
        <v>49</v>
      </c>
      <c r="L135" s="1"/>
    </row>
    <row r="136" spans="1:12" s="32" customFormat="1" hidden="1" x14ac:dyDescent="0.3">
      <c r="A136" s="37">
        <v>46141.674178240741</v>
      </c>
      <c r="B136" s="1" t="s">
        <v>44</v>
      </c>
      <c r="C136" s="1">
        <v>41996175686</v>
      </c>
      <c r="D136" s="1"/>
      <c r="E136" s="1">
        <v>49</v>
      </c>
      <c r="F136" s="1">
        <v>0</v>
      </c>
      <c r="G136" s="1" t="s">
        <v>47</v>
      </c>
      <c r="H136" s="1" t="s">
        <v>1785</v>
      </c>
      <c r="I136" s="1" t="s">
        <v>46</v>
      </c>
      <c r="J136" s="1" t="s">
        <v>40</v>
      </c>
      <c r="K136" s="1"/>
      <c r="L136" s="1"/>
    </row>
    <row r="137" spans="1:12" s="32" customFormat="1" hidden="1" x14ac:dyDescent="0.3">
      <c r="A137" s="37">
        <v>46141.664918981478</v>
      </c>
      <c r="B137" s="1">
        <v>4432206400</v>
      </c>
      <c r="C137" s="1" t="s">
        <v>43</v>
      </c>
      <c r="D137" s="1">
        <v>4430265054</v>
      </c>
      <c r="E137" s="1">
        <v>445</v>
      </c>
      <c r="F137" s="1">
        <v>405</v>
      </c>
      <c r="G137" s="1" t="s">
        <v>38</v>
      </c>
      <c r="H137" s="1" t="s">
        <v>1786</v>
      </c>
      <c r="I137" s="1" t="s">
        <v>39</v>
      </c>
      <c r="J137" s="1" t="s">
        <v>40</v>
      </c>
      <c r="K137" s="1" t="s">
        <v>41</v>
      </c>
      <c r="L137" s="1"/>
    </row>
    <row r="138" spans="1:12" s="32" customFormat="1" hidden="1" x14ac:dyDescent="0.3">
      <c r="A138" s="37">
        <v>46141.662002314813</v>
      </c>
      <c r="B138" s="1" t="s">
        <v>48</v>
      </c>
      <c r="C138" s="1">
        <v>4430459001</v>
      </c>
      <c r="D138" s="1"/>
      <c r="E138" s="1">
        <v>69</v>
      </c>
      <c r="F138" s="1">
        <v>53</v>
      </c>
      <c r="G138" s="1" t="s">
        <v>38</v>
      </c>
      <c r="H138" s="1" t="s">
        <v>1787</v>
      </c>
      <c r="I138" s="1" t="s">
        <v>46</v>
      </c>
      <c r="J138" s="1" t="s">
        <v>40</v>
      </c>
      <c r="K138" s="1"/>
      <c r="L138" s="1"/>
    </row>
    <row r="139" spans="1:12" s="32" customFormat="1" hidden="1" x14ac:dyDescent="0.3">
      <c r="A139" s="37">
        <v>46141.65966435185</v>
      </c>
      <c r="B139" s="1">
        <v>4121418115</v>
      </c>
      <c r="C139" s="1" t="s">
        <v>45</v>
      </c>
      <c r="D139" s="1">
        <v>4531273156</v>
      </c>
      <c r="E139" s="1">
        <v>47</v>
      </c>
      <c r="F139" s="1">
        <v>11</v>
      </c>
      <c r="G139" s="1" t="s">
        <v>38</v>
      </c>
      <c r="H139" s="1" t="s">
        <v>1788</v>
      </c>
      <c r="I139" s="1" t="s">
        <v>39</v>
      </c>
      <c r="J139" s="1" t="s">
        <v>40</v>
      </c>
      <c r="K139" s="1" t="s">
        <v>41</v>
      </c>
      <c r="L139" s="1"/>
    </row>
    <row r="140" spans="1:12" s="32" customFormat="1" hidden="1" x14ac:dyDescent="0.3">
      <c r="A140" s="37">
        <v>46141.658391203702</v>
      </c>
      <c r="B140" s="1">
        <v>4435226025</v>
      </c>
      <c r="C140" s="1" t="s">
        <v>48</v>
      </c>
      <c r="D140" s="1">
        <v>4430265054</v>
      </c>
      <c r="E140" s="1">
        <v>223</v>
      </c>
      <c r="F140" s="1">
        <v>124</v>
      </c>
      <c r="G140" s="1" t="s">
        <v>38</v>
      </c>
      <c r="H140" s="1" t="s">
        <v>1789</v>
      </c>
      <c r="I140" s="1" t="s">
        <v>39</v>
      </c>
      <c r="J140" s="1" t="s">
        <v>40</v>
      </c>
      <c r="K140" s="1" t="s">
        <v>41</v>
      </c>
      <c r="L140" s="1"/>
    </row>
    <row r="141" spans="1:12" s="32" customFormat="1" hidden="1" x14ac:dyDescent="0.3">
      <c r="A141" s="37">
        <v>46141.657210648147</v>
      </c>
      <c r="B141" s="1">
        <v>4433015972</v>
      </c>
      <c r="C141" s="1">
        <v>4430265054</v>
      </c>
      <c r="D141" s="1">
        <v>4430265054</v>
      </c>
      <c r="E141" s="1">
        <v>3</v>
      </c>
      <c r="F141" s="1">
        <v>2</v>
      </c>
      <c r="G141" s="1" t="s">
        <v>52</v>
      </c>
      <c r="H141" s="1" t="s">
        <v>1790</v>
      </c>
      <c r="I141" s="1" t="s">
        <v>39</v>
      </c>
      <c r="J141" s="1" t="s">
        <v>53</v>
      </c>
      <c r="K141" s="1"/>
      <c r="L141" s="1"/>
    </row>
    <row r="142" spans="1:12" s="32" customFormat="1" hidden="1" x14ac:dyDescent="0.3">
      <c r="A142" s="37">
        <v>46141.654826388891</v>
      </c>
      <c r="B142" s="1">
        <v>11968505675</v>
      </c>
      <c r="C142" s="1">
        <v>4430265054</v>
      </c>
      <c r="D142" s="1">
        <v>4430265054</v>
      </c>
      <c r="E142" s="1">
        <v>4</v>
      </c>
      <c r="F142" s="1">
        <v>4</v>
      </c>
      <c r="G142" s="1" t="s">
        <v>52</v>
      </c>
      <c r="H142" s="1" t="s">
        <v>1791</v>
      </c>
      <c r="I142" s="1" t="s">
        <v>39</v>
      </c>
      <c r="J142" s="1" t="s">
        <v>53</v>
      </c>
      <c r="K142" s="1"/>
      <c r="L142" s="1"/>
    </row>
    <row r="143" spans="1:12" s="32" customFormat="1" hidden="1" x14ac:dyDescent="0.3">
      <c r="A143" s="37">
        <v>46141.646099537036</v>
      </c>
      <c r="B143" s="1" t="s">
        <v>48</v>
      </c>
      <c r="C143" s="1">
        <v>4435221208</v>
      </c>
      <c r="D143" s="1"/>
      <c r="E143" s="1">
        <v>216</v>
      </c>
      <c r="F143" s="1">
        <v>204</v>
      </c>
      <c r="G143" s="1" t="s">
        <v>38</v>
      </c>
      <c r="H143" s="1" t="s">
        <v>1792</v>
      </c>
      <c r="I143" s="1" t="s">
        <v>46</v>
      </c>
      <c r="J143" s="1" t="s">
        <v>40</v>
      </c>
      <c r="K143" s="1"/>
      <c r="L143" s="1"/>
    </row>
    <row r="144" spans="1:12" s="32" customFormat="1" hidden="1" x14ac:dyDescent="0.3">
      <c r="A144" s="37">
        <v>46141.641759259262</v>
      </c>
      <c r="B144" s="1" t="s">
        <v>54</v>
      </c>
      <c r="C144" s="1">
        <v>31975477171</v>
      </c>
      <c r="D144" s="1"/>
      <c r="E144" s="1">
        <v>25</v>
      </c>
      <c r="F144" s="1">
        <v>0</v>
      </c>
      <c r="G144" s="1" t="s">
        <v>47</v>
      </c>
      <c r="H144" s="1" t="s">
        <v>1793</v>
      </c>
      <c r="I144" s="1" t="s">
        <v>46</v>
      </c>
      <c r="J144" s="1" t="s">
        <v>55</v>
      </c>
      <c r="K144" s="1"/>
      <c r="L144" s="1"/>
    </row>
    <row r="145" spans="1:12" s="32" customFormat="1" hidden="1" x14ac:dyDescent="0.3">
      <c r="A145" s="37">
        <v>46141.6408912037</v>
      </c>
      <c r="B145" s="1">
        <v>4121418213</v>
      </c>
      <c r="C145" s="1" t="s">
        <v>45</v>
      </c>
      <c r="D145" s="1">
        <v>4531273155</v>
      </c>
      <c r="E145" s="1">
        <v>46</v>
      </c>
      <c r="F145" s="1">
        <v>10</v>
      </c>
      <c r="G145" s="1" t="s">
        <v>38</v>
      </c>
      <c r="H145" s="1" t="s">
        <v>1794</v>
      </c>
      <c r="I145" s="1" t="s">
        <v>39</v>
      </c>
      <c r="J145" s="1" t="s">
        <v>40</v>
      </c>
      <c r="K145" s="1" t="s">
        <v>41</v>
      </c>
      <c r="L145" s="1"/>
    </row>
    <row r="146" spans="1:12" s="32" customFormat="1" hidden="1" x14ac:dyDescent="0.3">
      <c r="A146" s="37">
        <v>46141.631736111114</v>
      </c>
      <c r="B146" s="1" t="s">
        <v>44</v>
      </c>
      <c r="C146" s="1">
        <v>44999090169</v>
      </c>
      <c r="D146" s="1"/>
      <c r="E146" s="1">
        <v>1974</v>
      </c>
      <c r="F146" s="1">
        <v>1963</v>
      </c>
      <c r="G146" s="1" t="s">
        <v>38</v>
      </c>
      <c r="H146" s="1" t="s">
        <v>1795</v>
      </c>
      <c r="I146" s="1" t="s">
        <v>46</v>
      </c>
      <c r="J146" s="1" t="s">
        <v>40</v>
      </c>
      <c r="K146" s="1"/>
      <c r="L146" s="1"/>
    </row>
    <row r="147" spans="1:12" s="32" customFormat="1" hidden="1" x14ac:dyDescent="0.3">
      <c r="A147" s="37">
        <v>46141.631666666668</v>
      </c>
      <c r="B147" s="1" t="s">
        <v>44</v>
      </c>
      <c r="C147" s="1">
        <v>44999090169</v>
      </c>
      <c r="D147" s="1"/>
      <c r="E147" s="1">
        <v>5</v>
      </c>
      <c r="F147" s="1">
        <v>0</v>
      </c>
      <c r="G147" s="1" t="s">
        <v>47</v>
      </c>
      <c r="H147" s="1" t="s">
        <v>1796</v>
      </c>
      <c r="I147" s="1" t="s">
        <v>46</v>
      </c>
      <c r="J147" s="1" t="s">
        <v>40</v>
      </c>
      <c r="K147" s="1"/>
      <c r="L147" s="1"/>
    </row>
    <row r="148" spans="1:12" s="32" customFormat="1" hidden="1" x14ac:dyDescent="0.3">
      <c r="A148" s="37">
        <v>46141.627152777779</v>
      </c>
      <c r="B148" s="1" t="s">
        <v>37</v>
      </c>
      <c r="C148" s="1">
        <v>4433511515</v>
      </c>
      <c r="D148" s="1"/>
      <c r="E148" s="1">
        <v>626</v>
      </c>
      <c r="F148" s="1">
        <v>616</v>
      </c>
      <c r="G148" s="1" t="s">
        <v>38</v>
      </c>
      <c r="H148" s="1" t="s">
        <v>1797</v>
      </c>
      <c r="I148" s="1" t="s">
        <v>46</v>
      </c>
      <c r="J148" s="1" t="s">
        <v>40</v>
      </c>
      <c r="K148" s="1"/>
      <c r="L148" s="1"/>
    </row>
    <row r="149" spans="1:12" s="32" customFormat="1" hidden="1" x14ac:dyDescent="0.3">
      <c r="A149" s="37">
        <v>46141.622002314813</v>
      </c>
      <c r="B149" s="1">
        <v>41999195082</v>
      </c>
      <c r="C149" s="1" t="s">
        <v>48</v>
      </c>
      <c r="D149" s="1">
        <v>4430265054</v>
      </c>
      <c r="E149" s="1">
        <v>638</v>
      </c>
      <c r="F149" s="1">
        <v>637</v>
      </c>
      <c r="G149" s="1" t="s">
        <v>38</v>
      </c>
      <c r="H149" s="1" t="s">
        <v>1798</v>
      </c>
      <c r="I149" s="1" t="s">
        <v>39</v>
      </c>
      <c r="J149" s="1" t="s">
        <v>40</v>
      </c>
      <c r="K149" s="1" t="s">
        <v>41</v>
      </c>
      <c r="L149" s="1">
        <v>5</v>
      </c>
    </row>
    <row r="150" spans="1:12" s="32" customFormat="1" hidden="1" x14ac:dyDescent="0.3">
      <c r="A150" s="37">
        <v>46141.621701388889</v>
      </c>
      <c r="B150" s="1">
        <v>4130263118</v>
      </c>
      <c r="C150" s="1" t="s">
        <v>45</v>
      </c>
      <c r="D150" s="1">
        <v>4430265054</v>
      </c>
      <c r="E150" s="1">
        <v>1270</v>
      </c>
      <c r="F150" s="1">
        <v>1229</v>
      </c>
      <c r="G150" s="1" t="s">
        <v>38</v>
      </c>
      <c r="H150" s="1" t="s">
        <v>1799</v>
      </c>
      <c r="I150" s="1" t="s">
        <v>39</v>
      </c>
      <c r="J150" s="1" t="s">
        <v>40</v>
      </c>
      <c r="K150" s="1" t="s">
        <v>41</v>
      </c>
      <c r="L150" s="1"/>
    </row>
    <row r="151" spans="1:12" s="32" customFormat="1" hidden="1" x14ac:dyDescent="0.3">
      <c r="A151" s="37">
        <v>46141.621400462966</v>
      </c>
      <c r="B151" s="1">
        <v>41996401369</v>
      </c>
      <c r="C151" s="1">
        <v>4430265054</v>
      </c>
      <c r="D151" s="1">
        <v>4430265054</v>
      </c>
      <c r="E151" s="1">
        <v>4</v>
      </c>
      <c r="F151" s="1">
        <v>4</v>
      </c>
      <c r="G151" s="1" t="s">
        <v>52</v>
      </c>
      <c r="H151" s="1" t="s">
        <v>1800</v>
      </c>
      <c r="I151" s="1" t="s">
        <v>39</v>
      </c>
      <c r="J151" s="1" t="s">
        <v>53</v>
      </c>
      <c r="K151" s="1"/>
      <c r="L151" s="1"/>
    </row>
    <row r="152" spans="1:12" s="32" customFormat="1" hidden="1" x14ac:dyDescent="0.3">
      <c r="A152" s="37">
        <v>46141.607476851852</v>
      </c>
      <c r="B152" s="1" t="s">
        <v>43</v>
      </c>
      <c r="C152" s="1">
        <v>11968505675</v>
      </c>
      <c r="D152" s="1"/>
      <c r="E152" s="1">
        <v>185</v>
      </c>
      <c r="F152" s="1">
        <v>175</v>
      </c>
      <c r="G152" s="1" t="s">
        <v>38</v>
      </c>
      <c r="H152" s="1" t="s">
        <v>1801</v>
      </c>
      <c r="I152" s="1" t="s">
        <v>46</v>
      </c>
      <c r="J152" s="1" t="s">
        <v>40</v>
      </c>
      <c r="K152" s="1"/>
      <c r="L152" s="1">
        <v>5</v>
      </c>
    </row>
    <row r="153" spans="1:12" s="32" customFormat="1" hidden="1" x14ac:dyDescent="0.3">
      <c r="A153" s="37">
        <v>46141.607465277775</v>
      </c>
      <c r="B153" s="1">
        <v>11968505675</v>
      </c>
      <c r="C153" s="1" t="s">
        <v>37</v>
      </c>
      <c r="D153" s="1">
        <v>4430265054</v>
      </c>
      <c r="E153" s="1">
        <v>162</v>
      </c>
      <c r="F153" s="1">
        <v>44</v>
      </c>
      <c r="G153" s="1" t="s">
        <v>38</v>
      </c>
      <c r="H153" s="1" t="s">
        <v>1802</v>
      </c>
      <c r="I153" s="1" t="s">
        <v>39</v>
      </c>
      <c r="J153" s="1" t="s">
        <v>40</v>
      </c>
      <c r="K153" s="1" t="s">
        <v>41</v>
      </c>
      <c r="L153" s="1"/>
    </row>
    <row r="154" spans="1:12" s="32" customFormat="1" hidden="1" x14ac:dyDescent="0.3">
      <c r="A154" s="37">
        <v>46141.60738425926</v>
      </c>
      <c r="B154" s="1" t="s">
        <v>43</v>
      </c>
      <c r="C154" s="1">
        <v>11968505675</v>
      </c>
      <c r="D154" s="1"/>
      <c r="E154" s="1">
        <v>5</v>
      </c>
      <c r="F154" s="1">
        <v>0</v>
      </c>
      <c r="G154" s="1" t="s">
        <v>47</v>
      </c>
      <c r="H154" s="1" t="s">
        <v>1803</v>
      </c>
      <c r="I154" s="1" t="s">
        <v>46</v>
      </c>
      <c r="J154" s="1" t="s">
        <v>40</v>
      </c>
      <c r="K154" s="1"/>
      <c r="L154" s="1"/>
    </row>
    <row r="155" spans="1:12" s="32" customFormat="1" hidden="1" x14ac:dyDescent="0.3">
      <c r="A155" s="37">
        <v>46141.605717592596</v>
      </c>
      <c r="B155" s="1" t="s">
        <v>48</v>
      </c>
      <c r="C155" s="1">
        <v>4435221208</v>
      </c>
      <c r="D155" s="1"/>
      <c r="E155" s="1">
        <v>68</v>
      </c>
      <c r="F155" s="1">
        <v>48</v>
      </c>
      <c r="G155" s="1" t="s">
        <v>38</v>
      </c>
      <c r="H155" s="1" t="s">
        <v>1804</v>
      </c>
      <c r="I155" s="1" t="s">
        <v>46</v>
      </c>
      <c r="J155" s="1" t="s">
        <v>40</v>
      </c>
      <c r="K155" s="1"/>
      <c r="L155" s="1"/>
    </row>
    <row r="156" spans="1:12" s="32" customFormat="1" hidden="1" x14ac:dyDescent="0.3">
      <c r="A156" s="37">
        <v>46141.60497685185</v>
      </c>
      <c r="B156" s="1">
        <v>11968505675</v>
      </c>
      <c r="C156" s="1" t="s">
        <v>43</v>
      </c>
      <c r="D156" s="1">
        <v>4430265054</v>
      </c>
      <c r="E156" s="1">
        <v>198</v>
      </c>
      <c r="F156" s="1">
        <v>99</v>
      </c>
      <c r="G156" s="1" t="s">
        <v>38</v>
      </c>
      <c r="H156" s="1" t="s">
        <v>1805</v>
      </c>
      <c r="I156" s="1" t="s">
        <v>39</v>
      </c>
      <c r="J156" s="1" t="s">
        <v>40</v>
      </c>
      <c r="K156" s="1" t="s">
        <v>41</v>
      </c>
      <c r="L156" s="1"/>
    </row>
    <row r="157" spans="1:12" s="32" customFormat="1" hidden="1" x14ac:dyDescent="0.3">
      <c r="A157" s="37">
        <v>46141.604907407411</v>
      </c>
      <c r="B157" s="1" t="s">
        <v>43</v>
      </c>
      <c r="C157" s="1">
        <v>44991395073</v>
      </c>
      <c r="D157" s="1"/>
      <c r="E157" s="1">
        <v>46</v>
      </c>
      <c r="F157" s="1">
        <v>35</v>
      </c>
      <c r="G157" s="1" t="s">
        <v>38</v>
      </c>
      <c r="H157" s="1" t="s">
        <v>1806</v>
      </c>
      <c r="I157" s="1" t="s">
        <v>46</v>
      </c>
      <c r="J157" s="1" t="s">
        <v>40</v>
      </c>
      <c r="K157" s="1"/>
      <c r="L157" s="1"/>
    </row>
    <row r="158" spans="1:12" s="32" customFormat="1" hidden="1" x14ac:dyDescent="0.3">
      <c r="A158" s="37">
        <v>46141.604432870372</v>
      </c>
      <c r="B158" s="1">
        <v>4421032938</v>
      </c>
      <c r="C158" s="1">
        <v>4430265054</v>
      </c>
      <c r="D158" s="1">
        <v>4430265054</v>
      </c>
      <c r="E158" s="1">
        <v>8</v>
      </c>
      <c r="F158" s="1">
        <v>7</v>
      </c>
      <c r="G158" s="1" t="s">
        <v>52</v>
      </c>
      <c r="H158" s="1" t="s">
        <v>1807</v>
      </c>
      <c r="I158" s="1" t="s">
        <v>39</v>
      </c>
      <c r="J158" s="1" t="s">
        <v>53</v>
      </c>
      <c r="K158" s="1"/>
      <c r="L158" s="1"/>
    </row>
    <row r="159" spans="1:12" s="32" customFormat="1" hidden="1" x14ac:dyDescent="0.3">
      <c r="A159" s="37">
        <v>46141.604201388887</v>
      </c>
      <c r="B159" s="1" t="s">
        <v>43</v>
      </c>
      <c r="C159" s="1">
        <v>4430459032</v>
      </c>
      <c r="D159" s="1"/>
      <c r="E159" s="1">
        <v>4</v>
      </c>
      <c r="F159" s="1">
        <v>0</v>
      </c>
      <c r="G159" s="1" t="s">
        <v>47</v>
      </c>
      <c r="H159" s="1" t="s">
        <v>1808</v>
      </c>
      <c r="I159" s="1" t="s">
        <v>46</v>
      </c>
      <c r="J159" s="1" t="s">
        <v>40</v>
      </c>
      <c r="K159" s="1"/>
      <c r="L159" s="1"/>
    </row>
    <row r="160" spans="1:12" s="32" customFormat="1" hidden="1" x14ac:dyDescent="0.3">
      <c r="A160" s="37">
        <v>46141.603530092594</v>
      </c>
      <c r="B160" s="1" t="s">
        <v>43</v>
      </c>
      <c r="C160" s="1">
        <v>4430459032</v>
      </c>
      <c r="D160" s="1"/>
      <c r="E160" s="1">
        <v>25</v>
      </c>
      <c r="F160" s="1">
        <v>25</v>
      </c>
      <c r="G160" s="1" t="s">
        <v>38</v>
      </c>
      <c r="H160" s="1" t="s">
        <v>1809</v>
      </c>
      <c r="I160" s="1" t="s">
        <v>46</v>
      </c>
      <c r="J160" s="1" t="s">
        <v>40</v>
      </c>
      <c r="K160" s="1"/>
      <c r="L160" s="1"/>
    </row>
    <row r="161" spans="1:12" s="32" customFormat="1" hidden="1" x14ac:dyDescent="0.3">
      <c r="A161" s="37">
        <v>46141.603472222225</v>
      </c>
      <c r="B161" s="1" t="s">
        <v>43</v>
      </c>
      <c r="C161" s="1">
        <v>4430459032</v>
      </c>
      <c r="D161" s="1"/>
      <c r="E161" s="1">
        <v>3</v>
      </c>
      <c r="F161" s="1">
        <v>0</v>
      </c>
      <c r="G161" s="1" t="s">
        <v>47</v>
      </c>
      <c r="H161" s="1" t="s">
        <v>1810</v>
      </c>
      <c r="I161" s="1" t="s">
        <v>46</v>
      </c>
      <c r="J161" s="1" t="s">
        <v>40</v>
      </c>
      <c r="K161" s="1"/>
      <c r="L161" s="1"/>
    </row>
    <row r="162" spans="1:12" s="32" customFormat="1" hidden="1" x14ac:dyDescent="0.3">
      <c r="A162" s="37">
        <v>46141.597777777781</v>
      </c>
      <c r="B162" s="1">
        <v>44999090169</v>
      </c>
      <c r="C162" s="1" t="s">
        <v>44</v>
      </c>
      <c r="D162" s="1">
        <v>4430265054</v>
      </c>
      <c r="E162" s="1">
        <v>514</v>
      </c>
      <c r="F162" s="1">
        <v>442</v>
      </c>
      <c r="G162" s="1" t="s">
        <v>38</v>
      </c>
      <c r="H162" s="1" t="s">
        <v>1811</v>
      </c>
      <c r="I162" s="1" t="s">
        <v>39</v>
      </c>
      <c r="J162" s="1" t="s">
        <v>40</v>
      </c>
      <c r="K162" s="1" t="s">
        <v>41</v>
      </c>
      <c r="L162" s="1">
        <v>5</v>
      </c>
    </row>
    <row r="163" spans="1:12" s="32" customFormat="1" x14ac:dyDescent="0.3">
      <c r="A163" s="37">
        <v>46141.594861111109</v>
      </c>
      <c r="B163" s="1">
        <v>4430346845</v>
      </c>
      <c r="C163" s="1" t="s">
        <v>37</v>
      </c>
      <c r="D163" s="1">
        <v>4430265054</v>
      </c>
      <c r="E163" s="1">
        <v>707</v>
      </c>
      <c r="F163" s="1">
        <v>670</v>
      </c>
      <c r="G163" s="1" t="s">
        <v>38</v>
      </c>
      <c r="H163" s="1" t="s">
        <v>1812</v>
      </c>
      <c r="I163" s="1" t="s">
        <v>39</v>
      </c>
      <c r="J163" s="1" t="s">
        <v>40</v>
      </c>
      <c r="K163" s="1" t="s">
        <v>41</v>
      </c>
      <c r="L163" s="1">
        <v>5</v>
      </c>
    </row>
    <row r="164" spans="1:12" s="32" customFormat="1" hidden="1" x14ac:dyDescent="0.3">
      <c r="A164" s="37">
        <v>46141.592534722222</v>
      </c>
      <c r="B164" s="1">
        <v>4532541802</v>
      </c>
      <c r="C164" s="1" t="s">
        <v>45</v>
      </c>
      <c r="D164" s="1">
        <v>4430265054</v>
      </c>
      <c r="E164" s="1">
        <v>1351</v>
      </c>
      <c r="F164" s="1">
        <v>1292</v>
      </c>
      <c r="G164" s="1" t="s">
        <v>38</v>
      </c>
      <c r="H164" s="1" t="s">
        <v>1813</v>
      </c>
      <c r="I164" s="1" t="s">
        <v>39</v>
      </c>
      <c r="J164" s="1" t="s">
        <v>40</v>
      </c>
      <c r="K164" s="1" t="s">
        <v>41</v>
      </c>
      <c r="L164" s="1">
        <v>5</v>
      </c>
    </row>
    <row r="165" spans="1:12" s="32" customFormat="1" hidden="1" x14ac:dyDescent="0.3">
      <c r="A165" s="37">
        <v>46141.590821759259</v>
      </c>
      <c r="B165" s="1">
        <v>45999211333</v>
      </c>
      <c r="C165" s="1" t="s">
        <v>48</v>
      </c>
      <c r="D165" s="1">
        <v>4430265054</v>
      </c>
      <c r="E165" s="1">
        <v>409</v>
      </c>
      <c r="F165" s="1">
        <v>409</v>
      </c>
      <c r="G165" s="1" t="s">
        <v>38</v>
      </c>
      <c r="H165" s="1" t="s">
        <v>1814</v>
      </c>
      <c r="I165" s="1" t="s">
        <v>39</v>
      </c>
      <c r="J165" s="1" t="s">
        <v>40</v>
      </c>
      <c r="K165" s="1" t="s">
        <v>41</v>
      </c>
      <c r="L165" s="1"/>
    </row>
    <row r="166" spans="1:12" s="32" customFormat="1" hidden="1" x14ac:dyDescent="0.3">
      <c r="A166" s="37">
        <v>46141.58556712963</v>
      </c>
      <c r="B166" s="1" t="s">
        <v>43</v>
      </c>
      <c r="C166" s="1">
        <v>4430318515</v>
      </c>
      <c r="D166" s="1"/>
      <c r="E166" s="1">
        <v>1022</v>
      </c>
      <c r="F166" s="1">
        <v>1009</v>
      </c>
      <c r="G166" s="1" t="s">
        <v>38</v>
      </c>
      <c r="H166" s="1" t="s">
        <v>1815</v>
      </c>
      <c r="I166" s="1" t="s">
        <v>46</v>
      </c>
      <c r="J166" s="1" t="s">
        <v>40</v>
      </c>
      <c r="K166" s="1"/>
      <c r="L166" s="1"/>
    </row>
    <row r="167" spans="1:12" s="32" customFormat="1" hidden="1" x14ac:dyDescent="0.3">
      <c r="A167" s="37">
        <v>46141.584328703706</v>
      </c>
      <c r="B167" s="1" t="s">
        <v>43</v>
      </c>
      <c r="C167" s="1">
        <v>6234347959</v>
      </c>
      <c r="D167" s="1"/>
      <c r="E167" s="1">
        <v>38</v>
      </c>
      <c r="F167" s="1">
        <v>0</v>
      </c>
      <c r="G167" s="1" t="s">
        <v>47</v>
      </c>
      <c r="H167" s="1" t="s">
        <v>1816</v>
      </c>
      <c r="I167" s="1" t="s">
        <v>46</v>
      </c>
      <c r="J167" s="1" t="s">
        <v>40</v>
      </c>
      <c r="K167" s="1"/>
      <c r="L167" s="1"/>
    </row>
    <row r="168" spans="1:12" s="32" customFormat="1" hidden="1" x14ac:dyDescent="0.3">
      <c r="A168" s="37">
        <v>46141.584050925929</v>
      </c>
      <c r="B168" s="1" t="s">
        <v>48</v>
      </c>
      <c r="C168" s="1">
        <v>4436292220</v>
      </c>
      <c r="D168" s="1"/>
      <c r="E168" s="1">
        <v>168</v>
      </c>
      <c r="F168" s="1">
        <v>161</v>
      </c>
      <c r="G168" s="1" t="s">
        <v>38</v>
      </c>
      <c r="H168" s="1" t="s">
        <v>1817</v>
      </c>
      <c r="I168" s="1" t="s">
        <v>46</v>
      </c>
      <c r="J168" s="1" t="s">
        <v>40</v>
      </c>
      <c r="K168" s="1"/>
      <c r="L168" s="1"/>
    </row>
    <row r="169" spans="1:12" s="32" customFormat="1" hidden="1" x14ac:dyDescent="0.3">
      <c r="A169" s="37">
        <v>46141.57984953704</v>
      </c>
      <c r="B169" s="1" t="s">
        <v>45</v>
      </c>
      <c r="C169" s="1">
        <v>4430318515</v>
      </c>
      <c r="D169" s="1"/>
      <c r="E169" s="1">
        <v>374</v>
      </c>
      <c r="F169" s="1">
        <v>362</v>
      </c>
      <c r="G169" s="1" t="s">
        <v>38</v>
      </c>
      <c r="H169" s="1" t="s">
        <v>1818</v>
      </c>
      <c r="I169" s="1" t="s">
        <v>46</v>
      </c>
      <c r="J169" s="1" t="s">
        <v>40</v>
      </c>
      <c r="K169" s="1"/>
      <c r="L169" s="1"/>
    </row>
    <row r="170" spans="1:12" s="32" customFormat="1" hidden="1" x14ac:dyDescent="0.3">
      <c r="A170" s="37">
        <v>46141.579780092594</v>
      </c>
      <c r="B170" s="1" t="s">
        <v>45</v>
      </c>
      <c r="C170" s="1">
        <v>4430318515</v>
      </c>
      <c r="D170" s="1"/>
      <c r="E170" s="1">
        <v>25</v>
      </c>
      <c r="F170" s="1">
        <v>25</v>
      </c>
      <c r="G170" s="1" t="s">
        <v>38</v>
      </c>
      <c r="H170" s="1" t="s">
        <v>1819</v>
      </c>
      <c r="I170" s="1" t="s">
        <v>46</v>
      </c>
      <c r="J170" s="1" t="s">
        <v>40</v>
      </c>
      <c r="K170" s="1"/>
      <c r="L170" s="1"/>
    </row>
    <row r="171" spans="1:12" s="32" customFormat="1" hidden="1" x14ac:dyDescent="0.3">
      <c r="A171" s="37">
        <v>46141.578321759262</v>
      </c>
      <c r="B171" s="1" t="s">
        <v>48</v>
      </c>
      <c r="C171" s="1">
        <v>4435221208</v>
      </c>
      <c r="D171" s="1"/>
      <c r="E171" s="1">
        <v>33</v>
      </c>
      <c r="F171" s="1">
        <v>16</v>
      </c>
      <c r="G171" s="1" t="s">
        <v>38</v>
      </c>
      <c r="H171" s="1" t="s">
        <v>1820</v>
      </c>
      <c r="I171" s="1" t="s">
        <v>46</v>
      </c>
      <c r="J171" s="1" t="s">
        <v>40</v>
      </c>
      <c r="K171" s="1"/>
      <c r="L171" s="1"/>
    </row>
    <row r="172" spans="1:12" s="32" customFormat="1" hidden="1" x14ac:dyDescent="0.3">
      <c r="A172" s="37">
        <v>46141.578263888892</v>
      </c>
      <c r="B172" s="1">
        <v>4430459001</v>
      </c>
      <c r="C172" s="1" t="s">
        <v>48</v>
      </c>
      <c r="D172" s="1">
        <v>4430265054</v>
      </c>
      <c r="E172" s="1">
        <v>163</v>
      </c>
      <c r="F172" s="1">
        <v>112</v>
      </c>
      <c r="G172" s="1" t="s">
        <v>38</v>
      </c>
      <c r="H172" s="1" t="s">
        <v>1821</v>
      </c>
      <c r="I172" s="1" t="s">
        <v>39</v>
      </c>
      <c r="J172" s="1" t="s">
        <v>40</v>
      </c>
      <c r="K172" s="1" t="s">
        <v>41</v>
      </c>
      <c r="L172" s="1"/>
    </row>
    <row r="173" spans="1:12" s="32" customFormat="1" hidden="1" x14ac:dyDescent="0.3">
      <c r="A173" s="37">
        <v>46141.574490740742</v>
      </c>
      <c r="B173" s="1">
        <v>4421032920</v>
      </c>
      <c r="C173" s="1">
        <v>4430265054</v>
      </c>
      <c r="D173" s="1">
        <v>4430265054</v>
      </c>
      <c r="E173" s="1">
        <v>3</v>
      </c>
      <c r="F173" s="1">
        <v>3</v>
      </c>
      <c r="G173" s="1" t="s">
        <v>52</v>
      </c>
      <c r="H173" s="1" t="s">
        <v>1822</v>
      </c>
      <c r="I173" s="1" t="s">
        <v>39</v>
      </c>
      <c r="J173" s="1" t="s">
        <v>53</v>
      </c>
      <c r="K173" s="1"/>
      <c r="L173" s="1"/>
    </row>
    <row r="174" spans="1:12" s="32" customFormat="1" hidden="1" x14ac:dyDescent="0.3">
      <c r="A174" s="37">
        <v>46141.573912037034</v>
      </c>
      <c r="B174" s="1">
        <v>6234347959</v>
      </c>
      <c r="C174" s="1" t="s">
        <v>44</v>
      </c>
      <c r="D174" s="1">
        <v>4430265054</v>
      </c>
      <c r="E174" s="1">
        <v>272</v>
      </c>
      <c r="F174" s="1">
        <v>221</v>
      </c>
      <c r="G174" s="1" t="s">
        <v>38</v>
      </c>
      <c r="H174" s="1" t="s">
        <v>1823</v>
      </c>
      <c r="I174" s="1" t="s">
        <v>39</v>
      </c>
      <c r="J174" s="1" t="s">
        <v>40</v>
      </c>
      <c r="K174" s="1" t="s">
        <v>41</v>
      </c>
      <c r="L174" s="1"/>
    </row>
    <row r="175" spans="1:12" s="32" customFormat="1" hidden="1" x14ac:dyDescent="0.3">
      <c r="A175" s="37">
        <v>46141.572557870371</v>
      </c>
      <c r="B175" s="1" t="s">
        <v>48</v>
      </c>
      <c r="C175" s="1">
        <v>4430459001</v>
      </c>
      <c r="D175" s="1"/>
      <c r="E175" s="1">
        <v>343</v>
      </c>
      <c r="F175" s="1">
        <v>334</v>
      </c>
      <c r="G175" s="1" t="s">
        <v>38</v>
      </c>
      <c r="H175" s="1" t="s">
        <v>1824</v>
      </c>
      <c r="I175" s="1" t="s">
        <v>46</v>
      </c>
      <c r="J175" s="1" t="s">
        <v>40</v>
      </c>
      <c r="K175" s="1"/>
      <c r="L175" s="1"/>
    </row>
    <row r="176" spans="1:12" s="32" customFormat="1" hidden="1" x14ac:dyDescent="0.3">
      <c r="A176" s="37">
        <v>46141.572280092594</v>
      </c>
      <c r="B176" s="1">
        <v>4430459032</v>
      </c>
      <c r="C176" s="1" t="s">
        <v>43</v>
      </c>
      <c r="D176" s="1">
        <v>4430265054</v>
      </c>
      <c r="E176" s="1">
        <v>704</v>
      </c>
      <c r="F176" s="1">
        <v>664</v>
      </c>
      <c r="G176" s="1" t="s">
        <v>38</v>
      </c>
      <c r="H176" s="1" t="s">
        <v>1825</v>
      </c>
      <c r="I176" s="1" t="s">
        <v>39</v>
      </c>
      <c r="J176" s="1" t="s">
        <v>40</v>
      </c>
      <c r="K176" s="1" t="s">
        <v>41</v>
      </c>
      <c r="L176" s="1">
        <v>5</v>
      </c>
    </row>
    <row r="177" spans="1:12" s="32" customFormat="1" hidden="1" x14ac:dyDescent="0.3">
      <c r="A177" s="37">
        <v>46141.571273148147</v>
      </c>
      <c r="B177" s="1">
        <v>4430318515</v>
      </c>
      <c r="C177" s="1" t="s">
        <v>45</v>
      </c>
      <c r="D177" s="1">
        <v>4430265054</v>
      </c>
      <c r="E177" s="1">
        <v>466</v>
      </c>
      <c r="F177" s="1">
        <v>386</v>
      </c>
      <c r="G177" s="1" t="s">
        <v>38</v>
      </c>
      <c r="H177" s="1" t="s">
        <v>1826</v>
      </c>
      <c r="I177" s="1" t="s">
        <v>39</v>
      </c>
      <c r="J177" s="1" t="s">
        <v>40</v>
      </c>
      <c r="K177" s="1" t="s">
        <v>41</v>
      </c>
      <c r="L177" s="1"/>
    </row>
    <row r="178" spans="1:12" s="32" customFormat="1" hidden="1" x14ac:dyDescent="0.3">
      <c r="A178" s="37">
        <v>46141.508958333332</v>
      </c>
      <c r="B178" s="1">
        <v>4433015978</v>
      </c>
      <c r="C178" s="1">
        <v>4430265054</v>
      </c>
      <c r="D178" s="1">
        <v>4430265054</v>
      </c>
      <c r="E178" s="1">
        <v>9</v>
      </c>
      <c r="F178" s="1">
        <v>8</v>
      </c>
      <c r="G178" s="1" t="s">
        <v>52</v>
      </c>
      <c r="H178" s="1" t="s">
        <v>1827</v>
      </c>
      <c r="I178" s="1" t="s">
        <v>39</v>
      </c>
      <c r="J178" s="1" t="s">
        <v>53</v>
      </c>
      <c r="K178" s="1"/>
      <c r="L178" s="1"/>
    </row>
    <row r="179" spans="1:12" s="32" customFormat="1" hidden="1" x14ac:dyDescent="0.3">
      <c r="A179" s="37">
        <v>46141.498252314814</v>
      </c>
      <c r="B179" s="1">
        <v>1128787060</v>
      </c>
      <c r="C179" s="1" t="s">
        <v>37</v>
      </c>
      <c r="D179" s="1">
        <v>4430265054</v>
      </c>
      <c r="E179" s="1">
        <v>366</v>
      </c>
      <c r="F179" s="1">
        <v>339</v>
      </c>
      <c r="G179" s="1" t="s">
        <v>38</v>
      </c>
      <c r="H179" s="1" t="s">
        <v>1828</v>
      </c>
      <c r="I179" s="1" t="s">
        <v>39</v>
      </c>
      <c r="J179" s="1" t="s">
        <v>40</v>
      </c>
      <c r="K179" s="1" t="s">
        <v>49</v>
      </c>
      <c r="L179" s="1"/>
    </row>
    <row r="180" spans="1:12" s="32" customFormat="1" hidden="1" x14ac:dyDescent="0.3">
      <c r="A180" s="37">
        <v>46141.49355324074</v>
      </c>
      <c r="B180" s="1" t="s">
        <v>44</v>
      </c>
      <c r="C180" s="1">
        <v>41996175686</v>
      </c>
      <c r="D180" s="1"/>
      <c r="E180" s="1">
        <v>21</v>
      </c>
      <c r="F180" s="1">
        <v>0</v>
      </c>
      <c r="G180" s="1" t="s">
        <v>47</v>
      </c>
      <c r="H180" s="1" t="s">
        <v>1829</v>
      </c>
      <c r="I180" s="1" t="s">
        <v>46</v>
      </c>
      <c r="J180" s="1" t="s">
        <v>40</v>
      </c>
      <c r="K180" s="1"/>
      <c r="L180" s="1"/>
    </row>
    <row r="181" spans="1:12" s="32" customFormat="1" hidden="1" x14ac:dyDescent="0.3">
      <c r="A181" s="37">
        <v>46141.492951388886</v>
      </c>
      <c r="B181" s="1" t="s">
        <v>44</v>
      </c>
      <c r="C181" s="1">
        <v>41996175686</v>
      </c>
      <c r="D181" s="1"/>
      <c r="E181" s="1">
        <v>43</v>
      </c>
      <c r="F181" s="1">
        <v>0</v>
      </c>
      <c r="G181" s="1" t="s">
        <v>47</v>
      </c>
      <c r="H181" s="1" t="s">
        <v>1830</v>
      </c>
      <c r="I181" s="1" t="s">
        <v>46</v>
      </c>
      <c r="J181" s="1" t="s">
        <v>40</v>
      </c>
      <c r="K181" s="1"/>
      <c r="L181" s="1"/>
    </row>
    <row r="182" spans="1:12" s="32" customFormat="1" hidden="1" x14ac:dyDescent="0.3">
      <c r="A182" s="37">
        <v>46141.48814814815</v>
      </c>
      <c r="B182" s="1">
        <v>1143744993</v>
      </c>
      <c r="C182" s="1" t="s">
        <v>45</v>
      </c>
      <c r="D182" s="1">
        <v>4431268225</v>
      </c>
      <c r="E182" s="1">
        <v>173</v>
      </c>
      <c r="F182" s="1">
        <v>127</v>
      </c>
      <c r="G182" s="1" t="s">
        <v>38</v>
      </c>
      <c r="H182" s="1" t="s">
        <v>1831</v>
      </c>
      <c r="I182" s="1" t="s">
        <v>39</v>
      </c>
      <c r="J182" s="1" t="s">
        <v>40</v>
      </c>
      <c r="K182" s="1" t="s">
        <v>41</v>
      </c>
      <c r="L182" s="1">
        <v>4</v>
      </c>
    </row>
    <row r="183" spans="1:12" s="32" customFormat="1" hidden="1" x14ac:dyDescent="0.3">
      <c r="A183" s="37">
        <v>46141.486539351848</v>
      </c>
      <c r="B183" s="1" t="s">
        <v>43</v>
      </c>
      <c r="C183" s="1">
        <v>44998818300</v>
      </c>
      <c r="D183" s="1"/>
      <c r="E183" s="1">
        <v>0</v>
      </c>
      <c r="F183" s="1">
        <v>0</v>
      </c>
      <c r="G183" s="1" t="s">
        <v>47</v>
      </c>
      <c r="H183" s="1" t="s">
        <v>1832</v>
      </c>
      <c r="I183" s="1" t="s">
        <v>46</v>
      </c>
      <c r="J183" s="1" t="s">
        <v>40</v>
      </c>
      <c r="K183" s="1"/>
      <c r="L183" s="1"/>
    </row>
    <row r="184" spans="1:12" s="32" customFormat="1" hidden="1" x14ac:dyDescent="0.3">
      <c r="A184" s="37">
        <v>46141.484780092593</v>
      </c>
      <c r="B184" s="1">
        <v>41996175686</v>
      </c>
      <c r="C184" s="1" t="s">
        <v>44</v>
      </c>
      <c r="D184" s="1">
        <v>4430265054</v>
      </c>
      <c r="E184" s="1">
        <v>408</v>
      </c>
      <c r="F184" s="1">
        <v>388</v>
      </c>
      <c r="G184" s="1" t="s">
        <v>38</v>
      </c>
      <c r="H184" s="1" t="s">
        <v>1833</v>
      </c>
      <c r="I184" s="1" t="s">
        <v>39</v>
      </c>
      <c r="J184" s="1" t="s">
        <v>40</v>
      </c>
      <c r="K184" s="1" t="s">
        <v>41</v>
      </c>
      <c r="L184" s="1"/>
    </row>
    <row r="185" spans="1:12" s="32" customFormat="1" hidden="1" x14ac:dyDescent="0.3">
      <c r="A185" s="37">
        <v>46141.483564814815</v>
      </c>
      <c r="B185" s="1">
        <v>6234347959</v>
      </c>
      <c r="C185" s="1" t="s">
        <v>44</v>
      </c>
      <c r="D185" s="1">
        <v>4430265054</v>
      </c>
      <c r="E185" s="1">
        <v>85</v>
      </c>
      <c r="F185" s="1">
        <v>61</v>
      </c>
      <c r="G185" s="1" t="s">
        <v>38</v>
      </c>
      <c r="H185" s="1" t="s">
        <v>1834</v>
      </c>
      <c r="I185" s="1" t="s">
        <v>39</v>
      </c>
      <c r="J185" s="1" t="s">
        <v>40</v>
      </c>
      <c r="K185" s="1" t="s">
        <v>41</v>
      </c>
      <c r="L185" s="1">
        <v>5</v>
      </c>
    </row>
    <row r="186" spans="1:12" s="32" customFormat="1" x14ac:dyDescent="0.3">
      <c r="A186" s="37">
        <v>46141.481956018521</v>
      </c>
      <c r="B186" s="1">
        <v>62994086124</v>
      </c>
      <c r="C186" s="1" t="s">
        <v>37</v>
      </c>
      <c r="D186" s="1">
        <v>4430265054</v>
      </c>
      <c r="E186" s="1">
        <v>382</v>
      </c>
      <c r="F186" s="1">
        <v>362</v>
      </c>
      <c r="G186" s="1" t="s">
        <v>38</v>
      </c>
      <c r="H186" s="1" t="s">
        <v>1835</v>
      </c>
      <c r="I186" s="1" t="s">
        <v>39</v>
      </c>
      <c r="J186" s="1" t="s">
        <v>40</v>
      </c>
      <c r="K186" s="1" t="s">
        <v>41</v>
      </c>
      <c r="L186" s="1">
        <v>5</v>
      </c>
    </row>
    <row r="187" spans="1:12" s="32" customFormat="1" hidden="1" x14ac:dyDescent="0.3">
      <c r="A187" s="37">
        <v>46141.48065972222</v>
      </c>
      <c r="B187" s="1">
        <v>4533011420</v>
      </c>
      <c r="C187" s="1">
        <v>4531273155</v>
      </c>
      <c r="D187" s="1">
        <v>4531273155</v>
      </c>
      <c r="E187" s="1">
        <v>46</v>
      </c>
      <c r="F187" s="1">
        <v>45</v>
      </c>
      <c r="G187" s="1" t="s">
        <v>52</v>
      </c>
      <c r="H187" s="1" t="s">
        <v>1836</v>
      </c>
      <c r="I187" s="1" t="s">
        <v>39</v>
      </c>
      <c r="J187" s="1" t="s">
        <v>53</v>
      </c>
      <c r="K187" s="1" t="s">
        <v>41</v>
      </c>
      <c r="L187" s="1"/>
    </row>
    <row r="188" spans="1:12" s="32" customFormat="1" hidden="1" x14ac:dyDescent="0.3">
      <c r="A188" s="37">
        <v>46141.480590277781</v>
      </c>
      <c r="B188" s="1" t="s">
        <v>37</v>
      </c>
      <c r="C188" s="1">
        <v>4433511515</v>
      </c>
      <c r="D188" s="1"/>
      <c r="E188" s="1">
        <v>72</v>
      </c>
      <c r="F188" s="1">
        <v>58</v>
      </c>
      <c r="G188" s="1" t="s">
        <v>38</v>
      </c>
      <c r="H188" s="1" t="s">
        <v>1837</v>
      </c>
      <c r="I188" s="1" t="s">
        <v>46</v>
      </c>
      <c r="J188" s="1" t="s">
        <v>40</v>
      </c>
      <c r="K188" s="1"/>
      <c r="L188" s="1"/>
    </row>
    <row r="189" spans="1:12" s="32" customFormat="1" hidden="1" x14ac:dyDescent="0.3">
      <c r="A189" s="37">
        <v>46141.478680555556</v>
      </c>
      <c r="B189" s="1">
        <v>44998620323</v>
      </c>
      <c r="C189" s="1" t="s">
        <v>43</v>
      </c>
      <c r="D189" s="1">
        <v>4430265054</v>
      </c>
      <c r="E189" s="1">
        <v>130</v>
      </c>
      <c r="F189" s="1">
        <v>80</v>
      </c>
      <c r="G189" s="1" t="s">
        <v>38</v>
      </c>
      <c r="H189" s="1" t="s">
        <v>1838</v>
      </c>
      <c r="I189" s="1" t="s">
        <v>39</v>
      </c>
      <c r="J189" s="1" t="s">
        <v>40</v>
      </c>
      <c r="K189" s="1" t="s">
        <v>41</v>
      </c>
      <c r="L189" s="1"/>
    </row>
    <row r="190" spans="1:12" s="32" customFormat="1" hidden="1" x14ac:dyDescent="0.3">
      <c r="A190" s="37">
        <v>46141.467581018522</v>
      </c>
      <c r="B190" s="1">
        <v>44997307457</v>
      </c>
      <c r="C190" s="1" t="s">
        <v>37</v>
      </c>
      <c r="D190" s="1">
        <v>4430265054</v>
      </c>
      <c r="E190" s="1">
        <v>663</v>
      </c>
      <c r="F190" s="1">
        <v>545</v>
      </c>
      <c r="G190" s="1" t="s">
        <v>38</v>
      </c>
      <c r="H190" s="1" t="s">
        <v>1839</v>
      </c>
      <c r="I190" s="1" t="s">
        <v>39</v>
      </c>
      <c r="J190" s="1" t="s">
        <v>40</v>
      </c>
      <c r="K190" s="1" t="s">
        <v>41</v>
      </c>
      <c r="L190" s="1"/>
    </row>
    <row r="191" spans="1:12" s="32" customFormat="1" hidden="1" x14ac:dyDescent="0.3">
      <c r="A191" s="37">
        <v>46141.459803240738</v>
      </c>
      <c r="B191" s="1" t="s">
        <v>48</v>
      </c>
      <c r="C191" s="1">
        <v>4436351414</v>
      </c>
      <c r="D191" s="1"/>
      <c r="E191" s="1">
        <v>70</v>
      </c>
      <c r="F191" s="1">
        <v>62</v>
      </c>
      <c r="G191" s="1" t="s">
        <v>38</v>
      </c>
      <c r="H191" s="1" t="s">
        <v>1840</v>
      </c>
      <c r="I191" s="1" t="s">
        <v>46</v>
      </c>
      <c r="J191" s="1" t="s">
        <v>40</v>
      </c>
      <c r="K191" s="1"/>
      <c r="L191" s="1"/>
    </row>
    <row r="192" spans="1:12" s="32" customFormat="1" hidden="1" x14ac:dyDescent="0.3">
      <c r="A192" s="37">
        <v>46141.459791666668</v>
      </c>
      <c r="B192" s="1" t="s">
        <v>48</v>
      </c>
      <c r="C192" s="1">
        <v>4436351414</v>
      </c>
      <c r="D192" s="1"/>
      <c r="E192" s="1">
        <v>0</v>
      </c>
      <c r="F192" s="1">
        <v>0</v>
      </c>
      <c r="G192" s="1" t="s">
        <v>47</v>
      </c>
      <c r="H192" s="1" t="s">
        <v>1841</v>
      </c>
      <c r="I192" s="1" t="s">
        <v>46</v>
      </c>
      <c r="J192" s="1" t="s">
        <v>40</v>
      </c>
      <c r="K192" s="1"/>
      <c r="L192" s="1"/>
    </row>
    <row r="193" spans="1:12" s="32" customFormat="1" hidden="1" x14ac:dyDescent="0.3">
      <c r="A193" s="37">
        <v>46141.458252314813</v>
      </c>
      <c r="B193" s="1">
        <v>44998656522</v>
      </c>
      <c r="C193" s="1" t="s">
        <v>37</v>
      </c>
      <c r="D193" s="1">
        <v>4430265054</v>
      </c>
      <c r="E193" s="1">
        <v>213</v>
      </c>
      <c r="F193" s="1">
        <v>191</v>
      </c>
      <c r="G193" s="1" t="s">
        <v>38</v>
      </c>
      <c r="H193" s="1" t="s">
        <v>1842</v>
      </c>
      <c r="I193" s="1" t="s">
        <v>39</v>
      </c>
      <c r="J193" s="1" t="s">
        <v>40</v>
      </c>
      <c r="K193" s="1" t="s">
        <v>41</v>
      </c>
      <c r="L193" s="1"/>
    </row>
    <row r="194" spans="1:12" s="32" customFormat="1" hidden="1" x14ac:dyDescent="0.3">
      <c r="A194" s="37">
        <v>46141.457465277781</v>
      </c>
      <c r="B194" s="1" t="s">
        <v>45</v>
      </c>
      <c r="C194" s="1">
        <v>91981481202</v>
      </c>
      <c r="D194" s="1"/>
      <c r="E194" s="1">
        <v>851</v>
      </c>
      <c r="F194" s="1">
        <v>842</v>
      </c>
      <c r="G194" s="1" t="s">
        <v>38</v>
      </c>
      <c r="H194" s="1" t="s">
        <v>1843</v>
      </c>
      <c r="I194" s="1" t="s">
        <v>46</v>
      </c>
      <c r="J194" s="1" t="s">
        <v>40</v>
      </c>
      <c r="K194" s="1"/>
      <c r="L194" s="1"/>
    </row>
    <row r="195" spans="1:12" s="32" customFormat="1" hidden="1" x14ac:dyDescent="0.3">
      <c r="A195" s="37">
        <v>46141.449907407405</v>
      </c>
      <c r="B195" s="1">
        <v>4121418115</v>
      </c>
      <c r="C195" s="1">
        <v>4531273156</v>
      </c>
      <c r="D195" s="1">
        <v>4531273156</v>
      </c>
      <c r="E195" s="1">
        <v>47</v>
      </c>
      <c r="F195" s="1">
        <v>46</v>
      </c>
      <c r="G195" s="1" t="s">
        <v>52</v>
      </c>
      <c r="H195" s="1" t="s">
        <v>1844</v>
      </c>
      <c r="I195" s="1" t="s">
        <v>39</v>
      </c>
      <c r="J195" s="1" t="s">
        <v>53</v>
      </c>
      <c r="K195" s="1" t="s">
        <v>41</v>
      </c>
      <c r="L195" s="1"/>
    </row>
    <row r="196" spans="1:12" s="32" customFormat="1" hidden="1" x14ac:dyDescent="0.3">
      <c r="A196" s="37">
        <v>46141.441504629627</v>
      </c>
      <c r="B196" s="1">
        <v>4436313773</v>
      </c>
      <c r="C196" s="1" t="s">
        <v>43</v>
      </c>
      <c r="D196" s="1">
        <v>4430265054</v>
      </c>
      <c r="E196" s="1">
        <v>146</v>
      </c>
      <c r="F196" s="1">
        <v>104</v>
      </c>
      <c r="G196" s="1" t="s">
        <v>38</v>
      </c>
      <c r="H196" s="1" t="s">
        <v>1845</v>
      </c>
      <c r="I196" s="1" t="s">
        <v>39</v>
      </c>
      <c r="J196" s="1" t="s">
        <v>40</v>
      </c>
      <c r="K196" s="1" t="s">
        <v>41</v>
      </c>
      <c r="L196" s="1"/>
    </row>
    <row r="197" spans="1:12" s="32" customFormat="1" hidden="1" x14ac:dyDescent="0.3">
      <c r="A197" s="37">
        <v>46141.440474537034</v>
      </c>
      <c r="B197" s="1">
        <v>3432424736</v>
      </c>
      <c r="C197" s="1" t="s">
        <v>45</v>
      </c>
      <c r="D197" s="1">
        <v>4430265054</v>
      </c>
      <c r="E197" s="1">
        <v>1211</v>
      </c>
      <c r="F197" s="1">
        <v>1155</v>
      </c>
      <c r="G197" s="1" t="s">
        <v>38</v>
      </c>
      <c r="H197" s="1" t="s">
        <v>1846</v>
      </c>
      <c r="I197" s="1" t="s">
        <v>39</v>
      </c>
      <c r="J197" s="1" t="s">
        <v>40</v>
      </c>
      <c r="K197" s="1" t="s">
        <v>41</v>
      </c>
      <c r="L197" s="1"/>
    </row>
    <row r="198" spans="1:12" s="32" customFormat="1" x14ac:dyDescent="0.3">
      <c r="A198" s="37">
        <v>46141.437951388885</v>
      </c>
      <c r="B198" s="1">
        <v>44999305301</v>
      </c>
      <c r="C198" s="1" t="s">
        <v>37</v>
      </c>
      <c r="D198" s="1">
        <v>4430265054</v>
      </c>
      <c r="E198" s="1">
        <v>235</v>
      </c>
      <c r="F198" s="1">
        <v>193</v>
      </c>
      <c r="G198" s="1" t="s">
        <v>38</v>
      </c>
      <c r="H198" s="1" t="s">
        <v>1847</v>
      </c>
      <c r="I198" s="1" t="s">
        <v>39</v>
      </c>
      <c r="J198" s="1" t="s">
        <v>40</v>
      </c>
      <c r="K198" s="1" t="s">
        <v>41</v>
      </c>
      <c r="L198" s="1">
        <v>5</v>
      </c>
    </row>
    <row r="199" spans="1:12" s="32" customFormat="1" hidden="1" x14ac:dyDescent="0.3">
      <c r="A199" s="37">
        <v>46141.436886574076</v>
      </c>
      <c r="B199" s="1">
        <v>44998437682</v>
      </c>
      <c r="C199" s="1" t="s">
        <v>44</v>
      </c>
      <c r="D199" s="1">
        <v>4430265054</v>
      </c>
      <c r="E199" s="1">
        <v>188</v>
      </c>
      <c r="F199" s="1">
        <v>111</v>
      </c>
      <c r="G199" s="1" t="s">
        <v>38</v>
      </c>
      <c r="H199" s="1" t="s">
        <v>1848</v>
      </c>
      <c r="I199" s="1" t="s">
        <v>39</v>
      </c>
      <c r="J199" s="1" t="s">
        <v>40</v>
      </c>
      <c r="K199" s="1" t="s">
        <v>41</v>
      </c>
      <c r="L199" s="1">
        <v>5</v>
      </c>
    </row>
    <row r="200" spans="1:12" s="32" customFormat="1" hidden="1" x14ac:dyDescent="0.3">
      <c r="A200" s="37">
        <v>46141.43074074074</v>
      </c>
      <c r="B200" s="1" t="s">
        <v>54</v>
      </c>
      <c r="C200" s="1">
        <v>88998047026</v>
      </c>
      <c r="D200" s="1"/>
      <c r="E200" s="1">
        <v>35</v>
      </c>
      <c r="F200" s="1">
        <v>14</v>
      </c>
      <c r="G200" s="1" t="s">
        <v>38</v>
      </c>
      <c r="H200" s="1" t="s">
        <v>1849</v>
      </c>
      <c r="I200" s="1" t="s">
        <v>46</v>
      </c>
      <c r="J200" s="1" t="s">
        <v>55</v>
      </c>
      <c r="K200" s="1"/>
      <c r="L200" s="1"/>
    </row>
    <row r="201" spans="1:12" s="32" customFormat="1" hidden="1" x14ac:dyDescent="0.3">
      <c r="A201" s="37">
        <v>46141.429097222222</v>
      </c>
      <c r="B201" s="1" t="s">
        <v>54</v>
      </c>
      <c r="C201" s="1">
        <v>6634986100</v>
      </c>
      <c r="D201" s="1"/>
      <c r="E201" s="1">
        <v>11</v>
      </c>
      <c r="F201" s="1">
        <v>7</v>
      </c>
      <c r="G201" s="1" t="s">
        <v>38</v>
      </c>
      <c r="H201" s="1" t="s">
        <v>1850</v>
      </c>
      <c r="I201" s="1" t="s">
        <v>46</v>
      </c>
      <c r="J201" s="1" t="s">
        <v>55</v>
      </c>
      <c r="K201" s="1"/>
      <c r="L201" s="1"/>
    </row>
    <row r="202" spans="1:12" s="32" customFormat="1" hidden="1" x14ac:dyDescent="0.3">
      <c r="A202" s="37">
        <v>46141.423715277779</v>
      </c>
      <c r="B202" s="1">
        <v>35998295948</v>
      </c>
      <c r="C202" s="1" t="s">
        <v>45</v>
      </c>
      <c r="D202" s="1">
        <v>4430265054</v>
      </c>
      <c r="E202" s="1">
        <v>209</v>
      </c>
      <c r="F202" s="1">
        <v>135</v>
      </c>
      <c r="G202" s="1" t="s">
        <v>38</v>
      </c>
      <c r="H202" s="1" t="s">
        <v>1851</v>
      </c>
      <c r="I202" s="1" t="s">
        <v>39</v>
      </c>
      <c r="J202" s="1" t="s">
        <v>40</v>
      </c>
      <c r="K202" s="1" t="s">
        <v>41</v>
      </c>
      <c r="L202" s="1"/>
    </row>
    <row r="203" spans="1:12" s="32" customFormat="1" x14ac:dyDescent="0.3">
      <c r="A203" s="37">
        <v>46141.421307870369</v>
      </c>
      <c r="B203" s="1">
        <v>44991116911</v>
      </c>
      <c r="C203" s="1" t="s">
        <v>37</v>
      </c>
      <c r="D203" s="1">
        <v>4430265054</v>
      </c>
      <c r="E203" s="1">
        <v>323</v>
      </c>
      <c r="F203" s="1">
        <v>247</v>
      </c>
      <c r="G203" s="1" t="s">
        <v>38</v>
      </c>
      <c r="H203" s="1" t="s">
        <v>1852</v>
      </c>
      <c r="I203" s="1" t="s">
        <v>39</v>
      </c>
      <c r="J203" s="1" t="s">
        <v>40</v>
      </c>
      <c r="K203" s="1" t="s">
        <v>41</v>
      </c>
      <c r="L203" s="1">
        <v>5</v>
      </c>
    </row>
    <row r="204" spans="1:12" s="32" customFormat="1" hidden="1" x14ac:dyDescent="0.3">
      <c r="A204" s="37">
        <v>46141.420624999999</v>
      </c>
      <c r="B204" s="1">
        <v>91981481202</v>
      </c>
      <c r="C204" s="1" t="s">
        <v>45</v>
      </c>
      <c r="D204" s="1">
        <v>4430265054</v>
      </c>
      <c r="E204" s="1">
        <v>129</v>
      </c>
      <c r="F204" s="1">
        <v>91</v>
      </c>
      <c r="G204" s="1" t="s">
        <v>38</v>
      </c>
      <c r="H204" s="1" t="s">
        <v>1853</v>
      </c>
      <c r="I204" s="1" t="s">
        <v>39</v>
      </c>
      <c r="J204" s="1" t="s">
        <v>40</v>
      </c>
      <c r="K204" s="1" t="s">
        <v>41</v>
      </c>
      <c r="L204" s="1"/>
    </row>
    <row r="205" spans="1:12" s="32" customFormat="1" hidden="1" x14ac:dyDescent="0.3">
      <c r="A205" s="37">
        <v>46141.413263888891</v>
      </c>
      <c r="B205" s="1">
        <v>6436133762</v>
      </c>
      <c r="C205" s="1">
        <v>4430265054</v>
      </c>
      <c r="D205" s="1">
        <v>4430265054</v>
      </c>
      <c r="E205" s="1">
        <v>9</v>
      </c>
      <c r="F205" s="1">
        <v>8</v>
      </c>
      <c r="G205" s="1" t="s">
        <v>52</v>
      </c>
      <c r="H205" s="1" t="s">
        <v>1854</v>
      </c>
      <c r="I205" s="1" t="s">
        <v>39</v>
      </c>
      <c r="J205" s="1" t="s">
        <v>53</v>
      </c>
      <c r="K205" s="1"/>
      <c r="L205" s="1"/>
    </row>
    <row r="206" spans="1:12" s="32" customFormat="1" hidden="1" x14ac:dyDescent="0.3">
      <c r="A206" s="37">
        <v>46141.411469907405</v>
      </c>
      <c r="B206" s="1">
        <v>44997456641</v>
      </c>
      <c r="C206" s="1" t="s">
        <v>44</v>
      </c>
      <c r="D206" s="1">
        <v>4430265054</v>
      </c>
      <c r="E206" s="1">
        <v>213</v>
      </c>
      <c r="F206" s="1">
        <v>194</v>
      </c>
      <c r="G206" s="1" t="s">
        <v>38</v>
      </c>
      <c r="H206" s="1" t="s">
        <v>1855</v>
      </c>
      <c r="I206" s="1" t="s">
        <v>39</v>
      </c>
      <c r="J206" s="1" t="s">
        <v>40</v>
      </c>
      <c r="K206" s="1" t="s">
        <v>41</v>
      </c>
      <c r="L206" s="1">
        <v>5</v>
      </c>
    </row>
    <row r="207" spans="1:12" s="32" customFormat="1" hidden="1" x14ac:dyDescent="0.3">
      <c r="A207" s="37">
        <v>46141.409849537034</v>
      </c>
      <c r="B207" s="1" t="s">
        <v>37</v>
      </c>
      <c r="C207" s="1">
        <v>4436311970</v>
      </c>
      <c r="D207" s="1"/>
      <c r="E207" s="1">
        <v>64</v>
      </c>
      <c r="F207" s="1">
        <v>55</v>
      </c>
      <c r="G207" s="1" t="s">
        <v>38</v>
      </c>
      <c r="H207" s="1" t="s">
        <v>1856</v>
      </c>
      <c r="I207" s="1" t="s">
        <v>46</v>
      </c>
      <c r="J207" s="1" t="s">
        <v>40</v>
      </c>
      <c r="K207" s="1"/>
      <c r="L207" s="1"/>
    </row>
    <row r="208" spans="1:12" s="32" customFormat="1" hidden="1" x14ac:dyDescent="0.3">
      <c r="A208" s="37">
        <v>46141.409641203703</v>
      </c>
      <c r="B208" s="1">
        <v>44991174709</v>
      </c>
      <c r="C208" s="1" t="s">
        <v>43</v>
      </c>
      <c r="D208" s="1">
        <v>4430265054</v>
      </c>
      <c r="E208" s="1">
        <v>1221</v>
      </c>
      <c r="F208" s="1">
        <v>1185</v>
      </c>
      <c r="G208" s="1" t="s">
        <v>38</v>
      </c>
      <c r="H208" s="1" t="s">
        <v>1857</v>
      </c>
      <c r="I208" s="1" t="s">
        <v>39</v>
      </c>
      <c r="J208" s="1" t="s">
        <v>40</v>
      </c>
      <c r="K208" s="1" t="s">
        <v>41</v>
      </c>
      <c r="L208" s="1">
        <v>5</v>
      </c>
    </row>
    <row r="209" spans="1:12" s="32" customFormat="1" hidden="1" x14ac:dyDescent="0.3">
      <c r="A209" s="37">
        <v>46141.408136574071</v>
      </c>
      <c r="B209" s="1">
        <v>44997650834</v>
      </c>
      <c r="C209" s="1" t="s">
        <v>45</v>
      </c>
      <c r="D209" s="1">
        <v>4430265054</v>
      </c>
      <c r="E209" s="1">
        <v>200</v>
      </c>
      <c r="F209" s="1">
        <v>173</v>
      </c>
      <c r="G209" s="1" t="s">
        <v>38</v>
      </c>
      <c r="H209" s="1" t="s">
        <v>1858</v>
      </c>
      <c r="I209" s="1" t="s">
        <v>39</v>
      </c>
      <c r="J209" s="1" t="s">
        <v>40</v>
      </c>
      <c r="K209" s="1" t="s">
        <v>41</v>
      </c>
      <c r="L209" s="1"/>
    </row>
    <row r="210" spans="1:12" s="32" customFormat="1" hidden="1" x14ac:dyDescent="0.3">
      <c r="A210" s="37">
        <v>46141.405543981484</v>
      </c>
      <c r="B210" s="1">
        <v>44997561804</v>
      </c>
      <c r="C210" s="1" t="s">
        <v>43</v>
      </c>
      <c r="D210" s="1">
        <v>4430265054</v>
      </c>
      <c r="E210" s="1">
        <v>367</v>
      </c>
      <c r="F210" s="1">
        <v>346</v>
      </c>
      <c r="G210" s="1" t="s">
        <v>38</v>
      </c>
      <c r="H210" s="1" t="s">
        <v>1859</v>
      </c>
      <c r="I210" s="1" t="s">
        <v>39</v>
      </c>
      <c r="J210" s="1" t="s">
        <v>40</v>
      </c>
      <c r="K210" s="1" t="s">
        <v>41</v>
      </c>
      <c r="L210" s="1">
        <v>5</v>
      </c>
    </row>
    <row r="211" spans="1:12" s="32" customFormat="1" hidden="1" x14ac:dyDescent="0.3">
      <c r="A211" s="37">
        <v>46141.402731481481</v>
      </c>
      <c r="B211" s="1">
        <v>44998620323</v>
      </c>
      <c r="C211" s="1" t="s">
        <v>45</v>
      </c>
      <c r="D211" s="1">
        <v>4430265054</v>
      </c>
      <c r="E211" s="1">
        <v>175</v>
      </c>
      <c r="F211" s="1">
        <v>147</v>
      </c>
      <c r="G211" s="1" t="s">
        <v>38</v>
      </c>
      <c r="H211" s="1" t="s">
        <v>1860</v>
      </c>
      <c r="I211" s="1" t="s">
        <v>39</v>
      </c>
      <c r="J211" s="1" t="s">
        <v>40</v>
      </c>
      <c r="K211" s="1" t="s">
        <v>41</v>
      </c>
      <c r="L211" s="1"/>
    </row>
    <row r="212" spans="1:12" s="32" customFormat="1" hidden="1" x14ac:dyDescent="0.3">
      <c r="A212" s="37">
        <v>46141.400879629633</v>
      </c>
      <c r="B212" s="1">
        <v>44997456641</v>
      </c>
      <c r="C212" s="1" t="s">
        <v>44</v>
      </c>
      <c r="D212" s="1">
        <v>4430265054</v>
      </c>
      <c r="E212" s="1">
        <v>211</v>
      </c>
      <c r="F212" s="1">
        <v>160</v>
      </c>
      <c r="G212" s="1" t="s">
        <v>38</v>
      </c>
      <c r="H212" s="1" t="s">
        <v>1861</v>
      </c>
      <c r="I212" s="1" t="s">
        <v>39</v>
      </c>
      <c r="J212" s="1" t="s">
        <v>40</v>
      </c>
      <c r="K212" s="1" t="s">
        <v>41</v>
      </c>
      <c r="L212" s="1"/>
    </row>
    <row r="213" spans="1:12" s="32" customFormat="1" hidden="1" x14ac:dyDescent="0.3">
      <c r="A213" s="37">
        <v>46141.399293981478</v>
      </c>
      <c r="B213" s="1" t="s">
        <v>37</v>
      </c>
      <c r="C213" s="1">
        <v>4436311970</v>
      </c>
      <c r="D213" s="1"/>
      <c r="E213" s="1">
        <v>885</v>
      </c>
      <c r="F213" s="1">
        <v>877</v>
      </c>
      <c r="G213" s="1" t="s">
        <v>38</v>
      </c>
      <c r="H213" s="1" t="s">
        <v>1862</v>
      </c>
      <c r="I213" s="1" t="s">
        <v>46</v>
      </c>
      <c r="J213" s="1" t="s">
        <v>40</v>
      </c>
      <c r="K213" s="1"/>
      <c r="L213" s="1">
        <v>5</v>
      </c>
    </row>
    <row r="214" spans="1:12" s="32" customFormat="1" hidden="1" x14ac:dyDescent="0.3">
      <c r="A214" s="37">
        <v>46141.396562499998</v>
      </c>
      <c r="B214" s="1" t="s">
        <v>37</v>
      </c>
      <c r="C214" s="1">
        <v>4433231120</v>
      </c>
      <c r="D214" s="1"/>
      <c r="E214" s="1">
        <v>192</v>
      </c>
      <c r="F214" s="1">
        <v>176</v>
      </c>
      <c r="G214" s="1" t="s">
        <v>38</v>
      </c>
      <c r="H214" s="1" t="s">
        <v>1863</v>
      </c>
      <c r="I214" s="1" t="s">
        <v>46</v>
      </c>
      <c r="J214" s="1" t="s">
        <v>40</v>
      </c>
      <c r="K214" s="1"/>
      <c r="L214" s="1"/>
    </row>
    <row r="215" spans="1:12" s="32" customFormat="1" hidden="1" x14ac:dyDescent="0.3">
      <c r="A215" s="37">
        <v>46141.392048611109</v>
      </c>
      <c r="B215" s="1">
        <v>6234347959</v>
      </c>
      <c r="C215" s="1" t="s">
        <v>43</v>
      </c>
      <c r="D215" s="1">
        <v>4430265054</v>
      </c>
      <c r="E215" s="1">
        <v>694</v>
      </c>
      <c r="F215" s="1">
        <v>682</v>
      </c>
      <c r="G215" s="1" t="s">
        <v>38</v>
      </c>
      <c r="H215" s="1" t="s">
        <v>1864</v>
      </c>
      <c r="I215" s="1" t="s">
        <v>39</v>
      </c>
      <c r="J215" s="1" t="s">
        <v>40</v>
      </c>
      <c r="K215" s="1" t="s">
        <v>41</v>
      </c>
      <c r="L215" s="1">
        <v>5</v>
      </c>
    </row>
    <row r="216" spans="1:12" s="32" customFormat="1" hidden="1" x14ac:dyDescent="0.3">
      <c r="A216" s="37">
        <v>46141.388483796298</v>
      </c>
      <c r="B216" s="1">
        <v>44988067937</v>
      </c>
      <c r="C216" s="1" t="s">
        <v>44</v>
      </c>
      <c r="D216" s="1">
        <v>4430265054</v>
      </c>
      <c r="E216" s="1">
        <v>198</v>
      </c>
      <c r="F216" s="1">
        <v>104</v>
      </c>
      <c r="G216" s="1" t="s">
        <v>38</v>
      </c>
      <c r="H216" s="1" t="s">
        <v>1865</v>
      </c>
      <c r="I216" s="1" t="s">
        <v>39</v>
      </c>
      <c r="J216" s="1" t="s">
        <v>40</v>
      </c>
      <c r="K216" s="1" t="s">
        <v>41</v>
      </c>
      <c r="L216" s="1"/>
    </row>
    <row r="217" spans="1:12" s="32" customFormat="1" x14ac:dyDescent="0.3">
      <c r="A217" s="37">
        <v>46141.384710648148</v>
      </c>
      <c r="B217" s="1">
        <v>4133491428</v>
      </c>
      <c r="C217" s="1" t="s">
        <v>37</v>
      </c>
      <c r="D217" s="1">
        <v>4430265054</v>
      </c>
      <c r="E217" s="1">
        <v>693</v>
      </c>
      <c r="F217" s="1">
        <v>622</v>
      </c>
      <c r="G217" s="1" t="s">
        <v>38</v>
      </c>
      <c r="H217" s="1" t="s">
        <v>1866</v>
      </c>
      <c r="I217" s="1" t="s">
        <v>39</v>
      </c>
      <c r="J217" s="1" t="s">
        <v>40</v>
      </c>
      <c r="K217" s="1" t="s">
        <v>41</v>
      </c>
      <c r="L217" s="1">
        <v>5</v>
      </c>
    </row>
    <row r="218" spans="1:12" s="32" customFormat="1" hidden="1" x14ac:dyDescent="0.3">
      <c r="A218" s="37">
        <v>46141.38144675926</v>
      </c>
      <c r="B218" s="1">
        <v>4330333558</v>
      </c>
      <c r="C218" s="1" t="s">
        <v>45</v>
      </c>
      <c r="D218" s="1">
        <v>4430265054</v>
      </c>
      <c r="E218" s="1">
        <v>782</v>
      </c>
      <c r="F218" s="1">
        <v>752</v>
      </c>
      <c r="G218" s="1" t="s">
        <v>38</v>
      </c>
      <c r="H218" s="1" t="s">
        <v>1867</v>
      </c>
      <c r="I218" s="1" t="s">
        <v>39</v>
      </c>
      <c r="J218" s="1" t="s">
        <v>40</v>
      </c>
      <c r="K218" s="1" t="s">
        <v>41</v>
      </c>
      <c r="L218" s="1">
        <v>5</v>
      </c>
    </row>
    <row r="219" spans="1:12" s="32" customFormat="1" hidden="1" x14ac:dyDescent="0.3">
      <c r="A219" s="37">
        <v>46141.37703703704</v>
      </c>
      <c r="B219" s="1">
        <v>4430318515</v>
      </c>
      <c r="C219" s="1" t="s">
        <v>43</v>
      </c>
      <c r="D219" s="1">
        <v>4430265054</v>
      </c>
      <c r="E219" s="1">
        <v>936</v>
      </c>
      <c r="F219" s="1">
        <v>896</v>
      </c>
      <c r="G219" s="1" t="s">
        <v>38</v>
      </c>
      <c r="H219" s="1" t="s">
        <v>1868</v>
      </c>
      <c r="I219" s="1" t="s">
        <v>39</v>
      </c>
      <c r="J219" s="1" t="s">
        <v>40</v>
      </c>
      <c r="K219" s="1" t="s">
        <v>41</v>
      </c>
      <c r="L219" s="1"/>
    </row>
    <row r="220" spans="1:12" s="32" customFormat="1" hidden="1" x14ac:dyDescent="0.3">
      <c r="A220" s="37">
        <v>46141.376979166664</v>
      </c>
      <c r="B220" s="1" t="s">
        <v>37</v>
      </c>
      <c r="C220" s="1">
        <v>4532541802</v>
      </c>
      <c r="D220" s="1"/>
      <c r="E220" s="1">
        <v>140</v>
      </c>
      <c r="F220" s="1">
        <v>139</v>
      </c>
      <c r="G220" s="1" t="s">
        <v>38</v>
      </c>
      <c r="H220" s="1" t="s">
        <v>1869</v>
      </c>
      <c r="I220" s="1" t="s">
        <v>46</v>
      </c>
      <c r="J220" s="1" t="s">
        <v>40</v>
      </c>
      <c r="K220" s="1"/>
      <c r="L220" s="1"/>
    </row>
    <row r="221" spans="1:12" s="32" customFormat="1" hidden="1" x14ac:dyDescent="0.3">
      <c r="A221" s="37">
        <v>46141.375856481478</v>
      </c>
      <c r="B221" s="1" t="s">
        <v>44</v>
      </c>
      <c r="C221" s="1">
        <v>4430266599</v>
      </c>
      <c r="D221" s="1"/>
      <c r="E221" s="1">
        <v>25</v>
      </c>
      <c r="F221" s="1">
        <v>25</v>
      </c>
      <c r="G221" s="1" t="s">
        <v>38</v>
      </c>
      <c r="H221" s="1" t="s">
        <v>1870</v>
      </c>
      <c r="I221" s="1" t="s">
        <v>46</v>
      </c>
      <c r="J221" s="1" t="s">
        <v>40</v>
      </c>
      <c r="K221" s="1"/>
      <c r="L221" s="1"/>
    </row>
    <row r="222" spans="1:12" s="32" customFormat="1" hidden="1" x14ac:dyDescent="0.3">
      <c r="A222" s="37">
        <v>46141.37568287037</v>
      </c>
      <c r="B222" s="1" t="s">
        <v>44</v>
      </c>
      <c r="C222" s="1">
        <v>4430266599</v>
      </c>
      <c r="D222" s="1"/>
      <c r="E222" s="1">
        <v>8</v>
      </c>
      <c r="F222" s="1">
        <v>0</v>
      </c>
      <c r="G222" s="1" t="s">
        <v>47</v>
      </c>
      <c r="H222" s="1" t="s">
        <v>1871</v>
      </c>
      <c r="I222" s="1" t="s">
        <v>46</v>
      </c>
      <c r="J222" s="1" t="s">
        <v>40</v>
      </c>
      <c r="K222" s="1"/>
      <c r="L222" s="1"/>
    </row>
    <row r="223" spans="1:12" s="32" customFormat="1" hidden="1" x14ac:dyDescent="0.3">
      <c r="A223" s="37">
        <v>46141.375543981485</v>
      </c>
      <c r="B223" s="1" t="s">
        <v>44</v>
      </c>
      <c r="C223" s="1">
        <v>4430266599</v>
      </c>
      <c r="D223" s="1"/>
      <c r="E223" s="1">
        <v>9</v>
      </c>
      <c r="F223" s="1">
        <v>0</v>
      </c>
      <c r="G223" s="1" t="s">
        <v>47</v>
      </c>
      <c r="H223" s="1" t="s">
        <v>1872</v>
      </c>
      <c r="I223" s="1" t="s">
        <v>46</v>
      </c>
      <c r="J223" s="1" t="s">
        <v>40</v>
      </c>
      <c r="K223" s="1"/>
      <c r="L223" s="1"/>
    </row>
    <row r="224" spans="1:12" s="32" customFormat="1" hidden="1" x14ac:dyDescent="0.3">
      <c r="A224" s="37">
        <v>46141.373356481483</v>
      </c>
      <c r="B224" s="1" t="s">
        <v>37</v>
      </c>
      <c r="C224" s="1">
        <v>4435223408</v>
      </c>
      <c r="D224" s="1"/>
      <c r="E224" s="1">
        <v>182</v>
      </c>
      <c r="F224" s="1">
        <v>167</v>
      </c>
      <c r="G224" s="1" t="s">
        <v>38</v>
      </c>
      <c r="H224" s="1" t="s">
        <v>1873</v>
      </c>
      <c r="I224" s="1" t="s">
        <v>46</v>
      </c>
      <c r="J224" s="1" t="s">
        <v>40</v>
      </c>
      <c r="K224" s="1"/>
      <c r="L224" s="1"/>
    </row>
    <row r="225" spans="1:12" s="32" customFormat="1" hidden="1" x14ac:dyDescent="0.3">
      <c r="A225" s="37">
        <v>46141.372164351851</v>
      </c>
      <c r="B225" s="1">
        <v>44998046835</v>
      </c>
      <c r="C225" s="1">
        <v>4430265054</v>
      </c>
      <c r="D225" s="1">
        <v>4430265054</v>
      </c>
      <c r="E225" s="1">
        <v>9</v>
      </c>
      <c r="F225" s="1">
        <v>9</v>
      </c>
      <c r="G225" s="1" t="s">
        <v>52</v>
      </c>
      <c r="H225" s="1" t="s">
        <v>1874</v>
      </c>
      <c r="I225" s="1" t="s">
        <v>39</v>
      </c>
      <c r="J225" s="1" t="s">
        <v>53</v>
      </c>
      <c r="K225" s="1"/>
      <c r="L225" s="1"/>
    </row>
    <row r="226" spans="1:12" s="32" customFormat="1" hidden="1" x14ac:dyDescent="0.3">
      <c r="A226" s="37">
        <v>46141.356342592589</v>
      </c>
      <c r="B226" s="1">
        <v>4430141533</v>
      </c>
      <c r="C226" s="1" t="s">
        <v>43</v>
      </c>
      <c r="D226" s="1">
        <v>4430265054</v>
      </c>
      <c r="E226" s="1">
        <v>265</v>
      </c>
      <c r="F226" s="1">
        <v>170</v>
      </c>
      <c r="G226" s="1" t="s">
        <v>38</v>
      </c>
      <c r="H226" s="1" t="s">
        <v>1875</v>
      </c>
      <c r="I226" s="1" t="s">
        <v>39</v>
      </c>
      <c r="J226" s="1" t="s">
        <v>40</v>
      </c>
      <c r="K226" s="1" t="s">
        <v>41</v>
      </c>
      <c r="L226" s="1">
        <v>5</v>
      </c>
    </row>
    <row r="227" spans="1:12" s="32" customFormat="1" hidden="1" x14ac:dyDescent="0.3">
      <c r="A227" s="37">
        <v>46141.344027777777</v>
      </c>
      <c r="B227" s="1" t="s">
        <v>48</v>
      </c>
      <c r="C227" s="1">
        <v>4430256607</v>
      </c>
      <c r="D227" s="1"/>
      <c r="E227" s="1">
        <v>589</v>
      </c>
      <c r="F227" s="1">
        <v>578</v>
      </c>
      <c r="G227" s="1" t="s">
        <v>38</v>
      </c>
      <c r="H227" s="1" t="s">
        <v>1876</v>
      </c>
      <c r="I227" s="1" t="s">
        <v>46</v>
      </c>
      <c r="J227" s="1" t="s">
        <v>40</v>
      </c>
      <c r="K227" s="1"/>
      <c r="L227" s="1"/>
    </row>
    <row r="228" spans="1:12" s="32" customFormat="1" hidden="1" x14ac:dyDescent="0.3">
      <c r="A228" s="37">
        <v>46140.735578703701</v>
      </c>
      <c r="B228" s="1" t="s">
        <v>50</v>
      </c>
      <c r="C228" s="1" t="s">
        <v>57</v>
      </c>
      <c r="D228" s="1"/>
      <c r="E228" s="1">
        <v>124</v>
      </c>
      <c r="F228" s="1">
        <v>119</v>
      </c>
      <c r="G228" s="1" t="s">
        <v>38</v>
      </c>
      <c r="H228" s="1" t="s">
        <v>1877</v>
      </c>
      <c r="I228" s="1" t="s">
        <v>51</v>
      </c>
      <c r="J228" s="1" t="s">
        <v>55</v>
      </c>
      <c r="K228" s="1"/>
      <c r="L228" s="1"/>
    </row>
    <row r="229" spans="1:12" s="32" customFormat="1" hidden="1" x14ac:dyDescent="0.3">
      <c r="A229" s="37">
        <v>46140.714837962965</v>
      </c>
      <c r="B229" s="1">
        <v>4430450103</v>
      </c>
      <c r="C229" s="1" t="s">
        <v>44</v>
      </c>
      <c r="D229" s="1">
        <v>4430265054</v>
      </c>
      <c r="E229" s="1">
        <v>273</v>
      </c>
      <c r="F229" s="1">
        <v>188</v>
      </c>
      <c r="G229" s="1" t="s">
        <v>38</v>
      </c>
      <c r="H229" s="1" t="s">
        <v>1878</v>
      </c>
      <c r="I229" s="1" t="s">
        <v>39</v>
      </c>
      <c r="J229" s="1" t="s">
        <v>40</v>
      </c>
      <c r="K229" s="1" t="s">
        <v>41</v>
      </c>
      <c r="L229" s="1">
        <v>5</v>
      </c>
    </row>
    <row r="230" spans="1:12" s="32" customFormat="1" hidden="1" x14ac:dyDescent="0.3">
      <c r="A230" s="37">
        <v>46140.710393518515</v>
      </c>
      <c r="B230" s="1">
        <v>11925458663</v>
      </c>
      <c r="C230" s="1" t="s">
        <v>43</v>
      </c>
      <c r="D230" s="1">
        <v>4430265054</v>
      </c>
      <c r="E230" s="1">
        <v>1370</v>
      </c>
      <c r="F230" s="1">
        <v>1353</v>
      </c>
      <c r="G230" s="1" t="s">
        <v>38</v>
      </c>
      <c r="H230" s="1" t="s">
        <v>1879</v>
      </c>
      <c r="I230" s="1" t="s">
        <v>39</v>
      </c>
      <c r="J230" s="1" t="s">
        <v>40</v>
      </c>
      <c r="K230" s="1" t="s">
        <v>41</v>
      </c>
      <c r="L230" s="1"/>
    </row>
    <row r="231" spans="1:12" s="32" customFormat="1" hidden="1" x14ac:dyDescent="0.3">
      <c r="A231" s="37">
        <v>46140.710011574076</v>
      </c>
      <c r="B231" s="1" t="s">
        <v>50</v>
      </c>
      <c r="C231" s="1">
        <v>4430256607</v>
      </c>
      <c r="D231" s="1"/>
      <c r="E231" s="1">
        <v>108</v>
      </c>
      <c r="F231" s="1">
        <v>78</v>
      </c>
      <c r="G231" s="1" t="s">
        <v>38</v>
      </c>
      <c r="H231" s="1" t="s">
        <v>1880</v>
      </c>
      <c r="I231" s="1" t="s">
        <v>46</v>
      </c>
      <c r="J231" s="1" t="s">
        <v>55</v>
      </c>
      <c r="K231" s="1"/>
      <c r="L231" s="1"/>
    </row>
    <row r="232" spans="1:12" s="32" customFormat="1" hidden="1" x14ac:dyDescent="0.3">
      <c r="A232" s="37">
        <v>46140.709548611114</v>
      </c>
      <c r="B232" s="1" t="s">
        <v>43</v>
      </c>
      <c r="C232" s="1">
        <v>11925458663</v>
      </c>
      <c r="D232" s="1"/>
      <c r="E232" s="1">
        <v>5</v>
      </c>
      <c r="F232" s="1">
        <v>0</v>
      </c>
      <c r="G232" s="1" t="s">
        <v>47</v>
      </c>
      <c r="H232" s="1" t="s">
        <v>1881</v>
      </c>
      <c r="I232" s="1" t="s">
        <v>46</v>
      </c>
      <c r="J232" s="1" t="s">
        <v>40</v>
      </c>
      <c r="K232" s="1"/>
      <c r="L232" s="1"/>
    </row>
    <row r="233" spans="1:12" s="32" customFormat="1" hidden="1" x14ac:dyDescent="0.3">
      <c r="A233" s="37">
        <v>46140.707986111112</v>
      </c>
      <c r="B233" s="1" t="s">
        <v>43</v>
      </c>
      <c r="C233" s="1">
        <v>11925458663</v>
      </c>
      <c r="D233" s="1"/>
      <c r="E233" s="1">
        <v>4</v>
      </c>
      <c r="F233" s="1">
        <v>0</v>
      </c>
      <c r="G233" s="1" t="s">
        <v>47</v>
      </c>
      <c r="H233" s="1" t="s">
        <v>1882</v>
      </c>
      <c r="I233" s="1" t="s">
        <v>46</v>
      </c>
      <c r="J233" s="1" t="s">
        <v>40</v>
      </c>
      <c r="K233" s="1"/>
      <c r="L233" s="1"/>
    </row>
    <row r="234" spans="1:12" s="32" customFormat="1" hidden="1" x14ac:dyDescent="0.3">
      <c r="A234" s="37">
        <v>46140.706782407404</v>
      </c>
      <c r="B234" s="1">
        <v>4430289386</v>
      </c>
      <c r="C234" s="1" t="s">
        <v>48</v>
      </c>
      <c r="D234" s="1">
        <v>4430265054</v>
      </c>
      <c r="E234" s="1">
        <v>195</v>
      </c>
      <c r="F234" s="1">
        <v>71</v>
      </c>
      <c r="G234" s="1" t="s">
        <v>38</v>
      </c>
      <c r="H234" s="1" t="s">
        <v>1883</v>
      </c>
      <c r="I234" s="1" t="s">
        <v>39</v>
      </c>
      <c r="J234" s="1" t="s">
        <v>40</v>
      </c>
      <c r="K234" s="1" t="s">
        <v>41</v>
      </c>
      <c r="L234" s="1"/>
    </row>
    <row r="235" spans="1:12" s="32" customFormat="1" hidden="1" x14ac:dyDescent="0.3">
      <c r="A235" s="37">
        <v>46140.704918981479</v>
      </c>
      <c r="B235" s="1">
        <v>91981481202</v>
      </c>
      <c r="C235" s="1" t="s">
        <v>45</v>
      </c>
      <c r="D235" s="1">
        <v>4430265054</v>
      </c>
      <c r="E235" s="1">
        <v>1286</v>
      </c>
      <c r="F235" s="1">
        <v>1095</v>
      </c>
      <c r="G235" s="1" t="s">
        <v>38</v>
      </c>
      <c r="H235" s="1" t="s">
        <v>1884</v>
      </c>
      <c r="I235" s="1" t="s">
        <v>39</v>
      </c>
      <c r="J235" s="1" t="s">
        <v>40</v>
      </c>
      <c r="K235" s="1" t="s">
        <v>41</v>
      </c>
      <c r="L235" s="1"/>
    </row>
    <row r="236" spans="1:12" s="32" customFormat="1" hidden="1" x14ac:dyDescent="0.3">
      <c r="A236" s="37">
        <v>46140.69190972222</v>
      </c>
      <c r="B236" s="1" t="s">
        <v>54</v>
      </c>
      <c r="C236" s="1">
        <v>11955554004</v>
      </c>
      <c r="D236" s="1"/>
      <c r="E236" s="1">
        <v>7</v>
      </c>
      <c r="F236" s="1">
        <v>4</v>
      </c>
      <c r="G236" s="1" t="s">
        <v>38</v>
      </c>
      <c r="H236" s="1" t="s">
        <v>1885</v>
      </c>
      <c r="I236" s="1" t="s">
        <v>46</v>
      </c>
      <c r="J236" s="1" t="s">
        <v>55</v>
      </c>
      <c r="K236" s="1"/>
      <c r="L236" s="1"/>
    </row>
    <row r="237" spans="1:12" s="32" customFormat="1" hidden="1" x14ac:dyDescent="0.3">
      <c r="A237" s="37">
        <v>46140.689212962963</v>
      </c>
      <c r="B237" s="1" t="s">
        <v>43</v>
      </c>
      <c r="C237" s="1">
        <v>1131043888</v>
      </c>
      <c r="D237" s="1"/>
      <c r="E237" s="1">
        <v>143</v>
      </c>
      <c r="F237" s="1">
        <v>142</v>
      </c>
      <c r="G237" s="1" t="s">
        <v>38</v>
      </c>
      <c r="H237" s="1" t="s">
        <v>1886</v>
      </c>
      <c r="I237" s="1" t="s">
        <v>46</v>
      </c>
      <c r="J237" s="1" t="s">
        <v>40</v>
      </c>
      <c r="K237" s="1"/>
      <c r="L237" s="1">
        <v>5</v>
      </c>
    </row>
    <row r="238" spans="1:12" s="32" customFormat="1" hidden="1" x14ac:dyDescent="0.3">
      <c r="A238" s="37">
        <v>46140.689004629632</v>
      </c>
      <c r="B238" s="1" t="s">
        <v>43</v>
      </c>
      <c r="C238" s="1">
        <v>1131043888</v>
      </c>
      <c r="D238" s="1"/>
      <c r="E238" s="1">
        <v>32</v>
      </c>
      <c r="F238" s="1">
        <v>31</v>
      </c>
      <c r="G238" s="1" t="s">
        <v>38</v>
      </c>
      <c r="H238" s="1" t="s">
        <v>1887</v>
      </c>
      <c r="I238" s="1" t="s">
        <v>46</v>
      </c>
      <c r="J238" s="1" t="s">
        <v>40</v>
      </c>
      <c r="K238" s="1"/>
      <c r="L238" s="1"/>
    </row>
    <row r="239" spans="1:12" s="32" customFormat="1" hidden="1" x14ac:dyDescent="0.3">
      <c r="A239" s="37">
        <v>46140.684895833336</v>
      </c>
      <c r="B239" s="1">
        <v>44988067937</v>
      </c>
      <c r="C239" s="1">
        <v>4430265054</v>
      </c>
      <c r="D239" s="1">
        <v>4430265054</v>
      </c>
      <c r="E239" s="1">
        <v>1</v>
      </c>
      <c r="F239" s="1">
        <v>0</v>
      </c>
      <c r="G239" s="1" t="s">
        <v>47</v>
      </c>
      <c r="H239" s="1" t="s">
        <v>1888</v>
      </c>
      <c r="I239" s="1" t="s">
        <v>39</v>
      </c>
      <c r="J239" s="1" t="s">
        <v>53</v>
      </c>
      <c r="K239" s="1"/>
      <c r="L239" s="1"/>
    </row>
    <row r="240" spans="1:12" s="32" customFormat="1" hidden="1" x14ac:dyDescent="0.3">
      <c r="A240" s="37">
        <v>46140.676504629628</v>
      </c>
      <c r="B240" s="1" t="s">
        <v>54</v>
      </c>
      <c r="C240" s="1">
        <v>21969482594</v>
      </c>
      <c r="D240" s="1"/>
      <c r="E240" s="1">
        <v>10</v>
      </c>
      <c r="F240" s="1">
        <v>0</v>
      </c>
      <c r="G240" s="1" t="s">
        <v>47</v>
      </c>
      <c r="H240" s="1" t="s">
        <v>1889</v>
      </c>
      <c r="I240" s="1" t="s">
        <v>46</v>
      </c>
      <c r="J240" s="1" t="s">
        <v>55</v>
      </c>
      <c r="K240" s="1"/>
      <c r="L240" s="1"/>
    </row>
    <row r="241" spans="1:12" s="32" customFormat="1" hidden="1" x14ac:dyDescent="0.3">
      <c r="A241" s="37">
        <v>46140.669189814813</v>
      </c>
      <c r="B241" s="1">
        <v>1128787060</v>
      </c>
      <c r="C241" s="1" t="s">
        <v>48</v>
      </c>
      <c r="D241" s="1">
        <v>4430265054</v>
      </c>
      <c r="E241" s="1">
        <v>454</v>
      </c>
      <c r="F241" s="1">
        <v>453</v>
      </c>
      <c r="G241" s="1" t="s">
        <v>38</v>
      </c>
      <c r="H241" s="1" t="s">
        <v>1890</v>
      </c>
      <c r="I241" s="1" t="s">
        <v>39</v>
      </c>
      <c r="J241" s="1" t="s">
        <v>40</v>
      </c>
      <c r="K241" s="1" t="s">
        <v>41</v>
      </c>
      <c r="L241" s="1"/>
    </row>
    <row r="242" spans="1:12" s="32" customFormat="1" hidden="1" x14ac:dyDescent="0.3">
      <c r="A242" s="37">
        <v>46140.669085648151</v>
      </c>
      <c r="B242" s="1" t="s">
        <v>54</v>
      </c>
      <c r="C242" s="1">
        <v>2121487958</v>
      </c>
      <c r="D242" s="1"/>
      <c r="E242" s="1">
        <v>18</v>
      </c>
      <c r="F242" s="1">
        <v>0</v>
      </c>
      <c r="G242" s="1" t="s">
        <v>47</v>
      </c>
      <c r="H242" s="1" t="s">
        <v>1891</v>
      </c>
      <c r="I242" s="1" t="s">
        <v>46</v>
      </c>
      <c r="J242" s="1" t="s">
        <v>55</v>
      </c>
      <c r="K242" s="1"/>
      <c r="L242" s="1"/>
    </row>
    <row r="243" spans="1:12" s="32" customFormat="1" hidden="1" x14ac:dyDescent="0.3">
      <c r="A243" s="37">
        <v>46140.667824074073</v>
      </c>
      <c r="B243" s="1">
        <v>44991116911</v>
      </c>
      <c r="C243" s="1" t="s">
        <v>43</v>
      </c>
      <c r="D243" s="1">
        <v>4430265054</v>
      </c>
      <c r="E243" s="1">
        <v>498</v>
      </c>
      <c r="F243" s="1">
        <v>341</v>
      </c>
      <c r="G243" s="1" t="s">
        <v>38</v>
      </c>
      <c r="H243" s="1" t="s">
        <v>1892</v>
      </c>
      <c r="I243" s="1" t="s">
        <v>39</v>
      </c>
      <c r="J243" s="1" t="s">
        <v>40</v>
      </c>
      <c r="K243" s="1" t="s">
        <v>41</v>
      </c>
      <c r="L243" s="1"/>
    </row>
    <row r="244" spans="1:12" s="32" customFormat="1" hidden="1" x14ac:dyDescent="0.3">
      <c r="A244" s="37">
        <v>46140.666921296295</v>
      </c>
      <c r="B244" s="1">
        <v>4432272377</v>
      </c>
      <c r="C244" s="1" t="s">
        <v>44</v>
      </c>
      <c r="D244" s="1">
        <v>4430265054</v>
      </c>
      <c r="E244" s="1">
        <v>362</v>
      </c>
      <c r="F244" s="1">
        <v>338</v>
      </c>
      <c r="G244" s="1" t="s">
        <v>38</v>
      </c>
      <c r="H244" s="1" t="s">
        <v>1893</v>
      </c>
      <c r="I244" s="1" t="s">
        <v>39</v>
      </c>
      <c r="J244" s="1" t="s">
        <v>40</v>
      </c>
      <c r="K244" s="1" t="s">
        <v>41</v>
      </c>
      <c r="L244" s="1"/>
    </row>
    <row r="245" spans="1:12" s="32" customFormat="1" hidden="1" x14ac:dyDescent="0.3">
      <c r="A245" s="37">
        <v>46140.666527777779</v>
      </c>
      <c r="B245" s="1" t="s">
        <v>48</v>
      </c>
      <c r="C245" s="1">
        <v>4430256607</v>
      </c>
      <c r="D245" s="1"/>
      <c r="E245" s="1">
        <v>267</v>
      </c>
      <c r="F245" s="1">
        <v>255</v>
      </c>
      <c r="G245" s="1" t="s">
        <v>38</v>
      </c>
      <c r="H245" s="1" t="s">
        <v>1894</v>
      </c>
      <c r="I245" s="1" t="s">
        <v>46</v>
      </c>
      <c r="J245" s="1" t="s">
        <v>40</v>
      </c>
      <c r="K245" s="1"/>
      <c r="L245" s="1"/>
    </row>
    <row r="246" spans="1:12" s="32" customFormat="1" hidden="1" x14ac:dyDescent="0.3">
      <c r="A246" s="37">
        <v>46140.666446759256</v>
      </c>
      <c r="B246" s="1" t="s">
        <v>48</v>
      </c>
      <c r="C246" s="1">
        <v>4430256607</v>
      </c>
      <c r="D246" s="1"/>
      <c r="E246" s="1">
        <v>25</v>
      </c>
      <c r="F246" s="1">
        <v>25</v>
      </c>
      <c r="G246" s="1" t="s">
        <v>38</v>
      </c>
      <c r="H246" s="1" t="s">
        <v>1895</v>
      </c>
      <c r="I246" s="1" t="s">
        <v>46</v>
      </c>
      <c r="J246" s="1" t="s">
        <v>40</v>
      </c>
      <c r="K246" s="1"/>
      <c r="L246" s="1"/>
    </row>
    <row r="247" spans="1:12" s="32" customFormat="1" hidden="1" x14ac:dyDescent="0.3">
      <c r="A247" s="37">
        <v>46140.665543981479</v>
      </c>
      <c r="B247" s="1" t="s">
        <v>54</v>
      </c>
      <c r="C247" s="1">
        <v>34992625690</v>
      </c>
      <c r="D247" s="1"/>
      <c r="E247" s="1">
        <v>31</v>
      </c>
      <c r="F247" s="1">
        <v>0</v>
      </c>
      <c r="G247" s="1" t="s">
        <v>47</v>
      </c>
      <c r="H247" s="1" t="s">
        <v>1896</v>
      </c>
      <c r="I247" s="1" t="s">
        <v>46</v>
      </c>
      <c r="J247" s="1" t="s">
        <v>55</v>
      </c>
      <c r="K247" s="1"/>
      <c r="L247" s="1"/>
    </row>
    <row r="248" spans="1:12" s="32" customFormat="1" hidden="1" x14ac:dyDescent="0.3">
      <c r="A248" s="37">
        <v>46140.66542824074</v>
      </c>
      <c r="B248" s="1" t="s">
        <v>43</v>
      </c>
      <c r="C248" s="1">
        <v>1131043888</v>
      </c>
      <c r="D248" s="1"/>
      <c r="E248" s="1">
        <v>316</v>
      </c>
      <c r="F248" s="1">
        <v>315</v>
      </c>
      <c r="G248" s="1" t="s">
        <v>38</v>
      </c>
      <c r="H248" s="1" t="s">
        <v>1897</v>
      </c>
      <c r="I248" s="1" t="s">
        <v>46</v>
      </c>
      <c r="J248" s="1" t="s">
        <v>40</v>
      </c>
      <c r="K248" s="1"/>
      <c r="L248" s="1"/>
    </row>
    <row r="249" spans="1:12" s="32" customFormat="1" hidden="1" x14ac:dyDescent="0.3">
      <c r="A249" s="37">
        <v>46140.664895833332</v>
      </c>
      <c r="B249" s="1" t="s">
        <v>43</v>
      </c>
      <c r="C249" s="1">
        <v>1131043888</v>
      </c>
      <c r="D249" s="1"/>
      <c r="E249" s="1">
        <v>64</v>
      </c>
      <c r="F249" s="1">
        <v>62</v>
      </c>
      <c r="G249" s="1" t="s">
        <v>38</v>
      </c>
      <c r="H249" s="1" t="s">
        <v>1898</v>
      </c>
      <c r="I249" s="1" t="s">
        <v>46</v>
      </c>
      <c r="J249" s="1" t="s">
        <v>40</v>
      </c>
      <c r="K249" s="1"/>
      <c r="L249" s="1"/>
    </row>
    <row r="250" spans="1:12" s="32" customFormat="1" hidden="1" x14ac:dyDescent="0.3">
      <c r="A250" s="37">
        <v>46140.664687500001</v>
      </c>
      <c r="B250" s="1" t="s">
        <v>43</v>
      </c>
      <c r="C250" s="1">
        <v>1131043888</v>
      </c>
      <c r="D250" s="1"/>
      <c r="E250" s="1">
        <v>43</v>
      </c>
      <c r="F250" s="1">
        <v>42</v>
      </c>
      <c r="G250" s="1" t="s">
        <v>38</v>
      </c>
      <c r="H250" s="1" t="s">
        <v>1899</v>
      </c>
      <c r="I250" s="1" t="s">
        <v>46</v>
      </c>
      <c r="J250" s="1" t="s">
        <v>40</v>
      </c>
      <c r="K250" s="1"/>
      <c r="L250" s="1"/>
    </row>
    <row r="251" spans="1:12" s="32" customFormat="1" hidden="1" x14ac:dyDescent="0.3">
      <c r="A251" s="37">
        <v>46140.664675925924</v>
      </c>
      <c r="B251" s="1" t="s">
        <v>45</v>
      </c>
      <c r="C251" s="1">
        <v>11940298065</v>
      </c>
      <c r="D251" s="1"/>
      <c r="E251" s="1">
        <v>1851</v>
      </c>
      <c r="F251" s="1">
        <v>1845</v>
      </c>
      <c r="G251" s="1" t="s">
        <v>38</v>
      </c>
      <c r="H251" s="1" t="s">
        <v>1900</v>
      </c>
      <c r="I251" s="1" t="s">
        <v>46</v>
      </c>
      <c r="J251" s="1" t="s">
        <v>40</v>
      </c>
      <c r="K251" s="1"/>
      <c r="L251" s="1"/>
    </row>
    <row r="252" spans="1:12" s="32" customFormat="1" hidden="1" x14ac:dyDescent="0.3">
      <c r="A252" s="37">
        <v>46140.664421296293</v>
      </c>
      <c r="B252" s="1" t="s">
        <v>54</v>
      </c>
      <c r="C252" s="1">
        <v>88994348823</v>
      </c>
      <c r="D252" s="1"/>
      <c r="E252" s="1">
        <v>11</v>
      </c>
      <c r="F252" s="1">
        <v>6</v>
      </c>
      <c r="G252" s="1" t="s">
        <v>38</v>
      </c>
      <c r="H252" s="1" t="s">
        <v>1901</v>
      </c>
      <c r="I252" s="1" t="s">
        <v>46</v>
      </c>
      <c r="J252" s="1" t="s">
        <v>55</v>
      </c>
      <c r="K252" s="1"/>
      <c r="L252" s="1"/>
    </row>
    <row r="253" spans="1:12" s="32" customFormat="1" x14ac:dyDescent="0.3">
      <c r="A253" s="37">
        <v>46140.664398148147</v>
      </c>
      <c r="B253" s="1">
        <v>45999211357</v>
      </c>
      <c r="C253" s="1" t="s">
        <v>37</v>
      </c>
      <c r="D253" s="1">
        <v>4431268225</v>
      </c>
      <c r="E253" s="1">
        <v>2770</v>
      </c>
      <c r="F253" s="1">
        <v>2749</v>
      </c>
      <c r="G253" s="1" t="s">
        <v>38</v>
      </c>
      <c r="H253" s="1" t="s">
        <v>1902</v>
      </c>
      <c r="I253" s="1" t="s">
        <v>39</v>
      </c>
      <c r="J253" s="1" t="s">
        <v>40</v>
      </c>
      <c r="K253" s="1" t="s">
        <v>41</v>
      </c>
      <c r="L253" s="1">
        <v>5</v>
      </c>
    </row>
    <row r="254" spans="1:12" s="32" customFormat="1" hidden="1" x14ac:dyDescent="0.3">
      <c r="A254" s="37">
        <v>46140.664236111108</v>
      </c>
      <c r="B254" s="1" t="s">
        <v>48</v>
      </c>
      <c r="C254" s="1">
        <v>4430153708</v>
      </c>
      <c r="D254" s="1"/>
      <c r="E254" s="1">
        <v>79</v>
      </c>
      <c r="F254" s="1">
        <v>0</v>
      </c>
      <c r="G254" s="1" t="s">
        <v>47</v>
      </c>
      <c r="H254" s="1" t="s">
        <v>1903</v>
      </c>
      <c r="I254" s="1" t="s">
        <v>46</v>
      </c>
      <c r="J254" s="1" t="s">
        <v>40</v>
      </c>
      <c r="K254" s="1"/>
      <c r="L254" s="1"/>
    </row>
    <row r="255" spans="1:12" s="32" customFormat="1" hidden="1" x14ac:dyDescent="0.3">
      <c r="A255" s="37">
        <v>46140.662800925929</v>
      </c>
      <c r="B255" s="1" t="s">
        <v>48</v>
      </c>
      <c r="C255" s="1">
        <v>4430153708</v>
      </c>
      <c r="D255" s="1"/>
      <c r="E255" s="1">
        <v>97</v>
      </c>
      <c r="F255" s="1">
        <v>0</v>
      </c>
      <c r="G255" s="1" t="s">
        <v>47</v>
      </c>
      <c r="H255" s="1" t="s">
        <v>1904</v>
      </c>
      <c r="I255" s="1" t="s">
        <v>46</v>
      </c>
      <c r="J255" s="1" t="s">
        <v>40</v>
      </c>
      <c r="K255" s="1"/>
      <c r="L255" s="1"/>
    </row>
    <row r="256" spans="1:12" s="32" customFormat="1" hidden="1" x14ac:dyDescent="0.3">
      <c r="A256" s="37">
        <v>46140.662800925929</v>
      </c>
      <c r="B256" s="1" t="s">
        <v>54</v>
      </c>
      <c r="C256" s="1">
        <v>61981800512</v>
      </c>
      <c r="D256" s="1"/>
      <c r="E256" s="1">
        <v>12</v>
      </c>
      <c r="F256" s="1">
        <v>7</v>
      </c>
      <c r="G256" s="1" t="s">
        <v>38</v>
      </c>
      <c r="H256" s="1" t="s">
        <v>1905</v>
      </c>
      <c r="I256" s="1" t="s">
        <v>46</v>
      </c>
      <c r="J256" s="1" t="s">
        <v>55</v>
      </c>
      <c r="K256" s="1"/>
      <c r="L256" s="1"/>
    </row>
    <row r="257" spans="1:12" s="32" customFormat="1" hidden="1" x14ac:dyDescent="0.3">
      <c r="A257" s="37">
        <v>46140.661145833335</v>
      </c>
      <c r="B257" s="1">
        <v>45999211357</v>
      </c>
      <c r="C257" s="1">
        <v>4431268225</v>
      </c>
      <c r="D257" s="1">
        <v>4431268225</v>
      </c>
      <c r="E257" s="1">
        <v>196</v>
      </c>
      <c r="F257" s="1">
        <v>195</v>
      </c>
      <c r="G257" s="1" t="s">
        <v>52</v>
      </c>
      <c r="H257" s="1" t="s">
        <v>1906</v>
      </c>
      <c r="I257" s="1" t="s">
        <v>39</v>
      </c>
      <c r="J257" s="1" t="s">
        <v>53</v>
      </c>
      <c r="K257" s="1" t="s">
        <v>41</v>
      </c>
      <c r="L257" s="1"/>
    </row>
    <row r="258" spans="1:12" s="32" customFormat="1" hidden="1" x14ac:dyDescent="0.3">
      <c r="A258" s="37">
        <v>46140.660393518519</v>
      </c>
      <c r="B258" s="1" t="s">
        <v>54</v>
      </c>
      <c r="C258" s="1">
        <v>62991209810</v>
      </c>
      <c r="D258" s="1"/>
      <c r="E258" s="1">
        <v>7</v>
      </c>
      <c r="F258" s="1">
        <v>0</v>
      </c>
      <c r="G258" s="1" t="s">
        <v>47</v>
      </c>
      <c r="H258" s="1" t="s">
        <v>1907</v>
      </c>
      <c r="I258" s="1" t="s">
        <v>46</v>
      </c>
      <c r="J258" s="1" t="s">
        <v>55</v>
      </c>
      <c r="K258" s="1"/>
      <c r="L258" s="1"/>
    </row>
    <row r="259" spans="1:12" s="32" customFormat="1" hidden="1" x14ac:dyDescent="0.3">
      <c r="A259" s="37">
        <v>46140.65824074074</v>
      </c>
      <c r="B259" s="1" t="s">
        <v>54</v>
      </c>
      <c r="C259" s="1">
        <v>85998662907</v>
      </c>
      <c r="D259" s="1"/>
      <c r="E259" s="1">
        <v>28</v>
      </c>
      <c r="F259" s="1">
        <v>0</v>
      </c>
      <c r="G259" s="1" t="s">
        <v>47</v>
      </c>
      <c r="H259" s="1" t="s">
        <v>1908</v>
      </c>
      <c r="I259" s="1" t="s">
        <v>46</v>
      </c>
      <c r="J259" s="1" t="s">
        <v>55</v>
      </c>
      <c r="K259" s="1"/>
      <c r="L259" s="1"/>
    </row>
    <row r="260" spans="1:12" s="32" customFormat="1" hidden="1" x14ac:dyDescent="0.3">
      <c r="A260" s="37">
        <v>46140.655775462961</v>
      </c>
      <c r="B260" s="1" t="s">
        <v>54</v>
      </c>
      <c r="C260" s="1">
        <v>85986934240</v>
      </c>
      <c r="D260" s="1"/>
      <c r="E260" s="1">
        <v>12</v>
      </c>
      <c r="F260" s="1">
        <v>1</v>
      </c>
      <c r="G260" s="1" t="s">
        <v>38</v>
      </c>
      <c r="H260" s="1" t="s">
        <v>1909</v>
      </c>
      <c r="I260" s="1" t="s">
        <v>46</v>
      </c>
      <c r="J260" s="1" t="s">
        <v>55</v>
      </c>
      <c r="K260" s="1"/>
      <c r="L260" s="1"/>
    </row>
    <row r="261" spans="1:12" s="32" customFormat="1" hidden="1" x14ac:dyDescent="0.3">
      <c r="A261" s="37">
        <v>46140.644375000003</v>
      </c>
      <c r="B261" s="1" t="s">
        <v>57</v>
      </c>
      <c r="C261" s="1">
        <v>44997687156</v>
      </c>
      <c r="D261" s="1"/>
      <c r="E261" s="1">
        <v>583</v>
      </c>
      <c r="F261" s="1">
        <v>572</v>
      </c>
      <c r="G261" s="1" t="s">
        <v>38</v>
      </c>
      <c r="H261" s="1" t="s">
        <v>1910</v>
      </c>
      <c r="I261" s="1" t="s">
        <v>46</v>
      </c>
      <c r="J261" s="1" t="s">
        <v>55</v>
      </c>
      <c r="K261" s="1"/>
      <c r="L261" s="1"/>
    </row>
    <row r="262" spans="1:12" s="32" customFormat="1" hidden="1" x14ac:dyDescent="0.3">
      <c r="A262" s="37">
        <v>46140.640844907408</v>
      </c>
      <c r="B262" s="1" t="s">
        <v>54</v>
      </c>
      <c r="C262" s="1">
        <v>48998264178</v>
      </c>
      <c r="D262" s="1"/>
      <c r="E262" s="1">
        <v>8</v>
      </c>
      <c r="F262" s="1">
        <v>2</v>
      </c>
      <c r="G262" s="1" t="s">
        <v>38</v>
      </c>
      <c r="H262" s="1" t="s">
        <v>1911</v>
      </c>
      <c r="I262" s="1" t="s">
        <v>46</v>
      </c>
      <c r="J262" s="1" t="s">
        <v>55</v>
      </c>
      <c r="K262" s="1"/>
      <c r="L262" s="1"/>
    </row>
    <row r="263" spans="1:12" s="32" customFormat="1" hidden="1" x14ac:dyDescent="0.3">
      <c r="A263" s="37">
        <v>46140.640023148146</v>
      </c>
      <c r="B263" s="1">
        <v>44988255390</v>
      </c>
      <c r="C263" s="1" t="s">
        <v>37</v>
      </c>
      <c r="D263" s="1">
        <v>4430265054</v>
      </c>
      <c r="E263" s="1">
        <v>982</v>
      </c>
      <c r="F263" s="1">
        <v>879</v>
      </c>
      <c r="G263" s="1" t="s">
        <v>38</v>
      </c>
      <c r="H263" s="1" t="s">
        <v>1912</v>
      </c>
      <c r="I263" s="1" t="s">
        <v>39</v>
      </c>
      <c r="J263" s="1" t="s">
        <v>40</v>
      </c>
      <c r="K263" s="1" t="s">
        <v>41</v>
      </c>
      <c r="L263" s="1"/>
    </row>
    <row r="264" spans="1:12" s="32" customFormat="1" hidden="1" x14ac:dyDescent="0.3">
      <c r="A264" s="37">
        <v>46140.634282407409</v>
      </c>
      <c r="B264" s="1">
        <v>44991181415</v>
      </c>
      <c r="C264" s="1" t="s">
        <v>37</v>
      </c>
      <c r="D264" s="1">
        <v>4430265054</v>
      </c>
      <c r="E264" s="1">
        <v>327</v>
      </c>
      <c r="F264" s="1">
        <v>206</v>
      </c>
      <c r="G264" s="1" t="s">
        <v>38</v>
      </c>
      <c r="H264" s="1" t="s">
        <v>1913</v>
      </c>
      <c r="I264" s="1" t="s">
        <v>39</v>
      </c>
      <c r="J264" s="1" t="s">
        <v>40</v>
      </c>
      <c r="K264" s="1" t="s">
        <v>41</v>
      </c>
      <c r="L264" s="1"/>
    </row>
    <row r="265" spans="1:12" s="32" customFormat="1" hidden="1" x14ac:dyDescent="0.3">
      <c r="A265" s="37">
        <v>46140.633379629631</v>
      </c>
      <c r="B265" s="1">
        <v>11998030658</v>
      </c>
      <c r="C265" s="1" t="s">
        <v>45</v>
      </c>
      <c r="D265" s="1">
        <v>4430265054</v>
      </c>
      <c r="E265" s="1">
        <v>517</v>
      </c>
      <c r="F265" s="1">
        <v>430</v>
      </c>
      <c r="G265" s="1" t="s">
        <v>38</v>
      </c>
      <c r="H265" s="1" t="s">
        <v>1914</v>
      </c>
      <c r="I265" s="1" t="s">
        <v>39</v>
      </c>
      <c r="J265" s="1" t="s">
        <v>40</v>
      </c>
      <c r="K265" s="1" t="s">
        <v>41</v>
      </c>
      <c r="L265" s="1">
        <v>5</v>
      </c>
    </row>
    <row r="266" spans="1:12" s="32" customFormat="1" hidden="1" x14ac:dyDescent="0.3">
      <c r="A266" s="37">
        <v>46140.630844907406</v>
      </c>
      <c r="B266" s="1" t="s">
        <v>44</v>
      </c>
      <c r="C266" s="1">
        <v>4430414545</v>
      </c>
      <c r="D266" s="1"/>
      <c r="E266" s="1">
        <v>845</v>
      </c>
      <c r="F266" s="1">
        <v>823</v>
      </c>
      <c r="G266" s="1" t="s">
        <v>38</v>
      </c>
      <c r="H266" s="1" t="s">
        <v>1915</v>
      </c>
      <c r="I266" s="1" t="s">
        <v>46</v>
      </c>
      <c r="J266" s="1" t="s">
        <v>40</v>
      </c>
      <c r="K266" s="1"/>
      <c r="L266" s="1"/>
    </row>
    <row r="267" spans="1:12" s="32" customFormat="1" hidden="1" x14ac:dyDescent="0.3">
      <c r="A267" s="37">
        <v>46140.630787037036</v>
      </c>
      <c r="B267" s="1" t="s">
        <v>44</v>
      </c>
      <c r="C267" s="1">
        <v>4430414545</v>
      </c>
      <c r="D267" s="1"/>
      <c r="E267" s="1">
        <v>25</v>
      </c>
      <c r="F267" s="1">
        <v>25</v>
      </c>
      <c r="G267" s="1" t="s">
        <v>38</v>
      </c>
      <c r="H267" s="1" t="s">
        <v>1916</v>
      </c>
      <c r="I267" s="1" t="s">
        <v>46</v>
      </c>
      <c r="J267" s="1" t="s">
        <v>40</v>
      </c>
      <c r="K267" s="1"/>
      <c r="L267" s="1"/>
    </row>
    <row r="268" spans="1:12" s="32" customFormat="1" hidden="1" x14ac:dyDescent="0.3">
      <c r="A268" s="37">
        <v>46140.627569444441</v>
      </c>
      <c r="B268" s="1">
        <v>1239458833</v>
      </c>
      <c r="C268" s="1" t="s">
        <v>56</v>
      </c>
      <c r="D268" s="1">
        <v>4430265054</v>
      </c>
      <c r="E268" s="1">
        <v>205</v>
      </c>
      <c r="F268" s="1">
        <v>177</v>
      </c>
      <c r="G268" s="1" t="s">
        <v>38</v>
      </c>
      <c r="H268" s="1" t="s">
        <v>1917</v>
      </c>
      <c r="I268" s="1" t="s">
        <v>39</v>
      </c>
      <c r="J268" s="1" t="s">
        <v>53</v>
      </c>
      <c r="K268" s="1" t="s">
        <v>49</v>
      </c>
      <c r="L268" s="1"/>
    </row>
    <row r="269" spans="1:12" s="32" customFormat="1" hidden="1" x14ac:dyDescent="0.3">
      <c r="A269" s="37">
        <v>46140.624884259261</v>
      </c>
      <c r="B269" s="1">
        <v>4435228300</v>
      </c>
      <c r="C269" s="1" t="s">
        <v>44</v>
      </c>
      <c r="D269" s="1">
        <v>4430265054</v>
      </c>
      <c r="E269" s="1">
        <v>366</v>
      </c>
      <c r="F269" s="1">
        <v>271</v>
      </c>
      <c r="G269" s="1" t="s">
        <v>38</v>
      </c>
      <c r="H269" s="1" t="s">
        <v>1918</v>
      </c>
      <c r="I269" s="1" t="s">
        <v>39</v>
      </c>
      <c r="J269" s="1" t="s">
        <v>40</v>
      </c>
      <c r="K269" s="1" t="s">
        <v>41</v>
      </c>
      <c r="L269" s="1"/>
    </row>
    <row r="270" spans="1:12" s="32" customFormat="1" x14ac:dyDescent="0.3">
      <c r="A270" s="37">
        <v>46140.624710648146</v>
      </c>
      <c r="B270" s="1">
        <v>44991396687</v>
      </c>
      <c r="C270" s="1" t="s">
        <v>37</v>
      </c>
      <c r="D270" s="1">
        <v>4430265054</v>
      </c>
      <c r="E270" s="1">
        <v>568</v>
      </c>
      <c r="F270" s="1">
        <v>487</v>
      </c>
      <c r="G270" s="1" t="s">
        <v>38</v>
      </c>
      <c r="H270" s="1" t="s">
        <v>1919</v>
      </c>
      <c r="I270" s="1" t="s">
        <v>39</v>
      </c>
      <c r="J270" s="1" t="s">
        <v>40</v>
      </c>
      <c r="K270" s="1" t="s">
        <v>41</v>
      </c>
      <c r="L270" s="1">
        <v>5</v>
      </c>
    </row>
    <row r="271" spans="1:12" s="32" customFormat="1" hidden="1" x14ac:dyDescent="0.3">
      <c r="A271" s="37">
        <v>46140.621307870373</v>
      </c>
      <c r="B271" s="1">
        <v>4432325260</v>
      </c>
      <c r="C271" s="1" t="s">
        <v>48</v>
      </c>
      <c r="D271" s="1">
        <v>4430265054</v>
      </c>
      <c r="E271" s="1">
        <v>234</v>
      </c>
      <c r="F271" s="1">
        <v>233</v>
      </c>
      <c r="G271" s="1" t="s">
        <v>38</v>
      </c>
      <c r="H271" s="1" t="s">
        <v>1920</v>
      </c>
      <c r="I271" s="1" t="s">
        <v>39</v>
      </c>
      <c r="J271" s="1" t="s">
        <v>40</v>
      </c>
      <c r="K271" s="1" t="s">
        <v>41</v>
      </c>
      <c r="L271" s="1"/>
    </row>
    <row r="272" spans="1:12" s="32" customFormat="1" hidden="1" x14ac:dyDescent="0.3">
      <c r="A272" s="37">
        <v>46140.616770833331</v>
      </c>
      <c r="B272" s="1">
        <v>44991484476</v>
      </c>
      <c r="C272" s="1" t="s">
        <v>44</v>
      </c>
      <c r="D272" s="1">
        <v>4430265054</v>
      </c>
      <c r="E272" s="1">
        <v>683</v>
      </c>
      <c r="F272" s="1">
        <v>626</v>
      </c>
      <c r="G272" s="1" t="s">
        <v>38</v>
      </c>
      <c r="H272" s="1" t="s">
        <v>1921</v>
      </c>
      <c r="I272" s="1" t="s">
        <v>39</v>
      </c>
      <c r="J272" s="1" t="s">
        <v>40</v>
      </c>
      <c r="K272" s="1" t="s">
        <v>41</v>
      </c>
      <c r="L272" s="1"/>
    </row>
    <row r="273" spans="1:12" s="32" customFormat="1" hidden="1" x14ac:dyDescent="0.3">
      <c r="A273" s="37">
        <v>46140.61550925926</v>
      </c>
      <c r="B273" s="1">
        <v>4432325260</v>
      </c>
      <c r="C273" s="1">
        <v>4430265054</v>
      </c>
      <c r="D273" s="1">
        <v>4430265054</v>
      </c>
      <c r="E273" s="1">
        <v>109</v>
      </c>
      <c r="F273" s="1">
        <v>109</v>
      </c>
      <c r="G273" s="1" t="s">
        <v>52</v>
      </c>
      <c r="H273" s="1" t="s">
        <v>1922</v>
      </c>
      <c r="I273" s="1" t="s">
        <v>39</v>
      </c>
      <c r="J273" s="1" t="s">
        <v>53</v>
      </c>
      <c r="K273" s="1" t="s">
        <v>41</v>
      </c>
      <c r="L273" s="1"/>
    </row>
    <row r="274" spans="1:12" s="32" customFormat="1" hidden="1" x14ac:dyDescent="0.3">
      <c r="A274" s="37">
        <v>46140.615266203706</v>
      </c>
      <c r="B274" s="1">
        <v>4436227987</v>
      </c>
      <c r="C274" s="1">
        <v>4430265054</v>
      </c>
      <c r="D274" s="1">
        <v>4430265054</v>
      </c>
      <c r="E274" s="1">
        <v>50</v>
      </c>
      <c r="F274" s="1">
        <v>49</v>
      </c>
      <c r="G274" s="1" t="s">
        <v>52</v>
      </c>
      <c r="H274" s="1" t="s">
        <v>1923</v>
      </c>
      <c r="I274" s="1" t="s">
        <v>39</v>
      </c>
      <c r="J274" s="1" t="s">
        <v>53</v>
      </c>
      <c r="K274" s="1" t="s">
        <v>41</v>
      </c>
      <c r="L274" s="1"/>
    </row>
    <row r="275" spans="1:12" s="32" customFormat="1" hidden="1" x14ac:dyDescent="0.3">
      <c r="A275" s="37">
        <v>46140.615023148152</v>
      </c>
      <c r="B275" s="1">
        <v>43984810043</v>
      </c>
      <c r="C275" s="1" t="s">
        <v>45</v>
      </c>
      <c r="D275" s="1">
        <v>4430265054</v>
      </c>
      <c r="E275" s="1">
        <v>1042</v>
      </c>
      <c r="F275" s="1">
        <v>907</v>
      </c>
      <c r="G275" s="1" t="s">
        <v>38</v>
      </c>
      <c r="H275" s="1" t="s">
        <v>1924</v>
      </c>
      <c r="I275" s="1" t="s">
        <v>39</v>
      </c>
      <c r="J275" s="1" t="s">
        <v>40</v>
      </c>
      <c r="K275" s="1" t="s">
        <v>41</v>
      </c>
      <c r="L275" s="1"/>
    </row>
    <row r="276" spans="1:12" s="32" customFormat="1" hidden="1" x14ac:dyDescent="0.3">
      <c r="A276" s="37">
        <v>46140.61273148148</v>
      </c>
      <c r="B276" s="1">
        <v>43984996095</v>
      </c>
      <c r="C276" s="1">
        <v>4430265054</v>
      </c>
      <c r="D276" s="1">
        <v>4430265054</v>
      </c>
      <c r="E276" s="1">
        <v>145</v>
      </c>
      <c r="F276" s="1">
        <v>145</v>
      </c>
      <c r="G276" s="1" t="s">
        <v>52</v>
      </c>
      <c r="H276" s="1" t="s">
        <v>1925</v>
      </c>
      <c r="I276" s="1" t="s">
        <v>39</v>
      </c>
      <c r="J276" s="1" t="s">
        <v>53</v>
      </c>
      <c r="K276" s="1" t="s">
        <v>41</v>
      </c>
      <c r="L276" s="1"/>
    </row>
    <row r="277" spans="1:12" s="32" customFormat="1" hidden="1" x14ac:dyDescent="0.3">
      <c r="A277" s="37">
        <v>46140.61241898148</v>
      </c>
      <c r="B277" s="1" t="s">
        <v>45</v>
      </c>
      <c r="C277" s="1">
        <v>4430191401</v>
      </c>
      <c r="D277" s="1"/>
      <c r="E277" s="1">
        <v>76</v>
      </c>
      <c r="F277" s="1">
        <v>46</v>
      </c>
      <c r="G277" s="1" t="s">
        <v>38</v>
      </c>
      <c r="H277" s="1" t="s">
        <v>1926</v>
      </c>
      <c r="I277" s="1" t="s">
        <v>46</v>
      </c>
      <c r="J277" s="1" t="s">
        <v>40</v>
      </c>
      <c r="K277" s="1"/>
      <c r="L277" s="1"/>
    </row>
    <row r="278" spans="1:12" s="32" customFormat="1" hidden="1" x14ac:dyDescent="0.3">
      <c r="A278" s="37">
        <v>46140.612407407411</v>
      </c>
      <c r="B278" s="1">
        <v>43999829064</v>
      </c>
      <c r="C278" s="1">
        <v>4430265054</v>
      </c>
      <c r="D278" s="1">
        <v>4430265054</v>
      </c>
      <c r="E278" s="1">
        <v>52</v>
      </c>
      <c r="F278" s="1">
        <v>51</v>
      </c>
      <c r="G278" s="1" t="s">
        <v>52</v>
      </c>
      <c r="H278" s="1" t="s">
        <v>1927</v>
      </c>
      <c r="I278" s="1" t="s">
        <v>39</v>
      </c>
      <c r="J278" s="1" t="s">
        <v>53</v>
      </c>
      <c r="K278" s="1" t="s">
        <v>41</v>
      </c>
      <c r="L278" s="1"/>
    </row>
    <row r="279" spans="1:12" s="32" customFormat="1" hidden="1" x14ac:dyDescent="0.3">
      <c r="A279" s="37">
        <v>46140.610706018517</v>
      </c>
      <c r="B279" s="1">
        <v>4430459032</v>
      </c>
      <c r="C279" s="1" t="s">
        <v>37</v>
      </c>
      <c r="D279" s="1">
        <v>4430265054</v>
      </c>
      <c r="E279" s="1">
        <v>130</v>
      </c>
      <c r="F279" s="1">
        <v>98</v>
      </c>
      <c r="G279" s="1" t="s">
        <v>38</v>
      </c>
      <c r="H279" s="1" t="s">
        <v>1928</v>
      </c>
      <c r="I279" s="1" t="s">
        <v>39</v>
      </c>
      <c r="J279" s="1" t="s">
        <v>40</v>
      </c>
      <c r="K279" s="1" t="s">
        <v>41</v>
      </c>
      <c r="L279" s="1"/>
    </row>
    <row r="280" spans="1:12" s="32" customFormat="1" hidden="1" x14ac:dyDescent="0.3">
      <c r="A280" s="37">
        <v>46140.610451388886</v>
      </c>
      <c r="B280" s="1">
        <v>4435226025</v>
      </c>
      <c r="C280" s="1" t="s">
        <v>44</v>
      </c>
      <c r="D280" s="1">
        <v>4430265054</v>
      </c>
      <c r="E280" s="1">
        <v>468</v>
      </c>
      <c r="F280" s="1">
        <v>353</v>
      </c>
      <c r="G280" s="1" t="s">
        <v>38</v>
      </c>
      <c r="H280" s="1" t="s">
        <v>1929</v>
      </c>
      <c r="I280" s="1" t="s">
        <v>39</v>
      </c>
      <c r="J280" s="1" t="s">
        <v>40</v>
      </c>
      <c r="K280" s="1" t="s">
        <v>41</v>
      </c>
      <c r="L280" s="1"/>
    </row>
    <row r="281" spans="1:12" s="32" customFormat="1" hidden="1" x14ac:dyDescent="0.3">
      <c r="A281" s="37">
        <v>46140.608506944445</v>
      </c>
      <c r="B281" s="1" t="s">
        <v>43</v>
      </c>
      <c r="C281" s="1">
        <v>44999654761</v>
      </c>
      <c r="D281" s="1"/>
      <c r="E281" s="1">
        <v>111</v>
      </c>
      <c r="F281" s="1">
        <v>94</v>
      </c>
      <c r="G281" s="1" t="s">
        <v>38</v>
      </c>
      <c r="H281" s="1" t="s">
        <v>1930</v>
      </c>
      <c r="I281" s="1" t="s">
        <v>46</v>
      </c>
      <c r="J281" s="1" t="s">
        <v>40</v>
      </c>
      <c r="K281" s="1"/>
      <c r="L281" s="1"/>
    </row>
    <row r="282" spans="1:12" s="32" customFormat="1" hidden="1" x14ac:dyDescent="0.3">
      <c r="A282" s="37">
        <v>46140.608437499999</v>
      </c>
      <c r="B282" s="1" t="s">
        <v>43</v>
      </c>
      <c r="C282" s="1">
        <v>44999654761</v>
      </c>
      <c r="D282" s="1"/>
      <c r="E282" s="1">
        <v>4</v>
      </c>
      <c r="F282" s="1">
        <v>0</v>
      </c>
      <c r="G282" s="1" t="s">
        <v>47</v>
      </c>
      <c r="H282" s="1" t="s">
        <v>1931</v>
      </c>
      <c r="I282" s="1" t="s">
        <v>46</v>
      </c>
      <c r="J282" s="1" t="s">
        <v>40</v>
      </c>
      <c r="K282" s="1"/>
      <c r="L282" s="1"/>
    </row>
    <row r="283" spans="1:12" s="32" customFormat="1" hidden="1" x14ac:dyDescent="0.3">
      <c r="A283" s="37">
        <v>46140.599236111113</v>
      </c>
      <c r="B283" s="1">
        <v>43984810043</v>
      </c>
      <c r="C283" s="1" t="s">
        <v>45</v>
      </c>
      <c r="D283" s="1">
        <v>4430265054</v>
      </c>
      <c r="E283" s="1">
        <v>649</v>
      </c>
      <c r="F283" s="1">
        <v>491</v>
      </c>
      <c r="G283" s="1" t="s">
        <v>38</v>
      </c>
      <c r="H283" s="1" t="s">
        <v>1932</v>
      </c>
      <c r="I283" s="1" t="s">
        <v>39</v>
      </c>
      <c r="J283" s="1" t="s">
        <v>40</v>
      </c>
      <c r="K283" s="1" t="s">
        <v>41</v>
      </c>
      <c r="L283" s="1"/>
    </row>
    <row r="284" spans="1:12" s="32" customFormat="1" hidden="1" x14ac:dyDescent="0.3">
      <c r="A284" s="37">
        <v>46140.594675925924</v>
      </c>
      <c r="B284" s="1">
        <v>4432226677</v>
      </c>
      <c r="C284" s="1" t="s">
        <v>45</v>
      </c>
      <c r="D284" s="1">
        <v>4430265054</v>
      </c>
      <c r="E284" s="1">
        <v>321</v>
      </c>
      <c r="F284" s="1">
        <v>201</v>
      </c>
      <c r="G284" s="1" t="s">
        <v>38</v>
      </c>
      <c r="H284" s="1" t="s">
        <v>1933</v>
      </c>
      <c r="I284" s="1" t="s">
        <v>39</v>
      </c>
      <c r="J284" s="1" t="s">
        <v>40</v>
      </c>
      <c r="K284" s="1" t="s">
        <v>41</v>
      </c>
      <c r="L284" s="1"/>
    </row>
    <row r="285" spans="1:12" s="32" customFormat="1" hidden="1" x14ac:dyDescent="0.3">
      <c r="A285" s="37">
        <v>46140.591469907406</v>
      </c>
      <c r="B285" s="1">
        <v>1438780460</v>
      </c>
      <c r="C285" s="1">
        <v>4531273151</v>
      </c>
      <c r="D285" s="1">
        <v>4531273151</v>
      </c>
      <c r="E285" s="1">
        <v>47</v>
      </c>
      <c r="F285" s="1">
        <v>46</v>
      </c>
      <c r="G285" s="1" t="s">
        <v>52</v>
      </c>
      <c r="H285" s="1" t="s">
        <v>1934</v>
      </c>
      <c r="I285" s="1" t="s">
        <v>39</v>
      </c>
      <c r="J285" s="1" t="s">
        <v>53</v>
      </c>
      <c r="K285" s="1" t="s">
        <v>41</v>
      </c>
      <c r="L285" s="1"/>
    </row>
    <row r="286" spans="1:12" s="32" customFormat="1" hidden="1" x14ac:dyDescent="0.3">
      <c r="A286" s="37">
        <v>46140.590405092589</v>
      </c>
      <c r="B286" s="1">
        <v>44988255390</v>
      </c>
      <c r="C286" s="1" t="s">
        <v>37</v>
      </c>
      <c r="D286" s="1">
        <v>4430265054</v>
      </c>
      <c r="E286" s="1">
        <v>605</v>
      </c>
      <c r="F286" s="1">
        <v>471</v>
      </c>
      <c r="G286" s="1" t="s">
        <v>38</v>
      </c>
      <c r="H286" s="1" t="s">
        <v>1935</v>
      </c>
      <c r="I286" s="1" t="s">
        <v>39</v>
      </c>
      <c r="J286" s="1" t="s">
        <v>40</v>
      </c>
      <c r="K286" s="1" t="s">
        <v>41</v>
      </c>
      <c r="L286" s="1"/>
    </row>
    <row r="287" spans="1:12" s="32" customFormat="1" hidden="1" x14ac:dyDescent="0.3">
      <c r="A287" s="37">
        <v>46140.585868055554</v>
      </c>
      <c r="B287" s="1">
        <v>4133491428</v>
      </c>
      <c r="C287" s="1" t="s">
        <v>37</v>
      </c>
      <c r="D287" s="1">
        <v>4430265054</v>
      </c>
      <c r="E287" s="1">
        <v>192</v>
      </c>
      <c r="F287" s="1">
        <v>63</v>
      </c>
      <c r="G287" s="1" t="s">
        <v>38</v>
      </c>
      <c r="H287" s="1" t="s">
        <v>1936</v>
      </c>
      <c r="I287" s="1" t="s">
        <v>39</v>
      </c>
      <c r="J287" s="1" t="s">
        <v>40</v>
      </c>
      <c r="K287" s="1" t="s">
        <v>41</v>
      </c>
      <c r="L287" s="1"/>
    </row>
    <row r="288" spans="1:12" s="32" customFormat="1" hidden="1" x14ac:dyDescent="0.3">
      <c r="A288" s="37">
        <v>46140.582129629627</v>
      </c>
      <c r="B288" s="1">
        <v>44984198651</v>
      </c>
      <c r="C288" s="1" t="s">
        <v>45</v>
      </c>
      <c r="D288" s="1">
        <v>4430265054</v>
      </c>
      <c r="E288" s="1">
        <v>519</v>
      </c>
      <c r="F288" s="1">
        <v>416</v>
      </c>
      <c r="G288" s="1" t="s">
        <v>38</v>
      </c>
      <c r="H288" s="1" t="s">
        <v>1937</v>
      </c>
      <c r="I288" s="1" t="s">
        <v>39</v>
      </c>
      <c r="J288" s="1" t="s">
        <v>40</v>
      </c>
      <c r="K288" s="1" t="s">
        <v>41</v>
      </c>
      <c r="L288" s="1"/>
    </row>
    <row r="289" spans="1:12" s="32" customFormat="1" hidden="1" x14ac:dyDescent="0.3">
      <c r="A289" s="37">
        <v>46140.58185185185</v>
      </c>
      <c r="B289" s="1">
        <v>44999654761</v>
      </c>
      <c r="C289" s="1" t="s">
        <v>43</v>
      </c>
      <c r="D289" s="1">
        <v>4430265054</v>
      </c>
      <c r="E289" s="1">
        <v>518</v>
      </c>
      <c r="F289" s="1">
        <v>381</v>
      </c>
      <c r="G289" s="1" t="s">
        <v>38</v>
      </c>
      <c r="H289" s="1" t="s">
        <v>1938</v>
      </c>
      <c r="I289" s="1" t="s">
        <v>39</v>
      </c>
      <c r="J289" s="1" t="s">
        <v>40</v>
      </c>
      <c r="K289" s="1" t="s">
        <v>41</v>
      </c>
      <c r="L289" s="1"/>
    </row>
    <row r="290" spans="1:12" s="32" customFormat="1" hidden="1" x14ac:dyDescent="0.3">
      <c r="A290" s="37">
        <v>46140.581400462965</v>
      </c>
      <c r="B290" s="1">
        <v>4533011395</v>
      </c>
      <c r="C290" s="1">
        <v>4531273159</v>
      </c>
      <c r="D290" s="1">
        <v>4531273159</v>
      </c>
      <c r="E290" s="1">
        <v>46</v>
      </c>
      <c r="F290" s="1">
        <v>45</v>
      </c>
      <c r="G290" s="1" t="s">
        <v>52</v>
      </c>
      <c r="H290" s="1" t="s">
        <v>1939</v>
      </c>
      <c r="I290" s="1" t="s">
        <v>39</v>
      </c>
      <c r="J290" s="1" t="s">
        <v>53</v>
      </c>
      <c r="K290" s="1" t="s">
        <v>41</v>
      </c>
      <c r="L290" s="1"/>
    </row>
    <row r="291" spans="1:12" s="32" customFormat="1" hidden="1" x14ac:dyDescent="0.3">
      <c r="A291" s="37">
        <v>46140.58011574074</v>
      </c>
      <c r="B291" s="1" t="s">
        <v>45</v>
      </c>
      <c r="C291" s="1">
        <v>4430191401</v>
      </c>
      <c r="D291" s="1"/>
      <c r="E291" s="1">
        <v>244</v>
      </c>
      <c r="F291" s="1">
        <v>240</v>
      </c>
      <c r="G291" s="1" t="s">
        <v>38</v>
      </c>
      <c r="H291" s="1" t="s">
        <v>1940</v>
      </c>
      <c r="I291" s="1" t="s">
        <v>46</v>
      </c>
      <c r="J291" s="1" t="s">
        <v>40</v>
      </c>
      <c r="K291" s="1"/>
      <c r="L291" s="1"/>
    </row>
    <row r="292" spans="1:12" s="32" customFormat="1" hidden="1" x14ac:dyDescent="0.3">
      <c r="A292" s="37">
        <v>46140.580011574071</v>
      </c>
      <c r="B292" s="1" t="s">
        <v>45</v>
      </c>
      <c r="C292" s="1">
        <v>4430191401</v>
      </c>
      <c r="D292" s="1"/>
      <c r="E292" s="1">
        <v>25</v>
      </c>
      <c r="F292" s="1">
        <v>25</v>
      </c>
      <c r="G292" s="1" t="s">
        <v>38</v>
      </c>
      <c r="H292" s="1" t="s">
        <v>1941</v>
      </c>
      <c r="I292" s="1" t="s">
        <v>46</v>
      </c>
      <c r="J292" s="1" t="s">
        <v>40</v>
      </c>
      <c r="K292" s="1"/>
      <c r="L292" s="1"/>
    </row>
    <row r="293" spans="1:12" s="32" customFormat="1" hidden="1" x14ac:dyDescent="0.3">
      <c r="A293" s="37">
        <v>46140.574988425928</v>
      </c>
      <c r="B293" s="1">
        <v>4133491428</v>
      </c>
      <c r="C293" s="1" t="s">
        <v>45</v>
      </c>
      <c r="D293" s="1">
        <v>4430265054</v>
      </c>
      <c r="E293" s="1">
        <v>139</v>
      </c>
      <c r="F293" s="1">
        <v>125</v>
      </c>
      <c r="G293" s="1" t="s">
        <v>38</v>
      </c>
      <c r="H293" s="1" t="s">
        <v>1942</v>
      </c>
      <c r="I293" s="1" t="s">
        <v>39</v>
      </c>
      <c r="J293" s="1" t="s">
        <v>40</v>
      </c>
      <c r="K293" s="1" t="s">
        <v>41</v>
      </c>
      <c r="L293" s="1"/>
    </row>
    <row r="294" spans="1:12" s="32" customFormat="1" hidden="1" x14ac:dyDescent="0.3">
      <c r="A294" s="37">
        <v>46140.574814814812</v>
      </c>
      <c r="B294" s="1">
        <v>4121413772</v>
      </c>
      <c r="C294" s="1">
        <v>4531273152</v>
      </c>
      <c r="D294" s="1">
        <v>4531273152</v>
      </c>
      <c r="E294" s="1">
        <v>46</v>
      </c>
      <c r="F294" s="1">
        <v>46</v>
      </c>
      <c r="G294" s="1" t="s">
        <v>52</v>
      </c>
      <c r="H294" s="1" t="s">
        <v>1943</v>
      </c>
      <c r="I294" s="1" t="s">
        <v>39</v>
      </c>
      <c r="J294" s="1" t="s">
        <v>53</v>
      </c>
      <c r="K294" s="1" t="s">
        <v>41</v>
      </c>
      <c r="L294" s="1"/>
    </row>
    <row r="295" spans="1:12" s="32" customFormat="1" hidden="1" x14ac:dyDescent="0.3">
      <c r="A295" s="37">
        <v>46140.570613425924</v>
      </c>
      <c r="B295" s="1">
        <v>4421032928</v>
      </c>
      <c r="C295" s="1">
        <v>4430265054</v>
      </c>
      <c r="D295" s="1">
        <v>4430265054</v>
      </c>
      <c r="E295" s="1">
        <v>3</v>
      </c>
      <c r="F295" s="1">
        <v>2</v>
      </c>
      <c r="G295" s="1" t="s">
        <v>52</v>
      </c>
      <c r="H295" s="1" t="s">
        <v>1944</v>
      </c>
      <c r="I295" s="1" t="s">
        <v>39</v>
      </c>
      <c r="J295" s="1" t="s">
        <v>53</v>
      </c>
      <c r="K295" s="1"/>
      <c r="L295" s="1"/>
    </row>
    <row r="296" spans="1:12" s="32" customFormat="1" hidden="1" x14ac:dyDescent="0.3">
      <c r="A296" s="37">
        <v>46140.570324074077</v>
      </c>
      <c r="B296" s="1">
        <v>4121413772</v>
      </c>
      <c r="C296" s="1">
        <v>4531273155</v>
      </c>
      <c r="D296" s="1">
        <v>4531273155</v>
      </c>
      <c r="E296" s="1">
        <v>47</v>
      </c>
      <c r="F296" s="1">
        <v>47</v>
      </c>
      <c r="G296" s="1" t="s">
        <v>52</v>
      </c>
      <c r="H296" s="1" t="s">
        <v>1945</v>
      </c>
      <c r="I296" s="1" t="s">
        <v>39</v>
      </c>
      <c r="J296" s="1" t="s">
        <v>53</v>
      </c>
      <c r="K296" s="1" t="s">
        <v>41</v>
      </c>
      <c r="L296" s="1"/>
    </row>
    <row r="297" spans="1:12" s="32" customFormat="1" hidden="1" x14ac:dyDescent="0.3">
      <c r="A297" s="37">
        <v>46140.569641203707</v>
      </c>
      <c r="B297" s="1" t="s">
        <v>45</v>
      </c>
      <c r="C297" s="1">
        <v>4334232912</v>
      </c>
      <c r="D297" s="1"/>
      <c r="E297" s="1">
        <v>350</v>
      </c>
      <c r="F297" s="1">
        <v>338</v>
      </c>
      <c r="G297" s="1" t="s">
        <v>38</v>
      </c>
      <c r="H297" s="1" t="s">
        <v>1946</v>
      </c>
      <c r="I297" s="1" t="s">
        <v>46</v>
      </c>
      <c r="J297" s="1" t="s">
        <v>40</v>
      </c>
      <c r="K297" s="1"/>
      <c r="L297" s="1"/>
    </row>
    <row r="298" spans="1:12" s="32" customFormat="1" x14ac:dyDescent="0.3">
      <c r="A298" s="37">
        <v>46140.564768518518</v>
      </c>
      <c r="B298" s="1">
        <v>44991116911</v>
      </c>
      <c r="C298" s="1" t="s">
        <v>37</v>
      </c>
      <c r="D298" s="1">
        <v>4430265054</v>
      </c>
      <c r="E298" s="1">
        <v>1252</v>
      </c>
      <c r="F298" s="1">
        <v>1214</v>
      </c>
      <c r="G298" s="1" t="s">
        <v>38</v>
      </c>
      <c r="H298" s="1" t="s">
        <v>1947</v>
      </c>
      <c r="I298" s="1" t="s">
        <v>39</v>
      </c>
      <c r="J298" s="1" t="s">
        <v>40</v>
      </c>
      <c r="K298" s="1" t="s">
        <v>41</v>
      </c>
      <c r="L298" s="1">
        <v>5</v>
      </c>
    </row>
    <row r="299" spans="1:12" s="32" customFormat="1" hidden="1" x14ac:dyDescent="0.3">
      <c r="A299" s="37">
        <v>46140.563263888886</v>
      </c>
      <c r="B299" s="1">
        <v>44991116911</v>
      </c>
      <c r="C299" s="1">
        <v>4430265054</v>
      </c>
      <c r="D299" s="1">
        <v>4430265054</v>
      </c>
      <c r="E299" s="1">
        <v>79</v>
      </c>
      <c r="F299" s="1">
        <v>78</v>
      </c>
      <c r="G299" s="1" t="s">
        <v>52</v>
      </c>
      <c r="H299" s="1" t="s">
        <v>1948</v>
      </c>
      <c r="I299" s="1" t="s">
        <v>39</v>
      </c>
      <c r="J299" s="1" t="s">
        <v>53</v>
      </c>
      <c r="K299" s="1" t="s">
        <v>41</v>
      </c>
      <c r="L299" s="1"/>
    </row>
    <row r="300" spans="1:12" s="32" customFormat="1" hidden="1" x14ac:dyDescent="0.3">
      <c r="A300" s="37">
        <v>46140.555115740739</v>
      </c>
      <c r="B300" s="1">
        <v>4121418115</v>
      </c>
      <c r="C300" s="1">
        <v>4531273156</v>
      </c>
      <c r="D300" s="1">
        <v>4531273156</v>
      </c>
      <c r="E300" s="1">
        <v>29</v>
      </c>
      <c r="F300" s="1">
        <v>28</v>
      </c>
      <c r="G300" s="1" t="s">
        <v>52</v>
      </c>
      <c r="H300" s="1" t="s">
        <v>1949</v>
      </c>
      <c r="I300" s="1" t="s">
        <v>39</v>
      </c>
      <c r="J300" s="1" t="s">
        <v>53</v>
      </c>
      <c r="K300" s="1"/>
      <c r="L300" s="1"/>
    </row>
    <row r="301" spans="1:12" s="32" customFormat="1" hidden="1" x14ac:dyDescent="0.3">
      <c r="A301" s="37">
        <v>46140.550243055557</v>
      </c>
      <c r="B301" s="1">
        <v>4434221675</v>
      </c>
      <c r="C301" s="1">
        <v>4430265054</v>
      </c>
      <c r="D301" s="1">
        <v>4430265054</v>
      </c>
      <c r="E301" s="1">
        <v>6</v>
      </c>
      <c r="F301" s="1">
        <v>6</v>
      </c>
      <c r="G301" s="1" t="s">
        <v>52</v>
      </c>
      <c r="H301" s="1" t="s">
        <v>1950</v>
      </c>
      <c r="I301" s="1" t="s">
        <v>39</v>
      </c>
      <c r="J301" s="1" t="s">
        <v>53</v>
      </c>
      <c r="K301" s="1"/>
      <c r="L301" s="1"/>
    </row>
    <row r="302" spans="1:12" s="32" customFormat="1" hidden="1" x14ac:dyDescent="0.3">
      <c r="A302" s="37">
        <v>46140.549375000002</v>
      </c>
      <c r="B302" s="1">
        <v>4421032921</v>
      </c>
      <c r="C302" s="1">
        <v>4430265054</v>
      </c>
      <c r="D302" s="1">
        <v>4430265054</v>
      </c>
      <c r="E302" s="1">
        <v>3</v>
      </c>
      <c r="F302" s="1">
        <v>2</v>
      </c>
      <c r="G302" s="1" t="s">
        <v>52</v>
      </c>
      <c r="H302" s="1" t="s">
        <v>1951</v>
      </c>
      <c r="I302" s="1" t="s">
        <v>39</v>
      </c>
      <c r="J302" s="1" t="s">
        <v>53</v>
      </c>
      <c r="K302" s="1"/>
      <c r="L302" s="1"/>
    </row>
    <row r="303" spans="1:12" s="32" customFormat="1" hidden="1" x14ac:dyDescent="0.3">
      <c r="A303" s="37">
        <v>46140.499722222223</v>
      </c>
      <c r="B303" s="1">
        <v>4433015964</v>
      </c>
      <c r="C303" s="1">
        <v>4430265054</v>
      </c>
      <c r="D303" s="1">
        <v>4430265054</v>
      </c>
      <c r="E303" s="1">
        <v>3</v>
      </c>
      <c r="F303" s="1">
        <v>2</v>
      </c>
      <c r="G303" s="1" t="s">
        <v>52</v>
      </c>
      <c r="H303" s="1" t="s">
        <v>1952</v>
      </c>
      <c r="I303" s="1" t="s">
        <v>39</v>
      </c>
      <c r="J303" s="1" t="s">
        <v>53</v>
      </c>
      <c r="K303" s="1"/>
      <c r="L303" s="1"/>
    </row>
    <row r="304" spans="1:12" s="32" customFormat="1" hidden="1" x14ac:dyDescent="0.3">
      <c r="A304" s="37">
        <v>46140.488206018519</v>
      </c>
      <c r="B304" s="1">
        <v>4432697000</v>
      </c>
      <c r="C304" s="1" t="s">
        <v>44</v>
      </c>
      <c r="D304" s="1">
        <v>4430265054</v>
      </c>
      <c r="E304" s="1">
        <v>1096</v>
      </c>
      <c r="F304" s="1">
        <v>1022</v>
      </c>
      <c r="G304" s="1" t="s">
        <v>38</v>
      </c>
      <c r="H304" s="1" t="s">
        <v>1953</v>
      </c>
      <c r="I304" s="1" t="s">
        <v>39</v>
      </c>
      <c r="J304" s="1" t="s">
        <v>40</v>
      </c>
      <c r="K304" s="1" t="s">
        <v>41</v>
      </c>
      <c r="L304" s="1">
        <v>5</v>
      </c>
    </row>
    <row r="305" spans="1:12" s="32" customFormat="1" hidden="1" x14ac:dyDescent="0.3">
      <c r="A305" s="37">
        <v>46140.486354166664</v>
      </c>
      <c r="B305" s="1">
        <v>4130155076</v>
      </c>
      <c r="C305" s="1">
        <v>4430265054</v>
      </c>
      <c r="D305" s="1">
        <v>4430265054</v>
      </c>
      <c r="E305" s="1">
        <v>33</v>
      </c>
      <c r="F305" s="1">
        <v>33</v>
      </c>
      <c r="G305" s="1" t="s">
        <v>52</v>
      </c>
      <c r="H305" s="1" t="s">
        <v>1954</v>
      </c>
      <c r="I305" s="1" t="s">
        <v>39</v>
      </c>
      <c r="J305" s="1" t="s">
        <v>53</v>
      </c>
      <c r="K305" s="1" t="s">
        <v>41</v>
      </c>
      <c r="L305" s="1"/>
    </row>
    <row r="306" spans="1:12" s="32" customFormat="1" hidden="1" x14ac:dyDescent="0.3">
      <c r="A306" s="37">
        <v>46140.482268518521</v>
      </c>
      <c r="B306" s="1">
        <v>11990144272</v>
      </c>
      <c r="C306" s="1" t="s">
        <v>43</v>
      </c>
      <c r="D306" s="1">
        <v>4431268225</v>
      </c>
      <c r="E306" s="1">
        <v>469</v>
      </c>
      <c r="F306" s="1">
        <v>453</v>
      </c>
      <c r="G306" s="1" t="s">
        <v>38</v>
      </c>
      <c r="H306" s="1" t="s">
        <v>1955</v>
      </c>
      <c r="I306" s="1" t="s">
        <v>39</v>
      </c>
      <c r="J306" s="1" t="s">
        <v>40</v>
      </c>
      <c r="K306" s="1" t="s">
        <v>41</v>
      </c>
      <c r="L306" s="1">
        <v>5</v>
      </c>
    </row>
    <row r="307" spans="1:12" s="32" customFormat="1" hidden="1" x14ac:dyDescent="0.3">
      <c r="A307" s="37">
        <v>46140.476921296293</v>
      </c>
      <c r="B307" s="1">
        <v>4433015968</v>
      </c>
      <c r="C307" s="1">
        <v>4430265054</v>
      </c>
      <c r="D307" s="1">
        <v>4430265054</v>
      </c>
      <c r="E307" s="1">
        <v>3</v>
      </c>
      <c r="F307" s="1">
        <v>2</v>
      </c>
      <c r="G307" s="1" t="s">
        <v>52</v>
      </c>
      <c r="H307" s="1" t="s">
        <v>1956</v>
      </c>
      <c r="I307" s="1" t="s">
        <v>39</v>
      </c>
      <c r="J307" s="1" t="s">
        <v>53</v>
      </c>
      <c r="K307" s="1"/>
      <c r="L307" s="1"/>
    </row>
    <row r="308" spans="1:12" s="32" customFormat="1" hidden="1" x14ac:dyDescent="0.3">
      <c r="A308" s="37">
        <v>46140.471365740741</v>
      </c>
      <c r="B308" s="1">
        <v>43988030048</v>
      </c>
      <c r="C308" s="1" t="s">
        <v>48</v>
      </c>
      <c r="D308" s="1">
        <v>4430265054</v>
      </c>
      <c r="E308" s="1">
        <v>1142</v>
      </c>
      <c r="F308" s="1">
        <v>964</v>
      </c>
      <c r="G308" s="1" t="s">
        <v>38</v>
      </c>
      <c r="H308" s="1" t="s">
        <v>1957</v>
      </c>
      <c r="I308" s="1" t="s">
        <v>39</v>
      </c>
      <c r="J308" s="1" t="s">
        <v>40</v>
      </c>
      <c r="K308" s="1" t="s">
        <v>41</v>
      </c>
      <c r="L308" s="1"/>
    </row>
    <row r="309" spans="1:12" s="32" customFormat="1" hidden="1" x14ac:dyDescent="0.3">
      <c r="A309" s="37">
        <v>46140.468622685185</v>
      </c>
      <c r="B309" s="1">
        <v>91989363636</v>
      </c>
      <c r="C309" s="1" t="s">
        <v>43</v>
      </c>
      <c r="D309" s="1">
        <v>4430265054</v>
      </c>
      <c r="E309" s="1">
        <v>494</v>
      </c>
      <c r="F309" s="1">
        <v>485</v>
      </c>
      <c r="G309" s="1" t="s">
        <v>38</v>
      </c>
      <c r="H309" s="1" t="s">
        <v>1958</v>
      </c>
      <c r="I309" s="1" t="s">
        <v>39</v>
      </c>
      <c r="J309" s="1" t="s">
        <v>40</v>
      </c>
      <c r="K309" s="1" t="s">
        <v>41</v>
      </c>
      <c r="L309" s="1">
        <v>5</v>
      </c>
    </row>
    <row r="310" spans="1:12" s="32" customFormat="1" hidden="1" x14ac:dyDescent="0.3">
      <c r="A310" s="37">
        <v>46140.467835648145</v>
      </c>
      <c r="B310" s="1">
        <v>44991116911</v>
      </c>
      <c r="C310" s="1" t="s">
        <v>44</v>
      </c>
      <c r="D310" s="1">
        <v>4430265054</v>
      </c>
      <c r="E310" s="1">
        <v>1089</v>
      </c>
      <c r="F310" s="1">
        <v>1065</v>
      </c>
      <c r="G310" s="1" t="s">
        <v>38</v>
      </c>
      <c r="H310" s="1" t="s">
        <v>1959</v>
      </c>
      <c r="I310" s="1" t="s">
        <v>39</v>
      </c>
      <c r="J310" s="1" t="s">
        <v>40</v>
      </c>
      <c r="K310" s="1" t="s">
        <v>41</v>
      </c>
      <c r="L310" s="1">
        <v>5</v>
      </c>
    </row>
    <row r="311" spans="1:12" s="32" customFormat="1" hidden="1" x14ac:dyDescent="0.3">
      <c r="A311" s="37">
        <v>46140.467592592591</v>
      </c>
      <c r="B311" s="1">
        <v>91989363636</v>
      </c>
      <c r="C311" s="1" t="s">
        <v>43</v>
      </c>
      <c r="D311" s="1">
        <v>4430265054</v>
      </c>
      <c r="E311" s="1">
        <v>75</v>
      </c>
      <c r="F311" s="1">
        <v>39</v>
      </c>
      <c r="G311" s="1" t="s">
        <v>38</v>
      </c>
      <c r="H311" s="1" t="s">
        <v>1960</v>
      </c>
      <c r="I311" s="1" t="s">
        <v>39</v>
      </c>
      <c r="J311" s="1" t="s">
        <v>40</v>
      </c>
      <c r="K311" s="1" t="s">
        <v>41</v>
      </c>
      <c r="L311" s="1"/>
    </row>
    <row r="312" spans="1:12" s="32" customFormat="1" hidden="1" x14ac:dyDescent="0.3">
      <c r="A312" s="37">
        <v>46140.465567129628</v>
      </c>
      <c r="B312" s="1" t="s">
        <v>50</v>
      </c>
      <c r="C312" s="1" t="s">
        <v>57</v>
      </c>
      <c r="D312" s="1"/>
      <c r="E312" s="1">
        <v>339</v>
      </c>
      <c r="F312" s="1">
        <v>337</v>
      </c>
      <c r="G312" s="1" t="s">
        <v>38</v>
      </c>
      <c r="H312" s="1" t="s">
        <v>1961</v>
      </c>
      <c r="I312" s="1" t="s">
        <v>51</v>
      </c>
      <c r="J312" s="1" t="s">
        <v>55</v>
      </c>
      <c r="K312" s="1"/>
      <c r="L312" s="1"/>
    </row>
    <row r="313" spans="1:12" s="32" customFormat="1" hidden="1" x14ac:dyDescent="0.3">
      <c r="A313" s="37">
        <v>46140.465405092589</v>
      </c>
      <c r="B313" s="1">
        <v>4430345247</v>
      </c>
      <c r="C313" s="1" t="s">
        <v>48</v>
      </c>
      <c r="D313" s="1">
        <v>4430265054</v>
      </c>
      <c r="E313" s="1">
        <v>599</v>
      </c>
      <c r="F313" s="1">
        <v>599</v>
      </c>
      <c r="G313" s="1" t="s">
        <v>38</v>
      </c>
      <c r="H313" s="1" t="s">
        <v>1962</v>
      </c>
      <c r="I313" s="1" t="s">
        <v>39</v>
      </c>
      <c r="J313" s="1" t="s">
        <v>40</v>
      </c>
      <c r="K313" s="1" t="s">
        <v>41</v>
      </c>
      <c r="L313" s="1"/>
    </row>
    <row r="314" spans="1:12" s="32" customFormat="1" x14ac:dyDescent="0.3">
      <c r="A314" s="37">
        <v>46140.464837962965</v>
      </c>
      <c r="B314" s="1">
        <v>44998107650</v>
      </c>
      <c r="C314" s="1" t="s">
        <v>37</v>
      </c>
      <c r="D314" s="1">
        <v>4431268225</v>
      </c>
      <c r="E314" s="1">
        <v>3319</v>
      </c>
      <c r="F314" s="1">
        <v>3279</v>
      </c>
      <c r="G314" s="1" t="s">
        <v>38</v>
      </c>
      <c r="H314" s="1" t="s">
        <v>1963</v>
      </c>
      <c r="I314" s="1" t="s">
        <v>39</v>
      </c>
      <c r="J314" s="1" t="s">
        <v>40</v>
      </c>
      <c r="K314" s="1" t="s">
        <v>41</v>
      </c>
      <c r="L314" s="1">
        <v>5</v>
      </c>
    </row>
    <row r="315" spans="1:12" s="32" customFormat="1" hidden="1" x14ac:dyDescent="0.3">
      <c r="A315" s="37">
        <v>46140.459120370368</v>
      </c>
      <c r="B315" s="1">
        <v>44988255390</v>
      </c>
      <c r="C315" s="1" t="s">
        <v>45</v>
      </c>
      <c r="D315" s="1">
        <v>4430265054</v>
      </c>
      <c r="E315" s="1">
        <v>1297</v>
      </c>
      <c r="F315" s="1">
        <v>1194</v>
      </c>
      <c r="G315" s="1" t="s">
        <v>38</v>
      </c>
      <c r="H315" s="1" t="s">
        <v>1964</v>
      </c>
      <c r="I315" s="1" t="s">
        <v>39</v>
      </c>
      <c r="J315" s="1" t="s">
        <v>40</v>
      </c>
      <c r="K315" s="1" t="s">
        <v>41</v>
      </c>
      <c r="L315" s="1"/>
    </row>
    <row r="316" spans="1:12" s="32" customFormat="1" x14ac:dyDescent="0.3">
      <c r="A316" s="37">
        <v>46140.456342592595</v>
      </c>
      <c r="B316" s="1">
        <v>4430450103</v>
      </c>
      <c r="C316" s="1" t="s">
        <v>37</v>
      </c>
      <c r="D316" s="1">
        <v>4430265054</v>
      </c>
      <c r="E316" s="1">
        <v>288</v>
      </c>
      <c r="F316" s="1">
        <v>270</v>
      </c>
      <c r="G316" s="1" t="s">
        <v>38</v>
      </c>
      <c r="H316" s="1" t="s">
        <v>1965</v>
      </c>
      <c r="I316" s="1" t="s">
        <v>39</v>
      </c>
      <c r="J316" s="1" t="s">
        <v>40</v>
      </c>
      <c r="K316" s="1" t="s">
        <v>41</v>
      </c>
      <c r="L316" s="1">
        <v>5</v>
      </c>
    </row>
    <row r="317" spans="1:12" s="32" customFormat="1" hidden="1" x14ac:dyDescent="0.3">
      <c r="A317" s="37">
        <v>46140.453738425924</v>
      </c>
      <c r="B317" s="1" t="s">
        <v>50</v>
      </c>
      <c r="C317" s="1" t="s">
        <v>57</v>
      </c>
      <c r="D317" s="1"/>
      <c r="E317" s="1">
        <v>813</v>
      </c>
      <c r="F317" s="1">
        <v>809</v>
      </c>
      <c r="G317" s="1" t="s">
        <v>38</v>
      </c>
      <c r="H317" s="1" t="s">
        <v>1966</v>
      </c>
      <c r="I317" s="1" t="s">
        <v>51</v>
      </c>
      <c r="J317" s="1" t="s">
        <v>55</v>
      </c>
      <c r="K317" s="1"/>
      <c r="L317" s="1"/>
    </row>
    <row r="318" spans="1:12" s="32" customFormat="1" hidden="1" x14ac:dyDescent="0.3">
      <c r="A318" s="37">
        <v>46140.452569444446</v>
      </c>
      <c r="B318" s="1">
        <v>43988030048</v>
      </c>
      <c r="C318" s="1" t="s">
        <v>44</v>
      </c>
      <c r="D318" s="1">
        <v>4430265054</v>
      </c>
      <c r="E318" s="1">
        <v>189</v>
      </c>
      <c r="F318" s="1">
        <v>110</v>
      </c>
      <c r="G318" s="1" t="s">
        <v>38</v>
      </c>
      <c r="H318" s="1" t="s">
        <v>1967</v>
      </c>
      <c r="I318" s="1" t="s">
        <v>39</v>
      </c>
      <c r="J318" s="1" t="s">
        <v>40</v>
      </c>
      <c r="K318" s="1" t="s">
        <v>41</v>
      </c>
      <c r="L318" s="1"/>
    </row>
    <row r="319" spans="1:12" s="32" customFormat="1" hidden="1" x14ac:dyDescent="0.3">
      <c r="A319" s="37">
        <v>46140.451851851853</v>
      </c>
      <c r="B319" s="1">
        <v>4421032923</v>
      </c>
      <c r="C319" s="1">
        <v>4430265054</v>
      </c>
      <c r="D319" s="1">
        <v>4430265054</v>
      </c>
      <c r="E319" s="1">
        <v>3</v>
      </c>
      <c r="F319" s="1">
        <v>2</v>
      </c>
      <c r="G319" s="1" t="s">
        <v>52</v>
      </c>
      <c r="H319" s="1" t="s">
        <v>1968</v>
      </c>
      <c r="I319" s="1" t="s">
        <v>39</v>
      </c>
      <c r="J319" s="1" t="s">
        <v>53</v>
      </c>
      <c r="K319" s="1"/>
      <c r="L319" s="1"/>
    </row>
    <row r="320" spans="1:12" s="32" customFormat="1" hidden="1" x14ac:dyDescent="0.3">
      <c r="A320" s="37">
        <v>46140.451226851852</v>
      </c>
      <c r="B320" s="1" t="s">
        <v>54</v>
      </c>
      <c r="C320" s="1">
        <v>62982477966</v>
      </c>
      <c r="D320" s="1"/>
      <c r="E320" s="1">
        <v>40</v>
      </c>
      <c r="F320" s="1">
        <v>3</v>
      </c>
      <c r="G320" s="1" t="s">
        <v>38</v>
      </c>
      <c r="H320" s="1" t="s">
        <v>1969</v>
      </c>
      <c r="I320" s="1" t="s">
        <v>46</v>
      </c>
      <c r="J320" s="1" t="s">
        <v>55</v>
      </c>
      <c r="K320" s="1"/>
      <c r="L320" s="1"/>
    </row>
    <row r="321" spans="1:12" s="32" customFormat="1" hidden="1" x14ac:dyDescent="0.3">
      <c r="A321" s="37">
        <v>46140.450613425928</v>
      </c>
      <c r="B321" s="1" t="s">
        <v>54</v>
      </c>
      <c r="C321" s="1">
        <v>15996851109</v>
      </c>
      <c r="D321" s="1"/>
      <c r="E321" s="1">
        <v>26</v>
      </c>
      <c r="F321" s="1">
        <v>0</v>
      </c>
      <c r="G321" s="1" t="s">
        <v>47</v>
      </c>
      <c r="H321" s="1" t="s">
        <v>1970</v>
      </c>
      <c r="I321" s="1" t="s">
        <v>46</v>
      </c>
      <c r="J321" s="1" t="s">
        <v>55</v>
      </c>
      <c r="K321" s="1"/>
      <c r="L321" s="1"/>
    </row>
    <row r="322" spans="1:12" s="32" customFormat="1" hidden="1" x14ac:dyDescent="0.3">
      <c r="A322" s="37">
        <v>46140.450219907405</v>
      </c>
      <c r="B322" s="1">
        <v>83988398480</v>
      </c>
      <c r="C322" s="1" t="s">
        <v>37</v>
      </c>
      <c r="D322" s="1">
        <v>4430265054</v>
      </c>
      <c r="E322" s="1">
        <v>143</v>
      </c>
      <c r="F322" s="1">
        <v>127</v>
      </c>
      <c r="G322" s="1" t="s">
        <v>38</v>
      </c>
      <c r="H322" s="1" t="s">
        <v>1971</v>
      </c>
      <c r="I322" s="1" t="s">
        <v>39</v>
      </c>
      <c r="J322" s="1" t="s">
        <v>40</v>
      </c>
      <c r="K322" s="1" t="s">
        <v>41</v>
      </c>
      <c r="L322" s="1"/>
    </row>
    <row r="323" spans="1:12" s="32" customFormat="1" hidden="1" x14ac:dyDescent="0.3">
      <c r="A323" s="37">
        <v>46140.443611111114</v>
      </c>
      <c r="B323" s="1">
        <v>44988255390</v>
      </c>
      <c r="C323" s="1" t="s">
        <v>43</v>
      </c>
      <c r="D323" s="1">
        <v>4430265054</v>
      </c>
      <c r="E323" s="1">
        <v>364</v>
      </c>
      <c r="F323" s="1">
        <v>289</v>
      </c>
      <c r="G323" s="1" t="s">
        <v>38</v>
      </c>
      <c r="H323" s="1" t="s">
        <v>1972</v>
      </c>
      <c r="I323" s="1" t="s">
        <v>39</v>
      </c>
      <c r="J323" s="1" t="s">
        <v>40</v>
      </c>
      <c r="K323" s="1" t="s">
        <v>41</v>
      </c>
      <c r="L323" s="1"/>
    </row>
    <row r="324" spans="1:12" s="32" customFormat="1" hidden="1" x14ac:dyDescent="0.3">
      <c r="A324" s="37">
        <v>46140.441203703704</v>
      </c>
      <c r="B324" s="1">
        <v>4430414545</v>
      </c>
      <c r="C324" s="1" t="s">
        <v>44</v>
      </c>
      <c r="D324" s="1">
        <v>4430265054</v>
      </c>
      <c r="E324" s="1">
        <v>282</v>
      </c>
      <c r="F324" s="1">
        <v>250</v>
      </c>
      <c r="G324" s="1" t="s">
        <v>38</v>
      </c>
      <c r="H324" s="1" t="s">
        <v>1973</v>
      </c>
      <c r="I324" s="1" t="s">
        <v>39</v>
      </c>
      <c r="J324" s="1" t="s">
        <v>40</v>
      </c>
      <c r="K324" s="1" t="s">
        <v>41</v>
      </c>
      <c r="L324" s="1"/>
    </row>
    <row r="325" spans="1:12" s="32" customFormat="1" hidden="1" x14ac:dyDescent="0.3">
      <c r="A325" s="37">
        <v>46140.435752314814</v>
      </c>
      <c r="B325" s="1">
        <v>4334234629</v>
      </c>
      <c r="C325" s="1">
        <v>4430265054</v>
      </c>
      <c r="D325" s="1">
        <v>4430265054</v>
      </c>
      <c r="E325" s="1">
        <v>3</v>
      </c>
      <c r="F325" s="1">
        <v>2</v>
      </c>
      <c r="G325" s="1" t="s">
        <v>52</v>
      </c>
      <c r="H325" s="1" t="s">
        <v>1974</v>
      </c>
      <c r="I325" s="1" t="s">
        <v>39</v>
      </c>
      <c r="J325" s="1" t="s">
        <v>53</v>
      </c>
      <c r="K325" s="1"/>
      <c r="L325" s="1"/>
    </row>
    <row r="326" spans="1:12" s="32" customFormat="1" hidden="1" x14ac:dyDescent="0.3">
      <c r="A326" s="37">
        <v>46140.435682870368</v>
      </c>
      <c r="B326" s="1" t="s">
        <v>45</v>
      </c>
      <c r="C326" s="1">
        <v>4334232912</v>
      </c>
      <c r="D326" s="1"/>
      <c r="E326" s="1">
        <v>1719</v>
      </c>
      <c r="F326" s="1">
        <v>1700</v>
      </c>
      <c r="G326" s="1" t="s">
        <v>38</v>
      </c>
      <c r="H326" s="1" t="s">
        <v>1975</v>
      </c>
      <c r="I326" s="1" t="s">
        <v>46</v>
      </c>
      <c r="J326" s="1" t="s">
        <v>40</v>
      </c>
      <c r="K326" s="1"/>
      <c r="L326" s="1"/>
    </row>
    <row r="327" spans="1:12" s="32" customFormat="1" hidden="1" x14ac:dyDescent="0.3">
      <c r="A327" s="37">
        <v>46140.430335648147</v>
      </c>
      <c r="B327" s="1">
        <v>4334232912</v>
      </c>
      <c r="C327" s="1" t="s">
        <v>45</v>
      </c>
      <c r="D327" s="1">
        <v>4430265054</v>
      </c>
      <c r="E327" s="1">
        <v>416</v>
      </c>
      <c r="F327" s="1">
        <v>318</v>
      </c>
      <c r="G327" s="1" t="s">
        <v>38</v>
      </c>
      <c r="H327" s="1" t="s">
        <v>1976</v>
      </c>
      <c r="I327" s="1" t="s">
        <v>39</v>
      </c>
      <c r="J327" s="1" t="s">
        <v>40</v>
      </c>
      <c r="K327" s="1" t="s">
        <v>41</v>
      </c>
      <c r="L327" s="1"/>
    </row>
    <row r="328" spans="1:12" s="32" customFormat="1" hidden="1" x14ac:dyDescent="0.3">
      <c r="A328" s="37">
        <v>46140.4296875</v>
      </c>
      <c r="B328" s="1">
        <v>12981700386</v>
      </c>
      <c r="C328" s="1" t="s">
        <v>43</v>
      </c>
      <c r="D328" s="1">
        <v>4430265054</v>
      </c>
      <c r="E328" s="1">
        <v>171</v>
      </c>
      <c r="F328" s="1">
        <v>117</v>
      </c>
      <c r="G328" s="1" t="s">
        <v>38</v>
      </c>
      <c r="H328" s="1" t="s">
        <v>1977</v>
      </c>
      <c r="I328" s="1" t="s">
        <v>39</v>
      </c>
      <c r="J328" s="1" t="s">
        <v>40</v>
      </c>
      <c r="K328" s="1" t="s">
        <v>41</v>
      </c>
      <c r="L328" s="1"/>
    </row>
    <row r="329" spans="1:12" s="32" customFormat="1" hidden="1" x14ac:dyDescent="0.3">
      <c r="A329" s="37">
        <v>46140.421006944445</v>
      </c>
      <c r="B329" s="1">
        <v>44991116911</v>
      </c>
      <c r="C329" s="1" t="s">
        <v>43</v>
      </c>
      <c r="D329" s="1">
        <v>4430265054</v>
      </c>
      <c r="E329" s="1">
        <v>387</v>
      </c>
      <c r="F329" s="1">
        <v>303</v>
      </c>
      <c r="G329" s="1" t="s">
        <v>38</v>
      </c>
      <c r="H329" s="1" t="s">
        <v>1978</v>
      </c>
      <c r="I329" s="1" t="s">
        <v>39</v>
      </c>
      <c r="J329" s="1" t="s">
        <v>40</v>
      </c>
      <c r="K329" s="1" t="s">
        <v>41</v>
      </c>
      <c r="L329" s="1">
        <v>5</v>
      </c>
    </row>
    <row r="330" spans="1:12" s="32" customFormat="1" hidden="1" x14ac:dyDescent="0.3">
      <c r="A330" s="37">
        <v>46140.420717592591</v>
      </c>
      <c r="B330" s="1">
        <v>4421032929</v>
      </c>
      <c r="C330" s="1">
        <v>4430265054</v>
      </c>
      <c r="D330" s="1">
        <v>4430265054</v>
      </c>
      <c r="E330" s="1">
        <v>3</v>
      </c>
      <c r="F330" s="1">
        <v>2</v>
      </c>
      <c r="G330" s="1" t="s">
        <v>52</v>
      </c>
      <c r="H330" s="1" t="s">
        <v>1979</v>
      </c>
      <c r="I330" s="1" t="s">
        <v>39</v>
      </c>
      <c r="J330" s="1" t="s">
        <v>53</v>
      </c>
      <c r="K330" s="1"/>
      <c r="L330" s="1"/>
    </row>
    <row r="331" spans="1:12" s="32" customFormat="1" hidden="1" x14ac:dyDescent="0.3">
      <c r="A331" s="37">
        <v>46140.411493055559</v>
      </c>
      <c r="B331" s="1" t="s">
        <v>48</v>
      </c>
      <c r="C331" s="1">
        <v>99985198624</v>
      </c>
      <c r="D331" s="1"/>
      <c r="E331" s="1">
        <v>704</v>
      </c>
      <c r="F331" s="1">
        <v>692</v>
      </c>
      <c r="G331" s="1" t="s">
        <v>38</v>
      </c>
      <c r="H331" s="1" t="s">
        <v>1980</v>
      </c>
      <c r="I331" s="1" t="s">
        <v>46</v>
      </c>
      <c r="J331" s="1" t="s">
        <v>40</v>
      </c>
      <c r="K331" s="1"/>
      <c r="L331" s="1"/>
    </row>
    <row r="332" spans="1:12" s="32" customFormat="1" hidden="1" x14ac:dyDescent="0.3">
      <c r="A332" s="37">
        <v>46140.404872685183</v>
      </c>
      <c r="B332" s="1">
        <v>44984361000</v>
      </c>
      <c r="C332" s="1" t="s">
        <v>45</v>
      </c>
      <c r="D332" s="1">
        <v>4430265054</v>
      </c>
      <c r="E332" s="1">
        <v>1268</v>
      </c>
      <c r="F332" s="1">
        <v>1151</v>
      </c>
      <c r="G332" s="1" t="s">
        <v>38</v>
      </c>
      <c r="H332" s="1" t="s">
        <v>1981</v>
      </c>
      <c r="I332" s="1" t="s">
        <v>39</v>
      </c>
      <c r="J332" s="1" t="s">
        <v>40</v>
      </c>
      <c r="K332" s="1" t="s">
        <v>41</v>
      </c>
      <c r="L332" s="1">
        <v>5</v>
      </c>
    </row>
    <row r="333" spans="1:12" s="32" customFormat="1" hidden="1" x14ac:dyDescent="0.3">
      <c r="A333" s="37">
        <v>46140.404409722221</v>
      </c>
      <c r="B333" s="1" t="s">
        <v>54</v>
      </c>
      <c r="C333" s="1">
        <v>51996234888</v>
      </c>
      <c r="D333" s="1"/>
      <c r="E333" s="1">
        <v>23</v>
      </c>
      <c r="F333" s="1">
        <v>1</v>
      </c>
      <c r="G333" s="1" t="s">
        <v>38</v>
      </c>
      <c r="H333" s="1" t="s">
        <v>1982</v>
      </c>
      <c r="I333" s="1" t="s">
        <v>46</v>
      </c>
      <c r="J333" s="1" t="s">
        <v>55</v>
      </c>
      <c r="K333" s="1"/>
      <c r="L333" s="1"/>
    </row>
    <row r="334" spans="1:12" s="32" customFormat="1" x14ac:dyDescent="0.3">
      <c r="A334" s="37">
        <v>46140.403506944444</v>
      </c>
      <c r="B334" s="1">
        <v>44998761561</v>
      </c>
      <c r="C334" s="1" t="s">
        <v>37</v>
      </c>
      <c r="D334" s="1">
        <v>4430265054</v>
      </c>
      <c r="E334" s="1">
        <v>3809</v>
      </c>
      <c r="F334" s="1">
        <v>3754</v>
      </c>
      <c r="G334" s="1" t="s">
        <v>38</v>
      </c>
      <c r="H334" s="1" t="s">
        <v>1983</v>
      </c>
      <c r="I334" s="1" t="s">
        <v>39</v>
      </c>
      <c r="J334" s="1" t="s">
        <v>40</v>
      </c>
      <c r="K334" s="1" t="s">
        <v>41</v>
      </c>
      <c r="L334" s="1">
        <v>5</v>
      </c>
    </row>
    <row r="335" spans="1:12" s="32" customFormat="1" hidden="1" x14ac:dyDescent="0.3">
      <c r="A335" s="37">
        <v>46140.403414351851</v>
      </c>
      <c r="B335" s="1" t="s">
        <v>54</v>
      </c>
      <c r="C335" s="1">
        <v>85988820914</v>
      </c>
      <c r="D335" s="1"/>
      <c r="E335" s="1">
        <v>9</v>
      </c>
      <c r="F335" s="1">
        <v>0</v>
      </c>
      <c r="G335" s="1" t="s">
        <v>47</v>
      </c>
      <c r="H335" s="1" t="s">
        <v>1984</v>
      </c>
      <c r="I335" s="1" t="s">
        <v>46</v>
      </c>
      <c r="J335" s="1" t="s">
        <v>55</v>
      </c>
      <c r="K335" s="1"/>
      <c r="L335" s="1"/>
    </row>
    <row r="336" spans="1:12" s="32" customFormat="1" hidden="1" x14ac:dyDescent="0.3">
      <c r="A336" s="37">
        <v>46140.402696759258</v>
      </c>
      <c r="B336" s="1" t="s">
        <v>54</v>
      </c>
      <c r="C336" s="1">
        <v>62981062385</v>
      </c>
      <c r="D336" s="1"/>
      <c r="E336" s="1">
        <v>8</v>
      </c>
      <c r="F336" s="1">
        <v>0</v>
      </c>
      <c r="G336" s="1" t="s">
        <v>47</v>
      </c>
      <c r="H336" s="1" t="s">
        <v>1985</v>
      </c>
      <c r="I336" s="1" t="s">
        <v>46</v>
      </c>
      <c r="J336" s="1" t="s">
        <v>55</v>
      </c>
      <c r="K336" s="1"/>
      <c r="L336" s="1"/>
    </row>
    <row r="337" spans="1:12" s="32" customFormat="1" hidden="1" x14ac:dyDescent="0.3">
      <c r="A337" s="37">
        <v>46140.401134259257</v>
      </c>
      <c r="B337" s="1" t="s">
        <v>54</v>
      </c>
      <c r="C337" s="1">
        <v>31999081758</v>
      </c>
      <c r="D337" s="1"/>
      <c r="E337" s="1">
        <v>25</v>
      </c>
      <c r="F337" s="1">
        <v>2</v>
      </c>
      <c r="G337" s="1" t="s">
        <v>38</v>
      </c>
      <c r="H337" s="1" t="s">
        <v>1986</v>
      </c>
      <c r="I337" s="1" t="s">
        <v>46</v>
      </c>
      <c r="J337" s="1" t="s">
        <v>55</v>
      </c>
      <c r="K337" s="1"/>
      <c r="L337" s="1"/>
    </row>
    <row r="338" spans="1:12" s="32" customFormat="1" hidden="1" x14ac:dyDescent="0.3">
      <c r="A338" s="37">
        <v>46140.400717592594</v>
      </c>
      <c r="B338" s="1">
        <v>99985198624</v>
      </c>
      <c r="C338" s="1">
        <v>4431268225</v>
      </c>
      <c r="D338" s="1">
        <v>4431268225</v>
      </c>
      <c r="E338" s="1">
        <v>5</v>
      </c>
      <c r="F338" s="1">
        <v>5</v>
      </c>
      <c r="G338" s="1" t="s">
        <v>52</v>
      </c>
      <c r="H338" s="1" t="s">
        <v>1987</v>
      </c>
      <c r="I338" s="1" t="s">
        <v>39</v>
      </c>
      <c r="J338" s="1" t="s">
        <v>53</v>
      </c>
      <c r="K338" s="1"/>
      <c r="L338" s="1"/>
    </row>
    <row r="339" spans="1:12" s="32" customFormat="1" hidden="1" x14ac:dyDescent="0.3">
      <c r="A339" s="37">
        <v>46140.400451388887</v>
      </c>
      <c r="B339" s="1" t="s">
        <v>48</v>
      </c>
      <c r="C339" s="1">
        <v>99985198624</v>
      </c>
      <c r="D339" s="1"/>
      <c r="E339" s="1">
        <v>11</v>
      </c>
      <c r="F339" s="1">
        <v>0</v>
      </c>
      <c r="G339" s="1" t="s">
        <v>47</v>
      </c>
      <c r="H339" s="1" t="s">
        <v>1988</v>
      </c>
      <c r="I339" s="1" t="s">
        <v>46</v>
      </c>
      <c r="J339" s="1" t="s">
        <v>40</v>
      </c>
      <c r="K339" s="1"/>
      <c r="L339" s="1"/>
    </row>
    <row r="340" spans="1:12" s="32" customFormat="1" hidden="1" x14ac:dyDescent="0.3">
      <c r="A340" s="37">
        <v>46140.400451388887</v>
      </c>
      <c r="B340" s="1">
        <v>4430459001</v>
      </c>
      <c r="C340" s="1" t="s">
        <v>45</v>
      </c>
      <c r="D340" s="1">
        <v>4430265054</v>
      </c>
      <c r="E340" s="1">
        <v>246</v>
      </c>
      <c r="F340" s="1">
        <v>103</v>
      </c>
      <c r="G340" s="1" t="s">
        <v>38</v>
      </c>
      <c r="H340" s="1" t="s">
        <v>1989</v>
      </c>
      <c r="I340" s="1" t="s">
        <v>39</v>
      </c>
      <c r="J340" s="1" t="s">
        <v>40</v>
      </c>
      <c r="K340" s="1" t="s">
        <v>41</v>
      </c>
      <c r="L340" s="1"/>
    </row>
    <row r="341" spans="1:12" s="32" customFormat="1" hidden="1" x14ac:dyDescent="0.3">
      <c r="A341" s="37">
        <v>46140.399131944447</v>
      </c>
      <c r="B341" s="1" t="s">
        <v>48</v>
      </c>
      <c r="C341" s="1">
        <v>99985198624</v>
      </c>
      <c r="D341" s="1"/>
      <c r="E341" s="1">
        <v>12</v>
      </c>
      <c r="F341" s="1">
        <v>0</v>
      </c>
      <c r="G341" s="1" t="s">
        <v>47</v>
      </c>
      <c r="H341" s="1" t="s">
        <v>1990</v>
      </c>
      <c r="I341" s="1" t="s">
        <v>46</v>
      </c>
      <c r="J341" s="1" t="s">
        <v>40</v>
      </c>
      <c r="K341" s="1"/>
      <c r="L341" s="1"/>
    </row>
    <row r="342" spans="1:12" s="32" customFormat="1" hidden="1" x14ac:dyDescent="0.3">
      <c r="A342" s="37">
        <v>46140.397604166668</v>
      </c>
      <c r="B342" s="1" t="s">
        <v>54</v>
      </c>
      <c r="C342" s="1">
        <v>31990713329</v>
      </c>
      <c r="D342" s="1"/>
      <c r="E342" s="1">
        <v>37</v>
      </c>
      <c r="F342" s="1">
        <v>0</v>
      </c>
      <c r="G342" s="1" t="s">
        <v>47</v>
      </c>
      <c r="H342" s="1" t="s">
        <v>1991</v>
      </c>
      <c r="I342" s="1" t="s">
        <v>46</v>
      </c>
      <c r="J342" s="1" t="s">
        <v>55</v>
      </c>
      <c r="K342" s="1"/>
      <c r="L342" s="1"/>
    </row>
    <row r="343" spans="1:12" s="32" customFormat="1" hidden="1" x14ac:dyDescent="0.3">
      <c r="A343" s="37">
        <v>46140.397106481483</v>
      </c>
      <c r="B343" s="1" t="s">
        <v>48</v>
      </c>
      <c r="C343" s="1">
        <v>99985198624</v>
      </c>
      <c r="D343" s="1"/>
      <c r="E343" s="1">
        <v>45</v>
      </c>
      <c r="F343" s="1">
        <v>31</v>
      </c>
      <c r="G343" s="1" t="s">
        <v>38</v>
      </c>
      <c r="H343" s="1" t="s">
        <v>1992</v>
      </c>
      <c r="I343" s="1" t="s">
        <v>46</v>
      </c>
      <c r="J343" s="1" t="s">
        <v>40</v>
      </c>
      <c r="K343" s="1"/>
      <c r="L343" s="1"/>
    </row>
    <row r="344" spans="1:12" s="32" customFormat="1" hidden="1" x14ac:dyDescent="0.3">
      <c r="A344" s="37">
        <v>46140.396643518521</v>
      </c>
      <c r="B344" s="1" t="s">
        <v>48</v>
      </c>
      <c r="C344" s="1">
        <v>99985198624</v>
      </c>
      <c r="D344" s="1"/>
      <c r="E344" s="1">
        <v>14</v>
      </c>
      <c r="F344" s="1">
        <v>0</v>
      </c>
      <c r="G344" s="1" t="s">
        <v>47</v>
      </c>
      <c r="H344" s="1" t="s">
        <v>1993</v>
      </c>
      <c r="I344" s="1" t="s">
        <v>46</v>
      </c>
      <c r="J344" s="1" t="s">
        <v>40</v>
      </c>
      <c r="K344" s="1"/>
      <c r="L344" s="1"/>
    </row>
    <row r="345" spans="1:12" s="32" customFormat="1" hidden="1" x14ac:dyDescent="0.3">
      <c r="A345" s="37">
        <v>46140.396192129629</v>
      </c>
      <c r="B345" s="1" t="s">
        <v>54</v>
      </c>
      <c r="C345" s="1">
        <v>27997989494</v>
      </c>
      <c r="D345" s="1"/>
      <c r="E345" s="1">
        <v>11</v>
      </c>
      <c r="F345" s="1">
        <v>2</v>
      </c>
      <c r="G345" s="1" t="s">
        <v>38</v>
      </c>
      <c r="H345" s="1" t="s">
        <v>1994</v>
      </c>
      <c r="I345" s="1" t="s">
        <v>46</v>
      </c>
      <c r="J345" s="1" t="s">
        <v>55</v>
      </c>
      <c r="K345" s="1"/>
      <c r="L345" s="1"/>
    </row>
    <row r="346" spans="1:12" s="32" customFormat="1" hidden="1" x14ac:dyDescent="0.3">
      <c r="A346" s="37">
        <v>46140.39565972222</v>
      </c>
      <c r="B346" s="1" t="s">
        <v>54</v>
      </c>
      <c r="C346" s="1">
        <v>85996462703</v>
      </c>
      <c r="D346" s="1"/>
      <c r="E346" s="1">
        <v>23</v>
      </c>
      <c r="F346" s="1">
        <v>3</v>
      </c>
      <c r="G346" s="1" t="s">
        <v>38</v>
      </c>
      <c r="H346" s="1" t="s">
        <v>1995</v>
      </c>
      <c r="I346" s="1" t="s">
        <v>46</v>
      </c>
      <c r="J346" s="1" t="s">
        <v>55</v>
      </c>
      <c r="K346" s="1"/>
      <c r="L346" s="1"/>
    </row>
    <row r="347" spans="1:12" s="32" customFormat="1" hidden="1" x14ac:dyDescent="0.3">
      <c r="A347" s="37">
        <v>46140.394525462965</v>
      </c>
      <c r="B347" s="1" t="s">
        <v>54</v>
      </c>
      <c r="C347" s="1">
        <v>6923981406</v>
      </c>
      <c r="D347" s="1"/>
      <c r="E347" s="1">
        <v>1</v>
      </c>
      <c r="F347" s="1">
        <v>0</v>
      </c>
      <c r="G347" s="1" t="s">
        <v>47</v>
      </c>
      <c r="H347" s="1" t="s">
        <v>1996</v>
      </c>
      <c r="I347" s="1" t="s">
        <v>46</v>
      </c>
      <c r="J347" s="1" t="s">
        <v>55</v>
      </c>
      <c r="K347" s="1"/>
      <c r="L347" s="1"/>
    </row>
    <row r="348" spans="1:12" s="32" customFormat="1" hidden="1" x14ac:dyDescent="0.3">
      <c r="A348" s="37">
        <v>46140.393993055557</v>
      </c>
      <c r="B348" s="1" t="s">
        <v>48</v>
      </c>
      <c r="C348" s="1">
        <v>99985198624</v>
      </c>
      <c r="D348" s="1"/>
      <c r="E348" s="1">
        <v>42</v>
      </c>
      <c r="F348" s="1">
        <v>27</v>
      </c>
      <c r="G348" s="1" t="s">
        <v>38</v>
      </c>
      <c r="H348" s="1" t="s">
        <v>1997</v>
      </c>
      <c r="I348" s="1" t="s">
        <v>46</v>
      </c>
      <c r="J348" s="1" t="s">
        <v>40</v>
      </c>
      <c r="K348" s="1"/>
      <c r="L348" s="1"/>
    </row>
    <row r="349" spans="1:12" s="32" customFormat="1" hidden="1" x14ac:dyDescent="0.3">
      <c r="A349" s="37">
        <v>46140.393819444442</v>
      </c>
      <c r="B349" s="1" t="s">
        <v>48</v>
      </c>
      <c r="C349" s="1">
        <v>99985198624</v>
      </c>
      <c r="D349" s="1"/>
      <c r="E349" s="1">
        <v>12</v>
      </c>
      <c r="F349" s="1">
        <v>0</v>
      </c>
      <c r="G349" s="1" t="s">
        <v>47</v>
      </c>
      <c r="H349" s="1" t="s">
        <v>1998</v>
      </c>
      <c r="I349" s="1" t="s">
        <v>46</v>
      </c>
      <c r="J349" s="1" t="s">
        <v>40</v>
      </c>
      <c r="K349" s="1"/>
      <c r="L349" s="1"/>
    </row>
    <row r="350" spans="1:12" s="32" customFormat="1" hidden="1" x14ac:dyDescent="0.3">
      <c r="A350" s="37">
        <v>46140.391886574071</v>
      </c>
      <c r="B350" s="1" t="s">
        <v>54</v>
      </c>
      <c r="C350" s="1">
        <v>21966373406</v>
      </c>
      <c r="D350" s="1"/>
      <c r="E350" s="1">
        <v>8</v>
      </c>
      <c r="F350" s="1">
        <v>2</v>
      </c>
      <c r="G350" s="1" t="s">
        <v>38</v>
      </c>
      <c r="H350" s="1" t="s">
        <v>1999</v>
      </c>
      <c r="I350" s="1" t="s">
        <v>46</v>
      </c>
      <c r="J350" s="1" t="s">
        <v>55</v>
      </c>
      <c r="K350" s="1"/>
      <c r="L350" s="1"/>
    </row>
    <row r="351" spans="1:12" s="32" customFormat="1" hidden="1" x14ac:dyDescent="0.3">
      <c r="A351" s="37">
        <v>46140.390081018515</v>
      </c>
      <c r="B351" s="1" t="s">
        <v>54</v>
      </c>
      <c r="C351" s="1">
        <v>6635452500</v>
      </c>
      <c r="D351" s="1"/>
      <c r="E351" s="1">
        <v>7</v>
      </c>
      <c r="F351" s="1">
        <v>3</v>
      </c>
      <c r="G351" s="1" t="s">
        <v>38</v>
      </c>
      <c r="H351" s="1" t="s">
        <v>2000</v>
      </c>
      <c r="I351" s="1" t="s">
        <v>46</v>
      </c>
      <c r="J351" s="1" t="s">
        <v>55</v>
      </c>
      <c r="K351" s="1"/>
      <c r="L351" s="1"/>
    </row>
    <row r="352" spans="1:12" s="32" customFormat="1" hidden="1" x14ac:dyDescent="0.3">
      <c r="A352" s="37">
        <v>46140.389479166668</v>
      </c>
      <c r="B352" s="1" t="s">
        <v>54</v>
      </c>
      <c r="C352" s="1">
        <v>31991815885</v>
      </c>
      <c r="D352" s="1"/>
      <c r="E352" s="1">
        <v>24</v>
      </c>
      <c r="F352" s="1">
        <v>7</v>
      </c>
      <c r="G352" s="1" t="s">
        <v>38</v>
      </c>
      <c r="H352" s="1" t="s">
        <v>2001</v>
      </c>
      <c r="I352" s="1" t="s">
        <v>46</v>
      </c>
      <c r="J352" s="1" t="s">
        <v>55</v>
      </c>
      <c r="K352" s="1"/>
      <c r="L352" s="1"/>
    </row>
    <row r="353" spans="1:12" s="32" customFormat="1" hidden="1" x14ac:dyDescent="0.3">
      <c r="A353" s="37">
        <v>46140.388622685183</v>
      </c>
      <c r="B353" s="1" t="s">
        <v>54</v>
      </c>
      <c r="C353" s="1">
        <v>81987093752</v>
      </c>
      <c r="D353" s="1"/>
      <c r="E353" s="1">
        <v>8</v>
      </c>
      <c r="F353" s="1">
        <v>2</v>
      </c>
      <c r="G353" s="1" t="s">
        <v>38</v>
      </c>
      <c r="H353" s="1" t="s">
        <v>2002</v>
      </c>
      <c r="I353" s="1" t="s">
        <v>46</v>
      </c>
      <c r="J353" s="1" t="s">
        <v>55</v>
      </c>
      <c r="K353" s="1"/>
      <c r="L353" s="1"/>
    </row>
    <row r="354" spans="1:12" s="32" customFormat="1" hidden="1" x14ac:dyDescent="0.3">
      <c r="A354" s="37">
        <v>46140.388564814813</v>
      </c>
      <c r="B354" s="1">
        <v>44991116911</v>
      </c>
      <c r="C354" s="1" t="s">
        <v>43</v>
      </c>
      <c r="D354" s="1">
        <v>4430265054</v>
      </c>
      <c r="E354" s="1">
        <v>212</v>
      </c>
      <c r="F354" s="1">
        <v>174</v>
      </c>
      <c r="G354" s="1" t="s">
        <v>38</v>
      </c>
      <c r="H354" s="1" t="s">
        <v>2003</v>
      </c>
      <c r="I354" s="1" t="s">
        <v>39</v>
      </c>
      <c r="J354" s="1" t="s">
        <v>40</v>
      </c>
      <c r="K354" s="1" t="s">
        <v>41</v>
      </c>
      <c r="L354" s="1"/>
    </row>
    <row r="355" spans="1:12" s="32" customFormat="1" hidden="1" x14ac:dyDescent="0.3">
      <c r="A355" s="37">
        <v>46140.387812499997</v>
      </c>
      <c r="B355" s="1">
        <v>4430288517</v>
      </c>
      <c r="C355" s="1" t="s">
        <v>44</v>
      </c>
      <c r="D355" s="1">
        <v>4430265054</v>
      </c>
      <c r="E355" s="1">
        <v>1933</v>
      </c>
      <c r="F355" s="1">
        <v>1841</v>
      </c>
      <c r="G355" s="1" t="s">
        <v>38</v>
      </c>
      <c r="H355" s="1" t="s">
        <v>2004</v>
      </c>
      <c r="I355" s="1" t="s">
        <v>39</v>
      </c>
      <c r="J355" s="1" t="s">
        <v>40</v>
      </c>
      <c r="K355" s="1" t="s">
        <v>41</v>
      </c>
      <c r="L355" s="1"/>
    </row>
    <row r="356" spans="1:12" s="32" customFormat="1" hidden="1" x14ac:dyDescent="0.3">
      <c r="A356" s="37">
        <v>46140.384375000001</v>
      </c>
      <c r="B356" s="1" t="s">
        <v>54</v>
      </c>
      <c r="C356" s="1">
        <v>31982774709</v>
      </c>
      <c r="D356" s="1"/>
      <c r="E356" s="1">
        <v>15</v>
      </c>
      <c r="F356" s="1">
        <v>0</v>
      </c>
      <c r="G356" s="1" t="s">
        <v>47</v>
      </c>
      <c r="H356" s="1" t="s">
        <v>2005</v>
      </c>
      <c r="I356" s="1" t="s">
        <v>46</v>
      </c>
      <c r="J356" s="1" t="s">
        <v>55</v>
      </c>
      <c r="K356" s="1"/>
      <c r="L356" s="1"/>
    </row>
    <row r="357" spans="1:12" s="32" customFormat="1" hidden="1" x14ac:dyDescent="0.3">
      <c r="A357" s="37">
        <v>46140.383842592593</v>
      </c>
      <c r="B357" s="1">
        <v>81988293889</v>
      </c>
      <c r="C357" s="1" t="s">
        <v>45</v>
      </c>
      <c r="D357" s="1">
        <v>4431268225</v>
      </c>
      <c r="E357" s="1">
        <v>728</v>
      </c>
      <c r="F357" s="1">
        <v>700</v>
      </c>
      <c r="G357" s="1" t="s">
        <v>38</v>
      </c>
      <c r="H357" s="1" t="s">
        <v>2006</v>
      </c>
      <c r="I357" s="1" t="s">
        <v>39</v>
      </c>
      <c r="J357" s="1" t="s">
        <v>40</v>
      </c>
      <c r="K357" s="1" t="s">
        <v>41</v>
      </c>
      <c r="L357" s="1">
        <v>5</v>
      </c>
    </row>
    <row r="358" spans="1:12" s="32" customFormat="1" hidden="1" x14ac:dyDescent="0.3">
      <c r="A358" s="37">
        <v>46140.381805555553</v>
      </c>
      <c r="B358" s="1" t="s">
        <v>54</v>
      </c>
      <c r="C358" s="1">
        <v>61991942537</v>
      </c>
      <c r="D358" s="1"/>
      <c r="E358" s="1">
        <v>12</v>
      </c>
      <c r="F358" s="1">
        <v>2</v>
      </c>
      <c r="G358" s="1" t="s">
        <v>38</v>
      </c>
      <c r="H358" s="1" t="s">
        <v>2007</v>
      </c>
      <c r="I358" s="1" t="s">
        <v>46</v>
      </c>
      <c r="J358" s="1" t="s">
        <v>55</v>
      </c>
      <c r="K358" s="1"/>
      <c r="L358" s="1"/>
    </row>
    <row r="359" spans="1:12" s="32" customFormat="1" hidden="1" x14ac:dyDescent="0.3">
      <c r="A359" s="37">
        <v>46140.380729166667</v>
      </c>
      <c r="B359" s="1" t="s">
        <v>54</v>
      </c>
      <c r="C359" s="1">
        <v>46999297232</v>
      </c>
      <c r="D359" s="1"/>
      <c r="E359" s="1">
        <v>1</v>
      </c>
      <c r="F359" s="1">
        <v>0</v>
      </c>
      <c r="G359" s="1" t="s">
        <v>47</v>
      </c>
      <c r="H359" s="1" t="s">
        <v>2008</v>
      </c>
      <c r="I359" s="1" t="s">
        <v>46</v>
      </c>
      <c r="J359" s="1" t="s">
        <v>55</v>
      </c>
      <c r="K359" s="1"/>
      <c r="L359" s="1"/>
    </row>
    <row r="360" spans="1:12" s="32" customFormat="1" x14ac:dyDescent="0.3">
      <c r="A360" s="37">
        <v>46140.379583333335</v>
      </c>
      <c r="B360" s="1">
        <v>4330333558</v>
      </c>
      <c r="C360" s="1" t="s">
        <v>37</v>
      </c>
      <c r="D360" s="1">
        <v>4430265054</v>
      </c>
      <c r="E360" s="1">
        <v>310</v>
      </c>
      <c r="F360" s="1">
        <v>244</v>
      </c>
      <c r="G360" s="1" t="s">
        <v>38</v>
      </c>
      <c r="H360" s="1" t="s">
        <v>2009</v>
      </c>
      <c r="I360" s="1" t="s">
        <v>39</v>
      </c>
      <c r="J360" s="1" t="s">
        <v>40</v>
      </c>
      <c r="K360" s="1" t="s">
        <v>41</v>
      </c>
      <c r="L360" s="1">
        <v>5</v>
      </c>
    </row>
    <row r="361" spans="1:12" s="32" customFormat="1" hidden="1" x14ac:dyDescent="0.3">
      <c r="A361" s="37">
        <v>46140.379583333335</v>
      </c>
      <c r="B361" s="1" t="s">
        <v>54</v>
      </c>
      <c r="C361" s="1">
        <v>28999662622</v>
      </c>
      <c r="D361" s="1"/>
      <c r="E361" s="1">
        <v>15</v>
      </c>
      <c r="F361" s="1">
        <v>0</v>
      </c>
      <c r="G361" s="1" t="s">
        <v>47</v>
      </c>
      <c r="H361" s="1" t="s">
        <v>2010</v>
      </c>
      <c r="I361" s="1" t="s">
        <v>46</v>
      </c>
      <c r="J361" s="1" t="s">
        <v>55</v>
      </c>
      <c r="K361" s="1"/>
      <c r="L361" s="1"/>
    </row>
    <row r="362" spans="1:12" s="32" customFormat="1" hidden="1" x14ac:dyDescent="0.3">
      <c r="A362" s="37">
        <v>46140.378194444442</v>
      </c>
      <c r="B362" s="1">
        <v>4432524652</v>
      </c>
      <c r="C362" s="1" t="s">
        <v>43</v>
      </c>
      <c r="D362" s="1">
        <v>4430265054</v>
      </c>
      <c r="E362" s="1">
        <v>332</v>
      </c>
      <c r="F362" s="1">
        <v>257</v>
      </c>
      <c r="G362" s="1" t="s">
        <v>38</v>
      </c>
      <c r="H362" s="1" t="s">
        <v>2011</v>
      </c>
      <c r="I362" s="1" t="s">
        <v>39</v>
      </c>
      <c r="J362" s="1" t="s">
        <v>40</v>
      </c>
      <c r="K362" s="1" t="s">
        <v>41</v>
      </c>
      <c r="L362" s="1">
        <v>5</v>
      </c>
    </row>
    <row r="363" spans="1:12" s="32" customFormat="1" hidden="1" x14ac:dyDescent="0.3">
      <c r="A363" s="37">
        <v>46140.372303240743</v>
      </c>
      <c r="B363" s="1" t="s">
        <v>43</v>
      </c>
      <c r="C363" s="1">
        <v>1131043888</v>
      </c>
      <c r="D363" s="1"/>
      <c r="E363" s="1">
        <v>163</v>
      </c>
      <c r="F363" s="1">
        <v>161</v>
      </c>
      <c r="G363" s="1" t="s">
        <v>38</v>
      </c>
      <c r="H363" s="1" t="s">
        <v>2012</v>
      </c>
      <c r="I363" s="1" t="s">
        <v>46</v>
      </c>
      <c r="J363" s="1" t="s">
        <v>40</v>
      </c>
      <c r="K363" s="1"/>
      <c r="L363" s="1"/>
    </row>
    <row r="364" spans="1:12" s="32" customFormat="1" hidden="1" x14ac:dyDescent="0.3">
      <c r="A364" s="37">
        <v>46140.364398148151</v>
      </c>
      <c r="B364" s="1" t="s">
        <v>48</v>
      </c>
      <c r="C364" s="1">
        <v>4436292220</v>
      </c>
      <c r="D364" s="1"/>
      <c r="E364" s="1">
        <v>67</v>
      </c>
      <c r="F364" s="1">
        <v>57</v>
      </c>
      <c r="G364" s="1" t="s">
        <v>38</v>
      </c>
      <c r="H364" s="1" t="s">
        <v>2013</v>
      </c>
      <c r="I364" s="1" t="s">
        <v>46</v>
      </c>
      <c r="J364" s="1" t="s">
        <v>40</v>
      </c>
      <c r="K364" s="1"/>
      <c r="L364" s="1"/>
    </row>
    <row r="365" spans="1:12" s="32" customFormat="1" x14ac:dyDescent="0.3">
      <c r="A365" s="37">
        <v>46140.362187500003</v>
      </c>
      <c r="B365" s="1">
        <v>4430141533</v>
      </c>
      <c r="C365" s="1" t="s">
        <v>37</v>
      </c>
      <c r="D365" s="1">
        <v>4430265054</v>
      </c>
      <c r="E365" s="1">
        <v>296</v>
      </c>
      <c r="F365" s="1">
        <v>259</v>
      </c>
      <c r="G365" s="1" t="s">
        <v>38</v>
      </c>
      <c r="H365" s="1" t="s">
        <v>2014</v>
      </c>
      <c r="I365" s="1" t="s">
        <v>39</v>
      </c>
      <c r="J365" s="1" t="s">
        <v>40</v>
      </c>
      <c r="K365" s="1" t="s">
        <v>41</v>
      </c>
      <c r="L365" s="1">
        <v>5</v>
      </c>
    </row>
    <row r="366" spans="1:12" s="32" customFormat="1" hidden="1" x14ac:dyDescent="0.3">
      <c r="A366" s="37">
        <v>46139.729664351849</v>
      </c>
      <c r="B366" s="1" t="s">
        <v>48</v>
      </c>
      <c r="C366" s="1">
        <v>4430561673</v>
      </c>
      <c r="D366" s="1"/>
      <c r="E366" s="1">
        <v>222</v>
      </c>
      <c r="F366" s="1">
        <v>214</v>
      </c>
      <c r="G366" s="1" t="s">
        <v>38</v>
      </c>
      <c r="H366" s="1" t="s">
        <v>2015</v>
      </c>
      <c r="I366" s="1" t="s">
        <v>46</v>
      </c>
      <c r="J366" s="1" t="s">
        <v>40</v>
      </c>
      <c r="K366" s="1"/>
      <c r="L366" s="1"/>
    </row>
    <row r="367" spans="1:12" s="32" customFormat="1" hidden="1" x14ac:dyDescent="0.3">
      <c r="A367" s="37">
        <v>46139.708657407406</v>
      </c>
      <c r="B367" s="1" t="s">
        <v>44</v>
      </c>
      <c r="C367" s="1">
        <v>6434534421</v>
      </c>
      <c r="D367" s="1"/>
      <c r="E367" s="1">
        <v>935</v>
      </c>
      <c r="F367" s="1">
        <v>930</v>
      </c>
      <c r="G367" s="1" t="s">
        <v>38</v>
      </c>
      <c r="H367" s="1" t="s">
        <v>2016</v>
      </c>
      <c r="I367" s="1" t="s">
        <v>46</v>
      </c>
      <c r="J367" s="1" t="s">
        <v>40</v>
      </c>
      <c r="K367" s="1"/>
      <c r="L367" s="1"/>
    </row>
    <row r="368" spans="1:12" s="32" customFormat="1" hidden="1" x14ac:dyDescent="0.3">
      <c r="A368" s="37">
        <v>46139.707187499997</v>
      </c>
      <c r="B368" s="1">
        <v>43984040334</v>
      </c>
      <c r="C368" s="1" t="s">
        <v>43</v>
      </c>
      <c r="D368" s="1">
        <v>4430265054</v>
      </c>
      <c r="E368" s="1">
        <v>333</v>
      </c>
      <c r="F368" s="1">
        <v>151</v>
      </c>
      <c r="G368" s="1" t="s">
        <v>38</v>
      </c>
      <c r="H368" s="1" t="s">
        <v>2017</v>
      </c>
      <c r="I368" s="1" t="s">
        <v>39</v>
      </c>
      <c r="J368" s="1" t="s">
        <v>40</v>
      </c>
      <c r="K368" s="1" t="s">
        <v>41</v>
      </c>
      <c r="L368" s="1"/>
    </row>
    <row r="369" spans="1:12" s="32" customFormat="1" x14ac:dyDescent="0.3">
      <c r="A369" s="37">
        <v>46139.697500000002</v>
      </c>
      <c r="B369" s="1">
        <v>44997650834</v>
      </c>
      <c r="C369" s="1" t="s">
        <v>37</v>
      </c>
      <c r="D369" s="1">
        <v>4430265054</v>
      </c>
      <c r="E369" s="1">
        <v>491</v>
      </c>
      <c r="F369" s="1">
        <v>372</v>
      </c>
      <c r="G369" s="1" t="s">
        <v>38</v>
      </c>
      <c r="H369" s="1" t="s">
        <v>2018</v>
      </c>
      <c r="I369" s="1" t="s">
        <v>39</v>
      </c>
      <c r="J369" s="1" t="s">
        <v>40</v>
      </c>
      <c r="K369" s="1" t="s">
        <v>41</v>
      </c>
      <c r="L369" s="1">
        <v>5</v>
      </c>
    </row>
    <row r="370" spans="1:12" s="32" customFormat="1" hidden="1" x14ac:dyDescent="0.3">
      <c r="A370" s="37">
        <v>46139.69635416667</v>
      </c>
      <c r="B370" s="1" t="s">
        <v>54</v>
      </c>
      <c r="C370" s="1">
        <v>84996392091</v>
      </c>
      <c r="D370" s="1"/>
      <c r="E370" s="1">
        <v>13</v>
      </c>
      <c r="F370" s="1">
        <v>1</v>
      </c>
      <c r="G370" s="1" t="s">
        <v>38</v>
      </c>
      <c r="H370" s="1" t="s">
        <v>2019</v>
      </c>
      <c r="I370" s="1" t="s">
        <v>46</v>
      </c>
      <c r="J370" s="1" t="s">
        <v>55</v>
      </c>
      <c r="K370" s="1"/>
      <c r="L370" s="1"/>
    </row>
    <row r="371" spans="1:12" s="32" customFormat="1" hidden="1" x14ac:dyDescent="0.3">
      <c r="A371" s="37">
        <v>46139.692256944443</v>
      </c>
      <c r="B371" s="1">
        <v>4430459032</v>
      </c>
      <c r="C371" s="1" t="s">
        <v>48</v>
      </c>
      <c r="D371" s="1">
        <v>4430265054</v>
      </c>
      <c r="E371" s="1">
        <v>169</v>
      </c>
      <c r="F371" s="1">
        <v>168</v>
      </c>
      <c r="G371" s="1" t="s">
        <v>38</v>
      </c>
      <c r="H371" s="1" t="s">
        <v>2020</v>
      </c>
      <c r="I371" s="1" t="s">
        <v>39</v>
      </c>
      <c r="J371" s="1" t="s">
        <v>40</v>
      </c>
      <c r="K371" s="1" t="s">
        <v>41</v>
      </c>
      <c r="L371" s="1"/>
    </row>
    <row r="372" spans="1:12" s="32" customFormat="1" hidden="1" x14ac:dyDescent="0.3">
      <c r="A372" s="37">
        <v>46139.690474537034</v>
      </c>
      <c r="B372" s="1">
        <v>41999865917</v>
      </c>
      <c r="C372" s="1" t="s">
        <v>45</v>
      </c>
      <c r="D372" s="1">
        <v>4431268225</v>
      </c>
      <c r="E372" s="1">
        <v>1565</v>
      </c>
      <c r="F372" s="1">
        <v>1531</v>
      </c>
      <c r="G372" s="1" t="s">
        <v>38</v>
      </c>
      <c r="H372" s="1" t="s">
        <v>2021</v>
      </c>
      <c r="I372" s="1" t="s">
        <v>39</v>
      </c>
      <c r="J372" s="1" t="s">
        <v>40</v>
      </c>
      <c r="K372" s="1" t="s">
        <v>41</v>
      </c>
      <c r="L372" s="1">
        <v>5</v>
      </c>
    </row>
    <row r="373" spans="1:12" s="32" customFormat="1" hidden="1" x14ac:dyDescent="0.3">
      <c r="A373" s="37">
        <v>46139.690451388888</v>
      </c>
      <c r="B373" s="1">
        <v>44988067937</v>
      </c>
      <c r="C373" s="1" t="s">
        <v>37</v>
      </c>
      <c r="D373" s="1">
        <v>4430265054</v>
      </c>
      <c r="E373" s="1">
        <v>168</v>
      </c>
      <c r="F373" s="1">
        <v>62</v>
      </c>
      <c r="G373" s="1" t="s">
        <v>38</v>
      </c>
      <c r="H373" s="1" t="s">
        <v>2022</v>
      </c>
      <c r="I373" s="1" t="s">
        <v>39</v>
      </c>
      <c r="J373" s="1" t="s">
        <v>40</v>
      </c>
      <c r="K373" s="1" t="s">
        <v>41</v>
      </c>
      <c r="L373" s="1"/>
    </row>
    <row r="374" spans="1:12" s="32" customFormat="1" hidden="1" x14ac:dyDescent="0.3">
      <c r="A374" s="37">
        <v>46139.689074074071</v>
      </c>
      <c r="B374" s="1">
        <v>44984361000</v>
      </c>
      <c r="C374" s="1" t="s">
        <v>43</v>
      </c>
      <c r="D374" s="1">
        <v>4430265054</v>
      </c>
      <c r="E374" s="1">
        <v>402</v>
      </c>
      <c r="F374" s="1">
        <v>343</v>
      </c>
      <c r="G374" s="1" t="s">
        <v>38</v>
      </c>
      <c r="H374" s="1" t="s">
        <v>2023</v>
      </c>
      <c r="I374" s="1" t="s">
        <v>39</v>
      </c>
      <c r="J374" s="1" t="s">
        <v>40</v>
      </c>
      <c r="K374" s="1" t="s">
        <v>41</v>
      </c>
      <c r="L374" s="1"/>
    </row>
    <row r="375" spans="1:12" s="32" customFormat="1" hidden="1" x14ac:dyDescent="0.3">
      <c r="A375" s="37">
        <v>46139.684178240743</v>
      </c>
      <c r="B375" s="1">
        <v>44998761561</v>
      </c>
      <c r="C375" s="1" t="s">
        <v>44</v>
      </c>
      <c r="D375" s="1">
        <v>4430265054</v>
      </c>
      <c r="E375" s="1">
        <v>804</v>
      </c>
      <c r="F375" s="1">
        <v>652</v>
      </c>
      <c r="G375" s="1" t="s">
        <v>38</v>
      </c>
      <c r="H375" s="1" t="s">
        <v>2024</v>
      </c>
      <c r="I375" s="1" t="s">
        <v>39</v>
      </c>
      <c r="J375" s="1" t="s">
        <v>40</v>
      </c>
      <c r="K375" s="1" t="s">
        <v>41</v>
      </c>
      <c r="L375" s="1"/>
    </row>
    <row r="376" spans="1:12" s="32" customFormat="1" hidden="1" x14ac:dyDescent="0.3">
      <c r="A376" s="37">
        <v>46139.683854166666</v>
      </c>
      <c r="B376" s="1">
        <v>44998761561</v>
      </c>
      <c r="C376" s="1">
        <v>4430265054</v>
      </c>
      <c r="D376" s="1">
        <v>4430265054</v>
      </c>
      <c r="E376" s="1">
        <v>1</v>
      </c>
      <c r="F376" s="1">
        <v>0</v>
      </c>
      <c r="G376" s="1" t="s">
        <v>47</v>
      </c>
      <c r="H376" s="1" t="s">
        <v>2025</v>
      </c>
      <c r="I376" s="1" t="s">
        <v>39</v>
      </c>
      <c r="J376" s="1" t="s">
        <v>53</v>
      </c>
      <c r="K376" s="1"/>
      <c r="L376" s="1"/>
    </row>
    <row r="377" spans="1:12" s="32" customFormat="1" hidden="1" x14ac:dyDescent="0.3">
      <c r="A377" s="37">
        <v>46139.680451388886</v>
      </c>
      <c r="B377" s="1" t="s">
        <v>48</v>
      </c>
      <c r="C377" s="1">
        <v>4435221208</v>
      </c>
      <c r="D377" s="1"/>
      <c r="E377" s="1">
        <v>376</v>
      </c>
      <c r="F377" s="1">
        <v>364</v>
      </c>
      <c r="G377" s="1" t="s">
        <v>38</v>
      </c>
      <c r="H377" s="1" t="s">
        <v>2026</v>
      </c>
      <c r="I377" s="1" t="s">
        <v>46</v>
      </c>
      <c r="J377" s="1" t="s">
        <v>40</v>
      </c>
      <c r="K377" s="1"/>
      <c r="L377" s="1"/>
    </row>
    <row r="378" spans="1:12" s="32" customFormat="1" hidden="1" x14ac:dyDescent="0.3">
      <c r="A378" s="37">
        <v>46139.678460648145</v>
      </c>
      <c r="B378" s="1" t="s">
        <v>37</v>
      </c>
      <c r="C378" s="1">
        <v>44999689445</v>
      </c>
      <c r="D378" s="1"/>
      <c r="E378" s="1">
        <v>131</v>
      </c>
      <c r="F378" s="1">
        <v>122</v>
      </c>
      <c r="G378" s="1" t="s">
        <v>38</v>
      </c>
      <c r="H378" s="1" t="s">
        <v>2027</v>
      </c>
      <c r="I378" s="1" t="s">
        <v>46</v>
      </c>
      <c r="J378" s="1" t="s">
        <v>40</v>
      </c>
      <c r="K378" s="1"/>
      <c r="L378" s="1"/>
    </row>
    <row r="379" spans="1:12" s="32" customFormat="1" hidden="1" x14ac:dyDescent="0.3">
      <c r="A379" s="37">
        <v>46139.672777777778</v>
      </c>
      <c r="B379" s="1">
        <v>4330332823</v>
      </c>
      <c r="C379" s="1">
        <v>4430265054</v>
      </c>
      <c r="D379" s="1">
        <v>4430265054</v>
      </c>
      <c r="E379" s="1">
        <v>61</v>
      </c>
      <c r="F379" s="1">
        <v>60</v>
      </c>
      <c r="G379" s="1" t="s">
        <v>52</v>
      </c>
      <c r="H379" s="1" t="s">
        <v>2028</v>
      </c>
      <c r="I379" s="1" t="s">
        <v>39</v>
      </c>
      <c r="J379" s="1" t="s">
        <v>53</v>
      </c>
      <c r="K379" s="1" t="s">
        <v>41</v>
      </c>
      <c r="L379" s="1"/>
    </row>
    <row r="380" spans="1:12" s="32" customFormat="1" hidden="1" x14ac:dyDescent="0.3">
      <c r="A380" s="37">
        <v>46139.6715625</v>
      </c>
      <c r="B380" s="1" t="s">
        <v>48</v>
      </c>
      <c r="C380" s="1">
        <v>4432321324</v>
      </c>
      <c r="D380" s="1"/>
      <c r="E380" s="1">
        <v>166</v>
      </c>
      <c r="F380" s="1">
        <v>159</v>
      </c>
      <c r="G380" s="1" t="s">
        <v>38</v>
      </c>
      <c r="H380" s="1" t="s">
        <v>2029</v>
      </c>
      <c r="I380" s="1" t="s">
        <v>46</v>
      </c>
      <c r="J380" s="1" t="s">
        <v>40</v>
      </c>
      <c r="K380" s="1"/>
      <c r="L380" s="1"/>
    </row>
    <row r="381" spans="1:12" s="32" customFormat="1" hidden="1" x14ac:dyDescent="0.3">
      <c r="A381" s="37">
        <v>46139.668935185182</v>
      </c>
      <c r="B381" s="1" t="s">
        <v>48</v>
      </c>
      <c r="C381" s="1">
        <v>44991234625</v>
      </c>
      <c r="D381" s="1"/>
      <c r="E381" s="1">
        <v>50</v>
      </c>
      <c r="F381" s="1">
        <v>30</v>
      </c>
      <c r="G381" s="1" t="s">
        <v>38</v>
      </c>
      <c r="H381" s="1" t="s">
        <v>2030</v>
      </c>
      <c r="I381" s="1" t="s">
        <v>46</v>
      </c>
      <c r="J381" s="1" t="s">
        <v>40</v>
      </c>
      <c r="K381" s="1"/>
      <c r="L381" s="1"/>
    </row>
    <row r="382" spans="1:12" s="32" customFormat="1" hidden="1" x14ac:dyDescent="0.3">
      <c r="A382" s="37">
        <v>46139.667453703703</v>
      </c>
      <c r="B382" s="1" t="s">
        <v>48</v>
      </c>
      <c r="C382" s="1">
        <v>44991234625</v>
      </c>
      <c r="D382" s="1"/>
      <c r="E382" s="1">
        <v>53</v>
      </c>
      <c r="F382" s="1">
        <v>32</v>
      </c>
      <c r="G382" s="1" t="s">
        <v>38</v>
      </c>
      <c r="H382" s="1" t="s">
        <v>2031</v>
      </c>
      <c r="I382" s="1" t="s">
        <v>46</v>
      </c>
      <c r="J382" s="1" t="s">
        <v>40</v>
      </c>
      <c r="K382" s="1"/>
      <c r="L382" s="1"/>
    </row>
    <row r="383" spans="1:12" s="32" customFormat="1" hidden="1" x14ac:dyDescent="0.3">
      <c r="A383" s="37">
        <v>46139.666006944448</v>
      </c>
      <c r="B383" s="1">
        <v>44999689445</v>
      </c>
      <c r="C383" s="1" t="s">
        <v>37</v>
      </c>
      <c r="D383" s="1">
        <v>4430265054</v>
      </c>
      <c r="E383" s="1">
        <v>783</v>
      </c>
      <c r="F383" s="1">
        <v>540</v>
      </c>
      <c r="G383" s="1" t="s">
        <v>38</v>
      </c>
      <c r="H383" s="1" t="s">
        <v>2032</v>
      </c>
      <c r="I383" s="1" t="s">
        <v>39</v>
      </c>
      <c r="J383" s="1" t="s">
        <v>40</v>
      </c>
      <c r="K383" s="1" t="s">
        <v>41</v>
      </c>
      <c r="L383" s="1"/>
    </row>
    <row r="384" spans="1:12" s="32" customFormat="1" hidden="1" x14ac:dyDescent="0.3">
      <c r="A384" s="37">
        <v>46139.663761574076</v>
      </c>
      <c r="B384" s="1" t="s">
        <v>48</v>
      </c>
      <c r="C384" s="1">
        <v>44991354005</v>
      </c>
      <c r="D384" s="1"/>
      <c r="E384" s="1">
        <v>2</v>
      </c>
      <c r="F384" s="1">
        <v>0</v>
      </c>
      <c r="G384" s="1" t="s">
        <v>47</v>
      </c>
      <c r="H384" s="1" t="s">
        <v>2033</v>
      </c>
      <c r="I384" s="1" t="s">
        <v>46</v>
      </c>
      <c r="J384" s="1" t="s">
        <v>40</v>
      </c>
      <c r="K384" s="1"/>
      <c r="L384" s="1"/>
    </row>
    <row r="385" spans="1:12" s="32" customFormat="1" hidden="1" x14ac:dyDescent="0.3">
      <c r="A385" s="37">
        <v>46139.662858796299</v>
      </c>
      <c r="B385" s="1" t="s">
        <v>48</v>
      </c>
      <c r="C385" s="1">
        <v>44991354005</v>
      </c>
      <c r="D385" s="1"/>
      <c r="E385" s="1">
        <v>14</v>
      </c>
      <c r="F385" s="1">
        <v>7</v>
      </c>
      <c r="G385" s="1" t="s">
        <v>38</v>
      </c>
      <c r="H385" s="1" t="s">
        <v>2034</v>
      </c>
      <c r="I385" s="1" t="s">
        <v>46</v>
      </c>
      <c r="J385" s="1" t="s">
        <v>40</v>
      </c>
      <c r="K385" s="1"/>
      <c r="L385" s="1"/>
    </row>
    <row r="386" spans="1:12" s="32" customFormat="1" hidden="1" x14ac:dyDescent="0.3">
      <c r="A386" s="37">
        <v>46139.662407407406</v>
      </c>
      <c r="B386" s="1" t="s">
        <v>48</v>
      </c>
      <c r="C386" s="1">
        <v>4433321380</v>
      </c>
      <c r="D386" s="1"/>
      <c r="E386" s="1">
        <v>3</v>
      </c>
      <c r="F386" s="1">
        <v>0</v>
      </c>
      <c r="G386" s="1" t="s">
        <v>47</v>
      </c>
      <c r="H386" s="1" t="s">
        <v>2035</v>
      </c>
      <c r="I386" s="1" t="s">
        <v>46</v>
      </c>
      <c r="J386" s="1" t="s">
        <v>40</v>
      </c>
      <c r="K386" s="1"/>
      <c r="L386" s="1"/>
    </row>
    <row r="387" spans="1:12" s="32" customFormat="1" hidden="1" x14ac:dyDescent="0.3">
      <c r="A387" s="37">
        <v>46139.659907407404</v>
      </c>
      <c r="B387" s="1">
        <v>44991684895</v>
      </c>
      <c r="C387" s="1" t="s">
        <v>45</v>
      </c>
      <c r="D387" s="1">
        <v>4430265054</v>
      </c>
      <c r="E387" s="1">
        <v>361</v>
      </c>
      <c r="F387" s="1">
        <v>316</v>
      </c>
      <c r="G387" s="1" t="s">
        <v>38</v>
      </c>
      <c r="H387" s="1" t="s">
        <v>2036</v>
      </c>
      <c r="I387" s="1" t="s">
        <v>39</v>
      </c>
      <c r="J387" s="1" t="s">
        <v>40</v>
      </c>
      <c r="K387" s="1" t="s">
        <v>41</v>
      </c>
      <c r="L387" s="1"/>
    </row>
    <row r="388" spans="1:12" s="32" customFormat="1" hidden="1" x14ac:dyDescent="0.3">
      <c r="A388" s="37">
        <v>46139.65079861111</v>
      </c>
      <c r="B388" s="1">
        <v>11989166494</v>
      </c>
      <c r="C388" s="1" t="s">
        <v>48</v>
      </c>
      <c r="D388" s="1">
        <v>4430265054</v>
      </c>
      <c r="E388" s="1">
        <v>807</v>
      </c>
      <c r="F388" s="1">
        <v>807</v>
      </c>
      <c r="G388" s="1" t="s">
        <v>38</v>
      </c>
      <c r="H388" s="1" t="s">
        <v>2037</v>
      </c>
      <c r="I388" s="1" t="s">
        <v>39</v>
      </c>
      <c r="J388" s="1" t="s">
        <v>40</v>
      </c>
      <c r="K388" s="1" t="s">
        <v>41</v>
      </c>
      <c r="L388" s="1"/>
    </row>
    <row r="389" spans="1:12" s="32" customFormat="1" hidden="1" x14ac:dyDescent="0.3">
      <c r="A389" s="37">
        <v>46139.650752314818</v>
      </c>
      <c r="B389" s="1">
        <v>44937562600</v>
      </c>
      <c r="C389" s="1" t="s">
        <v>44</v>
      </c>
      <c r="D389" s="1">
        <v>4430265054</v>
      </c>
      <c r="E389" s="1">
        <v>129</v>
      </c>
      <c r="F389" s="1">
        <v>94</v>
      </c>
      <c r="G389" s="1" t="s">
        <v>38</v>
      </c>
      <c r="H389" s="1" t="s">
        <v>2038</v>
      </c>
      <c r="I389" s="1" t="s">
        <v>39</v>
      </c>
      <c r="J389" s="1" t="s">
        <v>40</v>
      </c>
      <c r="K389" s="1" t="s">
        <v>41</v>
      </c>
      <c r="L389" s="1"/>
    </row>
    <row r="390" spans="1:12" s="32" customFormat="1" hidden="1" x14ac:dyDescent="0.3">
      <c r="A390" s="37">
        <v>46139.648078703707</v>
      </c>
      <c r="B390" s="1">
        <v>4130155076</v>
      </c>
      <c r="C390" s="1" t="s">
        <v>43</v>
      </c>
      <c r="D390" s="1">
        <v>4430265054</v>
      </c>
      <c r="E390" s="1">
        <v>1042</v>
      </c>
      <c r="F390" s="1">
        <v>950</v>
      </c>
      <c r="G390" s="1" t="s">
        <v>38</v>
      </c>
      <c r="H390" s="1" t="s">
        <v>2039</v>
      </c>
      <c r="I390" s="1" t="s">
        <v>39</v>
      </c>
      <c r="J390" s="1" t="s">
        <v>40</v>
      </c>
      <c r="K390" s="1" t="s">
        <v>41</v>
      </c>
      <c r="L390" s="1">
        <v>5</v>
      </c>
    </row>
    <row r="391" spans="1:12" s="32" customFormat="1" hidden="1" x14ac:dyDescent="0.3">
      <c r="A391" s="37">
        <v>46139.646018518521</v>
      </c>
      <c r="B391" s="1" t="s">
        <v>48</v>
      </c>
      <c r="C391" s="1">
        <v>4436351414</v>
      </c>
      <c r="D391" s="1"/>
      <c r="E391" s="1">
        <v>77</v>
      </c>
      <c r="F391" s="1">
        <v>67</v>
      </c>
      <c r="G391" s="1" t="s">
        <v>38</v>
      </c>
      <c r="H391" s="1" t="s">
        <v>2040</v>
      </c>
      <c r="I391" s="1" t="s">
        <v>46</v>
      </c>
      <c r="J391" s="1" t="s">
        <v>40</v>
      </c>
      <c r="K391" s="1"/>
      <c r="L391" s="1"/>
    </row>
    <row r="392" spans="1:12" s="32" customFormat="1" hidden="1" x14ac:dyDescent="0.3">
      <c r="A392" s="37">
        <v>46139.645740740743</v>
      </c>
      <c r="B392" s="1" t="s">
        <v>48</v>
      </c>
      <c r="C392" s="1">
        <v>4436351414</v>
      </c>
      <c r="D392" s="1"/>
      <c r="E392" s="1">
        <v>5</v>
      </c>
      <c r="F392" s="1">
        <v>0</v>
      </c>
      <c r="G392" s="1" t="s">
        <v>47</v>
      </c>
      <c r="H392" s="1" t="s">
        <v>2041</v>
      </c>
      <c r="I392" s="1" t="s">
        <v>46</v>
      </c>
      <c r="J392" s="1" t="s">
        <v>40</v>
      </c>
      <c r="K392" s="1"/>
      <c r="L392" s="1"/>
    </row>
    <row r="393" spans="1:12" s="32" customFormat="1" hidden="1" x14ac:dyDescent="0.3">
      <c r="A393" s="37">
        <v>46139.644120370373</v>
      </c>
      <c r="B393" s="1" t="s">
        <v>48</v>
      </c>
      <c r="C393" s="1">
        <v>4436351414</v>
      </c>
      <c r="D393" s="1"/>
      <c r="E393" s="1">
        <v>138</v>
      </c>
      <c r="F393" s="1">
        <v>127</v>
      </c>
      <c r="G393" s="1" t="s">
        <v>38</v>
      </c>
      <c r="H393" s="1" t="s">
        <v>2042</v>
      </c>
      <c r="I393" s="1" t="s">
        <v>46</v>
      </c>
      <c r="J393" s="1" t="s">
        <v>40</v>
      </c>
      <c r="K393" s="1"/>
      <c r="L393" s="1"/>
    </row>
    <row r="394" spans="1:12" s="32" customFormat="1" hidden="1" x14ac:dyDescent="0.3">
      <c r="A394" s="37">
        <v>46139.644062500003</v>
      </c>
      <c r="B394" s="1" t="s">
        <v>48</v>
      </c>
      <c r="C394" s="1">
        <v>4436351414</v>
      </c>
      <c r="D394" s="1"/>
      <c r="E394" s="1">
        <v>26</v>
      </c>
      <c r="F394" s="1">
        <v>25</v>
      </c>
      <c r="G394" s="1" t="s">
        <v>38</v>
      </c>
      <c r="H394" s="1" t="s">
        <v>2043</v>
      </c>
      <c r="I394" s="1" t="s">
        <v>46</v>
      </c>
      <c r="J394" s="1" t="s">
        <v>40</v>
      </c>
      <c r="K394" s="1"/>
      <c r="L394" s="1"/>
    </row>
    <row r="395" spans="1:12" s="32" customFormat="1" hidden="1" x14ac:dyDescent="0.3">
      <c r="A395" s="37">
        <v>46139.64403935185</v>
      </c>
      <c r="B395" s="1" t="s">
        <v>37</v>
      </c>
      <c r="C395" s="1">
        <v>4435228300</v>
      </c>
      <c r="D395" s="1"/>
      <c r="E395" s="1">
        <v>1070</v>
      </c>
      <c r="F395" s="1">
        <v>1057</v>
      </c>
      <c r="G395" s="1" t="s">
        <v>38</v>
      </c>
      <c r="H395" s="1" t="s">
        <v>2044</v>
      </c>
      <c r="I395" s="1" t="s">
        <v>46</v>
      </c>
      <c r="J395" s="1" t="s">
        <v>40</v>
      </c>
      <c r="K395" s="1"/>
      <c r="L395" s="1">
        <v>5</v>
      </c>
    </row>
    <row r="396" spans="1:12" s="32" customFormat="1" hidden="1" x14ac:dyDescent="0.3">
      <c r="A396" s="37">
        <v>46139.64371527778</v>
      </c>
      <c r="B396" s="1">
        <v>4433015967</v>
      </c>
      <c r="C396" s="1">
        <v>4430265054</v>
      </c>
      <c r="D396" s="1">
        <v>4430265054</v>
      </c>
      <c r="E396" s="1">
        <v>3</v>
      </c>
      <c r="F396" s="1">
        <v>2</v>
      </c>
      <c r="G396" s="1" t="s">
        <v>52</v>
      </c>
      <c r="H396" s="1" t="s">
        <v>2045</v>
      </c>
      <c r="I396" s="1" t="s">
        <v>39</v>
      </c>
      <c r="J396" s="1" t="s">
        <v>53</v>
      </c>
      <c r="K396" s="1"/>
      <c r="L396" s="1"/>
    </row>
    <row r="397" spans="1:12" s="32" customFormat="1" hidden="1" x14ac:dyDescent="0.3">
      <c r="A397" s="37">
        <v>46139.642754629633</v>
      </c>
      <c r="B397" s="1" t="s">
        <v>37</v>
      </c>
      <c r="C397" s="1">
        <v>4435228300</v>
      </c>
      <c r="D397" s="1"/>
      <c r="E397" s="1">
        <v>3</v>
      </c>
      <c r="F397" s="1">
        <v>0</v>
      </c>
      <c r="G397" s="1" t="s">
        <v>47</v>
      </c>
      <c r="H397" s="1" t="s">
        <v>2046</v>
      </c>
      <c r="I397" s="1" t="s">
        <v>46</v>
      </c>
      <c r="J397" s="1" t="s">
        <v>40</v>
      </c>
      <c r="K397" s="1"/>
      <c r="L397" s="1"/>
    </row>
    <row r="398" spans="1:12" s="32" customFormat="1" hidden="1" x14ac:dyDescent="0.3">
      <c r="A398" s="37">
        <v>46139.642638888887</v>
      </c>
      <c r="B398" s="1" t="s">
        <v>37</v>
      </c>
      <c r="C398" s="1">
        <v>4435228300</v>
      </c>
      <c r="D398" s="1"/>
      <c r="E398" s="1">
        <v>4</v>
      </c>
      <c r="F398" s="1">
        <v>0</v>
      </c>
      <c r="G398" s="1" t="s">
        <v>47</v>
      </c>
      <c r="H398" s="1" t="s">
        <v>2047</v>
      </c>
      <c r="I398" s="1" t="s">
        <v>46</v>
      </c>
      <c r="J398" s="1" t="s">
        <v>40</v>
      </c>
      <c r="K398" s="1"/>
      <c r="L398" s="1"/>
    </row>
    <row r="399" spans="1:12" s="32" customFormat="1" hidden="1" x14ac:dyDescent="0.3">
      <c r="A399" s="37">
        <v>46139.642534722225</v>
      </c>
      <c r="B399" s="1" t="s">
        <v>37</v>
      </c>
      <c r="C399" s="1">
        <v>4435228300</v>
      </c>
      <c r="D399" s="1"/>
      <c r="E399" s="1">
        <v>25</v>
      </c>
      <c r="F399" s="1">
        <v>25</v>
      </c>
      <c r="G399" s="1" t="s">
        <v>38</v>
      </c>
      <c r="H399" s="1" t="s">
        <v>2048</v>
      </c>
      <c r="I399" s="1" t="s">
        <v>46</v>
      </c>
      <c r="J399" s="1" t="s">
        <v>40</v>
      </c>
      <c r="K399" s="1"/>
      <c r="L399" s="1"/>
    </row>
    <row r="400" spans="1:12" s="32" customFormat="1" hidden="1" x14ac:dyDescent="0.3">
      <c r="A400" s="37">
        <v>46139.638981481483</v>
      </c>
      <c r="B400" s="1">
        <v>44998640313</v>
      </c>
      <c r="C400" s="1" t="s">
        <v>44</v>
      </c>
      <c r="D400" s="1">
        <v>4430265054</v>
      </c>
      <c r="E400" s="1">
        <v>240</v>
      </c>
      <c r="F400" s="1">
        <v>115</v>
      </c>
      <c r="G400" s="1" t="s">
        <v>38</v>
      </c>
      <c r="H400" s="1" t="s">
        <v>2049</v>
      </c>
      <c r="I400" s="1" t="s">
        <v>39</v>
      </c>
      <c r="J400" s="1" t="s">
        <v>40</v>
      </c>
      <c r="K400" s="1" t="s">
        <v>41</v>
      </c>
      <c r="L400" s="1"/>
    </row>
    <row r="401" spans="1:12" s="32" customFormat="1" hidden="1" x14ac:dyDescent="0.3">
      <c r="A401" s="37">
        <v>46139.633206018516</v>
      </c>
      <c r="B401" s="1">
        <v>4435228300</v>
      </c>
      <c r="C401" s="1" t="s">
        <v>37</v>
      </c>
      <c r="D401" s="1">
        <v>4430265054</v>
      </c>
      <c r="E401" s="1">
        <v>825</v>
      </c>
      <c r="F401" s="1">
        <v>751</v>
      </c>
      <c r="G401" s="1" t="s">
        <v>38</v>
      </c>
      <c r="H401" s="1" t="s">
        <v>2050</v>
      </c>
      <c r="I401" s="1" t="s">
        <v>39</v>
      </c>
      <c r="J401" s="1" t="s">
        <v>40</v>
      </c>
      <c r="K401" s="1" t="s">
        <v>41</v>
      </c>
      <c r="L401" s="1"/>
    </row>
    <row r="402" spans="1:12" s="32" customFormat="1" hidden="1" x14ac:dyDescent="0.3">
      <c r="A402" s="37">
        <v>46139.627789351849</v>
      </c>
      <c r="B402" s="1">
        <v>1128897100</v>
      </c>
      <c r="C402" s="1">
        <v>3000</v>
      </c>
      <c r="D402" s="1">
        <v>4430265054</v>
      </c>
      <c r="E402" s="1">
        <v>131</v>
      </c>
      <c r="F402" s="1">
        <v>109</v>
      </c>
      <c r="G402" s="1" t="s">
        <v>38</v>
      </c>
      <c r="H402" s="1" t="s">
        <v>2051</v>
      </c>
      <c r="I402" s="1" t="s">
        <v>39</v>
      </c>
      <c r="J402" s="1" t="s">
        <v>53</v>
      </c>
      <c r="K402" s="1" t="s">
        <v>41</v>
      </c>
      <c r="L402" s="1"/>
    </row>
    <row r="403" spans="1:12" s="32" customFormat="1" hidden="1" x14ac:dyDescent="0.3">
      <c r="A403" s="37">
        <v>46139.623333333337</v>
      </c>
      <c r="B403" s="1">
        <v>44999654761</v>
      </c>
      <c r="C403" s="1" t="s">
        <v>44</v>
      </c>
      <c r="D403" s="1">
        <v>4430265054</v>
      </c>
      <c r="E403" s="1">
        <v>397</v>
      </c>
      <c r="F403" s="1">
        <v>317</v>
      </c>
      <c r="G403" s="1" t="s">
        <v>38</v>
      </c>
      <c r="H403" s="1" t="s">
        <v>2052</v>
      </c>
      <c r="I403" s="1" t="s">
        <v>39</v>
      </c>
      <c r="J403" s="1" t="s">
        <v>40</v>
      </c>
      <c r="K403" s="1" t="s">
        <v>41</v>
      </c>
      <c r="L403" s="1"/>
    </row>
    <row r="404" spans="1:12" s="32" customFormat="1" hidden="1" x14ac:dyDescent="0.3">
      <c r="A404" s="37">
        <v>46139.619664351849</v>
      </c>
      <c r="B404" s="1">
        <v>4432275634</v>
      </c>
      <c r="C404" s="1" t="s">
        <v>43</v>
      </c>
      <c r="D404" s="1">
        <v>4430265054</v>
      </c>
      <c r="E404" s="1">
        <v>281</v>
      </c>
      <c r="F404" s="1">
        <v>179</v>
      </c>
      <c r="G404" s="1" t="s">
        <v>38</v>
      </c>
      <c r="H404" s="1" t="s">
        <v>2053</v>
      </c>
      <c r="I404" s="1" t="s">
        <v>39</v>
      </c>
      <c r="J404" s="1" t="s">
        <v>40</v>
      </c>
      <c r="K404" s="1" t="s">
        <v>41</v>
      </c>
      <c r="L404" s="1"/>
    </row>
    <row r="405" spans="1:12" s="32" customFormat="1" hidden="1" x14ac:dyDescent="0.3">
      <c r="A405" s="37">
        <v>46139.615752314814</v>
      </c>
      <c r="B405" s="1">
        <v>6234347959</v>
      </c>
      <c r="C405" s="1" t="s">
        <v>43</v>
      </c>
      <c r="D405" s="1">
        <v>4430265054</v>
      </c>
      <c r="E405" s="1">
        <v>420</v>
      </c>
      <c r="F405" s="1">
        <v>327</v>
      </c>
      <c r="G405" s="1" t="s">
        <v>38</v>
      </c>
      <c r="H405" s="1" t="s">
        <v>2054</v>
      </c>
      <c r="I405" s="1" t="s">
        <v>39</v>
      </c>
      <c r="J405" s="1" t="s">
        <v>40</v>
      </c>
      <c r="K405" s="1" t="s">
        <v>41</v>
      </c>
      <c r="L405" s="1">
        <v>5</v>
      </c>
    </row>
    <row r="406" spans="1:12" s="32" customFormat="1" hidden="1" x14ac:dyDescent="0.3">
      <c r="A406" s="37">
        <v>46139.615405092591</v>
      </c>
      <c r="B406" s="1">
        <v>4435226025</v>
      </c>
      <c r="C406" s="1" t="s">
        <v>45</v>
      </c>
      <c r="D406" s="1">
        <v>4430265054</v>
      </c>
      <c r="E406" s="1">
        <v>1829</v>
      </c>
      <c r="F406" s="1">
        <v>1712</v>
      </c>
      <c r="G406" s="1" t="s">
        <v>38</v>
      </c>
      <c r="H406" s="1" t="s">
        <v>2055</v>
      </c>
      <c r="I406" s="1" t="s">
        <v>39</v>
      </c>
      <c r="J406" s="1" t="s">
        <v>40</v>
      </c>
      <c r="K406" s="1" t="s">
        <v>41</v>
      </c>
      <c r="L406" s="1"/>
    </row>
    <row r="407" spans="1:12" s="32" customFormat="1" hidden="1" x14ac:dyDescent="0.3">
      <c r="A407" s="37">
        <v>46139.605428240742</v>
      </c>
      <c r="B407" s="1">
        <v>11989166494</v>
      </c>
      <c r="C407" s="1" t="s">
        <v>37</v>
      </c>
      <c r="D407" s="1">
        <v>4430265054</v>
      </c>
      <c r="E407" s="1">
        <v>964</v>
      </c>
      <c r="F407" s="1">
        <v>899</v>
      </c>
      <c r="G407" s="1" t="s">
        <v>38</v>
      </c>
      <c r="H407" s="1" t="s">
        <v>2056</v>
      </c>
      <c r="I407" s="1" t="s">
        <v>39</v>
      </c>
      <c r="J407" s="1" t="s">
        <v>40</v>
      </c>
      <c r="K407" s="1" t="s">
        <v>41</v>
      </c>
      <c r="L407" s="1"/>
    </row>
    <row r="408" spans="1:12" s="32" customFormat="1" hidden="1" x14ac:dyDescent="0.3">
      <c r="A408" s="37">
        <v>46139.59957175926</v>
      </c>
      <c r="B408" s="1">
        <v>4130155076</v>
      </c>
      <c r="C408" s="1" t="s">
        <v>45</v>
      </c>
      <c r="D408" s="1">
        <v>4430265054</v>
      </c>
      <c r="E408" s="1">
        <v>932</v>
      </c>
      <c r="F408" s="1">
        <v>844</v>
      </c>
      <c r="G408" s="1" t="s">
        <v>38</v>
      </c>
      <c r="H408" s="1" t="s">
        <v>2057</v>
      </c>
      <c r="I408" s="1" t="s">
        <v>39</v>
      </c>
      <c r="J408" s="1" t="s">
        <v>40</v>
      </c>
      <c r="K408" s="1" t="s">
        <v>41</v>
      </c>
      <c r="L408" s="1">
        <v>5</v>
      </c>
    </row>
    <row r="409" spans="1:12" s="32" customFormat="1" hidden="1" x14ac:dyDescent="0.3">
      <c r="A409" s="37">
        <v>46139.599282407406</v>
      </c>
      <c r="B409" s="1">
        <v>93984112869</v>
      </c>
      <c r="C409" s="1" t="s">
        <v>44</v>
      </c>
      <c r="D409" s="1">
        <v>4431268225</v>
      </c>
      <c r="E409" s="1">
        <v>758</v>
      </c>
      <c r="F409" s="1">
        <v>694</v>
      </c>
      <c r="G409" s="1" t="s">
        <v>38</v>
      </c>
      <c r="H409" s="1" t="s">
        <v>2058</v>
      </c>
      <c r="I409" s="1" t="s">
        <v>39</v>
      </c>
      <c r="J409" s="1" t="s">
        <v>40</v>
      </c>
      <c r="K409" s="1" t="s">
        <v>41</v>
      </c>
      <c r="L409" s="1"/>
    </row>
    <row r="410" spans="1:12" s="32" customFormat="1" hidden="1" x14ac:dyDescent="0.3">
      <c r="A410" s="37">
        <v>46139.598541666666</v>
      </c>
      <c r="B410" s="1" t="s">
        <v>43</v>
      </c>
      <c r="C410" s="1">
        <v>41999195082</v>
      </c>
      <c r="D410" s="1"/>
      <c r="E410" s="1">
        <v>926</v>
      </c>
      <c r="F410" s="1">
        <v>919</v>
      </c>
      <c r="G410" s="1" t="s">
        <v>38</v>
      </c>
      <c r="H410" s="1" t="s">
        <v>2059</v>
      </c>
      <c r="I410" s="1" t="s">
        <v>46</v>
      </c>
      <c r="J410" s="1" t="s">
        <v>40</v>
      </c>
      <c r="K410" s="1"/>
      <c r="L410" s="1">
        <v>5</v>
      </c>
    </row>
    <row r="411" spans="1:12" s="32" customFormat="1" hidden="1" x14ac:dyDescent="0.3">
      <c r="A411" s="37">
        <v>46139.598182870373</v>
      </c>
      <c r="B411" s="1">
        <v>4130155076</v>
      </c>
      <c r="C411" s="1">
        <v>4430265054</v>
      </c>
      <c r="D411" s="1">
        <v>4430265054</v>
      </c>
      <c r="E411" s="1">
        <v>23</v>
      </c>
      <c r="F411" s="1">
        <v>22</v>
      </c>
      <c r="G411" s="1" t="s">
        <v>52</v>
      </c>
      <c r="H411" s="1" t="s">
        <v>2060</v>
      </c>
      <c r="I411" s="1" t="s">
        <v>39</v>
      </c>
      <c r="J411" s="1" t="s">
        <v>53</v>
      </c>
      <c r="K411" s="1"/>
      <c r="L411" s="1"/>
    </row>
    <row r="412" spans="1:12" s="32" customFormat="1" hidden="1" x14ac:dyDescent="0.3">
      <c r="A412" s="37">
        <v>46139.598043981481</v>
      </c>
      <c r="B412" s="1" t="s">
        <v>48</v>
      </c>
      <c r="C412" s="1">
        <v>4432672194</v>
      </c>
      <c r="D412" s="1"/>
      <c r="E412" s="1">
        <v>627</v>
      </c>
      <c r="F412" s="1">
        <v>607</v>
      </c>
      <c r="G412" s="1" t="s">
        <v>38</v>
      </c>
      <c r="H412" s="1" t="s">
        <v>2061</v>
      </c>
      <c r="I412" s="1" t="s">
        <v>46</v>
      </c>
      <c r="J412" s="1" t="s">
        <v>40</v>
      </c>
      <c r="K412" s="1"/>
      <c r="L412" s="1"/>
    </row>
    <row r="413" spans="1:12" s="32" customFormat="1" hidden="1" x14ac:dyDescent="0.3">
      <c r="A413" s="37">
        <v>46139.59778935185</v>
      </c>
      <c r="B413" s="1" t="s">
        <v>48</v>
      </c>
      <c r="C413" s="1">
        <v>44988208857</v>
      </c>
      <c r="D413" s="1"/>
      <c r="E413" s="1">
        <v>39</v>
      </c>
      <c r="F413" s="1">
        <v>29</v>
      </c>
      <c r="G413" s="1" t="s">
        <v>38</v>
      </c>
      <c r="H413" s="1" t="s">
        <v>2062</v>
      </c>
      <c r="I413" s="1" t="s">
        <v>46</v>
      </c>
      <c r="J413" s="1" t="s">
        <v>40</v>
      </c>
      <c r="K413" s="1"/>
      <c r="L413" s="1"/>
    </row>
    <row r="414" spans="1:12" s="32" customFormat="1" hidden="1" x14ac:dyDescent="0.3">
      <c r="A414" s="37">
        <v>46139.597743055558</v>
      </c>
      <c r="B414" s="1" t="s">
        <v>48</v>
      </c>
      <c r="C414" s="1">
        <v>44988208857</v>
      </c>
      <c r="D414" s="1"/>
      <c r="E414" s="1">
        <v>2</v>
      </c>
      <c r="F414" s="1">
        <v>0</v>
      </c>
      <c r="G414" s="1" t="s">
        <v>47</v>
      </c>
      <c r="H414" s="1" t="s">
        <v>2063</v>
      </c>
      <c r="I414" s="1" t="s">
        <v>46</v>
      </c>
      <c r="J414" s="1" t="s">
        <v>40</v>
      </c>
      <c r="K414" s="1"/>
      <c r="L414" s="1"/>
    </row>
    <row r="415" spans="1:12" s="32" customFormat="1" hidden="1" x14ac:dyDescent="0.3">
      <c r="A415" s="37">
        <v>46139.595613425925</v>
      </c>
      <c r="B415" s="1">
        <v>4433015969</v>
      </c>
      <c r="C415" s="1">
        <v>4430265054</v>
      </c>
      <c r="D415" s="1">
        <v>4430265054</v>
      </c>
      <c r="E415" s="1">
        <v>3</v>
      </c>
      <c r="F415" s="1">
        <v>2</v>
      </c>
      <c r="G415" s="1" t="s">
        <v>52</v>
      </c>
      <c r="H415" s="1" t="s">
        <v>2064</v>
      </c>
      <c r="I415" s="1" t="s">
        <v>39</v>
      </c>
      <c r="J415" s="1" t="s">
        <v>53</v>
      </c>
      <c r="K415" s="1"/>
      <c r="L415" s="1"/>
    </row>
    <row r="416" spans="1:12" s="32" customFormat="1" hidden="1" x14ac:dyDescent="0.3">
      <c r="A416" s="37">
        <v>46139.591643518521</v>
      </c>
      <c r="B416" s="1">
        <v>83988398480</v>
      </c>
      <c r="C416" s="1" t="s">
        <v>45</v>
      </c>
      <c r="D416" s="1">
        <v>4430265054</v>
      </c>
      <c r="E416" s="1">
        <v>456</v>
      </c>
      <c r="F416" s="1">
        <v>428</v>
      </c>
      <c r="G416" s="1" t="s">
        <v>38</v>
      </c>
      <c r="H416" s="1" t="s">
        <v>2065</v>
      </c>
      <c r="I416" s="1" t="s">
        <v>39</v>
      </c>
      <c r="J416" s="1" t="s">
        <v>40</v>
      </c>
      <c r="K416" s="1" t="s">
        <v>41</v>
      </c>
      <c r="L416" s="1"/>
    </row>
    <row r="417" spans="1:12" s="32" customFormat="1" hidden="1" x14ac:dyDescent="0.3">
      <c r="A417" s="37">
        <v>46139.588009259256</v>
      </c>
      <c r="B417" s="1">
        <v>4436313274</v>
      </c>
      <c r="C417" s="1" t="s">
        <v>37</v>
      </c>
      <c r="D417" s="1">
        <v>4430265054</v>
      </c>
      <c r="E417" s="1">
        <v>362</v>
      </c>
      <c r="F417" s="1">
        <v>325</v>
      </c>
      <c r="G417" s="1" t="s">
        <v>38</v>
      </c>
      <c r="H417" s="1" t="s">
        <v>2066</v>
      </c>
      <c r="I417" s="1" t="s">
        <v>39</v>
      </c>
      <c r="J417" s="1" t="s">
        <v>40</v>
      </c>
      <c r="K417" s="1" t="s">
        <v>41</v>
      </c>
      <c r="L417" s="1"/>
    </row>
    <row r="418" spans="1:12" s="32" customFormat="1" hidden="1" x14ac:dyDescent="0.3">
      <c r="A418" s="37">
        <v>46139.586782407408</v>
      </c>
      <c r="B418" s="1" t="s">
        <v>45</v>
      </c>
      <c r="C418" s="1">
        <v>4430191401</v>
      </c>
      <c r="D418" s="1"/>
      <c r="E418" s="1">
        <v>305</v>
      </c>
      <c r="F418" s="1">
        <v>302</v>
      </c>
      <c r="G418" s="1" t="s">
        <v>38</v>
      </c>
      <c r="H418" s="1" t="s">
        <v>2067</v>
      </c>
      <c r="I418" s="1" t="s">
        <v>46</v>
      </c>
      <c r="J418" s="1" t="s">
        <v>40</v>
      </c>
      <c r="K418" s="1"/>
      <c r="L418" s="1"/>
    </row>
    <row r="419" spans="1:12" s="32" customFormat="1" hidden="1" x14ac:dyDescent="0.3">
      <c r="A419" s="37">
        <v>46139.5862037037</v>
      </c>
      <c r="B419" s="1">
        <v>1438780460</v>
      </c>
      <c r="C419" s="1">
        <v>4531273159</v>
      </c>
      <c r="D419" s="1">
        <v>4531273159</v>
      </c>
      <c r="E419" s="1">
        <v>46</v>
      </c>
      <c r="F419" s="1">
        <v>46</v>
      </c>
      <c r="G419" s="1" t="s">
        <v>52</v>
      </c>
      <c r="H419" s="1" t="s">
        <v>2068</v>
      </c>
      <c r="I419" s="1" t="s">
        <v>39</v>
      </c>
      <c r="J419" s="1" t="s">
        <v>53</v>
      </c>
      <c r="K419" s="1" t="s">
        <v>41</v>
      </c>
      <c r="L419" s="1"/>
    </row>
    <row r="420" spans="1:12" s="32" customFormat="1" hidden="1" x14ac:dyDescent="0.3">
      <c r="A420" s="37">
        <v>46139.582916666666</v>
      </c>
      <c r="B420" s="1" t="s">
        <v>54</v>
      </c>
      <c r="C420" s="1">
        <v>83991434939</v>
      </c>
      <c r="D420" s="1"/>
      <c r="E420" s="1">
        <v>2</v>
      </c>
      <c r="F420" s="1">
        <v>0</v>
      </c>
      <c r="G420" s="1" t="s">
        <v>47</v>
      </c>
      <c r="H420" s="1" t="s">
        <v>2069</v>
      </c>
      <c r="I420" s="1" t="s">
        <v>46</v>
      </c>
      <c r="J420" s="1" t="s">
        <v>55</v>
      </c>
      <c r="K420" s="1"/>
      <c r="L420" s="1"/>
    </row>
    <row r="421" spans="1:12" s="32" customFormat="1" hidden="1" x14ac:dyDescent="0.3">
      <c r="A421" s="37">
        <v>46139.582268518519</v>
      </c>
      <c r="B421" s="1">
        <v>4121418115</v>
      </c>
      <c r="C421" s="1">
        <v>4531273151</v>
      </c>
      <c r="D421" s="1">
        <v>4531273151</v>
      </c>
      <c r="E421" s="1">
        <v>46</v>
      </c>
      <c r="F421" s="1">
        <v>46</v>
      </c>
      <c r="G421" s="1" t="s">
        <v>52</v>
      </c>
      <c r="H421" s="1" t="s">
        <v>2070</v>
      </c>
      <c r="I421" s="1" t="s">
        <v>39</v>
      </c>
      <c r="J421" s="1" t="s">
        <v>53</v>
      </c>
      <c r="K421" s="1" t="s">
        <v>41</v>
      </c>
      <c r="L421" s="1"/>
    </row>
    <row r="422" spans="1:12" s="32" customFormat="1" hidden="1" x14ac:dyDescent="0.3">
      <c r="A422" s="37">
        <v>46139.579942129632</v>
      </c>
      <c r="B422" s="1">
        <v>4533011420</v>
      </c>
      <c r="C422" s="1">
        <v>4531273152</v>
      </c>
      <c r="D422" s="1">
        <v>4531273152</v>
      </c>
      <c r="E422" s="1">
        <v>47</v>
      </c>
      <c r="F422" s="1">
        <v>46</v>
      </c>
      <c r="G422" s="1" t="s">
        <v>52</v>
      </c>
      <c r="H422" s="1" t="s">
        <v>2071</v>
      </c>
      <c r="I422" s="1" t="s">
        <v>39</v>
      </c>
      <c r="J422" s="1" t="s">
        <v>53</v>
      </c>
      <c r="K422" s="1" t="s">
        <v>41</v>
      </c>
      <c r="L422" s="1"/>
    </row>
    <row r="423" spans="1:12" s="32" customFormat="1" hidden="1" x14ac:dyDescent="0.3">
      <c r="A423" s="37">
        <v>46139.57949074074</v>
      </c>
      <c r="B423" s="1">
        <v>4431337559</v>
      </c>
      <c r="C423" s="1" t="s">
        <v>43</v>
      </c>
      <c r="D423" s="1">
        <v>4430265054</v>
      </c>
      <c r="E423" s="1">
        <v>158</v>
      </c>
      <c r="F423" s="1">
        <v>120</v>
      </c>
      <c r="G423" s="1" t="s">
        <v>38</v>
      </c>
      <c r="H423" s="1" t="s">
        <v>2072</v>
      </c>
      <c r="I423" s="1" t="s">
        <v>39</v>
      </c>
      <c r="J423" s="1" t="s">
        <v>40</v>
      </c>
      <c r="K423" s="1" t="s">
        <v>41</v>
      </c>
      <c r="L423" s="1"/>
    </row>
    <row r="424" spans="1:12" s="32" customFormat="1" hidden="1" x14ac:dyDescent="0.3">
      <c r="A424" s="37">
        <v>46139.577476851853</v>
      </c>
      <c r="B424" s="1" t="s">
        <v>48</v>
      </c>
      <c r="C424" s="1">
        <v>4433321380</v>
      </c>
      <c r="D424" s="1"/>
      <c r="E424" s="1">
        <v>3</v>
      </c>
      <c r="F424" s="1">
        <v>0</v>
      </c>
      <c r="G424" s="1" t="s">
        <v>47</v>
      </c>
      <c r="H424" s="1" t="s">
        <v>2073</v>
      </c>
      <c r="I424" s="1" t="s">
        <v>46</v>
      </c>
      <c r="J424" s="1" t="s">
        <v>40</v>
      </c>
      <c r="K424" s="1"/>
      <c r="L424" s="1"/>
    </row>
    <row r="425" spans="1:12" s="32" customFormat="1" hidden="1" x14ac:dyDescent="0.3">
      <c r="A425" s="37">
        <v>46139.57744212963</v>
      </c>
      <c r="B425" s="1" t="s">
        <v>48</v>
      </c>
      <c r="C425" s="1">
        <v>4433321380</v>
      </c>
      <c r="D425" s="1"/>
      <c r="E425" s="1">
        <v>0</v>
      </c>
      <c r="F425" s="1">
        <v>0</v>
      </c>
      <c r="G425" s="1" t="s">
        <v>47</v>
      </c>
      <c r="H425" s="1" t="s">
        <v>2074</v>
      </c>
      <c r="I425" s="1" t="s">
        <v>46</v>
      </c>
      <c r="J425" s="1" t="s">
        <v>40</v>
      </c>
      <c r="K425" s="1"/>
      <c r="L425" s="1"/>
    </row>
    <row r="426" spans="1:12" s="32" customFormat="1" hidden="1" x14ac:dyDescent="0.3">
      <c r="A426" s="37">
        <v>46139.574074074073</v>
      </c>
      <c r="B426" s="1" t="s">
        <v>48</v>
      </c>
      <c r="C426" s="1">
        <v>4435341422</v>
      </c>
      <c r="D426" s="1"/>
      <c r="E426" s="1">
        <v>195</v>
      </c>
      <c r="F426" s="1">
        <v>183</v>
      </c>
      <c r="G426" s="1" t="s">
        <v>38</v>
      </c>
      <c r="H426" s="1" t="s">
        <v>2075</v>
      </c>
      <c r="I426" s="1" t="s">
        <v>46</v>
      </c>
      <c r="J426" s="1" t="s">
        <v>40</v>
      </c>
      <c r="K426" s="1"/>
      <c r="L426" s="1"/>
    </row>
    <row r="427" spans="1:12" s="32" customFormat="1" hidden="1" x14ac:dyDescent="0.3">
      <c r="A427" s="37">
        <v>46139.570520833331</v>
      </c>
      <c r="B427" s="1" t="s">
        <v>48</v>
      </c>
      <c r="C427" s="1">
        <v>4435221208</v>
      </c>
      <c r="D427" s="1"/>
      <c r="E427" s="1">
        <v>116</v>
      </c>
      <c r="F427" s="1">
        <v>101</v>
      </c>
      <c r="G427" s="1" t="s">
        <v>38</v>
      </c>
      <c r="H427" s="1" t="s">
        <v>2076</v>
      </c>
      <c r="I427" s="1" t="s">
        <v>46</v>
      </c>
      <c r="J427" s="1" t="s">
        <v>40</v>
      </c>
      <c r="K427" s="1"/>
      <c r="L427" s="1"/>
    </row>
    <row r="428" spans="1:12" s="32" customFormat="1" hidden="1" x14ac:dyDescent="0.3">
      <c r="A428" s="37">
        <v>46139.569444444445</v>
      </c>
      <c r="B428" s="1" t="s">
        <v>45</v>
      </c>
      <c r="C428" s="1">
        <v>4430162384</v>
      </c>
      <c r="D428" s="1"/>
      <c r="E428" s="1">
        <v>61</v>
      </c>
      <c r="F428" s="1">
        <v>50</v>
      </c>
      <c r="G428" s="1" t="s">
        <v>38</v>
      </c>
      <c r="H428" s="1" t="s">
        <v>2077</v>
      </c>
      <c r="I428" s="1" t="s">
        <v>46</v>
      </c>
      <c r="J428" s="1" t="s">
        <v>40</v>
      </c>
      <c r="K428" s="1"/>
      <c r="L428" s="1"/>
    </row>
    <row r="429" spans="1:12" s="32" customFormat="1" hidden="1" x14ac:dyDescent="0.3">
      <c r="A429" s="37">
        <v>46139.569421296299</v>
      </c>
      <c r="B429" s="1" t="s">
        <v>44</v>
      </c>
      <c r="C429" s="1">
        <v>4430289386</v>
      </c>
      <c r="D429" s="1"/>
      <c r="E429" s="1">
        <v>271</v>
      </c>
      <c r="F429" s="1">
        <v>227</v>
      </c>
      <c r="G429" s="1" t="s">
        <v>38</v>
      </c>
      <c r="H429" s="1" t="s">
        <v>2078</v>
      </c>
      <c r="I429" s="1" t="s">
        <v>46</v>
      </c>
      <c r="J429" s="1" t="s">
        <v>40</v>
      </c>
      <c r="K429" s="1"/>
      <c r="L429" s="1">
        <v>5</v>
      </c>
    </row>
    <row r="430" spans="1:12" s="32" customFormat="1" hidden="1" x14ac:dyDescent="0.3">
      <c r="A430" s="37">
        <v>46139.569328703707</v>
      </c>
      <c r="B430" s="1" t="s">
        <v>45</v>
      </c>
      <c r="C430" s="1">
        <v>4430162384</v>
      </c>
      <c r="D430" s="1"/>
      <c r="E430" s="1">
        <v>1</v>
      </c>
      <c r="F430" s="1">
        <v>0</v>
      </c>
      <c r="G430" s="1" t="s">
        <v>47</v>
      </c>
      <c r="H430" s="1" t="s">
        <v>2079</v>
      </c>
      <c r="I430" s="1" t="s">
        <v>46</v>
      </c>
      <c r="J430" s="1" t="s">
        <v>40</v>
      </c>
      <c r="K430" s="1"/>
      <c r="L430" s="1"/>
    </row>
    <row r="431" spans="1:12" s="32" customFormat="1" hidden="1" x14ac:dyDescent="0.3">
      <c r="A431" s="37">
        <v>46139.569293981483</v>
      </c>
      <c r="B431" s="1" t="s">
        <v>48</v>
      </c>
      <c r="C431" s="1">
        <v>4430152023</v>
      </c>
      <c r="D431" s="1"/>
      <c r="E431" s="1">
        <v>54</v>
      </c>
      <c r="F431" s="1">
        <v>33</v>
      </c>
      <c r="G431" s="1" t="s">
        <v>38</v>
      </c>
      <c r="H431" s="1" t="s">
        <v>2080</v>
      </c>
      <c r="I431" s="1" t="s">
        <v>46</v>
      </c>
      <c r="J431" s="1" t="s">
        <v>40</v>
      </c>
      <c r="K431" s="1"/>
      <c r="L431" s="1"/>
    </row>
    <row r="432" spans="1:12" s="32" customFormat="1" hidden="1" x14ac:dyDescent="0.3">
      <c r="A432" s="37">
        <v>46139.566168981481</v>
      </c>
      <c r="B432" s="1" t="s">
        <v>45</v>
      </c>
      <c r="C432" s="1">
        <v>4430191401</v>
      </c>
      <c r="D432" s="1"/>
      <c r="E432" s="1">
        <v>81</v>
      </c>
      <c r="F432" s="1">
        <v>77</v>
      </c>
      <c r="G432" s="1" t="s">
        <v>38</v>
      </c>
      <c r="H432" s="1" t="s">
        <v>2081</v>
      </c>
      <c r="I432" s="1" t="s">
        <v>46</v>
      </c>
      <c r="J432" s="1" t="s">
        <v>40</v>
      </c>
      <c r="K432" s="1"/>
      <c r="L432" s="1"/>
    </row>
    <row r="433" spans="1:12" s="32" customFormat="1" hidden="1" x14ac:dyDescent="0.3">
      <c r="A433" s="37">
        <v>46139.565636574072</v>
      </c>
      <c r="B433" s="1">
        <v>4430162384</v>
      </c>
      <c r="C433" s="1" t="s">
        <v>37</v>
      </c>
      <c r="D433" s="1">
        <v>4430265054</v>
      </c>
      <c r="E433" s="1">
        <v>96</v>
      </c>
      <c r="F433" s="1">
        <v>43</v>
      </c>
      <c r="G433" s="1" t="s">
        <v>38</v>
      </c>
      <c r="H433" s="1" t="s">
        <v>2082</v>
      </c>
      <c r="I433" s="1" t="s">
        <v>39</v>
      </c>
      <c r="J433" s="1" t="s">
        <v>40</v>
      </c>
      <c r="K433" s="1" t="s">
        <v>41</v>
      </c>
      <c r="L433" s="1"/>
    </row>
    <row r="434" spans="1:12" s="32" customFormat="1" hidden="1" x14ac:dyDescent="0.3">
      <c r="A434" s="37">
        <v>46139.565393518518</v>
      </c>
      <c r="B434" s="1" t="s">
        <v>44</v>
      </c>
      <c r="C434" s="1">
        <v>4431337559</v>
      </c>
      <c r="D434" s="1"/>
      <c r="E434" s="1">
        <v>327</v>
      </c>
      <c r="F434" s="1">
        <v>314</v>
      </c>
      <c r="G434" s="1" t="s">
        <v>38</v>
      </c>
      <c r="H434" s="1" t="s">
        <v>2083</v>
      </c>
      <c r="I434" s="1" t="s">
        <v>46</v>
      </c>
      <c r="J434" s="1" t="s">
        <v>40</v>
      </c>
      <c r="K434" s="1"/>
      <c r="L434" s="1"/>
    </row>
    <row r="435" spans="1:12" s="32" customFormat="1" hidden="1" x14ac:dyDescent="0.3">
      <c r="A435" s="37">
        <v>46139.565289351849</v>
      </c>
      <c r="B435" s="1" t="s">
        <v>44</v>
      </c>
      <c r="C435" s="1">
        <v>4431337559</v>
      </c>
      <c r="D435" s="1"/>
      <c r="E435" s="1">
        <v>26</v>
      </c>
      <c r="F435" s="1">
        <v>25</v>
      </c>
      <c r="G435" s="1" t="s">
        <v>38</v>
      </c>
      <c r="H435" s="1" t="s">
        <v>2084</v>
      </c>
      <c r="I435" s="1" t="s">
        <v>46</v>
      </c>
      <c r="J435" s="1" t="s">
        <v>40</v>
      </c>
      <c r="K435" s="1"/>
      <c r="L435" s="1"/>
    </row>
    <row r="436" spans="1:12" s="32" customFormat="1" hidden="1" x14ac:dyDescent="0.3">
      <c r="A436" s="37">
        <v>46139.563645833332</v>
      </c>
      <c r="B436" s="1" t="s">
        <v>44</v>
      </c>
      <c r="C436" s="1">
        <v>4431337559</v>
      </c>
      <c r="D436" s="1"/>
      <c r="E436" s="1">
        <v>96</v>
      </c>
      <c r="F436" s="1">
        <v>0</v>
      </c>
      <c r="G436" s="1" t="s">
        <v>47</v>
      </c>
      <c r="H436" s="1" t="s">
        <v>2085</v>
      </c>
      <c r="I436" s="1" t="s">
        <v>46</v>
      </c>
      <c r="J436" s="1" t="s">
        <v>40</v>
      </c>
      <c r="K436" s="1"/>
      <c r="L436" s="1"/>
    </row>
    <row r="437" spans="1:12" s="32" customFormat="1" hidden="1" x14ac:dyDescent="0.3">
      <c r="A437" s="37">
        <v>46139.563206018516</v>
      </c>
      <c r="B437" s="1" t="s">
        <v>44</v>
      </c>
      <c r="C437" s="1">
        <v>4430289386</v>
      </c>
      <c r="D437" s="1"/>
      <c r="E437" s="1">
        <v>38</v>
      </c>
      <c r="F437" s="1">
        <v>21</v>
      </c>
      <c r="G437" s="1" t="s">
        <v>38</v>
      </c>
      <c r="H437" s="1" t="s">
        <v>2086</v>
      </c>
      <c r="I437" s="1" t="s">
        <v>46</v>
      </c>
      <c r="J437" s="1" t="s">
        <v>40</v>
      </c>
      <c r="K437" s="1"/>
      <c r="L437" s="1"/>
    </row>
    <row r="438" spans="1:12" s="32" customFormat="1" hidden="1" x14ac:dyDescent="0.3">
      <c r="A438" s="37">
        <v>46139.560636574075</v>
      </c>
      <c r="B438" s="1" t="s">
        <v>45</v>
      </c>
      <c r="C438" s="1">
        <v>4430191401</v>
      </c>
      <c r="D438" s="1"/>
      <c r="E438" s="1">
        <v>242</v>
      </c>
      <c r="F438" s="1">
        <v>235</v>
      </c>
      <c r="G438" s="1" t="s">
        <v>38</v>
      </c>
      <c r="H438" s="1" t="s">
        <v>2087</v>
      </c>
      <c r="I438" s="1" t="s">
        <v>46</v>
      </c>
      <c r="J438" s="1" t="s">
        <v>40</v>
      </c>
      <c r="K438" s="1"/>
      <c r="L438" s="1"/>
    </row>
    <row r="439" spans="1:12" s="32" customFormat="1" hidden="1" x14ac:dyDescent="0.3">
      <c r="A439" s="37">
        <v>46139.560486111113</v>
      </c>
      <c r="B439" s="1" t="s">
        <v>45</v>
      </c>
      <c r="C439" s="1">
        <v>4436313773</v>
      </c>
      <c r="D439" s="1"/>
      <c r="E439" s="1">
        <v>7</v>
      </c>
      <c r="F439" s="1">
        <v>0</v>
      </c>
      <c r="G439" s="1" t="s">
        <v>47</v>
      </c>
      <c r="H439" s="1" t="s">
        <v>2088</v>
      </c>
      <c r="I439" s="1" t="s">
        <v>46</v>
      </c>
      <c r="J439" s="1" t="s">
        <v>40</v>
      </c>
      <c r="K439" s="1"/>
      <c r="L439" s="1"/>
    </row>
    <row r="440" spans="1:12" s="32" customFormat="1" hidden="1" x14ac:dyDescent="0.3">
      <c r="A440" s="37">
        <v>46139.511354166665</v>
      </c>
      <c r="B440" s="1">
        <v>4433015974</v>
      </c>
      <c r="C440" s="1">
        <v>4430265054</v>
      </c>
      <c r="D440" s="1">
        <v>4430265054</v>
      </c>
      <c r="E440" s="1">
        <v>8</v>
      </c>
      <c r="F440" s="1">
        <v>7</v>
      </c>
      <c r="G440" s="1" t="s">
        <v>52</v>
      </c>
      <c r="H440" s="1" t="s">
        <v>2089</v>
      </c>
      <c r="I440" s="1" t="s">
        <v>39</v>
      </c>
      <c r="J440" s="1" t="s">
        <v>53</v>
      </c>
      <c r="K440" s="1"/>
      <c r="L440" s="1"/>
    </row>
    <row r="441" spans="1:12" s="32" customFormat="1" hidden="1" x14ac:dyDescent="0.3">
      <c r="A441" s="37">
        <v>46139.488668981481</v>
      </c>
      <c r="B441" s="1" t="s">
        <v>44</v>
      </c>
      <c r="C441" s="1">
        <v>4431337559</v>
      </c>
      <c r="D441" s="1"/>
      <c r="E441" s="1">
        <v>58</v>
      </c>
      <c r="F441" s="1">
        <v>47</v>
      </c>
      <c r="G441" s="1" t="s">
        <v>38</v>
      </c>
      <c r="H441" s="1" t="s">
        <v>2090</v>
      </c>
      <c r="I441" s="1" t="s">
        <v>46</v>
      </c>
      <c r="J441" s="1" t="s">
        <v>40</v>
      </c>
      <c r="K441" s="1"/>
      <c r="L441" s="1"/>
    </row>
    <row r="442" spans="1:12" s="32" customFormat="1" hidden="1" x14ac:dyDescent="0.3">
      <c r="A442" s="37">
        <v>46139.488599537035</v>
      </c>
      <c r="B442" s="1" t="s">
        <v>44</v>
      </c>
      <c r="C442" s="1">
        <v>4431337559</v>
      </c>
      <c r="D442" s="1"/>
      <c r="E442" s="1">
        <v>25</v>
      </c>
      <c r="F442" s="1">
        <v>25</v>
      </c>
      <c r="G442" s="1" t="s">
        <v>38</v>
      </c>
      <c r="H442" s="1" t="s">
        <v>2091</v>
      </c>
      <c r="I442" s="1" t="s">
        <v>46</v>
      </c>
      <c r="J442" s="1" t="s">
        <v>40</v>
      </c>
      <c r="K442" s="1"/>
      <c r="L442" s="1"/>
    </row>
    <row r="443" spans="1:12" s="32" customFormat="1" hidden="1" x14ac:dyDescent="0.3">
      <c r="A443" s="37">
        <v>46139.48574074074</v>
      </c>
      <c r="B443" s="1">
        <v>91981481202</v>
      </c>
      <c r="C443" s="1" t="s">
        <v>43</v>
      </c>
      <c r="D443" s="1">
        <v>4430265054</v>
      </c>
      <c r="E443" s="1">
        <v>525</v>
      </c>
      <c r="F443" s="1">
        <v>477</v>
      </c>
      <c r="G443" s="1" t="s">
        <v>38</v>
      </c>
      <c r="H443" s="1" t="s">
        <v>2092</v>
      </c>
      <c r="I443" s="1" t="s">
        <v>39</v>
      </c>
      <c r="J443" s="1" t="s">
        <v>40</v>
      </c>
      <c r="K443" s="1" t="s">
        <v>41</v>
      </c>
      <c r="L443" s="1"/>
    </row>
    <row r="444" spans="1:12" s="32" customFormat="1" hidden="1" x14ac:dyDescent="0.3">
      <c r="A444" s="37">
        <v>46139.477708333332</v>
      </c>
      <c r="B444" s="1">
        <v>83988398480</v>
      </c>
      <c r="C444" s="1" t="s">
        <v>45</v>
      </c>
      <c r="D444" s="1">
        <v>4430265054</v>
      </c>
      <c r="E444" s="1">
        <v>587</v>
      </c>
      <c r="F444" s="1">
        <v>515</v>
      </c>
      <c r="G444" s="1" t="s">
        <v>38</v>
      </c>
      <c r="H444" s="1" t="s">
        <v>2093</v>
      </c>
      <c r="I444" s="1" t="s">
        <v>39</v>
      </c>
      <c r="J444" s="1" t="s">
        <v>40</v>
      </c>
      <c r="K444" s="1" t="s">
        <v>41</v>
      </c>
      <c r="L444" s="1"/>
    </row>
    <row r="445" spans="1:12" s="32" customFormat="1" hidden="1" x14ac:dyDescent="0.3">
      <c r="A445" s="37">
        <v>46139.477233796293</v>
      </c>
      <c r="B445" s="1" t="s">
        <v>37</v>
      </c>
      <c r="C445" s="1">
        <v>3432424736</v>
      </c>
      <c r="D445" s="1"/>
      <c r="E445" s="1">
        <v>116</v>
      </c>
      <c r="F445" s="1">
        <v>115</v>
      </c>
      <c r="G445" s="1" t="s">
        <v>38</v>
      </c>
      <c r="H445" s="1" t="s">
        <v>2094</v>
      </c>
      <c r="I445" s="1" t="s">
        <v>46</v>
      </c>
      <c r="J445" s="1" t="s">
        <v>40</v>
      </c>
      <c r="K445" s="1"/>
      <c r="L445" s="1"/>
    </row>
    <row r="446" spans="1:12" s="32" customFormat="1" hidden="1" x14ac:dyDescent="0.3">
      <c r="A446" s="37">
        <v>46139.47016203704</v>
      </c>
      <c r="B446" s="1" t="s">
        <v>44</v>
      </c>
      <c r="C446" s="1">
        <v>4430289386</v>
      </c>
      <c r="D446" s="1"/>
      <c r="E446" s="1">
        <v>131</v>
      </c>
      <c r="F446" s="1">
        <v>116</v>
      </c>
      <c r="G446" s="1" t="s">
        <v>38</v>
      </c>
      <c r="H446" s="1" t="s">
        <v>2095</v>
      </c>
      <c r="I446" s="1" t="s">
        <v>46</v>
      </c>
      <c r="J446" s="1" t="s">
        <v>40</v>
      </c>
      <c r="K446" s="1"/>
      <c r="L446" s="1"/>
    </row>
    <row r="447" spans="1:12" s="32" customFormat="1" hidden="1" x14ac:dyDescent="0.3">
      <c r="A447" s="37">
        <v>46139.470104166663</v>
      </c>
      <c r="B447" s="1" t="s">
        <v>44</v>
      </c>
      <c r="C447" s="1">
        <v>4430289386</v>
      </c>
      <c r="D447" s="1"/>
      <c r="E447" s="1">
        <v>25</v>
      </c>
      <c r="F447" s="1">
        <v>25</v>
      </c>
      <c r="G447" s="1" t="s">
        <v>38</v>
      </c>
      <c r="H447" s="1" t="s">
        <v>2096</v>
      </c>
      <c r="I447" s="1" t="s">
        <v>46</v>
      </c>
      <c r="J447" s="1" t="s">
        <v>40</v>
      </c>
      <c r="K447" s="1"/>
      <c r="L447" s="1"/>
    </row>
    <row r="448" spans="1:12" s="32" customFormat="1" hidden="1" x14ac:dyDescent="0.3">
      <c r="A448" s="37">
        <v>46139.469629629632</v>
      </c>
      <c r="B448" s="1" t="s">
        <v>54</v>
      </c>
      <c r="C448" s="1">
        <v>19999146368</v>
      </c>
      <c r="D448" s="1"/>
      <c r="E448" s="1">
        <v>7</v>
      </c>
      <c r="F448" s="1">
        <v>0</v>
      </c>
      <c r="G448" s="1" t="s">
        <v>47</v>
      </c>
      <c r="H448" s="1" t="s">
        <v>2097</v>
      </c>
      <c r="I448" s="1" t="s">
        <v>46</v>
      </c>
      <c r="J448" s="1" t="s">
        <v>55</v>
      </c>
      <c r="K448" s="1"/>
      <c r="L448" s="1"/>
    </row>
    <row r="449" spans="1:12" s="32" customFormat="1" hidden="1" x14ac:dyDescent="0.3">
      <c r="A449" s="37">
        <v>46139.4690162037</v>
      </c>
      <c r="B449" s="1" t="s">
        <v>54</v>
      </c>
      <c r="C449" s="1">
        <v>11940346707</v>
      </c>
      <c r="D449" s="1"/>
      <c r="E449" s="1">
        <v>13</v>
      </c>
      <c r="F449" s="1">
        <v>0</v>
      </c>
      <c r="G449" s="1" t="s">
        <v>47</v>
      </c>
      <c r="H449" s="1" t="s">
        <v>2098</v>
      </c>
      <c r="I449" s="1" t="s">
        <v>46</v>
      </c>
      <c r="J449" s="1" t="s">
        <v>55</v>
      </c>
      <c r="K449" s="1"/>
      <c r="L449" s="1"/>
    </row>
    <row r="450" spans="1:12" s="32" customFormat="1" hidden="1" x14ac:dyDescent="0.3">
      <c r="A450" s="37">
        <v>46139.468009259261</v>
      </c>
      <c r="B450" s="1" t="s">
        <v>54</v>
      </c>
      <c r="C450" s="1">
        <v>67996499074</v>
      </c>
      <c r="D450" s="1"/>
      <c r="E450" s="1">
        <v>12</v>
      </c>
      <c r="F450" s="1">
        <v>0</v>
      </c>
      <c r="G450" s="1" t="s">
        <v>47</v>
      </c>
      <c r="H450" s="1" t="s">
        <v>2099</v>
      </c>
      <c r="I450" s="1" t="s">
        <v>46</v>
      </c>
      <c r="J450" s="1" t="s">
        <v>55</v>
      </c>
      <c r="K450" s="1"/>
      <c r="L450" s="1"/>
    </row>
    <row r="451" spans="1:12" s="32" customFormat="1" hidden="1" x14ac:dyDescent="0.3">
      <c r="A451" s="37">
        <v>46139.465763888889</v>
      </c>
      <c r="B451" s="1" t="s">
        <v>54</v>
      </c>
      <c r="C451" s="1">
        <v>12991964362</v>
      </c>
      <c r="D451" s="1"/>
      <c r="E451" s="1">
        <v>22</v>
      </c>
      <c r="F451" s="1">
        <v>0</v>
      </c>
      <c r="G451" s="1" t="s">
        <v>47</v>
      </c>
      <c r="H451" s="1" t="s">
        <v>2100</v>
      </c>
      <c r="I451" s="1" t="s">
        <v>46</v>
      </c>
      <c r="J451" s="1" t="s">
        <v>55</v>
      </c>
      <c r="K451" s="1"/>
      <c r="L451" s="1"/>
    </row>
    <row r="452" spans="1:12" s="32" customFormat="1" hidden="1" x14ac:dyDescent="0.3">
      <c r="A452" s="37">
        <v>46139.465092592596</v>
      </c>
      <c r="B452" s="1" t="s">
        <v>54</v>
      </c>
      <c r="C452" s="1">
        <v>11947051012</v>
      </c>
      <c r="D452" s="1"/>
      <c r="E452" s="1">
        <v>6</v>
      </c>
      <c r="F452" s="1">
        <v>0</v>
      </c>
      <c r="G452" s="1" t="s">
        <v>47</v>
      </c>
      <c r="H452" s="1" t="s">
        <v>2101</v>
      </c>
      <c r="I452" s="1" t="s">
        <v>46</v>
      </c>
      <c r="J452" s="1" t="s">
        <v>55</v>
      </c>
      <c r="K452" s="1"/>
      <c r="L452" s="1"/>
    </row>
    <row r="453" spans="1:12" s="32" customFormat="1" hidden="1" x14ac:dyDescent="0.3">
      <c r="A453" s="37">
        <v>46139.459745370368</v>
      </c>
      <c r="B453" s="1">
        <v>44997401512</v>
      </c>
      <c r="C453" s="1" t="s">
        <v>54</v>
      </c>
      <c r="D453" s="1">
        <v>4430265054</v>
      </c>
      <c r="E453" s="1">
        <v>86</v>
      </c>
      <c r="F453" s="1">
        <v>60</v>
      </c>
      <c r="G453" s="1" t="s">
        <v>38</v>
      </c>
      <c r="H453" s="1" t="s">
        <v>2102</v>
      </c>
      <c r="I453" s="1" t="s">
        <v>39</v>
      </c>
      <c r="J453" s="1" t="s">
        <v>55</v>
      </c>
      <c r="K453" s="1" t="s">
        <v>49</v>
      </c>
      <c r="L453" s="1"/>
    </row>
    <row r="454" spans="1:12" s="32" customFormat="1" hidden="1" x14ac:dyDescent="0.3">
      <c r="A454" s="37">
        <v>46139.457870370374</v>
      </c>
      <c r="B454" s="1" t="s">
        <v>54</v>
      </c>
      <c r="C454" s="1">
        <v>62992826066</v>
      </c>
      <c r="D454" s="1"/>
      <c r="E454" s="1">
        <v>14</v>
      </c>
      <c r="F454" s="1">
        <v>6</v>
      </c>
      <c r="G454" s="1" t="s">
        <v>38</v>
      </c>
      <c r="H454" s="1" t="s">
        <v>2103</v>
      </c>
      <c r="I454" s="1" t="s">
        <v>46</v>
      </c>
      <c r="J454" s="1" t="s">
        <v>55</v>
      </c>
      <c r="K454" s="1"/>
      <c r="L454" s="1"/>
    </row>
    <row r="455" spans="1:12" s="32" customFormat="1" hidden="1" x14ac:dyDescent="0.3">
      <c r="A455" s="37">
        <v>46139.452916666669</v>
      </c>
      <c r="B455" s="1" t="s">
        <v>37</v>
      </c>
      <c r="C455" s="1">
        <v>4430451163</v>
      </c>
      <c r="D455" s="1"/>
      <c r="E455" s="1">
        <v>371</v>
      </c>
      <c r="F455" s="1">
        <v>366</v>
      </c>
      <c r="G455" s="1" t="s">
        <v>38</v>
      </c>
      <c r="H455" s="1" t="s">
        <v>2104</v>
      </c>
      <c r="I455" s="1" t="s">
        <v>46</v>
      </c>
      <c r="J455" s="1" t="s">
        <v>40</v>
      </c>
      <c r="K455" s="1"/>
      <c r="L455" s="1"/>
    </row>
    <row r="456" spans="1:12" s="32" customFormat="1" hidden="1" x14ac:dyDescent="0.3">
      <c r="A456" s="37">
        <v>46139.452824074076</v>
      </c>
      <c r="B456" s="1">
        <v>4431337559</v>
      </c>
      <c r="C456" s="1" t="s">
        <v>44</v>
      </c>
      <c r="D456" s="1">
        <v>4430265054</v>
      </c>
      <c r="E456" s="1">
        <v>680</v>
      </c>
      <c r="F456" s="1">
        <v>581</v>
      </c>
      <c r="G456" s="1" t="s">
        <v>38</v>
      </c>
      <c r="H456" s="1" t="s">
        <v>2105</v>
      </c>
      <c r="I456" s="1" t="s">
        <v>39</v>
      </c>
      <c r="J456" s="1" t="s">
        <v>40</v>
      </c>
      <c r="K456" s="1" t="s">
        <v>41</v>
      </c>
      <c r="L456" s="1"/>
    </row>
    <row r="457" spans="1:12" s="32" customFormat="1" hidden="1" x14ac:dyDescent="0.3">
      <c r="A457" s="37">
        <v>46139.45244212963</v>
      </c>
      <c r="B457" s="1" t="s">
        <v>37</v>
      </c>
      <c r="C457" s="1">
        <v>44991486467</v>
      </c>
      <c r="D457" s="1"/>
      <c r="E457" s="1">
        <v>16</v>
      </c>
      <c r="F457" s="1">
        <v>0</v>
      </c>
      <c r="G457" s="1" t="s">
        <v>47</v>
      </c>
      <c r="H457" s="1" t="s">
        <v>2106</v>
      </c>
      <c r="I457" s="1" t="s">
        <v>46</v>
      </c>
      <c r="J457" s="1" t="s">
        <v>40</v>
      </c>
      <c r="K457" s="1"/>
      <c r="L457" s="1"/>
    </row>
    <row r="458" spans="1:12" s="32" customFormat="1" hidden="1" x14ac:dyDescent="0.3">
      <c r="A458" s="37">
        <v>46139.446643518517</v>
      </c>
      <c r="B458" s="1">
        <v>4121418115</v>
      </c>
      <c r="C458" s="1">
        <v>4531273155</v>
      </c>
      <c r="D458" s="1">
        <v>4531273155</v>
      </c>
      <c r="E458" s="1">
        <v>47</v>
      </c>
      <c r="F458" s="1">
        <v>46</v>
      </c>
      <c r="G458" s="1" t="s">
        <v>52</v>
      </c>
      <c r="H458" s="1" t="s">
        <v>2107</v>
      </c>
      <c r="I458" s="1" t="s">
        <v>39</v>
      </c>
      <c r="J458" s="1" t="s">
        <v>53</v>
      </c>
      <c r="K458" s="1" t="s">
        <v>41</v>
      </c>
      <c r="L458" s="1"/>
    </row>
    <row r="459" spans="1:12" s="32" customFormat="1" hidden="1" x14ac:dyDescent="0.3">
      <c r="A459" s="37">
        <v>46139.446076388886</v>
      </c>
      <c r="B459" s="1">
        <v>4433015965</v>
      </c>
      <c r="C459" s="1">
        <v>4430265054</v>
      </c>
      <c r="D459" s="1">
        <v>4430265054</v>
      </c>
      <c r="E459" s="1">
        <v>3</v>
      </c>
      <c r="F459" s="1">
        <v>3</v>
      </c>
      <c r="G459" s="1" t="s">
        <v>52</v>
      </c>
      <c r="H459" s="1" t="s">
        <v>2108</v>
      </c>
      <c r="I459" s="1" t="s">
        <v>39</v>
      </c>
      <c r="J459" s="1" t="s">
        <v>53</v>
      </c>
      <c r="K459" s="1"/>
      <c r="L459" s="1"/>
    </row>
    <row r="460" spans="1:12" s="32" customFormat="1" hidden="1" x14ac:dyDescent="0.3">
      <c r="A460" s="37">
        <v>46139.439965277779</v>
      </c>
      <c r="B460" s="1">
        <v>44997650834</v>
      </c>
      <c r="C460" s="1" t="s">
        <v>44</v>
      </c>
      <c r="D460" s="1">
        <v>4430265054</v>
      </c>
      <c r="E460" s="1">
        <v>529</v>
      </c>
      <c r="F460" s="1">
        <v>478</v>
      </c>
      <c r="G460" s="1" t="s">
        <v>38</v>
      </c>
      <c r="H460" s="1" t="s">
        <v>2109</v>
      </c>
      <c r="I460" s="1" t="s">
        <v>39</v>
      </c>
      <c r="J460" s="1" t="s">
        <v>40</v>
      </c>
      <c r="K460" s="1" t="s">
        <v>41</v>
      </c>
      <c r="L460" s="1">
        <v>5</v>
      </c>
    </row>
    <row r="461" spans="1:12" s="32" customFormat="1" hidden="1" x14ac:dyDescent="0.3">
      <c r="A461" s="37">
        <v>46139.439745370371</v>
      </c>
      <c r="B461" s="1" t="s">
        <v>45</v>
      </c>
      <c r="C461" s="1">
        <v>44998581219</v>
      </c>
      <c r="D461" s="1"/>
      <c r="E461" s="1">
        <v>188</v>
      </c>
      <c r="F461" s="1">
        <v>183</v>
      </c>
      <c r="G461" s="1" t="s">
        <v>38</v>
      </c>
      <c r="H461" s="1" t="s">
        <v>2110</v>
      </c>
      <c r="I461" s="1" t="s">
        <v>46</v>
      </c>
      <c r="J461" s="1" t="s">
        <v>40</v>
      </c>
      <c r="K461" s="1"/>
      <c r="L461" s="1"/>
    </row>
    <row r="462" spans="1:12" s="32" customFormat="1" hidden="1" x14ac:dyDescent="0.3">
      <c r="A462" s="37">
        <v>46139.435740740744</v>
      </c>
      <c r="B462" s="1">
        <v>45999211357</v>
      </c>
      <c r="C462" s="1" t="s">
        <v>43</v>
      </c>
      <c r="D462" s="1">
        <v>4431268225</v>
      </c>
      <c r="E462" s="1">
        <v>510</v>
      </c>
      <c r="F462" s="1">
        <v>461</v>
      </c>
      <c r="G462" s="1" t="s">
        <v>38</v>
      </c>
      <c r="H462" s="1" t="s">
        <v>2111</v>
      </c>
      <c r="I462" s="1" t="s">
        <v>39</v>
      </c>
      <c r="J462" s="1" t="s">
        <v>40</v>
      </c>
      <c r="K462" s="1" t="s">
        <v>41</v>
      </c>
      <c r="L462" s="1">
        <v>3</v>
      </c>
    </row>
    <row r="463" spans="1:12" s="32" customFormat="1" hidden="1" x14ac:dyDescent="0.3">
      <c r="A463" s="37">
        <v>46139.43509259259</v>
      </c>
      <c r="B463" s="1">
        <v>4436312588</v>
      </c>
      <c r="C463" s="1" t="s">
        <v>37</v>
      </c>
      <c r="D463" s="1">
        <v>4430265054</v>
      </c>
      <c r="E463" s="1">
        <v>463</v>
      </c>
      <c r="F463" s="1">
        <v>389</v>
      </c>
      <c r="G463" s="1" t="s">
        <v>38</v>
      </c>
      <c r="H463" s="1" t="s">
        <v>2112</v>
      </c>
      <c r="I463" s="1" t="s">
        <v>39</v>
      </c>
      <c r="J463" s="1" t="s">
        <v>40</v>
      </c>
      <c r="K463" s="1" t="s">
        <v>41</v>
      </c>
      <c r="L463" s="1"/>
    </row>
    <row r="464" spans="1:12" s="32" customFormat="1" hidden="1" x14ac:dyDescent="0.3">
      <c r="A464" s="37">
        <v>46139.432222222225</v>
      </c>
      <c r="B464" s="1">
        <v>6234347959</v>
      </c>
      <c r="C464" s="1" t="s">
        <v>45</v>
      </c>
      <c r="D464" s="1">
        <v>4430265054</v>
      </c>
      <c r="E464" s="1">
        <v>507</v>
      </c>
      <c r="F464" s="1">
        <v>457</v>
      </c>
      <c r="G464" s="1" t="s">
        <v>38</v>
      </c>
      <c r="H464" s="1" t="s">
        <v>2113</v>
      </c>
      <c r="I464" s="1" t="s">
        <v>39</v>
      </c>
      <c r="J464" s="1" t="s">
        <v>40</v>
      </c>
      <c r="K464" s="1" t="s">
        <v>41</v>
      </c>
      <c r="L464" s="1"/>
    </row>
    <row r="465" spans="1:12" s="32" customFormat="1" hidden="1" x14ac:dyDescent="0.3">
      <c r="A465" s="37">
        <v>46139.432106481479</v>
      </c>
      <c r="B465" s="1">
        <v>4533042020</v>
      </c>
      <c r="C465" s="1">
        <v>4531273156</v>
      </c>
      <c r="D465" s="1">
        <v>4531273156</v>
      </c>
      <c r="E465" s="1">
        <v>48</v>
      </c>
      <c r="F465" s="1">
        <v>47</v>
      </c>
      <c r="G465" s="1" t="s">
        <v>52</v>
      </c>
      <c r="H465" s="1" t="s">
        <v>2114</v>
      </c>
      <c r="I465" s="1" t="s">
        <v>39</v>
      </c>
      <c r="J465" s="1" t="s">
        <v>53</v>
      </c>
      <c r="K465" s="1" t="s">
        <v>41</v>
      </c>
      <c r="L465" s="1"/>
    </row>
    <row r="466" spans="1:12" s="32" customFormat="1" hidden="1" x14ac:dyDescent="0.3">
      <c r="A466" s="37">
        <v>46139.43173611111</v>
      </c>
      <c r="B466" s="1" t="s">
        <v>45</v>
      </c>
      <c r="C466" s="1">
        <v>44999488286</v>
      </c>
      <c r="D466" s="1"/>
      <c r="E466" s="1">
        <v>79</v>
      </c>
      <c r="F466" s="1">
        <v>40</v>
      </c>
      <c r="G466" s="1" t="s">
        <v>38</v>
      </c>
      <c r="H466" s="1" t="s">
        <v>2115</v>
      </c>
      <c r="I466" s="1" t="s">
        <v>46</v>
      </c>
      <c r="J466" s="1" t="s">
        <v>40</v>
      </c>
      <c r="K466" s="1"/>
      <c r="L466" s="1"/>
    </row>
    <row r="467" spans="1:12" s="32" customFormat="1" hidden="1" x14ac:dyDescent="0.3">
      <c r="A467" s="37">
        <v>46139.429756944446</v>
      </c>
      <c r="B467" s="1" t="s">
        <v>45</v>
      </c>
      <c r="C467" s="1">
        <v>44999488286</v>
      </c>
      <c r="D467" s="1"/>
      <c r="E467" s="1">
        <v>38</v>
      </c>
      <c r="F467" s="1">
        <v>0</v>
      </c>
      <c r="G467" s="1" t="s">
        <v>47</v>
      </c>
      <c r="H467" s="1" t="s">
        <v>2116</v>
      </c>
      <c r="I467" s="1" t="s">
        <v>46</v>
      </c>
      <c r="J467" s="1" t="s">
        <v>40</v>
      </c>
      <c r="K467" s="1"/>
      <c r="L467" s="1"/>
    </row>
    <row r="468" spans="1:12" s="32" customFormat="1" hidden="1" x14ac:dyDescent="0.3">
      <c r="A468" s="37">
        <v>46139.420798611114</v>
      </c>
      <c r="B468" s="1" t="s">
        <v>48</v>
      </c>
      <c r="C468" s="1">
        <v>15998536957</v>
      </c>
      <c r="D468" s="1"/>
      <c r="E468" s="1">
        <v>398</v>
      </c>
      <c r="F468" s="1">
        <v>386</v>
      </c>
      <c r="G468" s="1" t="s">
        <v>38</v>
      </c>
      <c r="H468" s="1" t="s">
        <v>2117</v>
      </c>
      <c r="I468" s="1" t="s">
        <v>46</v>
      </c>
      <c r="J468" s="1" t="s">
        <v>40</v>
      </c>
      <c r="K468" s="1"/>
      <c r="L468" s="1"/>
    </row>
    <row r="469" spans="1:12" s="32" customFormat="1" hidden="1" x14ac:dyDescent="0.3">
      <c r="A469" s="37">
        <v>46139.420335648145</v>
      </c>
      <c r="B469" s="1" t="s">
        <v>48</v>
      </c>
      <c r="C469" s="1">
        <v>15996808250</v>
      </c>
      <c r="D469" s="1"/>
      <c r="E469" s="1">
        <v>7</v>
      </c>
      <c r="F469" s="1">
        <v>0</v>
      </c>
      <c r="G469" s="1" t="s">
        <v>47</v>
      </c>
      <c r="H469" s="1" t="s">
        <v>2118</v>
      </c>
      <c r="I469" s="1" t="s">
        <v>46</v>
      </c>
      <c r="J469" s="1" t="s">
        <v>40</v>
      </c>
      <c r="K469" s="1"/>
      <c r="L469" s="1"/>
    </row>
    <row r="470" spans="1:12" s="32" customFormat="1" hidden="1" x14ac:dyDescent="0.3">
      <c r="A470" s="37">
        <v>46139.420115740744</v>
      </c>
      <c r="B470" s="1" t="s">
        <v>48</v>
      </c>
      <c r="C470" s="1">
        <v>15996808250</v>
      </c>
      <c r="D470" s="1"/>
      <c r="E470" s="1">
        <v>11</v>
      </c>
      <c r="F470" s="1">
        <v>0</v>
      </c>
      <c r="G470" s="1" t="s">
        <v>47</v>
      </c>
      <c r="H470" s="1" t="s">
        <v>2119</v>
      </c>
      <c r="I470" s="1" t="s">
        <v>46</v>
      </c>
      <c r="J470" s="1" t="s">
        <v>40</v>
      </c>
      <c r="K470" s="1"/>
      <c r="L470" s="1"/>
    </row>
    <row r="471" spans="1:12" s="32" customFormat="1" hidden="1" x14ac:dyDescent="0.3">
      <c r="A471" s="37">
        <v>46139.419525462959</v>
      </c>
      <c r="B471" s="1">
        <v>6434538540</v>
      </c>
      <c r="C471" s="1" t="s">
        <v>45</v>
      </c>
      <c r="D471" s="1">
        <v>4430265054</v>
      </c>
      <c r="E471" s="1">
        <v>652</v>
      </c>
      <c r="F471" s="1">
        <v>550</v>
      </c>
      <c r="G471" s="1" t="s">
        <v>38</v>
      </c>
      <c r="H471" s="1" t="s">
        <v>2120</v>
      </c>
      <c r="I471" s="1" t="s">
        <v>39</v>
      </c>
      <c r="J471" s="1" t="s">
        <v>40</v>
      </c>
      <c r="K471" s="1" t="s">
        <v>41</v>
      </c>
      <c r="L471" s="1">
        <v>5</v>
      </c>
    </row>
    <row r="472" spans="1:12" s="32" customFormat="1" hidden="1" x14ac:dyDescent="0.3">
      <c r="A472" s="37">
        <v>46139.40415509259</v>
      </c>
      <c r="B472" s="1">
        <v>44997401512</v>
      </c>
      <c r="C472" s="1">
        <v>3000</v>
      </c>
      <c r="D472" s="1">
        <v>4430265054</v>
      </c>
      <c r="E472" s="1">
        <v>1324</v>
      </c>
      <c r="F472" s="1">
        <v>1297</v>
      </c>
      <c r="G472" s="1" t="s">
        <v>38</v>
      </c>
      <c r="H472" s="1" t="s">
        <v>2121</v>
      </c>
      <c r="I472" s="1" t="s">
        <v>39</v>
      </c>
      <c r="J472" s="1" t="s">
        <v>53</v>
      </c>
      <c r="K472" s="1" t="s">
        <v>41</v>
      </c>
      <c r="L472" s="1"/>
    </row>
    <row r="473" spans="1:12" s="32" customFormat="1" hidden="1" x14ac:dyDescent="0.3">
      <c r="A473" s="37">
        <v>46139.402465277781</v>
      </c>
      <c r="B473" s="1" t="s">
        <v>37</v>
      </c>
      <c r="C473" s="1">
        <v>44997401512</v>
      </c>
      <c r="D473" s="1"/>
      <c r="E473" s="1">
        <v>51</v>
      </c>
      <c r="F473" s="1">
        <v>30</v>
      </c>
      <c r="G473" s="1" t="s">
        <v>38</v>
      </c>
      <c r="H473" s="1" t="s">
        <v>2122</v>
      </c>
      <c r="I473" s="1" t="s">
        <v>46</v>
      </c>
      <c r="J473" s="1" t="s">
        <v>40</v>
      </c>
      <c r="K473" s="1"/>
      <c r="L473" s="1"/>
    </row>
    <row r="474" spans="1:12" s="32" customFormat="1" hidden="1" x14ac:dyDescent="0.3">
      <c r="A474" s="37">
        <v>46139.401967592596</v>
      </c>
      <c r="B474" s="1" t="s">
        <v>37</v>
      </c>
      <c r="C474" s="1">
        <v>44997401512</v>
      </c>
      <c r="D474" s="1"/>
      <c r="E474" s="1">
        <v>46</v>
      </c>
      <c r="F474" s="1">
        <v>29</v>
      </c>
      <c r="G474" s="1" t="s">
        <v>38</v>
      </c>
      <c r="H474" s="1" t="s">
        <v>2123</v>
      </c>
      <c r="I474" s="1" t="s">
        <v>46</v>
      </c>
      <c r="J474" s="1" t="s">
        <v>40</v>
      </c>
      <c r="K474" s="1"/>
      <c r="L474" s="1"/>
    </row>
    <row r="475" spans="1:12" s="32" customFormat="1" hidden="1" x14ac:dyDescent="0.3">
      <c r="A475" s="37">
        <v>46139.401435185187</v>
      </c>
      <c r="B475" s="1" t="s">
        <v>37</v>
      </c>
      <c r="C475" s="1">
        <v>44997401512</v>
      </c>
      <c r="D475" s="1"/>
      <c r="E475" s="1">
        <v>16</v>
      </c>
      <c r="F475" s="1">
        <v>0</v>
      </c>
      <c r="G475" s="1" t="s">
        <v>47</v>
      </c>
      <c r="H475" s="1" t="s">
        <v>2124</v>
      </c>
      <c r="I475" s="1" t="s">
        <v>46</v>
      </c>
      <c r="J475" s="1" t="s">
        <v>40</v>
      </c>
      <c r="K475" s="1"/>
      <c r="L475" s="1"/>
    </row>
    <row r="476" spans="1:12" s="32" customFormat="1" hidden="1" x14ac:dyDescent="0.3">
      <c r="A476" s="37">
        <v>46139.399421296293</v>
      </c>
      <c r="B476" s="1">
        <v>6234347959</v>
      </c>
      <c r="C476" s="1" t="s">
        <v>43</v>
      </c>
      <c r="D476" s="1">
        <v>4430265054</v>
      </c>
      <c r="E476" s="1">
        <v>632</v>
      </c>
      <c r="F476" s="1">
        <v>574</v>
      </c>
      <c r="G476" s="1" t="s">
        <v>38</v>
      </c>
      <c r="H476" s="1" t="s">
        <v>2125</v>
      </c>
      <c r="I476" s="1" t="s">
        <v>39</v>
      </c>
      <c r="J476" s="1" t="s">
        <v>40</v>
      </c>
      <c r="K476" s="1" t="s">
        <v>41</v>
      </c>
      <c r="L476" s="1">
        <v>5</v>
      </c>
    </row>
    <row r="477" spans="1:12" s="32" customFormat="1" hidden="1" x14ac:dyDescent="0.3">
      <c r="A477" s="37">
        <v>46139.399097222224</v>
      </c>
      <c r="B477" s="1">
        <v>4430289386</v>
      </c>
      <c r="C477" s="1" t="s">
        <v>44</v>
      </c>
      <c r="D477" s="1">
        <v>4430265054</v>
      </c>
      <c r="E477" s="1">
        <v>268</v>
      </c>
      <c r="F477" s="1">
        <v>146</v>
      </c>
      <c r="G477" s="1" t="s">
        <v>38</v>
      </c>
      <c r="H477" s="1" t="s">
        <v>2126</v>
      </c>
      <c r="I477" s="1" t="s">
        <v>39</v>
      </c>
      <c r="J477" s="1" t="s">
        <v>40</v>
      </c>
      <c r="K477" s="1" t="s">
        <v>41</v>
      </c>
      <c r="L477" s="1"/>
    </row>
    <row r="478" spans="1:12" s="32" customFormat="1" hidden="1" x14ac:dyDescent="0.3">
      <c r="A478" s="37">
        <v>46139.395937499998</v>
      </c>
      <c r="B478" s="1">
        <v>43996490165</v>
      </c>
      <c r="C478" s="1" t="s">
        <v>45</v>
      </c>
      <c r="D478" s="1">
        <v>4430265054</v>
      </c>
      <c r="E478" s="1">
        <v>472</v>
      </c>
      <c r="F478" s="1">
        <v>420</v>
      </c>
      <c r="G478" s="1" t="s">
        <v>38</v>
      </c>
      <c r="H478" s="1" t="s">
        <v>2127</v>
      </c>
      <c r="I478" s="1" t="s">
        <v>39</v>
      </c>
      <c r="J478" s="1" t="s">
        <v>40</v>
      </c>
      <c r="K478" s="1" t="s">
        <v>41</v>
      </c>
      <c r="L478" s="1"/>
    </row>
    <row r="479" spans="1:12" s="32" customFormat="1" hidden="1" x14ac:dyDescent="0.3">
      <c r="A479" s="37">
        <v>46139.395266203705</v>
      </c>
      <c r="B479" s="1" t="s">
        <v>37</v>
      </c>
      <c r="C479" s="1">
        <v>4430451163</v>
      </c>
      <c r="D479" s="1"/>
      <c r="E479" s="1">
        <v>192</v>
      </c>
      <c r="F479" s="1">
        <v>187</v>
      </c>
      <c r="G479" s="1" t="s">
        <v>38</v>
      </c>
      <c r="H479" s="1" t="s">
        <v>2128</v>
      </c>
      <c r="I479" s="1" t="s">
        <v>46</v>
      </c>
      <c r="J479" s="1" t="s">
        <v>40</v>
      </c>
      <c r="K479" s="1"/>
      <c r="L479" s="1"/>
    </row>
    <row r="480" spans="1:12" s="32" customFormat="1" hidden="1" x14ac:dyDescent="0.3">
      <c r="A480" s="37">
        <v>46139.391469907408</v>
      </c>
      <c r="B480" s="1" t="s">
        <v>37</v>
      </c>
      <c r="C480" s="1">
        <v>4430451163</v>
      </c>
      <c r="D480" s="1"/>
      <c r="E480" s="1">
        <v>4</v>
      </c>
      <c r="F480" s="1">
        <v>0</v>
      </c>
      <c r="G480" s="1" t="s">
        <v>47</v>
      </c>
      <c r="H480" s="1" t="s">
        <v>2129</v>
      </c>
      <c r="I480" s="1" t="s">
        <v>46</v>
      </c>
      <c r="J480" s="1" t="s">
        <v>40</v>
      </c>
      <c r="K480" s="1"/>
      <c r="L480" s="1"/>
    </row>
    <row r="481" spans="1:12" s="32" customFormat="1" hidden="1" x14ac:dyDescent="0.3">
      <c r="A481" s="37">
        <v>46139.391388888886</v>
      </c>
      <c r="B481" s="1" t="s">
        <v>37</v>
      </c>
      <c r="C481" s="1">
        <v>4430451163</v>
      </c>
      <c r="D481" s="1"/>
      <c r="E481" s="1">
        <v>4</v>
      </c>
      <c r="F481" s="1">
        <v>0</v>
      </c>
      <c r="G481" s="1" t="s">
        <v>47</v>
      </c>
      <c r="H481" s="1" t="s">
        <v>2130</v>
      </c>
      <c r="I481" s="1" t="s">
        <v>46</v>
      </c>
      <c r="J481" s="1" t="s">
        <v>40</v>
      </c>
      <c r="K481" s="1"/>
      <c r="L481" s="1"/>
    </row>
    <row r="482" spans="1:12" s="32" customFormat="1" hidden="1" x14ac:dyDescent="0.3">
      <c r="A482" s="37">
        <v>46139.390729166669</v>
      </c>
      <c r="B482" s="1" t="s">
        <v>43</v>
      </c>
      <c r="C482" s="1">
        <v>77999014770</v>
      </c>
      <c r="D482" s="1"/>
      <c r="E482" s="1">
        <v>44</v>
      </c>
      <c r="F482" s="1">
        <v>32</v>
      </c>
      <c r="G482" s="1" t="s">
        <v>38</v>
      </c>
      <c r="H482" s="1" t="s">
        <v>2131</v>
      </c>
      <c r="I482" s="1" t="s">
        <v>46</v>
      </c>
      <c r="J482" s="1" t="s">
        <v>40</v>
      </c>
      <c r="K482" s="1"/>
      <c r="L482" s="1"/>
    </row>
    <row r="483" spans="1:12" s="32" customFormat="1" hidden="1" x14ac:dyDescent="0.3">
      <c r="A483" s="37">
        <v>46139.390590277777</v>
      </c>
      <c r="B483" s="1" t="s">
        <v>48</v>
      </c>
      <c r="C483" s="1">
        <v>4430152023</v>
      </c>
      <c r="D483" s="1"/>
      <c r="E483" s="1">
        <v>2</v>
      </c>
      <c r="F483" s="1">
        <v>0</v>
      </c>
      <c r="G483" s="1" t="s">
        <v>47</v>
      </c>
      <c r="H483" s="1" t="s">
        <v>2132</v>
      </c>
      <c r="I483" s="1" t="s">
        <v>46</v>
      </c>
      <c r="J483" s="1" t="s">
        <v>40</v>
      </c>
      <c r="K483" s="1"/>
      <c r="L483" s="1"/>
    </row>
    <row r="484" spans="1:12" s="32" customFormat="1" hidden="1" x14ac:dyDescent="0.3">
      <c r="A484" s="37">
        <v>46139.390543981484</v>
      </c>
      <c r="B484" s="1" t="s">
        <v>48</v>
      </c>
      <c r="C484" s="1">
        <v>4432322449</v>
      </c>
      <c r="D484" s="1"/>
      <c r="E484" s="1">
        <v>2</v>
      </c>
      <c r="F484" s="1">
        <v>0</v>
      </c>
      <c r="G484" s="1" t="s">
        <v>47</v>
      </c>
      <c r="H484" s="1" t="s">
        <v>2133</v>
      </c>
      <c r="I484" s="1" t="s">
        <v>46</v>
      </c>
      <c r="J484" s="1" t="s">
        <v>40</v>
      </c>
      <c r="K484" s="1"/>
      <c r="L484" s="1"/>
    </row>
    <row r="485" spans="1:12" s="32" customFormat="1" hidden="1" x14ac:dyDescent="0.3">
      <c r="A485" s="37">
        <v>46139.390451388892</v>
      </c>
      <c r="B485" s="1">
        <v>6234347959</v>
      </c>
      <c r="C485" s="1" t="s">
        <v>45</v>
      </c>
      <c r="D485" s="1">
        <v>4430265054</v>
      </c>
      <c r="E485" s="1">
        <v>308</v>
      </c>
      <c r="F485" s="1">
        <v>237</v>
      </c>
      <c r="G485" s="1" t="s">
        <v>38</v>
      </c>
      <c r="H485" s="1" t="s">
        <v>2134</v>
      </c>
      <c r="I485" s="1" t="s">
        <v>39</v>
      </c>
      <c r="J485" s="1" t="s">
        <v>40</v>
      </c>
      <c r="K485" s="1" t="s">
        <v>41</v>
      </c>
      <c r="L485" s="1">
        <v>5</v>
      </c>
    </row>
    <row r="486" spans="1:12" s="32" customFormat="1" hidden="1" x14ac:dyDescent="0.3">
      <c r="A486" s="37">
        <v>46139.390439814815</v>
      </c>
      <c r="B486" s="1" t="s">
        <v>48</v>
      </c>
      <c r="C486" s="1">
        <v>4430152023</v>
      </c>
      <c r="D486" s="1"/>
      <c r="E486" s="1">
        <v>1</v>
      </c>
      <c r="F486" s="1">
        <v>0</v>
      </c>
      <c r="G486" s="1" t="s">
        <v>47</v>
      </c>
      <c r="H486" s="1" t="s">
        <v>2135</v>
      </c>
      <c r="I486" s="1" t="s">
        <v>46</v>
      </c>
      <c r="J486" s="1" t="s">
        <v>40</v>
      </c>
      <c r="K486" s="1"/>
      <c r="L486" s="1"/>
    </row>
    <row r="487" spans="1:12" s="32" customFormat="1" hidden="1" x14ac:dyDescent="0.3">
      <c r="A487" s="37">
        <v>46139.390335648146</v>
      </c>
      <c r="B487" s="1" t="s">
        <v>48</v>
      </c>
      <c r="C487" s="1">
        <v>4430152023</v>
      </c>
      <c r="D487" s="1"/>
      <c r="E487" s="1">
        <v>2</v>
      </c>
      <c r="F487" s="1">
        <v>0</v>
      </c>
      <c r="G487" s="1" t="s">
        <v>47</v>
      </c>
      <c r="H487" s="1" t="s">
        <v>2136</v>
      </c>
      <c r="I487" s="1" t="s">
        <v>46</v>
      </c>
      <c r="J487" s="1" t="s">
        <v>40</v>
      </c>
      <c r="K487" s="1"/>
      <c r="L487" s="1"/>
    </row>
    <row r="488" spans="1:12" s="32" customFormat="1" hidden="1" x14ac:dyDescent="0.3">
      <c r="A488" s="37">
        <v>46139.389872685184</v>
      </c>
      <c r="B488" s="1" t="s">
        <v>37</v>
      </c>
      <c r="C488" s="1">
        <v>4430451163</v>
      </c>
      <c r="D488" s="1"/>
      <c r="E488" s="1">
        <v>156</v>
      </c>
      <c r="F488" s="1">
        <v>152</v>
      </c>
      <c r="G488" s="1" t="s">
        <v>38</v>
      </c>
      <c r="H488" s="1" t="s">
        <v>2137</v>
      </c>
      <c r="I488" s="1" t="s">
        <v>46</v>
      </c>
      <c r="J488" s="1" t="s">
        <v>40</v>
      </c>
      <c r="K488" s="1"/>
      <c r="L488" s="1"/>
    </row>
    <row r="489" spans="1:12" s="32" customFormat="1" hidden="1" x14ac:dyDescent="0.3">
      <c r="A489" s="37">
        <v>46139.389780092592</v>
      </c>
      <c r="B489" s="1" t="s">
        <v>37</v>
      </c>
      <c r="C489" s="1">
        <v>4430451163</v>
      </c>
      <c r="D489" s="1"/>
      <c r="E489" s="1">
        <v>25</v>
      </c>
      <c r="F489" s="1">
        <v>25</v>
      </c>
      <c r="G489" s="1" t="s">
        <v>38</v>
      </c>
      <c r="H489" s="1" t="s">
        <v>2138</v>
      </c>
      <c r="I489" s="1" t="s">
        <v>46</v>
      </c>
      <c r="J489" s="1" t="s">
        <v>40</v>
      </c>
      <c r="K489" s="1"/>
      <c r="L489" s="1"/>
    </row>
    <row r="490" spans="1:12" s="32" customFormat="1" hidden="1" x14ac:dyDescent="0.3">
      <c r="A490" s="37">
        <v>46139.387442129628</v>
      </c>
      <c r="B490" s="1" t="s">
        <v>44</v>
      </c>
      <c r="C490" s="1">
        <v>44999689445</v>
      </c>
      <c r="D490" s="1"/>
      <c r="E490" s="1">
        <v>131</v>
      </c>
      <c r="F490" s="1">
        <v>114</v>
      </c>
      <c r="G490" s="1" t="s">
        <v>38</v>
      </c>
      <c r="H490" s="1" t="s">
        <v>2139</v>
      </c>
      <c r="I490" s="1" t="s">
        <v>46</v>
      </c>
      <c r="J490" s="1" t="s">
        <v>40</v>
      </c>
      <c r="K490" s="1"/>
      <c r="L490" s="1"/>
    </row>
    <row r="491" spans="1:12" s="32" customFormat="1" hidden="1" x14ac:dyDescent="0.3">
      <c r="A491" s="37">
        <v>46139.387314814812</v>
      </c>
      <c r="B491" s="1" t="s">
        <v>44</v>
      </c>
      <c r="C491" s="1">
        <v>44999689445</v>
      </c>
      <c r="D491" s="1"/>
      <c r="E491" s="1">
        <v>5</v>
      </c>
      <c r="F491" s="1">
        <v>0</v>
      </c>
      <c r="G491" s="1" t="s">
        <v>47</v>
      </c>
      <c r="H491" s="1" t="s">
        <v>2140</v>
      </c>
      <c r="I491" s="1" t="s">
        <v>46</v>
      </c>
      <c r="J491" s="1" t="s">
        <v>40</v>
      </c>
      <c r="K491" s="1"/>
      <c r="L491" s="1"/>
    </row>
    <row r="492" spans="1:12" s="32" customFormat="1" hidden="1" x14ac:dyDescent="0.3">
      <c r="A492" s="37">
        <v>46139.386516203704</v>
      </c>
      <c r="B492" s="1">
        <v>4436372125</v>
      </c>
      <c r="C492" s="1" t="s">
        <v>45</v>
      </c>
      <c r="D492" s="1">
        <v>4430265054</v>
      </c>
      <c r="E492" s="1">
        <v>317</v>
      </c>
      <c r="F492" s="1">
        <v>256</v>
      </c>
      <c r="G492" s="1" t="s">
        <v>38</v>
      </c>
      <c r="H492" s="1" t="s">
        <v>2141</v>
      </c>
      <c r="I492" s="1" t="s">
        <v>39</v>
      </c>
      <c r="J492" s="1" t="s">
        <v>40</v>
      </c>
      <c r="K492" s="1" t="s">
        <v>41</v>
      </c>
      <c r="L492" s="1"/>
    </row>
    <row r="493" spans="1:12" s="32" customFormat="1" hidden="1" x14ac:dyDescent="0.3">
      <c r="A493" s="37">
        <v>46139.380462962959</v>
      </c>
      <c r="B493" s="1" t="s">
        <v>48</v>
      </c>
      <c r="C493" s="1">
        <v>4436293259</v>
      </c>
      <c r="D493" s="1"/>
      <c r="E493" s="1">
        <v>74</v>
      </c>
      <c r="F493" s="1">
        <v>66</v>
      </c>
      <c r="G493" s="1" t="s">
        <v>38</v>
      </c>
      <c r="H493" s="1" t="s">
        <v>2142</v>
      </c>
      <c r="I493" s="1" t="s">
        <v>46</v>
      </c>
      <c r="J493" s="1" t="s">
        <v>40</v>
      </c>
      <c r="K493" s="1"/>
      <c r="L493" s="1"/>
    </row>
    <row r="494" spans="1:12" s="32" customFormat="1" hidden="1" x14ac:dyDescent="0.3">
      <c r="A494" s="37">
        <v>46139.372997685183</v>
      </c>
      <c r="B494" s="1">
        <v>44999689445</v>
      </c>
      <c r="C494" s="1" t="s">
        <v>44</v>
      </c>
      <c r="D494" s="1">
        <v>4430265054</v>
      </c>
      <c r="E494" s="1">
        <v>429</v>
      </c>
      <c r="F494" s="1">
        <v>374</v>
      </c>
      <c r="G494" s="1" t="s">
        <v>38</v>
      </c>
      <c r="H494" s="1" t="s">
        <v>2143</v>
      </c>
      <c r="I494" s="1" t="s">
        <v>39</v>
      </c>
      <c r="J494" s="1" t="s">
        <v>40</v>
      </c>
      <c r="K494" s="1" t="s">
        <v>41</v>
      </c>
      <c r="L494" s="1"/>
    </row>
    <row r="495" spans="1:12" s="32" customFormat="1" hidden="1" x14ac:dyDescent="0.3">
      <c r="A495" s="37">
        <v>46139.369340277779</v>
      </c>
      <c r="B495" s="1">
        <v>44997650834</v>
      </c>
      <c r="C495" s="1" t="s">
        <v>45</v>
      </c>
      <c r="D495" s="1">
        <v>4430265054</v>
      </c>
      <c r="E495" s="1">
        <v>872</v>
      </c>
      <c r="F495" s="1">
        <v>833</v>
      </c>
      <c r="G495" s="1" t="s">
        <v>38</v>
      </c>
      <c r="H495" s="1" t="s">
        <v>2144</v>
      </c>
      <c r="I495" s="1" t="s">
        <v>39</v>
      </c>
      <c r="J495" s="1" t="s">
        <v>40</v>
      </c>
      <c r="K495" s="1" t="s">
        <v>41</v>
      </c>
      <c r="L495" s="1">
        <v>5</v>
      </c>
    </row>
    <row r="496" spans="1:12" s="32" customFormat="1" hidden="1" x14ac:dyDescent="0.3">
      <c r="A496" s="37">
        <v>46139.36246527778</v>
      </c>
      <c r="B496" s="1">
        <v>4430451163</v>
      </c>
      <c r="C496" s="1" t="s">
        <v>37</v>
      </c>
      <c r="D496" s="1">
        <v>4430265054</v>
      </c>
      <c r="E496" s="1">
        <v>600</v>
      </c>
      <c r="F496" s="1">
        <v>582</v>
      </c>
      <c r="G496" s="1" t="s">
        <v>38</v>
      </c>
      <c r="H496" s="1" t="s">
        <v>2145</v>
      </c>
      <c r="I496" s="1" t="s">
        <v>39</v>
      </c>
      <c r="J496" s="1" t="s">
        <v>40</v>
      </c>
      <c r="K496" s="1" t="s">
        <v>41</v>
      </c>
      <c r="L496" s="1"/>
    </row>
    <row r="497" spans="1:12" s="32" customFormat="1" hidden="1" x14ac:dyDescent="0.3">
      <c r="A497" s="37">
        <v>46139.362118055556</v>
      </c>
      <c r="B497" s="1" t="s">
        <v>48</v>
      </c>
      <c r="C497" s="1">
        <v>4436293259</v>
      </c>
      <c r="D497" s="1"/>
      <c r="E497" s="1">
        <v>476</v>
      </c>
      <c r="F497" s="1">
        <v>468</v>
      </c>
      <c r="G497" s="1" t="s">
        <v>38</v>
      </c>
      <c r="H497" s="1" t="s">
        <v>2146</v>
      </c>
      <c r="I497" s="1" t="s">
        <v>46</v>
      </c>
      <c r="J497" s="1" t="s">
        <v>40</v>
      </c>
      <c r="K497" s="1"/>
      <c r="L497" s="1"/>
    </row>
    <row r="498" spans="1:12" s="32" customFormat="1" hidden="1" x14ac:dyDescent="0.3">
      <c r="A498" s="37">
        <v>46139.361875000002</v>
      </c>
      <c r="B498" s="1" t="s">
        <v>45</v>
      </c>
      <c r="C498" s="1">
        <v>4430162376</v>
      </c>
      <c r="D498" s="1"/>
      <c r="E498" s="1">
        <v>133</v>
      </c>
      <c r="F498" s="1">
        <v>123</v>
      </c>
      <c r="G498" s="1" t="s">
        <v>38</v>
      </c>
      <c r="H498" s="1" t="s">
        <v>2147</v>
      </c>
      <c r="I498" s="1" t="s">
        <v>46</v>
      </c>
      <c r="J498" s="1" t="s">
        <v>40</v>
      </c>
      <c r="K498" s="1"/>
      <c r="L498" s="1"/>
    </row>
    <row r="499" spans="1:12" s="32" customFormat="1" hidden="1" x14ac:dyDescent="0.3">
      <c r="A499" s="37">
        <v>46139.361296296294</v>
      </c>
      <c r="B499" s="1" t="s">
        <v>37</v>
      </c>
      <c r="C499" s="1">
        <v>12974033250</v>
      </c>
      <c r="D499" s="1"/>
      <c r="E499" s="1">
        <v>22</v>
      </c>
      <c r="F499" s="1">
        <v>6</v>
      </c>
      <c r="G499" s="1" t="s">
        <v>38</v>
      </c>
      <c r="H499" s="1" t="s">
        <v>2148</v>
      </c>
      <c r="I499" s="1" t="s">
        <v>46</v>
      </c>
      <c r="J499" s="1" t="s">
        <v>40</v>
      </c>
      <c r="K499" s="1"/>
      <c r="L499" s="1"/>
    </row>
    <row r="500" spans="1:12" s="32" customFormat="1" hidden="1" x14ac:dyDescent="0.3">
      <c r="A500" s="37">
        <v>46139.355023148149</v>
      </c>
      <c r="B500" s="1" t="s">
        <v>48</v>
      </c>
      <c r="C500" s="1">
        <v>4436293259</v>
      </c>
      <c r="D500" s="1"/>
      <c r="E500" s="1">
        <v>153</v>
      </c>
      <c r="F500" s="1">
        <v>143</v>
      </c>
      <c r="G500" s="1" t="s">
        <v>38</v>
      </c>
      <c r="H500" s="1" t="s">
        <v>2149</v>
      </c>
      <c r="I500" s="1" t="s">
        <v>46</v>
      </c>
      <c r="J500" s="1" t="s">
        <v>40</v>
      </c>
      <c r="K500" s="1"/>
      <c r="L500" s="1"/>
    </row>
    <row r="501" spans="1:12" s="32" customFormat="1" hidden="1" x14ac:dyDescent="0.3">
      <c r="A501" s="37">
        <v>46139.354953703703</v>
      </c>
      <c r="B501" s="1">
        <v>44998761561</v>
      </c>
      <c r="C501" s="1" t="s">
        <v>44</v>
      </c>
      <c r="D501" s="1">
        <v>4430265054</v>
      </c>
      <c r="E501" s="1">
        <v>207</v>
      </c>
      <c r="F501" s="1">
        <v>155</v>
      </c>
      <c r="G501" s="1" t="s">
        <v>38</v>
      </c>
      <c r="H501" s="1" t="s">
        <v>2150</v>
      </c>
      <c r="I501" s="1" t="s">
        <v>39</v>
      </c>
      <c r="J501" s="1" t="s">
        <v>40</v>
      </c>
      <c r="K501" s="1" t="s">
        <v>41</v>
      </c>
      <c r="L501" s="1"/>
    </row>
    <row r="502" spans="1:12" s="32" customFormat="1" hidden="1" x14ac:dyDescent="0.3">
      <c r="A502" s="37">
        <v>46136.737453703703</v>
      </c>
      <c r="B502" s="1" t="s">
        <v>54</v>
      </c>
      <c r="C502" s="1">
        <v>41999301126</v>
      </c>
      <c r="D502" s="1"/>
      <c r="E502" s="1">
        <v>11</v>
      </c>
      <c r="F502" s="1">
        <v>2</v>
      </c>
      <c r="G502" s="1" t="s">
        <v>38</v>
      </c>
      <c r="H502" s="1" t="s">
        <v>2151</v>
      </c>
      <c r="I502" s="1" t="s">
        <v>46</v>
      </c>
      <c r="J502" s="1" t="s">
        <v>55</v>
      </c>
      <c r="K502" s="1"/>
      <c r="L502" s="1"/>
    </row>
    <row r="503" spans="1:12" s="32" customFormat="1" hidden="1" x14ac:dyDescent="0.3">
      <c r="A503" s="37">
        <v>46136.730856481481</v>
      </c>
      <c r="B503" s="1" t="s">
        <v>54</v>
      </c>
      <c r="C503" s="1">
        <v>4833646698</v>
      </c>
      <c r="D503" s="1"/>
      <c r="E503" s="1">
        <v>3</v>
      </c>
      <c r="F503" s="1">
        <v>0</v>
      </c>
      <c r="G503" s="1" t="s">
        <v>47</v>
      </c>
      <c r="H503" s="1" t="s">
        <v>2152</v>
      </c>
      <c r="I503" s="1" t="s">
        <v>46</v>
      </c>
      <c r="J503" s="1" t="s">
        <v>55</v>
      </c>
      <c r="K503" s="1"/>
      <c r="L503" s="1"/>
    </row>
    <row r="504" spans="1:12" s="32" customFormat="1" hidden="1" x14ac:dyDescent="0.3">
      <c r="A504" s="37">
        <v>46136.730046296296</v>
      </c>
      <c r="B504" s="1">
        <v>4133423492</v>
      </c>
      <c r="C504" s="1" t="s">
        <v>48</v>
      </c>
      <c r="D504" s="1">
        <v>4430265054</v>
      </c>
      <c r="E504" s="1">
        <v>368</v>
      </c>
      <c r="F504" s="1">
        <v>367</v>
      </c>
      <c r="G504" s="1" t="s">
        <v>38</v>
      </c>
      <c r="H504" s="1" t="s">
        <v>2153</v>
      </c>
      <c r="I504" s="1" t="s">
        <v>39</v>
      </c>
      <c r="J504" s="1" t="s">
        <v>40</v>
      </c>
      <c r="K504" s="1" t="s">
        <v>41</v>
      </c>
      <c r="L504" s="1"/>
    </row>
    <row r="505" spans="1:12" s="32" customFormat="1" hidden="1" x14ac:dyDescent="0.3">
      <c r="A505" s="37">
        <v>46136.72247685185</v>
      </c>
      <c r="B505" s="1">
        <v>44998039090</v>
      </c>
      <c r="C505" s="1">
        <v>4430265054</v>
      </c>
      <c r="D505" s="1">
        <v>4430265054</v>
      </c>
      <c r="E505" s="1">
        <v>5</v>
      </c>
      <c r="F505" s="1">
        <v>4</v>
      </c>
      <c r="G505" s="1" t="s">
        <v>52</v>
      </c>
      <c r="H505" s="1" t="s">
        <v>2154</v>
      </c>
      <c r="I505" s="1" t="s">
        <v>39</v>
      </c>
      <c r="J505" s="1" t="s">
        <v>53</v>
      </c>
      <c r="K505" s="1"/>
      <c r="L505" s="1"/>
    </row>
    <row r="506" spans="1:12" s="32" customFormat="1" x14ac:dyDescent="0.3">
      <c r="A506" s="37">
        <v>46136.721435185187</v>
      </c>
      <c r="B506" s="1">
        <v>44999449519</v>
      </c>
      <c r="C506" s="1" t="s">
        <v>37</v>
      </c>
      <c r="D506" s="1">
        <v>4430265054</v>
      </c>
      <c r="E506" s="1">
        <v>857</v>
      </c>
      <c r="F506" s="1">
        <v>709</v>
      </c>
      <c r="G506" s="1" t="s">
        <v>38</v>
      </c>
      <c r="H506" s="1" t="s">
        <v>2155</v>
      </c>
      <c r="I506" s="1" t="s">
        <v>39</v>
      </c>
      <c r="J506" s="1" t="s">
        <v>40</v>
      </c>
      <c r="K506" s="1" t="s">
        <v>41</v>
      </c>
      <c r="L506" s="1">
        <v>5</v>
      </c>
    </row>
    <row r="507" spans="1:12" s="32" customFormat="1" hidden="1" x14ac:dyDescent="0.3">
      <c r="A507" s="37">
        <v>46136.712326388886</v>
      </c>
      <c r="B507" s="1" t="s">
        <v>43</v>
      </c>
      <c r="C507" s="1">
        <v>11925458663</v>
      </c>
      <c r="D507" s="1"/>
      <c r="E507" s="1">
        <v>5</v>
      </c>
      <c r="F507" s="1">
        <v>0</v>
      </c>
      <c r="G507" s="1" t="s">
        <v>47</v>
      </c>
      <c r="H507" s="1" t="s">
        <v>2156</v>
      </c>
      <c r="I507" s="1" t="s">
        <v>46</v>
      </c>
      <c r="J507" s="1" t="s">
        <v>40</v>
      </c>
      <c r="K507" s="1"/>
      <c r="L507" s="1"/>
    </row>
    <row r="508" spans="1:12" s="32" customFormat="1" hidden="1" x14ac:dyDescent="0.3">
      <c r="A508" s="37">
        <v>46136.711319444446</v>
      </c>
      <c r="B508" s="1" t="s">
        <v>45</v>
      </c>
      <c r="C508" s="1">
        <v>45999171866</v>
      </c>
      <c r="D508" s="1"/>
      <c r="E508" s="1">
        <v>1054</v>
      </c>
      <c r="F508" s="1">
        <v>1047</v>
      </c>
      <c r="G508" s="1" t="s">
        <v>38</v>
      </c>
      <c r="H508" s="1" t="s">
        <v>2157</v>
      </c>
      <c r="I508" s="1" t="s">
        <v>46</v>
      </c>
      <c r="J508" s="1" t="s">
        <v>40</v>
      </c>
      <c r="K508" s="1"/>
      <c r="L508" s="1">
        <v>5</v>
      </c>
    </row>
    <row r="509" spans="1:12" s="32" customFormat="1" hidden="1" x14ac:dyDescent="0.3">
      <c r="A509" s="37">
        <v>46136.706342592595</v>
      </c>
      <c r="B509" s="1" t="s">
        <v>54</v>
      </c>
      <c r="C509" s="1">
        <v>62981501162</v>
      </c>
      <c r="D509" s="1"/>
      <c r="E509" s="1">
        <v>8</v>
      </c>
      <c r="F509" s="1">
        <v>0</v>
      </c>
      <c r="G509" s="1" t="s">
        <v>47</v>
      </c>
      <c r="H509" s="1" t="s">
        <v>2158</v>
      </c>
      <c r="I509" s="1" t="s">
        <v>46</v>
      </c>
      <c r="J509" s="1" t="s">
        <v>55</v>
      </c>
      <c r="K509" s="1"/>
      <c r="L509" s="1"/>
    </row>
    <row r="510" spans="1:12" s="32" customFormat="1" hidden="1" x14ac:dyDescent="0.3">
      <c r="A510" s="37">
        <v>46136.702824074076</v>
      </c>
      <c r="B510" s="1">
        <v>4433015962</v>
      </c>
      <c r="C510" s="1">
        <v>4430265054</v>
      </c>
      <c r="D510" s="1">
        <v>4430265054</v>
      </c>
      <c r="E510" s="1">
        <v>4</v>
      </c>
      <c r="F510" s="1">
        <v>3</v>
      </c>
      <c r="G510" s="1" t="s">
        <v>52</v>
      </c>
      <c r="H510" s="1" t="s">
        <v>2159</v>
      </c>
      <c r="I510" s="1" t="s">
        <v>39</v>
      </c>
      <c r="J510" s="1" t="s">
        <v>53</v>
      </c>
      <c r="K510" s="1"/>
      <c r="L510" s="1"/>
    </row>
    <row r="511" spans="1:12" s="32" customFormat="1" hidden="1" x14ac:dyDescent="0.3">
      <c r="A511" s="37">
        <v>46136.694826388892</v>
      </c>
      <c r="B511" s="1" t="s">
        <v>43</v>
      </c>
      <c r="C511" s="1">
        <v>77999014770</v>
      </c>
      <c r="D511" s="1"/>
      <c r="E511" s="1">
        <v>38</v>
      </c>
      <c r="F511" s="1">
        <v>0</v>
      </c>
      <c r="G511" s="1" t="s">
        <v>47</v>
      </c>
      <c r="H511" s="1" t="s">
        <v>2160</v>
      </c>
      <c r="I511" s="1" t="s">
        <v>46</v>
      </c>
      <c r="J511" s="1" t="s">
        <v>40</v>
      </c>
      <c r="K511" s="1"/>
      <c r="L511" s="1"/>
    </row>
    <row r="512" spans="1:12" s="32" customFormat="1" hidden="1" x14ac:dyDescent="0.3">
      <c r="A512" s="37">
        <v>46136.691770833335</v>
      </c>
      <c r="B512" s="1">
        <v>4430315538</v>
      </c>
      <c r="C512" s="1" t="s">
        <v>45</v>
      </c>
      <c r="D512" s="1">
        <v>4430265054</v>
      </c>
      <c r="E512" s="1">
        <v>1094</v>
      </c>
      <c r="F512" s="1">
        <v>1034</v>
      </c>
      <c r="G512" s="1" t="s">
        <v>38</v>
      </c>
      <c r="H512" s="1" t="s">
        <v>2161</v>
      </c>
      <c r="I512" s="1" t="s">
        <v>39</v>
      </c>
      <c r="J512" s="1" t="s">
        <v>40</v>
      </c>
      <c r="K512" s="1" t="s">
        <v>41</v>
      </c>
      <c r="L512" s="1"/>
    </row>
    <row r="513" spans="1:12" s="32" customFormat="1" x14ac:dyDescent="0.3">
      <c r="A513" s="37">
        <v>46136.690694444442</v>
      </c>
      <c r="B513" s="1">
        <v>44998761561</v>
      </c>
      <c r="C513" s="1" t="s">
        <v>37</v>
      </c>
      <c r="D513" s="1">
        <v>4430265054</v>
      </c>
      <c r="E513" s="1">
        <v>1057</v>
      </c>
      <c r="F513" s="1">
        <v>995</v>
      </c>
      <c r="G513" s="1" t="s">
        <v>38</v>
      </c>
      <c r="H513" s="1" t="s">
        <v>2162</v>
      </c>
      <c r="I513" s="1" t="s">
        <v>39</v>
      </c>
      <c r="J513" s="1" t="s">
        <v>40</v>
      </c>
      <c r="K513" s="1" t="s">
        <v>41</v>
      </c>
      <c r="L513" s="1">
        <v>5</v>
      </c>
    </row>
    <row r="514" spans="1:12" s="32" customFormat="1" hidden="1" x14ac:dyDescent="0.3">
      <c r="A514" s="37">
        <v>46136.68854166667</v>
      </c>
      <c r="B514" s="1" t="s">
        <v>44</v>
      </c>
      <c r="C514" s="1">
        <v>4430191401</v>
      </c>
      <c r="D514" s="1"/>
      <c r="E514" s="1">
        <v>223</v>
      </c>
      <c r="F514" s="1">
        <v>214</v>
      </c>
      <c r="G514" s="1" t="s">
        <v>38</v>
      </c>
      <c r="H514" s="1" t="s">
        <v>2163</v>
      </c>
      <c r="I514" s="1" t="s">
        <v>46</v>
      </c>
      <c r="J514" s="1" t="s">
        <v>40</v>
      </c>
      <c r="K514" s="1"/>
      <c r="L514" s="1"/>
    </row>
    <row r="515" spans="1:12" s="32" customFormat="1" hidden="1" x14ac:dyDescent="0.3">
      <c r="A515" s="37">
        <v>46136.688472222224</v>
      </c>
      <c r="B515" s="1" t="s">
        <v>44</v>
      </c>
      <c r="C515" s="1">
        <v>4430191401</v>
      </c>
      <c r="D515" s="1"/>
      <c r="E515" s="1">
        <v>25</v>
      </c>
      <c r="F515" s="1">
        <v>25</v>
      </c>
      <c r="G515" s="1" t="s">
        <v>38</v>
      </c>
      <c r="H515" s="1" t="s">
        <v>2164</v>
      </c>
      <c r="I515" s="1" t="s">
        <v>46</v>
      </c>
      <c r="J515" s="1" t="s">
        <v>40</v>
      </c>
      <c r="K515" s="1"/>
      <c r="L515" s="1"/>
    </row>
    <row r="516" spans="1:12" s="32" customFormat="1" hidden="1" x14ac:dyDescent="0.3">
      <c r="A516" s="37">
        <v>46136.68209490741</v>
      </c>
      <c r="B516" s="1" t="s">
        <v>48</v>
      </c>
      <c r="C516" s="1">
        <v>4436293259</v>
      </c>
      <c r="D516" s="1"/>
      <c r="E516" s="1">
        <v>114</v>
      </c>
      <c r="F516" s="1">
        <v>108</v>
      </c>
      <c r="G516" s="1" t="s">
        <v>38</v>
      </c>
      <c r="H516" s="1" t="s">
        <v>2165</v>
      </c>
      <c r="I516" s="1" t="s">
        <v>46</v>
      </c>
      <c r="J516" s="1" t="s">
        <v>40</v>
      </c>
      <c r="K516" s="1"/>
      <c r="L516" s="1"/>
    </row>
    <row r="517" spans="1:12" s="32" customFormat="1" hidden="1" x14ac:dyDescent="0.3">
      <c r="A517" s="37">
        <v>46136.674201388887</v>
      </c>
      <c r="B517" s="1">
        <v>44991684895</v>
      </c>
      <c r="C517" s="1" t="s">
        <v>44</v>
      </c>
      <c r="D517" s="1">
        <v>4430265054</v>
      </c>
      <c r="E517" s="1">
        <v>795</v>
      </c>
      <c r="F517" s="1">
        <v>582</v>
      </c>
      <c r="G517" s="1" t="s">
        <v>38</v>
      </c>
      <c r="H517" s="1" t="s">
        <v>2166</v>
      </c>
      <c r="I517" s="1" t="s">
        <v>39</v>
      </c>
      <c r="J517" s="1" t="s">
        <v>40</v>
      </c>
      <c r="K517" s="1" t="s">
        <v>41</v>
      </c>
      <c r="L517" s="1"/>
    </row>
    <row r="518" spans="1:12" s="32" customFormat="1" hidden="1" x14ac:dyDescent="0.3">
      <c r="A518" s="37">
        <v>46136.663888888892</v>
      </c>
      <c r="B518" s="1">
        <v>4421032935</v>
      </c>
      <c r="C518" s="1">
        <v>4430265054</v>
      </c>
      <c r="D518" s="1">
        <v>4430265054</v>
      </c>
      <c r="E518" s="1">
        <v>2</v>
      </c>
      <c r="F518" s="1">
        <v>2</v>
      </c>
      <c r="G518" s="1" t="s">
        <v>52</v>
      </c>
      <c r="H518" s="1" t="s">
        <v>2167</v>
      </c>
      <c r="I518" s="1" t="s">
        <v>39</v>
      </c>
      <c r="J518" s="1" t="s">
        <v>53</v>
      </c>
      <c r="K518" s="1"/>
      <c r="L518" s="1"/>
    </row>
    <row r="519" spans="1:12" s="32" customFormat="1" hidden="1" x14ac:dyDescent="0.3">
      <c r="A519" s="37">
        <v>46136.65834490741</v>
      </c>
      <c r="B519" s="1">
        <v>44991684895</v>
      </c>
      <c r="C519" s="1" t="s">
        <v>45</v>
      </c>
      <c r="D519" s="1">
        <v>4430265054</v>
      </c>
      <c r="E519" s="1">
        <v>376</v>
      </c>
      <c r="F519" s="1">
        <v>216</v>
      </c>
      <c r="G519" s="1" t="s">
        <v>38</v>
      </c>
      <c r="H519" s="1" t="s">
        <v>2168</v>
      </c>
      <c r="I519" s="1" t="s">
        <v>39</v>
      </c>
      <c r="J519" s="1" t="s">
        <v>40</v>
      </c>
      <c r="K519" s="1" t="s">
        <v>41</v>
      </c>
      <c r="L519" s="1"/>
    </row>
    <row r="520" spans="1:12" s="32" customFormat="1" hidden="1" x14ac:dyDescent="0.3">
      <c r="A520" s="37">
        <v>46136.656655092593</v>
      </c>
      <c r="B520" s="1" t="s">
        <v>45</v>
      </c>
      <c r="C520" s="1">
        <v>4435221484</v>
      </c>
      <c r="D520" s="1"/>
      <c r="E520" s="1">
        <v>54</v>
      </c>
      <c r="F520" s="1">
        <v>0</v>
      </c>
      <c r="G520" s="1" t="s">
        <v>47</v>
      </c>
      <c r="H520" s="1" t="s">
        <v>2169</v>
      </c>
      <c r="I520" s="1" t="s">
        <v>46</v>
      </c>
      <c r="J520" s="1" t="s">
        <v>40</v>
      </c>
      <c r="K520" s="1"/>
      <c r="L520" s="1"/>
    </row>
    <row r="521" spans="1:12" s="32" customFormat="1" hidden="1" x14ac:dyDescent="0.3">
      <c r="A521" s="37">
        <v>46136.6565625</v>
      </c>
      <c r="B521" s="1" t="s">
        <v>45</v>
      </c>
      <c r="C521" s="1">
        <v>4435222047</v>
      </c>
      <c r="D521" s="1"/>
      <c r="E521" s="1">
        <v>6</v>
      </c>
      <c r="F521" s="1">
        <v>0</v>
      </c>
      <c r="G521" s="1" t="s">
        <v>47</v>
      </c>
      <c r="H521" s="1" t="s">
        <v>2170</v>
      </c>
      <c r="I521" s="1" t="s">
        <v>46</v>
      </c>
      <c r="J521" s="1" t="s">
        <v>40</v>
      </c>
      <c r="K521" s="1"/>
      <c r="L521" s="1"/>
    </row>
    <row r="522" spans="1:12" s="32" customFormat="1" hidden="1" x14ac:dyDescent="0.3">
      <c r="A522" s="37">
        <v>46136.654374999998</v>
      </c>
      <c r="B522" s="1" t="s">
        <v>45</v>
      </c>
      <c r="C522" s="1">
        <v>4435221484</v>
      </c>
      <c r="D522" s="1"/>
      <c r="E522" s="1">
        <v>54</v>
      </c>
      <c r="F522" s="1">
        <v>0</v>
      </c>
      <c r="G522" s="1" t="s">
        <v>47</v>
      </c>
      <c r="H522" s="1" t="s">
        <v>2171</v>
      </c>
      <c r="I522" s="1" t="s">
        <v>46</v>
      </c>
      <c r="J522" s="1" t="s">
        <v>40</v>
      </c>
      <c r="K522" s="1"/>
      <c r="L522" s="1"/>
    </row>
    <row r="523" spans="1:12" s="32" customFormat="1" hidden="1" x14ac:dyDescent="0.3">
      <c r="A523" s="37">
        <v>46136.654224537036</v>
      </c>
      <c r="B523" s="1" t="s">
        <v>45</v>
      </c>
      <c r="C523" s="1">
        <v>4435222047</v>
      </c>
      <c r="D523" s="1"/>
      <c r="E523" s="1">
        <v>6</v>
      </c>
      <c r="F523" s="1">
        <v>0</v>
      </c>
      <c r="G523" s="1" t="s">
        <v>47</v>
      </c>
      <c r="H523" s="1" t="s">
        <v>2172</v>
      </c>
      <c r="I523" s="1" t="s">
        <v>46</v>
      </c>
      <c r="J523" s="1" t="s">
        <v>40</v>
      </c>
      <c r="K523" s="1"/>
      <c r="L523" s="1"/>
    </row>
    <row r="524" spans="1:12" s="32" customFormat="1" hidden="1" x14ac:dyDescent="0.3">
      <c r="A524" s="37">
        <v>46136.648761574077</v>
      </c>
      <c r="B524" s="1">
        <v>44999859732</v>
      </c>
      <c r="C524" s="1" t="s">
        <v>48</v>
      </c>
      <c r="D524" s="1">
        <v>4430265054</v>
      </c>
      <c r="E524" s="1">
        <v>342</v>
      </c>
      <c r="F524" s="1">
        <v>204</v>
      </c>
      <c r="G524" s="1" t="s">
        <v>38</v>
      </c>
      <c r="H524" s="1" t="s">
        <v>2173</v>
      </c>
      <c r="I524" s="1" t="s">
        <v>39</v>
      </c>
      <c r="J524" s="1" t="s">
        <v>40</v>
      </c>
      <c r="K524" s="1" t="s">
        <v>41</v>
      </c>
      <c r="L524" s="1"/>
    </row>
    <row r="525" spans="1:12" s="32" customFormat="1" hidden="1" x14ac:dyDescent="0.3">
      <c r="A525" s="37">
        <v>46136.648344907408</v>
      </c>
      <c r="B525" s="1">
        <v>44998068281</v>
      </c>
      <c r="C525" s="1" t="s">
        <v>37</v>
      </c>
      <c r="D525" s="1">
        <v>4430265054</v>
      </c>
      <c r="E525" s="1">
        <v>346</v>
      </c>
      <c r="F525" s="1">
        <v>163</v>
      </c>
      <c r="G525" s="1" t="s">
        <v>38</v>
      </c>
      <c r="H525" s="1" t="s">
        <v>2174</v>
      </c>
      <c r="I525" s="1" t="s">
        <v>39</v>
      </c>
      <c r="J525" s="1" t="s">
        <v>40</v>
      </c>
      <c r="K525" s="1" t="s">
        <v>41</v>
      </c>
      <c r="L525" s="1"/>
    </row>
    <row r="526" spans="1:12" s="32" customFormat="1" hidden="1" x14ac:dyDescent="0.3">
      <c r="A526" s="37">
        <v>46136.646828703706</v>
      </c>
      <c r="B526" s="1" t="s">
        <v>37</v>
      </c>
      <c r="C526" s="1">
        <v>3432424736</v>
      </c>
      <c r="D526" s="1"/>
      <c r="E526" s="1">
        <v>212</v>
      </c>
      <c r="F526" s="1">
        <v>209</v>
      </c>
      <c r="G526" s="1" t="s">
        <v>38</v>
      </c>
      <c r="H526" s="1" t="s">
        <v>2175</v>
      </c>
      <c r="I526" s="1" t="s">
        <v>46</v>
      </c>
      <c r="J526" s="1" t="s">
        <v>40</v>
      </c>
      <c r="K526" s="1"/>
      <c r="L526" s="1">
        <v>5</v>
      </c>
    </row>
    <row r="527" spans="1:12" s="32" customFormat="1" hidden="1" x14ac:dyDescent="0.3">
      <c r="A527" s="37">
        <v>46136.64508101852</v>
      </c>
      <c r="B527" s="1" t="s">
        <v>54</v>
      </c>
      <c r="C527" s="1">
        <v>83991434939</v>
      </c>
      <c r="D527" s="1"/>
      <c r="E527" s="1">
        <v>3</v>
      </c>
      <c r="F527" s="1">
        <v>0</v>
      </c>
      <c r="G527" s="1" t="s">
        <v>47</v>
      </c>
      <c r="H527" s="1" t="s">
        <v>2176</v>
      </c>
      <c r="I527" s="1" t="s">
        <v>46</v>
      </c>
      <c r="J527" s="1" t="s">
        <v>55</v>
      </c>
      <c r="K527" s="1"/>
      <c r="L527" s="1"/>
    </row>
    <row r="528" spans="1:12" s="32" customFormat="1" hidden="1" x14ac:dyDescent="0.3">
      <c r="A528" s="37">
        <v>46136.644502314812</v>
      </c>
      <c r="B528" s="1">
        <v>43996490165</v>
      </c>
      <c r="C528" s="1" t="s">
        <v>43</v>
      </c>
      <c r="D528" s="1">
        <v>4430265054</v>
      </c>
      <c r="E528" s="1">
        <v>645</v>
      </c>
      <c r="F528" s="1">
        <v>542</v>
      </c>
      <c r="G528" s="1" t="s">
        <v>38</v>
      </c>
      <c r="H528" s="1" t="s">
        <v>2177</v>
      </c>
      <c r="I528" s="1" t="s">
        <v>39</v>
      </c>
      <c r="J528" s="1" t="s">
        <v>40</v>
      </c>
      <c r="K528" s="1" t="s">
        <v>41</v>
      </c>
      <c r="L528" s="1">
        <v>5</v>
      </c>
    </row>
    <row r="529" spans="1:12" s="32" customFormat="1" hidden="1" x14ac:dyDescent="0.3">
      <c r="A529" s="37">
        <v>46136.641041666669</v>
      </c>
      <c r="B529" s="1">
        <v>4533011395</v>
      </c>
      <c r="C529" s="1">
        <v>4531273155</v>
      </c>
      <c r="D529" s="1">
        <v>4531273155</v>
      </c>
      <c r="E529" s="1">
        <v>64</v>
      </c>
      <c r="F529" s="1">
        <v>64</v>
      </c>
      <c r="G529" s="1" t="s">
        <v>52</v>
      </c>
      <c r="H529" s="1" t="s">
        <v>2178</v>
      </c>
      <c r="I529" s="1" t="s">
        <v>39</v>
      </c>
      <c r="J529" s="1" t="s">
        <v>53</v>
      </c>
      <c r="K529" s="1" t="s">
        <v>41</v>
      </c>
      <c r="L529" s="1"/>
    </row>
    <row r="530" spans="1:12" s="32" customFormat="1" hidden="1" x14ac:dyDescent="0.3">
      <c r="A530" s="37">
        <v>46136.638252314813</v>
      </c>
      <c r="B530" s="1">
        <v>6434534421</v>
      </c>
      <c r="C530" s="1" t="s">
        <v>44</v>
      </c>
      <c r="D530" s="1">
        <v>4430265054</v>
      </c>
      <c r="E530" s="1">
        <v>664</v>
      </c>
      <c r="F530" s="1">
        <v>603</v>
      </c>
      <c r="G530" s="1" t="s">
        <v>38</v>
      </c>
      <c r="H530" s="1" t="s">
        <v>2179</v>
      </c>
      <c r="I530" s="1" t="s">
        <v>39</v>
      </c>
      <c r="J530" s="1" t="s">
        <v>40</v>
      </c>
      <c r="K530" s="1" t="s">
        <v>41</v>
      </c>
      <c r="L530" s="1"/>
    </row>
    <row r="531" spans="1:12" s="32" customFormat="1" hidden="1" x14ac:dyDescent="0.3">
      <c r="A531" s="37">
        <v>46136.637986111113</v>
      </c>
      <c r="B531" s="1" t="s">
        <v>48</v>
      </c>
      <c r="C531" s="1">
        <v>4436291513</v>
      </c>
      <c r="D531" s="1"/>
      <c r="E531" s="1">
        <v>75</v>
      </c>
      <c r="F531" s="1">
        <v>60</v>
      </c>
      <c r="G531" s="1" t="s">
        <v>38</v>
      </c>
      <c r="H531" s="1" t="s">
        <v>2180</v>
      </c>
      <c r="I531" s="1" t="s">
        <v>46</v>
      </c>
      <c r="J531" s="1" t="s">
        <v>40</v>
      </c>
      <c r="K531" s="1"/>
      <c r="L531" s="1"/>
    </row>
    <row r="532" spans="1:12" s="32" customFormat="1" x14ac:dyDescent="0.3">
      <c r="A532" s="37">
        <v>46136.630902777775</v>
      </c>
      <c r="B532" s="1">
        <v>44998761561</v>
      </c>
      <c r="C532" s="1" t="s">
        <v>37</v>
      </c>
      <c r="D532" s="1">
        <v>4430265054</v>
      </c>
      <c r="E532" s="1">
        <v>660</v>
      </c>
      <c r="F532" s="1">
        <v>520</v>
      </c>
      <c r="G532" s="1" t="s">
        <v>38</v>
      </c>
      <c r="H532" s="1" t="s">
        <v>2181</v>
      </c>
      <c r="I532" s="1" t="s">
        <v>39</v>
      </c>
      <c r="J532" s="1" t="s">
        <v>40</v>
      </c>
      <c r="K532" s="1" t="s">
        <v>41</v>
      </c>
      <c r="L532" s="1">
        <v>5</v>
      </c>
    </row>
    <row r="533" spans="1:12" s="32" customFormat="1" hidden="1" x14ac:dyDescent="0.3">
      <c r="A533" s="37">
        <v>46136.630266203705</v>
      </c>
      <c r="B533" s="1">
        <v>1128787060</v>
      </c>
      <c r="C533" s="1" t="s">
        <v>48</v>
      </c>
      <c r="D533" s="1">
        <v>4430265054</v>
      </c>
      <c r="E533" s="1">
        <v>332</v>
      </c>
      <c r="F533" s="1">
        <v>311</v>
      </c>
      <c r="G533" s="1" t="s">
        <v>38</v>
      </c>
      <c r="H533" s="1" t="s">
        <v>2182</v>
      </c>
      <c r="I533" s="1" t="s">
        <v>39</v>
      </c>
      <c r="J533" s="1" t="s">
        <v>40</v>
      </c>
      <c r="K533" s="1" t="s">
        <v>49</v>
      </c>
      <c r="L533" s="1"/>
    </row>
    <row r="534" spans="1:12" s="32" customFormat="1" hidden="1" x14ac:dyDescent="0.3">
      <c r="A534" s="37">
        <v>46136.629664351851</v>
      </c>
      <c r="B534" s="1" t="s">
        <v>57</v>
      </c>
      <c r="C534" s="1">
        <v>86999676571</v>
      </c>
      <c r="D534" s="1"/>
      <c r="E534" s="1">
        <v>12</v>
      </c>
      <c r="F534" s="1">
        <v>0</v>
      </c>
      <c r="G534" s="1" t="s">
        <v>47</v>
      </c>
      <c r="H534" s="1" t="s">
        <v>2183</v>
      </c>
      <c r="I534" s="1" t="s">
        <v>46</v>
      </c>
      <c r="J534" s="1" t="s">
        <v>55</v>
      </c>
      <c r="K534" s="1"/>
      <c r="L534" s="1"/>
    </row>
    <row r="535" spans="1:12" s="32" customFormat="1" hidden="1" x14ac:dyDescent="0.3">
      <c r="A535" s="37">
        <v>46136.629479166666</v>
      </c>
      <c r="B535" s="1" t="s">
        <v>37</v>
      </c>
      <c r="C535" s="1">
        <v>44997734943</v>
      </c>
      <c r="D535" s="1"/>
      <c r="E535" s="1">
        <v>0</v>
      </c>
      <c r="F535" s="1">
        <v>0</v>
      </c>
      <c r="G535" s="1" t="s">
        <v>47</v>
      </c>
      <c r="H535" s="1" t="s">
        <v>2184</v>
      </c>
      <c r="I535" s="1" t="s">
        <v>46</v>
      </c>
      <c r="J535" s="1" t="s">
        <v>40</v>
      </c>
      <c r="K535" s="1"/>
      <c r="L535" s="1"/>
    </row>
    <row r="536" spans="1:12" s="32" customFormat="1" hidden="1" x14ac:dyDescent="0.3">
      <c r="A536" s="37">
        <v>46136.629340277781</v>
      </c>
      <c r="B536" s="1" t="s">
        <v>57</v>
      </c>
      <c r="C536" s="1">
        <v>38998830354</v>
      </c>
      <c r="D536" s="1"/>
      <c r="E536" s="1">
        <v>5</v>
      </c>
      <c r="F536" s="1">
        <v>0</v>
      </c>
      <c r="G536" s="1" t="s">
        <v>47</v>
      </c>
      <c r="H536" s="1" t="s">
        <v>2185</v>
      </c>
      <c r="I536" s="1" t="s">
        <v>46</v>
      </c>
      <c r="J536" s="1" t="s">
        <v>55</v>
      </c>
      <c r="K536" s="1"/>
      <c r="L536" s="1"/>
    </row>
    <row r="537" spans="1:12" s="32" customFormat="1" hidden="1" x14ac:dyDescent="0.3">
      <c r="A537" s="37">
        <v>46136.629212962966</v>
      </c>
      <c r="B537" s="1" t="s">
        <v>37</v>
      </c>
      <c r="C537" s="1">
        <v>44997734943</v>
      </c>
      <c r="D537" s="1"/>
      <c r="E537" s="1">
        <v>1</v>
      </c>
      <c r="F537" s="1">
        <v>0</v>
      </c>
      <c r="G537" s="1" t="s">
        <v>47</v>
      </c>
      <c r="H537" s="1" t="s">
        <v>2186</v>
      </c>
      <c r="I537" s="1" t="s">
        <v>46</v>
      </c>
      <c r="J537" s="1" t="s">
        <v>40</v>
      </c>
      <c r="K537" s="1"/>
      <c r="L537" s="1"/>
    </row>
    <row r="538" spans="1:12" s="32" customFormat="1" hidden="1" x14ac:dyDescent="0.3">
      <c r="A538" s="37">
        <v>46136.629131944443</v>
      </c>
      <c r="B538" s="1" t="s">
        <v>37</v>
      </c>
      <c r="C538" s="1">
        <v>44997734943</v>
      </c>
      <c r="D538" s="1"/>
      <c r="E538" s="1">
        <v>0</v>
      </c>
      <c r="F538" s="1">
        <v>0</v>
      </c>
      <c r="G538" s="1" t="s">
        <v>47</v>
      </c>
      <c r="H538" s="1" t="s">
        <v>2187</v>
      </c>
      <c r="I538" s="1" t="s">
        <v>46</v>
      </c>
      <c r="J538" s="1" t="s">
        <v>40</v>
      </c>
      <c r="K538" s="1"/>
      <c r="L538" s="1"/>
    </row>
    <row r="539" spans="1:12" s="32" customFormat="1" hidden="1" x14ac:dyDescent="0.3">
      <c r="A539" s="37">
        <v>46136.629027777781</v>
      </c>
      <c r="B539" s="1" t="s">
        <v>57</v>
      </c>
      <c r="C539" s="1">
        <v>69993450924</v>
      </c>
      <c r="D539" s="1"/>
      <c r="E539" s="1">
        <v>18</v>
      </c>
      <c r="F539" s="1">
        <v>10</v>
      </c>
      <c r="G539" s="1" t="s">
        <v>38</v>
      </c>
      <c r="H539" s="1" t="s">
        <v>2188</v>
      </c>
      <c r="I539" s="1" t="s">
        <v>46</v>
      </c>
      <c r="J539" s="1" t="s">
        <v>55</v>
      </c>
      <c r="K539" s="1"/>
      <c r="L539" s="1"/>
    </row>
    <row r="540" spans="1:12" s="32" customFormat="1" hidden="1" x14ac:dyDescent="0.3">
      <c r="A540" s="37">
        <v>46136.628761574073</v>
      </c>
      <c r="B540" s="1" t="s">
        <v>37</v>
      </c>
      <c r="C540" s="1">
        <v>44997734943</v>
      </c>
      <c r="D540" s="1"/>
      <c r="E540" s="1">
        <v>0</v>
      </c>
      <c r="F540" s="1">
        <v>0</v>
      </c>
      <c r="G540" s="1" t="s">
        <v>47</v>
      </c>
      <c r="H540" s="1" t="s">
        <v>2189</v>
      </c>
      <c r="I540" s="1" t="s">
        <v>46</v>
      </c>
      <c r="J540" s="1" t="s">
        <v>40</v>
      </c>
      <c r="K540" s="1"/>
      <c r="L540" s="1"/>
    </row>
    <row r="541" spans="1:12" s="32" customFormat="1" hidden="1" x14ac:dyDescent="0.3">
      <c r="A541" s="37">
        <v>46136.62872685185</v>
      </c>
      <c r="B541" s="1" t="s">
        <v>44</v>
      </c>
      <c r="C541" s="1">
        <v>4432325260</v>
      </c>
      <c r="D541" s="1"/>
      <c r="E541" s="1">
        <v>54</v>
      </c>
      <c r="F541" s="1">
        <v>50</v>
      </c>
      <c r="G541" s="1" t="s">
        <v>38</v>
      </c>
      <c r="H541" s="1" t="s">
        <v>2190</v>
      </c>
      <c r="I541" s="1" t="s">
        <v>46</v>
      </c>
      <c r="J541" s="1" t="s">
        <v>40</v>
      </c>
      <c r="K541" s="1"/>
      <c r="L541" s="1">
        <v>5</v>
      </c>
    </row>
    <row r="542" spans="1:12" s="32" customFormat="1" hidden="1" x14ac:dyDescent="0.3">
      <c r="A542" s="37">
        <v>46136.62871527778</v>
      </c>
      <c r="B542" s="1">
        <v>4436313773</v>
      </c>
      <c r="C542" s="1" t="s">
        <v>45</v>
      </c>
      <c r="D542" s="1">
        <v>4430265054</v>
      </c>
      <c r="E542" s="1">
        <v>1198</v>
      </c>
      <c r="F542" s="1">
        <v>1155</v>
      </c>
      <c r="G542" s="1" t="s">
        <v>38</v>
      </c>
      <c r="H542" s="1" t="s">
        <v>2191</v>
      </c>
      <c r="I542" s="1" t="s">
        <v>39</v>
      </c>
      <c r="J542" s="1" t="s">
        <v>40</v>
      </c>
      <c r="K542" s="1" t="s">
        <v>41</v>
      </c>
      <c r="L542" s="1"/>
    </row>
    <row r="543" spans="1:12" s="32" customFormat="1" hidden="1" x14ac:dyDescent="0.3">
      <c r="A543" s="37">
        <v>46136.628611111111</v>
      </c>
      <c r="B543" s="1" t="s">
        <v>44</v>
      </c>
      <c r="C543" s="1">
        <v>4432325260</v>
      </c>
      <c r="D543" s="1"/>
      <c r="E543" s="1">
        <v>25</v>
      </c>
      <c r="F543" s="1">
        <v>24</v>
      </c>
      <c r="G543" s="1" t="s">
        <v>38</v>
      </c>
      <c r="H543" s="1" t="s">
        <v>2192</v>
      </c>
      <c r="I543" s="1" t="s">
        <v>46</v>
      </c>
      <c r="J543" s="1" t="s">
        <v>40</v>
      </c>
      <c r="K543" s="1"/>
      <c r="L543" s="1"/>
    </row>
    <row r="544" spans="1:12" s="32" customFormat="1" hidden="1" x14ac:dyDescent="0.3">
      <c r="A544" s="37">
        <v>46136.628287037034</v>
      </c>
      <c r="B544" s="1" t="s">
        <v>37</v>
      </c>
      <c r="C544" s="1">
        <v>44997734943</v>
      </c>
      <c r="D544" s="1"/>
      <c r="E544" s="1">
        <v>26</v>
      </c>
      <c r="F544" s="1">
        <v>0</v>
      </c>
      <c r="G544" s="1" t="s">
        <v>47</v>
      </c>
      <c r="H544" s="1" t="s">
        <v>2193</v>
      </c>
      <c r="I544" s="1" t="s">
        <v>46</v>
      </c>
      <c r="J544" s="1" t="s">
        <v>40</v>
      </c>
      <c r="K544" s="1"/>
      <c r="L544" s="1"/>
    </row>
    <row r="545" spans="1:12" s="32" customFormat="1" hidden="1" x14ac:dyDescent="0.3">
      <c r="A545" s="37">
        <v>46136.628263888888</v>
      </c>
      <c r="B545" s="1" t="s">
        <v>57</v>
      </c>
      <c r="C545" s="1">
        <v>94992138794</v>
      </c>
      <c r="D545" s="1"/>
      <c r="E545" s="1">
        <v>39</v>
      </c>
      <c r="F545" s="1">
        <v>0</v>
      </c>
      <c r="G545" s="1" t="s">
        <v>38</v>
      </c>
      <c r="H545" s="1" t="s">
        <v>2194</v>
      </c>
      <c r="I545" s="1" t="s">
        <v>46</v>
      </c>
      <c r="J545" s="1" t="s">
        <v>55</v>
      </c>
      <c r="K545" s="1"/>
      <c r="L545" s="1"/>
    </row>
    <row r="546" spans="1:12" s="32" customFormat="1" hidden="1" x14ac:dyDescent="0.3">
      <c r="A546" s="37">
        <v>46136.627488425926</v>
      </c>
      <c r="B546" s="1">
        <v>4533011420</v>
      </c>
      <c r="C546" s="1" t="s">
        <v>45</v>
      </c>
      <c r="D546" s="1">
        <v>4531273151</v>
      </c>
      <c r="E546" s="1">
        <v>47</v>
      </c>
      <c r="F546" s="1">
        <v>3</v>
      </c>
      <c r="G546" s="1" t="s">
        <v>38</v>
      </c>
      <c r="H546" s="1" t="s">
        <v>2195</v>
      </c>
      <c r="I546" s="1" t="s">
        <v>39</v>
      </c>
      <c r="J546" s="1" t="s">
        <v>40</v>
      </c>
      <c r="K546" s="1" t="s">
        <v>41</v>
      </c>
      <c r="L546" s="1"/>
    </row>
    <row r="547" spans="1:12" s="32" customFormat="1" hidden="1" x14ac:dyDescent="0.3">
      <c r="A547" s="37">
        <v>46136.624594907407</v>
      </c>
      <c r="B547" s="1">
        <v>45999211357</v>
      </c>
      <c r="C547" s="1" t="s">
        <v>43</v>
      </c>
      <c r="D547" s="1">
        <v>4431268225</v>
      </c>
      <c r="E547" s="1">
        <v>1345</v>
      </c>
      <c r="F547" s="1">
        <v>1326</v>
      </c>
      <c r="G547" s="1" t="s">
        <v>38</v>
      </c>
      <c r="H547" s="1" t="s">
        <v>2196</v>
      </c>
      <c r="I547" s="1" t="s">
        <v>39</v>
      </c>
      <c r="J547" s="1" t="s">
        <v>40</v>
      </c>
      <c r="K547" s="1" t="s">
        <v>41</v>
      </c>
      <c r="L547" s="1">
        <v>4</v>
      </c>
    </row>
    <row r="548" spans="1:12" s="32" customFormat="1" hidden="1" x14ac:dyDescent="0.3">
      <c r="A548" s="37">
        <v>46136.623217592591</v>
      </c>
      <c r="B548" s="1" t="s">
        <v>37</v>
      </c>
      <c r="C548" s="1">
        <v>44997734943</v>
      </c>
      <c r="D548" s="1"/>
      <c r="E548" s="1">
        <v>464</v>
      </c>
      <c r="F548" s="1">
        <v>459</v>
      </c>
      <c r="G548" s="1" t="s">
        <v>38</v>
      </c>
      <c r="H548" s="1" t="s">
        <v>2197</v>
      </c>
      <c r="I548" s="1" t="s">
        <v>46</v>
      </c>
      <c r="J548" s="1" t="s">
        <v>40</v>
      </c>
      <c r="K548" s="1"/>
      <c r="L548" s="1"/>
    </row>
    <row r="549" spans="1:12" s="32" customFormat="1" hidden="1" x14ac:dyDescent="0.3">
      <c r="A549" s="37">
        <v>46136.622997685183</v>
      </c>
      <c r="B549" s="1">
        <v>4432325260</v>
      </c>
      <c r="C549" s="1" t="s">
        <v>44</v>
      </c>
      <c r="D549" s="1">
        <v>4430265054</v>
      </c>
      <c r="E549" s="1">
        <v>512</v>
      </c>
      <c r="F549" s="1">
        <v>379</v>
      </c>
      <c r="G549" s="1" t="s">
        <v>38</v>
      </c>
      <c r="H549" s="1" t="s">
        <v>2198</v>
      </c>
      <c r="I549" s="1" t="s">
        <v>39</v>
      </c>
      <c r="J549" s="1" t="s">
        <v>40</v>
      </c>
      <c r="K549" s="1" t="s">
        <v>41</v>
      </c>
      <c r="L549" s="1"/>
    </row>
    <row r="550" spans="1:12" s="32" customFormat="1" hidden="1" x14ac:dyDescent="0.3">
      <c r="A550" s="37">
        <v>46136.620532407411</v>
      </c>
      <c r="B550" s="1">
        <v>4437231078</v>
      </c>
      <c r="C550" s="1" t="s">
        <v>44</v>
      </c>
      <c r="D550" s="1">
        <v>4430265054</v>
      </c>
      <c r="E550" s="1">
        <v>124</v>
      </c>
      <c r="F550" s="1">
        <v>73</v>
      </c>
      <c r="G550" s="1" t="s">
        <v>38</v>
      </c>
      <c r="H550" s="1" t="s">
        <v>2199</v>
      </c>
      <c r="I550" s="1" t="s">
        <v>39</v>
      </c>
      <c r="J550" s="1" t="s">
        <v>40</v>
      </c>
      <c r="K550" s="1" t="s">
        <v>41</v>
      </c>
      <c r="L550" s="1"/>
    </row>
    <row r="551" spans="1:12" s="32" customFormat="1" hidden="1" x14ac:dyDescent="0.3">
      <c r="A551" s="37">
        <v>46136.620335648149</v>
      </c>
      <c r="B551" s="1" t="s">
        <v>45</v>
      </c>
      <c r="C551" s="1">
        <v>4434221055</v>
      </c>
      <c r="D551" s="1"/>
      <c r="E551" s="1">
        <v>110</v>
      </c>
      <c r="F551" s="1">
        <v>95</v>
      </c>
      <c r="G551" s="1" t="s">
        <v>38</v>
      </c>
      <c r="H551" s="1" t="s">
        <v>2200</v>
      </c>
      <c r="I551" s="1" t="s">
        <v>46</v>
      </c>
      <c r="J551" s="1" t="s">
        <v>40</v>
      </c>
      <c r="K551" s="1"/>
      <c r="L551" s="1"/>
    </row>
    <row r="552" spans="1:12" s="32" customFormat="1" hidden="1" x14ac:dyDescent="0.3">
      <c r="A552" s="37">
        <v>46136.619791666664</v>
      </c>
      <c r="B552" s="1">
        <v>4421032935</v>
      </c>
      <c r="C552" s="1">
        <v>4430265054</v>
      </c>
      <c r="D552" s="1">
        <v>4430265054</v>
      </c>
      <c r="E552" s="1">
        <v>3</v>
      </c>
      <c r="F552" s="1">
        <v>2</v>
      </c>
      <c r="G552" s="1" t="s">
        <v>52</v>
      </c>
      <c r="H552" s="1" t="s">
        <v>2201</v>
      </c>
      <c r="I552" s="1" t="s">
        <v>39</v>
      </c>
      <c r="J552" s="1" t="s">
        <v>53</v>
      </c>
      <c r="K552" s="1"/>
      <c r="L552" s="1"/>
    </row>
    <row r="553" spans="1:12" s="32" customFormat="1" hidden="1" x14ac:dyDescent="0.3">
      <c r="A553" s="37">
        <v>46136.616388888891</v>
      </c>
      <c r="B553" s="1" t="s">
        <v>48</v>
      </c>
      <c r="C553" s="1">
        <v>4436291513</v>
      </c>
      <c r="D553" s="1"/>
      <c r="E553" s="1">
        <v>221</v>
      </c>
      <c r="F553" s="1">
        <v>207</v>
      </c>
      <c r="G553" s="1" t="s">
        <v>38</v>
      </c>
      <c r="H553" s="1" t="s">
        <v>2202</v>
      </c>
      <c r="I553" s="1" t="s">
        <v>46</v>
      </c>
      <c r="J553" s="1" t="s">
        <v>40</v>
      </c>
      <c r="K553" s="1"/>
      <c r="L553" s="1"/>
    </row>
    <row r="554" spans="1:12" s="32" customFormat="1" hidden="1" x14ac:dyDescent="0.3">
      <c r="A554" s="37">
        <v>46136.616354166668</v>
      </c>
      <c r="B554" s="1">
        <v>4533042020</v>
      </c>
      <c r="C554" s="1">
        <v>4531273159</v>
      </c>
      <c r="D554" s="1">
        <v>4531273159</v>
      </c>
      <c r="E554" s="1">
        <v>47</v>
      </c>
      <c r="F554" s="1">
        <v>46</v>
      </c>
      <c r="G554" s="1" t="s">
        <v>52</v>
      </c>
      <c r="H554" s="1" t="s">
        <v>2203</v>
      </c>
      <c r="I554" s="1" t="s">
        <v>39</v>
      </c>
      <c r="J554" s="1" t="s">
        <v>53</v>
      </c>
      <c r="K554" s="1" t="s">
        <v>41</v>
      </c>
      <c r="L554" s="1"/>
    </row>
    <row r="555" spans="1:12" s="32" customFormat="1" hidden="1" x14ac:dyDescent="0.3">
      <c r="A555" s="37">
        <v>46136.61445601852</v>
      </c>
      <c r="B555" s="1">
        <v>45999211357</v>
      </c>
      <c r="C555" s="1">
        <v>4431268225</v>
      </c>
      <c r="D555" s="1">
        <v>4431268225</v>
      </c>
      <c r="E555" s="1">
        <v>15</v>
      </c>
      <c r="F555" s="1">
        <v>14</v>
      </c>
      <c r="G555" s="1" t="s">
        <v>52</v>
      </c>
      <c r="H555" s="1" t="s">
        <v>2204</v>
      </c>
      <c r="I555" s="1" t="s">
        <v>39</v>
      </c>
      <c r="J555" s="1" t="s">
        <v>53</v>
      </c>
      <c r="K555" s="1"/>
      <c r="L555" s="1"/>
    </row>
    <row r="556" spans="1:12" s="32" customFormat="1" hidden="1" x14ac:dyDescent="0.3">
      <c r="A556" s="37">
        <v>46136.609386574077</v>
      </c>
      <c r="B556" s="1" t="s">
        <v>54</v>
      </c>
      <c r="C556" s="1">
        <v>83991434939</v>
      </c>
      <c r="D556" s="1"/>
      <c r="E556" s="1">
        <v>7</v>
      </c>
      <c r="F556" s="1">
        <v>0</v>
      </c>
      <c r="G556" s="1" t="s">
        <v>47</v>
      </c>
      <c r="H556" s="1" t="s">
        <v>2205</v>
      </c>
      <c r="I556" s="1" t="s">
        <v>46</v>
      </c>
      <c r="J556" s="1" t="s">
        <v>55</v>
      </c>
      <c r="K556" s="1"/>
      <c r="L556" s="1"/>
    </row>
    <row r="557" spans="1:12" s="32" customFormat="1" hidden="1" x14ac:dyDescent="0.3">
      <c r="A557" s="37">
        <v>46136.609293981484</v>
      </c>
      <c r="B557" s="1" t="s">
        <v>54</v>
      </c>
      <c r="C557" s="1">
        <v>83991434939</v>
      </c>
      <c r="D557" s="1"/>
      <c r="E557" s="1">
        <v>5</v>
      </c>
      <c r="F557" s="1">
        <v>0</v>
      </c>
      <c r="G557" s="1" t="s">
        <v>47</v>
      </c>
      <c r="H557" s="1" t="s">
        <v>2206</v>
      </c>
      <c r="I557" s="1" t="s">
        <v>46</v>
      </c>
      <c r="J557" s="1" t="s">
        <v>55</v>
      </c>
      <c r="K557" s="1"/>
      <c r="L557" s="1"/>
    </row>
    <row r="558" spans="1:12" s="32" customFormat="1" hidden="1" x14ac:dyDescent="0.3">
      <c r="A558" s="37">
        <v>46136.607858796298</v>
      </c>
      <c r="B558" s="1" t="s">
        <v>37</v>
      </c>
      <c r="C558" s="1">
        <v>44997734943</v>
      </c>
      <c r="D558" s="1"/>
      <c r="E558" s="1">
        <v>1312</v>
      </c>
      <c r="F558" s="1">
        <v>1305</v>
      </c>
      <c r="G558" s="1" t="s">
        <v>38</v>
      </c>
      <c r="H558" s="1" t="s">
        <v>2207</v>
      </c>
      <c r="I558" s="1" t="s">
        <v>46</v>
      </c>
      <c r="J558" s="1" t="s">
        <v>40</v>
      </c>
      <c r="K558" s="1"/>
      <c r="L558" s="1"/>
    </row>
    <row r="559" spans="1:12" s="32" customFormat="1" hidden="1" x14ac:dyDescent="0.3">
      <c r="A559" s="37">
        <v>46136.607048611113</v>
      </c>
      <c r="B559" s="1" t="s">
        <v>50</v>
      </c>
      <c r="C559" s="1" t="s">
        <v>57</v>
      </c>
      <c r="D559" s="1"/>
      <c r="E559" s="1">
        <v>113</v>
      </c>
      <c r="F559" s="1">
        <v>109</v>
      </c>
      <c r="G559" s="1" t="s">
        <v>38</v>
      </c>
      <c r="H559" s="1" t="s">
        <v>2208</v>
      </c>
      <c r="I559" s="1" t="s">
        <v>51</v>
      </c>
      <c r="J559" s="1" t="s">
        <v>55</v>
      </c>
      <c r="K559" s="1"/>
      <c r="L559" s="1"/>
    </row>
    <row r="560" spans="1:12" s="32" customFormat="1" hidden="1" x14ac:dyDescent="0.3">
      <c r="A560" s="37">
        <v>46136.605821759258</v>
      </c>
      <c r="B560" s="1" t="s">
        <v>44</v>
      </c>
      <c r="C560" s="1">
        <v>44999632141</v>
      </c>
      <c r="D560" s="1"/>
      <c r="E560" s="1">
        <v>9</v>
      </c>
      <c r="F560" s="1">
        <v>0</v>
      </c>
      <c r="G560" s="1" t="s">
        <v>47</v>
      </c>
      <c r="H560" s="1" t="s">
        <v>2209</v>
      </c>
      <c r="I560" s="1" t="s">
        <v>46</v>
      </c>
      <c r="J560" s="1" t="s">
        <v>40</v>
      </c>
      <c r="K560" s="1"/>
      <c r="L560" s="1"/>
    </row>
    <row r="561" spans="1:12" s="32" customFormat="1" hidden="1" x14ac:dyDescent="0.3">
      <c r="A561" s="37">
        <v>46136.604363425926</v>
      </c>
      <c r="B561" s="1" t="s">
        <v>43</v>
      </c>
      <c r="C561" s="1">
        <v>44999632141</v>
      </c>
      <c r="D561" s="1"/>
      <c r="E561" s="1">
        <v>4</v>
      </c>
      <c r="F561" s="1">
        <v>0</v>
      </c>
      <c r="G561" s="1" t="s">
        <v>47</v>
      </c>
      <c r="H561" s="1" t="s">
        <v>2210</v>
      </c>
      <c r="I561" s="1" t="s">
        <v>46</v>
      </c>
      <c r="J561" s="1" t="s">
        <v>40</v>
      </c>
      <c r="K561" s="1"/>
      <c r="L561" s="1"/>
    </row>
    <row r="562" spans="1:12" s="32" customFormat="1" hidden="1" x14ac:dyDescent="0.3">
      <c r="A562" s="37">
        <v>46136.604166666664</v>
      </c>
      <c r="B562" s="1" t="s">
        <v>43</v>
      </c>
      <c r="C562" s="1">
        <v>44999632141</v>
      </c>
      <c r="D562" s="1"/>
      <c r="E562" s="1">
        <v>15</v>
      </c>
      <c r="F562" s="1">
        <v>0</v>
      </c>
      <c r="G562" s="1" t="s">
        <v>47</v>
      </c>
      <c r="H562" s="1" t="s">
        <v>2211</v>
      </c>
      <c r="I562" s="1" t="s">
        <v>46</v>
      </c>
      <c r="J562" s="1" t="s">
        <v>40</v>
      </c>
      <c r="K562" s="1"/>
      <c r="L562" s="1"/>
    </row>
    <row r="563" spans="1:12" s="32" customFormat="1" hidden="1" x14ac:dyDescent="0.3">
      <c r="A563" s="37">
        <v>46136.604074074072</v>
      </c>
      <c r="B563" s="1" t="s">
        <v>43</v>
      </c>
      <c r="C563" s="1">
        <v>44999632141</v>
      </c>
      <c r="D563" s="1"/>
      <c r="E563" s="1">
        <v>6</v>
      </c>
      <c r="F563" s="1">
        <v>0</v>
      </c>
      <c r="G563" s="1" t="s">
        <v>47</v>
      </c>
      <c r="H563" s="1" t="s">
        <v>2212</v>
      </c>
      <c r="I563" s="1" t="s">
        <v>46</v>
      </c>
      <c r="J563" s="1" t="s">
        <v>40</v>
      </c>
      <c r="K563" s="1"/>
      <c r="L563" s="1"/>
    </row>
    <row r="564" spans="1:12" s="32" customFormat="1" hidden="1" x14ac:dyDescent="0.3">
      <c r="A564" s="37">
        <v>46136.604004629633</v>
      </c>
      <c r="B564" s="1" t="s">
        <v>43</v>
      </c>
      <c r="C564" s="1">
        <v>44999632141</v>
      </c>
      <c r="D564" s="1"/>
      <c r="E564" s="1">
        <v>0</v>
      </c>
      <c r="F564" s="1">
        <v>0</v>
      </c>
      <c r="G564" s="1" t="s">
        <v>47</v>
      </c>
      <c r="H564" s="1" t="s">
        <v>2213</v>
      </c>
      <c r="I564" s="1" t="s">
        <v>46</v>
      </c>
      <c r="J564" s="1" t="s">
        <v>40</v>
      </c>
      <c r="K564" s="1"/>
      <c r="L564" s="1"/>
    </row>
    <row r="565" spans="1:12" s="32" customFormat="1" hidden="1" x14ac:dyDescent="0.3">
      <c r="A565" s="37">
        <v>46136.603912037041</v>
      </c>
      <c r="B565" s="1" t="s">
        <v>43</v>
      </c>
      <c r="C565" s="1">
        <v>44999632141</v>
      </c>
      <c r="D565" s="1"/>
      <c r="E565" s="1">
        <v>0</v>
      </c>
      <c r="F565" s="1">
        <v>0</v>
      </c>
      <c r="G565" s="1" t="s">
        <v>47</v>
      </c>
      <c r="H565" s="1" t="s">
        <v>2214</v>
      </c>
      <c r="I565" s="1" t="s">
        <v>46</v>
      </c>
      <c r="J565" s="1" t="s">
        <v>40</v>
      </c>
      <c r="K565" s="1"/>
      <c r="L565" s="1"/>
    </row>
    <row r="566" spans="1:12" s="32" customFormat="1" hidden="1" x14ac:dyDescent="0.3">
      <c r="A566" s="37">
        <v>46136.603819444441</v>
      </c>
      <c r="B566" s="1" t="s">
        <v>43</v>
      </c>
      <c r="C566" s="1">
        <v>44999632141</v>
      </c>
      <c r="D566" s="1"/>
      <c r="E566" s="1">
        <v>0</v>
      </c>
      <c r="F566" s="1">
        <v>0</v>
      </c>
      <c r="G566" s="1" t="s">
        <v>47</v>
      </c>
      <c r="H566" s="1" t="s">
        <v>2215</v>
      </c>
      <c r="I566" s="1" t="s">
        <v>46</v>
      </c>
      <c r="J566" s="1" t="s">
        <v>40</v>
      </c>
      <c r="K566" s="1"/>
      <c r="L566" s="1"/>
    </row>
    <row r="567" spans="1:12" s="32" customFormat="1" hidden="1" x14ac:dyDescent="0.3">
      <c r="A567" s="37">
        <v>46136.60355324074</v>
      </c>
      <c r="B567" s="1" t="s">
        <v>43</v>
      </c>
      <c r="C567" s="1">
        <v>44999632141</v>
      </c>
      <c r="D567" s="1"/>
      <c r="E567" s="1">
        <v>1</v>
      </c>
      <c r="F567" s="1">
        <v>0</v>
      </c>
      <c r="G567" s="1" t="s">
        <v>47</v>
      </c>
      <c r="H567" s="1" t="s">
        <v>2216</v>
      </c>
      <c r="I567" s="1" t="s">
        <v>46</v>
      </c>
      <c r="J567" s="1" t="s">
        <v>40</v>
      </c>
      <c r="K567" s="1"/>
      <c r="L567" s="1"/>
    </row>
    <row r="568" spans="1:12" s="32" customFormat="1" hidden="1" x14ac:dyDescent="0.3">
      <c r="A568" s="37">
        <v>46136.603472222225</v>
      </c>
      <c r="B568" s="1" t="s">
        <v>43</v>
      </c>
      <c r="C568" s="1">
        <v>44999632141</v>
      </c>
      <c r="D568" s="1"/>
      <c r="E568" s="1">
        <v>1</v>
      </c>
      <c r="F568" s="1">
        <v>0</v>
      </c>
      <c r="G568" s="1" t="s">
        <v>47</v>
      </c>
      <c r="H568" s="1" t="s">
        <v>2217</v>
      </c>
      <c r="I568" s="1" t="s">
        <v>46</v>
      </c>
      <c r="J568" s="1" t="s">
        <v>40</v>
      </c>
      <c r="K568" s="1"/>
      <c r="L568" s="1"/>
    </row>
    <row r="569" spans="1:12" s="32" customFormat="1" hidden="1" x14ac:dyDescent="0.3">
      <c r="A569" s="37">
        <v>46136.603414351855</v>
      </c>
      <c r="B569" s="1" t="s">
        <v>43</v>
      </c>
      <c r="C569" s="1">
        <v>44999632141</v>
      </c>
      <c r="D569" s="1"/>
      <c r="E569" s="1">
        <v>1</v>
      </c>
      <c r="F569" s="1">
        <v>0</v>
      </c>
      <c r="G569" s="1" t="s">
        <v>47</v>
      </c>
      <c r="H569" s="1" t="s">
        <v>2218</v>
      </c>
      <c r="I569" s="1" t="s">
        <v>46</v>
      </c>
      <c r="J569" s="1" t="s">
        <v>40</v>
      </c>
      <c r="K569" s="1"/>
      <c r="L569" s="1"/>
    </row>
    <row r="570" spans="1:12" s="32" customFormat="1" hidden="1" x14ac:dyDescent="0.3">
      <c r="A570" s="37">
        <v>46136.600312499999</v>
      </c>
      <c r="B570" s="1" t="s">
        <v>37</v>
      </c>
      <c r="C570" s="1">
        <v>44997734943</v>
      </c>
      <c r="D570" s="1"/>
      <c r="E570" s="1">
        <v>39</v>
      </c>
      <c r="F570" s="1">
        <v>0</v>
      </c>
      <c r="G570" s="1" t="s">
        <v>47</v>
      </c>
      <c r="H570" s="1" t="s">
        <v>2219</v>
      </c>
      <c r="I570" s="1" t="s">
        <v>46</v>
      </c>
      <c r="J570" s="1" t="s">
        <v>40</v>
      </c>
      <c r="K570" s="1"/>
      <c r="L570" s="1"/>
    </row>
    <row r="571" spans="1:12" s="32" customFormat="1" hidden="1" x14ac:dyDescent="0.3">
      <c r="A571" s="37">
        <v>46136.598854166667</v>
      </c>
      <c r="B571" s="1">
        <v>4432524652</v>
      </c>
      <c r="C571" s="1" t="s">
        <v>45</v>
      </c>
      <c r="D571" s="1">
        <v>4430265054</v>
      </c>
      <c r="E571" s="1">
        <v>1182</v>
      </c>
      <c r="F571" s="1">
        <v>1115</v>
      </c>
      <c r="G571" s="1" t="s">
        <v>38</v>
      </c>
      <c r="H571" s="1" t="s">
        <v>2220</v>
      </c>
      <c r="I571" s="1" t="s">
        <v>39</v>
      </c>
      <c r="J571" s="1" t="s">
        <v>40</v>
      </c>
      <c r="K571" s="1" t="s">
        <v>41</v>
      </c>
      <c r="L571" s="1">
        <v>5</v>
      </c>
    </row>
    <row r="572" spans="1:12" s="32" customFormat="1" hidden="1" x14ac:dyDescent="0.3">
      <c r="A572" s="37">
        <v>46136.598854166667</v>
      </c>
      <c r="B572" s="1" t="s">
        <v>37</v>
      </c>
      <c r="C572" s="1">
        <v>44997734943</v>
      </c>
      <c r="D572" s="1"/>
      <c r="E572" s="1">
        <v>0</v>
      </c>
      <c r="F572" s="1">
        <v>0</v>
      </c>
      <c r="G572" s="1" t="s">
        <v>47</v>
      </c>
      <c r="H572" s="1" t="s">
        <v>2221</v>
      </c>
      <c r="I572" s="1" t="s">
        <v>46</v>
      </c>
      <c r="J572" s="1" t="s">
        <v>40</v>
      </c>
      <c r="K572" s="1"/>
      <c r="L572" s="1"/>
    </row>
    <row r="573" spans="1:12" s="32" customFormat="1" hidden="1" x14ac:dyDescent="0.3">
      <c r="A573" s="37">
        <v>46136.598796296297</v>
      </c>
      <c r="B573" s="1" t="s">
        <v>37</v>
      </c>
      <c r="C573" s="1">
        <v>44997734943</v>
      </c>
      <c r="D573" s="1"/>
      <c r="E573" s="1">
        <v>1</v>
      </c>
      <c r="F573" s="1">
        <v>0</v>
      </c>
      <c r="G573" s="1" t="s">
        <v>47</v>
      </c>
      <c r="H573" s="1" t="s">
        <v>2222</v>
      </c>
      <c r="I573" s="1" t="s">
        <v>46</v>
      </c>
      <c r="J573" s="1" t="s">
        <v>40</v>
      </c>
      <c r="K573" s="1"/>
      <c r="L573" s="1"/>
    </row>
    <row r="574" spans="1:12" s="32" customFormat="1" hidden="1" x14ac:dyDescent="0.3">
      <c r="A574" s="37">
        <v>46136.598506944443</v>
      </c>
      <c r="B574" s="1" t="s">
        <v>37</v>
      </c>
      <c r="C574" s="1">
        <v>44997734943</v>
      </c>
      <c r="D574" s="1"/>
      <c r="E574" s="1">
        <v>0</v>
      </c>
      <c r="F574" s="1">
        <v>0</v>
      </c>
      <c r="G574" s="1" t="s">
        <v>47</v>
      </c>
      <c r="H574" s="1" t="s">
        <v>2223</v>
      </c>
      <c r="I574" s="1" t="s">
        <v>46</v>
      </c>
      <c r="J574" s="1" t="s">
        <v>40</v>
      </c>
      <c r="K574" s="1"/>
      <c r="L574" s="1"/>
    </row>
    <row r="575" spans="1:12" s="32" customFormat="1" hidden="1" x14ac:dyDescent="0.3">
      <c r="A575" s="37">
        <v>46136.598055555558</v>
      </c>
      <c r="B575" s="1" t="s">
        <v>37</v>
      </c>
      <c r="C575" s="1">
        <v>44997734943</v>
      </c>
      <c r="D575" s="1"/>
      <c r="E575" s="1">
        <v>35</v>
      </c>
      <c r="F575" s="1">
        <v>0</v>
      </c>
      <c r="G575" s="1" t="s">
        <v>47</v>
      </c>
      <c r="H575" s="1" t="s">
        <v>2224</v>
      </c>
      <c r="I575" s="1" t="s">
        <v>46</v>
      </c>
      <c r="J575" s="1" t="s">
        <v>40</v>
      </c>
      <c r="K575" s="1"/>
      <c r="L575" s="1"/>
    </row>
    <row r="576" spans="1:12" s="32" customFormat="1" hidden="1" x14ac:dyDescent="0.3">
      <c r="A576" s="37">
        <v>46136.597986111112</v>
      </c>
      <c r="B576" s="1" t="s">
        <v>37</v>
      </c>
      <c r="C576" s="1">
        <v>44997734943</v>
      </c>
      <c r="D576" s="1"/>
      <c r="E576" s="1">
        <v>4</v>
      </c>
      <c r="F576" s="1">
        <v>0</v>
      </c>
      <c r="G576" s="1" t="s">
        <v>47</v>
      </c>
      <c r="H576" s="1" t="s">
        <v>2225</v>
      </c>
      <c r="I576" s="1" t="s">
        <v>46</v>
      </c>
      <c r="J576" s="1" t="s">
        <v>40</v>
      </c>
      <c r="K576" s="1"/>
      <c r="L576" s="1"/>
    </row>
    <row r="577" spans="1:12" s="32" customFormat="1" hidden="1" x14ac:dyDescent="0.3">
      <c r="A577" s="37">
        <v>46136.59065972222</v>
      </c>
      <c r="B577" s="1" t="s">
        <v>48</v>
      </c>
      <c r="C577" s="1">
        <v>4436293259</v>
      </c>
      <c r="D577" s="1"/>
      <c r="E577" s="1">
        <v>349</v>
      </c>
      <c r="F577" s="1">
        <v>338</v>
      </c>
      <c r="G577" s="1" t="s">
        <v>38</v>
      </c>
      <c r="H577" s="1" t="s">
        <v>2226</v>
      </c>
      <c r="I577" s="1" t="s">
        <v>46</v>
      </c>
      <c r="J577" s="1" t="s">
        <v>40</v>
      </c>
      <c r="K577" s="1"/>
      <c r="L577" s="1"/>
    </row>
    <row r="578" spans="1:12" s="32" customFormat="1" hidden="1" x14ac:dyDescent="0.3">
      <c r="A578" s="37">
        <v>46136.590219907404</v>
      </c>
      <c r="B578" s="1">
        <v>44997734943</v>
      </c>
      <c r="C578" s="1" t="s">
        <v>37</v>
      </c>
      <c r="D578" s="1">
        <v>4430265054</v>
      </c>
      <c r="E578" s="1">
        <v>690</v>
      </c>
      <c r="F578" s="1">
        <v>626</v>
      </c>
      <c r="G578" s="1" t="s">
        <v>38</v>
      </c>
      <c r="H578" s="1" t="s">
        <v>2227</v>
      </c>
      <c r="I578" s="1" t="s">
        <v>39</v>
      </c>
      <c r="J578" s="1" t="s">
        <v>40</v>
      </c>
      <c r="K578" s="1" t="s">
        <v>41</v>
      </c>
      <c r="L578" s="1"/>
    </row>
    <row r="579" spans="1:12" s="32" customFormat="1" hidden="1" x14ac:dyDescent="0.3">
      <c r="A579" s="37">
        <v>46136.587465277778</v>
      </c>
      <c r="B579" s="1" t="s">
        <v>43</v>
      </c>
      <c r="C579" s="1">
        <v>4532541802</v>
      </c>
      <c r="D579" s="1"/>
      <c r="E579" s="1">
        <v>199</v>
      </c>
      <c r="F579" s="1">
        <v>198</v>
      </c>
      <c r="G579" s="1" t="s">
        <v>38</v>
      </c>
      <c r="H579" s="1" t="s">
        <v>2228</v>
      </c>
      <c r="I579" s="1" t="s">
        <v>46</v>
      </c>
      <c r="J579" s="1" t="s">
        <v>40</v>
      </c>
      <c r="K579" s="1"/>
      <c r="L579" s="1"/>
    </row>
    <row r="580" spans="1:12" s="32" customFormat="1" hidden="1" x14ac:dyDescent="0.3">
      <c r="A580" s="37">
        <v>46136.587384259263</v>
      </c>
      <c r="B580" s="1" t="s">
        <v>45</v>
      </c>
      <c r="C580" s="1">
        <v>11940298065</v>
      </c>
      <c r="D580" s="1"/>
      <c r="E580" s="1">
        <v>444</v>
      </c>
      <c r="F580" s="1">
        <v>438</v>
      </c>
      <c r="G580" s="1" t="s">
        <v>38</v>
      </c>
      <c r="H580" s="1" t="s">
        <v>2229</v>
      </c>
      <c r="I580" s="1" t="s">
        <v>46</v>
      </c>
      <c r="J580" s="1" t="s">
        <v>40</v>
      </c>
      <c r="K580" s="1"/>
      <c r="L580" s="1"/>
    </row>
    <row r="581" spans="1:12" s="32" customFormat="1" hidden="1" x14ac:dyDescent="0.3">
      <c r="A581" s="37">
        <v>46136.586851851855</v>
      </c>
      <c r="B581" s="1" t="s">
        <v>43</v>
      </c>
      <c r="C581" s="1">
        <v>44999632141</v>
      </c>
      <c r="D581" s="1"/>
      <c r="E581" s="1">
        <v>38</v>
      </c>
      <c r="F581" s="1">
        <v>31</v>
      </c>
      <c r="G581" s="1" t="s">
        <v>38</v>
      </c>
      <c r="H581" s="1" t="s">
        <v>2230</v>
      </c>
      <c r="I581" s="1" t="s">
        <v>46</v>
      </c>
      <c r="J581" s="1" t="s">
        <v>40</v>
      </c>
      <c r="K581" s="1"/>
      <c r="L581" s="1"/>
    </row>
    <row r="582" spans="1:12" s="32" customFormat="1" hidden="1" x14ac:dyDescent="0.3">
      <c r="A582" s="37">
        <v>46136.586805555555</v>
      </c>
      <c r="B582" s="1" t="s">
        <v>43</v>
      </c>
      <c r="C582" s="1">
        <v>44999632141</v>
      </c>
      <c r="D582" s="1"/>
      <c r="E582" s="1">
        <v>2</v>
      </c>
      <c r="F582" s="1">
        <v>0</v>
      </c>
      <c r="G582" s="1" t="s">
        <v>47</v>
      </c>
      <c r="H582" s="1" t="s">
        <v>2231</v>
      </c>
      <c r="I582" s="1" t="s">
        <v>46</v>
      </c>
      <c r="J582" s="1" t="s">
        <v>40</v>
      </c>
      <c r="K582" s="1"/>
      <c r="L582" s="1"/>
    </row>
    <row r="583" spans="1:12" s="32" customFormat="1" hidden="1" x14ac:dyDescent="0.3">
      <c r="A583" s="37">
        <v>46136.586435185185</v>
      </c>
      <c r="B583" s="1" t="s">
        <v>48</v>
      </c>
      <c r="C583" s="1">
        <v>4436291513</v>
      </c>
      <c r="D583" s="1"/>
      <c r="E583" s="1">
        <v>0</v>
      </c>
      <c r="F583" s="1">
        <v>0</v>
      </c>
      <c r="G583" s="1" t="s">
        <v>47</v>
      </c>
      <c r="H583" s="1" t="s">
        <v>2232</v>
      </c>
      <c r="I583" s="1" t="s">
        <v>46</v>
      </c>
      <c r="J583" s="1" t="s">
        <v>40</v>
      </c>
      <c r="K583" s="1"/>
      <c r="L583" s="1"/>
    </row>
    <row r="584" spans="1:12" s="32" customFormat="1" hidden="1" x14ac:dyDescent="0.3">
      <c r="A584" s="37">
        <v>46136.58625</v>
      </c>
      <c r="B584" s="1" t="s">
        <v>48</v>
      </c>
      <c r="C584" s="1">
        <v>4430265054</v>
      </c>
      <c r="D584" s="1"/>
      <c r="E584" s="1">
        <v>33</v>
      </c>
      <c r="F584" s="1">
        <v>33</v>
      </c>
      <c r="G584" s="1" t="s">
        <v>38</v>
      </c>
      <c r="H584" s="1" t="s">
        <v>2233</v>
      </c>
      <c r="I584" s="1" t="s">
        <v>46</v>
      </c>
      <c r="J584" s="1" t="s">
        <v>40</v>
      </c>
      <c r="K584" s="1"/>
      <c r="L584" s="1"/>
    </row>
    <row r="585" spans="1:12" s="32" customFormat="1" hidden="1" x14ac:dyDescent="0.3">
      <c r="A585" s="37">
        <v>46136.58625</v>
      </c>
      <c r="B585" s="1">
        <v>4431268225</v>
      </c>
      <c r="C585" s="1">
        <v>4430265054</v>
      </c>
      <c r="D585" s="1">
        <v>4430265054</v>
      </c>
      <c r="E585" s="1">
        <v>33</v>
      </c>
      <c r="F585" s="1">
        <v>32</v>
      </c>
      <c r="G585" s="1" t="s">
        <v>52</v>
      </c>
      <c r="H585" s="1" t="s">
        <v>2234</v>
      </c>
      <c r="I585" s="1" t="s">
        <v>39</v>
      </c>
      <c r="J585" s="1" t="s">
        <v>53</v>
      </c>
      <c r="K585" s="1" t="s">
        <v>41</v>
      </c>
      <c r="L585" s="1"/>
    </row>
    <row r="586" spans="1:12" s="32" customFormat="1" hidden="1" x14ac:dyDescent="0.3">
      <c r="A586" s="37">
        <v>46136.586111111108</v>
      </c>
      <c r="B586" s="1" t="s">
        <v>48</v>
      </c>
      <c r="C586" s="1">
        <v>44998267320</v>
      </c>
      <c r="D586" s="1"/>
      <c r="E586" s="1">
        <v>34</v>
      </c>
      <c r="F586" s="1">
        <v>25</v>
      </c>
      <c r="G586" s="1" t="s">
        <v>38</v>
      </c>
      <c r="H586" s="1" t="s">
        <v>2235</v>
      </c>
      <c r="I586" s="1" t="s">
        <v>46</v>
      </c>
      <c r="J586" s="1" t="s">
        <v>40</v>
      </c>
      <c r="K586" s="1"/>
      <c r="L586" s="1"/>
    </row>
    <row r="587" spans="1:12" s="32" customFormat="1" hidden="1" x14ac:dyDescent="0.3">
      <c r="A587" s="37">
        <v>46136.585868055554</v>
      </c>
      <c r="B587" s="1" t="s">
        <v>43</v>
      </c>
      <c r="C587" s="1">
        <v>44999632141</v>
      </c>
      <c r="D587" s="1"/>
      <c r="E587" s="1">
        <v>39</v>
      </c>
      <c r="F587" s="1">
        <v>32</v>
      </c>
      <c r="G587" s="1" t="s">
        <v>38</v>
      </c>
      <c r="H587" s="1" t="s">
        <v>2236</v>
      </c>
      <c r="I587" s="1" t="s">
        <v>46</v>
      </c>
      <c r="J587" s="1" t="s">
        <v>40</v>
      </c>
      <c r="K587" s="1"/>
      <c r="L587" s="1"/>
    </row>
    <row r="588" spans="1:12" s="32" customFormat="1" hidden="1" x14ac:dyDescent="0.3">
      <c r="A588" s="37">
        <v>46136.585821759261</v>
      </c>
      <c r="B588" s="1" t="s">
        <v>48</v>
      </c>
      <c r="C588" s="1">
        <v>4436291513</v>
      </c>
      <c r="D588" s="1"/>
      <c r="E588" s="1">
        <v>21</v>
      </c>
      <c r="F588" s="1">
        <v>0</v>
      </c>
      <c r="G588" s="1" t="s">
        <v>47</v>
      </c>
      <c r="H588" s="1" t="s">
        <v>2237</v>
      </c>
      <c r="I588" s="1" t="s">
        <v>46</v>
      </c>
      <c r="J588" s="1" t="s">
        <v>40</v>
      </c>
      <c r="K588" s="1"/>
      <c r="L588" s="1"/>
    </row>
    <row r="589" spans="1:12" s="32" customFormat="1" hidden="1" x14ac:dyDescent="0.3">
      <c r="A589" s="37">
        <v>46136.585625</v>
      </c>
      <c r="B589" s="1" t="s">
        <v>43</v>
      </c>
      <c r="C589" s="1">
        <v>44999632141</v>
      </c>
      <c r="D589" s="1"/>
      <c r="E589" s="1">
        <v>18</v>
      </c>
      <c r="F589" s="1">
        <v>12</v>
      </c>
      <c r="G589" s="1" t="s">
        <v>38</v>
      </c>
      <c r="H589" s="1" t="s">
        <v>2238</v>
      </c>
      <c r="I589" s="1" t="s">
        <v>46</v>
      </c>
      <c r="J589" s="1" t="s">
        <v>40</v>
      </c>
      <c r="K589" s="1"/>
      <c r="L589" s="1"/>
    </row>
    <row r="590" spans="1:12" s="32" customFormat="1" hidden="1" x14ac:dyDescent="0.3">
      <c r="A590" s="37">
        <v>46136.585081018522</v>
      </c>
      <c r="B590" s="1" t="s">
        <v>48</v>
      </c>
      <c r="C590" s="1">
        <v>4436291513</v>
      </c>
      <c r="D590" s="1"/>
      <c r="E590" s="1">
        <v>0</v>
      </c>
      <c r="F590" s="1">
        <v>0</v>
      </c>
      <c r="G590" s="1" t="s">
        <v>47</v>
      </c>
      <c r="H590" s="1" t="s">
        <v>2239</v>
      </c>
      <c r="I590" s="1" t="s">
        <v>46</v>
      </c>
      <c r="J590" s="1" t="s">
        <v>40</v>
      </c>
      <c r="K590" s="1"/>
      <c r="L590" s="1"/>
    </row>
    <row r="591" spans="1:12" s="32" customFormat="1" hidden="1" x14ac:dyDescent="0.3">
      <c r="A591" s="37">
        <v>46136.584733796299</v>
      </c>
      <c r="B591" s="1" t="s">
        <v>48</v>
      </c>
      <c r="C591" s="1">
        <v>4436291513</v>
      </c>
      <c r="D591" s="1"/>
      <c r="E591" s="1">
        <v>26</v>
      </c>
      <c r="F591" s="1">
        <v>0</v>
      </c>
      <c r="G591" s="1" t="s">
        <v>47</v>
      </c>
      <c r="H591" s="1" t="s">
        <v>2240</v>
      </c>
      <c r="I591" s="1" t="s">
        <v>46</v>
      </c>
      <c r="J591" s="1" t="s">
        <v>40</v>
      </c>
      <c r="K591" s="1"/>
      <c r="L591" s="1"/>
    </row>
    <row r="592" spans="1:12" s="32" customFormat="1" hidden="1" x14ac:dyDescent="0.3">
      <c r="A592" s="37">
        <v>46136.584652777776</v>
      </c>
      <c r="B592" s="1" t="s">
        <v>48</v>
      </c>
      <c r="C592" s="1">
        <v>4436291513</v>
      </c>
      <c r="D592" s="1"/>
      <c r="E592" s="1">
        <v>25</v>
      </c>
      <c r="F592" s="1">
        <v>25</v>
      </c>
      <c r="G592" s="1" t="s">
        <v>38</v>
      </c>
      <c r="H592" s="1" t="s">
        <v>2241</v>
      </c>
      <c r="I592" s="1" t="s">
        <v>46</v>
      </c>
      <c r="J592" s="1" t="s">
        <v>40</v>
      </c>
      <c r="K592" s="1"/>
      <c r="L592" s="1"/>
    </row>
    <row r="593" spans="1:12" s="32" customFormat="1" hidden="1" x14ac:dyDescent="0.3">
      <c r="A593" s="37">
        <v>46136.584618055553</v>
      </c>
      <c r="B593" s="1" t="s">
        <v>48</v>
      </c>
      <c r="C593" s="1">
        <v>4436291513</v>
      </c>
      <c r="D593" s="1"/>
      <c r="E593" s="1">
        <v>1</v>
      </c>
      <c r="F593" s="1">
        <v>0</v>
      </c>
      <c r="G593" s="1" t="s">
        <v>47</v>
      </c>
      <c r="H593" s="1" t="s">
        <v>2242</v>
      </c>
      <c r="I593" s="1" t="s">
        <v>46</v>
      </c>
      <c r="J593" s="1" t="s">
        <v>40</v>
      </c>
      <c r="K593" s="1"/>
      <c r="L593" s="1"/>
    </row>
    <row r="594" spans="1:12" s="32" customFormat="1" hidden="1" x14ac:dyDescent="0.3">
      <c r="A594" s="37">
        <v>46136.58452546296</v>
      </c>
      <c r="B594" s="1" t="s">
        <v>48</v>
      </c>
      <c r="C594" s="1">
        <v>4436291513</v>
      </c>
      <c r="D594" s="1"/>
      <c r="E594" s="1">
        <v>0</v>
      </c>
      <c r="F594" s="1">
        <v>0</v>
      </c>
      <c r="G594" s="1" t="s">
        <v>47</v>
      </c>
      <c r="H594" s="1" t="s">
        <v>2243</v>
      </c>
      <c r="I594" s="1" t="s">
        <v>46</v>
      </c>
      <c r="J594" s="1" t="s">
        <v>40</v>
      </c>
      <c r="K594" s="1"/>
      <c r="L594" s="1"/>
    </row>
    <row r="595" spans="1:12" s="32" customFormat="1" hidden="1" x14ac:dyDescent="0.3">
      <c r="A595" s="37">
        <v>46136.584456018521</v>
      </c>
      <c r="B595" s="1" t="s">
        <v>48</v>
      </c>
      <c r="C595" s="1">
        <v>4436291513</v>
      </c>
      <c r="D595" s="1"/>
      <c r="E595" s="1">
        <v>0</v>
      </c>
      <c r="F595" s="1">
        <v>0</v>
      </c>
      <c r="G595" s="1" t="s">
        <v>47</v>
      </c>
      <c r="H595" s="1" t="s">
        <v>2244</v>
      </c>
      <c r="I595" s="1" t="s">
        <v>46</v>
      </c>
      <c r="J595" s="1" t="s">
        <v>40</v>
      </c>
      <c r="K595" s="1"/>
      <c r="L595" s="1"/>
    </row>
    <row r="596" spans="1:12" s="32" customFormat="1" hidden="1" x14ac:dyDescent="0.3">
      <c r="A596" s="37">
        <v>46136.579560185186</v>
      </c>
      <c r="B596" s="1">
        <v>44998761561</v>
      </c>
      <c r="C596" s="1">
        <v>4430265054</v>
      </c>
      <c r="D596" s="1">
        <v>4430265054</v>
      </c>
      <c r="E596" s="1">
        <v>83</v>
      </c>
      <c r="F596" s="1">
        <v>82</v>
      </c>
      <c r="G596" s="1" t="s">
        <v>52</v>
      </c>
      <c r="H596" s="1" t="s">
        <v>2245</v>
      </c>
      <c r="I596" s="1" t="s">
        <v>39</v>
      </c>
      <c r="J596" s="1" t="s">
        <v>53</v>
      </c>
      <c r="K596" s="1" t="s">
        <v>41</v>
      </c>
      <c r="L596" s="1"/>
    </row>
    <row r="597" spans="1:12" s="32" customFormat="1" hidden="1" x14ac:dyDescent="0.3">
      <c r="A597" s="37">
        <v>46136.558136574073</v>
      </c>
      <c r="B597" s="1" t="s">
        <v>48</v>
      </c>
      <c r="C597" s="1">
        <v>44999770237</v>
      </c>
      <c r="D597" s="1"/>
      <c r="E597" s="1">
        <v>139</v>
      </c>
      <c r="F597" s="1">
        <v>130</v>
      </c>
      <c r="G597" s="1" t="s">
        <v>38</v>
      </c>
      <c r="H597" s="1" t="s">
        <v>2246</v>
      </c>
      <c r="I597" s="1" t="s">
        <v>46</v>
      </c>
      <c r="J597" s="1" t="s">
        <v>40</v>
      </c>
      <c r="K597" s="1"/>
      <c r="L597" s="1"/>
    </row>
    <row r="598" spans="1:12" s="32" customFormat="1" hidden="1" x14ac:dyDescent="0.3">
      <c r="A598" s="37">
        <v>46136.557962962965</v>
      </c>
      <c r="B598" s="1" t="s">
        <v>48</v>
      </c>
      <c r="C598" s="1">
        <v>44999770237</v>
      </c>
      <c r="D598" s="1"/>
      <c r="E598" s="1">
        <v>24</v>
      </c>
      <c r="F598" s="1">
        <v>21</v>
      </c>
      <c r="G598" s="1" t="s">
        <v>38</v>
      </c>
      <c r="H598" s="1" t="s">
        <v>2247</v>
      </c>
      <c r="I598" s="1" t="s">
        <v>46</v>
      </c>
      <c r="J598" s="1" t="s">
        <v>40</v>
      </c>
      <c r="K598" s="1"/>
      <c r="L598" s="1"/>
    </row>
    <row r="599" spans="1:12" s="32" customFormat="1" hidden="1" x14ac:dyDescent="0.3">
      <c r="A599" s="37">
        <v>46136.533171296294</v>
      </c>
      <c r="B599" s="1">
        <v>4121016665</v>
      </c>
      <c r="C599" s="1">
        <v>4431268242</v>
      </c>
      <c r="D599" s="1">
        <v>4431268242</v>
      </c>
      <c r="E599" s="1">
        <v>6</v>
      </c>
      <c r="F599" s="1">
        <v>6</v>
      </c>
      <c r="G599" s="1" t="s">
        <v>52</v>
      </c>
      <c r="H599" s="1" t="s">
        <v>2248</v>
      </c>
      <c r="I599" s="1" t="s">
        <v>39</v>
      </c>
      <c r="J599" s="1" t="s">
        <v>53</v>
      </c>
      <c r="K599" s="1"/>
      <c r="L599" s="1"/>
    </row>
    <row r="600" spans="1:12" s="32" customFormat="1" hidden="1" x14ac:dyDescent="0.3">
      <c r="A600" s="37">
        <v>46136.522210648145</v>
      </c>
      <c r="B600" s="1">
        <v>4121016664</v>
      </c>
      <c r="C600" s="1">
        <v>4531273157</v>
      </c>
      <c r="D600" s="1">
        <v>4531273157</v>
      </c>
      <c r="E600" s="1">
        <v>6</v>
      </c>
      <c r="F600" s="1">
        <v>5</v>
      </c>
      <c r="G600" s="1" t="s">
        <v>52</v>
      </c>
      <c r="H600" s="1" t="s">
        <v>2249</v>
      </c>
      <c r="I600" s="1" t="s">
        <v>39</v>
      </c>
      <c r="J600" s="1" t="s">
        <v>53</v>
      </c>
      <c r="K600" s="1"/>
      <c r="L600" s="1"/>
    </row>
    <row r="601" spans="1:12" s="32" customFormat="1" hidden="1" x14ac:dyDescent="0.3">
      <c r="A601" s="37">
        <v>46136.519780092596</v>
      </c>
      <c r="B601" s="1">
        <v>4121016664</v>
      </c>
      <c r="C601" s="1">
        <v>4431268229</v>
      </c>
      <c r="D601" s="1">
        <v>4431268229</v>
      </c>
      <c r="E601" s="1">
        <v>6</v>
      </c>
      <c r="F601" s="1">
        <v>5</v>
      </c>
      <c r="G601" s="1" t="s">
        <v>52</v>
      </c>
      <c r="H601" s="1" t="s">
        <v>2250</v>
      </c>
      <c r="I601" s="1" t="s">
        <v>39</v>
      </c>
      <c r="J601" s="1" t="s">
        <v>53</v>
      </c>
      <c r="K601" s="1"/>
      <c r="L601" s="1"/>
    </row>
    <row r="602" spans="1:12" s="32" customFormat="1" hidden="1" x14ac:dyDescent="0.3">
      <c r="A602" s="37">
        <v>46136.505474537036</v>
      </c>
      <c r="B602" s="1">
        <v>4121016666</v>
      </c>
      <c r="C602" s="1">
        <v>4431268239</v>
      </c>
      <c r="D602" s="1">
        <v>4431268239</v>
      </c>
      <c r="E602" s="1">
        <v>7</v>
      </c>
      <c r="F602" s="1">
        <v>6</v>
      </c>
      <c r="G602" s="1" t="s">
        <v>52</v>
      </c>
      <c r="H602" s="1" t="s">
        <v>2251</v>
      </c>
      <c r="I602" s="1" t="s">
        <v>39</v>
      </c>
      <c r="J602" s="1" t="s">
        <v>53</v>
      </c>
      <c r="K602" s="1"/>
      <c r="L602" s="1"/>
    </row>
    <row r="603" spans="1:12" s="32" customFormat="1" hidden="1" x14ac:dyDescent="0.3">
      <c r="A603" s="37">
        <v>46136.493217592593</v>
      </c>
      <c r="B603" s="1" t="s">
        <v>54</v>
      </c>
      <c r="C603" s="1">
        <v>11995142411</v>
      </c>
      <c r="D603" s="1"/>
      <c r="E603" s="1">
        <v>17</v>
      </c>
      <c r="F603" s="1">
        <v>14</v>
      </c>
      <c r="G603" s="1" t="s">
        <v>38</v>
      </c>
      <c r="H603" s="1" t="s">
        <v>2252</v>
      </c>
      <c r="I603" s="1" t="s">
        <v>46</v>
      </c>
      <c r="J603" s="1" t="s">
        <v>55</v>
      </c>
      <c r="K603" s="1"/>
      <c r="L603" s="1"/>
    </row>
    <row r="604" spans="1:12" s="32" customFormat="1" hidden="1" x14ac:dyDescent="0.3">
      <c r="A604" s="37">
        <v>46136.492071759261</v>
      </c>
      <c r="B604" s="1">
        <v>4430450103</v>
      </c>
      <c r="C604" s="1">
        <v>4430265054</v>
      </c>
      <c r="D604" s="1">
        <v>4430265054</v>
      </c>
      <c r="E604" s="1">
        <v>84</v>
      </c>
      <c r="F604" s="1">
        <v>83</v>
      </c>
      <c r="G604" s="1" t="s">
        <v>52</v>
      </c>
      <c r="H604" s="1" t="s">
        <v>2253</v>
      </c>
      <c r="I604" s="1" t="s">
        <v>39</v>
      </c>
      <c r="J604" s="1" t="s">
        <v>53</v>
      </c>
      <c r="K604" s="1" t="s">
        <v>41</v>
      </c>
      <c r="L604" s="1"/>
    </row>
    <row r="605" spans="1:12" s="32" customFormat="1" hidden="1" x14ac:dyDescent="0.3">
      <c r="A605" s="37">
        <v>46136.488599537035</v>
      </c>
      <c r="B605" s="1">
        <v>4121016665</v>
      </c>
      <c r="C605" s="1">
        <v>4431268234</v>
      </c>
      <c r="D605" s="1">
        <v>4431268234</v>
      </c>
      <c r="E605" s="1">
        <v>6</v>
      </c>
      <c r="F605" s="1">
        <v>6</v>
      </c>
      <c r="G605" s="1" t="s">
        <v>52</v>
      </c>
      <c r="H605" s="1" t="s">
        <v>2254</v>
      </c>
      <c r="I605" s="1" t="s">
        <v>39</v>
      </c>
      <c r="J605" s="1" t="s">
        <v>53</v>
      </c>
      <c r="K605" s="1"/>
      <c r="L605" s="1"/>
    </row>
    <row r="606" spans="1:12" s="32" customFormat="1" hidden="1" x14ac:dyDescent="0.3">
      <c r="A606" s="37">
        <v>46136.486828703702</v>
      </c>
      <c r="B606" s="1" t="s">
        <v>45</v>
      </c>
      <c r="C606" s="1">
        <v>4433444400</v>
      </c>
      <c r="D606" s="1"/>
      <c r="E606" s="1">
        <v>77</v>
      </c>
      <c r="F606" s="1">
        <v>76</v>
      </c>
      <c r="G606" s="1" t="s">
        <v>38</v>
      </c>
      <c r="H606" s="1" t="s">
        <v>2255</v>
      </c>
      <c r="I606" s="1" t="s">
        <v>46</v>
      </c>
      <c r="J606" s="1" t="s">
        <v>40</v>
      </c>
      <c r="K606" s="1"/>
      <c r="L606" s="1"/>
    </row>
    <row r="607" spans="1:12" s="32" customFormat="1" hidden="1" x14ac:dyDescent="0.3">
      <c r="A607" s="37">
        <v>46136.484814814816</v>
      </c>
      <c r="B607" s="1">
        <v>1128787060</v>
      </c>
      <c r="C607" s="1" t="s">
        <v>48</v>
      </c>
      <c r="D607" s="1">
        <v>4430265054</v>
      </c>
      <c r="E607" s="1">
        <v>233</v>
      </c>
      <c r="F607" s="1">
        <v>214</v>
      </c>
      <c r="G607" s="1" t="s">
        <v>38</v>
      </c>
      <c r="H607" s="1" t="s">
        <v>2256</v>
      </c>
      <c r="I607" s="1" t="s">
        <v>39</v>
      </c>
      <c r="J607" s="1" t="s">
        <v>40</v>
      </c>
      <c r="K607" s="1" t="s">
        <v>41</v>
      </c>
      <c r="L607" s="1"/>
    </row>
    <row r="608" spans="1:12" s="32" customFormat="1" hidden="1" x14ac:dyDescent="0.3">
      <c r="A608" s="37">
        <v>46136.483935185184</v>
      </c>
      <c r="B608" s="1">
        <v>45999211357</v>
      </c>
      <c r="C608" s="1" t="s">
        <v>37</v>
      </c>
      <c r="D608" s="1">
        <v>4431268225</v>
      </c>
      <c r="E608" s="1">
        <v>1792</v>
      </c>
      <c r="F608" s="1">
        <v>1746</v>
      </c>
      <c r="G608" s="1" t="s">
        <v>38</v>
      </c>
      <c r="H608" s="1" t="s">
        <v>2257</v>
      </c>
      <c r="I608" s="1" t="s">
        <v>39</v>
      </c>
      <c r="J608" s="1" t="s">
        <v>40</v>
      </c>
      <c r="K608" s="1" t="s">
        <v>41</v>
      </c>
      <c r="L608" s="1"/>
    </row>
    <row r="609" spans="1:12" s="32" customFormat="1" hidden="1" x14ac:dyDescent="0.3">
      <c r="A609" s="37">
        <v>46136.478854166664</v>
      </c>
      <c r="B609" s="1" t="s">
        <v>37</v>
      </c>
      <c r="C609" s="1">
        <v>3432424736</v>
      </c>
      <c r="D609" s="1"/>
      <c r="E609" s="1">
        <v>135</v>
      </c>
      <c r="F609" s="1">
        <v>132</v>
      </c>
      <c r="G609" s="1" t="s">
        <v>38</v>
      </c>
      <c r="H609" s="1" t="s">
        <v>2258</v>
      </c>
      <c r="I609" s="1" t="s">
        <v>46</v>
      </c>
      <c r="J609" s="1" t="s">
        <v>40</v>
      </c>
      <c r="K609" s="1"/>
      <c r="L609" s="1">
        <v>5</v>
      </c>
    </row>
    <row r="610" spans="1:12" s="32" customFormat="1" hidden="1" x14ac:dyDescent="0.3">
      <c r="A610" s="37">
        <v>46136.478564814817</v>
      </c>
      <c r="B610" s="1">
        <v>44988255390</v>
      </c>
      <c r="C610" s="1" t="s">
        <v>43</v>
      </c>
      <c r="D610" s="1">
        <v>4430265054</v>
      </c>
      <c r="E610" s="1">
        <v>418</v>
      </c>
      <c r="F610" s="1">
        <v>363</v>
      </c>
      <c r="G610" s="1" t="s">
        <v>38</v>
      </c>
      <c r="H610" s="1" t="s">
        <v>2259</v>
      </c>
      <c r="I610" s="1" t="s">
        <v>39</v>
      </c>
      <c r="J610" s="1" t="s">
        <v>40</v>
      </c>
      <c r="K610" s="1" t="s">
        <v>41</v>
      </c>
      <c r="L610" s="1">
        <v>5</v>
      </c>
    </row>
    <row r="611" spans="1:12" s="32" customFormat="1" hidden="1" x14ac:dyDescent="0.3">
      <c r="A611" s="37">
        <v>46136.477951388886</v>
      </c>
      <c r="B611" s="1">
        <v>11998030658</v>
      </c>
      <c r="C611" s="1" t="s">
        <v>45</v>
      </c>
      <c r="D611" s="1">
        <v>4430265054</v>
      </c>
      <c r="E611" s="1">
        <v>408</v>
      </c>
      <c r="F611" s="1">
        <v>320</v>
      </c>
      <c r="G611" s="1" t="s">
        <v>38</v>
      </c>
      <c r="H611" s="1" t="s">
        <v>2260</v>
      </c>
      <c r="I611" s="1" t="s">
        <v>39</v>
      </c>
      <c r="J611" s="1" t="s">
        <v>40</v>
      </c>
      <c r="K611" s="1" t="s">
        <v>41</v>
      </c>
      <c r="L611" s="1">
        <v>5</v>
      </c>
    </row>
    <row r="612" spans="1:12" s="32" customFormat="1" hidden="1" x14ac:dyDescent="0.3">
      <c r="A612" s="37">
        <v>46136.477152777778</v>
      </c>
      <c r="B612" s="1" t="s">
        <v>54</v>
      </c>
      <c r="C612" s="1">
        <v>15981746600</v>
      </c>
      <c r="D612" s="1"/>
      <c r="E612" s="1">
        <v>8</v>
      </c>
      <c r="F612" s="1">
        <v>2</v>
      </c>
      <c r="G612" s="1" t="s">
        <v>38</v>
      </c>
      <c r="H612" s="1" t="s">
        <v>2261</v>
      </c>
      <c r="I612" s="1" t="s">
        <v>46</v>
      </c>
      <c r="J612" s="1" t="s">
        <v>55</v>
      </c>
      <c r="K612" s="1"/>
      <c r="L612" s="1"/>
    </row>
    <row r="613" spans="1:12" s="32" customFormat="1" hidden="1" x14ac:dyDescent="0.3">
      <c r="A613" s="37">
        <v>46136.475393518522</v>
      </c>
      <c r="B613" s="1" t="s">
        <v>45</v>
      </c>
      <c r="C613" s="1">
        <v>44999488286</v>
      </c>
      <c r="D613" s="1"/>
      <c r="E613" s="1">
        <v>35</v>
      </c>
      <c r="F613" s="1">
        <v>0</v>
      </c>
      <c r="G613" s="1" t="s">
        <v>47</v>
      </c>
      <c r="H613" s="1" t="s">
        <v>2262</v>
      </c>
      <c r="I613" s="1" t="s">
        <v>46</v>
      </c>
      <c r="J613" s="1" t="s">
        <v>40</v>
      </c>
      <c r="K613" s="1"/>
      <c r="L613" s="1"/>
    </row>
    <row r="614" spans="1:12" s="32" customFormat="1" hidden="1" x14ac:dyDescent="0.3">
      <c r="A614" s="37">
        <v>46136.473124999997</v>
      </c>
      <c r="B614" s="1" t="s">
        <v>54</v>
      </c>
      <c r="C614" s="1">
        <v>21964650999</v>
      </c>
      <c r="D614" s="1"/>
      <c r="E614" s="1">
        <v>13</v>
      </c>
      <c r="F614" s="1">
        <v>1</v>
      </c>
      <c r="G614" s="1" t="s">
        <v>38</v>
      </c>
      <c r="H614" s="1" t="s">
        <v>2263</v>
      </c>
      <c r="I614" s="1" t="s">
        <v>46</v>
      </c>
      <c r="J614" s="1" t="s">
        <v>55</v>
      </c>
      <c r="K614" s="1"/>
      <c r="L614" s="1"/>
    </row>
    <row r="615" spans="1:12" s="32" customFormat="1" hidden="1" x14ac:dyDescent="0.3">
      <c r="A615" s="37">
        <v>46136.472858796296</v>
      </c>
      <c r="B615" s="1" t="s">
        <v>45</v>
      </c>
      <c r="C615" s="1">
        <v>4433444400</v>
      </c>
      <c r="D615" s="1"/>
      <c r="E615" s="1">
        <v>95</v>
      </c>
      <c r="F615" s="1">
        <v>93</v>
      </c>
      <c r="G615" s="1" t="s">
        <v>38</v>
      </c>
      <c r="H615" s="1" t="s">
        <v>2264</v>
      </c>
      <c r="I615" s="1" t="s">
        <v>46</v>
      </c>
      <c r="J615" s="1" t="s">
        <v>40</v>
      </c>
      <c r="K615" s="1"/>
      <c r="L615" s="1"/>
    </row>
    <row r="616" spans="1:12" s="32" customFormat="1" hidden="1" x14ac:dyDescent="0.3">
      <c r="A616" s="37">
        <v>46136.469699074078</v>
      </c>
      <c r="B616" s="1" t="s">
        <v>54</v>
      </c>
      <c r="C616" s="1">
        <v>51983441724</v>
      </c>
      <c r="D616" s="1"/>
      <c r="E616" s="1">
        <v>8</v>
      </c>
      <c r="F616" s="1">
        <v>0</v>
      </c>
      <c r="G616" s="1" t="s">
        <v>47</v>
      </c>
      <c r="H616" s="1" t="s">
        <v>2265</v>
      </c>
      <c r="I616" s="1" t="s">
        <v>46</v>
      </c>
      <c r="J616" s="1" t="s">
        <v>55</v>
      </c>
      <c r="K616" s="1"/>
      <c r="L616" s="1"/>
    </row>
    <row r="617" spans="1:12" s="32" customFormat="1" hidden="1" x14ac:dyDescent="0.3">
      <c r="A617" s="37">
        <v>46136.465763888889</v>
      </c>
      <c r="B617" s="1">
        <v>45999211357</v>
      </c>
      <c r="C617" s="1">
        <v>4431268225</v>
      </c>
      <c r="D617" s="1">
        <v>4431268225</v>
      </c>
      <c r="E617" s="1">
        <v>72</v>
      </c>
      <c r="F617" s="1">
        <v>71</v>
      </c>
      <c r="G617" s="1" t="s">
        <v>52</v>
      </c>
      <c r="H617" s="1" t="s">
        <v>2266</v>
      </c>
      <c r="I617" s="1" t="s">
        <v>39</v>
      </c>
      <c r="J617" s="1" t="s">
        <v>53</v>
      </c>
      <c r="K617" s="1" t="s">
        <v>41</v>
      </c>
      <c r="L617" s="1"/>
    </row>
    <row r="618" spans="1:12" s="32" customFormat="1" hidden="1" x14ac:dyDescent="0.3">
      <c r="A618" s="37">
        <v>46136.465370370373</v>
      </c>
      <c r="B618" s="1">
        <v>4121016662</v>
      </c>
      <c r="C618" s="1">
        <v>4431268249</v>
      </c>
      <c r="D618" s="1">
        <v>4431268249</v>
      </c>
      <c r="E618" s="1">
        <v>7</v>
      </c>
      <c r="F618" s="1">
        <v>6</v>
      </c>
      <c r="G618" s="1" t="s">
        <v>52</v>
      </c>
      <c r="H618" s="1" t="s">
        <v>2267</v>
      </c>
      <c r="I618" s="1" t="s">
        <v>39</v>
      </c>
      <c r="J618" s="1" t="s">
        <v>53</v>
      </c>
      <c r="K618" s="1"/>
      <c r="L618" s="1"/>
    </row>
    <row r="619" spans="1:12" s="32" customFormat="1" hidden="1" x14ac:dyDescent="0.3">
      <c r="A619" s="37">
        <v>46136.464178240742</v>
      </c>
      <c r="B619" s="1">
        <v>4121016664</v>
      </c>
      <c r="C619" s="1">
        <v>4531273178</v>
      </c>
      <c r="D619" s="1">
        <v>4531273178</v>
      </c>
      <c r="E619" s="1">
        <v>7</v>
      </c>
      <c r="F619" s="1">
        <v>6</v>
      </c>
      <c r="G619" s="1" t="s">
        <v>52</v>
      </c>
      <c r="H619" s="1" t="s">
        <v>2268</v>
      </c>
      <c r="I619" s="1" t="s">
        <v>39</v>
      </c>
      <c r="J619" s="1" t="s">
        <v>53</v>
      </c>
      <c r="K619" s="1"/>
      <c r="L619" s="1"/>
    </row>
    <row r="620" spans="1:12" s="32" customFormat="1" hidden="1" x14ac:dyDescent="0.3">
      <c r="A620" s="37">
        <v>46136.459236111114</v>
      </c>
      <c r="B620" s="1">
        <v>4430152023</v>
      </c>
      <c r="C620" s="1" t="s">
        <v>48</v>
      </c>
      <c r="D620" s="1">
        <v>4430265054</v>
      </c>
      <c r="E620" s="1">
        <v>207</v>
      </c>
      <c r="F620" s="1">
        <v>110</v>
      </c>
      <c r="G620" s="1" t="s">
        <v>38</v>
      </c>
      <c r="H620" s="1" t="s">
        <v>2269</v>
      </c>
      <c r="I620" s="1" t="s">
        <v>39</v>
      </c>
      <c r="J620" s="1" t="s">
        <v>40</v>
      </c>
      <c r="K620" s="1" t="s">
        <v>41</v>
      </c>
      <c r="L620" s="1"/>
    </row>
    <row r="621" spans="1:12" s="32" customFormat="1" hidden="1" x14ac:dyDescent="0.3">
      <c r="A621" s="37">
        <v>46136.452048611114</v>
      </c>
      <c r="B621" s="1">
        <v>4520312689</v>
      </c>
      <c r="C621" s="1" t="s">
        <v>43</v>
      </c>
      <c r="D621" s="1">
        <v>4430265054</v>
      </c>
      <c r="E621" s="1">
        <v>1384</v>
      </c>
      <c r="F621" s="1">
        <v>1288</v>
      </c>
      <c r="G621" s="1" t="s">
        <v>38</v>
      </c>
      <c r="H621" s="1" t="s">
        <v>2270</v>
      </c>
      <c r="I621" s="1" t="s">
        <v>39</v>
      </c>
      <c r="J621" s="1" t="s">
        <v>40</v>
      </c>
      <c r="K621" s="1" t="s">
        <v>41</v>
      </c>
      <c r="L621" s="1">
        <v>5</v>
      </c>
    </row>
    <row r="622" spans="1:12" s="32" customFormat="1" hidden="1" x14ac:dyDescent="0.3">
      <c r="A622" s="37">
        <v>46136.44976851852</v>
      </c>
      <c r="B622" s="1">
        <v>6434530674</v>
      </c>
      <c r="C622" s="1" t="s">
        <v>45</v>
      </c>
      <c r="D622" s="1">
        <v>4430265054</v>
      </c>
      <c r="E622" s="1">
        <v>1886</v>
      </c>
      <c r="F622" s="1">
        <v>1845</v>
      </c>
      <c r="G622" s="1" t="s">
        <v>38</v>
      </c>
      <c r="H622" s="1" t="s">
        <v>2271</v>
      </c>
      <c r="I622" s="1" t="s">
        <v>39</v>
      </c>
      <c r="J622" s="1" t="s">
        <v>40</v>
      </c>
      <c r="K622" s="1" t="s">
        <v>41</v>
      </c>
      <c r="L622" s="1">
        <v>5</v>
      </c>
    </row>
    <row r="623" spans="1:12" s="32" customFormat="1" hidden="1" x14ac:dyDescent="0.3">
      <c r="A623" s="37">
        <v>46136.447835648149</v>
      </c>
      <c r="B623" s="1" t="s">
        <v>48</v>
      </c>
      <c r="C623" s="1">
        <v>4430152023</v>
      </c>
      <c r="D623" s="1"/>
      <c r="E623" s="1">
        <v>49</v>
      </c>
      <c r="F623" s="1">
        <v>38</v>
      </c>
      <c r="G623" s="1" t="s">
        <v>38</v>
      </c>
      <c r="H623" s="1" t="s">
        <v>2272</v>
      </c>
      <c r="I623" s="1" t="s">
        <v>46</v>
      </c>
      <c r="J623" s="1" t="s">
        <v>40</v>
      </c>
      <c r="K623" s="1"/>
      <c r="L623" s="1"/>
    </row>
    <row r="624" spans="1:12" s="32" customFormat="1" hidden="1" x14ac:dyDescent="0.3">
      <c r="A624" s="37">
        <v>46136.446203703701</v>
      </c>
      <c r="B624" s="1" t="s">
        <v>48</v>
      </c>
      <c r="C624" s="1">
        <v>4436293259</v>
      </c>
      <c r="D624" s="1"/>
      <c r="E624" s="1">
        <v>42</v>
      </c>
      <c r="F624" s="1">
        <v>35</v>
      </c>
      <c r="G624" s="1" t="s">
        <v>38</v>
      </c>
      <c r="H624" s="1" t="s">
        <v>2273</v>
      </c>
      <c r="I624" s="1" t="s">
        <v>46</v>
      </c>
      <c r="J624" s="1" t="s">
        <v>40</v>
      </c>
      <c r="K624" s="1"/>
      <c r="L624" s="1"/>
    </row>
    <row r="625" spans="1:12" s="32" customFormat="1" hidden="1" x14ac:dyDescent="0.3">
      <c r="A625" s="37">
        <v>46136.44462962963</v>
      </c>
      <c r="B625" s="1" t="s">
        <v>48</v>
      </c>
      <c r="C625" s="1">
        <v>4436291513</v>
      </c>
      <c r="D625" s="1"/>
      <c r="E625" s="1">
        <v>101</v>
      </c>
      <c r="F625" s="1">
        <v>92</v>
      </c>
      <c r="G625" s="1" t="s">
        <v>38</v>
      </c>
      <c r="H625" s="1" t="s">
        <v>2274</v>
      </c>
      <c r="I625" s="1" t="s">
        <v>46</v>
      </c>
      <c r="J625" s="1" t="s">
        <v>40</v>
      </c>
      <c r="K625" s="1"/>
      <c r="L625" s="1"/>
    </row>
    <row r="626" spans="1:12" s="32" customFormat="1" hidden="1" x14ac:dyDescent="0.3">
      <c r="A626" s="37">
        <v>46136.436712962961</v>
      </c>
      <c r="B626" s="1">
        <v>44999632141</v>
      </c>
      <c r="C626" s="1" t="s">
        <v>43</v>
      </c>
      <c r="D626" s="1">
        <v>4430265054</v>
      </c>
      <c r="E626" s="1">
        <v>717</v>
      </c>
      <c r="F626" s="1">
        <v>618</v>
      </c>
      <c r="G626" s="1" t="s">
        <v>38</v>
      </c>
      <c r="H626" s="1" t="s">
        <v>2275</v>
      </c>
      <c r="I626" s="1" t="s">
        <v>39</v>
      </c>
      <c r="J626" s="1" t="s">
        <v>40</v>
      </c>
      <c r="K626" s="1" t="s">
        <v>41</v>
      </c>
      <c r="L626" s="1"/>
    </row>
    <row r="627" spans="1:12" s="32" customFormat="1" hidden="1" x14ac:dyDescent="0.3">
      <c r="A627" s="37">
        <v>46136.434733796297</v>
      </c>
      <c r="B627" s="1" t="s">
        <v>45</v>
      </c>
      <c r="C627" s="1">
        <v>44999342719</v>
      </c>
      <c r="D627" s="1"/>
      <c r="E627" s="1">
        <v>59</v>
      </c>
      <c r="F627" s="1">
        <v>33</v>
      </c>
      <c r="G627" s="1" t="s">
        <v>38</v>
      </c>
      <c r="H627" s="1" t="s">
        <v>2276</v>
      </c>
      <c r="I627" s="1" t="s">
        <v>46</v>
      </c>
      <c r="J627" s="1" t="s">
        <v>40</v>
      </c>
      <c r="K627" s="1"/>
      <c r="L627" s="1"/>
    </row>
    <row r="628" spans="1:12" s="32" customFormat="1" hidden="1" x14ac:dyDescent="0.3">
      <c r="A628" s="37">
        <v>46136.42597222222</v>
      </c>
      <c r="B628" s="1" t="s">
        <v>37</v>
      </c>
      <c r="C628" s="1">
        <v>44997123083</v>
      </c>
      <c r="D628" s="1"/>
      <c r="E628" s="1">
        <v>54</v>
      </c>
      <c r="F628" s="1">
        <v>31</v>
      </c>
      <c r="G628" s="1" t="s">
        <v>38</v>
      </c>
      <c r="H628" s="1" t="s">
        <v>2277</v>
      </c>
      <c r="I628" s="1" t="s">
        <v>46</v>
      </c>
      <c r="J628" s="1" t="s">
        <v>40</v>
      </c>
      <c r="K628" s="1"/>
      <c r="L628" s="1"/>
    </row>
    <row r="629" spans="1:12" s="32" customFormat="1" hidden="1" x14ac:dyDescent="0.3">
      <c r="A629" s="37">
        <v>46136.425312500003</v>
      </c>
      <c r="B629" s="1" t="s">
        <v>37</v>
      </c>
      <c r="C629" s="1">
        <v>44997123083</v>
      </c>
      <c r="D629" s="1"/>
      <c r="E629" s="1">
        <v>39</v>
      </c>
      <c r="F629" s="1">
        <v>16</v>
      </c>
      <c r="G629" s="1" t="s">
        <v>38</v>
      </c>
      <c r="H629" s="1" t="s">
        <v>2278</v>
      </c>
      <c r="I629" s="1" t="s">
        <v>46</v>
      </c>
      <c r="J629" s="1" t="s">
        <v>40</v>
      </c>
      <c r="K629" s="1"/>
      <c r="L629" s="1"/>
    </row>
    <row r="630" spans="1:12" s="32" customFormat="1" hidden="1" x14ac:dyDescent="0.3">
      <c r="A630" s="37">
        <v>46136.422326388885</v>
      </c>
      <c r="B630" s="1" t="s">
        <v>37</v>
      </c>
      <c r="C630" s="1">
        <v>44998102927</v>
      </c>
      <c r="D630" s="1"/>
      <c r="E630" s="1">
        <v>136</v>
      </c>
      <c r="F630" s="1">
        <v>113</v>
      </c>
      <c r="G630" s="1" t="s">
        <v>38</v>
      </c>
      <c r="H630" s="1" t="s">
        <v>2279</v>
      </c>
      <c r="I630" s="1" t="s">
        <v>46</v>
      </c>
      <c r="J630" s="1" t="s">
        <v>40</v>
      </c>
      <c r="K630" s="1"/>
      <c r="L630" s="1"/>
    </row>
    <row r="631" spans="1:12" s="32" customFormat="1" hidden="1" x14ac:dyDescent="0.3">
      <c r="A631" s="37">
        <v>46136.421168981484</v>
      </c>
      <c r="B631" s="1" t="s">
        <v>37</v>
      </c>
      <c r="C631" s="1">
        <v>11962304891</v>
      </c>
      <c r="D631" s="1"/>
      <c r="E631" s="1">
        <v>10</v>
      </c>
      <c r="F631" s="1">
        <v>0</v>
      </c>
      <c r="G631" s="1" t="s">
        <v>47</v>
      </c>
      <c r="H631" s="1" t="s">
        <v>2280</v>
      </c>
      <c r="I631" s="1" t="s">
        <v>46</v>
      </c>
      <c r="J631" s="1" t="s">
        <v>40</v>
      </c>
      <c r="K631" s="1"/>
      <c r="L631" s="1"/>
    </row>
    <row r="632" spans="1:12" s="32" customFormat="1" hidden="1" x14ac:dyDescent="0.3">
      <c r="A632" s="37">
        <v>46136.420844907407</v>
      </c>
      <c r="B632" s="1" t="s">
        <v>37</v>
      </c>
      <c r="C632" s="1">
        <v>11962304891</v>
      </c>
      <c r="D632" s="1"/>
      <c r="E632" s="1">
        <v>13</v>
      </c>
      <c r="F632" s="1">
        <v>0</v>
      </c>
      <c r="G632" s="1" t="s">
        <v>47</v>
      </c>
      <c r="H632" s="1" t="s">
        <v>2281</v>
      </c>
      <c r="I632" s="1" t="s">
        <v>46</v>
      </c>
      <c r="J632" s="1" t="s">
        <v>40</v>
      </c>
      <c r="K632" s="1"/>
      <c r="L632" s="1"/>
    </row>
    <row r="633" spans="1:12" s="32" customFormat="1" hidden="1" x14ac:dyDescent="0.3">
      <c r="A633" s="37">
        <v>46136.416493055556</v>
      </c>
      <c r="B633" s="1" t="s">
        <v>37</v>
      </c>
      <c r="C633" s="1">
        <v>19996468864</v>
      </c>
      <c r="D633" s="1"/>
      <c r="E633" s="1">
        <v>12</v>
      </c>
      <c r="F633" s="1">
        <v>0</v>
      </c>
      <c r="G633" s="1" t="s">
        <v>47</v>
      </c>
      <c r="H633" s="1" t="s">
        <v>2282</v>
      </c>
      <c r="I633" s="1" t="s">
        <v>46</v>
      </c>
      <c r="J633" s="1" t="s">
        <v>40</v>
      </c>
      <c r="K633" s="1"/>
      <c r="L633" s="1"/>
    </row>
    <row r="634" spans="1:12" s="32" customFormat="1" hidden="1" x14ac:dyDescent="0.3">
      <c r="A634" s="37">
        <v>46136.406145833331</v>
      </c>
      <c r="B634" s="1">
        <v>44997650834</v>
      </c>
      <c r="C634" s="1" t="s">
        <v>43</v>
      </c>
      <c r="D634" s="1">
        <v>4430265054</v>
      </c>
      <c r="E634" s="1">
        <v>198</v>
      </c>
      <c r="F634" s="1">
        <v>139</v>
      </c>
      <c r="G634" s="1" t="s">
        <v>38</v>
      </c>
      <c r="H634" s="1" t="s">
        <v>2283</v>
      </c>
      <c r="I634" s="1" t="s">
        <v>39</v>
      </c>
      <c r="J634" s="1" t="s">
        <v>40</v>
      </c>
      <c r="K634" s="1" t="s">
        <v>41</v>
      </c>
      <c r="L634" s="1"/>
    </row>
    <row r="635" spans="1:12" s="32" customFormat="1" hidden="1" x14ac:dyDescent="0.3">
      <c r="A635" s="37">
        <v>46136.39984953704</v>
      </c>
      <c r="B635" s="1">
        <v>44998761561</v>
      </c>
      <c r="C635" s="1" t="s">
        <v>44</v>
      </c>
      <c r="D635" s="1">
        <v>4430265054</v>
      </c>
      <c r="E635" s="1">
        <v>539</v>
      </c>
      <c r="F635" s="1">
        <v>367</v>
      </c>
      <c r="G635" s="1" t="s">
        <v>38</v>
      </c>
      <c r="H635" s="1" t="s">
        <v>2284</v>
      </c>
      <c r="I635" s="1" t="s">
        <v>39</v>
      </c>
      <c r="J635" s="1" t="s">
        <v>40</v>
      </c>
      <c r="K635" s="1" t="s">
        <v>41</v>
      </c>
      <c r="L635" s="1">
        <v>5</v>
      </c>
    </row>
    <row r="636" spans="1:12" s="32" customFormat="1" hidden="1" x14ac:dyDescent="0.3">
      <c r="A636" s="37">
        <v>46136.398784722223</v>
      </c>
      <c r="B636" s="1" t="s">
        <v>54</v>
      </c>
      <c r="C636" s="1">
        <v>84999571777</v>
      </c>
      <c r="D636" s="1"/>
      <c r="E636" s="1">
        <v>40</v>
      </c>
      <c r="F636" s="1">
        <v>2</v>
      </c>
      <c r="G636" s="1" t="s">
        <v>38</v>
      </c>
      <c r="H636" s="1" t="s">
        <v>2285</v>
      </c>
      <c r="I636" s="1" t="s">
        <v>46</v>
      </c>
      <c r="J636" s="1" t="s">
        <v>55</v>
      </c>
      <c r="K636" s="1"/>
      <c r="L636" s="1"/>
    </row>
    <row r="637" spans="1:12" s="32" customFormat="1" hidden="1" x14ac:dyDescent="0.3">
      <c r="A637" s="37">
        <v>46136.397511574076</v>
      </c>
      <c r="B637" s="1" t="s">
        <v>54</v>
      </c>
      <c r="C637" s="1">
        <v>67993017448</v>
      </c>
      <c r="D637" s="1"/>
      <c r="E637" s="1">
        <v>7</v>
      </c>
      <c r="F637" s="1">
        <v>0</v>
      </c>
      <c r="G637" s="1" t="s">
        <v>47</v>
      </c>
      <c r="H637" s="1" t="s">
        <v>2286</v>
      </c>
      <c r="I637" s="1" t="s">
        <v>46</v>
      </c>
      <c r="J637" s="1" t="s">
        <v>55</v>
      </c>
      <c r="K637" s="1"/>
      <c r="L637" s="1"/>
    </row>
    <row r="638" spans="1:12" s="32" customFormat="1" hidden="1" x14ac:dyDescent="0.3">
      <c r="A638" s="37">
        <v>46136.397488425922</v>
      </c>
      <c r="B638" s="1">
        <v>4430548107</v>
      </c>
      <c r="C638" s="1">
        <v>4430265054</v>
      </c>
      <c r="D638" s="1">
        <v>4430265054</v>
      </c>
      <c r="E638" s="1">
        <v>3</v>
      </c>
      <c r="F638" s="1">
        <v>3</v>
      </c>
      <c r="G638" s="1" t="s">
        <v>52</v>
      </c>
      <c r="H638" s="1" t="s">
        <v>2287</v>
      </c>
      <c r="I638" s="1" t="s">
        <v>39</v>
      </c>
      <c r="J638" s="1" t="s">
        <v>53</v>
      </c>
      <c r="K638" s="1"/>
      <c r="L638" s="1"/>
    </row>
    <row r="639" spans="1:12" s="32" customFormat="1" hidden="1" x14ac:dyDescent="0.3">
      <c r="A639" s="37">
        <v>46136.386956018519</v>
      </c>
      <c r="B639" s="1" t="s">
        <v>54</v>
      </c>
      <c r="C639" s="1">
        <v>48988266445</v>
      </c>
      <c r="D639" s="1"/>
      <c r="E639" s="1">
        <v>42</v>
      </c>
      <c r="F639" s="1">
        <v>3</v>
      </c>
      <c r="G639" s="1" t="s">
        <v>38</v>
      </c>
      <c r="H639" s="1" t="s">
        <v>2288</v>
      </c>
      <c r="I639" s="1" t="s">
        <v>46</v>
      </c>
      <c r="J639" s="1" t="s">
        <v>55</v>
      </c>
      <c r="K639" s="1"/>
      <c r="L639" s="1"/>
    </row>
    <row r="640" spans="1:12" s="32" customFormat="1" hidden="1" x14ac:dyDescent="0.3">
      <c r="A640" s="37">
        <v>46136.382662037038</v>
      </c>
      <c r="B640" s="1" t="s">
        <v>45</v>
      </c>
      <c r="C640" s="1">
        <v>41996255598</v>
      </c>
      <c r="D640" s="1"/>
      <c r="E640" s="1">
        <v>4481</v>
      </c>
      <c r="F640" s="1">
        <v>4475</v>
      </c>
      <c r="G640" s="1" t="s">
        <v>38</v>
      </c>
      <c r="H640" s="1" t="s">
        <v>2289</v>
      </c>
      <c r="I640" s="1" t="s">
        <v>46</v>
      </c>
      <c r="J640" s="1" t="s">
        <v>40</v>
      </c>
      <c r="K640" s="1"/>
      <c r="L640" s="1"/>
    </row>
    <row r="641" spans="1:12" s="32" customFormat="1" hidden="1" x14ac:dyDescent="0.3">
      <c r="A641" s="37">
        <v>46136.382511574076</v>
      </c>
      <c r="B641" s="1" t="s">
        <v>45</v>
      </c>
      <c r="C641" s="1">
        <v>41996255598</v>
      </c>
      <c r="D641" s="1"/>
      <c r="E641" s="1">
        <v>11</v>
      </c>
      <c r="F641" s="1">
        <v>0</v>
      </c>
      <c r="G641" s="1" t="s">
        <v>47</v>
      </c>
      <c r="H641" s="1" t="s">
        <v>2290</v>
      </c>
      <c r="I641" s="1" t="s">
        <v>46</v>
      </c>
      <c r="J641" s="1" t="s">
        <v>40</v>
      </c>
      <c r="K641" s="1"/>
      <c r="L641" s="1"/>
    </row>
    <row r="642" spans="1:12" s="32" customFormat="1" hidden="1" x14ac:dyDescent="0.3">
      <c r="A642" s="37">
        <v>46136.382071759261</v>
      </c>
      <c r="B642" s="1" t="s">
        <v>45</v>
      </c>
      <c r="C642" s="1">
        <v>41996255598</v>
      </c>
      <c r="D642" s="1"/>
      <c r="E642" s="1">
        <v>21</v>
      </c>
      <c r="F642" s="1">
        <v>0</v>
      </c>
      <c r="G642" s="1" t="s">
        <v>47</v>
      </c>
      <c r="H642" s="1" t="s">
        <v>2291</v>
      </c>
      <c r="I642" s="1" t="s">
        <v>46</v>
      </c>
      <c r="J642" s="1" t="s">
        <v>40</v>
      </c>
      <c r="K642" s="1"/>
      <c r="L642" s="1"/>
    </row>
    <row r="643" spans="1:12" s="32" customFormat="1" hidden="1" x14ac:dyDescent="0.3">
      <c r="A643" s="37">
        <v>46136.381886574076</v>
      </c>
      <c r="B643" s="1">
        <v>41996255598</v>
      </c>
      <c r="C643" s="1" t="s">
        <v>45</v>
      </c>
      <c r="D643" s="1">
        <v>4430265054</v>
      </c>
      <c r="E643" s="1">
        <v>64</v>
      </c>
      <c r="F643" s="1">
        <v>25</v>
      </c>
      <c r="G643" s="1" t="s">
        <v>38</v>
      </c>
      <c r="H643" s="1" t="s">
        <v>2292</v>
      </c>
      <c r="I643" s="1" t="s">
        <v>39</v>
      </c>
      <c r="J643" s="1" t="s">
        <v>40</v>
      </c>
      <c r="K643" s="1" t="s">
        <v>41</v>
      </c>
      <c r="L643" s="1"/>
    </row>
    <row r="644" spans="1:12" s="32" customFormat="1" x14ac:dyDescent="0.3">
      <c r="A644" s="37">
        <v>46136.380185185182</v>
      </c>
      <c r="B644" s="1">
        <v>11989293711</v>
      </c>
      <c r="C644" s="1" t="s">
        <v>37</v>
      </c>
      <c r="D644" s="1">
        <v>4430265054</v>
      </c>
      <c r="E644" s="1">
        <v>298</v>
      </c>
      <c r="F644" s="1">
        <v>248</v>
      </c>
      <c r="G644" s="1" t="s">
        <v>38</v>
      </c>
      <c r="H644" s="1" t="s">
        <v>2293</v>
      </c>
      <c r="I644" s="1" t="s">
        <v>39</v>
      </c>
      <c r="J644" s="1" t="s">
        <v>40</v>
      </c>
      <c r="K644" s="1" t="s">
        <v>41</v>
      </c>
      <c r="L644" s="1">
        <v>5</v>
      </c>
    </row>
    <row r="645" spans="1:12" s="32" customFormat="1" hidden="1" x14ac:dyDescent="0.3">
      <c r="A645" s="37">
        <v>46136.379340277781</v>
      </c>
      <c r="B645" s="1">
        <v>44988067937</v>
      </c>
      <c r="C645" s="1" t="s">
        <v>44</v>
      </c>
      <c r="D645" s="1">
        <v>4430265054</v>
      </c>
      <c r="E645" s="1">
        <v>271</v>
      </c>
      <c r="F645" s="1">
        <v>171</v>
      </c>
      <c r="G645" s="1" t="s">
        <v>38</v>
      </c>
      <c r="H645" s="1" t="s">
        <v>2294</v>
      </c>
      <c r="I645" s="1" t="s">
        <v>39</v>
      </c>
      <c r="J645" s="1" t="s">
        <v>40</v>
      </c>
      <c r="K645" s="1" t="s">
        <v>41</v>
      </c>
      <c r="L645" s="1"/>
    </row>
    <row r="646" spans="1:12" s="32" customFormat="1" hidden="1" x14ac:dyDescent="0.3">
      <c r="A646" s="37">
        <v>46136.379166666666</v>
      </c>
      <c r="B646" s="1">
        <v>44998890329</v>
      </c>
      <c r="C646" s="1" t="s">
        <v>48</v>
      </c>
      <c r="D646" s="1">
        <v>4430265054</v>
      </c>
      <c r="E646" s="1">
        <v>389</v>
      </c>
      <c r="F646" s="1">
        <v>389</v>
      </c>
      <c r="G646" s="1" t="s">
        <v>38</v>
      </c>
      <c r="H646" s="1" t="s">
        <v>2295</v>
      </c>
      <c r="I646" s="1" t="s">
        <v>39</v>
      </c>
      <c r="J646" s="1" t="s">
        <v>40</v>
      </c>
      <c r="K646" s="1" t="s">
        <v>41</v>
      </c>
      <c r="L646" s="1"/>
    </row>
    <row r="647" spans="1:12" s="32" customFormat="1" hidden="1" x14ac:dyDescent="0.3">
      <c r="A647" s="37">
        <v>46136.378923611112</v>
      </c>
      <c r="B647" s="1">
        <v>44984350593</v>
      </c>
      <c r="C647" s="1" t="s">
        <v>43</v>
      </c>
      <c r="D647" s="1">
        <v>4430265054</v>
      </c>
      <c r="E647" s="1">
        <v>532</v>
      </c>
      <c r="F647" s="1">
        <v>399</v>
      </c>
      <c r="G647" s="1" t="s">
        <v>38</v>
      </c>
      <c r="H647" s="1" t="s">
        <v>2296</v>
      </c>
      <c r="I647" s="1" t="s">
        <v>39</v>
      </c>
      <c r="J647" s="1" t="s">
        <v>40</v>
      </c>
      <c r="K647" s="1" t="s">
        <v>41</v>
      </c>
      <c r="L647" s="1"/>
    </row>
    <row r="648" spans="1:12" s="32" customFormat="1" x14ac:dyDescent="0.3">
      <c r="A648" s="37">
        <v>46136.373703703706</v>
      </c>
      <c r="B648" s="1">
        <v>44997650834</v>
      </c>
      <c r="C648" s="1" t="s">
        <v>37</v>
      </c>
      <c r="D648" s="1">
        <v>4430265054</v>
      </c>
      <c r="E648" s="1">
        <v>482</v>
      </c>
      <c r="F648" s="1">
        <v>384</v>
      </c>
      <c r="G648" s="1" t="s">
        <v>38</v>
      </c>
      <c r="H648" s="1" t="s">
        <v>2297</v>
      </c>
      <c r="I648" s="1" t="s">
        <v>39</v>
      </c>
      <c r="J648" s="1" t="s">
        <v>40</v>
      </c>
      <c r="K648" s="1" t="s">
        <v>41</v>
      </c>
      <c r="L648" s="1">
        <v>5</v>
      </c>
    </row>
    <row r="649" spans="1:12" s="32" customFormat="1" hidden="1" x14ac:dyDescent="0.3">
      <c r="A649" s="37">
        <v>46136.373206018521</v>
      </c>
      <c r="B649" s="1" t="s">
        <v>37</v>
      </c>
      <c r="C649" s="1">
        <v>19996468864</v>
      </c>
      <c r="D649" s="1"/>
      <c r="E649" s="1">
        <v>41</v>
      </c>
      <c r="F649" s="1">
        <v>0</v>
      </c>
      <c r="G649" s="1" t="s">
        <v>47</v>
      </c>
      <c r="H649" s="1" t="s">
        <v>2298</v>
      </c>
      <c r="I649" s="1" t="s">
        <v>46</v>
      </c>
      <c r="J649" s="1" t="s">
        <v>40</v>
      </c>
      <c r="K649" s="1"/>
      <c r="L649" s="1"/>
    </row>
    <row r="650" spans="1:12" s="32" customFormat="1" hidden="1" x14ac:dyDescent="0.3">
      <c r="A650" s="37">
        <v>46136.36928240741</v>
      </c>
      <c r="B650" s="1">
        <v>43996490165</v>
      </c>
      <c r="C650" s="1" t="s">
        <v>45</v>
      </c>
      <c r="D650" s="1">
        <v>4430265054</v>
      </c>
      <c r="E650" s="1">
        <v>184</v>
      </c>
      <c r="F650" s="1">
        <v>162</v>
      </c>
      <c r="G650" s="1" t="s">
        <v>38</v>
      </c>
      <c r="H650" s="1" t="s">
        <v>2299</v>
      </c>
      <c r="I650" s="1" t="s">
        <v>39</v>
      </c>
      <c r="J650" s="1" t="s">
        <v>40</v>
      </c>
      <c r="K650" s="1" t="s">
        <v>41</v>
      </c>
      <c r="L650" s="1"/>
    </row>
    <row r="651" spans="1:12" s="32" customFormat="1" hidden="1" x14ac:dyDescent="0.3">
      <c r="A651" s="37">
        <v>46136.365763888891</v>
      </c>
      <c r="B651" s="1">
        <v>44999451200</v>
      </c>
      <c r="C651" s="1" t="s">
        <v>37</v>
      </c>
      <c r="D651" s="1">
        <v>4430265054</v>
      </c>
      <c r="E651" s="1">
        <v>346</v>
      </c>
      <c r="F651" s="1">
        <v>307</v>
      </c>
      <c r="G651" s="1" t="s">
        <v>38</v>
      </c>
      <c r="H651" s="1" t="s">
        <v>2300</v>
      </c>
      <c r="I651" s="1" t="s">
        <v>39</v>
      </c>
      <c r="J651" s="1" t="s">
        <v>40</v>
      </c>
      <c r="K651" s="1" t="s">
        <v>41</v>
      </c>
      <c r="L651" s="1"/>
    </row>
    <row r="652" spans="1:12" s="32" customFormat="1" hidden="1" x14ac:dyDescent="0.3">
      <c r="A652" s="37">
        <v>46136.363530092596</v>
      </c>
      <c r="B652" s="1">
        <v>44999451200</v>
      </c>
      <c r="C652" s="1">
        <v>4430265054</v>
      </c>
      <c r="D652" s="1">
        <v>4430265054</v>
      </c>
      <c r="E652" s="1">
        <v>14</v>
      </c>
      <c r="F652" s="1">
        <v>14</v>
      </c>
      <c r="G652" s="1" t="s">
        <v>52</v>
      </c>
      <c r="H652" s="1" t="s">
        <v>2301</v>
      </c>
      <c r="I652" s="1" t="s">
        <v>39</v>
      </c>
      <c r="J652" s="1" t="s">
        <v>53</v>
      </c>
      <c r="K652" s="1"/>
      <c r="L652" s="1"/>
    </row>
    <row r="653" spans="1:12" s="32" customFormat="1" hidden="1" x14ac:dyDescent="0.3">
      <c r="A653" s="37">
        <v>46136.360173611109</v>
      </c>
      <c r="B653" s="1">
        <v>4432677399</v>
      </c>
      <c r="C653" s="1" t="s">
        <v>44</v>
      </c>
      <c r="D653" s="1">
        <v>4430265054</v>
      </c>
      <c r="E653" s="1">
        <v>302</v>
      </c>
      <c r="F653" s="1">
        <v>238</v>
      </c>
      <c r="G653" s="1" t="s">
        <v>38</v>
      </c>
      <c r="H653" s="1" t="s">
        <v>2302</v>
      </c>
      <c r="I653" s="1" t="s">
        <v>39</v>
      </c>
      <c r="J653" s="1" t="s">
        <v>40</v>
      </c>
      <c r="K653" s="1" t="s">
        <v>41</v>
      </c>
      <c r="L653" s="1"/>
    </row>
    <row r="654" spans="1:12" s="32" customFormat="1" hidden="1" x14ac:dyDescent="0.3">
      <c r="A654" s="37">
        <v>46136.35670138889</v>
      </c>
      <c r="B654" s="1">
        <v>43988030048</v>
      </c>
      <c r="C654" s="1" t="s">
        <v>43</v>
      </c>
      <c r="D654" s="1">
        <v>4430265054</v>
      </c>
      <c r="E654" s="1">
        <v>1852</v>
      </c>
      <c r="F654" s="1">
        <v>1795</v>
      </c>
      <c r="G654" s="1" t="s">
        <v>38</v>
      </c>
      <c r="H654" s="1" t="s">
        <v>2303</v>
      </c>
      <c r="I654" s="1" t="s">
        <v>39</v>
      </c>
      <c r="J654" s="1" t="s">
        <v>40</v>
      </c>
      <c r="K654" s="1" t="s">
        <v>41</v>
      </c>
      <c r="L654" s="1"/>
    </row>
    <row r="655" spans="1:12" s="32" customFormat="1" hidden="1" x14ac:dyDescent="0.3">
      <c r="A655" s="37">
        <v>46136.354756944442</v>
      </c>
      <c r="B655" s="1">
        <v>4430291622</v>
      </c>
      <c r="C655" s="1" t="s">
        <v>45</v>
      </c>
      <c r="D655" s="1">
        <v>4430265054</v>
      </c>
      <c r="E655" s="1">
        <v>1098</v>
      </c>
      <c r="F655" s="1">
        <v>952</v>
      </c>
      <c r="G655" s="1" t="s">
        <v>38</v>
      </c>
      <c r="H655" s="1" t="s">
        <v>2304</v>
      </c>
      <c r="I655" s="1" t="s">
        <v>39</v>
      </c>
      <c r="J655" s="1" t="s">
        <v>40</v>
      </c>
      <c r="K655" s="1" t="s">
        <v>41</v>
      </c>
      <c r="L655" s="1"/>
    </row>
    <row r="656" spans="1:12" s="32" customFormat="1" hidden="1" x14ac:dyDescent="0.3">
      <c r="A656" s="37">
        <v>46136.351620370369</v>
      </c>
      <c r="B656" s="1">
        <v>4430414545</v>
      </c>
      <c r="C656" s="1">
        <v>4430265054</v>
      </c>
      <c r="D656" s="1">
        <v>4430265054</v>
      </c>
      <c r="E656" s="1">
        <v>29</v>
      </c>
      <c r="F656" s="1">
        <v>28</v>
      </c>
      <c r="G656" s="1" t="s">
        <v>52</v>
      </c>
      <c r="H656" s="1" t="s">
        <v>2305</v>
      </c>
      <c r="I656" s="1" t="s">
        <v>39</v>
      </c>
      <c r="J656" s="1" t="s">
        <v>53</v>
      </c>
      <c r="K656" s="1"/>
      <c r="L656" s="1"/>
    </row>
    <row r="657" spans="1:12" s="32" customFormat="1" hidden="1" x14ac:dyDescent="0.3">
      <c r="A657" s="37">
        <v>46136.344976851855</v>
      </c>
      <c r="B657" s="1" t="s">
        <v>37</v>
      </c>
      <c r="C657" s="1">
        <v>4430162376</v>
      </c>
      <c r="D657" s="1"/>
      <c r="E657" s="1">
        <v>496</v>
      </c>
      <c r="F657" s="1">
        <v>481</v>
      </c>
      <c r="G657" s="1" t="s">
        <v>38</v>
      </c>
      <c r="H657" s="1" t="s">
        <v>2306</v>
      </c>
      <c r="I657" s="1" t="s">
        <v>46</v>
      </c>
      <c r="J657" s="1" t="s">
        <v>40</v>
      </c>
      <c r="K657" s="1"/>
      <c r="L657" s="1"/>
    </row>
    <row r="658" spans="1:12" s="32" customFormat="1" hidden="1" x14ac:dyDescent="0.3">
      <c r="A658" s="37">
        <v>46136.344178240739</v>
      </c>
      <c r="B658" s="1" t="s">
        <v>45</v>
      </c>
      <c r="C658" s="1">
        <v>4433444400</v>
      </c>
      <c r="D658" s="1"/>
      <c r="E658" s="1">
        <v>115</v>
      </c>
      <c r="F658" s="1">
        <v>113</v>
      </c>
      <c r="G658" s="1" t="s">
        <v>38</v>
      </c>
      <c r="H658" s="1" t="s">
        <v>2307</v>
      </c>
      <c r="I658" s="1" t="s">
        <v>46</v>
      </c>
      <c r="J658" s="1" t="s">
        <v>40</v>
      </c>
      <c r="K658" s="1"/>
      <c r="L658" s="1"/>
    </row>
    <row r="659" spans="1:12" s="32" customFormat="1" hidden="1" x14ac:dyDescent="0.3">
      <c r="A659" s="37">
        <v>46136.340486111112</v>
      </c>
      <c r="B659" s="1" t="s">
        <v>45</v>
      </c>
      <c r="C659" s="1">
        <v>4440099200</v>
      </c>
      <c r="D659" s="1"/>
      <c r="E659" s="1">
        <v>141</v>
      </c>
      <c r="F659" s="1">
        <v>126</v>
      </c>
      <c r="G659" s="1" t="s">
        <v>38</v>
      </c>
      <c r="H659" s="1" t="s">
        <v>2308</v>
      </c>
      <c r="I659" s="1" t="s">
        <v>46</v>
      </c>
      <c r="J659" s="1" t="s">
        <v>40</v>
      </c>
      <c r="K659" s="1"/>
      <c r="L659" s="1"/>
    </row>
    <row r="660" spans="1:12" s="32" customFormat="1" hidden="1" x14ac:dyDescent="0.3">
      <c r="A660" s="37">
        <v>46135.738634259258</v>
      </c>
      <c r="B660" s="1" t="s">
        <v>54</v>
      </c>
      <c r="C660" s="1">
        <v>87996615626</v>
      </c>
      <c r="D660" s="1"/>
      <c r="E660" s="1">
        <v>8</v>
      </c>
      <c r="F660" s="1">
        <v>0</v>
      </c>
      <c r="G660" s="1" t="s">
        <v>47</v>
      </c>
      <c r="H660" s="1" t="s">
        <v>2309</v>
      </c>
      <c r="I660" s="1" t="s">
        <v>46</v>
      </c>
      <c r="J660" s="1" t="s">
        <v>55</v>
      </c>
      <c r="K660" s="1"/>
      <c r="L660" s="1"/>
    </row>
    <row r="661" spans="1:12" s="32" customFormat="1" hidden="1" x14ac:dyDescent="0.3">
      <c r="A661" s="37">
        <v>46135.737754629627</v>
      </c>
      <c r="B661" s="1" t="s">
        <v>54</v>
      </c>
      <c r="C661" s="1">
        <v>62996451005</v>
      </c>
      <c r="D661" s="1"/>
      <c r="E661" s="1">
        <v>16</v>
      </c>
      <c r="F661" s="1">
        <v>3</v>
      </c>
      <c r="G661" s="1" t="s">
        <v>38</v>
      </c>
      <c r="H661" s="1" t="s">
        <v>2310</v>
      </c>
      <c r="I661" s="1" t="s">
        <v>46</v>
      </c>
      <c r="J661" s="1" t="s">
        <v>55</v>
      </c>
      <c r="K661" s="1"/>
      <c r="L661" s="1"/>
    </row>
    <row r="662" spans="1:12" s="32" customFormat="1" hidden="1" x14ac:dyDescent="0.3">
      <c r="A662" s="37">
        <v>46135.731585648151</v>
      </c>
      <c r="B662" s="1">
        <v>44988255390</v>
      </c>
      <c r="C662" s="1" t="s">
        <v>43</v>
      </c>
      <c r="D662" s="1">
        <v>4430265054</v>
      </c>
      <c r="E662" s="1">
        <v>235</v>
      </c>
      <c r="F662" s="1">
        <v>196</v>
      </c>
      <c r="G662" s="1" t="s">
        <v>38</v>
      </c>
      <c r="H662" s="1" t="s">
        <v>2311</v>
      </c>
      <c r="I662" s="1" t="s">
        <v>39</v>
      </c>
      <c r="J662" s="1" t="s">
        <v>40</v>
      </c>
      <c r="K662" s="1" t="s">
        <v>41</v>
      </c>
      <c r="L662" s="1"/>
    </row>
    <row r="663" spans="1:12" s="32" customFormat="1" hidden="1" x14ac:dyDescent="0.3">
      <c r="A663" s="37">
        <v>46135.720381944448</v>
      </c>
      <c r="B663" s="1">
        <v>5121044700</v>
      </c>
      <c r="C663" s="1" t="s">
        <v>56</v>
      </c>
      <c r="D663" s="1">
        <v>4430265054</v>
      </c>
      <c r="E663" s="1">
        <v>306</v>
      </c>
      <c r="F663" s="1">
        <v>197</v>
      </c>
      <c r="G663" s="1" t="s">
        <v>38</v>
      </c>
      <c r="H663" s="1" t="s">
        <v>2312</v>
      </c>
      <c r="I663" s="1" t="s">
        <v>39</v>
      </c>
      <c r="J663" s="1" t="s">
        <v>53</v>
      </c>
      <c r="K663" s="1" t="s">
        <v>41</v>
      </c>
      <c r="L663" s="1"/>
    </row>
    <row r="664" spans="1:12" s="32" customFormat="1" hidden="1" x14ac:dyDescent="0.3">
      <c r="A664" s="37">
        <v>46135.720300925925</v>
      </c>
      <c r="B664" s="1">
        <v>44999632141</v>
      </c>
      <c r="C664" s="1" t="s">
        <v>45</v>
      </c>
      <c r="D664" s="1">
        <v>4430265054</v>
      </c>
      <c r="E664" s="1">
        <v>1037</v>
      </c>
      <c r="F664" s="1">
        <v>915</v>
      </c>
      <c r="G664" s="1" t="s">
        <v>38</v>
      </c>
      <c r="H664" s="1" t="s">
        <v>2313</v>
      </c>
      <c r="I664" s="1" t="s">
        <v>39</v>
      </c>
      <c r="J664" s="1" t="s">
        <v>40</v>
      </c>
      <c r="K664" s="1" t="s">
        <v>41</v>
      </c>
      <c r="L664" s="1"/>
    </row>
    <row r="665" spans="1:12" s="32" customFormat="1" hidden="1" x14ac:dyDescent="0.3">
      <c r="A665" s="37">
        <v>46135.7190625</v>
      </c>
      <c r="B665" s="1" t="s">
        <v>48</v>
      </c>
      <c r="C665" s="1">
        <v>44997343311</v>
      </c>
      <c r="D665" s="1"/>
      <c r="E665" s="1">
        <v>300</v>
      </c>
      <c r="F665" s="1">
        <v>292</v>
      </c>
      <c r="G665" s="1" t="s">
        <v>38</v>
      </c>
      <c r="H665" s="1" t="s">
        <v>2314</v>
      </c>
      <c r="I665" s="1" t="s">
        <v>46</v>
      </c>
      <c r="J665" s="1" t="s">
        <v>40</v>
      </c>
      <c r="K665" s="1"/>
      <c r="L665" s="1"/>
    </row>
    <row r="666" spans="1:12" s="32" customFormat="1" hidden="1" x14ac:dyDescent="0.3">
      <c r="A666" s="37">
        <v>46135.719004629631</v>
      </c>
      <c r="B666" s="1" t="s">
        <v>48</v>
      </c>
      <c r="C666" s="1">
        <v>44997343311</v>
      </c>
      <c r="D666" s="1"/>
      <c r="E666" s="1">
        <v>2</v>
      </c>
      <c r="F666" s="1">
        <v>0</v>
      </c>
      <c r="G666" s="1" t="s">
        <v>47</v>
      </c>
      <c r="H666" s="1" t="s">
        <v>2315</v>
      </c>
      <c r="I666" s="1" t="s">
        <v>46</v>
      </c>
      <c r="J666" s="1" t="s">
        <v>40</v>
      </c>
      <c r="K666" s="1"/>
      <c r="L666" s="1"/>
    </row>
    <row r="667" spans="1:12" s="32" customFormat="1" hidden="1" x14ac:dyDescent="0.3">
      <c r="A667" s="37">
        <v>46135.717152777775</v>
      </c>
      <c r="B667" s="1" t="s">
        <v>54</v>
      </c>
      <c r="C667" s="1">
        <v>21971296182</v>
      </c>
      <c r="D667" s="1"/>
      <c r="E667" s="1">
        <v>13</v>
      </c>
      <c r="F667" s="1">
        <v>0</v>
      </c>
      <c r="G667" s="1" t="s">
        <v>47</v>
      </c>
      <c r="H667" s="1" t="s">
        <v>2316</v>
      </c>
      <c r="I667" s="1" t="s">
        <v>46</v>
      </c>
      <c r="J667" s="1" t="s">
        <v>55</v>
      </c>
      <c r="K667" s="1"/>
      <c r="L667" s="1"/>
    </row>
    <row r="668" spans="1:12" s="32" customFormat="1" hidden="1" x14ac:dyDescent="0.3">
      <c r="A668" s="37">
        <v>46135.716192129628</v>
      </c>
      <c r="B668" s="1">
        <v>4421032924</v>
      </c>
      <c r="C668" s="1">
        <v>4430265054</v>
      </c>
      <c r="D668" s="1">
        <v>4430265054</v>
      </c>
      <c r="E668" s="1">
        <v>3</v>
      </c>
      <c r="F668" s="1">
        <v>2</v>
      </c>
      <c r="G668" s="1" t="s">
        <v>52</v>
      </c>
      <c r="H668" s="1" t="s">
        <v>2317</v>
      </c>
      <c r="I668" s="1" t="s">
        <v>39</v>
      </c>
      <c r="J668" s="1" t="s">
        <v>53</v>
      </c>
      <c r="K668" s="1"/>
      <c r="L668" s="1"/>
    </row>
    <row r="669" spans="1:12" s="32" customFormat="1" hidden="1" x14ac:dyDescent="0.3">
      <c r="A669" s="37">
        <v>46135.714247685188</v>
      </c>
      <c r="B669" s="1">
        <v>44997343311</v>
      </c>
      <c r="C669" s="1" t="s">
        <v>44</v>
      </c>
      <c r="D669" s="1">
        <v>4430265054</v>
      </c>
      <c r="E669" s="1">
        <v>276</v>
      </c>
      <c r="F669" s="1">
        <v>83</v>
      </c>
      <c r="G669" s="1" t="s">
        <v>38</v>
      </c>
      <c r="H669" s="1" t="s">
        <v>2318</v>
      </c>
      <c r="I669" s="1" t="s">
        <v>39</v>
      </c>
      <c r="J669" s="1" t="s">
        <v>40</v>
      </c>
      <c r="K669" s="1" t="s">
        <v>41</v>
      </c>
      <c r="L669" s="1"/>
    </row>
    <row r="670" spans="1:12" s="32" customFormat="1" hidden="1" x14ac:dyDescent="0.3">
      <c r="A670" s="37">
        <v>46135.713750000003</v>
      </c>
      <c r="B670" s="1" t="s">
        <v>48</v>
      </c>
      <c r="C670" s="1">
        <v>4436291513</v>
      </c>
      <c r="D670" s="1"/>
      <c r="E670" s="1">
        <v>447</v>
      </c>
      <c r="F670" s="1">
        <v>438</v>
      </c>
      <c r="G670" s="1" t="s">
        <v>38</v>
      </c>
      <c r="H670" s="1" t="s">
        <v>2319</v>
      </c>
      <c r="I670" s="1" t="s">
        <v>46</v>
      </c>
      <c r="J670" s="1" t="s">
        <v>40</v>
      </c>
      <c r="K670" s="1"/>
      <c r="L670" s="1"/>
    </row>
    <row r="671" spans="1:12" s="32" customFormat="1" hidden="1" x14ac:dyDescent="0.3">
      <c r="A671" s="37">
        <v>46135.708356481482</v>
      </c>
      <c r="B671" s="1" t="s">
        <v>48</v>
      </c>
      <c r="C671" s="1">
        <v>4430315826</v>
      </c>
      <c r="D671" s="1"/>
      <c r="E671" s="1">
        <v>108</v>
      </c>
      <c r="F671" s="1">
        <v>96</v>
      </c>
      <c r="G671" s="1" t="s">
        <v>38</v>
      </c>
      <c r="H671" s="1" t="s">
        <v>2320</v>
      </c>
      <c r="I671" s="1" t="s">
        <v>46</v>
      </c>
      <c r="J671" s="1" t="s">
        <v>40</v>
      </c>
      <c r="K671" s="1"/>
      <c r="L671" s="1"/>
    </row>
    <row r="672" spans="1:12" s="32" customFormat="1" hidden="1" x14ac:dyDescent="0.3">
      <c r="A672" s="37">
        <v>46135.707372685189</v>
      </c>
      <c r="B672" s="1" t="s">
        <v>45</v>
      </c>
      <c r="C672" s="1">
        <v>4430162376</v>
      </c>
      <c r="D672" s="1"/>
      <c r="E672" s="1">
        <v>42</v>
      </c>
      <c r="F672" s="1">
        <v>26</v>
      </c>
      <c r="G672" s="1" t="s">
        <v>38</v>
      </c>
      <c r="H672" s="1" t="s">
        <v>2321</v>
      </c>
      <c r="I672" s="1" t="s">
        <v>46</v>
      </c>
      <c r="J672" s="1" t="s">
        <v>40</v>
      </c>
      <c r="K672" s="1"/>
      <c r="L672" s="1"/>
    </row>
    <row r="673" spans="1:12" s="32" customFormat="1" hidden="1" x14ac:dyDescent="0.3">
      <c r="A673" s="37">
        <v>46135.702708333331</v>
      </c>
      <c r="B673" s="1">
        <v>4430315826</v>
      </c>
      <c r="C673" s="1" t="s">
        <v>48</v>
      </c>
      <c r="D673" s="1">
        <v>4430265054</v>
      </c>
      <c r="E673" s="1">
        <v>294</v>
      </c>
      <c r="F673" s="1">
        <v>294</v>
      </c>
      <c r="G673" s="1" t="s">
        <v>38</v>
      </c>
      <c r="H673" s="1" t="s">
        <v>2322</v>
      </c>
      <c r="I673" s="1" t="s">
        <v>39</v>
      </c>
      <c r="J673" s="1" t="s">
        <v>40</v>
      </c>
      <c r="K673" s="1" t="s">
        <v>41</v>
      </c>
      <c r="L673" s="1"/>
    </row>
    <row r="674" spans="1:12" s="32" customFormat="1" hidden="1" x14ac:dyDescent="0.3">
      <c r="A674" s="37">
        <v>46135.699062500003</v>
      </c>
      <c r="B674" s="1">
        <v>4130155076</v>
      </c>
      <c r="C674" s="1" t="s">
        <v>43</v>
      </c>
      <c r="D674" s="1">
        <v>4430265054</v>
      </c>
      <c r="E674" s="1">
        <v>1293</v>
      </c>
      <c r="F674" s="1">
        <v>1252</v>
      </c>
      <c r="G674" s="1" t="s">
        <v>38</v>
      </c>
      <c r="H674" s="1" t="s">
        <v>2323</v>
      </c>
      <c r="I674" s="1" t="s">
        <v>39</v>
      </c>
      <c r="J674" s="1" t="s">
        <v>40</v>
      </c>
      <c r="K674" s="1" t="s">
        <v>41</v>
      </c>
      <c r="L674" s="1"/>
    </row>
    <row r="675" spans="1:12" s="32" customFormat="1" hidden="1" x14ac:dyDescent="0.3">
      <c r="A675" s="37">
        <v>46135.696481481478</v>
      </c>
      <c r="B675" s="1">
        <v>4330333542</v>
      </c>
      <c r="C675" s="1" t="s">
        <v>45</v>
      </c>
      <c r="D675" s="1">
        <v>4430265054</v>
      </c>
      <c r="E675" s="1">
        <v>541</v>
      </c>
      <c r="F675" s="1">
        <v>411</v>
      </c>
      <c r="G675" s="1" t="s">
        <v>38</v>
      </c>
      <c r="H675" s="1" t="s">
        <v>2324</v>
      </c>
      <c r="I675" s="1" t="s">
        <v>39</v>
      </c>
      <c r="J675" s="1" t="s">
        <v>40</v>
      </c>
      <c r="K675" s="1" t="s">
        <v>41</v>
      </c>
      <c r="L675" s="1">
        <v>5</v>
      </c>
    </row>
    <row r="676" spans="1:12" s="32" customFormat="1" hidden="1" x14ac:dyDescent="0.3">
      <c r="A676" s="37">
        <v>46135.692523148151</v>
      </c>
      <c r="B676" s="1">
        <v>77999014770</v>
      </c>
      <c r="C676" s="1">
        <v>4430265054</v>
      </c>
      <c r="D676" s="1">
        <v>4430265054</v>
      </c>
      <c r="E676" s="1">
        <v>74</v>
      </c>
      <c r="F676" s="1">
        <v>74</v>
      </c>
      <c r="G676" s="1" t="s">
        <v>52</v>
      </c>
      <c r="H676" s="1" t="s">
        <v>2325</v>
      </c>
      <c r="I676" s="1" t="s">
        <v>39</v>
      </c>
      <c r="J676" s="1" t="s">
        <v>53</v>
      </c>
      <c r="K676" s="1" t="s">
        <v>41</v>
      </c>
      <c r="L676" s="1"/>
    </row>
    <row r="677" spans="1:12" s="32" customFormat="1" hidden="1" x14ac:dyDescent="0.3">
      <c r="A677" s="37">
        <v>46135.688148148147</v>
      </c>
      <c r="B677" s="1" t="s">
        <v>37</v>
      </c>
      <c r="C677" s="1">
        <v>24993107305</v>
      </c>
      <c r="D677" s="1"/>
      <c r="E677" s="1">
        <v>5409</v>
      </c>
      <c r="F677" s="1">
        <v>5402</v>
      </c>
      <c r="G677" s="1" t="s">
        <v>38</v>
      </c>
      <c r="H677" s="1" t="s">
        <v>2326</v>
      </c>
      <c r="I677" s="1" t="s">
        <v>46</v>
      </c>
      <c r="J677" s="1" t="s">
        <v>40</v>
      </c>
      <c r="K677" s="1"/>
      <c r="L677" s="1"/>
    </row>
    <row r="678" spans="1:12" s="32" customFormat="1" hidden="1" x14ac:dyDescent="0.3">
      <c r="A678" s="37">
        <v>46135.688009259262</v>
      </c>
      <c r="B678" s="1">
        <v>24993107305</v>
      </c>
      <c r="C678" s="1">
        <v>4431268225</v>
      </c>
      <c r="D678" s="1">
        <v>4431268225</v>
      </c>
      <c r="E678" s="1">
        <v>12</v>
      </c>
      <c r="F678" s="1">
        <v>11</v>
      </c>
      <c r="G678" s="1" t="s">
        <v>52</v>
      </c>
      <c r="H678" s="1" t="s">
        <v>2327</v>
      </c>
      <c r="I678" s="1" t="s">
        <v>39</v>
      </c>
      <c r="J678" s="1" t="s">
        <v>53</v>
      </c>
      <c r="K678" s="1"/>
      <c r="L678" s="1"/>
    </row>
    <row r="679" spans="1:12" s="32" customFormat="1" hidden="1" x14ac:dyDescent="0.3">
      <c r="A679" s="37">
        <v>46135.68577546296</v>
      </c>
      <c r="B679" s="1" t="s">
        <v>37</v>
      </c>
      <c r="C679" s="1">
        <v>24993107305</v>
      </c>
      <c r="D679" s="1"/>
      <c r="E679" s="1">
        <v>40</v>
      </c>
      <c r="F679" s="1">
        <v>28</v>
      </c>
      <c r="G679" s="1" t="s">
        <v>38</v>
      </c>
      <c r="H679" s="1" t="s">
        <v>2328</v>
      </c>
      <c r="I679" s="1" t="s">
        <v>46</v>
      </c>
      <c r="J679" s="1" t="s">
        <v>40</v>
      </c>
      <c r="K679" s="1"/>
      <c r="L679" s="1"/>
    </row>
    <row r="680" spans="1:12" s="32" customFormat="1" hidden="1" x14ac:dyDescent="0.3">
      <c r="A680" s="37">
        <v>46135.684976851851</v>
      </c>
      <c r="B680" s="1" t="s">
        <v>37</v>
      </c>
      <c r="C680" s="1">
        <v>24993107305</v>
      </c>
      <c r="D680" s="1"/>
      <c r="E680" s="1">
        <v>68</v>
      </c>
      <c r="F680" s="1">
        <v>29</v>
      </c>
      <c r="G680" s="1" t="s">
        <v>38</v>
      </c>
      <c r="H680" s="1" t="s">
        <v>2329</v>
      </c>
      <c r="I680" s="1" t="s">
        <v>46</v>
      </c>
      <c r="J680" s="1" t="s">
        <v>40</v>
      </c>
      <c r="K680" s="1"/>
      <c r="L680" s="1"/>
    </row>
    <row r="681" spans="1:12" s="32" customFormat="1" hidden="1" x14ac:dyDescent="0.3">
      <c r="A681" s="37">
        <v>46135.68377314815</v>
      </c>
      <c r="B681" s="1" t="s">
        <v>37</v>
      </c>
      <c r="C681" s="1">
        <v>24999187017</v>
      </c>
      <c r="D681" s="1"/>
      <c r="E681" s="1">
        <v>2</v>
      </c>
      <c r="F681" s="1">
        <v>0</v>
      </c>
      <c r="G681" s="1" t="s">
        <v>47</v>
      </c>
      <c r="H681" s="1" t="s">
        <v>2330</v>
      </c>
      <c r="I681" s="1" t="s">
        <v>46</v>
      </c>
      <c r="J681" s="1" t="s">
        <v>40</v>
      </c>
      <c r="K681" s="1"/>
      <c r="L681" s="1"/>
    </row>
    <row r="682" spans="1:12" s="32" customFormat="1" hidden="1" x14ac:dyDescent="0.3">
      <c r="A682" s="37">
        <v>46135.683657407404</v>
      </c>
      <c r="B682" s="1">
        <v>4331622700</v>
      </c>
      <c r="C682" s="1" t="s">
        <v>45</v>
      </c>
      <c r="D682" s="1">
        <v>4430265054</v>
      </c>
      <c r="E682" s="1">
        <v>210</v>
      </c>
      <c r="F682" s="1">
        <v>165</v>
      </c>
      <c r="G682" s="1" t="s">
        <v>38</v>
      </c>
      <c r="H682" s="1" t="s">
        <v>2331</v>
      </c>
      <c r="I682" s="1" t="s">
        <v>39</v>
      </c>
      <c r="J682" s="1" t="s">
        <v>40</v>
      </c>
      <c r="K682" s="1" t="s">
        <v>41</v>
      </c>
      <c r="L682" s="1">
        <v>5</v>
      </c>
    </row>
    <row r="683" spans="1:12" s="32" customFormat="1" hidden="1" x14ac:dyDescent="0.3">
      <c r="A683" s="37">
        <v>46135.682974537034</v>
      </c>
      <c r="B683" s="1" t="s">
        <v>37</v>
      </c>
      <c r="C683" s="1">
        <v>24999187017</v>
      </c>
      <c r="D683" s="1"/>
      <c r="E683" s="1">
        <v>3</v>
      </c>
      <c r="F683" s="1">
        <v>0</v>
      </c>
      <c r="G683" s="1" t="s">
        <v>47</v>
      </c>
      <c r="H683" s="1" t="s">
        <v>2332</v>
      </c>
      <c r="I683" s="1" t="s">
        <v>46</v>
      </c>
      <c r="J683" s="1" t="s">
        <v>40</v>
      </c>
      <c r="K683" s="1"/>
      <c r="L683" s="1"/>
    </row>
    <row r="684" spans="1:12" s="32" customFormat="1" hidden="1" x14ac:dyDescent="0.3">
      <c r="A684" s="37">
        <v>46135.682881944442</v>
      </c>
      <c r="B684" s="1" t="s">
        <v>37</v>
      </c>
      <c r="C684" s="1">
        <v>24999187017</v>
      </c>
      <c r="D684" s="1"/>
      <c r="E684" s="1">
        <v>5</v>
      </c>
      <c r="F684" s="1">
        <v>0</v>
      </c>
      <c r="G684" s="1" t="s">
        <v>47</v>
      </c>
      <c r="H684" s="1" t="s">
        <v>2333</v>
      </c>
      <c r="I684" s="1" t="s">
        <v>46</v>
      </c>
      <c r="J684" s="1" t="s">
        <v>40</v>
      </c>
      <c r="K684" s="1"/>
      <c r="L684" s="1"/>
    </row>
    <row r="685" spans="1:12" s="32" customFormat="1" hidden="1" x14ac:dyDescent="0.3">
      <c r="A685" s="37">
        <v>46135.6799537037</v>
      </c>
      <c r="B685" s="1" t="s">
        <v>48</v>
      </c>
      <c r="C685" s="1">
        <v>4436291513</v>
      </c>
      <c r="D685" s="1"/>
      <c r="E685" s="1">
        <v>63</v>
      </c>
      <c r="F685" s="1">
        <v>53</v>
      </c>
      <c r="G685" s="1" t="s">
        <v>38</v>
      </c>
      <c r="H685" s="1" t="s">
        <v>2334</v>
      </c>
      <c r="I685" s="1" t="s">
        <v>46</v>
      </c>
      <c r="J685" s="1" t="s">
        <v>40</v>
      </c>
      <c r="K685" s="1"/>
      <c r="L685" s="1"/>
    </row>
    <row r="686" spans="1:12" s="32" customFormat="1" hidden="1" x14ac:dyDescent="0.3">
      <c r="A686" s="37">
        <v>46135.679548611108</v>
      </c>
      <c r="B686" s="1" t="s">
        <v>48</v>
      </c>
      <c r="C686" s="1">
        <v>44998267320</v>
      </c>
      <c r="D686" s="1"/>
      <c r="E686" s="1">
        <v>4</v>
      </c>
      <c r="F686" s="1">
        <v>0</v>
      </c>
      <c r="G686" s="1" t="s">
        <v>47</v>
      </c>
      <c r="H686" s="1" t="s">
        <v>2335</v>
      </c>
      <c r="I686" s="1" t="s">
        <v>46</v>
      </c>
      <c r="J686" s="1" t="s">
        <v>40</v>
      </c>
      <c r="K686" s="1"/>
      <c r="L686" s="1"/>
    </row>
    <row r="687" spans="1:12" s="32" customFormat="1" hidden="1" x14ac:dyDescent="0.3">
      <c r="A687" s="37">
        <v>46135.679502314815</v>
      </c>
      <c r="B687" s="1" t="s">
        <v>48</v>
      </c>
      <c r="C687" s="1">
        <v>4436293259</v>
      </c>
      <c r="D687" s="1"/>
      <c r="E687" s="1">
        <v>0</v>
      </c>
      <c r="F687" s="1">
        <v>0</v>
      </c>
      <c r="G687" s="1" t="s">
        <v>47</v>
      </c>
      <c r="H687" s="1" t="s">
        <v>2336</v>
      </c>
      <c r="I687" s="1" t="s">
        <v>46</v>
      </c>
      <c r="J687" s="1" t="s">
        <v>40</v>
      </c>
      <c r="K687" s="1"/>
      <c r="L687" s="1"/>
    </row>
    <row r="688" spans="1:12" s="32" customFormat="1" hidden="1" x14ac:dyDescent="0.3">
      <c r="A688" s="37">
        <v>46135.679432870369</v>
      </c>
      <c r="B688" s="1" t="s">
        <v>48</v>
      </c>
      <c r="C688" s="1">
        <v>4436293259</v>
      </c>
      <c r="D688" s="1"/>
      <c r="E688" s="1">
        <v>26</v>
      </c>
      <c r="F688" s="1">
        <v>25</v>
      </c>
      <c r="G688" s="1" t="s">
        <v>38</v>
      </c>
      <c r="H688" s="1" t="s">
        <v>2337</v>
      </c>
      <c r="I688" s="1" t="s">
        <v>46</v>
      </c>
      <c r="J688" s="1" t="s">
        <v>40</v>
      </c>
      <c r="K688" s="1"/>
      <c r="L688" s="1"/>
    </row>
    <row r="689" spans="1:12" s="32" customFormat="1" hidden="1" x14ac:dyDescent="0.3">
      <c r="A689" s="37">
        <v>46135.679178240738</v>
      </c>
      <c r="B689" s="1" t="s">
        <v>48</v>
      </c>
      <c r="C689" s="1">
        <v>4436293259</v>
      </c>
      <c r="D689" s="1"/>
      <c r="E689" s="1">
        <v>1</v>
      </c>
      <c r="F689" s="1">
        <v>0</v>
      </c>
      <c r="G689" s="1" t="s">
        <v>47</v>
      </c>
      <c r="H689" s="1" t="s">
        <v>2338</v>
      </c>
      <c r="I689" s="1" t="s">
        <v>46</v>
      </c>
      <c r="J689" s="1" t="s">
        <v>40</v>
      </c>
      <c r="K689" s="1"/>
      <c r="L689" s="1"/>
    </row>
    <row r="690" spans="1:12" s="32" customFormat="1" hidden="1" x14ac:dyDescent="0.3">
      <c r="A690" s="37">
        <v>46135.678842592592</v>
      </c>
      <c r="B690" s="1" t="s">
        <v>48</v>
      </c>
      <c r="C690" s="1">
        <v>4436293259</v>
      </c>
      <c r="D690" s="1"/>
      <c r="E690" s="1">
        <v>0</v>
      </c>
      <c r="F690" s="1">
        <v>0</v>
      </c>
      <c r="G690" s="1" t="s">
        <v>47</v>
      </c>
      <c r="H690" s="1" t="s">
        <v>2339</v>
      </c>
      <c r="I690" s="1" t="s">
        <v>46</v>
      </c>
      <c r="J690" s="1" t="s">
        <v>40</v>
      </c>
      <c r="K690" s="1"/>
      <c r="L690" s="1"/>
    </row>
    <row r="691" spans="1:12" s="32" customFormat="1" hidden="1" x14ac:dyDescent="0.3">
      <c r="A691" s="37">
        <v>46135.677789351852</v>
      </c>
      <c r="B691" s="1" t="s">
        <v>48</v>
      </c>
      <c r="C691" s="1">
        <v>4436293259</v>
      </c>
      <c r="D691" s="1"/>
      <c r="E691" s="1">
        <v>0</v>
      </c>
      <c r="F691" s="1">
        <v>0</v>
      </c>
      <c r="G691" s="1" t="s">
        <v>47</v>
      </c>
      <c r="H691" s="1" t="s">
        <v>2340</v>
      </c>
      <c r="I691" s="1" t="s">
        <v>46</v>
      </c>
      <c r="J691" s="1" t="s">
        <v>40</v>
      </c>
      <c r="K691" s="1"/>
      <c r="L691" s="1"/>
    </row>
    <row r="692" spans="1:12" s="32" customFormat="1" hidden="1" x14ac:dyDescent="0.3">
      <c r="A692" s="37">
        <v>46135.677557870367</v>
      </c>
      <c r="B692" s="1" t="s">
        <v>48</v>
      </c>
      <c r="C692" s="1">
        <v>4436293259</v>
      </c>
      <c r="D692" s="1"/>
      <c r="E692" s="1">
        <v>1</v>
      </c>
      <c r="F692" s="1">
        <v>0</v>
      </c>
      <c r="G692" s="1" t="s">
        <v>47</v>
      </c>
      <c r="H692" s="1" t="s">
        <v>2341</v>
      </c>
      <c r="I692" s="1" t="s">
        <v>46</v>
      </c>
      <c r="J692" s="1" t="s">
        <v>40</v>
      </c>
      <c r="K692" s="1"/>
      <c r="L692" s="1"/>
    </row>
    <row r="693" spans="1:12" s="32" customFormat="1" hidden="1" x14ac:dyDescent="0.3">
      <c r="A693" s="37">
        <v>46135.677442129629</v>
      </c>
      <c r="B693" s="1" t="s">
        <v>48</v>
      </c>
      <c r="C693" s="1">
        <v>4436293259</v>
      </c>
      <c r="D693" s="1"/>
      <c r="E693" s="1">
        <v>0</v>
      </c>
      <c r="F693" s="1">
        <v>0</v>
      </c>
      <c r="G693" s="1" t="s">
        <v>47</v>
      </c>
      <c r="H693" s="1" t="s">
        <v>2342</v>
      </c>
      <c r="I693" s="1" t="s">
        <v>46</v>
      </c>
      <c r="J693" s="1" t="s">
        <v>40</v>
      </c>
      <c r="K693" s="1"/>
      <c r="L693" s="1"/>
    </row>
    <row r="694" spans="1:12" s="32" customFormat="1" hidden="1" x14ac:dyDescent="0.3">
      <c r="A694" s="37">
        <v>46135.677233796298</v>
      </c>
      <c r="B694" s="1" t="s">
        <v>54</v>
      </c>
      <c r="C694" s="1">
        <v>22999990615</v>
      </c>
      <c r="D694" s="1"/>
      <c r="E694" s="1">
        <v>16</v>
      </c>
      <c r="F694" s="1">
        <v>9</v>
      </c>
      <c r="G694" s="1" t="s">
        <v>38</v>
      </c>
      <c r="H694" s="1" t="s">
        <v>2343</v>
      </c>
      <c r="I694" s="1" t="s">
        <v>46</v>
      </c>
      <c r="J694" s="1" t="s">
        <v>55</v>
      </c>
      <c r="K694" s="1"/>
      <c r="L694" s="1"/>
    </row>
    <row r="695" spans="1:12" s="32" customFormat="1" hidden="1" x14ac:dyDescent="0.3">
      <c r="A695" s="37">
        <v>46135.662037037036</v>
      </c>
      <c r="B695" s="1">
        <v>44999497001</v>
      </c>
      <c r="C695" s="1" t="s">
        <v>44</v>
      </c>
      <c r="D695" s="1">
        <v>4430265054</v>
      </c>
      <c r="E695" s="1">
        <v>390</v>
      </c>
      <c r="F695" s="1">
        <v>329</v>
      </c>
      <c r="G695" s="1" t="s">
        <v>38</v>
      </c>
      <c r="H695" s="1" t="s">
        <v>2344</v>
      </c>
      <c r="I695" s="1" t="s">
        <v>39</v>
      </c>
      <c r="J695" s="1" t="s">
        <v>40</v>
      </c>
      <c r="K695" s="1" t="s">
        <v>41</v>
      </c>
      <c r="L695" s="1">
        <v>5</v>
      </c>
    </row>
    <row r="696" spans="1:12" s="32" customFormat="1" hidden="1" x14ac:dyDescent="0.3">
      <c r="A696" s="37">
        <v>46135.657349537039</v>
      </c>
      <c r="B696" s="1">
        <v>41999865917</v>
      </c>
      <c r="C696" s="1" t="s">
        <v>43</v>
      </c>
      <c r="D696" s="1">
        <v>4431268225</v>
      </c>
      <c r="E696" s="1">
        <v>283</v>
      </c>
      <c r="F696" s="1">
        <v>165</v>
      </c>
      <c r="G696" s="1" t="s">
        <v>38</v>
      </c>
      <c r="H696" s="1" t="s">
        <v>2345</v>
      </c>
      <c r="I696" s="1" t="s">
        <v>39</v>
      </c>
      <c r="J696" s="1" t="s">
        <v>40</v>
      </c>
      <c r="K696" s="1" t="s">
        <v>41</v>
      </c>
      <c r="L696" s="1"/>
    </row>
    <row r="697" spans="1:12" s="32" customFormat="1" hidden="1" x14ac:dyDescent="0.3">
      <c r="A697" s="37">
        <v>46135.64875</v>
      </c>
      <c r="B697" s="1">
        <v>41999195082</v>
      </c>
      <c r="C697" s="1" t="s">
        <v>43</v>
      </c>
      <c r="D697" s="1">
        <v>4430265054</v>
      </c>
      <c r="E697" s="1">
        <v>821</v>
      </c>
      <c r="F697" s="1">
        <v>778</v>
      </c>
      <c r="G697" s="1" t="s">
        <v>38</v>
      </c>
      <c r="H697" s="1" t="s">
        <v>2346</v>
      </c>
      <c r="I697" s="1" t="s">
        <v>39</v>
      </c>
      <c r="J697" s="1" t="s">
        <v>40</v>
      </c>
      <c r="K697" s="1" t="s">
        <v>41</v>
      </c>
      <c r="L697" s="1">
        <v>5</v>
      </c>
    </row>
    <row r="698" spans="1:12" s="32" customFormat="1" hidden="1" x14ac:dyDescent="0.3">
      <c r="A698" s="37">
        <v>46135.647905092592</v>
      </c>
      <c r="B698" s="1">
        <v>12997611769</v>
      </c>
      <c r="C698" s="1" t="s">
        <v>44</v>
      </c>
      <c r="D698" s="1">
        <v>4430265054</v>
      </c>
      <c r="E698" s="1">
        <v>557</v>
      </c>
      <c r="F698" s="1">
        <v>471</v>
      </c>
      <c r="G698" s="1" t="s">
        <v>38</v>
      </c>
      <c r="H698" s="1" t="s">
        <v>2347</v>
      </c>
      <c r="I698" s="1" t="s">
        <v>39</v>
      </c>
      <c r="J698" s="1" t="s">
        <v>40</v>
      </c>
      <c r="K698" s="1" t="s">
        <v>41</v>
      </c>
      <c r="L698" s="1">
        <v>5</v>
      </c>
    </row>
    <row r="699" spans="1:12" s="32" customFormat="1" hidden="1" x14ac:dyDescent="0.3">
      <c r="A699" s="37">
        <v>46135.646851851852</v>
      </c>
      <c r="B699" s="1">
        <v>4121410323</v>
      </c>
      <c r="C699" s="1">
        <v>4531273155</v>
      </c>
      <c r="D699" s="1">
        <v>4531273155</v>
      </c>
      <c r="E699" s="1">
        <v>46</v>
      </c>
      <c r="F699" s="1">
        <v>46</v>
      </c>
      <c r="G699" s="1" t="s">
        <v>52</v>
      </c>
      <c r="H699" s="1" t="s">
        <v>2348</v>
      </c>
      <c r="I699" s="1" t="s">
        <v>39</v>
      </c>
      <c r="J699" s="1" t="s">
        <v>53</v>
      </c>
      <c r="K699" s="1" t="s">
        <v>41</v>
      </c>
      <c r="L699" s="1"/>
    </row>
    <row r="700" spans="1:12" s="32" customFormat="1" hidden="1" x14ac:dyDescent="0.3">
      <c r="A700" s="37">
        <v>46135.646134259259</v>
      </c>
      <c r="B700" s="1" t="s">
        <v>43</v>
      </c>
      <c r="C700" s="1">
        <v>4434239353</v>
      </c>
      <c r="D700" s="1"/>
      <c r="E700" s="1">
        <v>255</v>
      </c>
      <c r="F700" s="1">
        <v>251</v>
      </c>
      <c r="G700" s="1" t="s">
        <v>38</v>
      </c>
      <c r="H700" s="1" t="s">
        <v>2349</v>
      </c>
      <c r="I700" s="1" t="s">
        <v>46</v>
      </c>
      <c r="J700" s="1" t="s">
        <v>40</v>
      </c>
      <c r="K700" s="1"/>
      <c r="L700" s="1"/>
    </row>
    <row r="701" spans="1:12" s="32" customFormat="1" hidden="1" x14ac:dyDescent="0.3">
      <c r="A701" s="37">
        <v>46135.643750000003</v>
      </c>
      <c r="B701" s="1">
        <v>11934552189</v>
      </c>
      <c r="C701" s="1" t="s">
        <v>44</v>
      </c>
      <c r="D701" s="1">
        <v>4430265054</v>
      </c>
      <c r="E701" s="1">
        <v>140</v>
      </c>
      <c r="F701" s="1">
        <v>81</v>
      </c>
      <c r="G701" s="1" t="s">
        <v>38</v>
      </c>
      <c r="H701" s="1" t="s">
        <v>2350</v>
      </c>
      <c r="I701" s="1" t="s">
        <v>39</v>
      </c>
      <c r="J701" s="1" t="s">
        <v>40</v>
      </c>
      <c r="K701" s="1" t="s">
        <v>41</v>
      </c>
      <c r="L701" s="1"/>
    </row>
    <row r="702" spans="1:12" s="32" customFormat="1" hidden="1" x14ac:dyDescent="0.3">
      <c r="A702" s="37">
        <v>46135.642488425925</v>
      </c>
      <c r="B702" s="1">
        <v>1120489171</v>
      </c>
      <c r="C702" s="1">
        <v>4430265054</v>
      </c>
      <c r="D702" s="1">
        <v>4430265054</v>
      </c>
      <c r="E702" s="1">
        <v>20</v>
      </c>
      <c r="F702" s="1">
        <v>19</v>
      </c>
      <c r="G702" s="1" t="s">
        <v>52</v>
      </c>
      <c r="H702" s="1" t="s">
        <v>2351</v>
      </c>
      <c r="I702" s="1" t="s">
        <v>39</v>
      </c>
      <c r="J702" s="1" t="s">
        <v>53</v>
      </c>
      <c r="K702" s="1"/>
      <c r="L702" s="1"/>
    </row>
    <row r="703" spans="1:12" s="32" customFormat="1" hidden="1" x14ac:dyDescent="0.3">
      <c r="A703" s="37">
        <v>46135.642071759263</v>
      </c>
      <c r="B703" s="1" t="s">
        <v>43</v>
      </c>
      <c r="C703" s="1">
        <v>11962191816</v>
      </c>
      <c r="D703" s="1"/>
      <c r="E703" s="1">
        <v>229</v>
      </c>
      <c r="F703" s="1">
        <v>222</v>
      </c>
      <c r="G703" s="1" t="s">
        <v>38</v>
      </c>
      <c r="H703" s="1" t="s">
        <v>2352</v>
      </c>
      <c r="I703" s="1" t="s">
        <v>46</v>
      </c>
      <c r="J703" s="1" t="s">
        <v>40</v>
      </c>
      <c r="K703" s="1"/>
      <c r="L703" s="1"/>
    </row>
    <row r="704" spans="1:12" s="32" customFormat="1" hidden="1" x14ac:dyDescent="0.3">
      <c r="A704" s="37">
        <v>46135.641203703701</v>
      </c>
      <c r="B704" s="1">
        <v>44991484476</v>
      </c>
      <c r="C704" s="1" t="s">
        <v>45</v>
      </c>
      <c r="D704" s="1">
        <v>4430265054</v>
      </c>
      <c r="E704" s="1">
        <v>637</v>
      </c>
      <c r="F704" s="1">
        <v>528</v>
      </c>
      <c r="G704" s="1" t="s">
        <v>38</v>
      </c>
      <c r="H704" s="1" t="s">
        <v>2353</v>
      </c>
      <c r="I704" s="1" t="s">
        <v>39</v>
      </c>
      <c r="J704" s="1" t="s">
        <v>40</v>
      </c>
      <c r="K704" s="1" t="s">
        <v>41</v>
      </c>
      <c r="L704" s="1"/>
    </row>
    <row r="705" spans="1:12" s="32" customFormat="1" hidden="1" x14ac:dyDescent="0.3">
      <c r="A705" s="37">
        <v>46135.640821759262</v>
      </c>
      <c r="B705" s="1">
        <v>4133491428</v>
      </c>
      <c r="C705" s="1" t="s">
        <v>37</v>
      </c>
      <c r="D705" s="1">
        <v>4430265054</v>
      </c>
      <c r="E705" s="1">
        <v>1523</v>
      </c>
      <c r="F705" s="1">
        <v>1493</v>
      </c>
      <c r="G705" s="1" t="s">
        <v>38</v>
      </c>
      <c r="H705" s="1" t="s">
        <v>2354</v>
      </c>
      <c r="I705" s="1" t="s">
        <v>39</v>
      </c>
      <c r="J705" s="1" t="s">
        <v>40</v>
      </c>
      <c r="K705" s="1" t="s">
        <v>41</v>
      </c>
      <c r="L705" s="1"/>
    </row>
    <row r="706" spans="1:12" s="32" customFormat="1" hidden="1" x14ac:dyDescent="0.3">
      <c r="A706" s="37">
        <v>46135.639409722222</v>
      </c>
      <c r="B706" s="1">
        <v>4430191401</v>
      </c>
      <c r="C706" s="1" t="s">
        <v>37</v>
      </c>
      <c r="D706" s="1">
        <v>4430265054</v>
      </c>
      <c r="E706" s="1">
        <v>138</v>
      </c>
      <c r="F706" s="1">
        <v>3</v>
      </c>
      <c r="G706" s="1" t="s">
        <v>38</v>
      </c>
      <c r="H706" s="1" t="s">
        <v>2355</v>
      </c>
      <c r="I706" s="1" t="s">
        <v>39</v>
      </c>
      <c r="J706" s="1" t="s">
        <v>40</v>
      </c>
      <c r="K706" s="1" t="s">
        <v>41</v>
      </c>
      <c r="L706" s="1"/>
    </row>
    <row r="707" spans="1:12" s="32" customFormat="1" hidden="1" x14ac:dyDescent="0.3">
      <c r="A707" s="37">
        <v>46135.637754629628</v>
      </c>
      <c r="B707" s="1">
        <v>4121413772</v>
      </c>
      <c r="C707" s="1" t="s">
        <v>45</v>
      </c>
      <c r="D707" s="1">
        <v>4531273156</v>
      </c>
      <c r="E707" s="1">
        <v>46</v>
      </c>
      <c r="F707" s="1">
        <v>7</v>
      </c>
      <c r="G707" s="1" t="s">
        <v>38</v>
      </c>
      <c r="H707" s="1" t="s">
        <v>2356</v>
      </c>
      <c r="I707" s="1" t="s">
        <v>39</v>
      </c>
      <c r="J707" s="1" t="s">
        <v>40</v>
      </c>
      <c r="K707" s="1" t="s">
        <v>41</v>
      </c>
      <c r="L707" s="1"/>
    </row>
    <row r="708" spans="1:12" s="32" customFormat="1" hidden="1" x14ac:dyDescent="0.3">
      <c r="A708" s="37">
        <v>46135.637650462966</v>
      </c>
      <c r="B708" s="1" t="s">
        <v>43</v>
      </c>
      <c r="C708" s="1">
        <v>11962191816</v>
      </c>
      <c r="D708" s="1"/>
      <c r="E708" s="1">
        <v>371</v>
      </c>
      <c r="F708" s="1">
        <v>360</v>
      </c>
      <c r="G708" s="1" t="s">
        <v>38</v>
      </c>
      <c r="H708" s="1" t="s">
        <v>2357</v>
      </c>
      <c r="I708" s="1" t="s">
        <v>46</v>
      </c>
      <c r="J708" s="1" t="s">
        <v>40</v>
      </c>
      <c r="K708" s="1"/>
      <c r="L708" s="1"/>
    </row>
    <row r="709" spans="1:12" s="32" customFormat="1" hidden="1" x14ac:dyDescent="0.3">
      <c r="A709" s="37">
        <v>46135.631168981483</v>
      </c>
      <c r="B709" s="1">
        <v>4430141533</v>
      </c>
      <c r="C709" s="1">
        <v>4430265054</v>
      </c>
      <c r="D709" s="1">
        <v>4430265054</v>
      </c>
      <c r="E709" s="1">
        <v>24</v>
      </c>
      <c r="F709" s="1">
        <v>23</v>
      </c>
      <c r="G709" s="1" t="s">
        <v>52</v>
      </c>
      <c r="H709" s="1" t="s">
        <v>2358</v>
      </c>
      <c r="I709" s="1" t="s">
        <v>39</v>
      </c>
      <c r="J709" s="1" t="s">
        <v>53</v>
      </c>
      <c r="K709" s="1"/>
      <c r="L709" s="1"/>
    </row>
    <row r="710" spans="1:12" s="32" customFormat="1" hidden="1" x14ac:dyDescent="0.3">
      <c r="A710" s="37">
        <v>46135.630682870367</v>
      </c>
      <c r="B710" s="1" t="s">
        <v>54</v>
      </c>
      <c r="C710" s="1">
        <v>83998843310</v>
      </c>
      <c r="D710" s="1"/>
      <c r="E710" s="1">
        <v>8</v>
      </c>
      <c r="F710" s="1">
        <v>0</v>
      </c>
      <c r="G710" s="1" t="s">
        <v>47</v>
      </c>
      <c r="H710" s="1" t="s">
        <v>2359</v>
      </c>
      <c r="I710" s="1" t="s">
        <v>46</v>
      </c>
      <c r="J710" s="1" t="s">
        <v>55</v>
      </c>
      <c r="K710" s="1"/>
      <c r="L710" s="1"/>
    </row>
    <row r="711" spans="1:12" s="32" customFormat="1" hidden="1" x14ac:dyDescent="0.3">
      <c r="A711" s="37">
        <v>46135.630069444444</v>
      </c>
      <c r="B711" s="1" t="s">
        <v>48</v>
      </c>
      <c r="C711" s="1">
        <v>44997343311</v>
      </c>
      <c r="D711" s="1"/>
      <c r="E711" s="1">
        <v>293</v>
      </c>
      <c r="F711" s="1">
        <v>288</v>
      </c>
      <c r="G711" s="1" t="s">
        <v>38</v>
      </c>
      <c r="H711" s="1" t="s">
        <v>2360</v>
      </c>
      <c r="I711" s="1" t="s">
        <v>46</v>
      </c>
      <c r="J711" s="1" t="s">
        <v>40</v>
      </c>
      <c r="K711" s="1"/>
      <c r="L711" s="1"/>
    </row>
    <row r="712" spans="1:12" s="32" customFormat="1" hidden="1" x14ac:dyDescent="0.3">
      <c r="A712" s="37">
        <v>46135.629791666666</v>
      </c>
      <c r="B712" s="1" t="s">
        <v>48</v>
      </c>
      <c r="C712" s="1">
        <v>44997343311</v>
      </c>
      <c r="D712" s="1"/>
      <c r="E712" s="1">
        <v>17</v>
      </c>
      <c r="F712" s="1">
        <v>0</v>
      </c>
      <c r="G712" s="1" t="s">
        <v>47</v>
      </c>
      <c r="H712" s="1" t="s">
        <v>2361</v>
      </c>
      <c r="I712" s="1" t="s">
        <v>46</v>
      </c>
      <c r="J712" s="1" t="s">
        <v>40</v>
      </c>
      <c r="K712" s="1"/>
      <c r="L712" s="1"/>
    </row>
    <row r="713" spans="1:12" s="32" customFormat="1" hidden="1" x14ac:dyDescent="0.3">
      <c r="A713" s="37">
        <v>46135.628912037035</v>
      </c>
      <c r="B713" s="1" t="s">
        <v>43</v>
      </c>
      <c r="C713" s="1">
        <v>11962191816</v>
      </c>
      <c r="D713" s="1"/>
      <c r="E713" s="1">
        <v>739</v>
      </c>
      <c r="F713" s="1">
        <v>720</v>
      </c>
      <c r="G713" s="1" t="s">
        <v>38</v>
      </c>
      <c r="H713" s="1" t="s">
        <v>2362</v>
      </c>
      <c r="I713" s="1" t="s">
        <v>46</v>
      </c>
      <c r="J713" s="1" t="s">
        <v>40</v>
      </c>
      <c r="K713" s="1"/>
      <c r="L713" s="1"/>
    </row>
    <row r="714" spans="1:12" s="32" customFormat="1" hidden="1" x14ac:dyDescent="0.3">
      <c r="A714" s="37">
        <v>46135.628391203703</v>
      </c>
      <c r="B714" s="1" t="s">
        <v>54</v>
      </c>
      <c r="C714" s="1">
        <v>34996812414</v>
      </c>
      <c r="D714" s="1"/>
      <c r="E714" s="1">
        <v>9</v>
      </c>
      <c r="F714" s="1">
        <v>5</v>
      </c>
      <c r="G714" s="1" t="s">
        <v>38</v>
      </c>
      <c r="H714" s="1" t="s">
        <v>2363</v>
      </c>
      <c r="I714" s="1" t="s">
        <v>46</v>
      </c>
      <c r="J714" s="1" t="s">
        <v>55</v>
      </c>
      <c r="K714" s="1"/>
      <c r="L714" s="1"/>
    </row>
    <row r="715" spans="1:12" s="32" customFormat="1" hidden="1" x14ac:dyDescent="0.3">
      <c r="A715" s="37">
        <v>46135.627812500003</v>
      </c>
      <c r="B715" s="1">
        <v>1120489278</v>
      </c>
      <c r="C715" s="1">
        <v>4430265054</v>
      </c>
      <c r="D715" s="1">
        <v>4430265054</v>
      </c>
      <c r="E715" s="1">
        <v>51</v>
      </c>
      <c r="F715" s="1">
        <v>51</v>
      </c>
      <c r="G715" s="1" t="s">
        <v>52</v>
      </c>
      <c r="H715" s="1" t="s">
        <v>2364</v>
      </c>
      <c r="I715" s="1" t="s">
        <v>39</v>
      </c>
      <c r="J715" s="1" t="s">
        <v>53</v>
      </c>
      <c r="K715" s="1" t="s">
        <v>41</v>
      </c>
      <c r="L715" s="1"/>
    </row>
    <row r="716" spans="1:12" s="32" customFormat="1" hidden="1" x14ac:dyDescent="0.3">
      <c r="A716" s="37">
        <v>46135.627222222225</v>
      </c>
      <c r="B716" s="1" t="s">
        <v>54</v>
      </c>
      <c r="C716" s="1">
        <v>11971752655</v>
      </c>
      <c r="D716" s="1"/>
      <c r="E716" s="1">
        <v>26</v>
      </c>
      <c r="F716" s="1">
        <v>8</v>
      </c>
      <c r="G716" s="1" t="s">
        <v>38</v>
      </c>
      <c r="H716" s="1" t="s">
        <v>2365</v>
      </c>
      <c r="I716" s="1" t="s">
        <v>46</v>
      </c>
      <c r="J716" s="1" t="s">
        <v>55</v>
      </c>
      <c r="K716" s="1"/>
      <c r="L716" s="1"/>
    </row>
    <row r="717" spans="1:12" s="32" customFormat="1" hidden="1" x14ac:dyDescent="0.3">
      <c r="A717" s="37">
        <v>46135.624178240738</v>
      </c>
      <c r="B717" s="1">
        <v>91981481202</v>
      </c>
      <c r="C717" s="1" t="s">
        <v>44</v>
      </c>
      <c r="D717" s="1">
        <v>4430265054</v>
      </c>
      <c r="E717" s="1">
        <v>292</v>
      </c>
      <c r="F717" s="1">
        <v>219</v>
      </c>
      <c r="G717" s="1" t="s">
        <v>38</v>
      </c>
      <c r="H717" s="1" t="s">
        <v>2366</v>
      </c>
      <c r="I717" s="1" t="s">
        <v>39</v>
      </c>
      <c r="J717" s="1" t="s">
        <v>40</v>
      </c>
      <c r="K717" s="1" t="s">
        <v>41</v>
      </c>
      <c r="L717" s="1"/>
    </row>
    <row r="718" spans="1:12" s="32" customFormat="1" hidden="1" x14ac:dyDescent="0.3">
      <c r="A718" s="37">
        <v>46135.624039351853</v>
      </c>
      <c r="B718" s="1" t="s">
        <v>54</v>
      </c>
      <c r="C718" s="1">
        <v>51992006973</v>
      </c>
      <c r="D718" s="1"/>
      <c r="E718" s="1">
        <v>29</v>
      </c>
      <c r="F718" s="1">
        <v>0</v>
      </c>
      <c r="G718" s="1" t="s">
        <v>47</v>
      </c>
      <c r="H718" s="1" t="s">
        <v>2367</v>
      </c>
      <c r="I718" s="1" t="s">
        <v>46</v>
      </c>
      <c r="J718" s="1" t="s">
        <v>55</v>
      </c>
      <c r="K718" s="1"/>
      <c r="L718" s="1"/>
    </row>
    <row r="719" spans="1:12" s="32" customFormat="1" hidden="1" x14ac:dyDescent="0.3">
      <c r="A719" s="37">
        <v>46135.623611111114</v>
      </c>
      <c r="B719" s="1">
        <v>4434239353</v>
      </c>
      <c r="C719" s="1" t="s">
        <v>37</v>
      </c>
      <c r="D719" s="1">
        <v>4430265054</v>
      </c>
      <c r="E719" s="1">
        <v>150</v>
      </c>
      <c r="F719" s="1">
        <v>50</v>
      </c>
      <c r="G719" s="1" t="s">
        <v>38</v>
      </c>
      <c r="H719" s="1" t="s">
        <v>2368</v>
      </c>
      <c r="I719" s="1" t="s">
        <v>39</v>
      </c>
      <c r="J719" s="1" t="s">
        <v>40</v>
      </c>
      <c r="K719" s="1" t="s">
        <v>41</v>
      </c>
      <c r="L719" s="1"/>
    </row>
    <row r="720" spans="1:12" s="32" customFormat="1" hidden="1" x14ac:dyDescent="0.3">
      <c r="A720" s="37">
        <v>46135.623159722221</v>
      </c>
      <c r="B720" s="1" t="s">
        <v>54</v>
      </c>
      <c r="C720" s="1">
        <v>95991222326</v>
      </c>
      <c r="D720" s="1"/>
      <c r="E720" s="1">
        <v>23</v>
      </c>
      <c r="F720" s="1">
        <v>8</v>
      </c>
      <c r="G720" s="1" t="s">
        <v>38</v>
      </c>
      <c r="H720" s="1" t="s">
        <v>2369</v>
      </c>
      <c r="I720" s="1" t="s">
        <v>46</v>
      </c>
      <c r="J720" s="1" t="s">
        <v>55</v>
      </c>
      <c r="K720" s="1"/>
      <c r="L720" s="1"/>
    </row>
    <row r="721" spans="1:12" s="32" customFormat="1" hidden="1" x14ac:dyDescent="0.3">
      <c r="A721" s="37">
        <v>46135.621342592596</v>
      </c>
      <c r="B721" s="1" t="s">
        <v>54</v>
      </c>
      <c r="C721" s="1">
        <v>67996424591</v>
      </c>
      <c r="D721" s="1"/>
      <c r="E721" s="1">
        <v>26</v>
      </c>
      <c r="F721" s="1">
        <v>0</v>
      </c>
      <c r="G721" s="1" t="s">
        <v>47</v>
      </c>
      <c r="H721" s="1" t="s">
        <v>2370</v>
      </c>
      <c r="I721" s="1" t="s">
        <v>46</v>
      </c>
      <c r="J721" s="1" t="s">
        <v>55</v>
      </c>
      <c r="K721" s="1"/>
      <c r="L721" s="1"/>
    </row>
    <row r="722" spans="1:12" s="32" customFormat="1" hidden="1" x14ac:dyDescent="0.3">
      <c r="A722" s="37">
        <v>46135.62054398148</v>
      </c>
      <c r="B722" s="1" t="s">
        <v>54</v>
      </c>
      <c r="C722" s="1">
        <v>92988374562</v>
      </c>
      <c r="D722" s="1"/>
      <c r="E722" s="1">
        <v>4</v>
      </c>
      <c r="F722" s="1">
        <v>0</v>
      </c>
      <c r="G722" s="1" t="s">
        <v>47</v>
      </c>
      <c r="H722" s="1" t="s">
        <v>2371</v>
      </c>
      <c r="I722" s="1" t="s">
        <v>46</v>
      </c>
      <c r="J722" s="1" t="s">
        <v>55</v>
      </c>
      <c r="K722" s="1"/>
      <c r="L722" s="1"/>
    </row>
    <row r="723" spans="1:12" s="32" customFormat="1" hidden="1" x14ac:dyDescent="0.3">
      <c r="A723" s="37">
        <v>46135.619872685187</v>
      </c>
      <c r="B723" s="1">
        <v>41999717893</v>
      </c>
      <c r="C723" s="1" t="s">
        <v>45</v>
      </c>
      <c r="D723" s="1">
        <v>4430265054</v>
      </c>
      <c r="E723" s="1">
        <v>1081</v>
      </c>
      <c r="F723" s="1">
        <v>1029</v>
      </c>
      <c r="G723" s="1" t="s">
        <v>38</v>
      </c>
      <c r="H723" s="1" t="s">
        <v>2372</v>
      </c>
      <c r="I723" s="1" t="s">
        <v>39</v>
      </c>
      <c r="J723" s="1" t="s">
        <v>40</v>
      </c>
      <c r="K723" s="1" t="s">
        <v>41</v>
      </c>
      <c r="L723" s="1">
        <v>5</v>
      </c>
    </row>
    <row r="724" spans="1:12" s="32" customFormat="1" hidden="1" x14ac:dyDescent="0.3">
      <c r="A724" s="37">
        <v>46135.618842592594</v>
      </c>
      <c r="B724" s="1" t="s">
        <v>54</v>
      </c>
      <c r="C724" s="1">
        <v>31998489612</v>
      </c>
      <c r="D724" s="1"/>
      <c r="E724" s="1">
        <v>8</v>
      </c>
      <c r="F724" s="1">
        <v>0</v>
      </c>
      <c r="G724" s="1" t="s">
        <v>47</v>
      </c>
      <c r="H724" s="1" t="s">
        <v>2373</v>
      </c>
      <c r="I724" s="1" t="s">
        <v>46</v>
      </c>
      <c r="J724" s="1" t="s">
        <v>55</v>
      </c>
      <c r="K724" s="1"/>
      <c r="L724" s="1"/>
    </row>
    <row r="725" spans="1:12" s="32" customFormat="1" hidden="1" x14ac:dyDescent="0.3">
      <c r="A725" s="37">
        <v>46135.616550925923</v>
      </c>
      <c r="B725" s="1" t="s">
        <v>54</v>
      </c>
      <c r="C725" s="1">
        <v>14996180752</v>
      </c>
      <c r="D725" s="1"/>
      <c r="E725" s="1">
        <v>13</v>
      </c>
      <c r="F725" s="1">
        <v>3</v>
      </c>
      <c r="G725" s="1" t="s">
        <v>38</v>
      </c>
      <c r="H725" s="1" t="s">
        <v>2374</v>
      </c>
      <c r="I725" s="1" t="s">
        <v>46</v>
      </c>
      <c r="J725" s="1" t="s">
        <v>55</v>
      </c>
      <c r="K725" s="1"/>
      <c r="L725" s="1"/>
    </row>
    <row r="726" spans="1:12" s="32" customFormat="1" hidden="1" x14ac:dyDescent="0.3">
      <c r="A726" s="37">
        <v>46135.61577546296</v>
      </c>
      <c r="B726" s="1" t="s">
        <v>54</v>
      </c>
      <c r="C726" s="1">
        <v>54991677774</v>
      </c>
      <c r="D726" s="1"/>
      <c r="E726" s="1">
        <v>11</v>
      </c>
      <c r="F726" s="1">
        <v>0</v>
      </c>
      <c r="G726" s="1" t="s">
        <v>47</v>
      </c>
      <c r="H726" s="1" t="s">
        <v>2375</v>
      </c>
      <c r="I726" s="1" t="s">
        <v>46</v>
      </c>
      <c r="J726" s="1" t="s">
        <v>55</v>
      </c>
      <c r="K726" s="1"/>
      <c r="L726" s="1"/>
    </row>
    <row r="727" spans="1:12" s="32" customFormat="1" hidden="1" x14ac:dyDescent="0.3">
      <c r="A727" s="37">
        <v>46135.614733796298</v>
      </c>
      <c r="B727" s="1" t="s">
        <v>54</v>
      </c>
      <c r="C727" s="1">
        <v>31994984967</v>
      </c>
      <c r="D727" s="1"/>
      <c r="E727" s="1">
        <v>9</v>
      </c>
      <c r="F727" s="1">
        <v>1</v>
      </c>
      <c r="G727" s="1" t="s">
        <v>38</v>
      </c>
      <c r="H727" s="1" t="s">
        <v>2376</v>
      </c>
      <c r="I727" s="1" t="s">
        <v>46</v>
      </c>
      <c r="J727" s="1" t="s">
        <v>55</v>
      </c>
      <c r="K727" s="1"/>
      <c r="L727" s="1"/>
    </row>
    <row r="728" spans="1:12" s="32" customFormat="1" hidden="1" x14ac:dyDescent="0.3">
      <c r="A728" s="37">
        <v>46135.614571759259</v>
      </c>
      <c r="B728" s="1">
        <v>4430451163</v>
      </c>
      <c r="C728" s="1" t="s">
        <v>44</v>
      </c>
      <c r="D728" s="1">
        <v>4430265054</v>
      </c>
      <c r="E728" s="1">
        <v>429</v>
      </c>
      <c r="F728" s="1">
        <v>328</v>
      </c>
      <c r="G728" s="1" t="s">
        <v>38</v>
      </c>
      <c r="H728" s="1" t="s">
        <v>2377</v>
      </c>
      <c r="I728" s="1" t="s">
        <v>39</v>
      </c>
      <c r="J728" s="1" t="s">
        <v>40</v>
      </c>
      <c r="K728" s="1" t="s">
        <v>41</v>
      </c>
      <c r="L728" s="1"/>
    </row>
    <row r="729" spans="1:12" s="32" customFormat="1" hidden="1" x14ac:dyDescent="0.3">
      <c r="A729" s="37">
        <v>46135.613738425927</v>
      </c>
      <c r="B729" s="1">
        <v>1120489505</v>
      </c>
      <c r="C729" s="1">
        <v>4430265054</v>
      </c>
      <c r="D729" s="1">
        <v>4430265054</v>
      </c>
      <c r="E729" s="1">
        <v>14</v>
      </c>
      <c r="F729" s="1">
        <v>13</v>
      </c>
      <c r="G729" s="1" t="s">
        <v>52</v>
      </c>
      <c r="H729" s="1" t="s">
        <v>2378</v>
      </c>
      <c r="I729" s="1" t="s">
        <v>39</v>
      </c>
      <c r="J729" s="1" t="s">
        <v>53</v>
      </c>
      <c r="K729" s="1"/>
      <c r="L729" s="1"/>
    </row>
    <row r="730" spans="1:12" s="32" customFormat="1" hidden="1" x14ac:dyDescent="0.3">
      <c r="A730" s="37">
        <v>46135.613217592596</v>
      </c>
      <c r="B730" s="1" t="s">
        <v>54</v>
      </c>
      <c r="C730" s="1">
        <v>1132938969</v>
      </c>
      <c r="D730" s="1"/>
      <c r="E730" s="1">
        <v>2</v>
      </c>
      <c r="F730" s="1">
        <v>0</v>
      </c>
      <c r="G730" s="1" t="s">
        <v>47</v>
      </c>
      <c r="H730" s="1" t="s">
        <v>2379</v>
      </c>
      <c r="I730" s="1" t="s">
        <v>46</v>
      </c>
      <c r="J730" s="1" t="s">
        <v>55</v>
      </c>
      <c r="K730" s="1"/>
      <c r="L730" s="1"/>
    </row>
    <row r="731" spans="1:12" s="32" customFormat="1" hidden="1" x14ac:dyDescent="0.3">
      <c r="A731" s="37">
        <v>46135.612592592595</v>
      </c>
      <c r="B731" s="1" t="s">
        <v>54</v>
      </c>
      <c r="C731" s="1">
        <v>11952395901</v>
      </c>
      <c r="D731" s="1"/>
      <c r="E731" s="1">
        <v>4</v>
      </c>
      <c r="F731" s="1">
        <v>0</v>
      </c>
      <c r="G731" s="1" t="s">
        <v>47</v>
      </c>
      <c r="H731" s="1" t="s">
        <v>2380</v>
      </c>
      <c r="I731" s="1" t="s">
        <v>46</v>
      </c>
      <c r="J731" s="1" t="s">
        <v>55</v>
      </c>
      <c r="K731" s="1"/>
      <c r="L731" s="1"/>
    </row>
    <row r="732" spans="1:12" s="32" customFormat="1" hidden="1" x14ac:dyDescent="0.3">
      <c r="A732" s="37">
        <v>46135.610393518517</v>
      </c>
      <c r="B732" s="1">
        <v>4430253334</v>
      </c>
      <c r="C732" s="1" t="s">
        <v>45</v>
      </c>
      <c r="D732" s="1">
        <v>4430265054</v>
      </c>
      <c r="E732" s="1">
        <v>523</v>
      </c>
      <c r="F732" s="1">
        <v>495</v>
      </c>
      <c r="G732" s="1" t="s">
        <v>38</v>
      </c>
      <c r="H732" s="1" t="s">
        <v>2381</v>
      </c>
      <c r="I732" s="1" t="s">
        <v>39</v>
      </c>
      <c r="J732" s="1" t="s">
        <v>40</v>
      </c>
      <c r="K732" s="1" t="s">
        <v>41</v>
      </c>
      <c r="L732" s="1">
        <v>5</v>
      </c>
    </row>
    <row r="733" spans="1:12" s="32" customFormat="1" hidden="1" x14ac:dyDescent="0.3">
      <c r="A733" s="37">
        <v>46135.61005787037</v>
      </c>
      <c r="B733" s="1" t="s">
        <v>54</v>
      </c>
      <c r="C733" s="1">
        <v>1124110445</v>
      </c>
      <c r="D733" s="1"/>
      <c r="E733" s="1">
        <v>24</v>
      </c>
      <c r="F733" s="1">
        <v>11</v>
      </c>
      <c r="G733" s="1" t="s">
        <v>38</v>
      </c>
      <c r="H733" s="1" t="s">
        <v>2382</v>
      </c>
      <c r="I733" s="1" t="s">
        <v>46</v>
      </c>
      <c r="J733" s="1" t="s">
        <v>55</v>
      </c>
      <c r="K733" s="1"/>
      <c r="L733" s="1"/>
    </row>
    <row r="734" spans="1:12" s="32" customFormat="1" hidden="1" x14ac:dyDescent="0.3">
      <c r="A734" s="37">
        <v>46135.608854166669</v>
      </c>
      <c r="B734" s="1">
        <v>4533011420</v>
      </c>
      <c r="C734" s="1" t="s">
        <v>45</v>
      </c>
      <c r="D734" s="1">
        <v>4531273159</v>
      </c>
      <c r="E734" s="1">
        <v>47</v>
      </c>
      <c r="F734" s="1">
        <v>10</v>
      </c>
      <c r="G734" s="1" t="s">
        <v>38</v>
      </c>
      <c r="H734" s="1" t="s">
        <v>2383</v>
      </c>
      <c r="I734" s="1" t="s">
        <v>39</v>
      </c>
      <c r="J734" s="1" t="s">
        <v>40</v>
      </c>
      <c r="K734" s="1" t="s">
        <v>41</v>
      </c>
      <c r="L734" s="1"/>
    </row>
    <row r="735" spans="1:12" s="32" customFormat="1" hidden="1" x14ac:dyDescent="0.3">
      <c r="A735" s="37">
        <v>46135.606215277781</v>
      </c>
      <c r="B735" s="1">
        <v>44997343311</v>
      </c>
      <c r="C735" s="1" t="s">
        <v>45</v>
      </c>
      <c r="D735" s="1">
        <v>4430265054</v>
      </c>
      <c r="E735" s="1">
        <v>201</v>
      </c>
      <c r="F735" s="1">
        <v>77</v>
      </c>
      <c r="G735" s="1" t="s">
        <v>38</v>
      </c>
      <c r="H735" s="1" t="s">
        <v>2384</v>
      </c>
      <c r="I735" s="1" t="s">
        <v>39</v>
      </c>
      <c r="J735" s="1" t="s">
        <v>40</v>
      </c>
      <c r="K735" s="1" t="s">
        <v>41</v>
      </c>
      <c r="L735" s="1"/>
    </row>
    <row r="736" spans="1:12" s="32" customFormat="1" hidden="1" x14ac:dyDescent="0.3">
      <c r="A736" s="37">
        <v>46135.606076388889</v>
      </c>
      <c r="B736" s="1">
        <v>77999014770</v>
      </c>
      <c r="C736" s="1" t="s">
        <v>43</v>
      </c>
      <c r="D736" s="1">
        <v>4430265054</v>
      </c>
      <c r="E736" s="1">
        <v>590</v>
      </c>
      <c r="F736" s="1">
        <v>550</v>
      </c>
      <c r="G736" s="1" t="s">
        <v>38</v>
      </c>
      <c r="H736" s="1" t="s">
        <v>2385</v>
      </c>
      <c r="I736" s="1" t="s">
        <v>39</v>
      </c>
      <c r="J736" s="1" t="s">
        <v>40</v>
      </c>
      <c r="K736" s="1" t="s">
        <v>41</v>
      </c>
      <c r="L736" s="1"/>
    </row>
    <row r="737" spans="1:12" s="32" customFormat="1" hidden="1" x14ac:dyDescent="0.3">
      <c r="A737" s="37">
        <v>46135.605717592596</v>
      </c>
      <c r="B737" s="1" t="s">
        <v>54</v>
      </c>
      <c r="C737" s="1">
        <v>31983069345</v>
      </c>
      <c r="D737" s="1"/>
      <c r="E737" s="1">
        <v>20</v>
      </c>
      <c r="F737" s="1">
        <v>14</v>
      </c>
      <c r="G737" s="1" t="s">
        <v>38</v>
      </c>
      <c r="H737" s="1" t="s">
        <v>2386</v>
      </c>
      <c r="I737" s="1" t="s">
        <v>46</v>
      </c>
      <c r="J737" s="1" t="s">
        <v>55</v>
      </c>
      <c r="K737" s="1"/>
      <c r="L737" s="1"/>
    </row>
    <row r="738" spans="1:12" s="32" customFormat="1" hidden="1" x14ac:dyDescent="0.3">
      <c r="A738" s="37">
        <v>46135.605081018519</v>
      </c>
      <c r="B738" s="1">
        <v>42998221810</v>
      </c>
      <c r="C738" s="1" t="s">
        <v>44</v>
      </c>
      <c r="D738" s="1">
        <v>4430265054</v>
      </c>
      <c r="E738" s="1">
        <v>259</v>
      </c>
      <c r="F738" s="1">
        <v>225</v>
      </c>
      <c r="G738" s="1" t="s">
        <v>38</v>
      </c>
      <c r="H738" s="1" t="s">
        <v>2387</v>
      </c>
      <c r="I738" s="1" t="s">
        <v>39</v>
      </c>
      <c r="J738" s="1" t="s">
        <v>40</v>
      </c>
      <c r="K738" s="1" t="s">
        <v>41</v>
      </c>
      <c r="L738" s="1"/>
    </row>
    <row r="739" spans="1:12" s="32" customFormat="1" hidden="1" x14ac:dyDescent="0.3">
      <c r="A739" s="37">
        <v>46135.604062500002</v>
      </c>
      <c r="B739" s="1" t="s">
        <v>54</v>
      </c>
      <c r="C739" s="1">
        <v>11991064210</v>
      </c>
      <c r="D739" s="1"/>
      <c r="E739" s="1">
        <v>24</v>
      </c>
      <c r="F739" s="1">
        <v>0</v>
      </c>
      <c r="G739" s="1" t="s">
        <v>47</v>
      </c>
      <c r="H739" s="1" t="s">
        <v>2388</v>
      </c>
      <c r="I739" s="1" t="s">
        <v>46</v>
      </c>
      <c r="J739" s="1" t="s">
        <v>55</v>
      </c>
      <c r="K739" s="1"/>
      <c r="L739" s="1"/>
    </row>
    <row r="740" spans="1:12" s="32" customFormat="1" hidden="1" x14ac:dyDescent="0.3">
      <c r="A740" s="37">
        <v>46135.603148148148</v>
      </c>
      <c r="B740" s="1" t="s">
        <v>54</v>
      </c>
      <c r="C740" s="1">
        <v>11989562274</v>
      </c>
      <c r="D740" s="1"/>
      <c r="E740" s="1">
        <v>18</v>
      </c>
      <c r="F740" s="1">
        <v>4</v>
      </c>
      <c r="G740" s="1" t="s">
        <v>38</v>
      </c>
      <c r="H740" s="1" t="s">
        <v>2389</v>
      </c>
      <c r="I740" s="1" t="s">
        <v>46</v>
      </c>
      <c r="J740" s="1" t="s">
        <v>55</v>
      </c>
      <c r="K740" s="1"/>
      <c r="L740" s="1"/>
    </row>
    <row r="741" spans="1:12" s="32" customFormat="1" hidden="1" x14ac:dyDescent="0.3">
      <c r="A741" s="37">
        <v>46135.601423611108</v>
      </c>
      <c r="B741" s="1">
        <v>4532541802</v>
      </c>
      <c r="C741" s="1" t="s">
        <v>45</v>
      </c>
      <c r="D741" s="1">
        <v>4430265054</v>
      </c>
      <c r="E741" s="1">
        <v>564</v>
      </c>
      <c r="F741" s="1">
        <v>468</v>
      </c>
      <c r="G741" s="1" t="s">
        <v>38</v>
      </c>
      <c r="H741" s="1" t="s">
        <v>2390</v>
      </c>
      <c r="I741" s="1" t="s">
        <v>39</v>
      </c>
      <c r="J741" s="1" t="s">
        <v>40</v>
      </c>
      <c r="K741" s="1" t="s">
        <v>41</v>
      </c>
      <c r="L741" s="1"/>
    </row>
    <row r="742" spans="1:12" s="32" customFormat="1" x14ac:dyDescent="0.3">
      <c r="A742" s="37">
        <v>46135.601342592592</v>
      </c>
      <c r="B742" s="1">
        <v>4430315826</v>
      </c>
      <c r="C742" s="1" t="s">
        <v>37</v>
      </c>
      <c r="D742" s="1">
        <v>4430265054</v>
      </c>
      <c r="E742" s="1">
        <v>1483</v>
      </c>
      <c r="F742" s="1">
        <v>1415</v>
      </c>
      <c r="G742" s="1" t="s">
        <v>38</v>
      </c>
      <c r="H742" s="1" t="s">
        <v>2391</v>
      </c>
      <c r="I742" s="1" t="s">
        <v>39</v>
      </c>
      <c r="J742" s="1" t="s">
        <v>40</v>
      </c>
      <c r="K742" s="1" t="s">
        <v>41</v>
      </c>
      <c r="L742" s="1">
        <v>5</v>
      </c>
    </row>
    <row r="743" spans="1:12" s="32" customFormat="1" hidden="1" x14ac:dyDescent="0.3">
      <c r="A743" s="37">
        <v>46135.600462962961</v>
      </c>
      <c r="B743" s="1">
        <v>4532541802</v>
      </c>
      <c r="C743" s="1" t="s">
        <v>43</v>
      </c>
      <c r="D743" s="1">
        <v>4430265054</v>
      </c>
      <c r="E743" s="1">
        <v>70</v>
      </c>
      <c r="F743" s="1">
        <v>29</v>
      </c>
      <c r="G743" s="1" t="s">
        <v>38</v>
      </c>
      <c r="H743" s="1" t="s">
        <v>2392</v>
      </c>
      <c r="I743" s="1" t="s">
        <v>39</v>
      </c>
      <c r="J743" s="1" t="s">
        <v>40</v>
      </c>
      <c r="K743" s="1" t="s">
        <v>41</v>
      </c>
      <c r="L743" s="1"/>
    </row>
    <row r="744" spans="1:12" s="32" customFormat="1" hidden="1" x14ac:dyDescent="0.3">
      <c r="A744" s="37">
        <v>46135.598321759258</v>
      </c>
      <c r="B744" s="1">
        <v>4434221675</v>
      </c>
      <c r="C744" s="1" t="s">
        <v>43</v>
      </c>
      <c r="D744" s="1">
        <v>4430265054</v>
      </c>
      <c r="E744" s="1">
        <v>493</v>
      </c>
      <c r="F744" s="1">
        <v>461</v>
      </c>
      <c r="G744" s="1" t="s">
        <v>38</v>
      </c>
      <c r="H744" s="1" t="s">
        <v>2393</v>
      </c>
      <c r="I744" s="1" t="s">
        <v>39</v>
      </c>
      <c r="J744" s="1" t="s">
        <v>40</v>
      </c>
      <c r="K744" s="1" t="s">
        <v>41</v>
      </c>
      <c r="L744" s="1"/>
    </row>
    <row r="745" spans="1:12" s="32" customFormat="1" hidden="1" x14ac:dyDescent="0.3">
      <c r="A745" s="37">
        <v>46135.597696759258</v>
      </c>
      <c r="B745" s="1">
        <v>1122346466</v>
      </c>
      <c r="C745" s="1" t="s">
        <v>45</v>
      </c>
      <c r="D745" s="1">
        <v>4430265054</v>
      </c>
      <c r="E745" s="1">
        <v>58</v>
      </c>
      <c r="F745" s="1">
        <v>5</v>
      </c>
      <c r="G745" s="1" t="s">
        <v>38</v>
      </c>
      <c r="H745" s="1" t="s">
        <v>2394</v>
      </c>
      <c r="I745" s="1" t="s">
        <v>39</v>
      </c>
      <c r="J745" s="1" t="s">
        <v>40</v>
      </c>
      <c r="K745" s="1" t="s">
        <v>41</v>
      </c>
      <c r="L745" s="1"/>
    </row>
    <row r="746" spans="1:12" s="32" customFormat="1" hidden="1" x14ac:dyDescent="0.3">
      <c r="A746" s="37">
        <v>46135.591226851851</v>
      </c>
      <c r="B746" s="1" t="s">
        <v>37</v>
      </c>
      <c r="C746" s="1">
        <v>41998701226</v>
      </c>
      <c r="D746" s="1"/>
      <c r="E746" s="1">
        <v>533</v>
      </c>
      <c r="F746" s="1">
        <v>518</v>
      </c>
      <c r="G746" s="1" t="s">
        <v>38</v>
      </c>
      <c r="H746" s="1" t="s">
        <v>2395</v>
      </c>
      <c r="I746" s="1" t="s">
        <v>46</v>
      </c>
      <c r="J746" s="1" t="s">
        <v>40</v>
      </c>
      <c r="K746" s="1"/>
      <c r="L746" s="1"/>
    </row>
    <row r="747" spans="1:12" s="32" customFormat="1" hidden="1" x14ac:dyDescent="0.3">
      <c r="A747" s="37">
        <v>46135.591203703705</v>
      </c>
      <c r="B747" s="1">
        <v>4436311970</v>
      </c>
      <c r="C747" s="1" t="s">
        <v>44</v>
      </c>
      <c r="D747" s="1">
        <v>4430265054</v>
      </c>
      <c r="E747" s="1">
        <v>749</v>
      </c>
      <c r="F747" s="1">
        <v>706</v>
      </c>
      <c r="G747" s="1" t="s">
        <v>38</v>
      </c>
      <c r="H747" s="1" t="s">
        <v>2396</v>
      </c>
      <c r="I747" s="1" t="s">
        <v>39</v>
      </c>
      <c r="J747" s="1" t="s">
        <v>40</v>
      </c>
      <c r="K747" s="1" t="s">
        <v>41</v>
      </c>
      <c r="L747" s="1"/>
    </row>
    <row r="748" spans="1:12" s="32" customFormat="1" hidden="1" x14ac:dyDescent="0.3">
      <c r="A748" s="37">
        <v>46135.587766203702</v>
      </c>
      <c r="B748" s="1" t="s">
        <v>37</v>
      </c>
      <c r="C748" s="1">
        <v>11962304891</v>
      </c>
      <c r="D748" s="1"/>
      <c r="E748" s="1">
        <v>13</v>
      </c>
      <c r="F748" s="1">
        <v>0</v>
      </c>
      <c r="G748" s="1" t="s">
        <v>47</v>
      </c>
      <c r="H748" s="1" t="s">
        <v>2397</v>
      </c>
      <c r="I748" s="1" t="s">
        <v>46</v>
      </c>
      <c r="J748" s="1" t="s">
        <v>40</v>
      </c>
      <c r="K748" s="1"/>
      <c r="L748" s="1"/>
    </row>
    <row r="749" spans="1:12" s="32" customFormat="1" hidden="1" x14ac:dyDescent="0.3">
      <c r="A749" s="37">
        <v>46135.587500000001</v>
      </c>
      <c r="B749" s="1" t="s">
        <v>37</v>
      </c>
      <c r="C749" s="1">
        <v>11962304891</v>
      </c>
      <c r="D749" s="1"/>
      <c r="E749" s="1">
        <v>16</v>
      </c>
      <c r="F749" s="1">
        <v>0</v>
      </c>
      <c r="G749" s="1" t="s">
        <v>47</v>
      </c>
      <c r="H749" s="1" t="s">
        <v>2398</v>
      </c>
      <c r="I749" s="1" t="s">
        <v>46</v>
      </c>
      <c r="J749" s="1" t="s">
        <v>40</v>
      </c>
      <c r="K749" s="1"/>
      <c r="L749" s="1"/>
    </row>
    <row r="750" spans="1:12" s="32" customFormat="1" hidden="1" x14ac:dyDescent="0.3">
      <c r="A750" s="37">
        <v>46135.587071759262</v>
      </c>
      <c r="B750" s="1" t="s">
        <v>48</v>
      </c>
      <c r="C750" s="1">
        <v>4334232912</v>
      </c>
      <c r="D750" s="1"/>
      <c r="E750" s="1">
        <v>2172</v>
      </c>
      <c r="F750" s="1">
        <v>2160</v>
      </c>
      <c r="G750" s="1" t="s">
        <v>38</v>
      </c>
      <c r="H750" s="1" t="s">
        <v>2399</v>
      </c>
      <c r="I750" s="1" t="s">
        <v>46</v>
      </c>
      <c r="J750" s="1" t="s">
        <v>40</v>
      </c>
      <c r="K750" s="1"/>
      <c r="L750" s="1"/>
    </row>
    <row r="751" spans="1:12" s="32" customFormat="1" hidden="1" x14ac:dyDescent="0.3">
      <c r="A751" s="37">
        <v>46135.586736111109</v>
      </c>
      <c r="B751" s="1" t="s">
        <v>54</v>
      </c>
      <c r="C751" s="1">
        <v>31993575642</v>
      </c>
      <c r="D751" s="1"/>
      <c r="E751" s="1">
        <v>13</v>
      </c>
      <c r="F751" s="1">
        <v>0</v>
      </c>
      <c r="G751" s="1" t="s">
        <v>47</v>
      </c>
      <c r="H751" s="1" t="s">
        <v>2400</v>
      </c>
      <c r="I751" s="1" t="s">
        <v>46</v>
      </c>
      <c r="J751" s="1" t="s">
        <v>55</v>
      </c>
      <c r="K751" s="1"/>
      <c r="L751" s="1"/>
    </row>
    <row r="752" spans="1:12" s="32" customFormat="1" hidden="1" x14ac:dyDescent="0.3">
      <c r="A752" s="37">
        <v>46135.586087962962</v>
      </c>
      <c r="B752" s="1" t="s">
        <v>54</v>
      </c>
      <c r="C752" s="1">
        <v>81992827952</v>
      </c>
      <c r="D752" s="1"/>
      <c r="E752" s="1">
        <v>9</v>
      </c>
      <c r="F752" s="1">
        <v>0</v>
      </c>
      <c r="G752" s="1" t="s">
        <v>47</v>
      </c>
      <c r="H752" s="1" t="s">
        <v>2401</v>
      </c>
      <c r="I752" s="1" t="s">
        <v>46</v>
      </c>
      <c r="J752" s="1" t="s">
        <v>55</v>
      </c>
      <c r="K752" s="1"/>
      <c r="L752" s="1"/>
    </row>
    <row r="753" spans="1:12" s="32" customFormat="1" hidden="1" x14ac:dyDescent="0.3">
      <c r="A753" s="37">
        <v>46135.585833333331</v>
      </c>
      <c r="B753" s="1">
        <v>4533011395</v>
      </c>
      <c r="C753" s="1">
        <v>4531273158</v>
      </c>
      <c r="D753" s="1">
        <v>4531273158</v>
      </c>
      <c r="E753" s="1">
        <v>47</v>
      </c>
      <c r="F753" s="1">
        <v>47</v>
      </c>
      <c r="G753" s="1" t="s">
        <v>52</v>
      </c>
      <c r="H753" s="1" t="s">
        <v>2402</v>
      </c>
      <c r="I753" s="1" t="s">
        <v>39</v>
      </c>
      <c r="J753" s="1" t="s">
        <v>53</v>
      </c>
      <c r="K753" s="1" t="s">
        <v>41</v>
      </c>
      <c r="L753" s="1"/>
    </row>
    <row r="754" spans="1:12" s="32" customFormat="1" hidden="1" x14ac:dyDescent="0.3">
      <c r="A754" s="37">
        <v>46135.583912037036</v>
      </c>
      <c r="B754" s="1" t="s">
        <v>54</v>
      </c>
      <c r="C754" s="1">
        <v>14997234006</v>
      </c>
      <c r="D754" s="1"/>
      <c r="E754" s="1">
        <v>27</v>
      </c>
      <c r="F754" s="1">
        <v>0</v>
      </c>
      <c r="G754" s="1" t="s">
        <v>47</v>
      </c>
      <c r="H754" s="1" t="s">
        <v>2403</v>
      </c>
      <c r="I754" s="1" t="s">
        <v>46</v>
      </c>
      <c r="J754" s="1" t="s">
        <v>55</v>
      </c>
      <c r="K754" s="1"/>
      <c r="L754" s="1"/>
    </row>
    <row r="755" spans="1:12" s="32" customFormat="1" hidden="1" x14ac:dyDescent="0.3">
      <c r="A755" s="37">
        <v>46135.583344907405</v>
      </c>
      <c r="B755" s="1">
        <v>11934552189</v>
      </c>
      <c r="C755" s="1" t="s">
        <v>43</v>
      </c>
      <c r="D755" s="1">
        <v>4430265054</v>
      </c>
      <c r="E755" s="1">
        <v>403</v>
      </c>
      <c r="F755" s="1">
        <v>389</v>
      </c>
      <c r="G755" s="1" t="s">
        <v>38</v>
      </c>
      <c r="H755" s="1" t="s">
        <v>2404</v>
      </c>
      <c r="I755" s="1" t="s">
        <v>39</v>
      </c>
      <c r="J755" s="1" t="s">
        <v>40</v>
      </c>
      <c r="K755" s="1" t="s">
        <v>41</v>
      </c>
      <c r="L755" s="1"/>
    </row>
    <row r="756" spans="1:12" s="32" customFormat="1" hidden="1" x14ac:dyDescent="0.3">
      <c r="A756" s="37">
        <v>46135.582754629628</v>
      </c>
      <c r="B756" s="1" t="s">
        <v>54</v>
      </c>
      <c r="C756" s="1">
        <v>12997021940</v>
      </c>
      <c r="D756" s="1"/>
      <c r="E756" s="1">
        <v>30</v>
      </c>
      <c r="F756" s="1">
        <v>0</v>
      </c>
      <c r="G756" s="1" t="s">
        <v>47</v>
      </c>
      <c r="H756" s="1" t="s">
        <v>2405</v>
      </c>
      <c r="I756" s="1" t="s">
        <v>46</v>
      </c>
      <c r="J756" s="1" t="s">
        <v>55</v>
      </c>
      <c r="K756" s="1"/>
      <c r="L756" s="1"/>
    </row>
    <row r="757" spans="1:12" s="32" customFormat="1" hidden="1" x14ac:dyDescent="0.3">
      <c r="A757" s="37">
        <v>46135.582627314812</v>
      </c>
      <c r="B757" s="1">
        <v>11934552189</v>
      </c>
      <c r="C757" s="1">
        <v>4430265054</v>
      </c>
      <c r="D757" s="1">
        <v>4430265054</v>
      </c>
      <c r="E757" s="1">
        <v>38</v>
      </c>
      <c r="F757" s="1">
        <v>37</v>
      </c>
      <c r="G757" s="1" t="s">
        <v>52</v>
      </c>
      <c r="H757" s="1" t="s">
        <v>2406</v>
      </c>
      <c r="I757" s="1" t="s">
        <v>39</v>
      </c>
      <c r="J757" s="1" t="s">
        <v>53</v>
      </c>
      <c r="K757" s="1" t="s">
        <v>41</v>
      </c>
      <c r="L757" s="1"/>
    </row>
    <row r="758" spans="1:12" s="32" customFormat="1" hidden="1" x14ac:dyDescent="0.3">
      <c r="A758" s="37">
        <v>46135.579837962963</v>
      </c>
      <c r="B758" s="1" t="s">
        <v>54</v>
      </c>
      <c r="C758" s="1">
        <v>4733551000</v>
      </c>
      <c r="D758" s="1"/>
      <c r="E758" s="1">
        <v>8</v>
      </c>
      <c r="F758" s="1">
        <v>2</v>
      </c>
      <c r="G758" s="1" t="s">
        <v>38</v>
      </c>
      <c r="H758" s="1" t="s">
        <v>2407</v>
      </c>
      <c r="I758" s="1" t="s">
        <v>46</v>
      </c>
      <c r="J758" s="1" t="s">
        <v>55</v>
      </c>
      <c r="K758" s="1"/>
      <c r="L758" s="1"/>
    </row>
    <row r="759" spans="1:12" s="32" customFormat="1" hidden="1" x14ac:dyDescent="0.3">
      <c r="A759" s="37">
        <v>46135.579247685186</v>
      </c>
      <c r="B759" s="1" t="s">
        <v>54</v>
      </c>
      <c r="C759" s="1">
        <v>8541029012</v>
      </c>
      <c r="D759" s="1"/>
      <c r="E759" s="1">
        <v>17</v>
      </c>
      <c r="F759" s="1">
        <v>0</v>
      </c>
      <c r="G759" s="1" t="s">
        <v>47</v>
      </c>
      <c r="H759" s="1" t="s">
        <v>2408</v>
      </c>
      <c r="I759" s="1" t="s">
        <v>46</v>
      </c>
      <c r="J759" s="1" t="s">
        <v>55</v>
      </c>
      <c r="K759" s="1"/>
      <c r="L759" s="1"/>
    </row>
    <row r="760" spans="1:12" s="32" customFormat="1" hidden="1" x14ac:dyDescent="0.3">
      <c r="A760" s="37">
        <v>46135.578576388885</v>
      </c>
      <c r="B760" s="1">
        <v>4436312588</v>
      </c>
      <c r="C760" s="1" t="s">
        <v>45</v>
      </c>
      <c r="D760" s="1">
        <v>4430265054</v>
      </c>
      <c r="E760" s="1">
        <v>226</v>
      </c>
      <c r="F760" s="1">
        <v>152</v>
      </c>
      <c r="G760" s="1" t="s">
        <v>38</v>
      </c>
      <c r="H760" s="1" t="s">
        <v>2409</v>
      </c>
      <c r="I760" s="1" t="s">
        <v>39</v>
      </c>
      <c r="J760" s="1" t="s">
        <v>40</v>
      </c>
      <c r="K760" s="1" t="s">
        <v>41</v>
      </c>
      <c r="L760" s="1"/>
    </row>
    <row r="761" spans="1:12" s="32" customFormat="1" hidden="1" x14ac:dyDescent="0.3">
      <c r="A761" s="37">
        <v>46135.57508101852</v>
      </c>
      <c r="B761" s="1">
        <v>44997235101</v>
      </c>
      <c r="C761" s="1" t="s">
        <v>37</v>
      </c>
      <c r="D761" s="1">
        <v>4430265054</v>
      </c>
      <c r="E761" s="1">
        <v>741</v>
      </c>
      <c r="F761" s="1">
        <v>687</v>
      </c>
      <c r="G761" s="1" t="s">
        <v>38</v>
      </c>
      <c r="H761" s="1" t="s">
        <v>2410</v>
      </c>
      <c r="I761" s="1" t="s">
        <v>39</v>
      </c>
      <c r="J761" s="1" t="s">
        <v>40</v>
      </c>
      <c r="K761" s="1" t="s">
        <v>41</v>
      </c>
      <c r="L761" s="1"/>
    </row>
    <row r="762" spans="1:12" s="32" customFormat="1" hidden="1" x14ac:dyDescent="0.3">
      <c r="A762" s="37">
        <v>46135.573275462964</v>
      </c>
      <c r="B762" s="1">
        <v>44991484476</v>
      </c>
      <c r="C762" s="1" t="s">
        <v>48</v>
      </c>
      <c r="D762" s="1">
        <v>4430265054</v>
      </c>
      <c r="E762" s="1">
        <v>826</v>
      </c>
      <c r="F762" s="1">
        <v>826</v>
      </c>
      <c r="G762" s="1" t="s">
        <v>38</v>
      </c>
      <c r="H762" s="1" t="s">
        <v>2411</v>
      </c>
      <c r="I762" s="1" t="s">
        <v>39</v>
      </c>
      <c r="J762" s="1" t="s">
        <v>40</v>
      </c>
      <c r="K762" s="1" t="s">
        <v>41</v>
      </c>
      <c r="L762" s="1"/>
    </row>
    <row r="763" spans="1:12" s="32" customFormat="1" hidden="1" x14ac:dyDescent="0.3">
      <c r="A763" s="37">
        <v>46135.568518518521</v>
      </c>
      <c r="B763" s="1">
        <v>44997456641</v>
      </c>
      <c r="C763" s="1" t="s">
        <v>45</v>
      </c>
      <c r="D763" s="1">
        <v>4430265054</v>
      </c>
      <c r="E763" s="1">
        <v>807</v>
      </c>
      <c r="F763" s="1">
        <v>760</v>
      </c>
      <c r="G763" s="1" t="s">
        <v>38</v>
      </c>
      <c r="H763" s="1" t="s">
        <v>2412</v>
      </c>
      <c r="I763" s="1" t="s">
        <v>39</v>
      </c>
      <c r="J763" s="1" t="s">
        <v>40</v>
      </c>
      <c r="K763" s="1" t="s">
        <v>41</v>
      </c>
      <c r="L763" s="1">
        <v>5</v>
      </c>
    </row>
    <row r="764" spans="1:12" s="32" customFormat="1" hidden="1" x14ac:dyDescent="0.3">
      <c r="A764" s="37">
        <v>46135.567025462966</v>
      </c>
      <c r="B764" s="1">
        <v>4434231198</v>
      </c>
      <c r="C764" s="1" t="s">
        <v>43</v>
      </c>
      <c r="D764" s="1">
        <v>4430265054</v>
      </c>
      <c r="E764" s="1">
        <v>902</v>
      </c>
      <c r="F764" s="1">
        <v>838</v>
      </c>
      <c r="G764" s="1" t="s">
        <v>38</v>
      </c>
      <c r="H764" s="1" t="s">
        <v>2413</v>
      </c>
      <c r="I764" s="1" t="s">
        <v>39</v>
      </c>
      <c r="J764" s="1" t="s">
        <v>40</v>
      </c>
      <c r="K764" s="1" t="s">
        <v>41</v>
      </c>
      <c r="L764" s="1"/>
    </row>
    <row r="765" spans="1:12" s="32" customFormat="1" x14ac:dyDescent="0.3">
      <c r="A765" s="37">
        <v>46135.563935185186</v>
      </c>
      <c r="B765" s="1">
        <v>4130775695</v>
      </c>
      <c r="C765" s="1" t="s">
        <v>37</v>
      </c>
      <c r="D765" s="1">
        <v>4430265054</v>
      </c>
      <c r="E765" s="1">
        <v>822</v>
      </c>
      <c r="F765" s="1">
        <v>758</v>
      </c>
      <c r="G765" s="1" t="s">
        <v>38</v>
      </c>
      <c r="H765" s="1" t="s">
        <v>2414</v>
      </c>
      <c r="I765" s="1" t="s">
        <v>39</v>
      </c>
      <c r="J765" s="1" t="s">
        <v>40</v>
      </c>
      <c r="K765" s="1" t="s">
        <v>41</v>
      </c>
      <c r="L765" s="1">
        <v>5</v>
      </c>
    </row>
    <row r="766" spans="1:12" s="32" customFormat="1" hidden="1" x14ac:dyDescent="0.3">
      <c r="A766" s="37">
        <v>46135.56355324074</v>
      </c>
      <c r="B766" s="1">
        <v>4430191401</v>
      </c>
      <c r="C766" s="1" t="s">
        <v>44</v>
      </c>
      <c r="D766" s="1">
        <v>4430265054</v>
      </c>
      <c r="E766" s="1">
        <v>498</v>
      </c>
      <c r="F766" s="1">
        <v>422</v>
      </c>
      <c r="G766" s="1" t="s">
        <v>38</v>
      </c>
      <c r="H766" s="1" t="s">
        <v>2415</v>
      </c>
      <c r="I766" s="1" t="s">
        <v>39</v>
      </c>
      <c r="J766" s="1" t="s">
        <v>40</v>
      </c>
      <c r="K766" s="1" t="s">
        <v>41</v>
      </c>
      <c r="L766" s="1"/>
    </row>
    <row r="767" spans="1:12" s="32" customFormat="1" hidden="1" x14ac:dyDescent="0.3">
      <c r="A767" s="37">
        <v>46135.558923611112</v>
      </c>
      <c r="B767" s="1" t="s">
        <v>45</v>
      </c>
      <c r="C767" s="1"/>
      <c r="D767" s="1"/>
      <c r="E767" s="1">
        <v>580</v>
      </c>
      <c r="F767" s="1">
        <v>578</v>
      </c>
      <c r="G767" s="1" t="s">
        <v>38</v>
      </c>
      <c r="H767" s="1" t="s">
        <v>2416</v>
      </c>
      <c r="I767" s="1" t="s">
        <v>46</v>
      </c>
      <c r="J767" s="1" t="s">
        <v>40</v>
      </c>
      <c r="K767" s="1"/>
      <c r="L767" s="1"/>
    </row>
    <row r="768" spans="1:12" s="32" customFormat="1" hidden="1" x14ac:dyDescent="0.3">
      <c r="A768" s="37">
        <v>46135.554664351854</v>
      </c>
      <c r="B768" s="1">
        <v>73982188717</v>
      </c>
      <c r="C768" s="1">
        <v>4430265054</v>
      </c>
      <c r="D768" s="1">
        <v>4430265054</v>
      </c>
      <c r="E768" s="1">
        <v>18</v>
      </c>
      <c r="F768" s="1">
        <v>18</v>
      </c>
      <c r="G768" s="1" t="s">
        <v>52</v>
      </c>
      <c r="H768" s="1" t="s">
        <v>2417</v>
      </c>
      <c r="I768" s="1" t="s">
        <v>39</v>
      </c>
      <c r="J768" s="1" t="s">
        <v>53</v>
      </c>
      <c r="K768" s="1"/>
      <c r="L768" s="1"/>
    </row>
    <row r="769" spans="1:12" s="32" customFormat="1" hidden="1" x14ac:dyDescent="0.3">
      <c r="A769" s="37">
        <v>46135.549074074072</v>
      </c>
      <c r="B769" s="1">
        <v>73982188717</v>
      </c>
      <c r="C769" s="1">
        <v>4430265054</v>
      </c>
      <c r="D769" s="1">
        <v>4430265054</v>
      </c>
      <c r="E769" s="1">
        <v>29</v>
      </c>
      <c r="F769" s="1">
        <v>28</v>
      </c>
      <c r="G769" s="1" t="s">
        <v>52</v>
      </c>
      <c r="H769" s="1" t="s">
        <v>2418</v>
      </c>
      <c r="I769" s="1" t="s">
        <v>39</v>
      </c>
      <c r="J769" s="1" t="s">
        <v>53</v>
      </c>
      <c r="K769" s="1"/>
      <c r="L769" s="1"/>
    </row>
    <row r="770" spans="1:12" s="32" customFormat="1" hidden="1" x14ac:dyDescent="0.3">
      <c r="A770" s="37">
        <v>46135.548611111109</v>
      </c>
      <c r="B770" s="1">
        <v>73982188717</v>
      </c>
      <c r="C770" s="1">
        <v>4430265054</v>
      </c>
      <c r="D770" s="1">
        <v>4430265054</v>
      </c>
      <c r="E770" s="1">
        <v>28</v>
      </c>
      <c r="F770" s="1">
        <v>28</v>
      </c>
      <c r="G770" s="1" t="s">
        <v>52</v>
      </c>
      <c r="H770" s="1" t="s">
        <v>2419</v>
      </c>
      <c r="I770" s="1" t="s">
        <v>39</v>
      </c>
      <c r="J770" s="1" t="s">
        <v>53</v>
      </c>
      <c r="K770" s="1"/>
      <c r="L770" s="1"/>
    </row>
    <row r="771" spans="1:12" s="32" customFormat="1" hidden="1" x14ac:dyDescent="0.3">
      <c r="A771" s="37">
        <v>46135.545405092591</v>
      </c>
      <c r="B771" s="1">
        <v>44998562645</v>
      </c>
      <c r="C771" s="1">
        <v>4430265054</v>
      </c>
      <c r="D771" s="1">
        <v>4430265054</v>
      </c>
      <c r="E771" s="1">
        <v>14</v>
      </c>
      <c r="F771" s="1">
        <v>13</v>
      </c>
      <c r="G771" s="1" t="s">
        <v>52</v>
      </c>
      <c r="H771" s="1" t="s">
        <v>2420</v>
      </c>
      <c r="I771" s="1" t="s">
        <v>39</v>
      </c>
      <c r="J771" s="1" t="s">
        <v>53</v>
      </c>
      <c r="K771" s="1"/>
      <c r="L771" s="1"/>
    </row>
    <row r="772" spans="1:12" s="32" customFormat="1" hidden="1" x14ac:dyDescent="0.3">
      <c r="A772" s="37">
        <v>46135.486967592595</v>
      </c>
      <c r="B772" s="1">
        <v>41999195082</v>
      </c>
      <c r="C772" s="1" t="s">
        <v>57</v>
      </c>
      <c r="D772" s="1">
        <v>4430265054</v>
      </c>
      <c r="E772" s="1">
        <v>660</v>
      </c>
      <c r="F772" s="1">
        <v>651</v>
      </c>
      <c r="G772" s="1" t="s">
        <v>38</v>
      </c>
      <c r="H772" s="1" t="s">
        <v>2421</v>
      </c>
      <c r="I772" s="1" t="s">
        <v>39</v>
      </c>
      <c r="J772" s="1" t="s">
        <v>55</v>
      </c>
      <c r="K772" s="1" t="s">
        <v>49</v>
      </c>
      <c r="L772" s="1"/>
    </row>
    <row r="773" spans="1:12" s="32" customFormat="1" hidden="1" x14ac:dyDescent="0.3">
      <c r="A773" s="37">
        <v>46135.48609953704</v>
      </c>
      <c r="B773" s="1">
        <v>41999195082</v>
      </c>
      <c r="C773" s="1" t="s">
        <v>50</v>
      </c>
      <c r="D773" s="1">
        <v>4430265054</v>
      </c>
      <c r="E773" s="1">
        <v>44</v>
      </c>
      <c r="F773" s="1">
        <v>29</v>
      </c>
      <c r="G773" s="1" t="s">
        <v>38</v>
      </c>
      <c r="H773" s="1" t="s">
        <v>2422</v>
      </c>
      <c r="I773" s="1" t="s">
        <v>39</v>
      </c>
      <c r="J773" s="1" t="s">
        <v>55</v>
      </c>
      <c r="K773" s="1" t="s">
        <v>49</v>
      </c>
      <c r="L773" s="1"/>
    </row>
    <row r="774" spans="1:12" s="32" customFormat="1" hidden="1" x14ac:dyDescent="0.3">
      <c r="A774" s="37">
        <v>46135.485543981478</v>
      </c>
      <c r="B774" s="1">
        <v>41999195082</v>
      </c>
      <c r="C774" s="1" t="s">
        <v>54</v>
      </c>
      <c r="D774" s="1">
        <v>4430265054</v>
      </c>
      <c r="E774" s="1">
        <v>39</v>
      </c>
      <c r="F774" s="1">
        <v>21</v>
      </c>
      <c r="G774" s="1" t="s">
        <v>38</v>
      </c>
      <c r="H774" s="1" t="s">
        <v>2423</v>
      </c>
      <c r="I774" s="1" t="s">
        <v>39</v>
      </c>
      <c r="J774" s="1" t="s">
        <v>55</v>
      </c>
      <c r="K774" s="1" t="s">
        <v>49</v>
      </c>
      <c r="L774" s="1"/>
    </row>
    <row r="775" spans="1:12" s="32" customFormat="1" hidden="1" x14ac:dyDescent="0.3">
      <c r="A775" s="37">
        <v>46135.484178240738</v>
      </c>
      <c r="B775" s="1" t="s">
        <v>43</v>
      </c>
      <c r="C775" s="1">
        <v>11962191816</v>
      </c>
      <c r="D775" s="1"/>
      <c r="E775" s="1">
        <v>729</v>
      </c>
      <c r="F775" s="1">
        <v>721</v>
      </c>
      <c r="G775" s="1" t="s">
        <v>38</v>
      </c>
      <c r="H775" s="1" t="s">
        <v>2424</v>
      </c>
      <c r="I775" s="1" t="s">
        <v>46</v>
      </c>
      <c r="J775" s="1" t="s">
        <v>40</v>
      </c>
      <c r="K775" s="1"/>
      <c r="L775" s="1"/>
    </row>
    <row r="776" spans="1:12" s="32" customFormat="1" hidden="1" x14ac:dyDescent="0.3">
      <c r="A776" s="37">
        <v>46135.483958333331</v>
      </c>
      <c r="B776" s="1">
        <v>41999195082</v>
      </c>
      <c r="C776" s="1" t="s">
        <v>54</v>
      </c>
      <c r="D776" s="1">
        <v>4430265054</v>
      </c>
      <c r="E776" s="1">
        <v>71</v>
      </c>
      <c r="F776" s="1">
        <v>25</v>
      </c>
      <c r="G776" s="1" t="s">
        <v>38</v>
      </c>
      <c r="H776" s="1" t="s">
        <v>2425</v>
      </c>
      <c r="I776" s="1" t="s">
        <v>39</v>
      </c>
      <c r="J776" s="1" t="s">
        <v>55</v>
      </c>
      <c r="K776" s="1" t="s">
        <v>49</v>
      </c>
      <c r="L776" s="1"/>
    </row>
    <row r="777" spans="1:12" s="32" customFormat="1" hidden="1" x14ac:dyDescent="0.3">
      <c r="A777" s="37">
        <v>46135.483495370368</v>
      </c>
      <c r="B777" s="1" t="s">
        <v>43</v>
      </c>
      <c r="C777" s="1">
        <v>11962191816</v>
      </c>
      <c r="D777" s="1"/>
      <c r="E777" s="1">
        <v>2</v>
      </c>
      <c r="F777" s="1">
        <v>0</v>
      </c>
      <c r="G777" s="1" t="s">
        <v>47</v>
      </c>
      <c r="H777" s="1" t="s">
        <v>2426</v>
      </c>
      <c r="I777" s="1" t="s">
        <v>46</v>
      </c>
      <c r="J777" s="1" t="s">
        <v>40</v>
      </c>
      <c r="K777" s="1"/>
      <c r="L777" s="1"/>
    </row>
    <row r="778" spans="1:12" s="32" customFormat="1" hidden="1" x14ac:dyDescent="0.3">
      <c r="A778" s="37">
        <v>46135.47252314815</v>
      </c>
      <c r="B778" s="1">
        <v>44997456641</v>
      </c>
      <c r="C778" s="1" t="s">
        <v>43</v>
      </c>
      <c r="D778" s="1">
        <v>4430265054</v>
      </c>
      <c r="E778" s="1">
        <v>781</v>
      </c>
      <c r="F778" s="1">
        <v>730</v>
      </c>
      <c r="G778" s="1" t="s">
        <v>38</v>
      </c>
      <c r="H778" s="1" t="s">
        <v>2427</v>
      </c>
      <c r="I778" s="1" t="s">
        <v>39</v>
      </c>
      <c r="J778" s="1" t="s">
        <v>40</v>
      </c>
      <c r="K778" s="1" t="s">
        <v>41</v>
      </c>
      <c r="L778" s="1">
        <v>5</v>
      </c>
    </row>
    <row r="779" spans="1:12" s="32" customFormat="1" hidden="1" x14ac:dyDescent="0.3">
      <c r="A779" s="37">
        <v>46135.466203703705</v>
      </c>
      <c r="B779" s="1">
        <v>4121418115</v>
      </c>
      <c r="C779" s="1">
        <v>4531273152</v>
      </c>
      <c r="D779" s="1">
        <v>4531273152</v>
      </c>
      <c r="E779" s="1">
        <v>47</v>
      </c>
      <c r="F779" s="1">
        <v>46</v>
      </c>
      <c r="G779" s="1" t="s">
        <v>52</v>
      </c>
      <c r="H779" s="1" t="s">
        <v>2428</v>
      </c>
      <c r="I779" s="1" t="s">
        <v>39</v>
      </c>
      <c r="J779" s="1" t="s">
        <v>53</v>
      </c>
      <c r="K779" s="1" t="s">
        <v>41</v>
      </c>
      <c r="L779" s="1"/>
    </row>
    <row r="780" spans="1:12" s="32" customFormat="1" hidden="1" x14ac:dyDescent="0.3">
      <c r="A780" s="37">
        <v>46135.466006944444</v>
      </c>
      <c r="B780" s="1">
        <v>41999195082</v>
      </c>
      <c r="C780" s="1" t="s">
        <v>54</v>
      </c>
      <c r="D780" s="1">
        <v>4430265054</v>
      </c>
      <c r="E780" s="1">
        <v>100</v>
      </c>
      <c r="F780" s="1">
        <v>79</v>
      </c>
      <c r="G780" s="1" t="s">
        <v>38</v>
      </c>
      <c r="H780" s="1" t="s">
        <v>2429</v>
      </c>
      <c r="I780" s="1" t="s">
        <v>39</v>
      </c>
      <c r="J780" s="1" t="s">
        <v>55</v>
      </c>
      <c r="K780" s="1" t="s">
        <v>49</v>
      </c>
      <c r="L780" s="1"/>
    </row>
    <row r="781" spans="1:12" s="32" customFormat="1" hidden="1" x14ac:dyDescent="0.3">
      <c r="A781" s="37">
        <v>46135.465833333335</v>
      </c>
      <c r="B781" s="1">
        <v>4533011420</v>
      </c>
      <c r="C781" s="1">
        <v>4531273151</v>
      </c>
      <c r="D781" s="1">
        <v>4531273151</v>
      </c>
      <c r="E781" s="1">
        <v>7</v>
      </c>
      <c r="F781" s="1">
        <v>6</v>
      </c>
      <c r="G781" s="1" t="s">
        <v>52</v>
      </c>
      <c r="H781" s="1" t="s">
        <v>2430</v>
      </c>
      <c r="I781" s="1" t="s">
        <v>39</v>
      </c>
      <c r="J781" s="1" t="s">
        <v>53</v>
      </c>
      <c r="K781" s="1"/>
      <c r="L781" s="1"/>
    </row>
    <row r="782" spans="1:12" s="32" customFormat="1" hidden="1" x14ac:dyDescent="0.3">
      <c r="A782" s="37">
        <v>46135.462233796294</v>
      </c>
      <c r="B782" s="1" t="s">
        <v>43</v>
      </c>
      <c r="C782" s="1">
        <v>11992752526</v>
      </c>
      <c r="D782" s="1"/>
      <c r="E782" s="1">
        <v>6</v>
      </c>
      <c r="F782" s="1">
        <v>0</v>
      </c>
      <c r="G782" s="1" t="s">
        <v>47</v>
      </c>
      <c r="H782" s="1" t="s">
        <v>2431</v>
      </c>
      <c r="I782" s="1" t="s">
        <v>46</v>
      </c>
      <c r="J782" s="1" t="s">
        <v>40</v>
      </c>
      <c r="K782" s="1"/>
      <c r="L782" s="1"/>
    </row>
    <row r="783" spans="1:12" s="32" customFormat="1" hidden="1" x14ac:dyDescent="0.3">
      <c r="A783" s="37">
        <v>46135.451249999998</v>
      </c>
      <c r="B783" s="1" t="s">
        <v>48</v>
      </c>
      <c r="C783" s="1">
        <v>41999195082</v>
      </c>
      <c r="D783" s="1"/>
      <c r="E783" s="1">
        <v>809</v>
      </c>
      <c r="F783" s="1">
        <v>798</v>
      </c>
      <c r="G783" s="1" t="s">
        <v>38</v>
      </c>
      <c r="H783" s="1" t="s">
        <v>2432</v>
      </c>
      <c r="I783" s="1" t="s">
        <v>46</v>
      </c>
      <c r="J783" s="1" t="s">
        <v>40</v>
      </c>
      <c r="K783" s="1"/>
      <c r="L783" s="1"/>
    </row>
    <row r="784" spans="1:12" s="32" customFormat="1" hidden="1" x14ac:dyDescent="0.3">
      <c r="A784" s="37">
        <v>46135.451018518521</v>
      </c>
      <c r="B784" s="1" t="s">
        <v>48</v>
      </c>
      <c r="C784" s="1">
        <v>41999195082</v>
      </c>
      <c r="D784" s="1"/>
      <c r="E784" s="1">
        <v>11</v>
      </c>
      <c r="F784" s="1">
        <v>0</v>
      </c>
      <c r="G784" s="1" t="s">
        <v>47</v>
      </c>
      <c r="H784" s="1" t="s">
        <v>2433</v>
      </c>
      <c r="I784" s="1" t="s">
        <v>46</v>
      </c>
      <c r="J784" s="1" t="s">
        <v>40</v>
      </c>
      <c r="K784" s="1"/>
      <c r="L784" s="1"/>
    </row>
    <row r="785" spans="1:12" s="32" customFormat="1" hidden="1" x14ac:dyDescent="0.3">
      <c r="A785" s="37">
        <v>46135.450995370367</v>
      </c>
      <c r="B785" s="1">
        <v>4436312588</v>
      </c>
      <c r="C785" s="1" t="s">
        <v>45</v>
      </c>
      <c r="D785" s="1">
        <v>4430265054</v>
      </c>
      <c r="E785" s="1">
        <v>2025</v>
      </c>
      <c r="F785" s="1">
        <v>1909</v>
      </c>
      <c r="G785" s="1" t="s">
        <v>38</v>
      </c>
      <c r="H785" s="1" t="s">
        <v>2434</v>
      </c>
      <c r="I785" s="1" t="s">
        <v>39</v>
      </c>
      <c r="J785" s="1" t="s">
        <v>40</v>
      </c>
      <c r="K785" s="1" t="s">
        <v>41</v>
      </c>
      <c r="L785" s="1"/>
    </row>
    <row r="786" spans="1:12" s="32" customFormat="1" hidden="1" x14ac:dyDescent="0.3">
      <c r="A786" s="37">
        <v>46135.448298611111</v>
      </c>
      <c r="B786" s="1">
        <v>41999195082</v>
      </c>
      <c r="C786" s="1" t="s">
        <v>43</v>
      </c>
      <c r="D786" s="1">
        <v>4430265054</v>
      </c>
      <c r="E786" s="1">
        <v>390</v>
      </c>
      <c r="F786" s="1">
        <v>288</v>
      </c>
      <c r="G786" s="1" t="s">
        <v>38</v>
      </c>
      <c r="H786" s="1" t="s">
        <v>2435</v>
      </c>
      <c r="I786" s="1" t="s">
        <v>39</v>
      </c>
      <c r="J786" s="1" t="s">
        <v>40</v>
      </c>
      <c r="K786" s="1" t="s">
        <v>41</v>
      </c>
      <c r="L786" s="1"/>
    </row>
    <row r="787" spans="1:12" s="32" customFormat="1" hidden="1" x14ac:dyDescent="0.3">
      <c r="A787" s="37">
        <v>46135.436585648145</v>
      </c>
      <c r="B787" s="1">
        <v>4331622700</v>
      </c>
      <c r="C787" s="1" t="s">
        <v>45</v>
      </c>
      <c r="D787" s="1">
        <v>4430265054</v>
      </c>
      <c r="E787" s="1">
        <v>292</v>
      </c>
      <c r="F787" s="1">
        <v>270</v>
      </c>
      <c r="G787" s="1" t="s">
        <v>38</v>
      </c>
      <c r="H787" s="1" t="s">
        <v>2436</v>
      </c>
      <c r="I787" s="1" t="s">
        <v>39</v>
      </c>
      <c r="J787" s="1" t="s">
        <v>40</v>
      </c>
      <c r="K787" s="1" t="s">
        <v>41</v>
      </c>
      <c r="L787" s="1">
        <v>5</v>
      </c>
    </row>
    <row r="788" spans="1:12" s="32" customFormat="1" hidden="1" x14ac:dyDescent="0.3">
      <c r="A788" s="37">
        <v>46135.433356481481</v>
      </c>
      <c r="B788" s="1">
        <v>4430266744</v>
      </c>
      <c r="C788" s="1">
        <v>4430265054</v>
      </c>
      <c r="D788" s="1">
        <v>4430265054</v>
      </c>
      <c r="E788" s="1">
        <v>88</v>
      </c>
      <c r="F788" s="1">
        <v>87</v>
      </c>
      <c r="G788" s="1" t="s">
        <v>52</v>
      </c>
      <c r="H788" s="1" t="s">
        <v>2437</v>
      </c>
      <c r="I788" s="1" t="s">
        <v>39</v>
      </c>
      <c r="J788" s="1" t="s">
        <v>53</v>
      </c>
      <c r="K788" s="1" t="s">
        <v>41</v>
      </c>
      <c r="L788" s="1"/>
    </row>
    <row r="789" spans="1:12" s="32" customFormat="1" hidden="1" x14ac:dyDescent="0.3">
      <c r="A789" s="37">
        <v>46135.430312500001</v>
      </c>
      <c r="B789" s="1" t="s">
        <v>45</v>
      </c>
      <c r="C789" s="1">
        <v>4430162376</v>
      </c>
      <c r="D789" s="1"/>
      <c r="E789" s="1">
        <v>410</v>
      </c>
      <c r="F789" s="1">
        <v>391</v>
      </c>
      <c r="G789" s="1" t="s">
        <v>38</v>
      </c>
      <c r="H789" s="1" t="s">
        <v>2438</v>
      </c>
      <c r="I789" s="1" t="s">
        <v>46</v>
      </c>
      <c r="J789" s="1" t="s">
        <v>40</v>
      </c>
      <c r="K789" s="1"/>
      <c r="L789" s="1"/>
    </row>
    <row r="790" spans="1:12" s="32" customFormat="1" hidden="1" x14ac:dyDescent="0.3">
      <c r="A790" s="37">
        <v>46135.418564814812</v>
      </c>
      <c r="B790" s="1" t="s">
        <v>54</v>
      </c>
      <c r="C790" s="1">
        <v>4532255342</v>
      </c>
      <c r="D790" s="1"/>
      <c r="E790" s="1">
        <v>148</v>
      </c>
      <c r="F790" s="1">
        <v>146</v>
      </c>
      <c r="G790" s="1" t="s">
        <v>38</v>
      </c>
      <c r="H790" s="1" t="s">
        <v>2439</v>
      </c>
      <c r="I790" s="1" t="s">
        <v>46</v>
      </c>
      <c r="J790" s="1" t="s">
        <v>55</v>
      </c>
      <c r="K790" s="1"/>
      <c r="L790" s="1"/>
    </row>
    <row r="791" spans="1:12" s="32" customFormat="1" hidden="1" x14ac:dyDescent="0.3">
      <c r="A791" s="37">
        <v>46135.414583333331</v>
      </c>
      <c r="B791" s="1" t="s">
        <v>54</v>
      </c>
      <c r="C791" s="1">
        <v>37999220705</v>
      </c>
      <c r="D791" s="1"/>
      <c r="E791" s="1">
        <v>16</v>
      </c>
      <c r="F791" s="1">
        <v>0</v>
      </c>
      <c r="G791" s="1" t="s">
        <v>47</v>
      </c>
      <c r="H791" s="1" t="s">
        <v>2440</v>
      </c>
      <c r="I791" s="1" t="s">
        <v>46</v>
      </c>
      <c r="J791" s="1" t="s">
        <v>55</v>
      </c>
      <c r="K791" s="1"/>
      <c r="L791" s="1"/>
    </row>
    <row r="792" spans="1:12" s="32" customFormat="1" hidden="1" x14ac:dyDescent="0.3">
      <c r="A792" s="37">
        <v>46135.413599537038</v>
      </c>
      <c r="B792" s="1" t="s">
        <v>54</v>
      </c>
      <c r="C792" s="1">
        <v>61991529010</v>
      </c>
      <c r="D792" s="1"/>
      <c r="E792" s="1">
        <v>22</v>
      </c>
      <c r="F792" s="1">
        <v>2</v>
      </c>
      <c r="G792" s="1" t="s">
        <v>38</v>
      </c>
      <c r="H792" s="1" t="s">
        <v>2441</v>
      </c>
      <c r="I792" s="1" t="s">
        <v>46</v>
      </c>
      <c r="J792" s="1" t="s">
        <v>55</v>
      </c>
      <c r="K792" s="1"/>
      <c r="L792" s="1"/>
    </row>
    <row r="793" spans="1:12" s="32" customFormat="1" hidden="1" x14ac:dyDescent="0.3">
      <c r="A793" s="37">
        <v>46135.411354166667</v>
      </c>
      <c r="B793" s="1">
        <v>4432541200</v>
      </c>
      <c r="C793" s="1" t="s">
        <v>45</v>
      </c>
      <c r="D793" s="1">
        <v>4430265054</v>
      </c>
      <c r="E793" s="1">
        <v>1294</v>
      </c>
      <c r="F793" s="1">
        <v>1257</v>
      </c>
      <c r="G793" s="1" t="s">
        <v>38</v>
      </c>
      <c r="H793" s="1" t="s">
        <v>2442</v>
      </c>
      <c r="I793" s="1" t="s">
        <v>39</v>
      </c>
      <c r="J793" s="1" t="s">
        <v>40</v>
      </c>
      <c r="K793" s="1" t="s">
        <v>41</v>
      </c>
      <c r="L793" s="1"/>
    </row>
    <row r="794" spans="1:12" s="32" customFormat="1" hidden="1" x14ac:dyDescent="0.3">
      <c r="A794" s="37">
        <v>46135.41034722222</v>
      </c>
      <c r="B794" s="1" t="s">
        <v>54</v>
      </c>
      <c r="C794" s="1">
        <v>81986314178</v>
      </c>
      <c r="D794" s="1"/>
      <c r="E794" s="1">
        <v>11</v>
      </c>
      <c r="F794" s="1">
        <v>2</v>
      </c>
      <c r="G794" s="1" t="s">
        <v>38</v>
      </c>
      <c r="H794" s="1" t="s">
        <v>2443</v>
      </c>
      <c r="I794" s="1" t="s">
        <v>46</v>
      </c>
      <c r="J794" s="1" t="s">
        <v>55</v>
      </c>
      <c r="K794" s="1"/>
      <c r="L794" s="1"/>
    </row>
    <row r="795" spans="1:12" s="32" customFormat="1" hidden="1" x14ac:dyDescent="0.3">
      <c r="A795" s="37">
        <v>46135.408587962964</v>
      </c>
      <c r="B795" s="1" t="s">
        <v>54</v>
      </c>
      <c r="C795" s="1">
        <v>11987225262</v>
      </c>
      <c r="D795" s="1"/>
      <c r="E795" s="1">
        <v>7</v>
      </c>
      <c r="F795" s="1">
        <v>0</v>
      </c>
      <c r="G795" s="1" t="s">
        <v>47</v>
      </c>
      <c r="H795" s="1" t="s">
        <v>2444</v>
      </c>
      <c r="I795" s="1" t="s">
        <v>46</v>
      </c>
      <c r="J795" s="1" t="s">
        <v>55</v>
      </c>
      <c r="K795" s="1"/>
      <c r="L795" s="1"/>
    </row>
    <row r="796" spans="1:12" s="32" customFormat="1" hidden="1" x14ac:dyDescent="0.3">
      <c r="A796" s="37">
        <v>46135.404675925929</v>
      </c>
      <c r="B796" s="1" t="s">
        <v>54</v>
      </c>
      <c r="C796" s="1">
        <v>41992098573</v>
      </c>
      <c r="D796" s="1"/>
      <c r="E796" s="1">
        <v>7</v>
      </c>
      <c r="F796" s="1">
        <v>1</v>
      </c>
      <c r="G796" s="1" t="s">
        <v>38</v>
      </c>
      <c r="H796" s="1" t="s">
        <v>2445</v>
      </c>
      <c r="I796" s="1" t="s">
        <v>46</v>
      </c>
      <c r="J796" s="1" t="s">
        <v>55</v>
      </c>
      <c r="K796" s="1"/>
      <c r="L796" s="1"/>
    </row>
    <row r="797" spans="1:12" s="32" customFormat="1" hidden="1" x14ac:dyDescent="0.3">
      <c r="A797" s="37">
        <v>46135.403749999998</v>
      </c>
      <c r="B797" s="1" t="s">
        <v>48</v>
      </c>
      <c r="C797" s="1">
        <v>4430561673</v>
      </c>
      <c r="D797" s="1"/>
      <c r="E797" s="1">
        <v>1581</v>
      </c>
      <c r="F797" s="1">
        <v>1569</v>
      </c>
      <c r="G797" s="1" t="s">
        <v>38</v>
      </c>
      <c r="H797" s="1" t="s">
        <v>2446</v>
      </c>
      <c r="I797" s="1" t="s">
        <v>46</v>
      </c>
      <c r="J797" s="1" t="s">
        <v>40</v>
      </c>
      <c r="K797" s="1"/>
      <c r="L797" s="1"/>
    </row>
    <row r="798" spans="1:12" s="32" customFormat="1" hidden="1" x14ac:dyDescent="0.3">
      <c r="A798" s="37">
        <v>46135.403692129628</v>
      </c>
      <c r="B798" s="1" t="s">
        <v>54</v>
      </c>
      <c r="C798" s="1">
        <v>11982626744</v>
      </c>
      <c r="D798" s="1"/>
      <c r="E798" s="1">
        <v>15</v>
      </c>
      <c r="F798" s="1">
        <v>1</v>
      </c>
      <c r="G798" s="1" t="s">
        <v>38</v>
      </c>
      <c r="H798" s="1" t="s">
        <v>2447</v>
      </c>
      <c r="I798" s="1" t="s">
        <v>46</v>
      </c>
      <c r="J798" s="1" t="s">
        <v>55</v>
      </c>
      <c r="K798" s="1"/>
      <c r="L798" s="1"/>
    </row>
    <row r="799" spans="1:12" s="32" customFormat="1" hidden="1" x14ac:dyDescent="0.3">
      <c r="A799" s="37">
        <v>46135.401979166665</v>
      </c>
      <c r="B799" s="1" t="s">
        <v>54</v>
      </c>
      <c r="C799" s="1">
        <v>1120829898</v>
      </c>
      <c r="D799" s="1"/>
      <c r="E799" s="1">
        <v>57</v>
      </c>
      <c r="F799" s="1">
        <v>47</v>
      </c>
      <c r="G799" s="1" t="s">
        <v>38</v>
      </c>
      <c r="H799" s="1" t="s">
        <v>2448</v>
      </c>
      <c r="I799" s="1" t="s">
        <v>46</v>
      </c>
      <c r="J799" s="1" t="s">
        <v>55</v>
      </c>
      <c r="K799" s="1"/>
      <c r="L799" s="1"/>
    </row>
    <row r="800" spans="1:12" s="32" customFormat="1" hidden="1" x14ac:dyDescent="0.3">
      <c r="A800" s="37">
        <v>46135.401932870373</v>
      </c>
      <c r="B800" s="1">
        <v>44997561804</v>
      </c>
      <c r="C800" s="1" t="s">
        <v>44</v>
      </c>
      <c r="D800" s="1">
        <v>4430265054</v>
      </c>
      <c r="E800" s="1">
        <v>528</v>
      </c>
      <c r="F800" s="1">
        <v>482</v>
      </c>
      <c r="G800" s="1" t="s">
        <v>38</v>
      </c>
      <c r="H800" s="1" t="s">
        <v>2449</v>
      </c>
      <c r="I800" s="1" t="s">
        <v>39</v>
      </c>
      <c r="J800" s="1" t="s">
        <v>40</v>
      </c>
      <c r="K800" s="1" t="s">
        <v>41</v>
      </c>
      <c r="L800" s="1">
        <v>5</v>
      </c>
    </row>
    <row r="801" spans="1:12" s="32" customFormat="1" hidden="1" x14ac:dyDescent="0.3">
      <c r="A801" s="37">
        <v>46135.398043981484</v>
      </c>
      <c r="B801" s="1" t="s">
        <v>48</v>
      </c>
      <c r="C801" s="1">
        <v>4430561673</v>
      </c>
      <c r="D801" s="1"/>
      <c r="E801" s="1">
        <v>99</v>
      </c>
      <c r="F801" s="1">
        <v>90</v>
      </c>
      <c r="G801" s="1" t="s">
        <v>38</v>
      </c>
      <c r="H801" s="1" t="s">
        <v>2450</v>
      </c>
      <c r="I801" s="1" t="s">
        <v>46</v>
      </c>
      <c r="J801" s="1" t="s">
        <v>40</v>
      </c>
      <c r="K801" s="1"/>
      <c r="L801" s="1"/>
    </row>
    <row r="802" spans="1:12" s="32" customFormat="1" hidden="1" x14ac:dyDescent="0.3">
      <c r="A802" s="37">
        <v>46135.396863425929</v>
      </c>
      <c r="B802" s="1" t="s">
        <v>54</v>
      </c>
      <c r="C802" s="1">
        <v>21997741744</v>
      </c>
      <c r="D802" s="1"/>
      <c r="E802" s="1">
        <v>18</v>
      </c>
      <c r="F802" s="1">
        <v>4</v>
      </c>
      <c r="G802" s="1" t="s">
        <v>38</v>
      </c>
      <c r="H802" s="1" t="s">
        <v>2451</v>
      </c>
      <c r="I802" s="1" t="s">
        <v>46</v>
      </c>
      <c r="J802" s="1" t="s">
        <v>55</v>
      </c>
      <c r="K802" s="1"/>
      <c r="L802" s="1"/>
    </row>
    <row r="803" spans="1:12" s="32" customFormat="1" hidden="1" x14ac:dyDescent="0.3">
      <c r="A803" s="37">
        <v>46135.393842592595</v>
      </c>
      <c r="B803" s="1">
        <v>4430468268</v>
      </c>
      <c r="C803" s="1" t="s">
        <v>44</v>
      </c>
      <c r="D803" s="1">
        <v>4430265054</v>
      </c>
      <c r="E803" s="1">
        <v>429</v>
      </c>
      <c r="F803" s="1">
        <v>362</v>
      </c>
      <c r="G803" s="1" t="s">
        <v>38</v>
      </c>
      <c r="H803" s="1" t="s">
        <v>2452</v>
      </c>
      <c r="I803" s="1" t="s">
        <v>39</v>
      </c>
      <c r="J803" s="1" t="s">
        <v>40</v>
      </c>
      <c r="K803" s="1" t="s">
        <v>41</v>
      </c>
      <c r="L803" s="1">
        <v>5</v>
      </c>
    </row>
    <row r="804" spans="1:12" s="32" customFormat="1" x14ac:dyDescent="0.3">
      <c r="A804" s="37">
        <v>46135.393576388888</v>
      </c>
      <c r="B804" s="1">
        <v>14997225372</v>
      </c>
      <c r="C804" s="1" t="s">
        <v>37</v>
      </c>
      <c r="D804" s="1">
        <v>4430265054</v>
      </c>
      <c r="E804" s="1">
        <v>2264</v>
      </c>
      <c r="F804" s="1">
        <v>2180</v>
      </c>
      <c r="G804" s="1" t="s">
        <v>38</v>
      </c>
      <c r="H804" s="1" t="s">
        <v>2453</v>
      </c>
      <c r="I804" s="1" t="s">
        <v>39</v>
      </c>
      <c r="J804" s="1" t="s">
        <v>40</v>
      </c>
      <c r="K804" s="1" t="s">
        <v>41</v>
      </c>
      <c r="L804" s="1">
        <v>5</v>
      </c>
    </row>
    <row r="805" spans="1:12" s="32" customFormat="1" hidden="1" x14ac:dyDescent="0.3">
      <c r="A805" s="37">
        <v>46135.393078703702</v>
      </c>
      <c r="B805" s="1" t="s">
        <v>48</v>
      </c>
      <c r="C805" s="1">
        <v>4430459001</v>
      </c>
      <c r="D805" s="1"/>
      <c r="E805" s="1">
        <v>381</v>
      </c>
      <c r="F805" s="1">
        <v>363</v>
      </c>
      <c r="G805" s="1" t="s">
        <v>38</v>
      </c>
      <c r="H805" s="1" t="s">
        <v>2454</v>
      </c>
      <c r="I805" s="1" t="s">
        <v>46</v>
      </c>
      <c r="J805" s="1" t="s">
        <v>40</v>
      </c>
      <c r="K805" s="1"/>
      <c r="L805" s="1"/>
    </row>
    <row r="806" spans="1:12" s="32" customFormat="1" hidden="1" x14ac:dyDescent="0.3">
      <c r="A806" s="37">
        <v>46135.390625</v>
      </c>
      <c r="B806" s="1">
        <v>4430162376</v>
      </c>
      <c r="C806" s="1" t="s">
        <v>45</v>
      </c>
      <c r="D806" s="1">
        <v>4430265054</v>
      </c>
      <c r="E806" s="1">
        <v>483</v>
      </c>
      <c r="F806" s="1">
        <v>465</v>
      </c>
      <c r="G806" s="1" t="s">
        <v>38</v>
      </c>
      <c r="H806" s="1" t="s">
        <v>2455</v>
      </c>
      <c r="I806" s="1" t="s">
        <v>39</v>
      </c>
      <c r="J806" s="1" t="s">
        <v>40</v>
      </c>
      <c r="K806" s="1" t="s">
        <v>41</v>
      </c>
      <c r="L806" s="1"/>
    </row>
    <row r="807" spans="1:12" s="32" customFormat="1" hidden="1" x14ac:dyDescent="0.3">
      <c r="A807" s="37">
        <v>46135.387476851851</v>
      </c>
      <c r="B807" s="1" t="s">
        <v>48</v>
      </c>
      <c r="C807" s="1">
        <v>4430459001</v>
      </c>
      <c r="D807" s="1"/>
      <c r="E807" s="1">
        <v>352</v>
      </c>
      <c r="F807" s="1">
        <v>340</v>
      </c>
      <c r="G807" s="1" t="s">
        <v>38</v>
      </c>
      <c r="H807" s="1" t="s">
        <v>2456</v>
      </c>
      <c r="I807" s="1" t="s">
        <v>46</v>
      </c>
      <c r="J807" s="1" t="s">
        <v>40</v>
      </c>
      <c r="K807" s="1"/>
      <c r="L807" s="1"/>
    </row>
    <row r="808" spans="1:12" s="32" customFormat="1" hidden="1" x14ac:dyDescent="0.3">
      <c r="A808" s="37">
        <v>46135.365844907406</v>
      </c>
      <c r="B808" s="1">
        <v>77999014770</v>
      </c>
      <c r="C808" s="1" t="s">
        <v>43</v>
      </c>
      <c r="D808" s="1">
        <v>4430265054</v>
      </c>
      <c r="E808" s="1">
        <v>1855</v>
      </c>
      <c r="F808" s="1">
        <v>1739</v>
      </c>
      <c r="G808" s="1" t="s">
        <v>38</v>
      </c>
      <c r="H808" s="1" t="s">
        <v>2457</v>
      </c>
      <c r="I808" s="1" t="s">
        <v>39</v>
      </c>
      <c r="J808" s="1" t="s">
        <v>40</v>
      </c>
      <c r="K808" s="1" t="s">
        <v>41</v>
      </c>
      <c r="L808" s="1"/>
    </row>
    <row r="809" spans="1:12" s="32" customFormat="1" hidden="1" x14ac:dyDescent="0.3">
      <c r="A809" s="37">
        <v>46135.364479166667</v>
      </c>
      <c r="B809" s="1">
        <v>4436311970</v>
      </c>
      <c r="C809" s="1" t="s">
        <v>45</v>
      </c>
      <c r="D809" s="1">
        <v>4430265054</v>
      </c>
      <c r="E809" s="1">
        <v>563</v>
      </c>
      <c r="F809" s="1">
        <v>525</v>
      </c>
      <c r="G809" s="1" t="s">
        <v>38</v>
      </c>
      <c r="H809" s="1" t="s">
        <v>2458</v>
      </c>
      <c r="I809" s="1" t="s">
        <v>39</v>
      </c>
      <c r="J809" s="1" t="s">
        <v>40</v>
      </c>
      <c r="K809" s="1" t="s">
        <v>41</v>
      </c>
      <c r="L809" s="1">
        <v>5</v>
      </c>
    </row>
    <row r="810" spans="1:12" s="32" customFormat="1" hidden="1" x14ac:dyDescent="0.3">
      <c r="A810" s="37">
        <v>46135.361770833333</v>
      </c>
      <c r="B810" s="1" t="s">
        <v>48</v>
      </c>
      <c r="C810" s="1">
        <v>4430561673</v>
      </c>
      <c r="D810" s="1"/>
      <c r="E810" s="1">
        <v>627</v>
      </c>
      <c r="F810" s="1">
        <v>616</v>
      </c>
      <c r="G810" s="1" t="s">
        <v>38</v>
      </c>
      <c r="H810" s="1" t="s">
        <v>2459</v>
      </c>
      <c r="I810" s="1" t="s">
        <v>46</v>
      </c>
      <c r="J810" s="1" t="s">
        <v>40</v>
      </c>
      <c r="K810" s="1"/>
      <c r="L810" s="1"/>
    </row>
    <row r="811" spans="1:12" s="32" customFormat="1" hidden="1" x14ac:dyDescent="0.3">
      <c r="A811" s="37">
        <v>46135.361689814818</v>
      </c>
      <c r="B811" s="1" t="s">
        <v>48</v>
      </c>
      <c r="C811" s="1">
        <v>4430561673</v>
      </c>
      <c r="D811" s="1"/>
      <c r="E811" s="1">
        <v>25</v>
      </c>
      <c r="F811" s="1">
        <v>25</v>
      </c>
      <c r="G811" s="1" t="s">
        <v>38</v>
      </c>
      <c r="H811" s="1" t="s">
        <v>2460</v>
      </c>
      <c r="I811" s="1" t="s">
        <v>46</v>
      </c>
      <c r="J811" s="1" t="s">
        <v>40</v>
      </c>
      <c r="K811" s="1"/>
      <c r="L811" s="1"/>
    </row>
    <row r="812" spans="1:12" s="32" customFormat="1" hidden="1" x14ac:dyDescent="0.3">
      <c r="A812" s="37">
        <v>46135.35050925926</v>
      </c>
      <c r="B812" s="1" t="s">
        <v>43</v>
      </c>
      <c r="C812" s="1">
        <v>4334226481</v>
      </c>
      <c r="D812" s="1"/>
      <c r="E812" s="1">
        <v>167</v>
      </c>
      <c r="F812" s="1">
        <v>156</v>
      </c>
      <c r="G812" s="1" t="s">
        <v>38</v>
      </c>
      <c r="H812" s="1" t="s">
        <v>2461</v>
      </c>
      <c r="I812" s="1" t="s">
        <v>46</v>
      </c>
      <c r="J812" s="1" t="s">
        <v>40</v>
      </c>
      <c r="K812" s="1"/>
      <c r="L812" s="1"/>
    </row>
    <row r="813" spans="1:12" s="32" customFormat="1" hidden="1" x14ac:dyDescent="0.3">
      <c r="A813" s="37">
        <v>46135.347013888888</v>
      </c>
      <c r="B813" s="1" t="s">
        <v>45</v>
      </c>
      <c r="C813" s="1">
        <v>44991670431</v>
      </c>
      <c r="D813" s="1"/>
      <c r="E813" s="1">
        <v>69</v>
      </c>
      <c r="F813" s="1">
        <v>29</v>
      </c>
      <c r="G813" s="1" t="s">
        <v>38</v>
      </c>
      <c r="H813" s="1" t="s">
        <v>2462</v>
      </c>
      <c r="I813" s="1" t="s">
        <v>46</v>
      </c>
      <c r="J813" s="1" t="s">
        <v>40</v>
      </c>
      <c r="K813" s="1"/>
      <c r="L813" s="1"/>
    </row>
    <row r="814" spans="1:12" s="32" customFormat="1" hidden="1" x14ac:dyDescent="0.3">
      <c r="A814" s="37">
        <v>46135.346493055556</v>
      </c>
      <c r="B814" s="1" t="s">
        <v>45</v>
      </c>
      <c r="C814" s="1">
        <v>44991670431</v>
      </c>
      <c r="D814" s="1"/>
      <c r="E814" s="1">
        <v>68</v>
      </c>
      <c r="F814" s="1">
        <v>27</v>
      </c>
      <c r="G814" s="1" t="s">
        <v>38</v>
      </c>
      <c r="H814" s="1" t="s">
        <v>2463</v>
      </c>
      <c r="I814" s="1" t="s">
        <v>46</v>
      </c>
      <c r="J814" s="1" t="s">
        <v>40</v>
      </c>
      <c r="K814" s="1"/>
      <c r="L814" s="1"/>
    </row>
    <row r="815" spans="1:12" s="32" customFormat="1" hidden="1" x14ac:dyDescent="0.3">
      <c r="A815" s="37">
        <v>46134.741296296299</v>
      </c>
      <c r="B815" s="1">
        <v>44998039090</v>
      </c>
      <c r="C815" s="1">
        <v>4430265054</v>
      </c>
      <c r="D815" s="1">
        <v>4430265054</v>
      </c>
      <c r="E815" s="1">
        <v>12</v>
      </c>
      <c r="F815" s="1">
        <v>11</v>
      </c>
      <c r="G815" s="1" t="s">
        <v>52</v>
      </c>
      <c r="H815" s="1" t="s">
        <v>2464</v>
      </c>
      <c r="I815" s="1" t="s">
        <v>39</v>
      </c>
      <c r="J815" s="1" t="s">
        <v>53</v>
      </c>
      <c r="K815" s="1"/>
      <c r="L815" s="1"/>
    </row>
    <row r="816" spans="1:12" s="32" customFormat="1" hidden="1" x14ac:dyDescent="0.3">
      <c r="A816" s="37">
        <v>46134.735324074078</v>
      </c>
      <c r="B816" s="1">
        <v>44991484476</v>
      </c>
      <c r="C816" s="1" t="s">
        <v>43</v>
      </c>
      <c r="D816" s="1">
        <v>4430265054</v>
      </c>
      <c r="E816" s="1">
        <v>865</v>
      </c>
      <c r="F816" s="1">
        <v>656</v>
      </c>
      <c r="G816" s="1" t="s">
        <v>38</v>
      </c>
      <c r="H816" s="1" t="s">
        <v>2465</v>
      </c>
      <c r="I816" s="1" t="s">
        <v>39</v>
      </c>
      <c r="J816" s="1" t="s">
        <v>40</v>
      </c>
      <c r="K816" s="1" t="s">
        <v>41</v>
      </c>
      <c r="L816" s="1"/>
    </row>
    <row r="817" spans="1:12" s="32" customFormat="1" x14ac:dyDescent="0.3">
      <c r="A817" s="37">
        <v>46134.718078703707</v>
      </c>
      <c r="B817" s="1">
        <v>44999717086</v>
      </c>
      <c r="C817" s="1" t="s">
        <v>37</v>
      </c>
      <c r="D817" s="1">
        <v>4430265054</v>
      </c>
      <c r="E817" s="1">
        <v>1786</v>
      </c>
      <c r="F817" s="1">
        <v>1750</v>
      </c>
      <c r="G817" s="1" t="s">
        <v>38</v>
      </c>
      <c r="H817" s="1" t="s">
        <v>2466</v>
      </c>
      <c r="I817" s="1" t="s">
        <v>39</v>
      </c>
      <c r="J817" s="1" t="s">
        <v>40</v>
      </c>
      <c r="K817" s="1" t="s">
        <v>41</v>
      </c>
      <c r="L817" s="1">
        <v>5</v>
      </c>
    </row>
    <row r="818" spans="1:12" s="32" customFormat="1" hidden="1" x14ac:dyDescent="0.3">
      <c r="A818" s="37">
        <v>46134.713877314818</v>
      </c>
      <c r="B818" s="1">
        <v>35998295948</v>
      </c>
      <c r="C818" s="1" t="s">
        <v>37</v>
      </c>
      <c r="D818" s="1">
        <v>4430265054</v>
      </c>
      <c r="E818" s="1">
        <v>152</v>
      </c>
      <c r="F818" s="1">
        <v>112</v>
      </c>
      <c r="G818" s="1" t="s">
        <v>38</v>
      </c>
      <c r="H818" s="1" t="s">
        <v>2467</v>
      </c>
      <c r="I818" s="1" t="s">
        <v>39</v>
      </c>
      <c r="J818" s="1" t="s">
        <v>40</v>
      </c>
      <c r="K818" s="1" t="s">
        <v>41</v>
      </c>
      <c r="L818" s="1"/>
    </row>
    <row r="819" spans="1:12" s="32" customFormat="1" hidden="1" x14ac:dyDescent="0.3">
      <c r="A819" s="37">
        <v>46134.711759259262</v>
      </c>
      <c r="B819" s="1">
        <v>4433015967</v>
      </c>
      <c r="C819" s="1">
        <v>4430265054</v>
      </c>
      <c r="D819" s="1">
        <v>4430265054</v>
      </c>
      <c r="E819" s="1">
        <v>3</v>
      </c>
      <c r="F819" s="1">
        <v>2</v>
      </c>
      <c r="G819" s="1" t="s">
        <v>52</v>
      </c>
      <c r="H819" s="1" t="s">
        <v>2468</v>
      </c>
      <c r="I819" s="1" t="s">
        <v>39</v>
      </c>
      <c r="J819" s="1" t="s">
        <v>53</v>
      </c>
      <c r="K819" s="1"/>
      <c r="L819" s="1"/>
    </row>
    <row r="820" spans="1:12" s="32" customFormat="1" hidden="1" x14ac:dyDescent="0.3">
      <c r="A820" s="37">
        <v>46134.710694444446</v>
      </c>
      <c r="B820" s="1" t="s">
        <v>54</v>
      </c>
      <c r="C820" s="1">
        <v>28999257939</v>
      </c>
      <c r="D820" s="1"/>
      <c r="E820" s="1">
        <v>28</v>
      </c>
      <c r="F820" s="1">
        <v>0</v>
      </c>
      <c r="G820" s="1" t="s">
        <v>47</v>
      </c>
      <c r="H820" s="1" t="s">
        <v>2469</v>
      </c>
      <c r="I820" s="1" t="s">
        <v>46</v>
      </c>
      <c r="J820" s="1" t="s">
        <v>55</v>
      </c>
      <c r="K820" s="1"/>
      <c r="L820" s="1"/>
    </row>
    <row r="821" spans="1:12" s="32" customFormat="1" hidden="1" x14ac:dyDescent="0.3">
      <c r="A821" s="37">
        <v>46134.707627314812</v>
      </c>
      <c r="B821" s="1" t="s">
        <v>54</v>
      </c>
      <c r="C821" s="1">
        <v>24998651136</v>
      </c>
      <c r="D821" s="1"/>
      <c r="E821" s="1">
        <v>13</v>
      </c>
      <c r="F821" s="1">
        <v>0</v>
      </c>
      <c r="G821" s="1" t="s">
        <v>47</v>
      </c>
      <c r="H821" s="1" t="s">
        <v>2470</v>
      </c>
      <c r="I821" s="1" t="s">
        <v>46</v>
      </c>
      <c r="J821" s="1" t="s">
        <v>55</v>
      </c>
      <c r="K821" s="1"/>
      <c r="L821" s="1"/>
    </row>
    <row r="822" spans="1:12" s="32" customFormat="1" hidden="1" x14ac:dyDescent="0.3">
      <c r="A822" s="37">
        <v>46134.699699074074</v>
      </c>
      <c r="B822" s="1" t="s">
        <v>48</v>
      </c>
      <c r="C822" s="1">
        <v>4430459001</v>
      </c>
      <c r="D822" s="1"/>
      <c r="E822" s="1">
        <v>69</v>
      </c>
      <c r="F822" s="1">
        <v>50</v>
      </c>
      <c r="G822" s="1" t="s">
        <v>38</v>
      </c>
      <c r="H822" s="1" t="s">
        <v>2471</v>
      </c>
      <c r="I822" s="1" t="s">
        <v>46</v>
      </c>
      <c r="J822" s="1" t="s">
        <v>40</v>
      </c>
      <c r="K822" s="1"/>
      <c r="L822" s="1"/>
    </row>
    <row r="823" spans="1:12" s="32" customFormat="1" hidden="1" x14ac:dyDescent="0.3">
      <c r="A823" s="37">
        <v>46134.698171296295</v>
      </c>
      <c r="B823" s="1" t="s">
        <v>54</v>
      </c>
      <c r="C823" s="1">
        <v>4333248650</v>
      </c>
      <c r="D823" s="1"/>
      <c r="E823" s="1">
        <v>52</v>
      </c>
      <c r="F823" s="1">
        <v>0</v>
      </c>
      <c r="G823" s="1" t="s">
        <v>47</v>
      </c>
      <c r="H823" s="1" t="s">
        <v>2472</v>
      </c>
      <c r="I823" s="1" t="s">
        <v>46</v>
      </c>
      <c r="J823" s="1" t="s">
        <v>55</v>
      </c>
      <c r="K823" s="1"/>
      <c r="L823" s="1"/>
    </row>
    <row r="824" spans="1:12" s="32" customFormat="1" hidden="1" x14ac:dyDescent="0.3">
      <c r="A824" s="37">
        <v>46134.696493055555</v>
      </c>
      <c r="B824" s="1">
        <v>44997456641</v>
      </c>
      <c r="C824" s="1" t="s">
        <v>42</v>
      </c>
      <c r="D824" s="1">
        <v>4430265054</v>
      </c>
      <c r="E824" s="1">
        <v>246</v>
      </c>
      <c r="F824" s="1">
        <v>204</v>
      </c>
      <c r="G824" s="1" t="s">
        <v>38</v>
      </c>
      <c r="H824" s="1" t="s">
        <v>2473</v>
      </c>
      <c r="I824" s="1" t="s">
        <v>39</v>
      </c>
      <c r="J824" s="1" t="s">
        <v>40</v>
      </c>
      <c r="K824" s="1" t="s">
        <v>41</v>
      </c>
      <c r="L824" s="1"/>
    </row>
    <row r="825" spans="1:12" s="32" customFormat="1" hidden="1" x14ac:dyDescent="0.3">
      <c r="A825" s="37">
        <v>46134.69153935185</v>
      </c>
      <c r="B825" s="1">
        <v>35998295948</v>
      </c>
      <c r="C825" s="1" t="s">
        <v>45</v>
      </c>
      <c r="D825" s="1">
        <v>4430265054</v>
      </c>
      <c r="E825" s="1">
        <v>1268</v>
      </c>
      <c r="F825" s="1">
        <v>1102</v>
      </c>
      <c r="G825" s="1" t="s">
        <v>38</v>
      </c>
      <c r="H825" s="1" t="s">
        <v>2474</v>
      </c>
      <c r="I825" s="1" t="s">
        <v>39</v>
      </c>
      <c r="J825" s="1" t="s">
        <v>40</v>
      </c>
      <c r="K825" s="1" t="s">
        <v>41</v>
      </c>
      <c r="L825" s="1">
        <v>5</v>
      </c>
    </row>
    <row r="826" spans="1:12" s="32" customFormat="1" hidden="1" x14ac:dyDescent="0.3">
      <c r="A826" s="37">
        <v>46134.688472222224</v>
      </c>
      <c r="B826" s="1">
        <v>35998295948</v>
      </c>
      <c r="C826" s="1">
        <v>4430265054</v>
      </c>
      <c r="D826" s="1">
        <v>4430265054</v>
      </c>
      <c r="E826" s="1">
        <v>86</v>
      </c>
      <c r="F826" s="1">
        <v>86</v>
      </c>
      <c r="G826" s="1" t="s">
        <v>52</v>
      </c>
      <c r="H826" s="1" t="s">
        <v>2475</v>
      </c>
      <c r="I826" s="1" t="s">
        <v>39</v>
      </c>
      <c r="J826" s="1" t="s">
        <v>53</v>
      </c>
      <c r="K826" s="1" t="s">
        <v>41</v>
      </c>
      <c r="L826" s="1"/>
    </row>
    <row r="827" spans="1:12" s="32" customFormat="1" hidden="1" x14ac:dyDescent="0.3">
      <c r="A827" s="37">
        <v>46134.68787037037</v>
      </c>
      <c r="B827" s="1">
        <v>44999647912</v>
      </c>
      <c r="C827" s="1" t="s">
        <v>45</v>
      </c>
      <c r="D827" s="1">
        <v>4430265054</v>
      </c>
      <c r="E827" s="1">
        <v>341</v>
      </c>
      <c r="F827" s="1">
        <v>245</v>
      </c>
      <c r="G827" s="1" t="s">
        <v>38</v>
      </c>
      <c r="H827" s="1" t="s">
        <v>2476</v>
      </c>
      <c r="I827" s="1" t="s">
        <v>39</v>
      </c>
      <c r="J827" s="1" t="s">
        <v>40</v>
      </c>
      <c r="K827" s="1" t="s">
        <v>41</v>
      </c>
      <c r="L827" s="1">
        <v>5</v>
      </c>
    </row>
    <row r="828" spans="1:12" s="32" customFormat="1" hidden="1" x14ac:dyDescent="0.3">
      <c r="A828" s="37">
        <v>46134.686157407406</v>
      </c>
      <c r="B828" s="1" t="s">
        <v>57</v>
      </c>
      <c r="C828" s="1">
        <v>44997687156</v>
      </c>
      <c r="D828" s="1"/>
      <c r="E828" s="1">
        <v>555</v>
      </c>
      <c r="F828" s="1">
        <v>541</v>
      </c>
      <c r="G828" s="1" t="s">
        <v>38</v>
      </c>
      <c r="H828" s="1" t="s">
        <v>2477</v>
      </c>
      <c r="I828" s="1" t="s">
        <v>46</v>
      </c>
      <c r="J828" s="1" t="s">
        <v>55</v>
      </c>
      <c r="K828" s="1"/>
      <c r="L828" s="1"/>
    </row>
    <row r="829" spans="1:12" s="32" customFormat="1" hidden="1" x14ac:dyDescent="0.3">
      <c r="A829" s="37">
        <v>46134.683796296296</v>
      </c>
      <c r="B829" s="1">
        <v>35998295948</v>
      </c>
      <c r="C829" s="1" t="s">
        <v>44</v>
      </c>
      <c r="D829" s="1">
        <v>4430265054</v>
      </c>
      <c r="E829" s="1">
        <v>242</v>
      </c>
      <c r="F829" s="1">
        <v>160</v>
      </c>
      <c r="G829" s="1" t="s">
        <v>38</v>
      </c>
      <c r="H829" s="1" t="s">
        <v>2478</v>
      </c>
      <c r="I829" s="1" t="s">
        <v>39</v>
      </c>
      <c r="J829" s="1" t="s">
        <v>40</v>
      </c>
      <c r="K829" s="1" t="s">
        <v>41</v>
      </c>
      <c r="L829" s="1"/>
    </row>
    <row r="830" spans="1:12" s="32" customFormat="1" hidden="1" x14ac:dyDescent="0.3">
      <c r="A830" s="37">
        <v>46134.681574074071</v>
      </c>
      <c r="B830" s="1">
        <v>4121413772</v>
      </c>
      <c r="C830" s="1" t="s">
        <v>44</v>
      </c>
      <c r="D830" s="1">
        <v>4531273158</v>
      </c>
      <c r="E830" s="1">
        <v>46</v>
      </c>
      <c r="F830" s="1">
        <v>10</v>
      </c>
      <c r="G830" s="1" t="s">
        <v>38</v>
      </c>
      <c r="H830" s="1" t="s">
        <v>2479</v>
      </c>
      <c r="I830" s="1" t="s">
        <v>39</v>
      </c>
      <c r="J830" s="1" t="s">
        <v>40</v>
      </c>
      <c r="K830" s="1" t="s">
        <v>41</v>
      </c>
      <c r="L830" s="1"/>
    </row>
    <row r="831" spans="1:12" s="32" customFormat="1" hidden="1" x14ac:dyDescent="0.3">
      <c r="A831" s="37">
        <v>46134.679942129631</v>
      </c>
      <c r="B831" s="1">
        <v>14997225372</v>
      </c>
      <c r="C831" s="1" t="s">
        <v>42</v>
      </c>
      <c r="D831" s="1">
        <v>4430265054</v>
      </c>
      <c r="E831" s="1">
        <v>938</v>
      </c>
      <c r="F831" s="1">
        <v>914</v>
      </c>
      <c r="G831" s="1" t="s">
        <v>38</v>
      </c>
      <c r="H831" s="1" t="s">
        <v>2480</v>
      </c>
      <c r="I831" s="1" t="s">
        <v>39</v>
      </c>
      <c r="J831" s="1" t="s">
        <v>40</v>
      </c>
      <c r="K831" s="1" t="s">
        <v>41</v>
      </c>
      <c r="L831" s="1"/>
    </row>
    <row r="832" spans="1:12" s="32" customFormat="1" hidden="1" x14ac:dyDescent="0.3">
      <c r="A832" s="37">
        <v>46134.677152777775</v>
      </c>
      <c r="B832" s="1" t="s">
        <v>42</v>
      </c>
      <c r="C832" s="1">
        <v>14997225372</v>
      </c>
      <c r="D832" s="1"/>
      <c r="E832" s="1">
        <v>6</v>
      </c>
      <c r="F832" s="1">
        <v>0</v>
      </c>
      <c r="G832" s="1" t="s">
        <v>47</v>
      </c>
      <c r="H832" s="1" t="s">
        <v>2481</v>
      </c>
      <c r="I832" s="1" t="s">
        <v>46</v>
      </c>
      <c r="J832" s="1" t="s">
        <v>40</v>
      </c>
      <c r="K832" s="1"/>
      <c r="L832" s="1"/>
    </row>
    <row r="833" spans="1:12" s="32" customFormat="1" hidden="1" x14ac:dyDescent="0.3">
      <c r="A833" s="37">
        <v>46134.663807870369</v>
      </c>
      <c r="B833" s="1">
        <v>4430167984</v>
      </c>
      <c r="C833" s="1">
        <v>4430265054</v>
      </c>
      <c r="D833" s="1">
        <v>4430265054</v>
      </c>
      <c r="E833" s="1">
        <v>3</v>
      </c>
      <c r="F833" s="1">
        <v>3</v>
      </c>
      <c r="G833" s="1" t="s">
        <v>52</v>
      </c>
      <c r="H833" s="1" t="s">
        <v>2482</v>
      </c>
      <c r="I833" s="1" t="s">
        <v>39</v>
      </c>
      <c r="J833" s="1" t="s">
        <v>53</v>
      </c>
      <c r="K833" s="1"/>
      <c r="L833" s="1"/>
    </row>
    <row r="834" spans="1:12" s="32" customFormat="1" hidden="1" x14ac:dyDescent="0.3">
      <c r="A834" s="37">
        <v>46134.662685185183</v>
      </c>
      <c r="B834" s="1">
        <v>91989363636</v>
      </c>
      <c r="C834" s="1" t="s">
        <v>43</v>
      </c>
      <c r="D834" s="1">
        <v>4430265054</v>
      </c>
      <c r="E834" s="1">
        <v>417</v>
      </c>
      <c r="F834" s="1">
        <v>296</v>
      </c>
      <c r="G834" s="1" t="s">
        <v>38</v>
      </c>
      <c r="H834" s="1" t="s">
        <v>2483</v>
      </c>
      <c r="I834" s="1" t="s">
        <v>39</v>
      </c>
      <c r="J834" s="1" t="s">
        <v>40</v>
      </c>
      <c r="K834" s="1" t="s">
        <v>41</v>
      </c>
      <c r="L834" s="1"/>
    </row>
    <row r="835" spans="1:12" s="32" customFormat="1" x14ac:dyDescent="0.3">
      <c r="A835" s="37">
        <v>46134.660717592589</v>
      </c>
      <c r="B835" s="1">
        <v>44999869092</v>
      </c>
      <c r="C835" s="1" t="s">
        <v>37</v>
      </c>
      <c r="D835" s="1">
        <v>4430265054</v>
      </c>
      <c r="E835" s="1">
        <v>2104</v>
      </c>
      <c r="F835" s="1">
        <v>2077</v>
      </c>
      <c r="G835" s="1" t="s">
        <v>38</v>
      </c>
      <c r="H835" s="1" t="s">
        <v>2484</v>
      </c>
      <c r="I835" s="1" t="s">
        <v>39</v>
      </c>
      <c r="J835" s="1" t="s">
        <v>40</v>
      </c>
      <c r="K835" s="1" t="s">
        <v>41</v>
      </c>
      <c r="L835" s="1">
        <v>5</v>
      </c>
    </row>
    <row r="836" spans="1:12" s="32" customFormat="1" hidden="1" x14ac:dyDescent="0.3">
      <c r="A836" s="37">
        <v>46134.65966435185</v>
      </c>
      <c r="B836" s="1" t="s">
        <v>37</v>
      </c>
      <c r="C836" s="1">
        <v>44999869092</v>
      </c>
      <c r="D836" s="1"/>
      <c r="E836" s="1">
        <v>10</v>
      </c>
      <c r="F836" s="1">
        <v>0</v>
      </c>
      <c r="G836" s="1" t="s">
        <v>47</v>
      </c>
      <c r="H836" s="1" t="s">
        <v>2485</v>
      </c>
      <c r="I836" s="1" t="s">
        <v>46</v>
      </c>
      <c r="J836" s="1" t="s">
        <v>40</v>
      </c>
      <c r="K836" s="1"/>
      <c r="L836" s="1"/>
    </row>
    <row r="837" spans="1:12" s="32" customFormat="1" hidden="1" x14ac:dyDescent="0.3">
      <c r="A837" s="37">
        <v>46134.659155092595</v>
      </c>
      <c r="B837" s="1" t="s">
        <v>37</v>
      </c>
      <c r="C837" s="1">
        <v>44999869092</v>
      </c>
      <c r="D837" s="1"/>
      <c r="E837" s="1">
        <v>41</v>
      </c>
      <c r="F837" s="1">
        <v>29</v>
      </c>
      <c r="G837" s="1" t="s">
        <v>38</v>
      </c>
      <c r="H837" s="1" t="s">
        <v>2486</v>
      </c>
      <c r="I837" s="1" t="s">
        <v>46</v>
      </c>
      <c r="J837" s="1" t="s">
        <v>40</v>
      </c>
      <c r="K837" s="1"/>
      <c r="L837" s="1"/>
    </row>
    <row r="838" spans="1:12" s="32" customFormat="1" hidden="1" x14ac:dyDescent="0.3">
      <c r="A838" s="37">
        <v>46134.659062500003</v>
      </c>
      <c r="B838" s="1" t="s">
        <v>37</v>
      </c>
      <c r="C838" s="1">
        <v>44999869092</v>
      </c>
      <c r="D838" s="1"/>
      <c r="E838" s="1">
        <v>2</v>
      </c>
      <c r="F838" s="1">
        <v>0</v>
      </c>
      <c r="G838" s="1" t="s">
        <v>47</v>
      </c>
      <c r="H838" s="1" t="s">
        <v>2487</v>
      </c>
      <c r="I838" s="1" t="s">
        <v>46</v>
      </c>
      <c r="J838" s="1" t="s">
        <v>40</v>
      </c>
      <c r="K838" s="1"/>
      <c r="L838" s="1"/>
    </row>
    <row r="839" spans="1:12" s="32" customFormat="1" hidden="1" x14ac:dyDescent="0.3">
      <c r="A839" s="37">
        <v>46134.657268518517</v>
      </c>
      <c r="B839" s="1" t="s">
        <v>37</v>
      </c>
      <c r="C839" s="1">
        <v>44999869092</v>
      </c>
      <c r="D839" s="1"/>
      <c r="E839" s="1">
        <v>41</v>
      </c>
      <c r="F839" s="1">
        <v>29</v>
      </c>
      <c r="G839" s="1" t="s">
        <v>38</v>
      </c>
      <c r="H839" s="1" t="s">
        <v>2488</v>
      </c>
      <c r="I839" s="1" t="s">
        <v>46</v>
      </c>
      <c r="J839" s="1" t="s">
        <v>40</v>
      </c>
      <c r="K839" s="1"/>
      <c r="L839" s="1"/>
    </row>
    <row r="840" spans="1:12" s="32" customFormat="1" hidden="1" x14ac:dyDescent="0.3">
      <c r="A840" s="37">
        <v>46134.656967592593</v>
      </c>
      <c r="B840" s="1" t="s">
        <v>37</v>
      </c>
      <c r="C840" s="1">
        <v>4430279013</v>
      </c>
      <c r="D840" s="1"/>
      <c r="E840" s="1">
        <v>4</v>
      </c>
      <c r="F840" s="1">
        <v>0</v>
      </c>
      <c r="G840" s="1" t="s">
        <v>47</v>
      </c>
      <c r="H840" s="1" t="s">
        <v>2489</v>
      </c>
      <c r="I840" s="1" t="s">
        <v>46</v>
      </c>
      <c r="J840" s="1" t="s">
        <v>40</v>
      </c>
      <c r="K840" s="1"/>
      <c r="L840" s="1"/>
    </row>
    <row r="841" spans="1:12" s="32" customFormat="1" hidden="1" x14ac:dyDescent="0.3">
      <c r="A841" s="37">
        <v>46134.651365740741</v>
      </c>
      <c r="B841" s="1">
        <v>4130155076</v>
      </c>
      <c r="C841" s="1" t="s">
        <v>45</v>
      </c>
      <c r="D841" s="1">
        <v>4430265054</v>
      </c>
      <c r="E841" s="1">
        <v>2934</v>
      </c>
      <c r="F841" s="1">
        <v>2866</v>
      </c>
      <c r="G841" s="1" t="s">
        <v>38</v>
      </c>
      <c r="H841" s="1" t="s">
        <v>2490</v>
      </c>
      <c r="I841" s="1" t="s">
        <v>39</v>
      </c>
      <c r="J841" s="1" t="s">
        <v>40</v>
      </c>
      <c r="K841" s="1" t="s">
        <v>41</v>
      </c>
      <c r="L841" s="1">
        <v>5</v>
      </c>
    </row>
    <row r="842" spans="1:12" s="32" customFormat="1" hidden="1" x14ac:dyDescent="0.3">
      <c r="A842" s="37">
        <v>46134.648657407408</v>
      </c>
      <c r="B842" s="1" t="s">
        <v>50</v>
      </c>
      <c r="C842" s="1">
        <v>44999720092</v>
      </c>
      <c r="D842" s="1"/>
      <c r="E842" s="1">
        <v>18</v>
      </c>
      <c r="F842" s="1">
        <v>1</v>
      </c>
      <c r="G842" s="1" t="s">
        <v>38</v>
      </c>
      <c r="H842" s="1" t="s">
        <v>2491</v>
      </c>
      <c r="I842" s="1" t="s">
        <v>46</v>
      </c>
      <c r="J842" s="1" t="s">
        <v>55</v>
      </c>
      <c r="K842" s="1"/>
      <c r="L842" s="1"/>
    </row>
    <row r="843" spans="1:12" s="32" customFormat="1" hidden="1" x14ac:dyDescent="0.3">
      <c r="A843" s="37">
        <v>46134.643854166665</v>
      </c>
      <c r="B843" s="1">
        <v>4124410574</v>
      </c>
      <c r="C843" s="1">
        <v>4430265054</v>
      </c>
      <c r="D843" s="1">
        <v>4430265054</v>
      </c>
      <c r="E843" s="1">
        <v>4</v>
      </c>
      <c r="F843" s="1">
        <v>3</v>
      </c>
      <c r="G843" s="1" t="s">
        <v>52</v>
      </c>
      <c r="H843" s="1" t="s">
        <v>2492</v>
      </c>
      <c r="I843" s="1" t="s">
        <v>39</v>
      </c>
      <c r="J843" s="1" t="s">
        <v>53</v>
      </c>
      <c r="K843" s="1"/>
      <c r="L843" s="1"/>
    </row>
    <row r="844" spans="1:12" s="32" customFormat="1" hidden="1" x14ac:dyDescent="0.3">
      <c r="A844" s="37">
        <v>46134.641689814816</v>
      </c>
      <c r="B844" s="1">
        <v>44999869092</v>
      </c>
      <c r="C844" s="1" t="s">
        <v>45</v>
      </c>
      <c r="D844" s="1">
        <v>4430265054</v>
      </c>
      <c r="E844" s="1">
        <v>145</v>
      </c>
      <c r="F844" s="1">
        <v>45</v>
      </c>
      <c r="G844" s="1" t="s">
        <v>38</v>
      </c>
      <c r="H844" s="1" t="s">
        <v>2493</v>
      </c>
      <c r="I844" s="1" t="s">
        <v>39</v>
      </c>
      <c r="J844" s="1" t="s">
        <v>40</v>
      </c>
      <c r="K844" s="1" t="s">
        <v>41</v>
      </c>
      <c r="L844" s="1"/>
    </row>
    <row r="845" spans="1:12" s="32" customFormat="1" hidden="1" x14ac:dyDescent="0.3">
      <c r="A845" s="37">
        <v>46134.64130787037</v>
      </c>
      <c r="B845" s="1" t="s">
        <v>54</v>
      </c>
      <c r="C845" s="1">
        <v>16991611860</v>
      </c>
      <c r="D845" s="1"/>
      <c r="E845" s="1">
        <v>16</v>
      </c>
      <c r="F845" s="1">
        <v>1</v>
      </c>
      <c r="G845" s="1" t="s">
        <v>38</v>
      </c>
      <c r="H845" s="1" t="s">
        <v>2494</v>
      </c>
      <c r="I845" s="1" t="s">
        <v>46</v>
      </c>
      <c r="J845" s="1" t="s">
        <v>55</v>
      </c>
      <c r="K845" s="1"/>
      <c r="L845" s="1"/>
    </row>
    <row r="846" spans="1:12" s="32" customFormat="1" hidden="1" x14ac:dyDescent="0.3">
      <c r="A846" s="37">
        <v>46134.639178240737</v>
      </c>
      <c r="B846" s="1" t="s">
        <v>54</v>
      </c>
      <c r="C846" s="1">
        <v>71992049037</v>
      </c>
      <c r="D846" s="1"/>
      <c r="E846" s="1">
        <v>75</v>
      </c>
      <c r="F846" s="1">
        <v>47</v>
      </c>
      <c r="G846" s="1" t="s">
        <v>38</v>
      </c>
      <c r="H846" s="1" t="s">
        <v>2495</v>
      </c>
      <c r="I846" s="1" t="s">
        <v>46</v>
      </c>
      <c r="J846" s="1" t="s">
        <v>55</v>
      </c>
      <c r="K846" s="1"/>
      <c r="L846" s="1"/>
    </row>
    <row r="847" spans="1:12" s="32" customFormat="1" hidden="1" x14ac:dyDescent="0.3">
      <c r="A847" s="37">
        <v>46134.637986111113</v>
      </c>
      <c r="B847" s="1" t="s">
        <v>44</v>
      </c>
      <c r="C847" s="1">
        <v>4334232912</v>
      </c>
      <c r="D847" s="1"/>
      <c r="E847" s="1">
        <v>258</v>
      </c>
      <c r="F847" s="1">
        <v>246</v>
      </c>
      <c r="G847" s="1" t="s">
        <v>38</v>
      </c>
      <c r="H847" s="1" t="s">
        <v>2496</v>
      </c>
      <c r="I847" s="1" t="s">
        <v>46</v>
      </c>
      <c r="J847" s="1" t="s">
        <v>40</v>
      </c>
      <c r="K847" s="1"/>
      <c r="L847" s="1"/>
    </row>
    <row r="848" spans="1:12" s="32" customFormat="1" hidden="1" x14ac:dyDescent="0.3">
      <c r="A848" s="37">
        <v>46134.637002314812</v>
      </c>
      <c r="B848" s="1">
        <v>4430291622</v>
      </c>
      <c r="C848" s="1" t="s">
        <v>43</v>
      </c>
      <c r="D848" s="1">
        <v>4430265054</v>
      </c>
      <c r="E848" s="1">
        <v>1343</v>
      </c>
      <c r="F848" s="1">
        <v>1309</v>
      </c>
      <c r="G848" s="1" t="s">
        <v>38</v>
      </c>
      <c r="H848" s="1" t="s">
        <v>2497</v>
      </c>
      <c r="I848" s="1" t="s">
        <v>39</v>
      </c>
      <c r="J848" s="1" t="s">
        <v>40</v>
      </c>
      <c r="K848" s="1" t="s">
        <v>41</v>
      </c>
      <c r="L848" s="1">
        <v>5</v>
      </c>
    </row>
    <row r="849" spans="1:12" s="32" customFormat="1" hidden="1" x14ac:dyDescent="0.3">
      <c r="A849" s="37">
        <v>46134.635324074072</v>
      </c>
      <c r="B849" s="1">
        <v>67992169496</v>
      </c>
      <c r="C849" s="1" t="s">
        <v>45</v>
      </c>
      <c r="D849" s="1">
        <v>4430265054</v>
      </c>
      <c r="E849" s="1">
        <v>405</v>
      </c>
      <c r="F849" s="1">
        <v>257</v>
      </c>
      <c r="G849" s="1" t="s">
        <v>38</v>
      </c>
      <c r="H849" s="1" t="s">
        <v>2498</v>
      </c>
      <c r="I849" s="1" t="s">
        <v>39</v>
      </c>
      <c r="J849" s="1" t="s">
        <v>40</v>
      </c>
      <c r="K849" s="1" t="s">
        <v>41</v>
      </c>
      <c r="L849" s="1"/>
    </row>
    <row r="850" spans="1:12" s="32" customFormat="1" hidden="1" x14ac:dyDescent="0.3">
      <c r="A850" s="37">
        <v>46134.631041666667</v>
      </c>
      <c r="B850" s="1" t="s">
        <v>48</v>
      </c>
      <c r="C850" s="1">
        <v>4430293755</v>
      </c>
      <c r="D850" s="1"/>
      <c r="E850" s="1">
        <v>198</v>
      </c>
      <c r="F850" s="1">
        <v>165</v>
      </c>
      <c r="G850" s="1" t="s">
        <v>38</v>
      </c>
      <c r="H850" s="1" t="s">
        <v>2499</v>
      </c>
      <c r="I850" s="1" t="s">
        <v>46</v>
      </c>
      <c r="J850" s="1" t="s">
        <v>40</v>
      </c>
      <c r="K850" s="1"/>
      <c r="L850" s="1"/>
    </row>
    <row r="851" spans="1:12" s="32" customFormat="1" hidden="1" x14ac:dyDescent="0.3">
      <c r="A851" s="37">
        <v>46134.630925925929</v>
      </c>
      <c r="B851" s="1" t="s">
        <v>48</v>
      </c>
      <c r="C851" s="1">
        <v>4432325260</v>
      </c>
      <c r="D851" s="1"/>
      <c r="E851" s="1">
        <v>25</v>
      </c>
      <c r="F851" s="1">
        <v>25</v>
      </c>
      <c r="G851" s="1" t="s">
        <v>38</v>
      </c>
      <c r="H851" s="1" t="s">
        <v>2500</v>
      </c>
      <c r="I851" s="1" t="s">
        <v>46</v>
      </c>
      <c r="J851" s="1" t="s">
        <v>40</v>
      </c>
      <c r="K851" s="1"/>
      <c r="L851" s="1"/>
    </row>
    <row r="852" spans="1:12" s="32" customFormat="1" hidden="1" x14ac:dyDescent="0.3">
      <c r="A852" s="37">
        <v>46134.629351851851</v>
      </c>
      <c r="B852" s="1">
        <v>4430450103</v>
      </c>
      <c r="C852" s="1" t="s">
        <v>43</v>
      </c>
      <c r="D852" s="1">
        <v>4430265054</v>
      </c>
      <c r="E852" s="1">
        <v>324</v>
      </c>
      <c r="F852" s="1">
        <v>293</v>
      </c>
      <c r="G852" s="1" t="s">
        <v>38</v>
      </c>
      <c r="H852" s="1" t="s">
        <v>2501</v>
      </c>
      <c r="I852" s="1" t="s">
        <v>39</v>
      </c>
      <c r="J852" s="1" t="s">
        <v>40</v>
      </c>
      <c r="K852" s="1" t="s">
        <v>41</v>
      </c>
      <c r="L852" s="1">
        <v>5</v>
      </c>
    </row>
    <row r="853" spans="1:12" s="32" customFormat="1" hidden="1" x14ac:dyDescent="0.3">
      <c r="A853" s="37">
        <v>46134.628738425927</v>
      </c>
      <c r="B853" s="1" t="s">
        <v>48</v>
      </c>
      <c r="C853" s="1">
        <v>4430293755</v>
      </c>
      <c r="D853" s="1"/>
      <c r="E853" s="1">
        <v>7</v>
      </c>
      <c r="F853" s="1">
        <v>0</v>
      </c>
      <c r="G853" s="1" t="s">
        <v>47</v>
      </c>
      <c r="H853" s="1" t="s">
        <v>2502</v>
      </c>
      <c r="I853" s="1" t="s">
        <v>46</v>
      </c>
      <c r="J853" s="1" t="s">
        <v>40</v>
      </c>
      <c r="K853" s="1"/>
      <c r="L853" s="1"/>
    </row>
    <row r="854" spans="1:12" s="32" customFormat="1" hidden="1" x14ac:dyDescent="0.3">
      <c r="A854" s="37">
        <v>46134.623877314814</v>
      </c>
      <c r="B854" s="1">
        <v>44999632141</v>
      </c>
      <c r="C854" s="1" t="s">
        <v>44</v>
      </c>
      <c r="D854" s="1">
        <v>4430265054</v>
      </c>
      <c r="E854" s="1">
        <v>530</v>
      </c>
      <c r="F854" s="1">
        <v>493</v>
      </c>
      <c r="G854" s="1" t="s">
        <v>38</v>
      </c>
      <c r="H854" s="1" t="s">
        <v>2503</v>
      </c>
      <c r="I854" s="1" t="s">
        <v>39</v>
      </c>
      <c r="J854" s="1" t="s">
        <v>40</v>
      </c>
      <c r="K854" s="1" t="s">
        <v>41</v>
      </c>
      <c r="L854" s="1">
        <v>4</v>
      </c>
    </row>
    <row r="855" spans="1:12" s="32" customFormat="1" hidden="1" x14ac:dyDescent="0.3">
      <c r="A855" s="37">
        <v>46134.620289351849</v>
      </c>
      <c r="B855" s="1">
        <v>67992169496</v>
      </c>
      <c r="C855" s="1" t="s">
        <v>42</v>
      </c>
      <c r="D855" s="1">
        <v>4430265054</v>
      </c>
      <c r="E855" s="1">
        <v>517</v>
      </c>
      <c r="F855" s="1">
        <v>398</v>
      </c>
      <c r="G855" s="1" t="s">
        <v>38</v>
      </c>
      <c r="H855" s="1" t="s">
        <v>2504</v>
      </c>
      <c r="I855" s="1" t="s">
        <v>39</v>
      </c>
      <c r="J855" s="1" t="s">
        <v>40</v>
      </c>
      <c r="K855" s="1" t="s">
        <v>41</v>
      </c>
      <c r="L855" s="1"/>
    </row>
    <row r="856" spans="1:12" s="32" customFormat="1" hidden="1" x14ac:dyDescent="0.3">
      <c r="A856" s="37">
        <v>46134.618055555555</v>
      </c>
      <c r="B856" s="1">
        <v>44999632141</v>
      </c>
      <c r="C856" s="1">
        <v>4430265054</v>
      </c>
      <c r="D856" s="1">
        <v>4430265054</v>
      </c>
      <c r="E856" s="1">
        <v>11</v>
      </c>
      <c r="F856" s="1">
        <v>11</v>
      </c>
      <c r="G856" s="1" t="s">
        <v>52</v>
      </c>
      <c r="H856" s="1" t="s">
        <v>2505</v>
      </c>
      <c r="I856" s="1" t="s">
        <v>39</v>
      </c>
      <c r="J856" s="1" t="s">
        <v>53</v>
      </c>
      <c r="K856" s="1"/>
      <c r="L856" s="1"/>
    </row>
    <row r="857" spans="1:12" s="32" customFormat="1" x14ac:dyDescent="0.3">
      <c r="A857" s="37">
        <v>46134.615879629629</v>
      </c>
      <c r="B857" s="1">
        <v>4430286524</v>
      </c>
      <c r="C857" s="1" t="s">
        <v>37</v>
      </c>
      <c r="D857" s="1">
        <v>4430265054</v>
      </c>
      <c r="E857" s="1">
        <v>2237</v>
      </c>
      <c r="F857" s="1">
        <v>2155</v>
      </c>
      <c r="G857" s="1" t="s">
        <v>38</v>
      </c>
      <c r="H857" s="1" t="s">
        <v>2506</v>
      </c>
      <c r="I857" s="1" t="s">
        <v>39</v>
      </c>
      <c r="J857" s="1" t="s">
        <v>40</v>
      </c>
      <c r="K857" s="1" t="s">
        <v>41</v>
      </c>
      <c r="L857" s="1">
        <v>5</v>
      </c>
    </row>
    <row r="858" spans="1:12" s="32" customFormat="1" hidden="1" x14ac:dyDescent="0.3">
      <c r="A858" s="37">
        <v>46134.613599537035</v>
      </c>
      <c r="B858" s="1" t="s">
        <v>43</v>
      </c>
      <c r="C858" s="1">
        <v>4532541802</v>
      </c>
      <c r="D858" s="1"/>
      <c r="E858" s="1">
        <v>510</v>
      </c>
      <c r="F858" s="1">
        <v>509</v>
      </c>
      <c r="G858" s="1" t="s">
        <v>38</v>
      </c>
      <c r="H858" s="1" t="s">
        <v>2507</v>
      </c>
      <c r="I858" s="1" t="s">
        <v>46</v>
      </c>
      <c r="J858" s="1" t="s">
        <v>40</v>
      </c>
      <c r="K858" s="1"/>
      <c r="L858" s="1"/>
    </row>
    <row r="859" spans="1:12" s="32" customFormat="1" hidden="1" x14ac:dyDescent="0.3">
      <c r="A859" s="37">
        <v>46134.594386574077</v>
      </c>
      <c r="B859" s="1" t="s">
        <v>54</v>
      </c>
      <c r="C859" s="1">
        <v>11989111872</v>
      </c>
      <c r="D859" s="1"/>
      <c r="E859" s="1">
        <v>40</v>
      </c>
      <c r="F859" s="1">
        <v>34</v>
      </c>
      <c r="G859" s="1" t="s">
        <v>38</v>
      </c>
      <c r="H859" s="1" t="s">
        <v>2508</v>
      </c>
      <c r="I859" s="1" t="s">
        <v>46</v>
      </c>
      <c r="J859" s="1" t="s">
        <v>55</v>
      </c>
      <c r="K859" s="1"/>
      <c r="L859" s="1"/>
    </row>
    <row r="860" spans="1:12" s="32" customFormat="1" hidden="1" x14ac:dyDescent="0.3">
      <c r="A860" s="37">
        <v>46134.593923611108</v>
      </c>
      <c r="B860" s="1" t="s">
        <v>54</v>
      </c>
      <c r="C860" s="1">
        <v>84991998788</v>
      </c>
      <c r="D860" s="1"/>
      <c r="E860" s="1">
        <v>6</v>
      </c>
      <c r="F860" s="1">
        <v>0</v>
      </c>
      <c r="G860" s="1" t="s">
        <v>47</v>
      </c>
      <c r="H860" s="1" t="s">
        <v>2509</v>
      </c>
      <c r="I860" s="1" t="s">
        <v>46</v>
      </c>
      <c r="J860" s="1" t="s">
        <v>55</v>
      </c>
      <c r="K860" s="1"/>
      <c r="L860" s="1"/>
    </row>
    <row r="861" spans="1:12" s="32" customFormat="1" hidden="1" x14ac:dyDescent="0.3">
      <c r="A861" s="37">
        <v>46134.591539351852</v>
      </c>
      <c r="B861" s="1">
        <v>4533011395</v>
      </c>
      <c r="C861" s="1">
        <v>4531273159</v>
      </c>
      <c r="D861" s="1">
        <v>4531273159</v>
      </c>
      <c r="E861" s="1">
        <v>46</v>
      </c>
      <c r="F861" s="1">
        <v>46</v>
      </c>
      <c r="G861" s="1" t="s">
        <v>52</v>
      </c>
      <c r="H861" s="1" t="s">
        <v>2510</v>
      </c>
      <c r="I861" s="1" t="s">
        <v>39</v>
      </c>
      <c r="J861" s="1" t="s">
        <v>53</v>
      </c>
      <c r="K861" s="1" t="s">
        <v>41</v>
      </c>
      <c r="L861" s="1"/>
    </row>
    <row r="862" spans="1:12" s="32" customFormat="1" hidden="1" x14ac:dyDescent="0.3">
      <c r="A862" s="37">
        <v>46134.583553240744</v>
      </c>
      <c r="B862" s="1">
        <v>11947305533</v>
      </c>
      <c r="C862" s="1" t="s">
        <v>44</v>
      </c>
      <c r="D862" s="1">
        <v>4430265054</v>
      </c>
      <c r="E862" s="1">
        <v>220</v>
      </c>
      <c r="F862" s="1">
        <v>161</v>
      </c>
      <c r="G862" s="1" t="s">
        <v>38</v>
      </c>
      <c r="H862" s="1" t="s">
        <v>2511</v>
      </c>
      <c r="I862" s="1" t="s">
        <v>39</v>
      </c>
      <c r="J862" s="1" t="s">
        <v>40</v>
      </c>
      <c r="K862" s="1" t="s">
        <v>41</v>
      </c>
      <c r="L862" s="1"/>
    </row>
    <row r="863" spans="1:12" s="32" customFormat="1" hidden="1" x14ac:dyDescent="0.3">
      <c r="A863" s="37">
        <v>46134.580057870371</v>
      </c>
      <c r="B863" s="1">
        <v>44999654761</v>
      </c>
      <c r="C863" s="1" t="s">
        <v>45</v>
      </c>
      <c r="D863" s="1">
        <v>4430265054</v>
      </c>
      <c r="E863" s="1">
        <v>4214</v>
      </c>
      <c r="F863" s="1">
        <v>4169</v>
      </c>
      <c r="G863" s="1" t="s">
        <v>38</v>
      </c>
      <c r="H863" s="1" t="s">
        <v>2512</v>
      </c>
      <c r="I863" s="1" t="s">
        <v>39</v>
      </c>
      <c r="J863" s="1" t="s">
        <v>40</v>
      </c>
      <c r="K863" s="1" t="s">
        <v>41</v>
      </c>
      <c r="L863" s="1"/>
    </row>
    <row r="864" spans="1:12" s="32" customFormat="1" hidden="1" x14ac:dyDescent="0.3">
      <c r="A864" s="37">
        <v>46134.574016203704</v>
      </c>
      <c r="B864" s="1">
        <v>41999195082</v>
      </c>
      <c r="C864" s="1" t="s">
        <v>42</v>
      </c>
      <c r="D864" s="1">
        <v>4430265054</v>
      </c>
      <c r="E864" s="1">
        <v>1001</v>
      </c>
      <c r="F864" s="1">
        <v>959</v>
      </c>
      <c r="G864" s="1" t="s">
        <v>38</v>
      </c>
      <c r="H864" s="1" t="s">
        <v>2513</v>
      </c>
      <c r="I864" s="1" t="s">
        <v>39</v>
      </c>
      <c r="J864" s="1" t="s">
        <v>40</v>
      </c>
      <c r="K864" s="1" t="s">
        <v>41</v>
      </c>
      <c r="L864" s="1">
        <v>5</v>
      </c>
    </row>
    <row r="865" spans="1:12" s="32" customFormat="1" hidden="1" x14ac:dyDescent="0.3">
      <c r="A865" s="37">
        <v>46134.57371527778</v>
      </c>
      <c r="B865" s="1">
        <v>1128787060</v>
      </c>
      <c r="C865" s="1">
        <v>4430265054</v>
      </c>
      <c r="D865" s="1">
        <v>4430265054</v>
      </c>
      <c r="E865" s="1">
        <v>11</v>
      </c>
      <c r="F865" s="1">
        <v>11</v>
      </c>
      <c r="G865" s="1" t="s">
        <v>52</v>
      </c>
      <c r="H865" s="1" t="s">
        <v>2514</v>
      </c>
      <c r="I865" s="1" t="s">
        <v>39</v>
      </c>
      <c r="J865" s="1" t="s">
        <v>53</v>
      </c>
      <c r="K865" s="1"/>
      <c r="L865" s="1"/>
    </row>
    <row r="866" spans="1:12" s="32" customFormat="1" hidden="1" x14ac:dyDescent="0.3">
      <c r="A866" s="37">
        <v>46134.547974537039</v>
      </c>
      <c r="B866" s="1">
        <v>41999195082</v>
      </c>
      <c r="C866" s="1">
        <v>4430265054</v>
      </c>
      <c r="D866" s="1">
        <v>4430265054</v>
      </c>
      <c r="E866" s="1">
        <v>13</v>
      </c>
      <c r="F866" s="1">
        <v>12</v>
      </c>
      <c r="G866" s="1" t="s">
        <v>52</v>
      </c>
      <c r="H866" s="1" t="s">
        <v>2515</v>
      </c>
      <c r="I866" s="1" t="s">
        <v>39</v>
      </c>
      <c r="J866" s="1" t="s">
        <v>53</v>
      </c>
      <c r="K866" s="1"/>
      <c r="L866" s="1"/>
    </row>
    <row r="867" spans="1:12" s="32" customFormat="1" hidden="1" x14ac:dyDescent="0.3">
      <c r="A867" s="37">
        <v>46134.535775462966</v>
      </c>
      <c r="B867" s="1">
        <v>4121413772</v>
      </c>
      <c r="C867" s="1">
        <v>4531273152</v>
      </c>
      <c r="D867" s="1">
        <v>4531273152</v>
      </c>
      <c r="E867" s="1">
        <v>28</v>
      </c>
      <c r="F867" s="1">
        <v>28</v>
      </c>
      <c r="G867" s="1" t="s">
        <v>52</v>
      </c>
      <c r="H867" s="1" t="s">
        <v>2516</v>
      </c>
      <c r="I867" s="1" t="s">
        <v>39</v>
      </c>
      <c r="J867" s="1" t="s">
        <v>53</v>
      </c>
      <c r="K867" s="1"/>
      <c r="L867" s="1"/>
    </row>
    <row r="868" spans="1:12" s="32" customFormat="1" hidden="1" x14ac:dyDescent="0.3">
      <c r="A868" s="37">
        <v>46134.530231481483</v>
      </c>
      <c r="B868" s="1">
        <v>4121410323</v>
      </c>
      <c r="C868" s="1">
        <v>4531273151</v>
      </c>
      <c r="D868" s="1">
        <v>4531273151</v>
      </c>
      <c r="E868" s="1">
        <v>29</v>
      </c>
      <c r="F868" s="1">
        <v>28</v>
      </c>
      <c r="G868" s="1" t="s">
        <v>52</v>
      </c>
      <c r="H868" s="1" t="s">
        <v>2517</v>
      </c>
      <c r="I868" s="1" t="s">
        <v>39</v>
      </c>
      <c r="J868" s="1" t="s">
        <v>53</v>
      </c>
      <c r="K868" s="1"/>
      <c r="L868" s="1"/>
    </row>
    <row r="869" spans="1:12" s="32" customFormat="1" hidden="1" x14ac:dyDescent="0.3">
      <c r="A869" s="37">
        <v>46134.51835648148</v>
      </c>
      <c r="B869" s="1" t="s">
        <v>45</v>
      </c>
      <c r="C869" s="1">
        <v>44991670431</v>
      </c>
      <c r="D869" s="1"/>
      <c r="E869" s="1">
        <v>66</v>
      </c>
      <c r="F869" s="1">
        <v>26</v>
      </c>
      <c r="G869" s="1" t="s">
        <v>38</v>
      </c>
      <c r="H869" s="1" t="s">
        <v>2518</v>
      </c>
      <c r="I869" s="1" t="s">
        <v>46</v>
      </c>
      <c r="J869" s="1" t="s">
        <v>40</v>
      </c>
      <c r="K869" s="1"/>
      <c r="L869" s="1"/>
    </row>
    <row r="870" spans="1:12" s="32" customFormat="1" hidden="1" x14ac:dyDescent="0.3">
      <c r="A870" s="37">
        <v>46134.491168981483</v>
      </c>
      <c r="B870" s="1">
        <v>35998295948</v>
      </c>
      <c r="C870" s="1">
        <v>4430265054</v>
      </c>
      <c r="D870" s="1">
        <v>4430265054</v>
      </c>
      <c r="E870" s="1">
        <v>45</v>
      </c>
      <c r="F870" s="1">
        <v>44</v>
      </c>
      <c r="G870" s="1" t="s">
        <v>52</v>
      </c>
      <c r="H870" s="1" t="s">
        <v>2519</v>
      </c>
      <c r="I870" s="1" t="s">
        <v>39</v>
      </c>
      <c r="J870" s="1" t="s">
        <v>53</v>
      </c>
      <c r="K870" s="1" t="s">
        <v>41</v>
      </c>
      <c r="L870" s="1"/>
    </row>
    <row r="871" spans="1:12" s="32" customFormat="1" hidden="1" x14ac:dyDescent="0.3">
      <c r="A871" s="37">
        <v>46134.483287037037</v>
      </c>
      <c r="B871" s="1">
        <v>4533011420</v>
      </c>
      <c r="C871" s="1">
        <v>4531273156</v>
      </c>
      <c r="D871" s="1">
        <v>4531273156</v>
      </c>
      <c r="E871" s="1">
        <v>47</v>
      </c>
      <c r="F871" s="1">
        <v>46</v>
      </c>
      <c r="G871" s="1" t="s">
        <v>52</v>
      </c>
      <c r="H871" s="1" t="s">
        <v>2520</v>
      </c>
      <c r="I871" s="1" t="s">
        <v>39</v>
      </c>
      <c r="J871" s="1" t="s">
        <v>53</v>
      </c>
      <c r="K871" s="1" t="s">
        <v>41</v>
      </c>
      <c r="L871" s="1"/>
    </row>
    <row r="872" spans="1:12" s="32" customFormat="1" hidden="1" x14ac:dyDescent="0.3">
      <c r="A872" s="37">
        <v>46134.482430555552</v>
      </c>
      <c r="B872" s="1">
        <v>45999334612</v>
      </c>
      <c r="C872" s="1" t="s">
        <v>43</v>
      </c>
      <c r="D872" s="1">
        <v>4430265054</v>
      </c>
      <c r="E872" s="1">
        <v>419</v>
      </c>
      <c r="F872" s="1">
        <v>338</v>
      </c>
      <c r="G872" s="1" t="s">
        <v>38</v>
      </c>
      <c r="H872" s="1" t="s">
        <v>2521</v>
      </c>
      <c r="I872" s="1" t="s">
        <v>39</v>
      </c>
      <c r="J872" s="1" t="s">
        <v>40</v>
      </c>
      <c r="K872" s="1" t="s">
        <v>41</v>
      </c>
      <c r="L872" s="1">
        <v>5</v>
      </c>
    </row>
    <row r="873" spans="1:12" s="32" customFormat="1" hidden="1" x14ac:dyDescent="0.3">
      <c r="A873" s="37">
        <v>46134.477453703701</v>
      </c>
      <c r="B873" s="1">
        <v>4334226481</v>
      </c>
      <c r="C873" s="1" t="s">
        <v>45</v>
      </c>
      <c r="D873" s="1">
        <v>4430265054</v>
      </c>
      <c r="E873" s="1">
        <v>173</v>
      </c>
      <c r="F873" s="1">
        <v>70</v>
      </c>
      <c r="G873" s="1" t="s">
        <v>38</v>
      </c>
      <c r="H873" s="1" t="s">
        <v>2522</v>
      </c>
      <c r="I873" s="1" t="s">
        <v>39</v>
      </c>
      <c r="J873" s="1" t="s">
        <v>40</v>
      </c>
      <c r="K873" s="1" t="s">
        <v>41</v>
      </c>
      <c r="L873" s="1"/>
    </row>
    <row r="874" spans="1:12" s="32" customFormat="1" hidden="1" x14ac:dyDescent="0.3">
      <c r="A874" s="37">
        <v>46134.474814814814</v>
      </c>
      <c r="B874" s="1">
        <v>4532541802</v>
      </c>
      <c r="C874" s="1">
        <v>4430265054</v>
      </c>
      <c r="D874" s="1">
        <v>4430265054</v>
      </c>
      <c r="E874" s="1">
        <v>20</v>
      </c>
      <c r="F874" s="1">
        <v>19</v>
      </c>
      <c r="G874" s="1" t="s">
        <v>52</v>
      </c>
      <c r="H874" s="1" t="s">
        <v>2523</v>
      </c>
      <c r="I874" s="1" t="s">
        <v>39</v>
      </c>
      <c r="J874" s="1" t="s">
        <v>53</v>
      </c>
      <c r="K874" s="1"/>
      <c r="L874" s="1"/>
    </row>
    <row r="875" spans="1:12" s="32" customFormat="1" hidden="1" x14ac:dyDescent="0.3">
      <c r="A875" s="37">
        <v>46134.474027777775</v>
      </c>
      <c r="B875" s="1">
        <v>4532541802</v>
      </c>
      <c r="C875" s="1">
        <v>4430265054</v>
      </c>
      <c r="D875" s="1">
        <v>4430265054</v>
      </c>
      <c r="E875" s="1">
        <v>20</v>
      </c>
      <c r="F875" s="1">
        <v>19</v>
      </c>
      <c r="G875" s="1" t="s">
        <v>52</v>
      </c>
      <c r="H875" s="1" t="s">
        <v>2524</v>
      </c>
      <c r="I875" s="1" t="s">
        <v>39</v>
      </c>
      <c r="J875" s="1" t="s">
        <v>53</v>
      </c>
      <c r="K875" s="1"/>
      <c r="L875" s="1"/>
    </row>
    <row r="876" spans="1:12" s="32" customFormat="1" hidden="1" x14ac:dyDescent="0.3">
      <c r="A876" s="37">
        <v>46134.473564814813</v>
      </c>
      <c r="B876" s="1">
        <v>4532541802</v>
      </c>
      <c r="C876" s="1">
        <v>4430265054</v>
      </c>
      <c r="D876" s="1">
        <v>4430265054</v>
      </c>
      <c r="E876" s="1">
        <v>5</v>
      </c>
      <c r="F876" s="1">
        <v>5</v>
      </c>
      <c r="G876" s="1" t="s">
        <v>52</v>
      </c>
      <c r="H876" s="1" t="s">
        <v>2525</v>
      </c>
      <c r="I876" s="1" t="s">
        <v>39</v>
      </c>
      <c r="J876" s="1" t="s">
        <v>53</v>
      </c>
      <c r="K876" s="1"/>
      <c r="L876" s="1"/>
    </row>
    <row r="877" spans="1:12" s="32" customFormat="1" hidden="1" x14ac:dyDescent="0.3">
      <c r="A877" s="37">
        <v>46134.469039351854</v>
      </c>
      <c r="B877" s="1" t="s">
        <v>54</v>
      </c>
      <c r="C877" s="1">
        <v>11960747620</v>
      </c>
      <c r="D877" s="1"/>
      <c r="E877" s="1">
        <v>7</v>
      </c>
      <c r="F877" s="1">
        <v>0</v>
      </c>
      <c r="G877" s="1" t="s">
        <v>47</v>
      </c>
      <c r="H877" s="1" t="s">
        <v>2526</v>
      </c>
      <c r="I877" s="1" t="s">
        <v>46</v>
      </c>
      <c r="J877" s="1" t="s">
        <v>55</v>
      </c>
      <c r="K877" s="1"/>
      <c r="L877" s="1"/>
    </row>
    <row r="878" spans="1:12" s="32" customFormat="1" hidden="1" x14ac:dyDescent="0.3">
      <c r="A878" s="37">
        <v>46134.46365740741</v>
      </c>
      <c r="B878" s="1">
        <v>44991388221</v>
      </c>
      <c r="C878" s="1" t="s">
        <v>44</v>
      </c>
      <c r="D878" s="1">
        <v>4430265054</v>
      </c>
      <c r="E878" s="1">
        <v>1035</v>
      </c>
      <c r="F878" s="1">
        <v>962</v>
      </c>
      <c r="G878" s="1" t="s">
        <v>38</v>
      </c>
      <c r="H878" s="1" t="s">
        <v>2527</v>
      </c>
      <c r="I878" s="1" t="s">
        <v>39</v>
      </c>
      <c r="J878" s="1" t="s">
        <v>40</v>
      </c>
      <c r="K878" s="1" t="s">
        <v>41</v>
      </c>
      <c r="L878" s="1">
        <v>5</v>
      </c>
    </row>
    <row r="879" spans="1:12" s="32" customFormat="1" hidden="1" x14ac:dyDescent="0.3">
      <c r="A879" s="37">
        <v>46134.461736111109</v>
      </c>
      <c r="B879" s="1">
        <v>4121418115</v>
      </c>
      <c r="C879" s="1" t="s">
        <v>45</v>
      </c>
      <c r="D879" s="1">
        <v>4531273161</v>
      </c>
      <c r="E879" s="1">
        <v>45</v>
      </c>
      <c r="F879" s="1">
        <v>12</v>
      </c>
      <c r="G879" s="1" t="s">
        <v>38</v>
      </c>
      <c r="H879" s="1" t="s">
        <v>2528</v>
      </c>
      <c r="I879" s="1" t="s">
        <v>39</v>
      </c>
      <c r="J879" s="1" t="s">
        <v>40</v>
      </c>
      <c r="K879" s="1" t="s">
        <v>41</v>
      </c>
      <c r="L879" s="1"/>
    </row>
    <row r="880" spans="1:12" s="32" customFormat="1" hidden="1" x14ac:dyDescent="0.3">
      <c r="A880" s="37">
        <v>46134.457951388889</v>
      </c>
      <c r="B880" s="1">
        <v>4440092826</v>
      </c>
      <c r="C880" s="1" t="s">
        <v>42</v>
      </c>
      <c r="D880" s="1">
        <v>4430265054</v>
      </c>
      <c r="E880" s="1">
        <v>1282</v>
      </c>
      <c r="F880" s="1">
        <v>1261</v>
      </c>
      <c r="G880" s="1" t="s">
        <v>38</v>
      </c>
      <c r="H880" s="1" t="s">
        <v>2529</v>
      </c>
      <c r="I880" s="1" t="s">
        <v>39</v>
      </c>
      <c r="J880" s="1" t="s">
        <v>40</v>
      </c>
      <c r="K880" s="1" t="s">
        <v>41</v>
      </c>
      <c r="L880" s="1"/>
    </row>
    <row r="881" spans="1:12" s="32" customFormat="1" hidden="1" x14ac:dyDescent="0.3">
      <c r="A881" s="37">
        <v>46134.45579861111</v>
      </c>
      <c r="B881" s="1">
        <v>44991388221</v>
      </c>
      <c r="C881" s="1" t="s">
        <v>45</v>
      </c>
      <c r="D881" s="1">
        <v>4430265054</v>
      </c>
      <c r="E881" s="1">
        <v>258</v>
      </c>
      <c r="F881" s="1">
        <v>148</v>
      </c>
      <c r="G881" s="1" t="s">
        <v>38</v>
      </c>
      <c r="H881" s="1" t="s">
        <v>2530</v>
      </c>
      <c r="I881" s="1" t="s">
        <v>39</v>
      </c>
      <c r="J881" s="1" t="s">
        <v>40</v>
      </c>
      <c r="K881" s="1" t="s">
        <v>41</v>
      </c>
      <c r="L881" s="1"/>
    </row>
    <row r="882" spans="1:12" s="32" customFormat="1" hidden="1" x14ac:dyDescent="0.3">
      <c r="A882" s="37">
        <v>46134.453275462962</v>
      </c>
      <c r="B882" s="1">
        <v>4532541802</v>
      </c>
      <c r="C882" s="1">
        <v>4430265054</v>
      </c>
      <c r="D882" s="1">
        <v>4430265054</v>
      </c>
      <c r="E882" s="1">
        <v>4</v>
      </c>
      <c r="F882" s="1">
        <v>3</v>
      </c>
      <c r="G882" s="1" t="s">
        <v>52</v>
      </c>
      <c r="H882" s="1" t="s">
        <v>2531</v>
      </c>
      <c r="I882" s="1" t="s">
        <v>39</v>
      </c>
      <c r="J882" s="1" t="s">
        <v>53</v>
      </c>
      <c r="K882" s="1"/>
      <c r="L882" s="1"/>
    </row>
    <row r="883" spans="1:12" s="32" customFormat="1" hidden="1" x14ac:dyDescent="0.3">
      <c r="A883" s="37">
        <v>46134.452592592592</v>
      </c>
      <c r="B883" s="1">
        <v>4532541802</v>
      </c>
      <c r="C883" s="1">
        <v>4430265054</v>
      </c>
      <c r="D883" s="1">
        <v>4430265054</v>
      </c>
      <c r="E883" s="1">
        <v>20</v>
      </c>
      <c r="F883" s="1">
        <v>20</v>
      </c>
      <c r="G883" s="1" t="s">
        <v>52</v>
      </c>
      <c r="H883" s="1" t="s">
        <v>2532</v>
      </c>
      <c r="I883" s="1" t="s">
        <v>39</v>
      </c>
      <c r="J883" s="1" t="s">
        <v>53</v>
      </c>
      <c r="K883" s="1"/>
      <c r="L883" s="1"/>
    </row>
    <row r="884" spans="1:12" s="32" customFormat="1" hidden="1" x14ac:dyDescent="0.3">
      <c r="A884" s="37">
        <v>46134.452106481483</v>
      </c>
      <c r="B884" s="1">
        <v>4532541802</v>
      </c>
      <c r="C884" s="1">
        <v>4430265054</v>
      </c>
      <c r="D884" s="1">
        <v>4430265054</v>
      </c>
      <c r="E884" s="1">
        <v>20</v>
      </c>
      <c r="F884" s="1">
        <v>19</v>
      </c>
      <c r="G884" s="1" t="s">
        <v>52</v>
      </c>
      <c r="H884" s="1" t="s">
        <v>2533</v>
      </c>
      <c r="I884" s="1" t="s">
        <v>39</v>
      </c>
      <c r="J884" s="1" t="s">
        <v>53</v>
      </c>
      <c r="K884" s="1"/>
      <c r="L884" s="1"/>
    </row>
    <row r="885" spans="1:12" s="32" customFormat="1" hidden="1" x14ac:dyDescent="0.3">
      <c r="A885" s="37">
        <v>46134.450266203705</v>
      </c>
      <c r="B885" s="1">
        <v>44998039090</v>
      </c>
      <c r="C885" s="1" t="s">
        <v>48</v>
      </c>
      <c r="D885" s="1">
        <v>4430265054</v>
      </c>
      <c r="E885" s="1">
        <v>206</v>
      </c>
      <c r="F885" s="1">
        <v>128</v>
      </c>
      <c r="G885" s="1" t="s">
        <v>38</v>
      </c>
      <c r="H885" s="1" t="s">
        <v>2534</v>
      </c>
      <c r="I885" s="1" t="s">
        <v>39</v>
      </c>
      <c r="J885" s="1" t="s">
        <v>40</v>
      </c>
      <c r="K885" s="1" t="s">
        <v>41</v>
      </c>
      <c r="L885" s="1"/>
    </row>
    <row r="886" spans="1:12" s="32" customFormat="1" hidden="1" x14ac:dyDescent="0.3">
      <c r="A886" s="37">
        <v>46134.449583333335</v>
      </c>
      <c r="B886" s="1" t="s">
        <v>48</v>
      </c>
      <c r="C886" s="1">
        <v>4430293755</v>
      </c>
      <c r="D886" s="1"/>
      <c r="E886" s="1">
        <v>20</v>
      </c>
      <c r="F886" s="1">
        <v>0</v>
      </c>
      <c r="G886" s="1" t="s">
        <v>47</v>
      </c>
      <c r="H886" s="1" t="s">
        <v>2535</v>
      </c>
      <c r="I886" s="1" t="s">
        <v>46</v>
      </c>
      <c r="J886" s="1" t="s">
        <v>40</v>
      </c>
      <c r="K886" s="1"/>
      <c r="L886" s="1"/>
    </row>
    <row r="887" spans="1:12" s="32" customFormat="1" hidden="1" x14ac:dyDescent="0.3">
      <c r="A887" s="37">
        <v>46134.449050925927</v>
      </c>
      <c r="B887" s="1" t="s">
        <v>48</v>
      </c>
      <c r="C887" s="1">
        <v>4430293755</v>
      </c>
      <c r="D887" s="1"/>
      <c r="E887" s="1">
        <v>7</v>
      </c>
      <c r="F887" s="1">
        <v>0</v>
      </c>
      <c r="G887" s="1" t="s">
        <v>47</v>
      </c>
      <c r="H887" s="1" t="s">
        <v>2536</v>
      </c>
      <c r="I887" s="1" t="s">
        <v>46</v>
      </c>
      <c r="J887" s="1" t="s">
        <v>40</v>
      </c>
      <c r="K887" s="1"/>
      <c r="L887" s="1"/>
    </row>
    <row r="888" spans="1:12" s="32" customFormat="1" hidden="1" x14ac:dyDescent="0.3">
      <c r="A888" s="37">
        <v>46134.448796296296</v>
      </c>
      <c r="B888" s="1" t="s">
        <v>48</v>
      </c>
      <c r="C888" s="1">
        <v>4430293755</v>
      </c>
      <c r="D888" s="1"/>
      <c r="E888" s="1">
        <v>0</v>
      </c>
      <c r="F888" s="1">
        <v>0</v>
      </c>
      <c r="G888" s="1" t="s">
        <v>47</v>
      </c>
      <c r="H888" s="1" t="s">
        <v>2537</v>
      </c>
      <c r="I888" s="1" t="s">
        <v>46</v>
      </c>
      <c r="J888" s="1" t="s">
        <v>40</v>
      </c>
      <c r="K888" s="1"/>
      <c r="L888" s="1"/>
    </row>
    <row r="889" spans="1:12" s="32" customFormat="1" hidden="1" x14ac:dyDescent="0.3">
      <c r="A889" s="37">
        <v>46134.448171296295</v>
      </c>
      <c r="B889" s="1" t="s">
        <v>48</v>
      </c>
      <c r="C889" s="1">
        <v>4430293755</v>
      </c>
      <c r="D889" s="1"/>
      <c r="E889" s="1">
        <v>58</v>
      </c>
      <c r="F889" s="1">
        <v>34</v>
      </c>
      <c r="G889" s="1" t="s">
        <v>38</v>
      </c>
      <c r="H889" s="1" t="s">
        <v>2538</v>
      </c>
      <c r="I889" s="1" t="s">
        <v>46</v>
      </c>
      <c r="J889" s="1" t="s">
        <v>40</v>
      </c>
      <c r="K889" s="1"/>
      <c r="L889" s="1"/>
    </row>
    <row r="890" spans="1:12" s="32" customFormat="1" hidden="1" x14ac:dyDescent="0.3">
      <c r="A890" s="37">
        <v>46134.447696759256</v>
      </c>
      <c r="B890" s="1" t="s">
        <v>48</v>
      </c>
      <c r="C890" s="1">
        <v>4430293755</v>
      </c>
      <c r="D890" s="1"/>
      <c r="E890" s="1">
        <v>10</v>
      </c>
      <c r="F890" s="1">
        <v>0</v>
      </c>
      <c r="G890" s="1" t="s">
        <v>47</v>
      </c>
      <c r="H890" s="1" t="s">
        <v>2539</v>
      </c>
      <c r="I890" s="1" t="s">
        <v>46</v>
      </c>
      <c r="J890" s="1" t="s">
        <v>40</v>
      </c>
      <c r="K890" s="1"/>
      <c r="L890" s="1"/>
    </row>
    <row r="891" spans="1:12" s="32" customFormat="1" hidden="1" x14ac:dyDescent="0.3">
      <c r="A891" s="37">
        <v>46134.447511574072</v>
      </c>
      <c r="B891" s="1" t="s">
        <v>48</v>
      </c>
      <c r="C891" s="1">
        <v>4430293755</v>
      </c>
      <c r="D891" s="1"/>
      <c r="E891" s="1">
        <v>12</v>
      </c>
      <c r="F891" s="1">
        <v>0</v>
      </c>
      <c r="G891" s="1" t="s">
        <v>47</v>
      </c>
      <c r="H891" s="1" t="s">
        <v>2540</v>
      </c>
      <c r="I891" s="1" t="s">
        <v>46</v>
      </c>
      <c r="J891" s="1" t="s">
        <v>40</v>
      </c>
      <c r="K891" s="1"/>
      <c r="L891" s="1"/>
    </row>
    <row r="892" spans="1:12" s="32" customFormat="1" hidden="1" x14ac:dyDescent="0.3">
      <c r="A892" s="37">
        <v>46134.44734953704</v>
      </c>
      <c r="B892" s="1" t="s">
        <v>48</v>
      </c>
      <c r="C892" s="1">
        <v>4430293755</v>
      </c>
      <c r="D892" s="1"/>
      <c r="E892" s="1">
        <v>8</v>
      </c>
      <c r="F892" s="1">
        <v>0</v>
      </c>
      <c r="G892" s="1" t="s">
        <v>47</v>
      </c>
      <c r="H892" s="1" t="s">
        <v>2541</v>
      </c>
      <c r="I892" s="1" t="s">
        <v>46</v>
      </c>
      <c r="J892" s="1" t="s">
        <v>40</v>
      </c>
      <c r="K892" s="1"/>
      <c r="L892" s="1"/>
    </row>
    <row r="893" spans="1:12" s="32" customFormat="1" hidden="1" x14ac:dyDescent="0.3">
      <c r="A893" s="37">
        <v>46134.446122685185</v>
      </c>
      <c r="B893" s="1" t="s">
        <v>48</v>
      </c>
      <c r="C893" s="1">
        <v>4430293755</v>
      </c>
      <c r="D893" s="1"/>
      <c r="E893" s="1">
        <v>8</v>
      </c>
      <c r="F893" s="1">
        <v>0</v>
      </c>
      <c r="G893" s="1" t="s">
        <v>47</v>
      </c>
      <c r="H893" s="1" t="s">
        <v>2542</v>
      </c>
      <c r="I893" s="1" t="s">
        <v>46</v>
      </c>
      <c r="J893" s="1" t="s">
        <v>40</v>
      </c>
      <c r="K893" s="1"/>
      <c r="L893" s="1"/>
    </row>
    <row r="894" spans="1:12" s="32" customFormat="1" hidden="1" x14ac:dyDescent="0.3">
      <c r="A894" s="37">
        <v>46134.445555555554</v>
      </c>
      <c r="B894" s="1" t="s">
        <v>48</v>
      </c>
      <c r="C894" s="1">
        <v>4430293755</v>
      </c>
      <c r="D894" s="1"/>
      <c r="E894" s="1">
        <v>7</v>
      </c>
      <c r="F894" s="1">
        <v>0</v>
      </c>
      <c r="G894" s="1" t="s">
        <v>47</v>
      </c>
      <c r="H894" s="1" t="s">
        <v>2543</v>
      </c>
      <c r="I894" s="1" t="s">
        <v>46</v>
      </c>
      <c r="J894" s="1" t="s">
        <v>40</v>
      </c>
      <c r="K894" s="1"/>
      <c r="L894" s="1"/>
    </row>
    <row r="895" spans="1:12" s="32" customFormat="1" hidden="1" x14ac:dyDescent="0.3">
      <c r="A895" s="37">
        <v>46134.444745370369</v>
      </c>
      <c r="B895" s="1" t="s">
        <v>48</v>
      </c>
      <c r="C895" s="1">
        <v>4430293755</v>
      </c>
      <c r="D895" s="1"/>
      <c r="E895" s="1">
        <v>65</v>
      </c>
      <c r="F895" s="1">
        <v>0</v>
      </c>
      <c r="G895" s="1" t="s">
        <v>47</v>
      </c>
      <c r="H895" s="1" t="s">
        <v>2544</v>
      </c>
      <c r="I895" s="1" t="s">
        <v>46</v>
      </c>
      <c r="J895" s="1" t="s">
        <v>40</v>
      </c>
      <c r="K895" s="1"/>
      <c r="L895" s="1"/>
    </row>
    <row r="896" spans="1:12" s="32" customFormat="1" hidden="1" x14ac:dyDescent="0.3">
      <c r="A896" s="37">
        <v>46134.444560185184</v>
      </c>
      <c r="B896" s="1" t="s">
        <v>48</v>
      </c>
      <c r="C896" s="1">
        <v>4430293755</v>
      </c>
      <c r="D896" s="1"/>
      <c r="E896" s="1">
        <v>7</v>
      </c>
      <c r="F896" s="1">
        <v>0</v>
      </c>
      <c r="G896" s="1" t="s">
        <v>47</v>
      </c>
      <c r="H896" s="1" t="s">
        <v>2545</v>
      </c>
      <c r="I896" s="1" t="s">
        <v>46</v>
      </c>
      <c r="J896" s="1" t="s">
        <v>40</v>
      </c>
      <c r="K896" s="1"/>
      <c r="L896" s="1"/>
    </row>
    <row r="897" spans="1:12" s="32" customFormat="1" hidden="1" x14ac:dyDescent="0.3">
      <c r="A897" s="37">
        <v>46134.444456018522</v>
      </c>
      <c r="B897" s="1">
        <v>4121418115</v>
      </c>
      <c r="C897" s="1">
        <v>4531273155</v>
      </c>
      <c r="D897" s="1">
        <v>4531273155</v>
      </c>
      <c r="E897" s="1">
        <v>46</v>
      </c>
      <c r="F897" s="1">
        <v>46</v>
      </c>
      <c r="G897" s="1" t="s">
        <v>52</v>
      </c>
      <c r="H897" s="1" t="s">
        <v>2546</v>
      </c>
      <c r="I897" s="1" t="s">
        <v>39</v>
      </c>
      <c r="J897" s="1" t="s">
        <v>53</v>
      </c>
      <c r="K897" s="1" t="s">
        <v>41</v>
      </c>
      <c r="L897" s="1"/>
    </row>
    <row r="898" spans="1:12" s="32" customFormat="1" hidden="1" x14ac:dyDescent="0.3">
      <c r="A898" s="37">
        <v>46134.444293981483</v>
      </c>
      <c r="B898" s="1" t="s">
        <v>48</v>
      </c>
      <c r="C898" s="1">
        <v>4430293755</v>
      </c>
      <c r="D898" s="1"/>
      <c r="E898" s="1">
        <v>7</v>
      </c>
      <c r="F898" s="1">
        <v>0</v>
      </c>
      <c r="G898" s="1" t="s">
        <v>47</v>
      </c>
      <c r="H898" s="1" t="s">
        <v>2547</v>
      </c>
      <c r="I898" s="1" t="s">
        <v>46</v>
      </c>
      <c r="J898" s="1" t="s">
        <v>40</v>
      </c>
      <c r="K898" s="1"/>
      <c r="L898" s="1"/>
    </row>
    <row r="899" spans="1:12" s="32" customFormat="1" hidden="1" x14ac:dyDescent="0.3">
      <c r="A899" s="37">
        <v>46134.442384259259</v>
      </c>
      <c r="B899" s="1" t="s">
        <v>37</v>
      </c>
      <c r="C899" s="1">
        <v>13997709868</v>
      </c>
      <c r="D899" s="1"/>
      <c r="E899" s="1">
        <v>5614</v>
      </c>
      <c r="F899" s="1">
        <v>5605</v>
      </c>
      <c r="G899" s="1" t="s">
        <v>38</v>
      </c>
      <c r="H899" s="1" t="s">
        <v>2548</v>
      </c>
      <c r="I899" s="1" t="s">
        <v>46</v>
      </c>
      <c r="J899" s="1" t="s">
        <v>40</v>
      </c>
      <c r="K899" s="1"/>
      <c r="L899" s="1"/>
    </row>
    <row r="900" spans="1:12" s="32" customFormat="1" hidden="1" x14ac:dyDescent="0.3">
      <c r="A900" s="37">
        <v>46134.441134259258</v>
      </c>
      <c r="B900" s="1" t="s">
        <v>37</v>
      </c>
      <c r="C900" s="1">
        <v>13997709868</v>
      </c>
      <c r="D900" s="1"/>
      <c r="E900" s="1">
        <v>32</v>
      </c>
      <c r="F900" s="1">
        <v>26</v>
      </c>
      <c r="G900" s="1" t="s">
        <v>38</v>
      </c>
      <c r="H900" s="1" t="s">
        <v>2549</v>
      </c>
      <c r="I900" s="1" t="s">
        <v>46</v>
      </c>
      <c r="J900" s="1" t="s">
        <v>40</v>
      </c>
      <c r="K900" s="1"/>
      <c r="L900" s="1"/>
    </row>
    <row r="901" spans="1:12" s="32" customFormat="1" hidden="1" x14ac:dyDescent="0.3">
      <c r="A901" s="37">
        <v>46134.42659722222</v>
      </c>
      <c r="B901" s="1">
        <v>91981481202</v>
      </c>
      <c r="C901" s="1">
        <v>4430265054</v>
      </c>
      <c r="D901" s="1">
        <v>4430265054</v>
      </c>
      <c r="E901" s="1">
        <v>42</v>
      </c>
      <c r="F901" s="1">
        <v>41</v>
      </c>
      <c r="G901" s="1" t="s">
        <v>52</v>
      </c>
      <c r="H901" s="1" t="s">
        <v>2550</v>
      </c>
      <c r="I901" s="1" t="s">
        <v>39</v>
      </c>
      <c r="J901" s="1" t="s">
        <v>53</v>
      </c>
      <c r="K901" s="1" t="s">
        <v>41</v>
      </c>
      <c r="L901" s="1"/>
    </row>
    <row r="902" spans="1:12" s="32" customFormat="1" hidden="1" x14ac:dyDescent="0.3">
      <c r="A902" s="37">
        <v>46134.420798611114</v>
      </c>
      <c r="B902" s="1" t="s">
        <v>48</v>
      </c>
      <c r="C902" s="1">
        <v>4430293755</v>
      </c>
      <c r="D902" s="1"/>
      <c r="E902" s="1">
        <v>603</v>
      </c>
      <c r="F902" s="1">
        <v>593</v>
      </c>
      <c r="G902" s="1" t="s">
        <v>38</v>
      </c>
      <c r="H902" s="1" t="s">
        <v>2551</v>
      </c>
      <c r="I902" s="1" t="s">
        <v>46</v>
      </c>
      <c r="J902" s="1" t="s">
        <v>40</v>
      </c>
      <c r="K902" s="1"/>
      <c r="L902" s="1"/>
    </row>
    <row r="903" spans="1:12" s="32" customFormat="1" hidden="1" x14ac:dyDescent="0.3">
      <c r="A903" s="37">
        <v>46134.420486111114</v>
      </c>
      <c r="B903" s="1" t="s">
        <v>48</v>
      </c>
      <c r="C903" s="1">
        <v>4430293755</v>
      </c>
      <c r="D903" s="1"/>
      <c r="E903" s="1">
        <v>7</v>
      </c>
      <c r="F903" s="1">
        <v>0</v>
      </c>
      <c r="G903" s="1" t="s">
        <v>47</v>
      </c>
      <c r="H903" s="1" t="s">
        <v>2552</v>
      </c>
      <c r="I903" s="1" t="s">
        <v>46</v>
      </c>
      <c r="J903" s="1" t="s">
        <v>40</v>
      </c>
      <c r="K903" s="1"/>
      <c r="L903" s="1"/>
    </row>
    <row r="904" spans="1:12" s="32" customFormat="1" hidden="1" x14ac:dyDescent="0.3">
      <c r="A904" s="37">
        <v>46134.420428240737</v>
      </c>
      <c r="B904" s="1" t="s">
        <v>48</v>
      </c>
      <c r="C904" s="1">
        <v>4430293755</v>
      </c>
      <c r="D904" s="1"/>
      <c r="E904" s="1">
        <v>25</v>
      </c>
      <c r="F904" s="1">
        <v>24</v>
      </c>
      <c r="G904" s="1" t="s">
        <v>38</v>
      </c>
      <c r="H904" s="1" t="s">
        <v>2553</v>
      </c>
      <c r="I904" s="1" t="s">
        <v>46</v>
      </c>
      <c r="J904" s="1" t="s">
        <v>40</v>
      </c>
      <c r="K904" s="1"/>
      <c r="L904" s="1"/>
    </row>
    <row r="905" spans="1:12" s="32" customFormat="1" hidden="1" x14ac:dyDescent="0.3">
      <c r="A905" s="37">
        <v>46134.420358796298</v>
      </c>
      <c r="B905" s="1" t="s">
        <v>48</v>
      </c>
      <c r="C905" s="1">
        <v>4430293755</v>
      </c>
      <c r="D905" s="1"/>
      <c r="E905" s="1">
        <v>4</v>
      </c>
      <c r="F905" s="1">
        <v>0</v>
      </c>
      <c r="G905" s="1" t="s">
        <v>47</v>
      </c>
      <c r="H905" s="1" t="s">
        <v>2554</v>
      </c>
      <c r="I905" s="1" t="s">
        <v>46</v>
      </c>
      <c r="J905" s="1" t="s">
        <v>40</v>
      </c>
      <c r="K905" s="1"/>
      <c r="L905" s="1"/>
    </row>
    <row r="906" spans="1:12" s="32" customFormat="1" hidden="1" x14ac:dyDescent="0.3">
      <c r="A906" s="37">
        <v>46134.42</v>
      </c>
      <c r="B906" s="1" t="s">
        <v>48</v>
      </c>
      <c r="C906" s="1">
        <v>4430293755</v>
      </c>
      <c r="D906" s="1"/>
      <c r="E906" s="1">
        <v>12</v>
      </c>
      <c r="F906" s="1">
        <v>0</v>
      </c>
      <c r="G906" s="1" t="s">
        <v>47</v>
      </c>
      <c r="H906" s="1" t="s">
        <v>2555</v>
      </c>
      <c r="I906" s="1" t="s">
        <v>46</v>
      </c>
      <c r="J906" s="1" t="s">
        <v>40</v>
      </c>
      <c r="K906" s="1"/>
      <c r="L906" s="1"/>
    </row>
    <row r="907" spans="1:12" s="32" customFormat="1" hidden="1" x14ac:dyDescent="0.3">
      <c r="A907" s="37">
        <v>46134.41983796296</v>
      </c>
      <c r="B907" s="1" t="s">
        <v>48</v>
      </c>
      <c r="C907" s="1">
        <v>4430293755</v>
      </c>
      <c r="D907" s="1"/>
      <c r="E907" s="1">
        <v>9</v>
      </c>
      <c r="F907" s="1">
        <v>0</v>
      </c>
      <c r="G907" s="1" t="s">
        <v>47</v>
      </c>
      <c r="H907" s="1" t="s">
        <v>2556</v>
      </c>
      <c r="I907" s="1" t="s">
        <v>46</v>
      </c>
      <c r="J907" s="1" t="s">
        <v>40</v>
      </c>
      <c r="K907" s="1"/>
      <c r="L907" s="1"/>
    </row>
    <row r="908" spans="1:12" s="32" customFormat="1" hidden="1" x14ac:dyDescent="0.3">
      <c r="A908" s="37">
        <v>46134.419502314813</v>
      </c>
      <c r="B908" s="1" t="s">
        <v>48</v>
      </c>
      <c r="C908" s="1">
        <v>4430293755</v>
      </c>
      <c r="D908" s="1"/>
      <c r="E908" s="1">
        <v>8</v>
      </c>
      <c r="F908" s="1">
        <v>0</v>
      </c>
      <c r="G908" s="1" t="s">
        <v>47</v>
      </c>
      <c r="H908" s="1" t="s">
        <v>2557</v>
      </c>
      <c r="I908" s="1" t="s">
        <v>46</v>
      </c>
      <c r="J908" s="1" t="s">
        <v>40</v>
      </c>
      <c r="K908" s="1"/>
      <c r="L908" s="1"/>
    </row>
    <row r="909" spans="1:12" s="32" customFormat="1" hidden="1" x14ac:dyDescent="0.3">
      <c r="A909" s="37">
        <v>46134.416354166664</v>
      </c>
      <c r="B909" s="1" t="s">
        <v>48</v>
      </c>
      <c r="C909" s="1">
        <v>4436721260</v>
      </c>
      <c r="D909" s="1"/>
      <c r="E909" s="1">
        <v>138</v>
      </c>
      <c r="F909" s="1">
        <v>130</v>
      </c>
      <c r="G909" s="1" t="s">
        <v>38</v>
      </c>
      <c r="H909" s="1" t="s">
        <v>2558</v>
      </c>
      <c r="I909" s="1" t="s">
        <v>46</v>
      </c>
      <c r="J909" s="1" t="s">
        <v>40</v>
      </c>
      <c r="K909" s="1"/>
      <c r="L909" s="1"/>
    </row>
    <row r="910" spans="1:12" s="32" customFormat="1" hidden="1" x14ac:dyDescent="0.3">
      <c r="A910" s="37">
        <v>46134.414421296293</v>
      </c>
      <c r="B910" s="1">
        <v>4436249360</v>
      </c>
      <c r="C910" s="1" t="s">
        <v>37</v>
      </c>
      <c r="D910" s="1">
        <v>4430265054</v>
      </c>
      <c r="E910" s="1">
        <v>923</v>
      </c>
      <c r="F910" s="1">
        <v>896</v>
      </c>
      <c r="G910" s="1" t="s">
        <v>38</v>
      </c>
      <c r="H910" s="1" t="s">
        <v>2559</v>
      </c>
      <c r="I910" s="1" t="s">
        <v>39</v>
      </c>
      <c r="J910" s="1" t="s">
        <v>40</v>
      </c>
      <c r="K910" s="1" t="s">
        <v>41</v>
      </c>
      <c r="L910" s="1"/>
    </row>
    <row r="911" spans="1:12" s="32" customFormat="1" hidden="1" x14ac:dyDescent="0.3">
      <c r="A911" s="37">
        <v>46134.401828703703</v>
      </c>
      <c r="B911" s="1">
        <v>4430293755</v>
      </c>
      <c r="C911" s="1" t="s">
        <v>37</v>
      </c>
      <c r="D911" s="1">
        <v>4430265054</v>
      </c>
      <c r="E911" s="1">
        <v>167</v>
      </c>
      <c r="F911" s="1">
        <v>104</v>
      </c>
      <c r="G911" s="1" t="s">
        <v>38</v>
      </c>
      <c r="H911" s="1" t="s">
        <v>2560</v>
      </c>
      <c r="I911" s="1" t="s">
        <v>39</v>
      </c>
      <c r="J911" s="1" t="s">
        <v>40</v>
      </c>
      <c r="K911" s="1" t="s">
        <v>41</v>
      </c>
      <c r="L911" s="1"/>
    </row>
    <row r="912" spans="1:12" s="32" customFormat="1" hidden="1" x14ac:dyDescent="0.3">
      <c r="A912" s="37">
        <v>46134.398194444446</v>
      </c>
      <c r="B912" s="1">
        <v>42998221810</v>
      </c>
      <c r="C912" s="1" t="s">
        <v>37</v>
      </c>
      <c r="D912" s="1">
        <v>4430265054</v>
      </c>
      <c r="E912" s="1">
        <v>265</v>
      </c>
      <c r="F912" s="1">
        <v>173</v>
      </c>
      <c r="G912" s="1" t="s">
        <v>38</v>
      </c>
      <c r="H912" s="1" t="s">
        <v>2561</v>
      </c>
      <c r="I912" s="1" t="s">
        <v>39</v>
      </c>
      <c r="J912" s="1" t="s">
        <v>40</v>
      </c>
      <c r="K912" s="1" t="s">
        <v>41</v>
      </c>
      <c r="L912" s="1"/>
    </row>
    <row r="913" spans="1:12" s="32" customFormat="1" hidden="1" x14ac:dyDescent="0.3">
      <c r="A913" s="37">
        <v>46134.395543981482</v>
      </c>
      <c r="B913" s="1" t="s">
        <v>48</v>
      </c>
      <c r="C913" s="1">
        <v>4430256607</v>
      </c>
      <c r="D913" s="1"/>
      <c r="E913" s="1">
        <v>548</v>
      </c>
      <c r="F913" s="1">
        <v>537</v>
      </c>
      <c r="G913" s="1" t="s">
        <v>38</v>
      </c>
      <c r="H913" s="1" t="s">
        <v>2562</v>
      </c>
      <c r="I913" s="1" t="s">
        <v>46</v>
      </c>
      <c r="J913" s="1" t="s">
        <v>40</v>
      </c>
      <c r="K913" s="1"/>
      <c r="L913" s="1"/>
    </row>
    <row r="914" spans="1:12" s="32" customFormat="1" hidden="1" x14ac:dyDescent="0.3">
      <c r="A914" s="37">
        <v>46134.392777777779</v>
      </c>
      <c r="B914" s="1">
        <v>6234347959</v>
      </c>
      <c r="C914" s="1" t="s">
        <v>43</v>
      </c>
      <c r="D914" s="1">
        <v>4430265054</v>
      </c>
      <c r="E914" s="1">
        <v>1244</v>
      </c>
      <c r="F914" s="1">
        <v>1207</v>
      </c>
      <c r="G914" s="1" t="s">
        <v>38</v>
      </c>
      <c r="H914" s="1" t="s">
        <v>2563</v>
      </c>
      <c r="I914" s="1" t="s">
        <v>39</v>
      </c>
      <c r="J914" s="1" t="s">
        <v>40</v>
      </c>
      <c r="K914" s="1" t="s">
        <v>41</v>
      </c>
      <c r="L914" s="1"/>
    </row>
    <row r="915" spans="1:12" s="32" customFormat="1" hidden="1" x14ac:dyDescent="0.3">
      <c r="A915" s="37">
        <v>46134.392152777778</v>
      </c>
      <c r="B915" s="1">
        <v>44991388221</v>
      </c>
      <c r="C915" s="1" t="s">
        <v>45</v>
      </c>
      <c r="D915" s="1">
        <v>4430265054</v>
      </c>
      <c r="E915" s="1">
        <v>306</v>
      </c>
      <c r="F915" s="1">
        <v>239</v>
      </c>
      <c r="G915" s="1" t="s">
        <v>38</v>
      </c>
      <c r="H915" s="1" t="s">
        <v>2564</v>
      </c>
      <c r="I915" s="1" t="s">
        <v>39</v>
      </c>
      <c r="J915" s="1" t="s">
        <v>40</v>
      </c>
      <c r="K915" s="1" t="s">
        <v>41</v>
      </c>
      <c r="L915" s="1"/>
    </row>
    <row r="916" spans="1:12" s="32" customFormat="1" hidden="1" x14ac:dyDescent="0.3">
      <c r="A916" s="37">
        <v>46134.377615740741</v>
      </c>
      <c r="B916" s="1">
        <v>4430289556</v>
      </c>
      <c r="C916" s="1" t="s">
        <v>43</v>
      </c>
      <c r="D916" s="1">
        <v>4430265054</v>
      </c>
      <c r="E916" s="1">
        <v>482</v>
      </c>
      <c r="F916" s="1">
        <v>445</v>
      </c>
      <c r="G916" s="1" t="s">
        <v>38</v>
      </c>
      <c r="H916" s="1" t="s">
        <v>2565</v>
      </c>
      <c r="I916" s="1" t="s">
        <v>39</v>
      </c>
      <c r="J916" s="1" t="s">
        <v>40</v>
      </c>
      <c r="K916" s="1" t="s">
        <v>41</v>
      </c>
      <c r="L916" s="1"/>
    </row>
    <row r="917" spans="1:12" s="32" customFormat="1" hidden="1" x14ac:dyDescent="0.3">
      <c r="A917" s="37">
        <v>46134.372662037036</v>
      </c>
      <c r="B917" s="1">
        <v>4330332823</v>
      </c>
      <c r="C917" s="1" t="s">
        <v>44</v>
      </c>
      <c r="D917" s="1">
        <v>4430265054</v>
      </c>
      <c r="E917" s="1">
        <v>605</v>
      </c>
      <c r="F917" s="1">
        <v>547</v>
      </c>
      <c r="G917" s="1" t="s">
        <v>38</v>
      </c>
      <c r="H917" s="1" t="s">
        <v>2566</v>
      </c>
      <c r="I917" s="1" t="s">
        <v>39</v>
      </c>
      <c r="J917" s="1" t="s">
        <v>40</v>
      </c>
      <c r="K917" s="1" t="s">
        <v>41</v>
      </c>
      <c r="L917" s="1"/>
    </row>
    <row r="918" spans="1:12" s="32" customFormat="1" hidden="1" x14ac:dyDescent="0.3">
      <c r="A918" s="37">
        <v>46134.371562499997</v>
      </c>
      <c r="B918" s="1">
        <v>4330333542</v>
      </c>
      <c r="C918" s="1">
        <v>4430265054</v>
      </c>
      <c r="D918" s="1">
        <v>4430265054</v>
      </c>
      <c r="E918" s="1">
        <v>40</v>
      </c>
      <c r="F918" s="1">
        <v>40</v>
      </c>
      <c r="G918" s="1" t="s">
        <v>52</v>
      </c>
      <c r="H918" s="1" t="s">
        <v>2567</v>
      </c>
      <c r="I918" s="1" t="s">
        <v>39</v>
      </c>
      <c r="J918" s="1" t="s">
        <v>53</v>
      </c>
      <c r="K918" s="1" t="s">
        <v>41</v>
      </c>
      <c r="L918" s="1"/>
    </row>
    <row r="919" spans="1:12" s="32" customFormat="1" hidden="1" x14ac:dyDescent="0.3">
      <c r="A919" s="37">
        <v>46134.361956018518</v>
      </c>
      <c r="B919" s="1">
        <v>6234347959</v>
      </c>
      <c r="C919" s="1" t="s">
        <v>43</v>
      </c>
      <c r="D919" s="1">
        <v>4430265054</v>
      </c>
      <c r="E919" s="1">
        <v>554</v>
      </c>
      <c r="F919" s="1">
        <v>535</v>
      </c>
      <c r="G919" s="1" t="s">
        <v>38</v>
      </c>
      <c r="H919" s="1" t="s">
        <v>2568</v>
      </c>
      <c r="I919" s="1" t="s">
        <v>39</v>
      </c>
      <c r="J919" s="1" t="s">
        <v>40</v>
      </c>
      <c r="K919" s="1" t="s">
        <v>41</v>
      </c>
      <c r="L919" s="1">
        <v>5</v>
      </c>
    </row>
    <row r="920" spans="1:12" s="32" customFormat="1" hidden="1" x14ac:dyDescent="0.3">
      <c r="A920" s="37">
        <v>46134.359502314815</v>
      </c>
      <c r="B920" s="1">
        <v>35998295948</v>
      </c>
      <c r="C920" s="1" t="s">
        <v>44</v>
      </c>
      <c r="D920" s="1">
        <v>4430265054</v>
      </c>
      <c r="E920" s="1">
        <v>267</v>
      </c>
      <c r="F920" s="1">
        <v>239</v>
      </c>
      <c r="G920" s="1" t="s">
        <v>38</v>
      </c>
      <c r="H920" s="1" t="s">
        <v>2569</v>
      </c>
      <c r="I920" s="1" t="s">
        <v>39</v>
      </c>
      <c r="J920" s="1" t="s">
        <v>40</v>
      </c>
      <c r="K920" s="1" t="s">
        <v>41</v>
      </c>
      <c r="L920" s="1"/>
    </row>
    <row r="921" spans="1:12" s="32" customFormat="1" hidden="1" x14ac:dyDescent="0.3">
      <c r="A921" s="37">
        <v>46134.348414351851</v>
      </c>
      <c r="B921" s="1" t="s">
        <v>48</v>
      </c>
      <c r="C921" s="1">
        <v>4430315826</v>
      </c>
      <c r="D921" s="1"/>
      <c r="E921" s="1">
        <v>403</v>
      </c>
      <c r="F921" s="1">
        <v>390</v>
      </c>
      <c r="G921" s="1" t="s">
        <v>38</v>
      </c>
      <c r="H921" s="1" t="s">
        <v>2570</v>
      </c>
      <c r="I921" s="1" t="s">
        <v>46</v>
      </c>
      <c r="J921" s="1" t="s">
        <v>40</v>
      </c>
      <c r="K921" s="1"/>
      <c r="L921" s="1"/>
    </row>
    <row r="922" spans="1:12" s="32" customFormat="1" hidden="1" x14ac:dyDescent="0.3">
      <c r="A922" s="37">
        <v>46134.346550925926</v>
      </c>
      <c r="B922" s="1" t="s">
        <v>48</v>
      </c>
      <c r="C922" s="1">
        <v>4430315826</v>
      </c>
      <c r="D922" s="1"/>
      <c r="E922" s="1">
        <v>119</v>
      </c>
      <c r="F922" s="1">
        <v>107</v>
      </c>
      <c r="G922" s="1" t="s">
        <v>38</v>
      </c>
      <c r="H922" s="1" t="s">
        <v>2571</v>
      </c>
      <c r="I922" s="1" t="s">
        <v>46</v>
      </c>
      <c r="J922" s="1" t="s">
        <v>40</v>
      </c>
      <c r="K922" s="1"/>
      <c r="L922" s="1"/>
    </row>
    <row r="923" spans="1:12" s="32" customFormat="1" hidden="1" x14ac:dyDescent="0.3">
      <c r="A923" s="37">
        <v>46134.340405092589</v>
      </c>
      <c r="B923" s="1">
        <v>4430468268</v>
      </c>
      <c r="C923" s="1">
        <v>4430265054</v>
      </c>
      <c r="D923" s="1">
        <v>4430265054</v>
      </c>
      <c r="E923" s="1">
        <v>11</v>
      </c>
      <c r="F923" s="1">
        <v>11</v>
      </c>
      <c r="G923" s="1" t="s">
        <v>52</v>
      </c>
      <c r="H923" s="1" t="s">
        <v>2572</v>
      </c>
      <c r="I923" s="1" t="s">
        <v>39</v>
      </c>
      <c r="J923" s="1" t="s">
        <v>53</v>
      </c>
      <c r="K923" s="1"/>
      <c r="L923" s="1"/>
    </row>
    <row r="924" spans="1:12" s="32" customFormat="1" hidden="1" x14ac:dyDescent="0.3">
      <c r="A924" s="37">
        <v>46134.337881944448</v>
      </c>
      <c r="B924" s="1" t="s">
        <v>48</v>
      </c>
      <c r="C924" s="1">
        <v>4430315826</v>
      </c>
      <c r="D924" s="1"/>
      <c r="E924" s="1">
        <v>160</v>
      </c>
      <c r="F924" s="1">
        <v>146</v>
      </c>
      <c r="G924" s="1" t="s">
        <v>38</v>
      </c>
      <c r="H924" s="1" t="s">
        <v>2573</v>
      </c>
      <c r="I924" s="1" t="s">
        <v>46</v>
      </c>
      <c r="J924" s="1" t="s">
        <v>40</v>
      </c>
      <c r="K924" s="1"/>
      <c r="L924" s="1"/>
    </row>
    <row r="925" spans="1:12" s="32" customFormat="1" hidden="1" x14ac:dyDescent="0.3">
      <c r="A925" s="37">
        <v>46132.74560185185</v>
      </c>
      <c r="B925" s="1" t="s">
        <v>54</v>
      </c>
      <c r="C925" s="1">
        <v>48996717067</v>
      </c>
      <c r="D925" s="1"/>
      <c r="E925" s="1">
        <v>15</v>
      </c>
      <c r="F925" s="1">
        <v>7</v>
      </c>
      <c r="G925" s="1" t="s">
        <v>38</v>
      </c>
      <c r="H925" s="1" t="s">
        <v>2574</v>
      </c>
      <c r="I925" s="1" t="s">
        <v>46</v>
      </c>
      <c r="J925" s="1" t="s">
        <v>55</v>
      </c>
      <c r="K925" s="1"/>
      <c r="L925" s="1"/>
    </row>
    <row r="926" spans="1:12" s="32" customFormat="1" hidden="1" x14ac:dyDescent="0.3">
      <c r="A926" s="37">
        <v>46132.741261574076</v>
      </c>
      <c r="B926" s="1">
        <v>91984985454</v>
      </c>
      <c r="C926" s="1" t="s">
        <v>37</v>
      </c>
      <c r="D926" s="1">
        <v>4430265054</v>
      </c>
      <c r="E926" s="1">
        <v>540</v>
      </c>
      <c r="F926" s="1">
        <v>353</v>
      </c>
      <c r="G926" s="1" t="s">
        <v>38</v>
      </c>
      <c r="H926" s="1" t="s">
        <v>2575</v>
      </c>
      <c r="I926" s="1" t="s">
        <v>39</v>
      </c>
      <c r="J926" s="1" t="s">
        <v>40</v>
      </c>
      <c r="K926" s="1" t="s">
        <v>41</v>
      </c>
      <c r="L926" s="1"/>
    </row>
    <row r="927" spans="1:12" s="32" customFormat="1" hidden="1" x14ac:dyDescent="0.3">
      <c r="A927" s="37">
        <v>46132.739490740743</v>
      </c>
      <c r="B927" s="1">
        <v>93991495484</v>
      </c>
      <c r="C927" s="1" t="s">
        <v>43</v>
      </c>
      <c r="D927" s="1">
        <v>4430265054</v>
      </c>
      <c r="E927" s="1">
        <v>452</v>
      </c>
      <c r="F927" s="1">
        <v>264</v>
      </c>
      <c r="G927" s="1" t="s">
        <v>38</v>
      </c>
      <c r="H927" s="1" t="s">
        <v>2576</v>
      </c>
      <c r="I927" s="1" t="s">
        <v>39</v>
      </c>
      <c r="J927" s="1" t="s">
        <v>40</v>
      </c>
      <c r="K927" s="1" t="s">
        <v>41</v>
      </c>
      <c r="L927" s="1">
        <v>5</v>
      </c>
    </row>
    <row r="928" spans="1:12" s="32" customFormat="1" hidden="1" x14ac:dyDescent="0.3">
      <c r="A928" s="37">
        <v>46132.733587962961</v>
      </c>
      <c r="B928" s="1">
        <v>44997450437</v>
      </c>
      <c r="C928" s="1">
        <v>4431268225</v>
      </c>
      <c r="D928" s="1">
        <v>4431268225</v>
      </c>
      <c r="E928" s="1">
        <v>29</v>
      </c>
      <c r="F928" s="1">
        <v>28</v>
      </c>
      <c r="G928" s="1" t="s">
        <v>52</v>
      </c>
      <c r="H928" s="1" t="s">
        <v>2577</v>
      </c>
      <c r="I928" s="1" t="s">
        <v>39</v>
      </c>
      <c r="J928" s="1" t="s">
        <v>53</v>
      </c>
      <c r="K928" s="1"/>
      <c r="L928" s="1"/>
    </row>
    <row r="929" spans="1:12" s="32" customFormat="1" hidden="1" x14ac:dyDescent="0.3">
      <c r="A929" s="37">
        <v>46132.732847222222</v>
      </c>
      <c r="B929" s="1">
        <v>44997450437</v>
      </c>
      <c r="C929" s="1" t="s">
        <v>57</v>
      </c>
      <c r="D929" s="1">
        <v>4431268225</v>
      </c>
      <c r="E929" s="1">
        <v>56</v>
      </c>
      <c r="F929" s="1">
        <v>33</v>
      </c>
      <c r="G929" s="1" t="s">
        <v>38</v>
      </c>
      <c r="H929" s="1" t="s">
        <v>2578</v>
      </c>
      <c r="I929" s="1" t="s">
        <v>39</v>
      </c>
      <c r="J929" s="1" t="s">
        <v>55</v>
      </c>
      <c r="K929" s="1" t="s">
        <v>49</v>
      </c>
      <c r="L929" s="1"/>
    </row>
    <row r="930" spans="1:12" s="32" customFormat="1" hidden="1" x14ac:dyDescent="0.3">
      <c r="A930" s="37">
        <v>46132.732164351852</v>
      </c>
      <c r="B930" s="1">
        <v>44997450437</v>
      </c>
      <c r="C930" s="1" t="s">
        <v>57</v>
      </c>
      <c r="D930" s="1">
        <v>4431268225</v>
      </c>
      <c r="E930" s="1">
        <v>50</v>
      </c>
      <c r="F930" s="1">
        <v>20</v>
      </c>
      <c r="G930" s="1" t="s">
        <v>38</v>
      </c>
      <c r="H930" s="1" t="s">
        <v>2579</v>
      </c>
      <c r="I930" s="1" t="s">
        <v>39</v>
      </c>
      <c r="J930" s="1" t="s">
        <v>55</v>
      </c>
      <c r="K930" s="1" t="s">
        <v>49</v>
      </c>
      <c r="L930" s="1"/>
    </row>
    <row r="931" spans="1:12" s="32" customFormat="1" hidden="1" x14ac:dyDescent="0.3">
      <c r="A931" s="37">
        <v>46132.730046296296</v>
      </c>
      <c r="B931" s="1" t="s">
        <v>45</v>
      </c>
      <c r="C931" s="1">
        <v>4430451715</v>
      </c>
      <c r="D931" s="1"/>
      <c r="E931" s="1">
        <v>98</v>
      </c>
      <c r="F931" s="1">
        <v>94</v>
      </c>
      <c r="G931" s="1" t="s">
        <v>38</v>
      </c>
      <c r="H931" s="1" t="s">
        <v>2580</v>
      </c>
      <c r="I931" s="1" t="s">
        <v>46</v>
      </c>
      <c r="J931" s="1" t="s">
        <v>40</v>
      </c>
      <c r="K931" s="1"/>
      <c r="L931" s="1"/>
    </row>
    <row r="932" spans="1:12" s="32" customFormat="1" hidden="1" x14ac:dyDescent="0.3">
      <c r="A932" s="37">
        <v>46132.72997685185</v>
      </c>
      <c r="B932" s="1" t="s">
        <v>45</v>
      </c>
      <c r="C932" s="1">
        <v>4430451715</v>
      </c>
      <c r="D932" s="1"/>
      <c r="E932" s="1">
        <v>26</v>
      </c>
      <c r="F932" s="1">
        <v>25</v>
      </c>
      <c r="G932" s="1" t="s">
        <v>38</v>
      </c>
      <c r="H932" s="1" t="s">
        <v>2581</v>
      </c>
      <c r="I932" s="1" t="s">
        <v>46</v>
      </c>
      <c r="J932" s="1" t="s">
        <v>40</v>
      </c>
      <c r="K932" s="1"/>
      <c r="L932" s="1"/>
    </row>
    <row r="933" spans="1:12" s="32" customFormat="1" hidden="1" x14ac:dyDescent="0.3">
      <c r="A933" s="37">
        <v>46132.72519675926</v>
      </c>
      <c r="B933" s="1" t="s">
        <v>57</v>
      </c>
      <c r="C933" s="1">
        <v>44997687156</v>
      </c>
      <c r="D933" s="1"/>
      <c r="E933" s="1">
        <v>407</v>
      </c>
      <c r="F933" s="1">
        <v>398</v>
      </c>
      <c r="G933" s="1" t="s">
        <v>38</v>
      </c>
      <c r="H933" s="1" t="s">
        <v>2582</v>
      </c>
      <c r="I933" s="1" t="s">
        <v>46</v>
      </c>
      <c r="J933" s="1" t="s">
        <v>55</v>
      </c>
      <c r="K933" s="1"/>
      <c r="L933" s="1"/>
    </row>
    <row r="934" spans="1:12" s="32" customFormat="1" hidden="1" x14ac:dyDescent="0.3">
      <c r="A934" s="37">
        <v>46132.719560185185</v>
      </c>
      <c r="B934" s="1" t="s">
        <v>54</v>
      </c>
      <c r="C934" s="1">
        <v>11996645124</v>
      </c>
      <c r="D934" s="1"/>
      <c r="E934" s="1">
        <v>1</v>
      </c>
      <c r="F934" s="1">
        <v>0</v>
      </c>
      <c r="G934" s="1" t="s">
        <v>47</v>
      </c>
      <c r="H934" s="1" t="s">
        <v>2583</v>
      </c>
      <c r="I934" s="1" t="s">
        <v>46</v>
      </c>
      <c r="J934" s="1" t="s">
        <v>55</v>
      </c>
      <c r="K934" s="1"/>
      <c r="L934" s="1"/>
    </row>
    <row r="935" spans="1:12" s="32" customFormat="1" hidden="1" x14ac:dyDescent="0.3">
      <c r="A935" s="37">
        <v>46132.714826388888</v>
      </c>
      <c r="B935" s="1">
        <v>91984985454</v>
      </c>
      <c r="C935" s="1">
        <v>3000</v>
      </c>
      <c r="D935" s="1">
        <v>4430265054</v>
      </c>
      <c r="E935" s="1">
        <v>1587</v>
      </c>
      <c r="F935" s="1">
        <v>1569</v>
      </c>
      <c r="G935" s="1" t="s">
        <v>38</v>
      </c>
      <c r="H935" s="1" t="s">
        <v>2584</v>
      </c>
      <c r="I935" s="1" t="s">
        <v>39</v>
      </c>
      <c r="J935" s="1" t="s">
        <v>53</v>
      </c>
      <c r="K935" s="1" t="s">
        <v>41</v>
      </c>
      <c r="L935" s="1"/>
    </row>
    <row r="936" spans="1:12" s="32" customFormat="1" hidden="1" x14ac:dyDescent="0.3">
      <c r="A936" s="37">
        <v>46132.71361111111</v>
      </c>
      <c r="B936" s="1">
        <v>4430191401</v>
      </c>
      <c r="C936" s="1" t="s">
        <v>37</v>
      </c>
      <c r="D936" s="1">
        <v>4430265054</v>
      </c>
      <c r="E936" s="1">
        <v>485</v>
      </c>
      <c r="F936" s="1">
        <v>410</v>
      </c>
      <c r="G936" s="1" t="s">
        <v>38</v>
      </c>
      <c r="H936" s="1" t="s">
        <v>2585</v>
      </c>
      <c r="I936" s="1" t="s">
        <v>39</v>
      </c>
      <c r="J936" s="1" t="s">
        <v>40</v>
      </c>
      <c r="K936" s="1" t="s">
        <v>41</v>
      </c>
      <c r="L936" s="1"/>
    </row>
    <row r="937" spans="1:12" s="32" customFormat="1" hidden="1" x14ac:dyDescent="0.3">
      <c r="A937" s="37">
        <v>46132.713159722225</v>
      </c>
      <c r="B937" s="1">
        <v>4430315826</v>
      </c>
      <c r="C937" s="1" t="s">
        <v>48</v>
      </c>
      <c r="D937" s="1">
        <v>4430265054</v>
      </c>
      <c r="E937" s="1">
        <v>133</v>
      </c>
      <c r="F937" s="1">
        <v>114</v>
      </c>
      <c r="G937" s="1" t="s">
        <v>38</v>
      </c>
      <c r="H937" s="1" t="s">
        <v>2586</v>
      </c>
      <c r="I937" s="1" t="s">
        <v>39</v>
      </c>
      <c r="J937" s="1" t="s">
        <v>40</v>
      </c>
      <c r="K937" s="1" t="s">
        <v>41</v>
      </c>
      <c r="L937" s="1"/>
    </row>
    <row r="938" spans="1:12" s="32" customFormat="1" hidden="1" x14ac:dyDescent="0.3">
      <c r="A938" s="37">
        <v>46132.712500000001</v>
      </c>
      <c r="B938" s="1">
        <v>44998860140</v>
      </c>
      <c r="C938" s="1" t="s">
        <v>43</v>
      </c>
      <c r="D938" s="1">
        <v>4430265054</v>
      </c>
      <c r="E938" s="1">
        <v>296</v>
      </c>
      <c r="F938" s="1">
        <v>231</v>
      </c>
      <c r="G938" s="1" t="s">
        <v>38</v>
      </c>
      <c r="H938" s="1" t="s">
        <v>2587</v>
      </c>
      <c r="I938" s="1" t="s">
        <v>39</v>
      </c>
      <c r="J938" s="1" t="s">
        <v>40</v>
      </c>
      <c r="K938" s="1" t="s">
        <v>41</v>
      </c>
      <c r="L938" s="1">
        <v>5</v>
      </c>
    </row>
    <row r="939" spans="1:12" s="32" customFormat="1" hidden="1" x14ac:dyDescent="0.3">
      <c r="A939" s="37">
        <v>46132.704675925925</v>
      </c>
      <c r="B939" s="1">
        <v>44998849102</v>
      </c>
      <c r="C939" s="1" t="s">
        <v>44</v>
      </c>
      <c r="D939" s="1">
        <v>4430265054</v>
      </c>
      <c r="E939" s="1">
        <v>681</v>
      </c>
      <c r="F939" s="1">
        <v>579</v>
      </c>
      <c r="G939" s="1" t="s">
        <v>38</v>
      </c>
      <c r="H939" s="1" t="s">
        <v>2588</v>
      </c>
      <c r="I939" s="1" t="s">
        <v>39</v>
      </c>
      <c r="J939" s="1" t="s">
        <v>40</v>
      </c>
      <c r="K939" s="1" t="s">
        <v>41</v>
      </c>
      <c r="L939" s="1"/>
    </row>
    <row r="940" spans="1:12" s="32" customFormat="1" hidden="1" x14ac:dyDescent="0.3">
      <c r="A940" s="37">
        <v>46132.700416666667</v>
      </c>
      <c r="B940" s="1">
        <v>4432525112</v>
      </c>
      <c r="C940" s="1" t="s">
        <v>54</v>
      </c>
      <c r="D940" s="1">
        <v>4430265054</v>
      </c>
      <c r="E940" s="1">
        <v>268</v>
      </c>
      <c r="F940" s="1">
        <v>247</v>
      </c>
      <c r="G940" s="1" t="s">
        <v>38</v>
      </c>
      <c r="H940" s="1" t="s">
        <v>2589</v>
      </c>
      <c r="I940" s="1" t="s">
        <v>39</v>
      </c>
      <c r="J940" s="1" t="s">
        <v>55</v>
      </c>
      <c r="K940" s="1" t="s">
        <v>49</v>
      </c>
      <c r="L940" s="1"/>
    </row>
    <row r="941" spans="1:12" s="32" customFormat="1" hidden="1" x14ac:dyDescent="0.3">
      <c r="A941" s="37">
        <v>46132.695590277777</v>
      </c>
      <c r="B941" s="1" t="s">
        <v>57</v>
      </c>
      <c r="C941" s="1">
        <v>4430246160</v>
      </c>
      <c r="D941" s="1"/>
      <c r="E941" s="1">
        <v>45</v>
      </c>
      <c r="F941" s="1">
        <v>0</v>
      </c>
      <c r="G941" s="1" t="s">
        <v>47</v>
      </c>
      <c r="H941" s="1" t="s">
        <v>2590</v>
      </c>
      <c r="I941" s="1" t="s">
        <v>46</v>
      </c>
      <c r="J941" s="1" t="s">
        <v>55</v>
      </c>
      <c r="K941" s="1"/>
      <c r="L941" s="1"/>
    </row>
    <row r="942" spans="1:12" s="32" customFormat="1" hidden="1" x14ac:dyDescent="0.3">
      <c r="A942" s="37">
        <v>46132.695231481484</v>
      </c>
      <c r="B942" s="1" t="s">
        <v>57</v>
      </c>
      <c r="C942" s="1">
        <v>4430333558</v>
      </c>
      <c r="D942" s="1"/>
      <c r="E942" s="1">
        <v>24</v>
      </c>
      <c r="F942" s="1">
        <v>17</v>
      </c>
      <c r="G942" s="1" t="s">
        <v>38</v>
      </c>
      <c r="H942" s="1" t="s">
        <v>2591</v>
      </c>
      <c r="I942" s="1" t="s">
        <v>46</v>
      </c>
      <c r="J942" s="1" t="s">
        <v>55</v>
      </c>
      <c r="K942" s="1"/>
      <c r="L942" s="1"/>
    </row>
    <row r="943" spans="1:12" s="32" customFormat="1" hidden="1" x14ac:dyDescent="0.3">
      <c r="A943" s="37">
        <v>46132.69462962963</v>
      </c>
      <c r="B943" s="1" t="s">
        <v>57</v>
      </c>
      <c r="C943" s="1">
        <v>44984040334</v>
      </c>
      <c r="D943" s="1"/>
      <c r="E943" s="1">
        <v>39</v>
      </c>
      <c r="F943" s="1">
        <v>1</v>
      </c>
      <c r="G943" s="1" t="s">
        <v>38</v>
      </c>
      <c r="H943" s="1" t="s">
        <v>2592</v>
      </c>
      <c r="I943" s="1" t="s">
        <v>46</v>
      </c>
      <c r="J943" s="1" t="s">
        <v>55</v>
      </c>
      <c r="K943" s="1"/>
      <c r="L943" s="1"/>
    </row>
    <row r="944" spans="1:12" s="32" customFormat="1" hidden="1" x14ac:dyDescent="0.3">
      <c r="A944" s="37">
        <v>46132.694513888891</v>
      </c>
      <c r="B944" s="1">
        <v>44998890329</v>
      </c>
      <c r="C944" s="1" t="s">
        <v>37</v>
      </c>
      <c r="D944" s="1">
        <v>4430265054</v>
      </c>
      <c r="E944" s="1">
        <v>744</v>
      </c>
      <c r="F944" s="1">
        <v>606</v>
      </c>
      <c r="G944" s="1" t="s">
        <v>38</v>
      </c>
      <c r="H944" s="1" t="s">
        <v>2593</v>
      </c>
      <c r="I944" s="1" t="s">
        <v>39</v>
      </c>
      <c r="J944" s="1" t="s">
        <v>40</v>
      </c>
      <c r="K944" s="1" t="s">
        <v>41</v>
      </c>
      <c r="L944" s="1"/>
    </row>
    <row r="945" spans="1:12" s="32" customFormat="1" hidden="1" x14ac:dyDescent="0.3">
      <c r="A945" s="37">
        <v>46132.694444444445</v>
      </c>
      <c r="B945" s="1">
        <v>4430451715</v>
      </c>
      <c r="C945" s="1" t="s">
        <v>45</v>
      </c>
      <c r="D945" s="1">
        <v>4430265054</v>
      </c>
      <c r="E945" s="1">
        <v>2032</v>
      </c>
      <c r="F945" s="1">
        <v>1959</v>
      </c>
      <c r="G945" s="1" t="s">
        <v>38</v>
      </c>
      <c r="H945" s="1" t="s">
        <v>2594</v>
      </c>
      <c r="I945" s="1" t="s">
        <v>39</v>
      </c>
      <c r="J945" s="1" t="s">
        <v>40</v>
      </c>
      <c r="K945" s="1" t="s">
        <v>41</v>
      </c>
      <c r="L945" s="1"/>
    </row>
    <row r="946" spans="1:12" s="32" customFormat="1" hidden="1" x14ac:dyDescent="0.3">
      <c r="A946" s="37">
        <v>46132.689525462964</v>
      </c>
      <c r="B946" s="1" t="s">
        <v>48</v>
      </c>
      <c r="C946" s="1">
        <v>44984553108</v>
      </c>
      <c r="D946" s="1"/>
      <c r="E946" s="1">
        <v>37</v>
      </c>
      <c r="F946" s="1">
        <v>0</v>
      </c>
      <c r="G946" s="1" t="s">
        <v>47</v>
      </c>
      <c r="H946" s="1" t="s">
        <v>2595</v>
      </c>
      <c r="I946" s="1" t="s">
        <v>46</v>
      </c>
      <c r="J946" s="1" t="s">
        <v>40</v>
      </c>
      <c r="K946" s="1"/>
      <c r="L946" s="1"/>
    </row>
    <row r="947" spans="1:12" s="32" customFormat="1" hidden="1" x14ac:dyDescent="0.3">
      <c r="A947" s="37">
        <v>46132.689479166664</v>
      </c>
      <c r="B947" s="1" t="s">
        <v>48</v>
      </c>
      <c r="C947" s="1">
        <v>44984553108</v>
      </c>
      <c r="D947" s="1"/>
      <c r="E947" s="1">
        <v>2</v>
      </c>
      <c r="F947" s="1">
        <v>0</v>
      </c>
      <c r="G947" s="1" t="s">
        <v>47</v>
      </c>
      <c r="H947" s="1" t="s">
        <v>2596</v>
      </c>
      <c r="I947" s="1" t="s">
        <v>46</v>
      </c>
      <c r="J947" s="1" t="s">
        <v>40</v>
      </c>
      <c r="K947" s="1"/>
      <c r="L947" s="1"/>
    </row>
    <row r="948" spans="1:12" s="32" customFormat="1" hidden="1" x14ac:dyDescent="0.3">
      <c r="A948" s="37">
        <v>46132.681712962964</v>
      </c>
      <c r="B948" s="1" t="s">
        <v>45</v>
      </c>
      <c r="C948" s="1">
        <v>6234347959</v>
      </c>
      <c r="D948" s="1"/>
      <c r="E948" s="1">
        <v>350</v>
      </c>
      <c r="F948" s="1">
        <v>337</v>
      </c>
      <c r="G948" s="1" t="s">
        <v>38</v>
      </c>
      <c r="H948" s="1" t="s">
        <v>2597</v>
      </c>
      <c r="I948" s="1" t="s">
        <v>46</v>
      </c>
      <c r="J948" s="1" t="s">
        <v>40</v>
      </c>
      <c r="K948" s="1"/>
      <c r="L948" s="1">
        <v>5</v>
      </c>
    </row>
    <row r="949" spans="1:12" s="32" customFormat="1" hidden="1" x14ac:dyDescent="0.3">
      <c r="A949" s="37">
        <v>46132.680046296293</v>
      </c>
      <c r="B949" s="1">
        <v>4430346845</v>
      </c>
      <c r="C949" s="1" t="s">
        <v>44</v>
      </c>
      <c r="D949" s="1">
        <v>4430265054</v>
      </c>
      <c r="E949" s="1">
        <v>388</v>
      </c>
      <c r="F949" s="1">
        <v>259</v>
      </c>
      <c r="G949" s="1" t="s">
        <v>38</v>
      </c>
      <c r="H949" s="1" t="s">
        <v>2598</v>
      </c>
      <c r="I949" s="1" t="s">
        <v>39</v>
      </c>
      <c r="J949" s="1" t="s">
        <v>40</v>
      </c>
      <c r="K949" s="1" t="s">
        <v>41</v>
      </c>
      <c r="L949" s="1">
        <v>5</v>
      </c>
    </row>
    <row r="950" spans="1:12" s="32" customFormat="1" hidden="1" x14ac:dyDescent="0.3">
      <c r="A950" s="37">
        <v>46132.678854166668</v>
      </c>
      <c r="B950" s="1" t="s">
        <v>48</v>
      </c>
      <c r="C950" s="1">
        <v>44984553108</v>
      </c>
      <c r="D950" s="1"/>
      <c r="E950" s="1">
        <v>37</v>
      </c>
      <c r="F950" s="1">
        <v>0</v>
      </c>
      <c r="G950" s="1" t="s">
        <v>47</v>
      </c>
      <c r="H950" s="1" t="s">
        <v>2599</v>
      </c>
      <c r="I950" s="1" t="s">
        <v>46</v>
      </c>
      <c r="J950" s="1" t="s">
        <v>40</v>
      </c>
      <c r="K950" s="1"/>
      <c r="L950" s="1"/>
    </row>
    <row r="951" spans="1:12" s="32" customFormat="1" hidden="1" x14ac:dyDescent="0.3">
      <c r="A951" s="37">
        <v>46132.673541666663</v>
      </c>
      <c r="B951" s="1">
        <v>4430562296</v>
      </c>
      <c r="C951" s="1" t="s">
        <v>43</v>
      </c>
      <c r="D951" s="1">
        <v>4430265054</v>
      </c>
      <c r="E951" s="1">
        <v>792</v>
      </c>
      <c r="F951" s="1">
        <v>723</v>
      </c>
      <c r="G951" s="1" t="s">
        <v>38</v>
      </c>
      <c r="H951" s="1" t="s">
        <v>2600</v>
      </c>
      <c r="I951" s="1" t="s">
        <v>39</v>
      </c>
      <c r="J951" s="1" t="s">
        <v>40</v>
      </c>
      <c r="K951" s="1" t="s">
        <v>41</v>
      </c>
      <c r="L951" s="1"/>
    </row>
    <row r="952" spans="1:12" s="32" customFormat="1" hidden="1" x14ac:dyDescent="0.3">
      <c r="A952" s="37">
        <v>46132.672847222224</v>
      </c>
      <c r="B952" s="1" t="s">
        <v>42</v>
      </c>
      <c r="C952" s="1">
        <v>4430318515</v>
      </c>
      <c r="D952" s="1"/>
      <c r="E952" s="1">
        <v>718</v>
      </c>
      <c r="F952" s="1">
        <v>705</v>
      </c>
      <c r="G952" s="1" t="s">
        <v>38</v>
      </c>
      <c r="H952" s="1" t="s">
        <v>2601</v>
      </c>
      <c r="I952" s="1" t="s">
        <v>46</v>
      </c>
      <c r="J952" s="1" t="s">
        <v>40</v>
      </c>
      <c r="K952" s="1"/>
      <c r="L952" s="1"/>
    </row>
    <row r="953" spans="1:12" s="32" customFormat="1" hidden="1" x14ac:dyDescent="0.3">
      <c r="A953" s="37">
        <v>46132.671238425923</v>
      </c>
      <c r="B953" s="1" t="s">
        <v>37</v>
      </c>
      <c r="C953" s="1">
        <v>4334234629</v>
      </c>
      <c r="D953" s="1"/>
      <c r="E953" s="1">
        <v>448</v>
      </c>
      <c r="F953" s="1">
        <v>436</v>
      </c>
      <c r="G953" s="1" t="s">
        <v>38</v>
      </c>
      <c r="H953" s="1" t="s">
        <v>2602</v>
      </c>
      <c r="I953" s="1" t="s">
        <v>46</v>
      </c>
      <c r="J953" s="1" t="s">
        <v>40</v>
      </c>
      <c r="K953" s="1"/>
      <c r="L953" s="1">
        <v>5</v>
      </c>
    </row>
    <row r="954" spans="1:12" s="32" customFormat="1" hidden="1" x14ac:dyDescent="0.3">
      <c r="A954" s="37">
        <v>46132.668240740742</v>
      </c>
      <c r="B954" s="1">
        <v>67992169496</v>
      </c>
      <c r="C954" s="1" t="s">
        <v>45</v>
      </c>
      <c r="D954" s="1">
        <v>4430265054</v>
      </c>
      <c r="E954" s="1">
        <v>923</v>
      </c>
      <c r="F954" s="1">
        <v>889</v>
      </c>
      <c r="G954" s="1" t="s">
        <v>38</v>
      </c>
      <c r="H954" s="1" t="s">
        <v>2603</v>
      </c>
      <c r="I954" s="1" t="s">
        <v>39</v>
      </c>
      <c r="J954" s="1" t="s">
        <v>40</v>
      </c>
      <c r="K954" s="1" t="s">
        <v>41</v>
      </c>
      <c r="L954" s="1">
        <v>5</v>
      </c>
    </row>
    <row r="955" spans="1:12" s="32" customFormat="1" hidden="1" x14ac:dyDescent="0.3">
      <c r="A955" s="37">
        <v>46132.663518518515</v>
      </c>
      <c r="B955" s="1">
        <v>45999334612</v>
      </c>
      <c r="C955" s="1" t="s">
        <v>43</v>
      </c>
      <c r="D955" s="1">
        <v>4430265054</v>
      </c>
      <c r="E955" s="1">
        <v>492</v>
      </c>
      <c r="F955" s="1">
        <v>431</v>
      </c>
      <c r="G955" s="1" t="s">
        <v>38</v>
      </c>
      <c r="H955" s="1" t="s">
        <v>2604</v>
      </c>
      <c r="I955" s="1" t="s">
        <v>39</v>
      </c>
      <c r="J955" s="1" t="s">
        <v>40</v>
      </c>
      <c r="K955" s="1" t="s">
        <v>41</v>
      </c>
      <c r="L955" s="1">
        <v>5</v>
      </c>
    </row>
    <row r="956" spans="1:12" s="32" customFormat="1" hidden="1" x14ac:dyDescent="0.3">
      <c r="A956" s="37">
        <v>46132.658391203702</v>
      </c>
      <c r="B956" s="1">
        <v>67992169496</v>
      </c>
      <c r="C956" s="1" t="s">
        <v>45</v>
      </c>
      <c r="D956" s="1">
        <v>4430265054</v>
      </c>
      <c r="E956" s="1">
        <v>567</v>
      </c>
      <c r="F956" s="1">
        <v>547</v>
      </c>
      <c r="G956" s="1" t="s">
        <v>38</v>
      </c>
      <c r="H956" s="1" t="s">
        <v>2605</v>
      </c>
      <c r="I956" s="1" t="s">
        <v>39</v>
      </c>
      <c r="J956" s="1" t="s">
        <v>40</v>
      </c>
      <c r="K956" s="1" t="s">
        <v>41</v>
      </c>
      <c r="L956" s="1"/>
    </row>
    <row r="957" spans="1:12" s="32" customFormat="1" hidden="1" x14ac:dyDescent="0.3">
      <c r="A957" s="37">
        <v>46132.656261574077</v>
      </c>
      <c r="B957" s="1">
        <v>4430318514</v>
      </c>
      <c r="C957" s="1" t="s">
        <v>42</v>
      </c>
      <c r="D957" s="1">
        <v>4430265054</v>
      </c>
      <c r="E957" s="1">
        <v>209</v>
      </c>
      <c r="F957" s="1">
        <v>159</v>
      </c>
      <c r="G957" s="1" t="s">
        <v>38</v>
      </c>
      <c r="H957" s="1" t="s">
        <v>2606</v>
      </c>
      <c r="I957" s="1" t="s">
        <v>39</v>
      </c>
      <c r="J957" s="1" t="s">
        <v>40</v>
      </c>
      <c r="K957" s="1" t="s">
        <v>41</v>
      </c>
      <c r="L957" s="1"/>
    </row>
    <row r="958" spans="1:12" s="32" customFormat="1" hidden="1" x14ac:dyDescent="0.3">
      <c r="A958" s="37">
        <v>46132.653460648151</v>
      </c>
      <c r="B958" s="1">
        <v>4430288517</v>
      </c>
      <c r="C958" s="1">
        <v>4430265054</v>
      </c>
      <c r="D958" s="1">
        <v>4430265054</v>
      </c>
      <c r="E958" s="1">
        <v>68</v>
      </c>
      <c r="F958" s="1">
        <v>67</v>
      </c>
      <c r="G958" s="1" t="s">
        <v>52</v>
      </c>
      <c r="H958" s="1" t="s">
        <v>2607</v>
      </c>
      <c r="I958" s="1" t="s">
        <v>39</v>
      </c>
      <c r="J958" s="1" t="s">
        <v>53</v>
      </c>
      <c r="K958" s="1" t="s">
        <v>41</v>
      </c>
      <c r="L958" s="1"/>
    </row>
    <row r="959" spans="1:12" s="32" customFormat="1" hidden="1" x14ac:dyDescent="0.3">
      <c r="A959" s="37">
        <v>46132.648587962962</v>
      </c>
      <c r="B959" s="1" t="s">
        <v>48</v>
      </c>
      <c r="C959" s="1">
        <v>4430315826</v>
      </c>
      <c r="D959" s="1"/>
      <c r="E959" s="1">
        <v>236</v>
      </c>
      <c r="F959" s="1">
        <v>224</v>
      </c>
      <c r="G959" s="1" t="s">
        <v>38</v>
      </c>
      <c r="H959" s="1" t="s">
        <v>2608</v>
      </c>
      <c r="I959" s="1" t="s">
        <v>46</v>
      </c>
      <c r="J959" s="1" t="s">
        <v>40</v>
      </c>
      <c r="K959" s="1"/>
      <c r="L959" s="1"/>
    </row>
    <row r="960" spans="1:12" s="32" customFormat="1" hidden="1" x14ac:dyDescent="0.3">
      <c r="A960" s="37">
        <v>46132.64466435185</v>
      </c>
      <c r="B960" s="1">
        <v>4430318516</v>
      </c>
      <c r="C960" s="1" t="s">
        <v>42</v>
      </c>
      <c r="D960" s="1">
        <v>4430265054</v>
      </c>
      <c r="E960" s="1">
        <v>692</v>
      </c>
      <c r="F960" s="1">
        <v>663</v>
      </c>
      <c r="G960" s="1" t="s">
        <v>38</v>
      </c>
      <c r="H960" s="1" t="s">
        <v>2609</v>
      </c>
      <c r="I960" s="1" t="s">
        <v>39</v>
      </c>
      <c r="J960" s="1" t="s">
        <v>40</v>
      </c>
      <c r="K960" s="1" t="s">
        <v>41</v>
      </c>
      <c r="L960" s="1"/>
    </row>
    <row r="961" spans="1:12" s="32" customFormat="1" hidden="1" x14ac:dyDescent="0.3">
      <c r="A961" s="37">
        <v>46132.644189814811</v>
      </c>
      <c r="B961" s="1" t="s">
        <v>54</v>
      </c>
      <c r="C961" s="1">
        <v>51997576393</v>
      </c>
      <c r="D961" s="1"/>
      <c r="E961" s="1">
        <v>9</v>
      </c>
      <c r="F961" s="1">
        <v>0</v>
      </c>
      <c r="G961" s="1" t="s">
        <v>47</v>
      </c>
      <c r="H961" s="1" t="s">
        <v>2610</v>
      </c>
      <c r="I961" s="1" t="s">
        <v>46</v>
      </c>
      <c r="J961" s="1" t="s">
        <v>55</v>
      </c>
      <c r="K961" s="1"/>
      <c r="L961" s="1"/>
    </row>
    <row r="962" spans="1:12" s="32" customFormat="1" hidden="1" x14ac:dyDescent="0.3">
      <c r="A962" s="37">
        <v>46132.643148148149</v>
      </c>
      <c r="B962" s="1" t="s">
        <v>54</v>
      </c>
      <c r="C962" s="1">
        <v>77998455708</v>
      </c>
      <c r="D962" s="1"/>
      <c r="E962" s="1">
        <v>36</v>
      </c>
      <c r="F962" s="1">
        <v>2</v>
      </c>
      <c r="G962" s="1" t="s">
        <v>38</v>
      </c>
      <c r="H962" s="1" t="s">
        <v>2611</v>
      </c>
      <c r="I962" s="1" t="s">
        <v>46</v>
      </c>
      <c r="J962" s="1" t="s">
        <v>55</v>
      </c>
      <c r="K962" s="1"/>
      <c r="L962" s="1"/>
    </row>
    <row r="963" spans="1:12" s="32" customFormat="1" hidden="1" x14ac:dyDescent="0.3">
      <c r="A963" s="37">
        <v>46132.642152777778</v>
      </c>
      <c r="B963" s="1" t="s">
        <v>54</v>
      </c>
      <c r="C963" s="1">
        <v>95991668787</v>
      </c>
      <c r="D963" s="1"/>
      <c r="E963" s="1">
        <v>42</v>
      </c>
      <c r="F963" s="1">
        <v>2</v>
      </c>
      <c r="G963" s="1" t="s">
        <v>38</v>
      </c>
      <c r="H963" s="1" t="s">
        <v>2612</v>
      </c>
      <c r="I963" s="1" t="s">
        <v>46</v>
      </c>
      <c r="J963" s="1" t="s">
        <v>55</v>
      </c>
      <c r="K963" s="1"/>
      <c r="L963" s="1"/>
    </row>
    <row r="964" spans="1:12" s="32" customFormat="1" hidden="1" x14ac:dyDescent="0.3">
      <c r="A964" s="37">
        <v>46132.640833333331</v>
      </c>
      <c r="B964" s="1" t="s">
        <v>54</v>
      </c>
      <c r="C964" s="1">
        <v>71985560747</v>
      </c>
      <c r="D964" s="1"/>
      <c r="E964" s="1">
        <v>49</v>
      </c>
      <c r="F964" s="1">
        <v>11</v>
      </c>
      <c r="G964" s="1" t="s">
        <v>38</v>
      </c>
      <c r="H964" s="1" t="s">
        <v>2613</v>
      </c>
      <c r="I964" s="1" t="s">
        <v>46</v>
      </c>
      <c r="J964" s="1" t="s">
        <v>55</v>
      </c>
      <c r="K964" s="1"/>
      <c r="L964" s="1"/>
    </row>
    <row r="965" spans="1:12" s="32" customFormat="1" hidden="1" x14ac:dyDescent="0.3">
      <c r="A965" s="37">
        <v>46132.640069444446</v>
      </c>
      <c r="B965" s="1" t="s">
        <v>54</v>
      </c>
      <c r="C965" s="1">
        <v>11993281662</v>
      </c>
      <c r="D965" s="1"/>
      <c r="E965" s="1">
        <v>23</v>
      </c>
      <c r="F965" s="1">
        <v>0</v>
      </c>
      <c r="G965" s="1" t="s">
        <v>38</v>
      </c>
      <c r="H965" s="1" t="s">
        <v>2614</v>
      </c>
      <c r="I965" s="1" t="s">
        <v>46</v>
      </c>
      <c r="J965" s="1" t="s">
        <v>55</v>
      </c>
      <c r="K965" s="1"/>
      <c r="L965" s="1"/>
    </row>
    <row r="966" spans="1:12" s="32" customFormat="1" hidden="1" x14ac:dyDescent="0.3">
      <c r="A966" s="37">
        <v>46132.639733796299</v>
      </c>
      <c r="B966" s="1" t="s">
        <v>42</v>
      </c>
      <c r="C966" s="1">
        <v>4430318515</v>
      </c>
      <c r="D966" s="1"/>
      <c r="E966" s="1">
        <v>156</v>
      </c>
      <c r="F966" s="1">
        <v>146</v>
      </c>
      <c r="G966" s="1" t="s">
        <v>38</v>
      </c>
      <c r="H966" s="1" t="s">
        <v>2615</v>
      </c>
      <c r="I966" s="1" t="s">
        <v>46</v>
      </c>
      <c r="J966" s="1" t="s">
        <v>40</v>
      </c>
      <c r="K966" s="1"/>
      <c r="L966" s="1"/>
    </row>
    <row r="967" spans="1:12" s="32" customFormat="1" hidden="1" x14ac:dyDescent="0.3">
      <c r="A967" s="37">
        <v>46132.639699074076</v>
      </c>
      <c r="B967" s="1" t="s">
        <v>54</v>
      </c>
      <c r="C967" s="1">
        <v>11996484518</v>
      </c>
      <c r="D967" s="1"/>
      <c r="E967" s="1">
        <v>12</v>
      </c>
      <c r="F967" s="1">
        <v>9</v>
      </c>
      <c r="G967" s="1" t="s">
        <v>38</v>
      </c>
      <c r="H967" s="1" t="s">
        <v>2616</v>
      </c>
      <c r="I967" s="1" t="s">
        <v>46</v>
      </c>
      <c r="J967" s="1" t="s">
        <v>55</v>
      </c>
      <c r="K967" s="1"/>
      <c r="L967" s="1"/>
    </row>
    <row r="968" spans="1:12" s="32" customFormat="1" hidden="1" x14ac:dyDescent="0.3">
      <c r="A968" s="37">
        <v>46132.638796296298</v>
      </c>
      <c r="B968" s="1" t="s">
        <v>54</v>
      </c>
      <c r="C968" s="1">
        <v>91985386278</v>
      </c>
      <c r="D968" s="1"/>
      <c r="E968" s="1">
        <v>18</v>
      </c>
      <c r="F968" s="1">
        <v>1</v>
      </c>
      <c r="G968" s="1" t="s">
        <v>38</v>
      </c>
      <c r="H968" s="1" t="s">
        <v>2617</v>
      </c>
      <c r="I968" s="1" t="s">
        <v>46</v>
      </c>
      <c r="J968" s="1" t="s">
        <v>55</v>
      </c>
      <c r="K968" s="1"/>
      <c r="L968" s="1"/>
    </row>
    <row r="969" spans="1:12" s="32" customFormat="1" hidden="1" x14ac:dyDescent="0.3">
      <c r="A969" s="37">
        <v>46132.638553240744</v>
      </c>
      <c r="B969" s="1" t="s">
        <v>54</v>
      </c>
      <c r="C969" s="1">
        <v>91985386278</v>
      </c>
      <c r="D969" s="1"/>
      <c r="E969" s="1">
        <v>19</v>
      </c>
      <c r="F969" s="1">
        <v>3</v>
      </c>
      <c r="G969" s="1" t="s">
        <v>38</v>
      </c>
      <c r="H969" s="1" t="s">
        <v>2618</v>
      </c>
      <c r="I969" s="1" t="s">
        <v>46</v>
      </c>
      <c r="J969" s="1" t="s">
        <v>55</v>
      </c>
      <c r="K969" s="1"/>
      <c r="L969" s="1"/>
    </row>
    <row r="970" spans="1:12" s="32" customFormat="1" hidden="1" x14ac:dyDescent="0.3">
      <c r="A970" s="37">
        <v>46132.632928240739</v>
      </c>
      <c r="B970" s="1" t="s">
        <v>54</v>
      </c>
      <c r="C970" s="1">
        <v>71996144463</v>
      </c>
      <c r="D970" s="1"/>
      <c r="E970" s="1">
        <v>7</v>
      </c>
      <c r="F970" s="1">
        <v>3</v>
      </c>
      <c r="G970" s="1" t="s">
        <v>38</v>
      </c>
      <c r="H970" s="1" t="s">
        <v>2619</v>
      </c>
      <c r="I970" s="1" t="s">
        <v>46</v>
      </c>
      <c r="J970" s="1" t="s">
        <v>55</v>
      </c>
      <c r="K970" s="1"/>
      <c r="L970" s="1"/>
    </row>
    <row r="971" spans="1:12" s="32" customFormat="1" hidden="1" x14ac:dyDescent="0.3">
      <c r="A971" s="37">
        <v>46132.630532407406</v>
      </c>
      <c r="B971" s="1">
        <v>41999865917</v>
      </c>
      <c r="C971" s="1" t="s">
        <v>43</v>
      </c>
      <c r="D971" s="1">
        <v>4431268225</v>
      </c>
      <c r="E971" s="1">
        <v>828</v>
      </c>
      <c r="F971" s="1">
        <v>784</v>
      </c>
      <c r="G971" s="1" t="s">
        <v>38</v>
      </c>
      <c r="H971" s="1" t="s">
        <v>2620</v>
      </c>
      <c r="I971" s="1" t="s">
        <v>39</v>
      </c>
      <c r="J971" s="1" t="s">
        <v>40</v>
      </c>
      <c r="K971" s="1" t="s">
        <v>41</v>
      </c>
      <c r="L971" s="1"/>
    </row>
    <row r="972" spans="1:12" s="32" customFormat="1" x14ac:dyDescent="0.3">
      <c r="A972" s="37">
        <v>46132.628900462965</v>
      </c>
      <c r="B972" s="1">
        <v>44991388221</v>
      </c>
      <c r="C972" s="1" t="s">
        <v>37</v>
      </c>
      <c r="D972" s="1">
        <v>4430265054</v>
      </c>
      <c r="E972" s="1">
        <v>1556</v>
      </c>
      <c r="F972" s="1">
        <v>1384</v>
      </c>
      <c r="G972" s="1" t="s">
        <v>38</v>
      </c>
      <c r="H972" s="1" t="s">
        <v>2621</v>
      </c>
      <c r="I972" s="1" t="s">
        <v>39</v>
      </c>
      <c r="J972" s="1" t="s">
        <v>40</v>
      </c>
      <c r="K972" s="1" t="s">
        <v>41</v>
      </c>
      <c r="L972" s="1">
        <v>5</v>
      </c>
    </row>
    <row r="973" spans="1:12" s="32" customFormat="1" hidden="1" x14ac:dyDescent="0.3">
      <c r="A973" s="37">
        <v>46132.624722222223</v>
      </c>
      <c r="B973" s="1" t="s">
        <v>54</v>
      </c>
      <c r="C973" s="1">
        <v>77999856415</v>
      </c>
      <c r="D973" s="1"/>
      <c r="E973" s="1">
        <v>57</v>
      </c>
      <c r="F973" s="1">
        <v>39</v>
      </c>
      <c r="G973" s="1" t="s">
        <v>38</v>
      </c>
      <c r="H973" s="1" t="s">
        <v>2622</v>
      </c>
      <c r="I973" s="1" t="s">
        <v>46</v>
      </c>
      <c r="J973" s="1" t="s">
        <v>55</v>
      </c>
      <c r="K973" s="1"/>
      <c r="L973" s="1"/>
    </row>
    <row r="974" spans="1:12" s="32" customFormat="1" hidden="1" x14ac:dyDescent="0.3">
      <c r="A974" s="37">
        <v>46132.617164351854</v>
      </c>
      <c r="B974" s="1">
        <v>44998032021</v>
      </c>
      <c r="C974" s="1" t="s">
        <v>45</v>
      </c>
      <c r="D974" s="1">
        <v>4430265054</v>
      </c>
      <c r="E974" s="1">
        <v>538</v>
      </c>
      <c r="F974" s="1">
        <v>501</v>
      </c>
      <c r="G974" s="1" t="s">
        <v>38</v>
      </c>
      <c r="H974" s="1" t="s">
        <v>2623</v>
      </c>
      <c r="I974" s="1" t="s">
        <v>39</v>
      </c>
      <c r="J974" s="1" t="s">
        <v>40</v>
      </c>
      <c r="K974" s="1" t="s">
        <v>41</v>
      </c>
      <c r="L974" s="1"/>
    </row>
    <row r="975" spans="1:12" s="32" customFormat="1" hidden="1" x14ac:dyDescent="0.3">
      <c r="A975" s="37">
        <v>46132.613449074073</v>
      </c>
      <c r="B975" s="1" t="s">
        <v>48</v>
      </c>
      <c r="C975" s="1">
        <v>4430315826</v>
      </c>
      <c r="D975" s="1"/>
      <c r="E975" s="1">
        <v>1</v>
      </c>
      <c r="F975" s="1">
        <v>0</v>
      </c>
      <c r="G975" s="1" t="s">
        <v>47</v>
      </c>
      <c r="H975" s="1" t="s">
        <v>2624</v>
      </c>
      <c r="I975" s="1" t="s">
        <v>46</v>
      </c>
      <c r="J975" s="1" t="s">
        <v>40</v>
      </c>
      <c r="K975" s="1"/>
      <c r="L975" s="1"/>
    </row>
    <row r="976" spans="1:12" s="32" customFormat="1" hidden="1" x14ac:dyDescent="0.3">
      <c r="A976" s="37">
        <v>46132.612974537034</v>
      </c>
      <c r="B976" s="1">
        <v>1000</v>
      </c>
      <c r="C976" s="1">
        <v>4430315826</v>
      </c>
      <c r="D976" s="1"/>
      <c r="E976" s="1">
        <v>348</v>
      </c>
      <c r="F976" s="1">
        <v>336</v>
      </c>
      <c r="G976" s="1" t="s">
        <v>38</v>
      </c>
      <c r="H976" s="1" t="s">
        <v>2625</v>
      </c>
      <c r="I976" s="1" t="s">
        <v>46</v>
      </c>
      <c r="J976" s="1" t="s">
        <v>40</v>
      </c>
      <c r="K976" s="1"/>
      <c r="L976" s="1"/>
    </row>
    <row r="977" spans="1:12" s="32" customFormat="1" hidden="1" x14ac:dyDescent="0.3">
      <c r="A977" s="37">
        <v>46132.611539351848</v>
      </c>
      <c r="B977" s="1">
        <v>4430318515</v>
      </c>
      <c r="C977" s="1" t="s">
        <v>42</v>
      </c>
      <c r="D977" s="1">
        <v>4430265054</v>
      </c>
      <c r="E977" s="1">
        <v>822</v>
      </c>
      <c r="F977" s="1">
        <v>761</v>
      </c>
      <c r="G977" s="1" t="s">
        <v>38</v>
      </c>
      <c r="H977" s="1" t="s">
        <v>2626</v>
      </c>
      <c r="I977" s="1" t="s">
        <v>39</v>
      </c>
      <c r="J977" s="1" t="s">
        <v>40</v>
      </c>
      <c r="K977" s="1" t="s">
        <v>41</v>
      </c>
      <c r="L977" s="1"/>
    </row>
    <row r="978" spans="1:12" s="32" customFormat="1" hidden="1" x14ac:dyDescent="0.3">
      <c r="A978" s="37">
        <v>46132.611319444448</v>
      </c>
      <c r="B978" s="1" t="s">
        <v>48</v>
      </c>
      <c r="C978" s="1">
        <v>4430315826</v>
      </c>
      <c r="D978" s="1"/>
      <c r="E978" s="1">
        <v>108</v>
      </c>
      <c r="F978" s="1">
        <v>95</v>
      </c>
      <c r="G978" s="1" t="s">
        <v>38</v>
      </c>
      <c r="H978" s="1" t="s">
        <v>2627</v>
      </c>
      <c r="I978" s="1" t="s">
        <v>46</v>
      </c>
      <c r="J978" s="1" t="s">
        <v>40</v>
      </c>
      <c r="K978" s="1"/>
      <c r="L978" s="1"/>
    </row>
    <row r="979" spans="1:12" s="32" customFormat="1" hidden="1" x14ac:dyDescent="0.3">
      <c r="A979" s="37">
        <v>46132.611180555556</v>
      </c>
      <c r="B979" s="1" t="s">
        <v>48</v>
      </c>
      <c r="C979" s="1">
        <v>4432325260</v>
      </c>
      <c r="D979" s="1"/>
      <c r="E979" s="1">
        <v>25</v>
      </c>
      <c r="F979" s="1">
        <v>25</v>
      </c>
      <c r="G979" s="1" t="s">
        <v>38</v>
      </c>
      <c r="H979" s="1" t="s">
        <v>2628</v>
      </c>
      <c r="I979" s="1" t="s">
        <v>46</v>
      </c>
      <c r="J979" s="1" t="s">
        <v>40</v>
      </c>
      <c r="K979" s="1"/>
      <c r="L979" s="1"/>
    </row>
    <row r="980" spans="1:12" s="32" customFormat="1" hidden="1" x14ac:dyDescent="0.3">
      <c r="A980" s="37">
        <v>46132.611157407409</v>
      </c>
      <c r="B980" s="1">
        <v>4430318514</v>
      </c>
      <c r="C980" s="1">
        <v>4430265054</v>
      </c>
      <c r="D980" s="1">
        <v>4430265054</v>
      </c>
      <c r="E980" s="1">
        <v>1</v>
      </c>
      <c r="F980" s="1">
        <v>0</v>
      </c>
      <c r="G980" s="1" t="s">
        <v>47</v>
      </c>
      <c r="H980" s="1" t="s">
        <v>2629</v>
      </c>
      <c r="I980" s="1" t="s">
        <v>39</v>
      </c>
      <c r="J980" s="1" t="s">
        <v>53</v>
      </c>
      <c r="K980" s="1"/>
      <c r="L980" s="1"/>
    </row>
    <row r="981" spans="1:12" s="32" customFormat="1" hidden="1" x14ac:dyDescent="0.3">
      <c r="A981" s="37">
        <v>46132.604467592595</v>
      </c>
      <c r="B981" s="1">
        <v>77999014770</v>
      </c>
      <c r="C981" s="1" t="s">
        <v>43</v>
      </c>
      <c r="D981" s="1">
        <v>4430265054</v>
      </c>
      <c r="E981" s="1">
        <v>1321</v>
      </c>
      <c r="F981" s="1">
        <v>1174</v>
      </c>
      <c r="G981" s="1" t="s">
        <v>38</v>
      </c>
      <c r="H981" s="1" t="s">
        <v>2630</v>
      </c>
      <c r="I981" s="1" t="s">
        <v>39</v>
      </c>
      <c r="J981" s="1" t="s">
        <v>40</v>
      </c>
      <c r="K981" s="1" t="s">
        <v>41</v>
      </c>
      <c r="L981" s="1">
        <v>5</v>
      </c>
    </row>
    <row r="982" spans="1:12" s="32" customFormat="1" hidden="1" x14ac:dyDescent="0.3">
      <c r="A982" s="37">
        <v>46132.604328703703</v>
      </c>
      <c r="B982" s="1">
        <v>93984112869</v>
      </c>
      <c r="C982" s="1" t="s">
        <v>44</v>
      </c>
      <c r="D982" s="1">
        <v>4431268225</v>
      </c>
      <c r="E982" s="1">
        <v>813</v>
      </c>
      <c r="F982" s="1">
        <v>688</v>
      </c>
      <c r="G982" s="1" t="s">
        <v>38</v>
      </c>
      <c r="H982" s="1" t="s">
        <v>2631</v>
      </c>
      <c r="I982" s="1" t="s">
        <v>39</v>
      </c>
      <c r="J982" s="1" t="s">
        <v>40</v>
      </c>
      <c r="K982" s="1" t="s">
        <v>41</v>
      </c>
      <c r="L982" s="1"/>
    </row>
    <row r="983" spans="1:12" s="32" customFormat="1" hidden="1" x14ac:dyDescent="0.3">
      <c r="A983" s="37">
        <v>46132.603414351855</v>
      </c>
      <c r="B983" s="1">
        <v>93984112869</v>
      </c>
      <c r="C983" s="1">
        <v>4431268225</v>
      </c>
      <c r="D983" s="1">
        <v>4431268225</v>
      </c>
      <c r="E983" s="1">
        <v>60</v>
      </c>
      <c r="F983" s="1">
        <v>26</v>
      </c>
      <c r="G983" s="1" t="s">
        <v>52</v>
      </c>
      <c r="H983" s="1" t="s">
        <v>2632</v>
      </c>
      <c r="I983" s="1" t="s">
        <v>39</v>
      </c>
      <c r="J983" s="1" t="s">
        <v>53</v>
      </c>
      <c r="K983" s="1"/>
      <c r="L983" s="1"/>
    </row>
    <row r="984" spans="1:12" s="32" customFormat="1" hidden="1" x14ac:dyDescent="0.3">
      <c r="A984" s="37">
        <v>46132.601736111108</v>
      </c>
      <c r="B984" s="1">
        <v>4334728840</v>
      </c>
      <c r="C984" s="1" t="s">
        <v>45</v>
      </c>
      <c r="D984" s="1">
        <v>4430265054</v>
      </c>
      <c r="E984" s="1">
        <v>769</v>
      </c>
      <c r="F984" s="1">
        <v>730</v>
      </c>
      <c r="G984" s="1" t="s">
        <v>38</v>
      </c>
      <c r="H984" s="1" t="s">
        <v>2633</v>
      </c>
      <c r="I984" s="1" t="s">
        <v>39</v>
      </c>
      <c r="J984" s="1" t="s">
        <v>40</v>
      </c>
      <c r="K984" s="1" t="s">
        <v>41</v>
      </c>
      <c r="L984" s="1">
        <v>5</v>
      </c>
    </row>
    <row r="985" spans="1:12" s="32" customFormat="1" hidden="1" x14ac:dyDescent="0.3">
      <c r="A985" s="37">
        <v>46132.600798611114</v>
      </c>
      <c r="B985" s="1">
        <v>41992013248</v>
      </c>
      <c r="C985" s="1" t="s">
        <v>42</v>
      </c>
      <c r="D985" s="1">
        <v>4430265054</v>
      </c>
      <c r="E985" s="1">
        <v>537</v>
      </c>
      <c r="F985" s="1">
        <v>457</v>
      </c>
      <c r="G985" s="1" t="s">
        <v>38</v>
      </c>
      <c r="H985" s="1" t="s">
        <v>2634</v>
      </c>
      <c r="I985" s="1" t="s">
        <v>39</v>
      </c>
      <c r="J985" s="1" t="s">
        <v>40</v>
      </c>
      <c r="K985" s="1" t="s">
        <v>41</v>
      </c>
      <c r="L985" s="1"/>
    </row>
    <row r="986" spans="1:12" s="32" customFormat="1" hidden="1" x14ac:dyDescent="0.3">
      <c r="A986" s="37">
        <v>46132.598622685182</v>
      </c>
      <c r="B986" s="1" t="s">
        <v>50</v>
      </c>
      <c r="C986" s="1">
        <v>44998003003</v>
      </c>
      <c r="D986" s="1"/>
      <c r="E986" s="1">
        <v>153</v>
      </c>
      <c r="F986" s="1">
        <v>133</v>
      </c>
      <c r="G986" s="1" t="s">
        <v>38</v>
      </c>
      <c r="H986" s="1" t="s">
        <v>2635</v>
      </c>
      <c r="I986" s="1" t="s">
        <v>46</v>
      </c>
      <c r="J986" s="1" t="s">
        <v>55</v>
      </c>
      <c r="K986" s="1"/>
      <c r="L986" s="1"/>
    </row>
    <row r="987" spans="1:12" s="32" customFormat="1" hidden="1" x14ac:dyDescent="0.3">
      <c r="A987" s="37">
        <v>46132.597905092596</v>
      </c>
      <c r="B987" s="1" t="s">
        <v>50</v>
      </c>
      <c r="C987" s="1" t="s">
        <v>57</v>
      </c>
      <c r="D987" s="1"/>
      <c r="E987" s="1">
        <v>41</v>
      </c>
      <c r="F987" s="1">
        <v>35</v>
      </c>
      <c r="G987" s="1" t="s">
        <v>38</v>
      </c>
      <c r="H987" s="1" t="s">
        <v>2636</v>
      </c>
      <c r="I987" s="1" t="s">
        <v>51</v>
      </c>
      <c r="J987" s="1" t="s">
        <v>55</v>
      </c>
      <c r="K987" s="1"/>
      <c r="L987" s="1"/>
    </row>
    <row r="988" spans="1:12" s="32" customFormat="1" hidden="1" x14ac:dyDescent="0.3">
      <c r="A988" s="37">
        <v>46132.595937500002</v>
      </c>
      <c r="B988" s="1">
        <v>44998003003</v>
      </c>
      <c r="C988" s="1" t="s">
        <v>57</v>
      </c>
      <c r="D988" s="1">
        <v>4430265054</v>
      </c>
      <c r="E988" s="1">
        <v>176</v>
      </c>
      <c r="F988" s="1">
        <v>117</v>
      </c>
      <c r="G988" s="1" t="s">
        <v>38</v>
      </c>
      <c r="H988" s="1" t="s">
        <v>2637</v>
      </c>
      <c r="I988" s="1" t="s">
        <v>39</v>
      </c>
      <c r="J988" s="1" t="s">
        <v>55</v>
      </c>
      <c r="K988" s="1" t="s">
        <v>49</v>
      </c>
      <c r="L988" s="1"/>
    </row>
    <row r="989" spans="1:12" s="32" customFormat="1" hidden="1" x14ac:dyDescent="0.3">
      <c r="A989" s="37">
        <v>46132.593912037039</v>
      </c>
      <c r="B989" s="1">
        <v>4121410323</v>
      </c>
      <c r="C989" s="1" t="s">
        <v>45</v>
      </c>
      <c r="D989" s="1">
        <v>4531273163</v>
      </c>
      <c r="E989" s="1">
        <v>45</v>
      </c>
      <c r="F989" s="1">
        <v>10</v>
      </c>
      <c r="G989" s="1" t="s">
        <v>38</v>
      </c>
      <c r="H989" s="1" t="s">
        <v>2638</v>
      </c>
      <c r="I989" s="1" t="s">
        <v>39</v>
      </c>
      <c r="J989" s="1" t="s">
        <v>40</v>
      </c>
      <c r="K989" s="1" t="s">
        <v>41</v>
      </c>
      <c r="L989" s="1"/>
    </row>
    <row r="990" spans="1:12" s="32" customFormat="1" hidden="1" x14ac:dyDescent="0.3">
      <c r="A990" s="37">
        <v>46132.593124999999</v>
      </c>
      <c r="B990" s="1">
        <v>44991484476</v>
      </c>
      <c r="C990" s="1" t="s">
        <v>43</v>
      </c>
      <c r="D990" s="1">
        <v>4430265054</v>
      </c>
      <c r="E990" s="1">
        <v>1052</v>
      </c>
      <c r="F990" s="1">
        <v>979</v>
      </c>
      <c r="G990" s="1" t="s">
        <v>38</v>
      </c>
      <c r="H990" s="1" t="s">
        <v>2639</v>
      </c>
      <c r="I990" s="1" t="s">
        <v>39</v>
      </c>
      <c r="J990" s="1" t="s">
        <v>40</v>
      </c>
      <c r="K990" s="1" t="s">
        <v>41</v>
      </c>
      <c r="L990" s="1"/>
    </row>
    <row r="991" spans="1:12" s="32" customFormat="1" hidden="1" x14ac:dyDescent="0.3">
      <c r="A991" s="37">
        <v>46132.592534722222</v>
      </c>
      <c r="B991" s="1" t="s">
        <v>48</v>
      </c>
      <c r="C991" s="1">
        <v>4430315826</v>
      </c>
      <c r="D991" s="1"/>
      <c r="E991" s="1">
        <v>80</v>
      </c>
      <c r="F991" s="1">
        <v>68</v>
      </c>
      <c r="G991" s="1" t="s">
        <v>38</v>
      </c>
      <c r="H991" s="1" t="s">
        <v>2640</v>
      </c>
      <c r="I991" s="1" t="s">
        <v>46</v>
      </c>
      <c r="J991" s="1" t="s">
        <v>40</v>
      </c>
      <c r="K991" s="1"/>
      <c r="L991" s="1"/>
    </row>
    <row r="992" spans="1:12" s="32" customFormat="1" hidden="1" x14ac:dyDescent="0.3">
      <c r="A992" s="37">
        <v>46132.591087962966</v>
      </c>
      <c r="B992" s="1">
        <v>44991388221</v>
      </c>
      <c r="C992" s="1" t="s">
        <v>37</v>
      </c>
      <c r="D992" s="1">
        <v>4430265054</v>
      </c>
      <c r="E992" s="1">
        <v>611</v>
      </c>
      <c r="F992" s="1">
        <v>407</v>
      </c>
      <c r="G992" s="1" t="s">
        <v>38</v>
      </c>
      <c r="H992" s="1" t="s">
        <v>2641</v>
      </c>
      <c r="I992" s="1" t="s">
        <v>39</v>
      </c>
      <c r="J992" s="1" t="s">
        <v>40</v>
      </c>
      <c r="K992" s="1" t="s">
        <v>41</v>
      </c>
      <c r="L992" s="1"/>
    </row>
    <row r="993" spans="1:12" s="32" customFormat="1" hidden="1" x14ac:dyDescent="0.3">
      <c r="A993" s="37">
        <v>46132.589062500003</v>
      </c>
      <c r="B993" s="1">
        <v>4533011420</v>
      </c>
      <c r="C993" s="1">
        <v>4531273156</v>
      </c>
      <c r="D993" s="1">
        <v>4531273156</v>
      </c>
      <c r="E993" s="1">
        <v>47</v>
      </c>
      <c r="F993" s="1">
        <v>47</v>
      </c>
      <c r="G993" s="1" t="s">
        <v>52</v>
      </c>
      <c r="H993" s="1" t="s">
        <v>2642</v>
      </c>
      <c r="I993" s="1" t="s">
        <v>39</v>
      </c>
      <c r="J993" s="1" t="s">
        <v>53</v>
      </c>
      <c r="K993" s="1" t="s">
        <v>41</v>
      </c>
      <c r="L993" s="1"/>
    </row>
    <row r="994" spans="1:12" s="32" customFormat="1" hidden="1" x14ac:dyDescent="0.3">
      <c r="A994" s="37">
        <v>46132.587453703702</v>
      </c>
      <c r="B994" s="1" t="s">
        <v>54</v>
      </c>
      <c r="C994" s="1">
        <v>21995200730</v>
      </c>
      <c r="D994" s="1"/>
      <c r="E994" s="1">
        <v>14</v>
      </c>
      <c r="F994" s="1">
        <v>0</v>
      </c>
      <c r="G994" s="1" t="s">
        <v>47</v>
      </c>
      <c r="H994" s="1" t="s">
        <v>2643</v>
      </c>
      <c r="I994" s="1" t="s">
        <v>46</v>
      </c>
      <c r="J994" s="1" t="s">
        <v>55</v>
      </c>
      <c r="K994" s="1"/>
      <c r="L994" s="1"/>
    </row>
    <row r="995" spans="1:12" s="32" customFormat="1" x14ac:dyDescent="0.3">
      <c r="A995" s="37">
        <v>46132.58153935185</v>
      </c>
      <c r="B995" s="1">
        <v>4334232912</v>
      </c>
      <c r="C995" s="1" t="s">
        <v>37</v>
      </c>
      <c r="D995" s="1">
        <v>4430265054</v>
      </c>
      <c r="E995" s="1">
        <v>365</v>
      </c>
      <c r="F995" s="1">
        <v>172</v>
      </c>
      <c r="G995" s="1" t="s">
        <v>38</v>
      </c>
      <c r="H995" s="1" t="s">
        <v>2644</v>
      </c>
      <c r="I995" s="1" t="s">
        <v>39</v>
      </c>
      <c r="J995" s="1" t="s">
        <v>40</v>
      </c>
      <c r="K995" s="1" t="s">
        <v>41</v>
      </c>
      <c r="L995" s="1">
        <v>5</v>
      </c>
    </row>
    <row r="996" spans="1:12" s="32" customFormat="1" hidden="1" x14ac:dyDescent="0.3">
      <c r="A996" s="37">
        <v>46132.581226851849</v>
      </c>
      <c r="B996" s="1" t="s">
        <v>43</v>
      </c>
      <c r="C996" s="1">
        <v>41995061279</v>
      </c>
      <c r="D996" s="1"/>
      <c r="E996" s="1">
        <v>283</v>
      </c>
      <c r="F996" s="1">
        <v>272</v>
      </c>
      <c r="G996" s="1" t="s">
        <v>38</v>
      </c>
      <c r="H996" s="1" t="s">
        <v>2645</v>
      </c>
      <c r="I996" s="1" t="s">
        <v>46</v>
      </c>
      <c r="J996" s="1" t="s">
        <v>40</v>
      </c>
      <c r="K996" s="1"/>
      <c r="L996" s="1"/>
    </row>
    <row r="997" spans="1:12" s="32" customFormat="1" hidden="1" x14ac:dyDescent="0.3">
      <c r="A997" s="37">
        <v>46132.579236111109</v>
      </c>
      <c r="B997" s="1">
        <v>4430315826</v>
      </c>
      <c r="C997" s="1" t="s">
        <v>45</v>
      </c>
      <c r="D997" s="1">
        <v>4430265054</v>
      </c>
      <c r="E997" s="1">
        <v>908</v>
      </c>
      <c r="F997" s="1">
        <v>847</v>
      </c>
      <c r="G997" s="1" t="s">
        <v>38</v>
      </c>
      <c r="H997" s="1" t="s">
        <v>2646</v>
      </c>
      <c r="I997" s="1" t="s">
        <v>39</v>
      </c>
      <c r="J997" s="1" t="s">
        <v>40</v>
      </c>
      <c r="K997" s="1" t="s">
        <v>41</v>
      </c>
      <c r="L997" s="1"/>
    </row>
    <row r="998" spans="1:12" s="32" customFormat="1" x14ac:dyDescent="0.3">
      <c r="A998" s="37">
        <v>46132.573680555557</v>
      </c>
      <c r="B998" s="1">
        <v>4432672194</v>
      </c>
      <c r="C998" s="1" t="s">
        <v>37</v>
      </c>
      <c r="D998" s="1">
        <v>4430265054</v>
      </c>
      <c r="E998" s="1">
        <v>238</v>
      </c>
      <c r="F998" s="1">
        <v>110</v>
      </c>
      <c r="G998" s="1" t="s">
        <v>38</v>
      </c>
      <c r="H998" s="1" t="s">
        <v>2647</v>
      </c>
      <c r="I998" s="1" t="s">
        <v>39</v>
      </c>
      <c r="J998" s="1" t="s">
        <v>40</v>
      </c>
      <c r="K998" s="1" t="s">
        <v>41</v>
      </c>
      <c r="L998" s="1">
        <v>5</v>
      </c>
    </row>
    <row r="999" spans="1:12" s="32" customFormat="1" hidden="1" x14ac:dyDescent="0.3">
      <c r="A999" s="37">
        <v>46132.568715277775</v>
      </c>
      <c r="B999" s="1">
        <v>4334226481</v>
      </c>
      <c r="C999" s="1" t="s">
        <v>43</v>
      </c>
      <c r="D999" s="1">
        <v>4430265054</v>
      </c>
      <c r="E999" s="1">
        <v>645</v>
      </c>
      <c r="F999" s="1">
        <v>524</v>
      </c>
      <c r="G999" s="1" t="s">
        <v>38</v>
      </c>
      <c r="H999" s="1" t="s">
        <v>2648</v>
      </c>
      <c r="I999" s="1" t="s">
        <v>39</v>
      </c>
      <c r="J999" s="1" t="s">
        <v>40</v>
      </c>
      <c r="K999" s="1" t="s">
        <v>41</v>
      </c>
      <c r="L999" s="1"/>
    </row>
    <row r="1000" spans="1:12" s="32" customFormat="1" hidden="1" x14ac:dyDescent="0.3">
      <c r="A1000" s="37">
        <v>46132.566365740742</v>
      </c>
      <c r="B1000" s="1">
        <v>44999493534</v>
      </c>
      <c r="C1000" s="1" t="s">
        <v>45</v>
      </c>
      <c r="D1000" s="1">
        <v>4430265054</v>
      </c>
      <c r="E1000" s="1">
        <v>360</v>
      </c>
      <c r="F1000" s="1">
        <v>295</v>
      </c>
      <c r="G1000" s="1" t="s">
        <v>38</v>
      </c>
      <c r="H1000" s="1" t="s">
        <v>2649</v>
      </c>
      <c r="I1000" s="1" t="s">
        <v>39</v>
      </c>
      <c r="J1000" s="1" t="s">
        <v>40</v>
      </c>
      <c r="K1000" s="1" t="s">
        <v>41</v>
      </c>
      <c r="L1000" s="1"/>
    </row>
    <row r="1001" spans="1:12" s="32" customFormat="1" hidden="1" x14ac:dyDescent="0.3">
      <c r="A1001" s="37">
        <v>46132.552175925928</v>
      </c>
      <c r="B1001" s="1">
        <v>4533011395</v>
      </c>
      <c r="C1001" s="1">
        <v>4531273158</v>
      </c>
      <c r="D1001" s="1">
        <v>4531273158</v>
      </c>
      <c r="E1001" s="1">
        <v>28</v>
      </c>
      <c r="F1001" s="1">
        <v>28</v>
      </c>
      <c r="G1001" s="1" t="s">
        <v>52</v>
      </c>
      <c r="H1001" s="1" t="s">
        <v>2650</v>
      </c>
      <c r="I1001" s="1" t="s">
        <v>39</v>
      </c>
      <c r="J1001" s="1" t="s">
        <v>53</v>
      </c>
      <c r="K1001" s="1"/>
      <c r="L1001" s="1"/>
    </row>
    <row r="1002" spans="1:12" s="32" customFormat="1" hidden="1" x14ac:dyDescent="0.3">
      <c r="A1002" s="37">
        <v>46132.535162037035</v>
      </c>
      <c r="B1002" s="1">
        <v>4533011420</v>
      </c>
      <c r="C1002" s="1">
        <v>4531273159</v>
      </c>
      <c r="D1002" s="1">
        <v>4531273159</v>
      </c>
      <c r="E1002" s="1">
        <v>29</v>
      </c>
      <c r="F1002" s="1">
        <v>28</v>
      </c>
      <c r="G1002" s="1" t="s">
        <v>52</v>
      </c>
      <c r="H1002" s="1" t="s">
        <v>2651</v>
      </c>
      <c r="I1002" s="1" t="s">
        <v>39</v>
      </c>
      <c r="J1002" s="1" t="s">
        <v>53</v>
      </c>
      <c r="K1002" s="1"/>
      <c r="L1002" s="1"/>
    </row>
    <row r="1003" spans="1:12" s="32" customFormat="1" hidden="1" x14ac:dyDescent="0.3">
      <c r="A1003" s="37">
        <v>46132.501192129632</v>
      </c>
      <c r="B1003" s="1">
        <v>4533011420</v>
      </c>
      <c r="C1003" s="1">
        <v>4531273151</v>
      </c>
      <c r="D1003" s="1">
        <v>4531273151</v>
      </c>
      <c r="E1003" s="1">
        <v>29</v>
      </c>
      <c r="F1003" s="1">
        <v>28</v>
      </c>
      <c r="G1003" s="1" t="s">
        <v>52</v>
      </c>
      <c r="H1003" s="1" t="s">
        <v>2652</v>
      </c>
      <c r="I1003" s="1" t="s">
        <v>39</v>
      </c>
      <c r="J1003" s="1" t="s">
        <v>53</v>
      </c>
      <c r="K1003" s="1"/>
      <c r="L1003" s="1"/>
    </row>
    <row r="1004" spans="1:12" s="32" customFormat="1" hidden="1" x14ac:dyDescent="0.3">
      <c r="A1004" s="37">
        <v>46132.493067129632</v>
      </c>
      <c r="B1004" s="1">
        <v>4121413772</v>
      </c>
      <c r="C1004" s="1">
        <v>4531273155</v>
      </c>
      <c r="D1004" s="1">
        <v>4531273155</v>
      </c>
      <c r="E1004" s="1">
        <v>47</v>
      </c>
      <c r="F1004" s="1">
        <v>46</v>
      </c>
      <c r="G1004" s="1" t="s">
        <v>52</v>
      </c>
      <c r="H1004" s="1" t="s">
        <v>2653</v>
      </c>
      <c r="I1004" s="1" t="s">
        <v>39</v>
      </c>
      <c r="J1004" s="1" t="s">
        <v>53</v>
      </c>
      <c r="K1004" s="1" t="s">
        <v>41</v>
      </c>
      <c r="L1004" s="1"/>
    </row>
    <row r="1005" spans="1:12" s="32" customFormat="1" hidden="1" x14ac:dyDescent="0.3">
      <c r="A1005" s="37">
        <v>46132.489166666666</v>
      </c>
      <c r="B1005" s="1" t="s">
        <v>54</v>
      </c>
      <c r="C1005" s="1">
        <v>11945124502</v>
      </c>
      <c r="D1005" s="1"/>
      <c r="E1005" s="1">
        <v>7</v>
      </c>
      <c r="F1005" s="1">
        <v>0</v>
      </c>
      <c r="G1005" s="1" t="s">
        <v>47</v>
      </c>
      <c r="H1005" s="1" t="s">
        <v>2654</v>
      </c>
      <c r="I1005" s="1" t="s">
        <v>46</v>
      </c>
      <c r="J1005" s="1" t="s">
        <v>55</v>
      </c>
      <c r="K1005" s="1"/>
      <c r="L1005" s="1"/>
    </row>
    <row r="1006" spans="1:12" s="32" customFormat="1" hidden="1" x14ac:dyDescent="0.3">
      <c r="A1006" s="37">
        <v>46132.486770833333</v>
      </c>
      <c r="B1006" s="1" t="s">
        <v>57</v>
      </c>
      <c r="C1006" s="1">
        <v>44991593620</v>
      </c>
      <c r="D1006" s="1"/>
      <c r="E1006" s="1">
        <v>342</v>
      </c>
      <c r="F1006" s="1">
        <v>319</v>
      </c>
      <c r="G1006" s="1" t="s">
        <v>38</v>
      </c>
      <c r="H1006" s="1" t="s">
        <v>2655</v>
      </c>
      <c r="I1006" s="1" t="s">
        <v>46</v>
      </c>
      <c r="J1006" s="1" t="s">
        <v>55</v>
      </c>
      <c r="K1006" s="1"/>
      <c r="L1006" s="1"/>
    </row>
    <row r="1007" spans="1:12" s="32" customFormat="1" hidden="1" x14ac:dyDescent="0.3">
      <c r="A1007" s="37">
        <v>46132.481724537036</v>
      </c>
      <c r="B1007" s="1" t="s">
        <v>54</v>
      </c>
      <c r="C1007" s="1">
        <v>91981874210</v>
      </c>
      <c r="D1007" s="1"/>
      <c r="E1007" s="1">
        <v>5</v>
      </c>
      <c r="F1007" s="1">
        <v>2</v>
      </c>
      <c r="G1007" s="1" t="s">
        <v>38</v>
      </c>
      <c r="H1007" s="1" t="s">
        <v>2656</v>
      </c>
      <c r="I1007" s="1" t="s">
        <v>46</v>
      </c>
      <c r="J1007" s="1" t="s">
        <v>55</v>
      </c>
      <c r="K1007" s="1"/>
      <c r="L1007" s="1"/>
    </row>
    <row r="1008" spans="1:12" s="32" customFormat="1" hidden="1" x14ac:dyDescent="0.3">
      <c r="A1008" s="37">
        <v>46132.475416666668</v>
      </c>
      <c r="B1008" s="1">
        <v>6234347959</v>
      </c>
      <c r="C1008" s="1" t="s">
        <v>45</v>
      </c>
      <c r="D1008" s="1">
        <v>4430265054</v>
      </c>
      <c r="E1008" s="1">
        <v>2066</v>
      </c>
      <c r="F1008" s="1">
        <v>2028</v>
      </c>
      <c r="G1008" s="1" t="s">
        <v>38</v>
      </c>
      <c r="H1008" s="1" t="s">
        <v>2657</v>
      </c>
      <c r="I1008" s="1" t="s">
        <v>39</v>
      </c>
      <c r="J1008" s="1" t="s">
        <v>40</v>
      </c>
      <c r="K1008" s="1" t="s">
        <v>41</v>
      </c>
      <c r="L1008" s="1"/>
    </row>
    <row r="1009" spans="1:12" s="32" customFormat="1" hidden="1" x14ac:dyDescent="0.3">
      <c r="A1009" s="37">
        <v>46132.474560185183</v>
      </c>
      <c r="B1009" s="1">
        <v>4130296118</v>
      </c>
      <c r="C1009" s="1" t="s">
        <v>42</v>
      </c>
      <c r="D1009" s="1">
        <v>4430265054</v>
      </c>
      <c r="E1009" s="1">
        <v>565</v>
      </c>
      <c r="F1009" s="1">
        <v>539</v>
      </c>
      <c r="G1009" s="1" t="s">
        <v>38</v>
      </c>
      <c r="H1009" s="1" t="s">
        <v>2658</v>
      </c>
      <c r="I1009" s="1" t="s">
        <v>39</v>
      </c>
      <c r="J1009" s="1" t="s">
        <v>40</v>
      </c>
      <c r="K1009" s="1" t="s">
        <v>41</v>
      </c>
      <c r="L1009" s="1"/>
    </row>
    <row r="1010" spans="1:12" s="32" customFormat="1" hidden="1" x14ac:dyDescent="0.3">
      <c r="A1010" s="37">
        <v>46132.468634259261</v>
      </c>
      <c r="B1010" s="1" t="s">
        <v>48</v>
      </c>
      <c r="C1010" s="1">
        <v>44984553109</v>
      </c>
      <c r="D1010" s="1"/>
      <c r="E1010" s="1">
        <v>80</v>
      </c>
      <c r="F1010" s="1">
        <v>49</v>
      </c>
      <c r="G1010" s="1" t="s">
        <v>38</v>
      </c>
      <c r="H1010" s="1" t="s">
        <v>2659</v>
      </c>
      <c r="I1010" s="1" t="s">
        <v>46</v>
      </c>
      <c r="J1010" s="1" t="s">
        <v>40</v>
      </c>
      <c r="K1010" s="1"/>
      <c r="L1010" s="1"/>
    </row>
    <row r="1011" spans="1:12" s="32" customFormat="1" hidden="1" x14ac:dyDescent="0.3">
      <c r="A1011" s="37">
        <v>46132.466493055559</v>
      </c>
      <c r="B1011" s="1" t="s">
        <v>48</v>
      </c>
      <c r="C1011" s="1">
        <v>44984553109</v>
      </c>
      <c r="D1011" s="1"/>
      <c r="E1011" s="1">
        <v>66</v>
      </c>
      <c r="F1011" s="1">
        <v>28</v>
      </c>
      <c r="G1011" s="1" t="s">
        <v>38</v>
      </c>
      <c r="H1011" s="1" t="s">
        <v>2660</v>
      </c>
      <c r="I1011" s="1" t="s">
        <v>46</v>
      </c>
      <c r="J1011" s="1" t="s">
        <v>40</v>
      </c>
      <c r="K1011" s="1"/>
      <c r="L1011" s="1"/>
    </row>
    <row r="1012" spans="1:12" s="32" customFormat="1" hidden="1" x14ac:dyDescent="0.3">
      <c r="A1012" s="37">
        <v>46132.466446759259</v>
      </c>
      <c r="B1012" s="1" t="s">
        <v>48</v>
      </c>
      <c r="C1012" s="1">
        <v>44984553109</v>
      </c>
      <c r="D1012" s="1"/>
      <c r="E1012" s="1">
        <v>1</v>
      </c>
      <c r="F1012" s="1">
        <v>0</v>
      </c>
      <c r="G1012" s="1" t="s">
        <v>47</v>
      </c>
      <c r="H1012" s="1" t="s">
        <v>2661</v>
      </c>
      <c r="I1012" s="1" t="s">
        <v>46</v>
      </c>
      <c r="J1012" s="1" t="s">
        <v>40</v>
      </c>
      <c r="K1012" s="1"/>
      <c r="L1012" s="1"/>
    </row>
    <row r="1013" spans="1:12" s="32" customFormat="1" hidden="1" x14ac:dyDescent="0.3">
      <c r="A1013" s="37">
        <v>46132.465208333335</v>
      </c>
      <c r="B1013" s="1" t="s">
        <v>48</v>
      </c>
      <c r="C1013" s="1">
        <v>4430315826</v>
      </c>
      <c r="D1013" s="1"/>
      <c r="E1013" s="1">
        <v>127</v>
      </c>
      <c r="F1013" s="1">
        <v>115</v>
      </c>
      <c r="G1013" s="1" t="s">
        <v>38</v>
      </c>
      <c r="H1013" s="1" t="s">
        <v>2662</v>
      </c>
      <c r="I1013" s="1" t="s">
        <v>46</v>
      </c>
      <c r="J1013" s="1" t="s">
        <v>40</v>
      </c>
      <c r="K1013" s="1"/>
      <c r="L1013" s="1"/>
    </row>
    <row r="1014" spans="1:12" s="32" customFormat="1" hidden="1" x14ac:dyDescent="0.3">
      <c r="A1014" s="37">
        <v>46132.462962962964</v>
      </c>
      <c r="B1014" s="1" t="s">
        <v>48</v>
      </c>
      <c r="C1014" s="1">
        <v>4430315826</v>
      </c>
      <c r="D1014" s="1"/>
      <c r="E1014" s="1">
        <v>117</v>
      </c>
      <c r="F1014" s="1">
        <v>105</v>
      </c>
      <c r="G1014" s="1" t="s">
        <v>38</v>
      </c>
      <c r="H1014" s="1" t="s">
        <v>2663</v>
      </c>
      <c r="I1014" s="1" t="s">
        <v>46</v>
      </c>
      <c r="J1014" s="1" t="s">
        <v>40</v>
      </c>
      <c r="K1014" s="1"/>
      <c r="L1014" s="1"/>
    </row>
    <row r="1015" spans="1:12" s="32" customFormat="1" hidden="1" x14ac:dyDescent="0.3">
      <c r="A1015" s="37">
        <v>46132.461747685185</v>
      </c>
      <c r="B1015" s="1">
        <v>44991484476</v>
      </c>
      <c r="C1015" s="1" t="s">
        <v>44</v>
      </c>
      <c r="D1015" s="1">
        <v>4430265054</v>
      </c>
      <c r="E1015" s="1">
        <v>2127</v>
      </c>
      <c r="F1015" s="1">
        <v>2024</v>
      </c>
      <c r="G1015" s="1" t="s">
        <v>38</v>
      </c>
      <c r="H1015" s="1" t="s">
        <v>2664</v>
      </c>
      <c r="I1015" s="1" t="s">
        <v>39</v>
      </c>
      <c r="J1015" s="1" t="s">
        <v>40</v>
      </c>
      <c r="K1015" s="1" t="s">
        <v>41</v>
      </c>
      <c r="L1015" s="1"/>
    </row>
    <row r="1016" spans="1:12" s="32" customFormat="1" hidden="1" x14ac:dyDescent="0.3">
      <c r="A1016" s="37">
        <v>46132.459722222222</v>
      </c>
      <c r="B1016" s="1" t="s">
        <v>48</v>
      </c>
      <c r="C1016" s="1">
        <v>44991484476</v>
      </c>
      <c r="D1016" s="1"/>
      <c r="E1016" s="1">
        <v>34</v>
      </c>
      <c r="F1016" s="1">
        <v>0</v>
      </c>
      <c r="G1016" s="1" t="s">
        <v>47</v>
      </c>
      <c r="H1016" s="1" t="s">
        <v>2665</v>
      </c>
      <c r="I1016" s="1" t="s">
        <v>46</v>
      </c>
      <c r="J1016" s="1" t="s">
        <v>40</v>
      </c>
      <c r="K1016" s="1"/>
      <c r="L1016" s="1"/>
    </row>
    <row r="1017" spans="1:12" s="32" customFormat="1" hidden="1" x14ac:dyDescent="0.3">
      <c r="A1017" s="37">
        <v>46132.459363425929</v>
      </c>
      <c r="B1017" s="1" t="s">
        <v>48</v>
      </c>
      <c r="C1017" s="1">
        <v>44991484476</v>
      </c>
      <c r="D1017" s="1"/>
      <c r="E1017" s="1">
        <v>53</v>
      </c>
      <c r="F1017" s="1">
        <v>30</v>
      </c>
      <c r="G1017" s="1" t="s">
        <v>38</v>
      </c>
      <c r="H1017" s="1" t="s">
        <v>2666</v>
      </c>
      <c r="I1017" s="1" t="s">
        <v>46</v>
      </c>
      <c r="J1017" s="1" t="s">
        <v>40</v>
      </c>
      <c r="K1017" s="1"/>
      <c r="L1017" s="1"/>
    </row>
    <row r="1018" spans="1:12" s="32" customFormat="1" hidden="1" x14ac:dyDescent="0.3">
      <c r="A1018" s="37">
        <v>46132.459317129629</v>
      </c>
      <c r="B1018" s="1" t="s">
        <v>48</v>
      </c>
      <c r="C1018" s="1">
        <v>44991484476</v>
      </c>
      <c r="D1018" s="1"/>
      <c r="E1018" s="1">
        <v>1</v>
      </c>
      <c r="F1018" s="1">
        <v>0</v>
      </c>
      <c r="G1018" s="1" t="s">
        <v>47</v>
      </c>
      <c r="H1018" s="1" t="s">
        <v>2667</v>
      </c>
      <c r="I1018" s="1" t="s">
        <v>46</v>
      </c>
      <c r="J1018" s="1" t="s">
        <v>40</v>
      </c>
      <c r="K1018" s="1"/>
      <c r="L1018" s="1"/>
    </row>
    <row r="1019" spans="1:12" s="32" customFormat="1" hidden="1" x14ac:dyDescent="0.3">
      <c r="A1019" s="37">
        <v>46132.458124999997</v>
      </c>
      <c r="B1019" s="1" t="s">
        <v>48</v>
      </c>
      <c r="C1019" s="1">
        <v>4430266599</v>
      </c>
      <c r="D1019" s="1"/>
      <c r="E1019" s="1">
        <v>1</v>
      </c>
      <c r="F1019" s="1">
        <v>0</v>
      </c>
      <c r="G1019" s="1" t="s">
        <v>47</v>
      </c>
      <c r="H1019" s="1" t="s">
        <v>2668</v>
      </c>
      <c r="I1019" s="1" t="s">
        <v>46</v>
      </c>
      <c r="J1019" s="1" t="s">
        <v>40</v>
      </c>
      <c r="K1019" s="1"/>
      <c r="L1019" s="1"/>
    </row>
    <row r="1020" spans="1:12" s="32" customFormat="1" hidden="1" x14ac:dyDescent="0.3">
      <c r="A1020" s="37">
        <v>46132.457951388889</v>
      </c>
      <c r="B1020" s="1" t="s">
        <v>48</v>
      </c>
      <c r="C1020" s="1">
        <v>4430266599</v>
      </c>
      <c r="D1020" s="1"/>
      <c r="E1020" s="1">
        <v>3</v>
      </c>
      <c r="F1020" s="1">
        <v>0</v>
      </c>
      <c r="G1020" s="1" t="s">
        <v>47</v>
      </c>
      <c r="H1020" s="1" t="s">
        <v>2669</v>
      </c>
      <c r="I1020" s="1" t="s">
        <v>46</v>
      </c>
      <c r="J1020" s="1" t="s">
        <v>40</v>
      </c>
      <c r="K1020" s="1"/>
      <c r="L1020" s="1"/>
    </row>
    <row r="1021" spans="1:12" s="32" customFormat="1" hidden="1" x14ac:dyDescent="0.3">
      <c r="A1021" s="37">
        <v>46132.457939814813</v>
      </c>
      <c r="B1021" s="1">
        <v>44998860140</v>
      </c>
      <c r="C1021" s="1" t="s">
        <v>45</v>
      </c>
      <c r="D1021" s="1">
        <v>4430265054</v>
      </c>
      <c r="E1021" s="1">
        <v>131</v>
      </c>
      <c r="F1021" s="1">
        <v>4</v>
      </c>
      <c r="G1021" s="1" t="s">
        <v>38</v>
      </c>
      <c r="H1021" s="1" t="s">
        <v>2670</v>
      </c>
      <c r="I1021" s="1" t="s">
        <v>39</v>
      </c>
      <c r="J1021" s="1" t="s">
        <v>40</v>
      </c>
      <c r="K1021" s="1" t="s">
        <v>41</v>
      </c>
      <c r="L1021" s="1"/>
    </row>
    <row r="1022" spans="1:12" s="32" customFormat="1" hidden="1" x14ac:dyDescent="0.3">
      <c r="A1022" s="37">
        <v>46132.453622685185</v>
      </c>
      <c r="B1022" s="1">
        <v>4532541802</v>
      </c>
      <c r="C1022" s="1" t="s">
        <v>43</v>
      </c>
      <c r="D1022" s="1">
        <v>4430265054</v>
      </c>
      <c r="E1022" s="1">
        <v>350</v>
      </c>
      <c r="F1022" s="1">
        <v>291</v>
      </c>
      <c r="G1022" s="1" t="s">
        <v>38</v>
      </c>
      <c r="H1022" s="1" t="s">
        <v>2671</v>
      </c>
      <c r="I1022" s="1" t="s">
        <v>39</v>
      </c>
      <c r="J1022" s="1" t="s">
        <v>40</v>
      </c>
      <c r="K1022" s="1" t="s">
        <v>41</v>
      </c>
      <c r="L1022" s="1"/>
    </row>
    <row r="1023" spans="1:12" s="32" customFormat="1" hidden="1" x14ac:dyDescent="0.3">
      <c r="A1023" s="37">
        <v>46132.44971064815</v>
      </c>
      <c r="B1023" s="1" t="s">
        <v>37</v>
      </c>
      <c r="C1023" s="1">
        <v>4334234629</v>
      </c>
      <c r="D1023" s="1"/>
      <c r="E1023" s="1">
        <v>169</v>
      </c>
      <c r="F1023" s="1">
        <v>158</v>
      </c>
      <c r="G1023" s="1" t="s">
        <v>38</v>
      </c>
      <c r="H1023" s="1" t="s">
        <v>2672</v>
      </c>
      <c r="I1023" s="1" t="s">
        <v>46</v>
      </c>
      <c r="J1023" s="1" t="s">
        <v>40</v>
      </c>
      <c r="K1023" s="1"/>
      <c r="L1023" s="1"/>
    </row>
    <row r="1024" spans="1:12" s="32" customFormat="1" hidden="1" x14ac:dyDescent="0.3">
      <c r="A1024" s="37">
        <v>46132.439444444448</v>
      </c>
      <c r="B1024" s="1">
        <v>4436281154</v>
      </c>
      <c r="C1024" s="1" t="s">
        <v>45</v>
      </c>
      <c r="D1024" s="1">
        <v>4430265054</v>
      </c>
      <c r="E1024" s="1">
        <v>170</v>
      </c>
      <c r="F1024" s="1">
        <v>144</v>
      </c>
      <c r="G1024" s="1" t="s">
        <v>38</v>
      </c>
      <c r="H1024" s="1" t="s">
        <v>2673</v>
      </c>
      <c r="I1024" s="1" t="s">
        <v>39</v>
      </c>
      <c r="J1024" s="1" t="s">
        <v>40</v>
      </c>
      <c r="K1024" s="1" t="s">
        <v>41</v>
      </c>
      <c r="L1024" s="1"/>
    </row>
    <row r="1025" spans="1:12" s="32" customFormat="1" hidden="1" x14ac:dyDescent="0.3">
      <c r="A1025" s="37">
        <v>46132.430266203701</v>
      </c>
      <c r="B1025" s="1">
        <v>4533011395</v>
      </c>
      <c r="C1025" s="1">
        <v>4531273152</v>
      </c>
      <c r="D1025" s="1">
        <v>4531273152</v>
      </c>
      <c r="E1025" s="1">
        <v>47</v>
      </c>
      <c r="F1025" s="1">
        <v>47</v>
      </c>
      <c r="G1025" s="1" t="s">
        <v>52</v>
      </c>
      <c r="H1025" s="1" t="s">
        <v>2674</v>
      </c>
      <c r="I1025" s="1" t="s">
        <v>39</v>
      </c>
      <c r="J1025" s="1" t="s">
        <v>53</v>
      </c>
      <c r="K1025" s="1" t="s">
        <v>41</v>
      </c>
      <c r="L1025" s="1"/>
    </row>
    <row r="1026" spans="1:12" s="32" customFormat="1" hidden="1" x14ac:dyDescent="0.3">
      <c r="A1026" s="37">
        <v>46132.429479166669</v>
      </c>
      <c r="B1026" s="1">
        <v>4430450103</v>
      </c>
      <c r="C1026" s="1" t="s">
        <v>43</v>
      </c>
      <c r="D1026" s="1">
        <v>4430265054</v>
      </c>
      <c r="E1026" s="1">
        <v>706</v>
      </c>
      <c r="F1026" s="1">
        <v>678</v>
      </c>
      <c r="G1026" s="1" t="s">
        <v>38</v>
      </c>
      <c r="H1026" s="1" t="s">
        <v>2675</v>
      </c>
      <c r="I1026" s="1" t="s">
        <v>39</v>
      </c>
      <c r="J1026" s="1" t="s">
        <v>40</v>
      </c>
      <c r="K1026" s="1" t="s">
        <v>41</v>
      </c>
      <c r="L1026" s="1"/>
    </row>
    <row r="1027" spans="1:12" s="32" customFormat="1" hidden="1" x14ac:dyDescent="0.3">
      <c r="A1027" s="37">
        <v>46132.429085648146</v>
      </c>
      <c r="B1027" s="1">
        <v>4533011395</v>
      </c>
      <c r="C1027" s="1" t="s">
        <v>43</v>
      </c>
      <c r="D1027" s="1">
        <v>4531273161</v>
      </c>
      <c r="E1027" s="1">
        <v>46</v>
      </c>
      <c r="F1027" s="1">
        <v>11</v>
      </c>
      <c r="G1027" s="1" t="s">
        <v>38</v>
      </c>
      <c r="H1027" s="1" t="s">
        <v>2676</v>
      </c>
      <c r="I1027" s="1" t="s">
        <v>39</v>
      </c>
      <c r="J1027" s="1" t="s">
        <v>40</v>
      </c>
      <c r="K1027" s="1" t="s">
        <v>41</v>
      </c>
      <c r="L1027" s="1"/>
    </row>
    <row r="1028" spans="1:12" s="32" customFormat="1" hidden="1" x14ac:dyDescent="0.3">
      <c r="A1028" s="37">
        <v>46132.42597222222</v>
      </c>
      <c r="B1028" s="1" t="s">
        <v>44</v>
      </c>
      <c r="C1028" s="1">
        <v>93984112869</v>
      </c>
      <c r="D1028" s="1"/>
      <c r="E1028" s="1">
        <v>7</v>
      </c>
      <c r="F1028" s="1">
        <v>0</v>
      </c>
      <c r="G1028" s="1" t="s">
        <v>47</v>
      </c>
      <c r="H1028" s="1" t="s">
        <v>2677</v>
      </c>
      <c r="I1028" s="1" t="s">
        <v>46</v>
      </c>
      <c r="J1028" s="1" t="s">
        <v>40</v>
      </c>
      <c r="K1028" s="1"/>
      <c r="L1028" s="1"/>
    </row>
    <row r="1029" spans="1:12" s="32" customFormat="1" hidden="1" x14ac:dyDescent="0.3">
      <c r="A1029" s="37">
        <v>46132.425474537034</v>
      </c>
      <c r="B1029" s="1" t="s">
        <v>44</v>
      </c>
      <c r="C1029" s="1">
        <v>47999760576</v>
      </c>
      <c r="D1029" s="1"/>
      <c r="E1029" s="1">
        <v>44</v>
      </c>
      <c r="F1029" s="1">
        <v>19</v>
      </c>
      <c r="G1029" s="1" t="s">
        <v>38</v>
      </c>
      <c r="H1029" s="1" t="s">
        <v>2678</v>
      </c>
      <c r="I1029" s="1" t="s">
        <v>46</v>
      </c>
      <c r="J1029" s="1" t="s">
        <v>40</v>
      </c>
      <c r="K1029" s="1"/>
      <c r="L1029" s="1"/>
    </row>
    <row r="1030" spans="1:12" s="32" customFormat="1" hidden="1" x14ac:dyDescent="0.3">
      <c r="A1030" s="37">
        <v>46132.425393518519</v>
      </c>
      <c r="B1030" s="1">
        <v>93984112869</v>
      </c>
      <c r="C1030" s="1" t="s">
        <v>44</v>
      </c>
      <c r="D1030" s="1">
        <v>4431268225</v>
      </c>
      <c r="E1030" s="1">
        <v>1289</v>
      </c>
      <c r="F1030" s="1">
        <v>1212</v>
      </c>
      <c r="G1030" s="1" t="s">
        <v>38</v>
      </c>
      <c r="H1030" s="1" t="s">
        <v>2679</v>
      </c>
      <c r="I1030" s="1" t="s">
        <v>39</v>
      </c>
      <c r="J1030" s="1" t="s">
        <v>40</v>
      </c>
      <c r="K1030" s="1" t="s">
        <v>41</v>
      </c>
      <c r="L1030" s="1"/>
    </row>
    <row r="1031" spans="1:12" s="32" customFormat="1" hidden="1" x14ac:dyDescent="0.3">
      <c r="A1031" s="37">
        <v>46132.425243055557</v>
      </c>
      <c r="B1031" s="1" t="s">
        <v>44</v>
      </c>
      <c r="C1031" s="1">
        <v>47999760576</v>
      </c>
      <c r="D1031" s="1"/>
      <c r="E1031" s="1">
        <v>18</v>
      </c>
      <c r="F1031" s="1">
        <v>0</v>
      </c>
      <c r="G1031" s="1" t="s">
        <v>47</v>
      </c>
      <c r="H1031" s="1" t="s">
        <v>2680</v>
      </c>
      <c r="I1031" s="1" t="s">
        <v>46</v>
      </c>
      <c r="J1031" s="1" t="s">
        <v>40</v>
      </c>
      <c r="K1031" s="1"/>
      <c r="L1031" s="1"/>
    </row>
    <row r="1032" spans="1:12" s="32" customFormat="1" hidden="1" x14ac:dyDescent="0.3">
      <c r="A1032" s="37">
        <v>46132.42454861111</v>
      </c>
      <c r="B1032" s="1">
        <v>4430315826</v>
      </c>
      <c r="C1032" s="1" t="s">
        <v>43</v>
      </c>
      <c r="D1032" s="1">
        <v>4430265054</v>
      </c>
      <c r="E1032" s="1">
        <v>139</v>
      </c>
      <c r="F1032" s="1">
        <v>56</v>
      </c>
      <c r="G1032" s="1" t="s">
        <v>38</v>
      </c>
      <c r="H1032" s="1" t="s">
        <v>2681</v>
      </c>
      <c r="I1032" s="1" t="s">
        <v>39</v>
      </c>
      <c r="J1032" s="1" t="s">
        <v>40</v>
      </c>
      <c r="K1032" s="1" t="s">
        <v>41</v>
      </c>
      <c r="L1032" s="1"/>
    </row>
    <row r="1033" spans="1:12" s="32" customFormat="1" hidden="1" x14ac:dyDescent="0.3">
      <c r="A1033" s="37">
        <v>46132.424351851849</v>
      </c>
      <c r="B1033" s="1">
        <v>93984112869</v>
      </c>
      <c r="C1033" s="1" t="s">
        <v>44</v>
      </c>
      <c r="D1033" s="1">
        <v>4431268225</v>
      </c>
      <c r="E1033" s="1">
        <v>73</v>
      </c>
      <c r="F1033" s="1">
        <v>16</v>
      </c>
      <c r="G1033" s="1" t="s">
        <v>38</v>
      </c>
      <c r="H1033" s="1" t="s">
        <v>2682</v>
      </c>
      <c r="I1033" s="1" t="s">
        <v>39</v>
      </c>
      <c r="J1033" s="1" t="s">
        <v>40</v>
      </c>
      <c r="K1033" s="1" t="s">
        <v>41</v>
      </c>
      <c r="L1033" s="1"/>
    </row>
    <row r="1034" spans="1:12" s="32" customFormat="1" x14ac:dyDescent="0.3">
      <c r="A1034" s="37">
        <v>46132.42328703704</v>
      </c>
      <c r="B1034" s="1">
        <v>4334234629</v>
      </c>
      <c r="C1034" s="1" t="s">
        <v>37</v>
      </c>
      <c r="D1034" s="1">
        <v>4430265054</v>
      </c>
      <c r="E1034" s="1">
        <v>1954</v>
      </c>
      <c r="F1034" s="1">
        <v>1931</v>
      </c>
      <c r="G1034" s="1" t="s">
        <v>38</v>
      </c>
      <c r="H1034" s="1" t="s">
        <v>2683</v>
      </c>
      <c r="I1034" s="1" t="s">
        <v>39</v>
      </c>
      <c r="J1034" s="1" t="s">
        <v>40</v>
      </c>
      <c r="K1034" s="1" t="s">
        <v>41</v>
      </c>
      <c r="L1034" s="1">
        <v>5</v>
      </c>
    </row>
    <row r="1035" spans="1:12" s="32" customFormat="1" hidden="1" x14ac:dyDescent="0.3">
      <c r="A1035" s="37">
        <v>46132.415868055556</v>
      </c>
      <c r="B1035" s="1">
        <v>4436281154</v>
      </c>
      <c r="C1035" s="1" t="s">
        <v>45</v>
      </c>
      <c r="D1035" s="1">
        <v>4430265054</v>
      </c>
      <c r="E1035" s="1">
        <v>1212</v>
      </c>
      <c r="F1035" s="1">
        <v>1165</v>
      </c>
      <c r="G1035" s="1" t="s">
        <v>38</v>
      </c>
      <c r="H1035" s="1" t="s">
        <v>2684</v>
      </c>
      <c r="I1035" s="1" t="s">
        <v>39</v>
      </c>
      <c r="J1035" s="1" t="s">
        <v>40</v>
      </c>
      <c r="K1035" s="1" t="s">
        <v>41</v>
      </c>
      <c r="L1035" s="1"/>
    </row>
    <row r="1036" spans="1:12" s="32" customFormat="1" hidden="1" x14ac:dyDescent="0.3">
      <c r="A1036" s="37">
        <v>46132.414942129632</v>
      </c>
      <c r="B1036" s="1">
        <v>41995061279</v>
      </c>
      <c r="C1036" s="1" t="s">
        <v>43</v>
      </c>
      <c r="D1036" s="1">
        <v>4430265054</v>
      </c>
      <c r="E1036" s="1">
        <v>884</v>
      </c>
      <c r="F1036" s="1">
        <v>858</v>
      </c>
      <c r="G1036" s="1" t="s">
        <v>38</v>
      </c>
      <c r="H1036" s="1" t="s">
        <v>2685</v>
      </c>
      <c r="I1036" s="1" t="s">
        <v>39</v>
      </c>
      <c r="J1036" s="1" t="s">
        <v>40</v>
      </c>
      <c r="K1036" s="1" t="s">
        <v>41</v>
      </c>
      <c r="L1036" s="1"/>
    </row>
    <row r="1037" spans="1:12" s="32" customFormat="1" hidden="1" x14ac:dyDescent="0.3">
      <c r="A1037" s="37">
        <v>46132.409814814811</v>
      </c>
      <c r="B1037" s="1" t="s">
        <v>48</v>
      </c>
      <c r="C1037" s="1">
        <v>4436721260</v>
      </c>
      <c r="D1037" s="1"/>
      <c r="E1037" s="1">
        <v>4</v>
      </c>
      <c r="F1037" s="1">
        <v>0</v>
      </c>
      <c r="G1037" s="1" t="s">
        <v>47</v>
      </c>
      <c r="H1037" s="1" t="s">
        <v>2686</v>
      </c>
      <c r="I1037" s="1" t="s">
        <v>46</v>
      </c>
      <c r="J1037" s="1" t="s">
        <v>40</v>
      </c>
      <c r="K1037" s="1"/>
      <c r="L1037" s="1"/>
    </row>
    <row r="1038" spans="1:12" s="32" customFormat="1" hidden="1" x14ac:dyDescent="0.3">
      <c r="A1038" s="37">
        <v>46132.408807870372</v>
      </c>
      <c r="B1038" s="1">
        <v>4432520077</v>
      </c>
      <c r="C1038" s="1" t="s">
        <v>42</v>
      </c>
      <c r="D1038" s="1">
        <v>4430265054</v>
      </c>
      <c r="E1038" s="1">
        <v>1047</v>
      </c>
      <c r="F1038" s="1">
        <v>1016</v>
      </c>
      <c r="G1038" s="1" t="s">
        <v>38</v>
      </c>
      <c r="H1038" s="1" t="s">
        <v>2687</v>
      </c>
      <c r="I1038" s="1" t="s">
        <v>39</v>
      </c>
      <c r="J1038" s="1" t="s">
        <v>40</v>
      </c>
      <c r="K1038" s="1" t="s">
        <v>41</v>
      </c>
      <c r="L1038" s="1"/>
    </row>
    <row r="1039" spans="1:12" s="32" customFormat="1" hidden="1" x14ac:dyDescent="0.3">
      <c r="A1039" s="37">
        <v>46132.408460648148</v>
      </c>
      <c r="B1039" s="1" t="s">
        <v>37</v>
      </c>
      <c r="C1039" s="1">
        <v>4433511515</v>
      </c>
      <c r="D1039" s="1"/>
      <c r="E1039" s="1">
        <v>109</v>
      </c>
      <c r="F1039" s="1">
        <v>96</v>
      </c>
      <c r="G1039" s="1" t="s">
        <v>38</v>
      </c>
      <c r="H1039" s="1" t="s">
        <v>2688</v>
      </c>
      <c r="I1039" s="1" t="s">
        <v>46</v>
      </c>
      <c r="J1039" s="1" t="s">
        <v>40</v>
      </c>
      <c r="K1039" s="1"/>
      <c r="L1039" s="1"/>
    </row>
    <row r="1040" spans="1:12" s="32" customFormat="1" hidden="1" x14ac:dyDescent="0.3">
      <c r="A1040" s="37">
        <v>46132.408275462964</v>
      </c>
      <c r="B1040" s="1" t="s">
        <v>57</v>
      </c>
      <c r="C1040" s="1">
        <v>44998464499</v>
      </c>
      <c r="D1040" s="1"/>
      <c r="E1040" s="1">
        <v>455</v>
      </c>
      <c r="F1040" s="1">
        <v>438</v>
      </c>
      <c r="G1040" s="1" t="s">
        <v>38</v>
      </c>
      <c r="H1040" s="1" t="s">
        <v>2689</v>
      </c>
      <c r="I1040" s="1" t="s">
        <v>46</v>
      </c>
      <c r="J1040" s="1" t="s">
        <v>55</v>
      </c>
      <c r="K1040" s="1"/>
      <c r="L1040" s="1"/>
    </row>
    <row r="1041" spans="1:12" s="32" customFormat="1" hidden="1" x14ac:dyDescent="0.3">
      <c r="A1041" s="37">
        <v>46132.408101851855</v>
      </c>
      <c r="B1041" s="1" t="s">
        <v>54</v>
      </c>
      <c r="C1041" s="1">
        <v>11977646437</v>
      </c>
      <c r="D1041" s="1"/>
      <c r="E1041" s="1">
        <v>31</v>
      </c>
      <c r="F1041" s="1">
        <v>0</v>
      </c>
      <c r="G1041" s="1" t="s">
        <v>47</v>
      </c>
      <c r="H1041" s="1" t="s">
        <v>2690</v>
      </c>
      <c r="I1041" s="1" t="s">
        <v>46</v>
      </c>
      <c r="J1041" s="1" t="s">
        <v>55</v>
      </c>
      <c r="K1041" s="1"/>
      <c r="L1041" s="1"/>
    </row>
    <row r="1042" spans="1:12" s="32" customFormat="1" hidden="1" x14ac:dyDescent="0.3">
      <c r="A1042" s="37">
        <v>46132.407592592594</v>
      </c>
      <c r="B1042" s="1" t="s">
        <v>48</v>
      </c>
      <c r="C1042" s="1">
        <v>44997760728</v>
      </c>
      <c r="D1042" s="1"/>
      <c r="E1042" s="1">
        <v>18</v>
      </c>
      <c r="F1042" s="1">
        <v>0</v>
      </c>
      <c r="G1042" s="1" t="s">
        <v>47</v>
      </c>
      <c r="H1042" s="1" t="s">
        <v>2691</v>
      </c>
      <c r="I1042" s="1" t="s">
        <v>46</v>
      </c>
      <c r="J1042" s="1" t="s">
        <v>40</v>
      </c>
      <c r="K1042" s="1"/>
      <c r="L1042" s="1"/>
    </row>
    <row r="1043" spans="1:12" s="32" customFormat="1" hidden="1" x14ac:dyDescent="0.3">
      <c r="A1043" s="37">
        <v>46132.407500000001</v>
      </c>
      <c r="B1043" s="1" t="s">
        <v>57</v>
      </c>
      <c r="C1043" s="1">
        <v>11998451621</v>
      </c>
      <c r="D1043" s="1"/>
      <c r="E1043" s="1">
        <v>7</v>
      </c>
      <c r="F1043" s="1">
        <v>0</v>
      </c>
      <c r="G1043" s="1" t="s">
        <v>47</v>
      </c>
      <c r="H1043" s="1" t="s">
        <v>2692</v>
      </c>
      <c r="I1043" s="1" t="s">
        <v>46</v>
      </c>
      <c r="J1043" s="1" t="s">
        <v>55</v>
      </c>
      <c r="K1043" s="1"/>
      <c r="L1043" s="1"/>
    </row>
    <row r="1044" spans="1:12" s="32" customFormat="1" hidden="1" x14ac:dyDescent="0.3">
      <c r="A1044" s="37">
        <v>46132.407407407409</v>
      </c>
      <c r="B1044" s="1" t="s">
        <v>48</v>
      </c>
      <c r="C1044" s="1">
        <v>44997760728</v>
      </c>
      <c r="D1044" s="1"/>
      <c r="E1044" s="1">
        <v>13</v>
      </c>
      <c r="F1044" s="1">
        <v>0</v>
      </c>
      <c r="G1044" s="1" t="s">
        <v>47</v>
      </c>
      <c r="H1044" s="1" t="s">
        <v>2693</v>
      </c>
      <c r="I1044" s="1" t="s">
        <v>46</v>
      </c>
      <c r="J1044" s="1" t="s">
        <v>40</v>
      </c>
      <c r="K1044" s="1"/>
      <c r="L1044" s="1"/>
    </row>
    <row r="1045" spans="1:12" s="32" customFormat="1" hidden="1" x14ac:dyDescent="0.3">
      <c r="A1045" s="37">
        <v>46132.406435185185</v>
      </c>
      <c r="B1045" s="1" t="s">
        <v>48</v>
      </c>
      <c r="C1045" s="1">
        <v>4436721260</v>
      </c>
      <c r="D1045" s="1"/>
      <c r="E1045" s="1">
        <v>3</v>
      </c>
      <c r="F1045" s="1">
        <v>0</v>
      </c>
      <c r="G1045" s="1" t="s">
        <v>47</v>
      </c>
      <c r="H1045" s="1" t="s">
        <v>2694</v>
      </c>
      <c r="I1045" s="1" t="s">
        <v>46</v>
      </c>
      <c r="J1045" s="1" t="s">
        <v>40</v>
      </c>
      <c r="K1045" s="1"/>
      <c r="L1045" s="1"/>
    </row>
    <row r="1046" spans="1:12" s="32" customFormat="1" hidden="1" x14ac:dyDescent="0.3">
      <c r="A1046" s="37">
        <v>46132.406365740739</v>
      </c>
      <c r="B1046" s="1" t="s">
        <v>48</v>
      </c>
      <c r="C1046" s="1">
        <v>4436721260</v>
      </c>
      <c r="D1046" s="1"/>
      <c r="E1046" s="1">
        <v>25</v>
      </c>
      <c r="F1046" s="1">
        <v>24</v>
      </c>
      <c r="G1046" s="1" t="s">
        <v>38</v>
      </c>
      <c r="H1046" s="1" t="s">
        <v>2695</v>
      </c>
      <c r="I1046" s="1" t="s">
        <v>46</v>
      </c>
      <c r="J1046" s="1" t="s">
        <v>40</v>
      </c>
      <c r="K1046" s="1"/>
      <c r="L1046" s="1"/>
    </row>
    <row r="1047" spans="1:12" s="32" customFormat="1" hidden="1" x14ac:dyDescent="0.3">
      <c r="A1047" s="37">
        <v>46132.406331018516</v>
      </c>
      <c r="B1047" s="1" t="s">
        <v>48</v>
      </c>
      <c r="C1047" s="1">
        <v>4436721260</v>
      </c>
      <c r="D1047" s="1"/>
      <c r="E1047" s="1">
        <v>1</v>
      </c>
      <c r="F1047" s="1">
        <v>0</v>
      </c>
      <c r="G1047" s="1" t="s">
        <v>47</v>
      </c>
      <c r="H1047" s="1" t="s">
        <v>2696</v>
      </c>
      <c r="I1047" s="1" t="s">
        <v>46</v>
      </c>
      <c r="J1047" s="1" t="s">
        <v>40</v>
      </c>
      <c r="K1047" s="1"/>
      <c r="L1047" s="1"/>
    </row>
    <row r="1048" spans="1:12" s="32" customFormat="1" hidden="1" x14ac:dyDescent="0.3">
      <c r="A1048" s="37">
        <v>46132.406284722223</v>
      </c>
      <c r="B1048" s="1" t="s">
        <v>48</v>
      </c>
      <c r="C1048" s="1">
        <v>4436721260</v>
      </c>
      <c r="D1048" s="1"/>
      <c r="E1048" s="1">
        <v>2</v>
      </c>
      <c r="F1048" s="1">
        <v>0</v>
      </c>
      <c r="G1048" s="1" t="s">
        <v>47</v>
      </c>
      <c r="H1048" s="1" t="s">
        <v>2697</v>
      </c>
      <c r="I1048" s="1" t="s">
        <v>46</v>
      </c>
      <c r="J1048" s="1" t="s">
        <v>40</v>
      </c>
      <c r="K1048" s="1"/>
      <c r="L1048" s="1"/>
    </row>
    <row r="1049" spans="1:12" s="32" customFormat="1" hidden="1" x14ac:dyDescent="0.3">
      <c r="A1049" s="37">
        <v>46132.397638888891</v>
      </c>
      <c r="B1049" s="1" t="s">
        <v>42</v>
      </c>
      <c r="C1049" s="1">
        <v>15996540668</v>
      </c>
      <c r="D1049" s="1"/>
      <c r="E1049" s="1">
        <v>10</v>
      </c>
      <c r="F1049" s="1">
        <v>0</v>
      </c>
      <c r="G1049" s="1" t="s">
        <v>47</v>
      </c>
      <c r="H1049" s="1" t="s">
        <v>2698</v>
      </c>
      <c r="I1049" s="1" t="s">
        <v>46</v>
      </c>
      <c r="J1049" s="1" t="s">
        <v>40</v>
      </c>
      <c r="K1049" s="1"/>
      <c r="L1049" s="1"/>
    </row>
    <row r="1050" spans="1:12" s="32" customFormat="1" hidden="1" x14ac:dyDescent="0.3">
      <c r="A1050" s="37">
        <v>46132.397511574076</v>
      </c>
      <c r="B1050" s="1" t="s">
        <v>42</v>
      </c>
      <c r="C1050" s="1">
        <v>15996540668</v>
      </c>
      <c r="D1050" s="1"/>
      <c r="E1050" s="1">
        <v>9</v>
      </c>
      <c r="F1050" s="1">
        <v>0</v>
      </c>
      <c r="G1050" s="1" t="s">
        <v>47</v>
      </c>
      <c r="H1050" s="1" t="s">
        <v>2699</v>
      </c>
      <c r="I1050" s="1" t="s">
        <v>46</v>
      </c>
      <c r="J1050" s="1" t="s">
        <v>40</v>
      </c>
      <c r="K1050" s="1"/>
      <c r="L1050" s="1"/>
    </row>
    <row r="1051" spans="1:12" s="32" customFormat="1" hidden="1" x14ac:dyDescent="0.3">
      <c r="A1051" s="37">
        <v>46132.397280092591</v>
      </c>
      <c r="B1051" s="1" t="s">
        <v>42</v>
      </c>
      <c r="C1051" s="1">
        <v>1535242286</v>
      </c>
      <c r="D1051" s="1"/>
      <c r="E1051" s="1">
        <v>10</v>
      </c>
      <c r="F1051" s="1">
        <v>0</v>
      </c>
      <c r="G1051" s="1" t="s">
        <v>47</v>
      </c>
      <c r="H1051" s="1" t="s">
        <v>2700</v>
      </c>
      <c r="I1051" s="1" t="s">
        <v>46</v>
      </c>
      <c r="J1051" s="1" t="s">
        <v>40</v>
      </c>
      <c r="K1051" s="1"/>
      <c r="L1051" s="1"/>
    </row>
    <row r="1052" spans="1:12" s="32" customFormat="1" hidden="1" x14ac:dyDescent="0.3">
      <c r="A1052" s="37">
        <v>46132.396944444445</v>
      </c>
      <c r="B1052" s="1" t="s">
        <v>42</v>
      </c>
      <c r="C1052" s="1">
        <v>15996808250</v>
      </c>
      <c r="D1052" s="1"/>
      <c r="E1052" s="1">
        <v>12</v>
      </c>
      <c r="F1052" s="1">
        <v>0</v>
      </c>
      <c r="G1052" s="1" t="s">
        <v>47</v>
      </c>
      <c r="H1052" s="1" t="s">
        <v>2701</v>
      </c>
      <c r="I1052" s="1" t="s">
        <v>46</v>
      </c>
      <c r="J1052" s="1" t="s">
        <v>40</v>
      </c>
      <c r="K1052" s="1"/>
      <c r="L1052" s="1"/>
    </row>
    <row r="1053" spans="1:12" s="32" customFormat="1" hidden="1" x14ac:dyDescent="0.3">
      <c r="A1053" s="37">
        <v>46132.394525462965</v>
      </c>
      <c r="B1053" s="1" t="s">
        <v>43</v>
      </c>
      <c r="C1053" s="1">
        <v>44991388221</v>
      </c>
      <c r="D1053" s="1"/>
      <c r="E1053" s="1">
        <v>42</v>
      </c>
      <c r="F1053" s="1">
        <v>33</v>
      </c>
      <c r="G1053" s="1" t="s">
        <v>38</v>
      </c>
      <c r="H1053" s="1" t="s">
        <v>2702</v>
      </c>
      <c r="I1053" s="1" t="s">
        <v>46</v>
      </c>
      <c r="J1053" s="1" t="s">
        <v>40</v>
      </c>
      <c r="K1053" s="1"/>
      <c r="L1053" s="1"/>
    </row>
    <row r="1054" spans="1:12" s="32" customFormat="1" hidden="1" x14ac:dyDescent="0.3">
      <c r="A1054" s="37">
        <v>46132.394375000003</v>
      </c>
      <c r="B1054" s="1">
        <v>4330333542</v>
      </c>
      <c r="C1054" s="1" t="s">
        <v>44</v>
      </c>
      <c r="D1054" s="1">
        <v>4430265054</v>
      </c>
      <c r="E1054" s="1">
        <v>1312</v>
      </c>
      <c r="F1054" s="1">
        <v>1163</v>
      </c>
      <c r="G1054" s="1" t="s">
        <v>38</v>
      </c>
      <c r="H1054" s="1" t="s">
        <v>2703</v>
      </c>
      <c r="I1054" s="1" t="s">
        <v>39</v>
      </c>
      <c r="J1054" s="1" t="s">
        <v>40</v>
      </c>
      <c r="K1054" s="1" t="s">
        <v>41</v>
      </c>
      <c r="L1054" s="1"/>
    </row>
    <row r="1055" spans="1:12" s="32" customFormat="1" hidden="1" x14ac:dyDescent="0.3">
      <c r="A1055" s="37">
        <v>46132.392465277779</v>
      </c>
      <c r="B1055" s="1">
        <v>44991484476</v>
      </c>
      <c r="C1055" s="1" t="s">
        <v>45</v>
      </c>
      <c r="D1055" s="1">
        <v>4430265054</v>
      </c>
      <c r="E1055" s="1">
        <v>767</v>
      </c>
      <c r="F1055" s="1">
        <v>745</v>
      </c>
      <c r="G1055" s="1" t="s">
        <v>38</v>
      </c>
      <c r="H1055" s="1" t="s">
        <v>2704</v>
      </c>
      <c r="I1055" s="1" t="s">
        <v>39</v>
      </c>
      <c r="J1055" s="1" t="s">
        <v>40</v>
      </c>
      <c r="K1055" s="1" t="s">
        <v>41</v>
      </c>
      <c r="L1055" s="1"/>
    </row>
    <row r="1056" spans="1:12" s="32" customFormat="1" hidden="1" x14ac:dyDescent="0.3">
      <c r="A1056" s="37">
        <v>46132.388541666667</v>
      </c>
      <c r="B1056" s="1" t="s">
        <v>43</v>
      </c>
      <c r="C1056" s="1">
        <v>44998495838</v>
      </c>
      <c r="D1056" s="1"/>
      <c r="E1056" s="1">
        <v>52</v>
      </c>
      <c r="F1056" s="1">
        <v>34</v>
      </c>
      <c r="G1056" s="1" t="s">
        <v>38</v>
      </c>
      <c r="H1056" s="1" t="s">
        <v>2705</v>
      </c>
      <c r="I1056" s="1" t="s">
        <v>46</v>
      </c>
      <c r="J1056" s="1" t="s">
        <v>40</v>
      </c>
      <c r="K1056" s="1"/>
      <c r="L1056" s="1"/>
    </row>
    <row r="1057" spans="1:12" s="32" customFormat="1" hidden="1" x14ac:dyDescent="0.3">
      <c r="A1057" s="37">
        <v>46132.385844907411</v>
      </c>
      <c r="B1057" s="1">
        <v>1128787060</v>
      </c>
      <c r="C1057" s="1" t="s">
        <v>43</v>
      </c>
      <c r="D1057" s="1">
        <v>4430265054</v>
      </c>
      <c r="E1057" s="1">
        <v>218</v>
      </c>
      <c r="F1057" s="1">
        <v>185</v>
      </c>
      <c r="G1057" s="1" t="s">
        <v>38</v>
      </c>
      <c r="H1057" s="1" t="s">
        <v>2706</v>
      </c>
      <c r="I1057" s="1" t="s">
        <v>39</v>
      </c>
      <c r="J1057" s="1" t="s">
        <v>40</v>
      </c>
      <c r="K1057" s="1" t="s">
        <v>41</v>
      </c>
      <c r="L1057" s="1"/>
    </row>
    <row r="1058" spans="1:12" s="32" customFormat="1" hidden="1" x14ac:dyDescent="0.3">
      <c r="A1058" s="37">
        <v>46132.385648148149</v>
      </c>
      <c r="B1058" s="1">
        <v>44991484476</v>
      </c>
      <c r="C1058" s="1" t="s">
        <v>44</v>
      </c>
      <c r="D1058" s="1">
        <v>4430265054</v>
      </c>
      <c r="E1058" s="1">
        <v>208</v>
      </c>
      <c r="F1058" s="1">
        <v>162</v>
      </c>
      <c r="G1058" s="1" t="s">
        <v>38</v>
      </c>
      <c r="H1058" s="1" t="s">
        <v>2707</v>
      </c>
      <c r="I1058" s="1" t="s">
        <v>39</v>
      </c>
      <c r="J1058" s="1" t="s">
        <v>40</v>
      </c>
      <c r="K1058" s="1" t="s">
        <v>41</v>
      </c>
      <c r="L1058" s="1"/>
    </row>
    <row r="1059" spans="1:12" s="32" customFormat="1" hidden="1" x14ac:dyDescent="0.3">
      <c r="A1059" s="37">
        <v>46132.385300925926</v>
      </c>
      <c r="B1059" s="1">
        <v>44991684895</v>
      </c>
      <c r="C1059" s="1" t="s">
        <v>42</v>
      </c>
      <c r="D1059" s="1">
        <v>4430265054</v>
      </c>
      <c r="E1059" s="1">
        <v>575</v>
      </c>
      <c r="F1059" s="1">
        <v>540</v>
      </c>
      <c r="G1059" s="1" t="s">
        <v>38</v>
      </c>
      <c r="H1059" s="1" t="s">
        <v>2708</v>
      </c>
      <c r="I1059" s="1" t="s">
        <v>39</v>
      </c>
      <c r="J1059" s="1" t="s">
        <v>40</v>
      </c>
      <c r="K1059" s="1" t="s">
        <v>41</v>
      </c>
      <c r="L1059" s="1"/>
    </row>
    <row r="1060" spans="1:12" s="32" customFormat="1" x14ac:dyDescent="0.3">
      <c r="A1060" s="37">
        <v>46132.383032407408</v>
      </c>
      <c r="B1060" s="1">
        <v>41988796768</v>
      </c>
      <c r="C1060" s="1" t="s">
        <v>37</v>
      </c>
      <c r="D1060" s="1">
        <v>4430265054</v>
      </c>
      <c r="E1060" s="1">
        <v>357</v>
      </c>
      <c r="F1060" s="1">
        <v>328</v>
      </c>
      <c r="G1060" s="1" t="s">
        <v>38</v>
      </c>
      <c r="H1060" s="1" t="s">
        <v>2709</v>
      </c>
      <c r="I1060" s="1" t="s">
        <v>39</v>
      </c>
      <c r="J1060" s="1" t="s">
        <v>40</v>
      </c>
      <c r="K1060" s="1" t="s">
        <v>41</v>
      </c>
      <c r="L1060" s="1">
        <v>5</v>
      </c>
    </row>
    <row r="1061" spans="1:12" s="32" customFormat="1" hidden="1" x14ac:dyDescent="0.3">
      <c r="A1061" s="37">
        <v>46132.368993055556</v>
      </c>
      <c r="B1061" s="1" t="s">
        <v>45</v>
      </c>
      <c r="C1061" s="1">
        <v>43988030048</v>
      </c>
      <c r="D1061" s="1"/>
      <c r="E1061" s="1">
        <v>215</v>
      </c>
      <c r="F1061" s="1">
        <v>199</v>
      </c>
      <c r="G1061" s="1" t="s">
        <v>38</v>
      </c>
      <c r="H1061" s="1" t="s">
        <v>2710</v>
      </c>
      <c r="I1061" s="1" t="s">
        <v>46</v>
      </c>
      <c r="J1061" s="1" t="s">
        <v>40</v>
      </c>
      <c r="K1061" s="1"/>
      <c r="L1061" s="1"/>
    </row>
    <row r="1062" spans="1:12" s="32" customFormat="1" hidden="1" x14ac:dyDescent="0.3">
      <c r="A1062" s="37">
        <v>46132.359942129631</v>
      </c>
      <c r="B1062" s="1">
        <v>73982188717</v>
      </c>
      <c r="C1062" s="1" t="s">
        <v>42</v>
      </c>
      <c r="D1062" s="1">
        <v>4430265054</v>
      </c>
      <c r="E1062" s="1">
        <v>337</v>
      </c>
      <c r="F1062" s="1">
        <v>314</v>
      </c>
      <c r="G1062" s="1" t="s">
        <v>38</v>
      </c>
      <c r="H1062" s="1" t="s">
        <v>2711</v>
      </c>
      <c r="I1062" s="1" t="s">
        <v>39</v>
      </c>
      <c r="J1062" s="1" t="s">
        <v>40</v>
      </c>
      <c r="K1062" s="1" t="s">
        <v>41</v>
      </c>
      <c r="L1062" s="1"/>
    </row>
    <row r="1063" spans="1:12" s="32" customFormat="1" hidden="1" x14ac:dyDescent="0.3">
      <c r="A1063" s="37">
        <v>46132.359305555554</v>
      </c>
      <c r="B1063" s="1">
        <v>44998495838</v>
      </c>
      <c r="C1063" s="1" t="s">
        <v>45</v>
      </c>
      <c r="D1063" s="1">
        <v>4431268225</v>
      </c>
      <c r="E1063" s="1">
        <v>321</v>
      </c>
      <c r="F1063" s="1">
        <v>277</v>
      </c>
      <c r="G1063" s="1" t="s">
        <v>38</v>
      </c>
      <c r="H1063" s="1" t="s">
        <v>2712</v>
      </c>
      <c r="I1063" s="1" t="s">
        <v>39</v>
      </c>
      <c r="J1063" s="1" t="s">
        <v>40</v>
      </c>
      <c r="K1063" s="1" t="s">
        <v>41</v>
      </c>
      <c r="L1063" s="1"/>
    </row>
    <row r="1064" spans="1:12" s="32" customFormat="1" hidden="1" x14ac:dyDescent="0.3">
      <c r="A1064" s="37">
        <v>46132.342777777776</v>
      </c>
      <c r="B1064" s="1" t="s">
        <v>44</v>
      </c>
      <c r="C1064" s="1">
        <v>42998221810</v>
      </c>
      <c r="D1064" s="1"/>
      <c r="E1064" s="1">
        <v>109</v>
      </c>
      <c r="F1064" s="1">
        <v>99</v>
      </c>
      <c r="G1064" s="1" t="s">
        <v>38</v>
      </c>
      <c r="H1064" s="1" t="s">
        <v>2713</v>
      </c>
      <c r="I1064" s="1" t="s">
        <v>46</v>
      </c>
      <c r="J1064" s="1" t="s">
        <v>40</v>
      </c>
      <c r="K1064" s="1"/>
      <c r="L1064" s="1"/>
    </row>
    <row r="1065" spans="1:12" s="32" customFormat="1" hidden="1" x14ac:dyDescent="0.3">
      <c r="A1065" s="37">
        <v>46132.339768518519</v>
      </c>
      <c r="B1065" s="1" t="s">
        <v>48</v>
      </c>
      <c r="C1065" s="1">
        <v>4430282545</v>
      </c>
      <c r="D1065" s="1"/>
      <c r="E1065" s="1">
        <v>107</v>
      </c>
      <c r="F1065" s="1">
        <v>92</v>
      </c>
      <c r="G1065" s="1" t="s">
        <v>38</v>
      </c>
      <c r="H1065" s="1" t="s">
        <v>2714</v>
      </c>
      <c r="I1065" s="1" t="s">
        <v>46</v>
      </c>
      <c r="J1065" s="1" t="s">
        <v>40</v>
      </c>
      <c r="K1065" s="1"/>
      <c r="L1065" s="1"/>
    </row>
    <row r="1066" spans="1:12" s="32" customFormat="1" hidden="1" x14ac:dyDescent="0.3">
      <c r="A1066" s="37">
        <v>46129.740428240744</v>
      </c>
      <c r="B1066" s="1" t="s">
        <v>54</v>
      </c>
      <c r="C1066" s="1">
        <v>11965520787</v>
      </c>
      <c r="D1066" s="1"/>
      <c r="E1066" s="1">
        <v>38</v>
      </c>
      <c r="F1066" s="1">
        <v>0</v>
      </c>
      <c r="G1066" s="1" t="s">
        <v>47</v>
      </c>
      <c r="H1066" s="1" t="s">
        <v>58</v>
      </c>
      <c r="I1066" s="1" t="s">
        <v>46</v>
      </c>
      <c r="J1066" s="1" t="s">
        <v>55</v>
      </c>
      <c r="K1066" s="1"/>
      <c r="L1066" s="1"/>
    </row>
    <row r="1067" spans="1:12" s="32" customFormat="1" hidden="1" x14ac:dyDescent="0.3">
      <c r="A1067" s="37">
        <v>46129.737013888887</v>
      </c>
      <c r="B1067" s="1">
        <v>44997561804</v>
      </c>
      <c r="C1067" s="1" t="s">
        <v>42</v>
      </c>
      <c r="D1067" s="1">
        <v>4430265054</v>
      </c>
      <c r="E1067" s="1">
        <v>487</v>
      </c>
      <c r="F1067" s="1">
        <v>404</v>
      </c>
      <c r="G1067" s="1" t="s">
        <v>38</v>
      </c>
      <c r="H1067" s="1" t="s">
        <v>59</v>
      </c>
      <c r="I1067" s="1" t="s">
        <v>39</v>
      </c>
      <c r="J1067" s="1" t="s">
        <v>40</v>
      </c>
      <c r="K1067" s="1" t="s">
        <v>41</v>
      </c>
      <c r="L1067" s="1"/>
    </row>
    <row r="1068" spans="1:12" s="32" customFormat="1" hidden="1" x14ac:dyDescent="0.3">
      <c r="A1068" s="37">
        <v>46129.734155092592</v>
      </c>
      <c r="B1068" s="1" t="s">
        <v>37</v>
      </c>
      <c r="C1068" s="1">
        <v>24993107305</v>
      </c>
      <c r="D1068" s="1"/>
      <c r="E1068" s="1">
        <v>1634</v>
      </c>
      <c r="F1068" s="1">
        <v>1608</v>
      </c>
      <c r="G1068" s="1" t="s">
        <v>38</v>
      </c>
      <c r="H1068" s="1" t="s">
        <v>60</v>
      </c>
      <c r="I1068" s="1" t="s">
        <v>46</v>
      </c>
      <c r="J1068" s="1" t="s">
        <v>40</v>
      </c>
      <c r="K1068" s="1"/>
      <c r="L1068" s="1"/>
    </row>
    <row r="1069" spans="1:12" s="32" customFormat="1" hidden="1" x14ac:dyDescent="0.3">
      <c r="A1069" s="37">
        <v>46129.734143518515</v>
      </c>
      <c r="B1069" s="1" t="s">
        <v>57</v>
      </c>
      <c r="C1069" s="1">
        <v>11930586565</v>
      </c>
      <c r="D1069" s="1"/>
      <c r="E1069" s="1">
        <v>0</v>
      </c>
      <c r="F1069" s="1">
        <v>0</v>
      </c>
      <c r="G1069" s="1" t="s">
        <v>47</v>
      </c>
      <c r="H1069" s="1" t="s">
        <v>61</v>
      </c>
      <c r="I1069" s="1" t="s">
        <v>46</v>
      </c>
      <c r="J1069" s="1" t="s">
        <v>55</v>
      </c>
      <c r="K1069" s="1"/>
      <c r="L1069" s="1"/>
    </row>
    <row r="1070" spans="1:12" s="32" customFormat="1" hidden="1" x14ac:dyDescent="0.3">
      <c r="A1070" s="37">
        <v>46129.734039351853</v>
      </c>
      <c r="B1070" s="1" t="s">
        <v>54</v>
      </c>
      <c r="C1070" s="1">
        <v>6140420111</v>
      </c>
      <c r="D1070" s="1"/>
      <c r="E1070" s="1">
        <v>9</v>
      </c>
      <c r="F1070" s="1">
        <v>0</v>
      </c>
      <c r="G1070" s="1" t="s">
        <v>47</v>
      </c>
      <c r="H1070" s="1" t="s">
        <v>62</v>
      </c>
      <c r="I1070" s="1" t="s">
        <v>46</v>
      </c>
      <c r="J1070" s="1" t="s">
        <v>55</v>
      </c>
      <c r="K1070" s="1"/>
      <c r="L1070" s="1"/>
    </row>
    <row r="1071" spans="1:12" s="32" customFormat="1" hidden="1" x14ac:dyDescent="0.3">
      <c r="A1071" s="37">
        <v>46129.721273148149</v>
      </c>
      <c r="B1071" s="1">
        <v>44998003003</v>
      </c>
      <c r="C1071" s="1" t="s">
        <v>48</v>
      </c>
      <c r="D1071" s="1">
        <v>4430265054</v>
      </c>
      <c r="E1071" s="1">
        <v>208</v>
      </c>
      <c r="F1071" s="1">
        <v>116</v>
      </c>
      <c r="G1071" s="1" t="s">
        <v>38</v>
      </c>
      <c r="H1071" s="1" t="s">
        <v>63</v>
      </c>
      <c r="I1071" s="1" t="s">
        <v>39</v>
      </c>
      <c r="J1071" s="1" t="s">
        <v>40</v>
      </c>
      <c r="K1071" s="1" t="s">
        <v>41</v>
      </c>
      <c r="L1071" s="1"/>
    </row>
    <row r="1072" spans="1:12" s="32" customFormat="1" hidden="1" x14ac:dyDescent="0.3">
      <c r="A1072" s="37">
        <v>46129.712500000001</v>
      </c>
      <c r="B1072" s="1" t="s">
        <v>50</v>
      </c>
      <c r="C1072" s="1" t="s">
        <v>57</v>
      </c>
      <c r="D1072" s="1"/>
      <c r="E1072" s="1">
        <v>1611</v>
      </c>
      <c r="F1072" s="1">
        <v>1608</v>
      </c>
      <c r="G1072" s="1" t="s">
        <v>38</v>
      </c>
      <c r="H1072" s="1" t="s">
        <v>64</v>
      </c>
      <c r="I1072" s="1" t="s">
        <v>51</v>
      </c>
      <c r="J1072" s="1" t="s">
        <v>55</v>
      </c>
      <c r="K1072" s="1"/>
      <c r="L1072" s="1"/>
    </row>
    <row r="1073" spans="1:12" s="32" customFormat="1" hidden="1" x14ac:dyDescent="0.3">
      <c r="A1073" s="37">
        <v>46129.708784722221</v>
      </c>
      <c r="B1073" s="1" t="s">
        <v>42</v>
      </c>
      <c r="C1073" s="1">
        <v>6234347959</v>
      </c>
      <c r="D1073" s="1"/>
      <c r="E1073" s="1">
        <v>90</v>
      </c>
      <c r="F1073" s="1">
        <v>78</v>
      </c>
      <c r="G1073" s="1" t="s">
        <v>38</v>
      </c>
      <c r="H1073" s="1" t="s">
        <v>65</v>
      </c>
      <c r="I1073" s="1" t="s">
        <v>46</v>
      </c>
      <c r="J1073" s="1" t="s">
        <v>40</v>
      </c>
      <c r="K1073" s="1"/>
      <c r="L1073" s="1"/>
    </row>
    <row r="1074" spans="1:12" s="32" customFormat="1" hidden="1" x14ac:dyDescent="0.3">
      <c r="A1074" s="37">
        <v>46129.704618055555</v>
      </c>
      <c r="B1074" s="1" t="s">
        <v>43</v>
      </c>
      <c r="C1074" s="1">
        <v>4430317020</v>
      </c>
      <c r="D1074" s="1"/>
      <c r="E1074" s="1">
        <v>1024</v>
      </c>
      <c r="F1074" s="1">
        <v>1012</v>
      </c>
      <c r="G1074" s="1" t="s">
        <v>38</v>
      </c>
      <c r="H1074" s="1" t="s">
        <v>66</v>
      </c>
      <c r="I1074" s="1" t="s">
        <v>46</v>
      </c>
      <c r="J1074" s="1" t="s">
        <v>40</v>
      </c>
      <c r="K1074" s="1"/>
      <c r="L1074" s="1"/>
    </row>
    <row r="1075" spans="1:12" s="32" customFormat="1" hidden="1" x14ac:dyDescent="0.3">
      <c r="A1075" s="37">
        <v>46129.69635416667</v>
      </c>
      <c r="B1075" s="1">
        <v>73982188717</v>
      </c>
      <c r="C1075" s="1" t="s">
        <v>45</v>
      </c>
      <c r="D1075" s="1">
        <v>4430265054</v>
      </c>
      <c r="E1075" s="1">
        <v>138</v>
      </c>
      <c r="F1075" s="1">
        <v>114</v>
      </c>
      <c r="G1075" s="1" t="s">
        <v>38</v>
      </c>
      <c r="H1075" s="1" t="s">
        <v>67</v>
      </c>
      <c r="I1075" s="1" t="s">
        <v>39</v>
      </c>
      <c r="J1075" s="1" t="s">
        <v>40</v>
      </c>
      <c r="K1075" s="1" t="s">
        <v>41</v>
      </c>
      <c r="L1075" s="1"/>
    </row>
    <row r="1076" spans="1:12" s="32" customFormat="1" hidden="1" x14ac:dyDescent="0.3">
      <c r="A1076" s="37">
        <v>46129.69358796296</v>
      </c>
      <c r="B1076" s="1">
        <v>44997687156</v>
      </c>
      <c r="C1076" s="1" t="s">
        <v>48</v>
      </c>
      <c r="D1076" s="1">
        <v>4430265054</v>
      </c>
      <c r="E1076" s="1">
        <v>97</v>
      </c>
      <c r="F1076" s="1">
        <v>81</v>
      </c>
      <c r="G1076" s="1" t="s">
        <v>38</v>
      </c>
      <c r="H1076" s="1" t="s">
        <v>68</v>
      </c>
      <c r="I1076" s="1" t="s">
        <v>39</v>
      </c>
      <c r="J1076" s="1" t="s">
        <v>40</v>
      </c>
      <c r="K1076" s="1" t="s">
        <v>41</v>
      </c>
      <c r="L1076" s="1"/>
    </row>
    <row r="1077" spans="1:12" s="32" customFormat="1" hidden="1" x14ac:dyDescent="0.3">
      <c r="A1077" s="37">
        <v>46129.690324074072</v>
      </c>
      <c r="B1077" s="1">
        <v>6234347959</v>
      </c>
      <c r="C1077" s="1" t="s">
        <v>43</v>
      </c>
      <c r="D1077" s="1">
        <v>4430265054</v>
      </c>
      <c r="E1077" s="1">
        <v>567</v>
      </c>
      <c r="F1077" s="1">
        <v>437</v>
      </c>
      <c r="G1077" s="1" t="s">
        <v>38</v>
      </c>
      <c r="H1077" s="1" t="s">
        <v>69</v>
      </c>
      <c r="I1077" s="1" t="s">
        <v>39</v>
      </c>
      <c r="J1077" s="1" t="s">
        <v>40</v>
      </c>
      <c r="K1077" s="1" t="s">
        <v>41</v>
      </c>
      <c r="L1077" s="1"/>
    </row>
    <row r="1078" spans="1:12" s="32" customFormat="1" hidden="1" x14ac:dyDescent="0.3">
      <c r="A1078" s="37">
        <v>46129.689687500002</v>
      </c>
      <c r="B1078" s="1" t="s">
        <v>50</v>
      </c>
      <c r="C1078" s="1" t="s">
        <v>57</v>
      </c>
      <c r="D1078" s="1"/>
      <c r="E1078" s="1">
        <v>267</v>
      </c>
      <c r="F1078" s="1">
        <v>265</v>
      </c>
      <c r="G1078" s="1" t="s">
        <v>38</v>
      </c>
      <c r="H1078" s="1" t="s">
        <v>70</v>
      </c>
      <c r="I1078" s="1" t="s">
        <v>51</v>
      </c>
      <c r="J1078" s="1" t="s">
        <v>55</v>
      </c>
      <c r="K1078" s="1"/>
      <c r="L1078" s="1"/>
    </row>
    <row r="1079" spans="1:12" s="32" customFormat="1" hidden="1" x14ac:dyDescent="0.3">
      <c r="A1079" s="37">
        <v>46129.689525462964</v>
      </c>
      <c r="B1079" s="1" t="s">
        <v>48</v>
      </c>
      <c r="C1079" s="1">
        <v>4430282545</v>
      </c>
      <c r="D1079" s="1"/>
      <c r="E1079" s="1">
        <v>264</v>
      </c>
      <c r="F1079" s="1">
        <v>245</v>
      </c>
      <c r="G1079" s="1" t="s">
        <v>38</v>
      </c>
      <c r="H1079" s="1" t="s">
        <v>71</v>
      </c>
      <c r="I1079" s="1" t="s">
        <v>46</v>
      </c>
      <c r="J1079" s="1" t="s">
        <v>40</v>
      </c>
      <c r="K1079" s="1"/>
      <c r="L1079" s="1"/>
    </row>
    <row r="1080" spans="1:12" s="32" customFormat="1" hidden="1" x14ac:dyDescent="0.3">
      <c r="A1080" s="37">
        <v>46129.68949074074</v>
      </c>
      <c r="B1080" s="1" t="s">
        <v>48</v>
      </c>
      <c r="C1080" s="1">
        <v>4430282545</v>
      </c>
      <c r="D1080" s="1"/>
      <c r="E1080" s="1">
        <v>1</v>
      </c>
      <c r="F1080" s="1">
        <v>0</v>
      </c>
      <c r="G1080" s="1" t="s">
        <v>47</v>
      </c>
      <c r="H1080" s="1" t="s">
        <v>72</v>
      </c>
      <c r="I1080" s="1" t="s">
        <v>46</v>
      </c>
      <c r="J1080" s="1" t="s">
        <v>40</v>
      </c>
      <c r="K1080" s="1"/>
      <c r="L1080" s="1"/>
    </row>
    <row r="1081" spans="1:12" s="32" customFormat="1" hidden="1" x14ac:dyDescent="0.3">
      <c r="A1081" s="37">
        <v>46129.689085648148</v>
      </c>
      <c r="B1081" s="1">
        <v>6234347959</v>
      </c>
      <c r="C1081" s="1">
        <v>4430265054</v>
      </c>
      <c r="D1081" s="1">
        <v>4430265054</v>
      </c>
      <c r="E1081" s="1">
        <v>8</v>
      </c>
      <c r="F1081" s="1">
        <v>7</v>
      </c>
      <c r="G1081" s="1" t="s">
        <v>52</v>
      </c>
      <c r="H1081" s="1" t="s">
        <v>73</v>
      </c>
      <c r="I1081" s="1" t="s">
        <v>39</v>
      </c>
      <c r="J1081" s="1" t="s">
        <v>53</v>
      </c>
      <c r="K1081" s="1"/>
      <c r="L1081" s="1"/>
    </row>
    <row r="1082" spans="1:12" s="32" customFormat="1" hidden="1" x14ac:dyDescent="0.3">
      <c r="A1082" s="37">
        <v>46129.686921296299</v>
      </c>
      <c r="B1082" s="1" t="s">
        <v>50</v>
      </c>
      <c r="C1082" s="1" t="s">
        <v>57</v>
      </c>
      <c r="D1082" s="1"/>
      <c r="E1082" s="1">
        <v>31</v>
      </c>
      <c r="F1082" s="1">
        <v>0</v>
      </c>
      <c r="G1082" s="1" t="s">
        <v>47</v>
      </c>
      <c r="H1082" s="1" t="s">
        <v>74</v>
      </c>
      <c r="I1082" s="1" t="s">
        <v>51</v>
      </c>
      <c r="J1082" s="1" t="s">
        <v>55</v>
      </c>
      <c r="K1082" s="1"/>
      <c r="L1082" s="1"/>
    </row>
    <row r="1083" spans="1:12" s="32" customFormat="1" hidden="1" x14ac:dyDescent="0.3">
      <c r="A1083" s="37">
        <v>46129.685763888891</v>
      </c>
      <c r="B1083" s="1">
        <v>44998003003</v>
      </c>
      <c r="C1083" s="1" t="s">
        <v>57</v>
      </c>
      <c r="D1083" s="1">
        <v>4430265054</v>
      </c>
      <c r="E1083" s="1">
        <v>222</v>
      </c>
      <c r="F1083" s="1">
        <v>135</v>
      </c>
      <c r="G1083" s="1" t="s">
        <v>38</v>
      </c>
      <c r="H1083" s="1" t="s">
        <v>75</v>
      </c>
      <c r="I1083" s="1" t="s">
        <v>39</v>
      </c>
      <c r="J1083" s="1" t="s">
        <v>55</v>
      </c>
      <c r="K1083" s="1" t="s">
        <v>49</v>
      </c>
      <c r="L1083" s="1"/>
    </row>
    <row r="1084" spans="1:12" s="32" customFormat="1" hidden="1" x14ac:dyDescent="0.3">
      <c r="A1084" s="37">
        <v>46129.685439814813</v>
      </c>
      <c r="B1084" s="1" t="s">
        <v>48</v>
      </c>
      <c r="C1084" s="1">
        <v>4532541996</v>
      </c>
      <c r="D1084" s="1"/>
      <c r="E1084" s="1">
        <v>296</v>
      </c>
      <c r="F1084" s="1">
        <v>288</v>
      </c>
      <c r="G1084" s="1" t="s">
        <v>38</v>
      </c>
      <c r="H1084" s="1" t="s">
        <v>76</v>
      </c>
      <c r="I1084" s="1" t="s">
        <v>46</v>
      </c>
      <c r="J1084" s="1" t="s">
        <v>40</v>
      </c>
      <c r="K1084" s="1"/>
      <c r="L1084" s="1"/>
    </row>
    <row r="1085" spans="1:12" s="32" customFormat="1" hidden="1" x14ac:dyDescent="0.3">
      <c r="A1085" s="37">
        <v>46129.684444444443</v>
      </c>
      <c r="B1085" s="1" t="s">
        <v>45</v>
      </c>
      <c r="C1085" s="1">
        <v>43988030048</v>
      </c>
      <c r="D1085" s="1"/>
      <c r="E1085" s="1">
        <v>69</v>
      </c>
      <c r="F1085" s="1">
        <v>57</v>
      </c>
      <c r="G1085" s="1" t="s">
        <v>38</v>
      </c>
      <c r="H1085" s="1" t="s">
        <v>77</v>
      </c>
      <c r="I1085" s="1" t="s">
        <v>46</v>
      </c>
      <c r="J1085" s="1" t="s">
        <v>40</v>
      </c>
      <c r="K1085" s="1"/>
      <c r="L1085" s="1"/>
    </row>
    <row r="1086" spans="1:12" s="32" customFormat="1" hidden="1" x14ac:dyDescent="0.3">
      <c r="A1086" s="37">
        <v>46129.682430555556</v>
      </c>
      <c r="B1086" s="1" t="s">
        <v>37</v>
      </c>
      <c r="C1086" s="1">
        <v>24993107305</v>
      </c>
      <c r="D1086" s="1"/>
      <c r="E1086" s="1">
        <v>4487</v>
      </c>
      <c r="F1086" s="1">
        <v>4480</v>
      </c>
      <c r="G1086" s="1" t="s">
        <v>38</v>
      </c>
      <c r="H1086" s="1" t="s">
        <v>78</v>
      </c>
      <c r="I1086" s="1" t="s">
        <v>46</v>
      </c>
      <c r="J1086" s="1" t="s">
        <v>40</v>
      </c>
      <c r="K1086" s="1"/>
      <c r="L1086" s="1"/>
    </row>
    <row r="1087" spans="1:12" s="32" customFormat="1" hidden="1" x14ac:dyDescent="0.3">
      <c r="A1087" s="37">
        <v>46129.676400462966</v>
      </c>
      <c r="B1087" s="1">
        <v>91985176746</v>
      </c>
      <c r="C1087" s="1" t="s">
        <v>43</v>
      </c>
      <c r="D1087" s="1">
        <v>4430265054</v>
      </c>
      <c r="E1087" s="1">
        <v>504</v>
      </c>
      <c r="F1087" s="1">
        <v>481</v>
      </c>
      <c r="G1087" s="1" t="s">
        <v>38</v>
      </c>
      <c r="H1087" s="1" t="s">
        <v>79</v>
      </c>
      <c r="I1087" s="1" t="s">
        <v>39</v>
      </c>
      <c r="J1087" s="1" t="s">
        <v>40</v>
      </c>
      <c r="K1087" s="1" t="s">
        <v>41</v>
      </c>
      <c r="L1087" s="1">
        <v>5</v>
      </c>
    </row>
    <row r="1088" spans="1:12" s="32" customFormat="1" hidden="1" x14ac:dyDescent="0.3">
      <c r="A1088" s="37">
        <v>46129.671747685185</v>
      </c>
      <c r="B1088" s="1">
        <v>6234347959</v>
      </c>
      <c r="C1088" s="1" t="s">
        <v>42</v>
      </c>
      <c r="D1088" s="1">
        <v>4430265054</v>
      </c>
      <c r="E1088" s="1">
        <v>591</v>
      </c>
      <c r="F1088" s="1">
        <v>552</v>
      </c>
      <c r="G1088" s="1" t="s">
        <v>38</v>
      </c>
      <c r="H1088" s="1" t="s">
        <v>80</v>
      </c>
      <c r="I1088" s="1" t="s">
        <v>39</v>
      </c>
      <c r="J1088" s="1" t="s">
        <v>40</v>
      </c>
      <c r="K1088" s="1" t="s">
        <v>41</v>
      </c>
      <c r="L1088" s="1"/>
    </row>
    <row r="1089" spans="1:12" s="32" customFormat="1" hidden="1" x14ac:dyDescent="0.3">
      <c r="A1089" s="37">
        <v>46129.665266203701</v>
      </c>
      <c r="B1089" s="1" t="s">
        <v>45</v>
      </c>
      <c r="C1089" s="1">
        <v>43988030048</v>
      </c>
      <c r="D1089" s="1"/>
      <c r="E1089" s="1">
        <v>123</v>
      </c>
      <c r="F1089" s="1">
        <v>109</v>
      </c>
      <c r="G1089" s="1" t="s">
        <v>38</v>
      </c>
      <c r="H1089" s="1" t="s">
        <v>81</v>
      </c>
      <c r="I1089" s="1" t="s">
        <v>46</v>
      </c>
      <c r="J1089" s="1" t="s">
        <v>40</v>
      </c>
      <c r="K1089" s="1"/>
      <c r="L1089" s="1"/>
    </row>
    <row r="1090" spans="1:12" s="32" customFormat="1" hidden="1" x14ac:dyDescent="0.3">
      <c r="A1090" s="37">
        <v>46129.661076388889</v>
      </c>
      <c r="B1090" s="1" t="s">
        <v>37</v>
      </c>
      <c r="C1090" s="1">
        <v>24993107305</v>
      </c>
      <c r="D1090" s="1"/>
      <c r="E1090" s="1">
        <v>1772</v>
      </c>
      <c r="F1090" s="1">
        <v>1759</v>
      </c>
      <c r="G1090" s="1" t="s">
        <v>38</v>
      </c>
      <c r="H1090" s="1" t="s">
        <v>82</v>
      </c>
      <c r="I1090" s="1" t="s">
        <v>46</v>
      </c>
      <c r="J1090" s="1" t="s">
        <v>40</v>
      </c>
      <c r="K1090" s="1"/>
      <c r="L1090" s="1"/>
    </row>
    <row r="1091" spans="1:12" s="32" customFormat="1" hidden="1" x14ac:dyDescent="0.3">
      <c r="A1091" s="37">
        <v>46129.660520833335</v>
      </c>
      <c r="B1091" s="1" t="s">
        <v>37</v>
      </c>
      <c r="C1091" s="1">
        <v>24999187017</v>
      </c>
      <c r="D1091" s="1"/>
      <c r="E1091" s="1">
        <v>4</v>
      </c>
      <c r="F1091" s="1">
        <v>0</v>
      </c>
      <c r="G1091" s="1" t="s">
        <v>47</v>
      </c>
      <c r="H1091" s="1" t="s">
        <v>83</v>
      </c>
      <c r="I1091" s="1" t="s">
        <v>46</v>
      </c>
      <c r="J1091" s="1" t="s">
        <v>40</v>
      </c>
      <c r="K1091" s="1"/>
      <c r="L1091" s="1"/>
    </row>
    <row r="1092" spans="1:12" s="32" customFormat="1" hidden="1" x14ac:dyDescent="0.3">
      <c r="A1092" s="37">
        <v>46129.660046296296</v>
      </c>
      <c r="B1092" s="1" t="s">
        <v>43</v>
      </c>
      <c r="C1092" s="1">
        <v>4532541802</v>
      </c>
      <c r="D1092" s="1"/>
      <c r="E1092" s="1">
        <v>422</v>
      </c>
      <c r="F1092" s="1">
        <v>422</v>
      </c>
      <c r="G1092" s="1" t="s">
        <v>38</v>
      </c>
      <c r="H1092" s="1" t="s">
        <v>84</v>
      </c>
      <c r="I1092" s="1" t="s">
        <v>46</v>
      </c>
      <c r="J1092" s="1" t="s">
        <v>40</v>
      </c>
      <c r="K1092" s="1"/>
      <c r="L1092" s="1"/>
    </row>
    <row r="1093" spans="1:12" s="32" customFormat="1" hidden="1" x14ac:dyDescent="0.3">
      <c r="A1093" s="37">
        <v>46129.65997685185</v>
      </c>
      <c r="B1093" s="1" t="s">
        <v>43</v>
      </c>
      <c r="C1093" s="1">
        <v>44998818300</v>
      </c>
      <c r="D1093" s="1"/>
      <c r="E1093" s="1">
        <v>4</v>
      </c>
      <c r="F1093" s="1">
        <v>0</v>
      </c>
      <c r="G1093" s="1" t="s">
        <v>47</v>
      </c>
      <c r="H1093" s="1" t="s">
        <v>85</v>
      </c>
      <c r="I1093" s="1" t="s">
        <v>46</v>
      </c>
      <c r="J1093" s="1" t="s">
        <v>40</v>
      </c>
      <c r="K1093" s="1"/>
      <c r="L1093" s="1"/>
    </row>
    <row r="1094" spans="1:12" s="32" customFormat="1" hidden="1" x14ac:dyDescent="0.3">
      <c r="A1094" s="37">
        <v>46129.657696759263</v>
      </c>
      <c r="B1094" s="1">
        <v>4432321371</v>
      </c>
      <c r="C1094" s="1" t="s">
        <v>48</v>
      </c>
      <c r="D1094" s="1">
        <v>4430265054</v>
      </c>
      <c r="E1094" s="1">
        <v>549</v>
      </c>
      <c r="F1094" s="1">
        <v>549</v>
      </c>
      <c r="G1094" s="1" t="s">
        <v>38</v>
      </c>
      <c r="H1094" s="1" t="s">
        <v>86</v>
      </c>
      <c r="I1094" s="1" t="s">
        <v>39</v>
      </c>
      <c r="J1094" s="1" t="s">
        <v>40</v>
      </c>
      <c r="K1094" s="1" t="s">
        <v>41</v>
      </c>
      <c r="L1094" s="1"/>
    </row>
    <row r="1095" spans="1:12" s="32" customFormat="1" hidden="1" x14ac:dyDescent="0.3">
      <c r="A1095" s="37">
        <v>46129.656886574077</v>
      </c>
      <c r="B1095" s="1">
        <v>4532541802</v>
      </c>
      <c r="C1095" s="1" t="s">
        <v>43</v>
      </c>
      <c r="D1095" s="1">
        <v>4430265054</v>
      </c>
      <c r="E1095" s="1">
        <v>261</v>
      </c>
      <c r="F1095" s="1">
        <v>49</v>
      </c>
      <c r="G1095" s="1" t="s">
        <v>38</v>
      </c>
      <c r="H1095" s="1" t="s">
        <v>87</v>
      </c>
      <c r="I1095" s="1" t="s">
        <v>39</v>
      </c>
      <c r="J1095" s="1" t="s">
        <v>40</v>
      </c>
      <c r="K1095" s="1" t="s">
        <v>41</v>
      </c>
      <c r="L1095" s="1"/>
    </row>
    <row r="1096" spans="1:12" s="32" customFormat="1" hidden="1" x14ac:dyDescent="0.3">
      <c r="A1096" s="37">
        <v>46129.654432870368</v>
      </c>
      <c r="B1096" s="1">
        <v>45999334612</v>
      </c>
      <c r="C1096" s="1" t="s">
        <v>43</v>
      </c>
      <c r="D1096" s="1">
        <v>4430265054</v>
      </c>
      <c r="E1096" s="1">
        <v>217</v>
      </c>
      <c r="F1096" s="1">
        <v>167</v>
      </c>
      <c r="G1096" s="1" t="s">
        <v>38</v>
      </c>
      <c r="H1096" s="1" t="s">
        <v>88</v>
      </c>
      <c r="I1096" s="1" t="s">
        <v>39</v>
      </c>
      <c r="J1096" s="1" t="s">
        <v>40</v>
      </c>
      <c r="K1096" s="1" t="s">
        <v>41</v>
      </c>
      <c r="L1096" s="1">
        <v>5</v>
      </c>
    </row>
    <row r="1097" spans="1:12" s="32" customFormat="1" hidden="1" x14ac:dyDescent="0.3">
      <c r="A1097" s="37">
        <v>46129.641932870371</v>
      </c>
      <c r="B1097" s="1">
        <v>41999865917</v>
      </c>
      <c r="C1097" s="1" t="s">
        <v>45</v>
      </c>
      <c r="D1097" s="1">
        <v>4431268225</v>
      </c>
      <c r="E1097" s="1">
        <v>1784</v>
      </c>
      <c r="F1097" s="1">
        <v>1700</v>
      </c>
      <c r="G1097" s="1" t="s">
        <v>38</v>
      </c>
      <c r="H1097" s="1" t="s">
        <v>89</v>
      </c>
      <c r="I1097" s="1" t="s">
        <v>39</v>
      </c>
      <c r="J1097" s="1" t="s">
        <v>40</v>
      </c>
      <c r="K1097" s="1" t="s">
        <v>41</v>
      </c>
      <c r="L1097" s="1">
        <v>5</v>
      </c>
    </row>
    <row r="1098" spans="1:12" s="32" customFormat="1" hidden="1" x14ac:dyDescent="0.3">
      <c r="A1098" s="37">
        <v>46129.638680555552</v>
      </c>
      <c r="B1098" s="1">
        <v>4430255858</v>
      </c>
      <c r="C1098" s="1" t="s">
        <v>43</v>
      </c>
      <c r="D1098" s="1">
        <v>4430265054</v>
      </c>
      <c r="E1098" s="1">
        <v>1038</v>
      </c>
      <c r="F1098" s="1">
        <v>1001</v>
      </c>
      <c r="G1098" s="1" t="s">
        <v>38</v>
      </c>
      <c r="H1098" s="1" t="s">
        <v>90</v>
      </c>
      <c r="I1098" s="1" t="s">
        <v>39</v>
      </c>
      <c r="J1098" s="1" t="s">
        <v>40</v>
      </c>
      <c r="K1098" s="1" t="s">
        <v>41</v>
      </c>
      <c r="L1098" s="1">
        <v>5</v>
      </c>
    </row>
    <row r="1099" spans="1:12" s="32" customFormat="1" hidden="1" x14ac:dyDescent="0.3">
      <c r="A1099" s="37">
        <v>46129.636643518519</v>
      </c>
      <c r="B1099" s="1" t="s">
        <v>37</v>
      </c>
      <c r="C1099" s="1">
        <v>47999760576</v>
      </c>
      <c r="D1099" s="1"/>
      <c r="E1099" s="1">
        <v>1189</v>
      </c>
      <c r="F1099" s="1">
        <v>1183</v>
      </c>
      <c r="G1099" s="1" t="s">
        <v>38</v>
      </c>
      <c r="H1099" s="1" t="s">
        <v>91</v>
      </c>
      <c r="I1099" s="1" t="s">
        <v>46</v>
      </c>
      <c r="J1099" s="1" t="s">
        <v>40</v>
      </c>
      <c r="K1099" s="1"/>
      <c r="L1099" s="1">
        <v>5</v>
      </c>
    </row>
    <row r="1100" spans="1:12" s="32" customFormat="1" hidden="1" x14ac:dyDescent="0.3">
      <c r="A1100" s="37">
        <v>46129.632557870369</v>
      </c>
      <c r="B1100" s="1">
        <v>4432321232</v>
      </c>
      <c r="C1100" s="1" t="s">
        <v>45</v>
      </c>
      <c r="D1100" s="1">
        <v>4430265054</v>
      </c>
      <c r="E1100" s="1">
        <v>367</v>
      </c>
      <c r="F1100" s="1">
        <v>227</v>
      </c>
      <c r="G1100" s="1" t="s">
        <v>38</v>
      </c>
      <c r="H1100" s="1" t="s">
        <v>92</v>
      </c>
      <c r="I1100" s="1" t="s">
        <v>39</v>
      </c>
      <c r="J1100" s="1" t="s">
        <v>40</v>
      </c>
      <c r="K1100" s="1" t="s">
        <v>41</v>
      </c>
      <c r="L1100" s="1"/>
    </row>
    <row r="1101" spans="1:12" s="32" customFormat="1" hidden="1" x14ac:dyDescent="0.3">
      <c r="A1101" s="37">
        <v>46129.62667824074</v>
      </c>
      <c r="B1101" s="1">
        <v>67992169496</v>
      </c>
      <c r="C1101" s="1" t="s">
        <v>44</v>
      </c>
      <c r="D1101" s="1">
        <v>4430265054</v>
      </c>
      <c r="E1101" s="1">
        <v>818</v>
      </c>
      <c r="F1101" s="1">
        <v>682</v>
      </c>
      <c r="G1101" s="1" t="s">
        <v>38</v>
      </c>
      <c r="H1101" s="1" t="s">
        <v>93</v>
      </c>
      <c r="I1101" s="1" t="s">
        <v>39</v>
      </c>
      <c r="J1101" s="1" t="s">
        <v>40</v>
      </c>
      <c r="K1101" s="1" t="s">
        <v>41</v>
      </c>
      <c r="L1101" s="1"/>
    </row>
    <row r="1102" spans="1:12" s="32" customFormat="1" hidden="1" x14ac:dyDescent="0.3">
      <c r="A1102" s="37">
        <v>46129.625833333332</v>
      </c>
      <c r="B1102" s="1">
        <v>4334234629</v>
      </c>
      <c r="C1102" s="1" t="s">
        <v>43</v>
      </c>
      <c r="D1102" s="1">
        <v>4430265054</v>
      </c>
      <c r="E1102" s="1">
        <v>592</v>
      </c>
      <c r="F1102" s="1">
        <v>557</v>
      </c>
      <c r="G1102" s="1" t="s">
        <v>38</v>
      </c>
      <c r="H1102" s="1" t="s">
        <v>94</v>
      </c>
      <c r="I1102" s="1" t="s">
        <v>39</v>
      </c>
      <c r="J1102" s="1" t="s">
        <v>40</v>
      </c>
      <c r="K1102" s="1" t="s">
        <v>41</v>
      </c>
      <c r="L1102" s="1">
        <v>5</v>
      </c>
    </row>
    <row r="1103" spans="1:12" s="32" customFormat="1" hidden="1" x14ac:dyDescent="0.3">
      <c r="A1103" s="37">
        <v>46129.624537037038</v>
      </c>
      <c r="B1103" s="1">
        <v>67992169496</v>
      </c>
      <c r="C1103" s="1">
        <v>4430265054</v>
      </c>
      <c r="D1103" s="1">
        <v>4430265054</v>
      </c>
      <c r="E1103" s="1">
        <v>5</v>
      </c>
      <c r="F1103" s="1">
        <v>4</v>
      </c>
      <c r="G1103" s="1" t="s">
        <v>52</v>
      </c>
      <c r="H1103" s="1" t="s">
        <v>95</v>
      </c>
      <c r="I1103" s="1" t="s">
        <v>39</v>
      </c>
      <c r="J1103" s="1" t="s">
        <v>53</v>
      </c>
      <c r="K1103" s="1"/>
      <c r="L1103" s="1"/>
    </row>
    <row r="1104" spans="1:12" s="32" customFormat="1" x14ac:dyDescent="0.3">
      <c r="A1104" s="37">
        <v>46129.623113425929</v>
      </c>
      <c r="B1104" s="1">
        <v>4436351835</v>
      </c>
      <c r="C1104" s="1" t="s">
        <v>37</v>
      </c>
      <c r="D1104" s="1">
        <v>4430265054</v>
      </c>
      <c r="E1104" s="1">
        <v>422</v>
      </c>
      <c r="F1104" s="1">
        <v>397</v>
      </c>
      <c r="G1104" s="1" t="s">
        <v>38</v>
      </c>
      <c r="H1104" s="1" t="s">
        <v>96</v>
      </c>
      <c r="I1104" s="1" t="s">
        <v>39</v>
      </c>
      <c r="J1104" s="1" t="s">
        <v>40</v>
      </c>
      <c r="K1104" s="1" t="s">
        <v>41</v>
      </c>
      <c r="L1104" s="1">
        <v>5</v>
      </c>
    </row>
    <row r="1105" spans="1:12" s="32" customFormat="1" hidden="1" x14ac:dyDescent="0.3">
      <c r="A1105" s="37">
        <v>46129.621076388888</v>
      </c>
      <c r="B1105" s="1">
        <v>4436351835</v>
      </c>
      <c r="C1105" s="1">
        <v>4430265054</v>
      </c>
      <c r="D1105" s="1">
        <v>4430265054</v>
      </c>
      <c r="E1105" s="1">
        <v>162</v>
      </c>
      <c r="F1105" s="1">
        <v>161</v>
      </c>
      <c r="G1105" s="1" t="s">
        <v>52</v>
      </c>
      <c r="H1105" s="1" t="s">
        <v>97</v>
      </c>
      <c r="I1105" s="1" t="s">
        <v>39</v>
      </c>
      <c r="J1105" s="1" t="s">
        <v>53</v>
      </c>
      <c r="K1105" s="1" t="s">
        <v>41</v>
      </c>
      <c r="L1105" s="1"/>
    </row>
    <row r="1106" spans="1:12" s="32" customFormat="1" hidden="1" x14ac:dyDescent="0.3">
      <c r="A1106" s="37">
        <v>46129.621076388888</v>
      </c>
      <c r="B1106" s="1">
        <v>4135007070</v>
      </c>
      <c r="C1106" s="1">
        <v>4430265054</v>
      </c>
      <c r="D1106" s="1">
        <v>4430265054</v>
      </c>
      <c r="E1106" s="1">
        <v>7</v>
      </c>
      <c r="F1106" s="1">
        <v>6</v>
      </c>
      <c r="G1106" s="1" t="s">
        <v>52</v>
      </c>
      <c r="H1106" s="1" t="s">
        <v>98</v>
      </c>
      <c r="I1106" s="1" t="s">
        <v>39</v>
      </c>
      <c r="J1106" s="1" t="s">
        <v>53</v>
      </c>
      <c r="K1106" s="1"/>
      <c r="L1106" s="1"/>
    </row>
    <row r="1107" spans="1:12" s="32" customFormat="1" hidden="1" x14ac:dyDescent="0.3">
      <c r="A1107" s="37">
        <v>46129.618298611109</v>
      </c>
      <c r="B1107" s="1" t="s">
        <v>45</v>
      </c>
      <c r="C1107" s="1">
        <v>4330333542</v>
      </c>
      <c r="D1107" s="1"/>
      <c r="E1107" s="1">
        <v>924</v>
      </c>
      <c r="F1107" s="1">
        <v>912</v>
      </c>
      <c r="G1107" s="1" t="s">
        <v>38</v>
      </c>
      <c r="H1107" s="1" t="s">
        <v>99</v>
      </c>
      <c r="I1107" s="1" t="s">
        <v>46</v>
      </c>
      <c r="J1107" s="1" t="s">
        <v>40</v>
      </c>
      <c r="K1107" s="1"/>
      <c r="L1107" s="1">
        <v>5</v>
      </c>
    </row>
    <row r="1108" spans="1:12" s="32" customFormat="1" hidden="1" x14ac:dyDescent="0.3">
      <c r="A1108" s="37">
        <v>46129.618136574078</v>
      </c>
      <c r="B1108" s="1">
        <v>18996339700</v>
      </c>
      <c r="C1108" s="1" t="s">
        <v>42</v>
      </c>
      <c r="D1108" s="1">
        <v>4430265054</v>
      </c>
      <c r="E1108" s="1">
        <v>2705</v>
      </c>
      <c r="F1108" s="1">
        <v>2661</v>
      </c>
      <c r="G1108" s="1" t="s">
        <v>38</v>
      </c>
      <c r="H1108" s="1" t="s">
        <v>100</v>
      </c>
      <c r="I1108" s="1" t="s">
        <v>39</v>
      </c>
      <c r="J1108" s="1" t="s">
        <v>40</v>
      </c>
      <c r="K1108" s="1" t="s">
        <v>41</v>
      </c>
      <c r="L1108" s="1"/>
    </row>
    <row r="1109" spans="1:12" s="32" customFormat="1" hidden="1" x14ac:dyDescent="0.3">
      <c r="A1109" s="37">
        <v>46129.617488425924</v>
      </c>
      <c r="B1109" s="1" t="s">
        <v>37</v>
      </c>
      <c r="C1109" s="1">
        <v>44998266194</v>
      </c>
      <c r="D1109" s="1"/>
      <c r="E1109" s="1">
        <v>193</v>
      </c>
      <c r="F1109" s="1">
        <v>186</v>
      </c>
      <c r="G1109" s="1" t="s">
        <v>38</v>
      </c>
      <c r="H1109" s="1" t="s">
        <v>101</v>
      </c>
      <c r="I1109" s="1" t="s">
        <v>46</v>
      </c>
      <c r="J1109" s="1" t="s">
        <v>40</v>
      </c>
      <c r="K1109" s="1"/>
      <c r="L1109" s="1"/>
    </row>
    <row r="1110" spans="1:12" s="32" customFormat="1" hidden="1" x14ac:dyDescent="0.3">
      <c r="A1110" s="37">
        <v>46129.614004629628</v>
      </c>
      <c r="B1110" s="1" t="s">
        <v>43</v>
      </c>
      <c r="C1110" s="1">
        <v>91985176746</v>
      </c>
      <c r="D1110" s="1"/>
      <c r="E1110" s="1">
        <v>49</v>
      </c>
      <c r="F1110" s="1">
        <v>31</v>
      </c>
      <c r="G1110" s="1" t="s">
        <v>38</v>
      </c>
      <c r="H1110" s="1" t="s">
        <v>102</v>
      </c>
      <c r="I1110" s="1" t="s">
        <v>46</v>
      </c>
      <c r="J1110" s="1" t="s">
        <v>40</v>
      </c>
      <c r="K1110" s="1"/>
      <c r="L1110" s="1"/>
    </row>
    <row r="1111" spans="1:12" s="32" customFormat="1" hidden="1" x14ac:dyDescent="0.3">
      <c r="A1111" s="37">
        <v>46129.613240740742</v>
      </c>
      <c r="B1111" s="1" t="s">
        <v>43</v>
      </c>
      <c r="C1111" s="1">
        <v>91985176746</v>
      </c>
      <c r="D1111" s="1"/>
      <c r="E1111" s="1">
        <v>49</v>
      </c>
      <c r="F1111" s="1">
        <v>31</v>
      </c>
      <c r="G1111" s="1" t="s">
        <v>38</v>
      </c>
      <c r="H1111" s="1" t="s">
        <v>103</v>
      </c>
      <c r="I1111" s="1" t="s">
        <v>46</v>
      </c>
      <c r="J1111" s="1" t="s">
        <v>40</v>
      </c>
      <c r="K1111" s="1"/>
      <c r="L1111" s="1"/>
    </row>
    <row r="1112" spans="1:12" s="32" customFormat="1" hidden="1" x14ac:dyDescent="0.3">
      <c r="A1112" s="37">
        <v>46129.612696759257</v>
      </c>
      <c r="B1112" s="1" t="s">
        <v>43</v>
      </c>
      <c r="C1112" s="1">
        <v>91985176746</v>
      </c>
      <c r="D1112" s="1"/>
      <c r="E1112" s="1">
        <v>30</v>
      </c>
      <c r="F1112" s="1">
        <v>0</v>
      </c>
      <c r="G1112" s="1" t="s">
        <v>47</v>
      </c>
      <c r="H1112" s="1" t="s">
        <v>104</v>
      </c>
      <c r="I1112" s="1" t="s">
        <v>46</v>
      </c>
      <c r="J1112" s="1" t="s">
        <v>40</v>
      </c>
      <c r="K1112" s="1"/>
      <c r="L1112" s="1"/>
    </row>
    <row r="1113" spans="1:12" s="32" customFormat="1" hidden="1" x14ac:dyDescent="0.3">
      <c r="A1113" s="37">
        <v>46129.612488425926</v>
      </c>
      <c r="B1113" s="1" t="s">
        <v>43</v>
      </c>
      <c r="C1113" s="1">
        <v>91985176746</v>
      </c>
      <c r="D1113" s="1"/>
      <c r="E1113" s="1">
        <v>43</v>
      </c>
      <c r="F1113" s="1">
        <v>39</v>
      </c>
      <c r="G1113" s="1" t="s">
        <v>38</v>
      </c>
      <c r="H1113" s="1" t="s">
        <v>105</v>
      </c>
      <c r="I1113" s="1" t="s">
        <v>46</v>
      </c>
      <c r="J1113" s="1" t="s">
        <v>40</v>
      </c>
      <c r="K1113" s="1"/>
      <c r="L1113" s="1"/>
    </row>
    <row r="1114" spans="1:12" s="32" customFormat="1" hidden="1" x14ac:dyDescent="0.3">
      <c r="A1114" s="37">
        <v>46129.609988425924</v>
      </c>
      <c r="B1114" s="1">
        <v>91985176746</v>
      </c>
      <c r="C1114" s="1" t="s">
        <v>43</v>
      </c>
      <c r="D1114" s="1">
        <v>4430265054</v>
      </c>
      <c r="E1114" s="1">
        <v>209</v>
      </c>
      <c r="F1114" s="1">
        <v>133</v>
      </c>
      <c r="G1114" s="1" t="s">
        <v>38</v>
      </c>
      <c r="H1114" s="1" t="s">
        <v>106</v>
      </c>
      <c r="I1114" s="1" t="s">
        <v>39</v>
      </c>
      <c r="J1114" s="1" t="s">
        <v>40</v>
      </c>
      <c r="K1114" s="1" t="s">
        <v>41</v>
      </c>
      <c r="L1114" s="1"/>
    </row>
    <row r="1115" spans="1:12" s="32" customFormat="1" hidden="1" x14ac:dyDescent="0.3">
      <c r="A1115" s="37">
        <v>46129.60733796296</v>
      </c>
      <c r="B1115" s="1">
        <v>44991484476</v>
      </c>
      <c r="C1115" s="1" t="s">
        <v>48</v>
      </c>
      <c r="D1115" s="1">
        <v>4430265054</v>
      </c>
      <c r="E1115" s="1">
        <v>253</v>
      </c>
      <c r="F1115" s="1">
        <v>253</v>
      </c>
      <c r="G1115" s="1" t="s">
        <v>38</v>
      </c>
      <c r="H1115" s="1" t="s">
        <v>107</v>
      </c>
      <c r="I1115" s="1" t="s">
        <v>39</v>
      </c>
      <c r="J1115" s="1" t="s">
        <v>40</v>
      </c>
      <c r="K1115" s="1" t="s">
        <v>41</v>
      </c>
      <c r="L1115" s="1"/>
    </row>
    <row r="1116" spans="1:12" s="32" customFormat="1" hidden="1" x14ac:dyDescent="0.3">
      <c r="A1116" s="37">
        <v>46129.605914351851</v>
      </c>
      <c r="B1116" s="1">
        <v>4436281154</v>
      </c>
      <c r="C1116" s="1" t="s">
        <v>42</v>
      </c>
      <c r="D1116" s="1">
        <v>4430265054</v>
      </c>
      <c r="E1116" s="1">
        <v>296</v>
      </c>
      <c r="F1116" s="1">
        <v>254</v>
      </c>
      <c r="G1116" s="1" t="s">
        <v>38</v>
      </c>
      <c r="H1116" s="1" t="s">
        <v>108</v>
      </c>
      <c r="I1116" s="1" t="s">
        <v>39</v>
      </c>
      <c r="J1116" s="1" t="s">
        <v>40</v>
      </c>
      <c r="K1116" s="1" t="s">
        <v>41</v>
      </c>
      <c r="L1116" s="1"/>
    </row>
    <row r="1117" spans="1:12" s="32" customFormat="1" hidden="1" x14ac:dyDescent="0.3">
      <c r="A1117" s="37">
        <v>46129.601956018516</v>
      </c>
      <c r="B1117" s="1" t="s">
        <v>43</v>
      </c>
      <c r="C1117" s="1">
        <v>44991388221</v>
      </c>
      <c r="D1117" s="1"/>
      <c r="E1117" s="1">
        <v>376</v>
      </c>
      <c r="F1117" s="1">
        <v>369</v>
      </c>
      <c r="G1117" s="1" t="s">
        <v>38</v>
      </c>
      <c r="H1117" s="1" t="s">
        <v>109</v>
      </c>
      <c r="I1117" s="1" t="s">
        <v>46</v>
      </c>
      <c r="J1117" s="1" t="s">
        <v>40</v>
      </c>
      <c r="K1117" s="1"/>
      <c r="L1117" s="1">
        <v>5</v>
      </c>
    </row>
    <row r="1118" spans="1:12" s="32" customFormat="1" hidden="1" x14ac:dyDescent="0.3">
      <c r="A1118" s="37">
        <v>46129.601886574077</v>
      </c>
      <c r="B1118" s="1" t="s">
        <v>43</v>
      </c>
      <c r="C1118" s="1">
        <v>44991388221</v>
      </c>
      <c r="D1118" s="1"/>
      <c r="E1118" s="1">
        <v>5</v>
      </c>
      <c r="F1118" s="1">
        <v>0</v>
      </c>
      <c r="G1118" s="1" t="s">
        <v>47</v>
      </c>
      <c r="H1118" s="1" t="s">
        <v>110</v>
      </c>
      <c r="I1118" s="1" t="s">
        <v>46</v>
      </c>
      <c r="J1118" s="1" t="s">
        <v>40</v>
      </c>
      <c r="K1118" s="1"/>
      <c r="L1118" s="1"/>
    </row>
    <row r="1119" spans="1:12" s="32" customFormat="1" hidden="1" x14ac:dyDescent="0.3">
      <c r="A1119" s="37">
        <v>46129.600416666668</v>
      </c>
      <c r="B1119" s="1">
        <v>47999760576</v>
      </c>
      <c r="C1119" s="1" t="s">
        <v>44</v>
      </c>
      <c r="D1119" s="1">
        <v>4431268225</v>
      </c>
      <c r="E1119" s="1">
        <v>254</v>
      </c>
      <c r="F1119" s="1">
        <v>169</v>
      </c>
      <c r="G1119" s="1" t="s">
        <v>38</v>
      </c>
      <c r="H1119" s="1" t="s">
        <v>111</v>
      </c>
      <c r="I1119" s="1" t="s">
        <v>39</v>
      </c>
      <c r="J1119" s="1" t="s">
        <v>40</v>
      </c>
      <c r="K1119" s="1" t="s">
        <v>41</v>
      </c>
      <c r="L1119" s="1"/>
    </row>
    <row r="1120" spans="1:12" s="32" customFormat="1" hidden="1" x14ac:dyDescent="0.3">
      <c r="A1120" s="37">
        <v>46129.599942129629</v>
      </c>
      <c r="B1120" s="1" t="s">
        <v>44</v>
      </c>
      <c r="C1120" s="1">
        <v>47999760576</v>
      </c>
      <c r="D1120" s="1"/>
      <c r="E1120" s="1">
        <v>21</v>
      </c>
      <c r="F1120" s="1">
        <v>0</v>
      </c>
      <c r="G1120" s="1" t="s">
        <v>47</v>
      </c>
      <c r="H1120" s="1" t="s">
        <v>112</v>
      </c>
      <c r="I1120" s="1" t="s">
        <v>46</v>
      </c>
      <c r="J1120" s="1" t="s">
        <v>40</v>
      </c>
      <c r="K1120" s="1"/>
      <c r="L1120" s="1"/>
    </row>
    <row r="1121" spans="1:12" s="32" customFormat="1" hidden="1" x14ac:dyDescent="0.3">
      <c r="A1121" s="37">
        <v>46129.599722222221</v>
      </c>
      <c r="B1121" s="1" t="s">
        <v>44</v>
      </c>
      <c r="C1121" s="1">
        <v>47999760576</v>
      </c>
      <c r="D1121" s="1"/>
      <c r="E1121" s="1">
        <v>16</v>
      </c>
      <c r="F1121" s="1">
        <v>0</v>
      </c>
      <c r="G1121" s="1" t="s">
        <v>47</v>
      </c>
      <c r="H1121" s="1" t="s">
        <v>113</v>
      </c>
      <c r="I1121" s="1" t="s">
        <v>46</v>
      </c>
      <c r="J1121" s="1" t="s">
        <v>40</v>
      </c>
      <c r="K1121" s="1"/>
      <c r="L1121" s="1"/>
    </row>
    <row r="1122" spans="1:12" s="32" customFormat="1" hidden="1" x14ac:dyDescent="0.3">
      <c r="A1122" s="37">
        <v>46129.597511574073</v>
      </c>
      <c r="B1122" s="1">
        <v>44991388221</v>
      </c>
      <c r="C1122" s="1" t="s">
        <v>42</v>
      </c>
      <c r="D1122" s="1">
        <v>4430265054</v>
      </c>
      <c r="E1122" s="1">
        <v>136</v>
      </c>
      <c r="F1122" s="1">
        <v>103</v>
      </c>
      <c r="G1122" s="1" t="s">
        <v>38</v>
      </c>
      <c r="H1122" s="1" t="s">
        <v>114</v>
      </c>
      <c r="I1122" s="1" t="s">
        <v>39</v>
      </c>
      <c r="J1122" s="1" t="s">
        <v>40</v>
      </c>
      <c r="K1122" s="1" t="s">
        <v>41</v>
      </c>
      <c r="L1122" s="1">
        <v>5</v>
      </c>
    </row>
    <row r="1123" spans="1:12" s="32" customFormat="1" hidden="1" x14ac:dyDescent="0.3">
      <c r="A1123" s="37">
        <v>46129.59579861111</v>
      </c>
      <c r="B1123" s="1">
        <v>44988111973</v>
      </c>
      <c r="C1123" s="1" t="s">
        <v>43</v>
      </c>
      <c r="D1123" s="1">
        <v>4430265054</v>
      </c>
      <c r="E1123" s="1">
        <v>241</v>
      </c>
      <c r="F1123" s="1">
        <v>139</v>
      </c>
      <c r="G1123" s="1" t="s">
        <v>38</v>
      </c>
      <c r="H1123" s="1" t="s">
        <v>115</v>
      </c>
      <c r="I1123" s="1" t="s">
        <v>39</v>
      </c>
      <c r="J1123" s="1" t="s">
        <v>40</v>
      </c>
      <c r="K1123" s="1" t="s">
        <v>41</v>
      </c>
      <c r="L1123" s="1"/>
    </row>
    <row r="1124" spans="1:12" s="32" customFormat="1" hidden="1" x14ac:dyDescent="0.3">
      <c r="A1124" s="37">
        <v>46129.595092592594</v>
      </c>
      <c r="B1124" s="1">
        <v>93984112869</v>
      </c>
      <c r="C1124" s="1" t="s">
        <v>37</v>
      </c>
      <c r="D1124" s="1">
        <v>4431268225</v>
      </c>
      <c r="E1124" s="1">
        <v>837</v>
      </c>
      <c r="F1124" s="1">
        <v>712</v>
      </c>
      <c r="G1124" s="1" t="s">
        <v>38</v>
      </c>
      <c r="H1124" s="1" t="s">
        <v>116</v>
      </c>
      <c r="I1124" s="1" t="s">
        <v>39</v>
      </c>
      <c r="J1124" s="1" t="s">
        <v>40</v>
      </c>
      <c r="K1124" s="1" t="s">
        <v>41</v>
      </c>
      <c r="L1124" s="1"/>
    </row>
    <row r="1125" spans="1:12" s="32" customFormat="1" hidden="1" x14ac:dyDescent="0.3">
      <c r="A1125" s="37">
        <v>46129.594502314816</v>
      </c>
      <c r="B1125" s="1" t="s">
        <v>48</v>
      </c>
      <c r="C1125" s="1">
        <v>6434533677</v>
      </c>
      <c r="D1125" s="1"/>
      <c r="E1125" s="1">
        <v>592</v>
      </c>
      <c r="F1125" s="1">
        <v>586</v>
      </c>
      <c r="G1125" s="1" t="s">
        <v>38</v>
      </c>
      <c r="H1125" s="1" t="s">
        <v>117</v>
      </c>
      <c r="I1125" s="1" t="s">
        <v>46</v>
      </c>
      <c r="J1125" s="1" t="s">
        <v>40</v>
      </c>
      <c r="K1125" s="1"/>
      <c r="L1125" s="1"/>
    </row>
    <row r="1126" spans="1:12" s="32" customFormat="1" hidden="1" x14ac:dyDescent="0.3">
      <c r="A1126" s="37">
        <v>46129.592847222222</v>
      </c>
      <c r="B1126" s="1">
        <v>44999743444</v>
      </c>
      <c r="C1126" s="1" t="s">
        <v>43</v>
      </c>
      <c r="D1126" s="1">
        <v>4430265054</v>
      </c>
      <c r="E1126" s="1">
        <v>332</v>
      </c>
      <c r="F1126" s="1">
        <v>280</v>
      </c>
      <c r="G1126" s="1" t="s">
        <v>38</v>
      </c>
      <c r="H1126" s="1" t="s">
        <v>118</v>
      </c>
      <c r="I1126" s="1" t="s">
        <v>39</v>
      </c>
      <c r="J1126" s="1" t="s">
        <v>40</v>
      </c>
      <c r="K1126" s="1" t="s">
        <v>41</v>
      </c>
      <c r="L1126" s="1"/>
    </row>
    <row r="1127" spans="1:12" s="32" customFormat="1" hidden="1" x14ac:dyDescent="0.3">
      <c r="A1127" s="37">
        <v>46129.584780092591</v>
      </c>
      <c r="B1127" s="1">
        <v>91985176746</v>
      </c>
      <c r="C1127" s="1" t="s">
        <v>43</v>
      </c>
      <c r="D1127" s="1">
        <v>4430265054</v>
      </c>
      <c r="E1127" s="1">
        <v>579</v>
      </c>
      <c r="F1127" s="1">
        <v>556</v>
      </c>
      <c r="G1127" s="1" t="s">
        <v>38</v>
      </c>
      <c r="H1127" s="1" t="s">
        <v>119</v>
      </c>
      <c r="I1127" s="1" t="s">
        <v>39</v>
      </c>
      <c r="J1127" s="1" t="s">
        <v>40</v>
      </c>
      <c r="K1127" s="1" t="s">
        <v>41</v>
      </c>
      <c r="L1127" s="1">
        <v>5</v>
      </c>
    </row>
    <row r="1128" spans="1:12" s="32" customFormat="1" hidden="1" x14ac:dyDescent="0.3">
      <c r="A1128" s="37">
        <v>46129.584745370368</v>
      </c>
      <c r="B1128" s="1">
        <v>43988030048</v>
      </c>
      <c r="C1128" s="1" t="s">
        <v>45</v>
      </c>
      <c r="D1128" s="1">
        <v>4430265054</v>
      </c>
      <c r="E1128" s="1">
        <v>882</v>
      </c>
      <c r="F1128" s="1">
        <v>764</v>
      </c>
      <c r="G1128" s="1" t="s">
        <v>38</v>
      </c>
      <c r="H1128" s="1" t="s">
        <v>120</v>
      </c>
      <c r="I1128" s="1" t="s">
        <v>39</v>
      </c>
      <c r="J1128" s="1" t="s">
        <v>40</v>
      </c>
      <c r="K1128" s="1" t="s">
        <v>41</v>
      </c>
      <c r="L1128" s="1"/>
    </row>
    <row r="1129" spans="1:12" s="32" customFormat="1" hidden="1" x14ac:dyDescent="0.3">
      <c r="A1129" s="37">
        <v>46129.584050925929</v>
      </c>
      <c r="B1129" s="1">
        <v>4436281154</v>
      </c>
      <c r="C1129" s="1" t="s">
        <v>45</v>
      </c>
      <c r="D1129" s="1">
        <v>4430265054</v>
      </c>
      <c r="E1129" s="1">
        <v>51</v>
      </c>
      <c r="F1129" s="1">
        <v>3</v>
      </c>
      <c r="G1129" s="1" t="s">
        <v>38</v>
      </c>
      <c r="H1129" s="1" t="s">
        <v>121</v>
      </c>
      <c r="I1129" s="1" t="s">
        <v>39</v>
      </c>
      <c r="J1129" s="1" t="s">
        <v>40</v>
      </c>
      <c r="K1129" s="1" t="s">
        <v>41</v>
      </c>
      <c r="L1129" s="1"/>
    </row>
    <row r="1130" spans="1:12" s="32" customFormat="1" hidden="1" x14ac:dyDescent="0.3">
      <c r="A1130" s="37">
        <v>46129.581516203703</v>
      </c>
      <c r="B1130" s="1">
        <v>4533011395</v>
      </c>
      <c r="C1130" s="1">
        <v>4531273161</v>
      </c>
      <c r="D1130" s="1">
        <v>4531273161</v>
      </c>
      <c r="E1130" s="1">
        <v>46</v>
      </c>
      <c r="F1130" s="1">
        <v>46</v>
      </c>
      <c r="G1130" s="1" t="s">
        <v>52</v>
      </c>
      <c r="H1130" s="1" t="s">
        <v>122</v>
      </c>
      <c r="I1130" s="1" t="s">
        <v>39</v>
      </c>
      <c r="J1130" s="1" t="s">
        <v>53</v>
      </c>
      <c r="K1130" s="1" t="s">
        <v>41</v>
      </c>
      <c r="L1130" s="1"/>
    </row>
    <row r="1131" spans="1:12" s="32" customFormat="1" hidden="1" x14ac:dyDescent="0.3">
      <c r="A1131" s="37">
        <v>46129.580821759257</v>
      </c>
      <c r="B1131" s="1" t="s">
        <v>43</v>
      </c>
      <c r="C1131" s="1">
        <v>4430317020</v>
      </c>
      <c r="D1131" s="1"/>
      <c r="E1131" s="1">
        <v>331</v>
      </c>
      <c r="F1131" s="1">
        <v>319</v>
      </c>
      <c r="G1131" s="1" t="s">
        <v>38</v>
      </c>
      <c r="H1131" s="1" t="s">
        <v>123</v>
      </c>
      <c r="I1131" s="1" t="s">
        <v>46</v>
      </c>
      <c r="J1131" s="1" t="s">
        <v>40</v>
      </c>
      <c r="K1131" s="1"/>
      <c r="L1131" s="1"/>
    </row>
    <row r="1132" spans="1:12" s="32" customFormat="1" hidden="1" x14ac:dyDescent="0.3">
      <c r="A1132" s="37">
        <v>46129.579444444447</v>
      </c>
      <c r="B1132" s="1">
        <v>4430317020</v>
      </c>
      <c r="C1132" s="1" t="s">
        <v>44</v>
      </c>
      <c r="D1132" s="1">
        <v>4430265054</v>
      </c>
      <c r="E1132" s="1">
        <v>86</v>
      </c>
      <c r="F1132" s="1">
        <v>47</v>
      </c>
      <c r="G1132" s="1" t="s">
        <v>38</v>
      </c>
      <c r="H1132" s="1" t="s">
        <v>124</v>
      </c>
      <c r="I1132" s="1" t="s">
        <v>39</v>
      </c>
      <c r="J1132" s="1" t="s">
        <v>40</v>
      </c>
      <c r="K1132" s="1" t="s">
        <v>41</v>
      </c>
      <c r="L1132" s="1"/>
    </row>
    <row r="1133" spans="1:12" s="32" customFormat="1" hidden="1" x14ac:dyDescent="0.3">
      <c r="A1133" s="37">
        <v>46129.579224537039</v>
      </c>
      <c r="B1133" s="1">
        <v>42998221810</v>
      </c>
      <c r="C1133" s="1" t="s">
        <v>44</v>
      </c>
      <c r="D1133" s="1">
        <v>4430265054</v>
      </c>
      <c r="E1133" s="1">
        <v>1633</v>
      </c>
      <c r="F1133" s="1">
        <v>1581</v>
      </c>
      <c r="G1133" s="1" t="s">
        <v>38</v>
      </c>
      <c r="H1133" s="1" t="s">
        <v>125</v>
      </c>
      <c r="I1133" s="1" t="s">
        <v>39</v>
      </c>
      <c r="J1133" s="1" t="s">
        <v>40</v>
      </c>
      <c r="K1133" s="1" t="s">
        <v>41</v>
      </c>
      <c r="L1133" s="1"/>
    </row>
    <row r="1134" spans="1:12" s="32" customFormat="1" hidden="1" x14ac:dyDescent="0.3">
      <c r="A1134" s="37">
        <v>46129.578900462962</v>
      </c>
      <c r="B1134" s="1">
        <v>44932314328</v>
      </c>
      <c r="C1134" s="1">
        <v>4430265054</v>
      </c>
      <c r="D1134" s="1">
        <v>4430265054</v>
      </c>
      <c r="E1134" s="1">
        <v>4</v>
      </c>
      <c r="F1134" s="1">
        <v>3</v>
      </c>
      <c r="G1134" s="1" t="s">
        <v>52</v>
      </c>
      <c r="H1134" s="1" t="s">
        <v>126</v>
      </c>
      <c r="I1134" s="1" t="s">
        <v>39</v>
      </c>
      <c r="J1134" s="1" t="s">
        <v>53</v>
      </c>
      <c r="K1134" s="1"/>
      <c r="L1134" s="1"/>
    </row>
    <row r="1135" spans="1:12" s="32" customFormat="1" hidden="1" x14ac:dyDescent="0.3">
      <c r="A1135" s="37">
        <v>46129.578333333331</v>
      </c>
      <c r="B1135" s="1">
        <v>4121413772</v>
      </c>
      <c r="C1135" s="1">
        <v>4531273151</v>
      </c>
      <c r="D1135" s="1">
        <v>4531273151</v>
      </c>
      <c r="E1135" s="1">
        <v>47</v>
      </c>
      <c r="F1135" s="1">
        <v>47</v>
      </c>
      <c r="G1135" s="1" t="s">
        <v>52</v>
      </c>
      <c r="H1135" s="1" t="s">
        <v>127</v>
      </c>
      <c r="I1135" s="1" t="s">
        <v>39</v>
      </c>
      <c r="J1135" s="1" t="s">
        <v>53</v>
      </c>
      <c r="K1135" s="1" t="s">
        <v>41</v>
      </c>
      <c r="L1135" s="1"/>
    </row>
    <row r="1136" spans="1:12" s="32" customFormat="1" hidden="1" x14ac:dyDescent="0.3">
      <c r="A1136" s="37">
        <v>46129.574907407405</v>
      </c>
      <c r="B1136" s="1">
        <v>4436281154</v>
      </c>
      <c r="C1136" s="1" t="s">
        <v>45</v>
      </c>
      <c r="D1136" s="1">
        <v>4430265054</v>
      </c>
      <c r="E1136" s="1">
        <v>733</v>
      </c>
      <c r="F1136" s="1">
        <v>673</v>
      </c>
      <c r="G1136" s="1" t="s">
        <v>38</v>
      </c>
      <c r="H1136" s="1" t="s">
        <v>128</v>
      </c>
      <c r="I1136" s="1" t="s">
        <v>39</v>
      </c>
      <c r="J1136" s="1" t="s">
        <v>40</v>
      </c>
      <c r="K1136" s="1" t="s">
        <v>41</v>
      </c>
      <c r="L1136" s="1"/>
    </row>
    <row r="1137" spans="1:12" s="32" customFormat="1" hidden="1" x14ac:dyDescent="0.3">
      <c r="A1137" s="37">
        <v>46129.574895833335</v>
      </c>
      <c r="B1137" s="1" t="s">
        <v>43</v>
      </c>
      <c r="C1137" s="1">
        <v>4430317020</v>
      </c>
      <c r="D1137" s="1"/>
      <c r="E1137" s="1">
        <v>107</v>
      </c>
      <c r="F1137" s="1">
        <v>94</v>
      </c>
      <c r="G1137" s="1" t="s">
        <v>38</v>
      </c>
      <c r="H1137" s="1" t="s">
        <v>129</v>
      </c>
      <c r="I1137" s="1" t="s">
        <v>46</v>
      </c>
      <c r="J1137" s="1" t="s">
        <v>40</v>
      </c>
      <c r="K1137" s="1"/>
      <c r="L1137" s="1"/>
    </row>
    <row r="1138" spans="1:12" s="32" customFormat="1" hidden="1" x14ac:dyDescent="0.3">
      <c r="A1138" s="37">
        <v>46129.570532407408</v>
      </c>
      <c r="B1138" s="1">
        <v>4436281154</v>
      </c>
      <c r="C1138" s="1">
        <v>4430265054</v>
      </c>
      <c r="D1138" s="1">
        <v>4430265054</v>
      </c>
      <c r="E1138" s="1">
        <v>80</v>
      </c>
      <c r="F1138" s="1">
        <v>79</v>
      </c>
      <c r="G1138" s="1" t="s">
        <v>52</v>
      </c>
      <c r="H1138" s="1" t="s">
        <v>130</v>
      </c>
      <c r="I1138" s="1" t="s">
        <v>39</v>
      </c>
      <c r="J1138" s="1" t="s">
        <v>53</v>
      </c>
      <c r="K1138" s="1" t="s">
        <v>41</v>
      </c>
      <c r="L1138" s="1"/>
    </row>
    <row r="1139" spans="1:12" s="32" customFormat="1" hidden="1" x14ac:dyDescent="0.3">
      <c r="A1139" s="37">
        <v>46129.567210648151</v>
      </c>
      <c r="B1139" s="1" t="s">
        <v>45</v>
      </c>
      <c r="C1139" s="1">
        <v>4439001698</v>
      </c>
      <c r="D1139" s="1"/>
      <c r="E1139" s="1">
        <v>662</v>
      </c>
      <c r="F1139" s="1">
        <v>638</v>
      </c>
      <c r="G1139" s="1" t="s">
        <v>38</v>
      </c>
      <c r="H1139" s="1" t="s">
        <v>131</v>
      </c>
      <c r="I1139" s="1" t="s">
        <v>46</v>
      </c>
      <c r="J1139" s="1" t="s">
        <v>40</v>
      </c>
      <c r="K1139" s="1"/>
      <c r="L1139" s="1"/>
    </row>
    <row r="1140" spans="1:12" s="32" customFormat="1" hidden="1" x14ac:dyDescent="0.3">
      <c r="A1140" s="37">
        <v>46129.565983796296</v>
      </c>
      <c r="B1140" s="1" t="s">
        <v>45</v>
      </c>
      <c r="C1140" s="1">
        <v>4439001698</v>
      </c>
      <c r="D1140" s="1"/>
      <c r="E1140" s="1">
        <v>30</v>
      </c>
      <c r="F1140" s="1">
        <v>0</v>
      </c>
      <c r="G1140" s="1" t="s">
        <v>47</v>
      </c>
      <c r="H1140" s="1" t="s">
        <v>132</v>
      </c>
      <c r="I1140" s="1" t="s">
        <v>46</v>
      </c>
      <c r="J1140" s="1" t="s">
        <v>40</v>
      </c>
      <c r="K1140" s="1"/>
      <c r="L1140" s="1"/>
    </row>
    <row r="1141" spans="1:12" s="32" customFormat="1" hidden="1" x14ac:dyDescent="0.3">
      <c r="A1141" s="37">
        <v>46129.565844907411</v>
      </c>
      <c r="B1141" s="1">
        <v>4334234629</v>
      </c>
      <c r="C1141" s="1" t="s">
        <v>42</v>
      </c>
      <c r="D1141" s="1">
        <v>4430265054</v>
      </c>
      <c r="E1141" s="1">
        <v>2630</v>
      </c>
      <c r="F1141" s="1">
        <v>2597</v>
      </c>
      <c r="G1141" s="1" t="s">
        <v>38</v>
      </c>
      <c r="H1141" s="1" t="s">
        <v>133</v>
      </c>
      <c r="I1141" s="1" t="s">
        <v>39</v>
      </c>
      <c r="J1141" s="1" t="s">
        <v>40</v>
      </c>
      <c r="K1141" s="1" t="s">
        <v>41</v>
      </c>
      <c r="L1141" s="1"/>
    </row>
    <row r="1142" spans="1:12" s="32" customFormat="1" hidden="1" x14ac:dyDescent="0.3">
      <c r="A1142" s="37">
        <v>46129.565717592595</v>
      </c>
      <c r="B1142" s="1" t="s">
        <v>43</v>
      </c>
      <c r="C1142" s="1">
        <v>4430317020</v>
      </c>
      <c r="D1142" s="1"/>
      <c r="E1142" s="1">
        <v>64</v>
      </c>
      <c r="F1142" s="1">
        <v>52</v>
      </c>
      <c r="G1142" s="1" t="s">
        <v>38</v>
      </c>
      <c r="H1142" s="1" t="s">
        <v>134</v>
      </c>
      <c r="I1142" s="1" t="s">
        <v>46</v>
      </c>
      <c r="J1142" s="1" t="s">
        <v>40</v>
      </c>
      <c r="K1142" s="1"/>
      <c r="L1142" s="1"/>
    </row>
    <row r="1143" spans="1:12" s="32" customFormat="1" hidden="1" x14ac:dyDescent="0.3">
      <c r="A1143" s="37">
        <v>46129.56517361111</v>
      </c>
      <c r="B1143" s="1">
        <v>44988135387</v>
      </c>
      <c r="C1143" s="1" t="s">
        <v>44</v>
      </c>
      <c r="D1143" s="1">
        <v>4430265054</v>
      </c>
      <c r="E1143" s="1">
        <v>740</v>
      </c>
      <c r="F1143" s="1">
        <v>674</v>
      </c>
      <c r="G1143" s="1" t="s">
        <v>38</v>
      </c>
      <c r="H1143" s="1" t="s">
        <v>135</v>
      </c>
      <c r="I1143" s="1" t="s">
        <v>39</v>
      </c>
      <c r="J1143" s="1" t="s">
        <v>40</v>
      </c>
      <c r="K1143" s="1" t="s">
        <v>41</v>
      </c>
      <c r="L1143" s="1"/>
    </row>
    <row r="1144" spans="1:12" s="32" customFormat="1" hidden="1" x14ac:dyDescent="0.3">
      <c r="A1144" s="37">
        <v>46129.564398148148</v>
      </c>
      <c r="B1144" s="1">
        <v>44998266194</v>
      </c>
      <c r="C1144" s="1" t="s">
        <v>37</v>
      </c>
      <c r="D1144" s="1">
        <v>4430265054</v>
      </c>
      <c r="E1144" s="1">
        <v>1755</v>
      </c>
      <c r="F1144" s="1">
        <v>1643</v>
      </c>
      <c r="G1144" s="1" t="s">
        <v>38</v>
      </c>
      <c r="H1144" s="1" t="s">
        <v>136</v>
      </c>
      <c r="I1144" s="1" t="s">
        <v>39</v>
      </c>
      <c r="J1144" s="1" t="s">
        <v>40</v>
      </c>
      <c r="K1144" s="1" t="s">
        <v>41</v>
      </c>
      <c r="L1144" s="1"/>
    </row>
    <row r="1145" spans="1:12" s="32" customFormat="1" hidden="1" x14ac:dyDescent="0.3">
      <c r="A1145" s="37">
        <v>46129.56417824074</v>
      </c>
      <c r="B1145" s="1" t="s">
        <v>45</v>
      </c>
      <c r="C1145" s="1">
        <v>4439001698</v>
      </c>
      <c r="D1145" s="1"/>
      <c r="E1145" s="1">
        <v>32</v>
      </c>
      <c r="F1145" s="1">
        <v>0</v>
      </c>
      <c r="G1145" s="1" t="s">
        <v>47</v>
      </c>
      <c r="H1145" s="1" t="s">
        <v>137</v>
      </c>
      <c r="I1145" s="1" t="s">
        <v>46</v>
      </c>
      <c r="J1145" s="1" t="s">
        <v>40</v>
      </c>
      <c r="K1145" s="1"/>
      <c r="L1145" s="1"/>
    </row>
    <row r="1146" spans="1:12" s="32" customFormat="1" hidden="1" x14ac:dyDescent="0.3">
      <c r="A1146" s="37">
        <v>46129.564097222225</v>
      </c>
      <c r="B1146" s="1" t="s">
        <v>45</v>
      </c>
      <c r="C1146" s="1">
        <v>4430456097</v>
      </c>
      <c r="D1146" s="1"/>
      <c r="E1146" s="1">
        <v>2</v>
      </c>
      <c r="F1146" s="1">
        <v>0</v>
      </c>
      <c r="G1146" s="1" t="s">
        <v>47</v>
      </c>
      <c r="H1146" s="1" t="s">
        <v>138</v>
      </c>
      <c r="I1146" s="1" t="s">
        <v>46</v>
      </c>
      <c r="J1146" s="1" t="s">
        <v>40</v>
      </c>
      <c r="K1146" s="1"/>
      <c r="L1146" s="1"/>
    </row>
    <row r="1147" spans="1:12" s="32" customFormat="1" hidden="1" x14ac:dyDescent="0.3">
      <c r="A1147" s="37">
        <v>46129.563518518517</v>
      </c>
      <c r="B1147" s="1" t="s">
        <v>45</v>
      </c>
      <c r="C1147" s="1">
        <v>4439001698</v>
      </c>
      <c r="D1147" s="1"/>
      <c r="E1147" s="1">
        <v>31</v>
      </c>
      <c r="F1147" s="1">
        <v>0</v>
      </c>
      <c r="G1147" s="1" t="s">
        <v>47</v>
      </c>
      <c r="H1147" s="1" t="s">
        <v>139</v>
      </c>
      <c r="I1147" s="1" t="s">
        <v>46</v>
      </c>
      <c r="J1147" s="1" t="s">
        <v>40</v>
      </c>
      <c r="K1147" s="1"/>
      <c r="L1147" s="1"/>
    </row>
    <row r="1148" spans="1:12" s="32" customFormat="1" hidden="1" x14ac:dyDescent="0.3">
      <c r="A1148" s="37">
        <v>46129.562847222223</v>
      </c>
      <c r="B1148" s="1" t="s">
        <v>45</v>
      </c>
      <c r="C1148" s="1">
        <v>4439001698</v>
      </c>
      <c r="D1148" s="1"/>
      <c r="E1148" s="1">
        <v>30</v>
      </c>
      <c r="F1148" s="1">
        <v>0</v>
      </c>
      <c r="G1148" s="1" t="s">
        <v>47</v>
      </c>
      <c r="H1148" s="1" t="s">
        <v>140</v>
      </c>
      <c r="I1148" s="1" t="s">
        <v>46</v>
      </c>
      <c r="J1148" s="1" t="s">
        <v>40</v>
      </c>
      <c r="K1148" s="1"/>
      <c r="L1148" s="1"/>
    </row>
    <row r="1149" spans="1:12" s="32" customFormat="1" hidden="1" x14ac:dyDescent="0.3">
      <c r="A1149" s="37">
        <v>46129.561469907407</v>
      </c>
      <c r="B1149" s="1" t="s">
        <v>45</v>
      </c>
      <c r="C1149" s="1">
        <v>4330333542</v>
      </c>
      <c r="D1149" s="1"/>
      <c r="E1149" s="1">
        <v>32</v>
      </c>
      <c r="F1149" s="1">
        <v>0</v>
      </c>
      <c r="G1149" s="1" t="s">
        <v>47</v>
      </c>
      <c r="H1149" s="1" t="s">
        <v>141</v>
      </c>
      <c r="I1149" s="1" t="s">
        <v>46</v>
      </c>
      <c r="J1149" s="1" t="s">
        <v>40</v>
      </c>
      <c r="K1149" s="1"/>
      <c r="L1149" s="1"/>
    </row>
    <row r="1150" spans="1:12" s="32" customFormat="1" hidden="1" x14ac:dyDescent="0.3">
      <c r="A1150" s="37">
        <v>46129.560752314814</v>
      </c>
      <c r="B1150" s="1">
        <v>11998030658</v>
      </c>
      <c r="C1150" s="1">
        <v>4430265054</v>
      </c>
      <c r="D1150" s="1">
        <v>4430265054</v>
      </c>
      <c r="E1150" s="1">
        <v>14</v>
      </c>
      <c r="F1150" s="1">
        <v>13</v>
      </c>
      <c r="G1150" s="1" t="s">
        <v>52</v>
      </c>
      <c r="H1150" s="1" t="s">
        <v>142</v>
      </c>
      <c r="I1150" s="1" t="s">
        <v>39</v>
      </c>
      <c r="J1150" s="1" t="s">
        <v>53</v>
      </c>
      <c r="K1150" s="1"/>
      <c r="L1150" s="1"/>
    </row>
    <row r="1151" spans="1:12" s="32" customFormat="1" hidden="1" x14ac:dyDescent="0.3">
      <c r="A1151" s="37">
        <v>46129.558344907404</v>
      </c>
      <c r="B1151" s="1">
        <v>4334226481</v>
      </c>
      <c r="C1151" s="1">
        <v>4430265054</v>
      </c>
      <c r="D1151" s="1">
        <v>4430265054</v>
      </c>
      <c r="E1151" s="1">
        <v>13</v>
      </c>
      <c r="F1151" s="1">
        <v>12</v>
      </c>
      <c r="G1151" s="1" t="s">
        <v>52</v>
      </c>
      <c r="H1151" s="1" t="s">
        <v>143</v>
      </c>
      <c r="I1151" s="1" t="s">
        <v>39</v>
      </c>
      <c r="J1151" s="1" t="s">
        <v>53</v>
      </c>
      <c r="K1151" s="1"/>
      <c r="L1151" s="1"/>
    </row>
    <row r="1152" spans="1:12" s="32" customFormat="1" hidden="1" x14ac:dyDescent="0.3">
      <c r="A1152" s="37">
        <v>46129.516493055555</v>
      </c>
      <c r="B1152" s="1">
        <v>4121418115</v>
      </c>
      <c r="C1152" s="1">
        <v>4531273152</v>
      </c>
      <c r="D1152" s="1">
        <v>4531273152</v>
      </c>
      <c r="E1152" s="1">
        <v>29</v>
      </c>
      <c r="F1152" s="1">
        <v>28</v>
      </c>
      <c r="G1152" s="1" t="s">
        <v>52</v>
      </c>
      <c r="H1152" s="1" t="s">
        <v>144</v>
      </c>
      <c r="I1152" s="1" t="s">
        <v>39</v>
      </c>
      <c r="J1152" s="1" t="s">
        <v>53</v>
      </c>
      <c r="K1152" s="1"/>
      <c r="L1152" s="1"/>
    </row>
    <row r="1153" spans="1:12" s="32" customFormat="1" hidden="1" x14ac:dyDescent="0.3">
      <c r="A1153" s="37">
        <v>46129.510520833333</v>
      </c>
      <c r="B1153" s="1">
        <v>44998640313</v>
      </c>
      <c r="C1153" s="1">
        <v>4430265054</v>
      </c>
      <c r="D1153" s="1">
        <v>4430265054</v>
      </c>
      <c r="E1153" s="1">
        <v>13</v>
      </c>
      <c r="F1153" s="1">
        <v>12</v>
      </c>
      <c r="G1153" s="1" t="s">
        <v>52</v>
      </c>
      <c r="H1153" s="1" t="s">
        <v>145</v>
      </c>
      <c r="I1153" s="1" t="s">
        <v>39</v>
      </c>
      <c r="J1153" s="1" t="s">
        <v>53</v>
      </c>
      <c r="K1153" s="1"/>
      <c r="L1153" s="1"/>
    </row>
    <row r="1154" spans="1:12" s="32" customFormat="1" hidden="1" x14ac:dyDescent="0.3">
      <c r="A1154" s="37">
        <v>46129.50240740741</v>
      </c>
      <c r="B1154" s="1">
        <v>4121413772</v>
      </c>
      <c r="C1154" s="1">
        <v>4531273156</v>
      </c>
      <c r="D1154" s="1">
        <v>4531273156</v>
      </c>
      <c r="E1154" s="1">
        <v>29</v>
      </c>
      <c r="F1154" s="1">
        <v>28</v>
      </c>
      <c r="G1154" s="1" t="s">
        <v>52</v>
      </c>
      <c r="H1154" s="1" t="s">
        <v>146</v>
      </c>
      <c r="I1154" s="1" t="s">
        <v>39</v>
      </c>
      <c r="J1154" s="1" t="s">
        <v>53</v>
      </c>
      <c r="K1154" s="1"/>
      <c r="L1154" s="1"/>
    </row>
    <row r="1155" spans="1:12" s="32" customFormat="1" hidden="1" x14ac:dyDescent="0.3">
      <c r="A1155" s="37">
        <v>46129.495567129627</v>
      </c>
      <c r="B1155" s="1">
        <v>1131515685</v>
      </c>
      <c r="C1155" s="1" t="s">
        <v>44</v>
      </c>
      <c r="D1155" s="1">
        <v>4430265054</v>
      </c>
      <c r="E1155" s="1">
        <v>300</v>
      </c>
      <c r="F1155" s="1">
        <v>182</v>
      </c>
      <c r="G1155" s="1" t="s">
        <v>38</v>
      </c>
      <c r="H1155" s="1" t="s">
        <v>147</v>
      </c>
      <c r="I1155" s="1" t="s">
        <v>39</v>
      </c>
      <c r="J1155" s="1" t="s">
        <v>40</v>
      </c>
      <c r="K1155" s="1" t="s">
        <v>41</v>
      </c>
      <c r="L1155" s="1"/>
    </row>
    <row r="1156" spans="1:12" s="32" customFormat="1" hidden="1" x14ac:dyDescent="0.3">
      <c r="A1156" s="37">
        <v>46129.491631944446</v>
      </c>
      <c r="B1156" s="1" t="s">
        <v>45</v>
      </c>
      <c r="C1156" s="1">
        <v>1139781028</v>
      </c>
      <c r="D1156" s="1"/>
      <c r="E1156" s="1">
        <v>14</v>
      </c>
      <c r="F1156" s="1">
        <v>12</v>
      </c>
      <c r="G1156" s="1" t="s">
        <v>38</v>
      </c>
      <c r="H1156" s="1" t="s">
        <v>148</v>
      </c>
      <c r="I1156" s="1" t="s">
        <v>46</v>
      </c>
      <c r="J1156" s="1" t="s">
        <v>40</v>
      </c>
      <c r="K1156" s="1"/>
      <c r="L1156" s="1"/>
    </row>
    <row r="1157" spans="1:12" s="32" customFormat="1" hidden="1" x14ac:dyDescent="0.3">
      <c r="A1157" s="37">
        <v>46129.487453703703</v>
      </c>
      <c r="B1157" s="1">
        <v>4135007070</v>
      </c>
      <c r="C1157" s="1">
        <v>4430265054</v>
      </c>
      <c r="D1157" s="1">
        <v>4430265054</v>
      </c>
      <c r="E1157" s="1">
        <v>5</v>
      </c>
      <c r="F1157" s="1">
        <v>5</v>
      </c>
      <c r="G1157" s="1" t="s">
        <v>52</v>
      </c>
      <c r="H1157" s="1" t="s">
        <v>149</v>
      </c>
      <c r="I1157" s="1" t="s">
        <v>39</v>
      </c>
      <c r="J1157" s="1" t="s">
        <v>53</v>
      </c>
      <c r="K1157" s="1"/>
      <c r="L1157" s="1"/>
    </row>
    <row r="1158" spans="1:12" s="32" customFormat="1" hidden="1" x14ac:dyDescent="0.3">
      <c r="A1158" s="37">
        <v>46129.485937500001</v>
      </c>
      <c r="B1158" s="1" t="s">
        <v>45</v>
      </c>
      <c r="C1158" s="1">
        <v>1139781028</v>
      </c>
      <c r="D1158" s="1"/>
      <c r="E1158" s="1">
        <v>499</v>
      </c>
      <c r="F1158" s="1">
        <v>491</v>
      </c>
      <c r="G1158" s="1" t="s">
        <v>38</v>
      </c>
      <c r="H1158" s="1" t="s">
        <v>150</v>
      </c>
      <c r="I1158" s="1" t="s">
        <v>46</v>
      </c>
      <c r="J1158" s="1" t="s">
        <v>40</v>
      </c>
      <c r="K1158" s="1"/>
      <c r="L1158" s="1"/>
    </row>
    <row r="1159" spans="1:12" s="32" customFormat="1" hidden="1" x14ac:dyDescent="0.3">
      <c r="A1159" s="37">
        <v>46129.484837962962</v>
      </c>
      <c r="B1159" s="1">
        <v>4121413772</v>
      </c>
      <c r="C1159" s="1">
        <v>4531273158</v>
      </c>
      <c r="D1159" s="1">
        <v>4531273158</v>
      </c>
      <c r="E1159" s="1">
        <v>47</v>
      </c>
      <c r="F1159" s="1">
        <v>46</v>
      </c>
      <c r="G1159" s="1" t="s">
        <v>52</v>
      </c>
      <c r="H1159" s="1" t="s">
        <v>151</v>
      </c>
      <c r="I1159" s="1" t="s">
        <v>39</v>
      </c>
      <c r="J1159" s="1" t="s">
        <v>53</v>
      </c>
      <c r="K1159" s="1" t="s">
        <v>41</v>
      </c>
      <c r="L1159" s="1"/>
    </row>
    <row r="1160" spans="1:12" s="32" customFormat="1" hidden="1" x14ac:dyDescent="0.3">
      <c r="A1160" s="37">
        <v>46129.475254629629</v>
      </c>
      <c r="B1160" s="1">
        <v>4121410323</v>
      </c>
      <c r="C1160" s="1">
        <v>4531273155</v>
      </c>
      <c r="D1160" s="1">
        <v>4531273155</v>
      </c>
      <c r="E1160" s="1">
        <v>47</v>
      </c>
      <c r="F1160" s="1">
        <v>46</v>
      </c>
      <c r="G1160" s="1" t="s">
        <v>52</v>
      </c>
      <c r="H1160" s="1" t="s">
        <v>152</v>
      </c>
      <c r="I1160" s="1" t="s">
        <v>39</v>
      </c>
      <c r="J1160" s="1" t="s">
        <v>53</v>
      </c>
      <c r="K1160" s="1" t="s">
        <v>41</v>
      </c>
      <c r="L1160" s="1"/>
    </row>
    <row r="1161" spans="1:12" s="32" customFormat="1" hidden="1" x14ac:dyDescent="0.3">
      <c r="A1161" s="37">
        <v>46129.467951388891</v>
      </c>
      <c r="B1161" s="1">
        <v>4334226481</v>
      </c>
      <c r="C1161" s="1" t="s">
        <v>42</v>
      </c>
      <c r="D1161" s="1">
        <v>4430265054</v>
      </c>
      <c r="E1161" s="1">
        <v>312</v>
      </c>
      <c r="F1161" s="1">
        <v>178</v>
      </c>
      <c r="G1161" s="1" t="s">
        <v>38</v>
      </c>
      <c r="H1161" s="1" t="s">
        <v>153</v>
      </c>
      <c r="I1161" s="1" t="s">
        <v>39</v>
      </c>
      <c r="J1161" s="1" t="s">
        <v>40</v>
      </c>
      <c r="K1161" s="1" t="s">
        <v>41</v>
      </c>
      <c r="L1161" s="1"/>
    </row>
    <row r="1162" spans="1:12" s="32" customFormat="1" hidden="1" x14ac:dyDescent="0.3">
      <c r="A1162" s="37">
        <v>46129.46603009259</v>
      </c>
      <c r="B1162" s="1">
        <v>44991388221</v>
      </c>
      <c r="C1162" s="1" t="s">
        <v>43</v>
      </c>
      <c r="D1162" s="1">
        <v>4430265054</v>
      </c>
      <c r="E1162" s="1">
        <v>616</v>
      </c>
      <c r="F1162" s="1">
        <v>525</v>
      </c>
      <c r="G1162" s="1" t="s">
        <v>38</v>
      </c>
      <c r="H1162" s="1" t="s">
        <v>154</v>
      </c>
      <c r="I1162" s="1" t="s">
        <v>39</v>
      </c>
      <c r="J1162" s="1" t="s">
        <v>40</v>
      </c>
      <c r="K1162" s="1" t="s">
        <v>41</v>
      </c>
      <c r="L1162" s="1"/>
    </row>
    <row r="1163" spans="1:12" s="32" customFormat="1" hidden="1" x14ac:dyDescent="0.3">
      <c r="A1163" s="37">
        <v>46129.464513888888</v>
      </c>
      <c r="B1163" s="1" t="s">
        <v>43</v>
      </c>
      <c r="C1163" s="1">
        <v>4430317020</v>
      </c>
      <c r="D1163" s="1"/>
      <c r="E1163" s="1">
        <v>120</v>
      </c>
      <c r="F1163" s="1">
        <v>108</v>
      </c>
      <c r="G1163" s="1" t="s">
        <v>38</v>
      </c>
      <c r="H1163" s="1" t="s">
        <v>155</v>
      </c>
      <c r="I1163" s="1" t="s">
        <v>46</v>
      </c>
      <c r="J1163" s="1" t="s">
        <v>40</v>
      </c>
      <c r="K1163" s="1"/>
      <c r="L1163" s="1"/>
    </row>
    <row r="1164" spans="1:12" s="32" customFormat="1" hidden="1" x14ac:dyDescent="0.3">
      <c r="A1164" s="37">
        <v>46129.463333333333</v>
      </c>
      <c r="B1164" s="1">
        <v>77999014770</v>
      </c>
      <c r="C1164" s="1" t="s">
        <v>45</v>
      </c>
      <c r="D1164" s="1">
        <v>4430265054</v>
      </c>
      <c r="E1164" s="1">
        <v>550</v>
      </c>
      <c r="F1164" s="1">
        <v>408</v>
      </c>
      <c r="G1164" s="1" t="s">
        <v>38</v>
      </c>
      <c r="H1164" s="1" t="s">
        <v>156</v>
      </c>
      <c r="I1164" s="1" t="s">
        <v>39</v>
      </c>
      <c r="J1164" s="1" t="s">
        <v>40</v>
      </c>
      <c r="K1164" s="1" t="s">
        <v>41</v>
      </c>
      <c r="L1164" s="1"/>
    </row>
    <row r="1165" spans="1:12" s="32" customFormat="1" hidden="1" x14ac:dyDescent="0.3">
      <c r="A1165" s="37">
        <v>46129.460358796299</v>
      </c>
      <c r="B1165" s="1">
        <v>42998221810</v>
      </c>
      <c r="C1165" s="1" t="s">
        <v>44</v>
      </c>
      <c r="D1165" s="1">
        <v>4430265054</v>
      </c>
      <c r="E1165" s="1">
        <v>1234</v>
      </c>
      <c r="F1165" s="1">
        <v>1163</v>
      </c>
      <c r="G1165" s="1" t="s">
        <v>38</v>
      </c>
      <c r="H1165" s="1" t="s">
        <v>157</v>
      </c>
      <c r="I1165" s="1" t="s">
        <v>39</v>
      </c>
      <c r="J1165" s="1" t="s">
        <v>40</v>
      </c>
      <c r="K1165" s="1" t="s">
        <v>41</v>
      </c>
      <c r="L1165" s="1"/>
    </row>
    <row r="1166" spans="1:12" s="32" customFormat="1" hidden="1" x14ac:dyDescent="0.3">
      <c r="A1166" s="37">
        <v>46129.458668981482</v>
      </c>
      <c r="B1166" s="1">
        <v>4432325260</v>
      </c>
      <c r="C1166" s="1" t="s">
        <v>43</v>
      </c>
      <c r="D1166" s="1">
        <v>4430265054</v>
      </c>
      <c r="E1166" s="1">
        <v>119</v>
      </c>
      <c r="F1166" s="1">
        <v>67</v>
      </c>
      <c r="G1166" s="1" t="s">
        <v>38</v>
      </c>
      <c r="H1166" s="1" t="s">
        <v>158</v>
      </c>
      <c r="I1166" s="1" t="s">
        <v>39</v>
      </c>
      <c r="J1166" s="1" t="s">
        <v>40</v>
      </c>
      <c r="K1166" s="1" t="s">
        <v>41</v>
      </c>
      <c r="L1166" s="1"/>
    </row>
    <row r="1167" spans="1:12" s="32" customFormat="1" hidden="1" x14ac:dyDescent="0.3">
      <c r="A1167" s="37">
        <v>46129.455995370372</v>
      </c>
      <c r="B1167" s="1">
        <v>45999211333</v>
      </c>
      <c r="C1167" s="1" t="s">
        <v>37</v>
      </c>
      <c r="D1167" s="1">
        <v>4430265054</v>
      </c>
      <c r="E1167" s="1">
        <v>1600</v>
      </c>
      <c r="F1167" s="1">
        <v>1533</v>
      </c>
      <c r="G1167" s="1" t="s">
        <v>38</v>
      </c>
      <c r="H1167" s="1" t="s">
        <v>159</v>
      </c>
      <c r="I1167" s="1" t="s">
        <v>39</v>
      </c>
      <c r="J1167" s="1" t="s">
        <v>40</v>
      </c>
      <c r="K1167" s="1" t="s">
        <v>41</v>
      </c>
      <c r="L1167" s="1"/>
    </row>
    <row r="1168" spans="1:12" s="32" customFormat="1" hidden="1" x14ac:dyDescent="0.3">
      <c r="A1168" s="37">
        <v>46129.451678240737</v>
      </c>
      <c r="B1168" s="1">
        <v>91985176746</v>
      </c>
      <c r="C1168" s="1" t="s">
        <v>45</v>
      </c>
      <c r="D1168" s="1">
        <v>4430265054</v>
      </c>
      <c r="E1168" s="1">
        <v>140</v>
      </c>
      <c r="F1168" s="1">
        <v>112</v>
      </c>
      <c r="G1168" s="1" t="s">
        <v>38</v>
      </c>
      <c r="H1168" s="1" t="s">
        <v>160</v>
      </c>
      <c r="I1168" s="1" t="s">
        <v>39</v>
      </c>
      <c r="J1168" s="1" t="s">
        <v>40</v>
      </c>
      <c r="K1168" s="1" t="s">
        <v>41</v>
      </c>
      <c r="L1168" s="1">
        <v>5</v>
      </c>
    </row>
    <row r="1169" spans="1:12" s="32" customFormat="1" hidden="1" x14ac:dyDescent="0.3">
      <c r="A1169" s="37">
        <v>46129.45076388889</v>
      </c>
      <c r="B1169" s="1">
        <v>44988303530</v>
      </c>
      <c r="C1169" s="1" t="s">
        <v>43</v>
      </c>
      <c r="D1169" s="1">
        <v>4430265054</v>
      </c>
      <c r="E1169" s="1">
        <v>401</v>
      </c>
      <c r="F1169" s="1">
        <v>321</v>
      </c>
      <c r="G1169" s="1" t="s">
        <v>38</v>
      </c>
      <c r="H1169" s="1" t="s">
        <v>161</v>
      </c>
      <c r="I1169" s="1" t="s">
        <v>39</v>
      </c>
      <c r="J1169" s="1" t="s">
        <v>40</v>
      </c>
      <c r="K1169" s="1" t="s">
        <v>41</v>
      </c>
      <c r="L1169" s="1"/>
    </row>
    <row r="1170" spans="1:12" s="32" customFormat="1" hidden="1" x14ac:dyDescent="0.3">
      <c r="A1170" s="37">
        <v>46129.448611111111</v>
      </c>
      <c r="B1170" s="1">
        <v>4436281154</v>
      </c>
      <c r="C1170" s="1" t="s">
        <v>42</v>
      </c>
      <c r="D1170" s="1">
        <v>4430265054</v>
      </c>
      <c r="E1170" s="1">
        <v>1013</v>
      </c>
      <c r="F1170" s="1">
        <v>981</v>
      </c>
      <c r="G1170" s="1" t="s">
        <v>38</v>
      </c>
      <c r="H1170" s="1" t="s">
        <v>162</v>
      </c>
      <c r="I1170" s="1" t="s">
        <v>39</v>
      </c>
      <c r="J1170" s="1" t="s">
        <v>40</v>
      </c>
      <c r="K1170" s="1" t="s">
        <v>41</v>
      </c>
      <c r="L1170" s="1"/>
    </row>
    <row r="1171" spans="1:12" s="32" customFormat="1" hidden="1" x14ac:dyDescent="0.3">
      <c r="A1171" s="37">
        <v>46129.446828703702</v>
      </c>
      <c r="B1171" s="1">
        <v>4533011395</v>
      </c>
      <c r="C1171" s="1">
        <v>4531273163</v>
      </c>
      <c r="D1171" s="1">
        <v>4531273163</v>
      </c>
      <c r="E1171" s="1">
        <v>47</v>
      </c>
      <c r="F1171" s="1">
        <v>47</v>
      </c>
      <c r="G1171" s="1" t="s">
        <v>52</v>
      </c>
      <c r="H1171" s="1" t="s">
        <v>163</v>
      </c>
      <c r="I1171" s="1" t="s">
        <v>39</v>
      </c>
      <c r="J1171" s="1" t="s">
        <v>53</v>
      </c>
      <c r="K1171" s="1" t="s">
        <v>41</v>
      </c>
      <c r="L1171" s="1"/>
    </row>
    <row r="1172" spans="1:12" s="32" customFormat="1" hidden="1" x14ac:dyDescent="0.3">
      <c r="A1172" s="37">
        <v>46129.446759259263</v>
      </c>
      <c r="B1172" s="1">
        <v>4430291622</v>
      </c>
      <c r="C1172" s="1" t="s">
        <v>48</v>
      </c>
      <c r="D1172" s="1">
        <v>4430265054</v>
      </c>
      <c r="E1172" s="1">
        <v>830</v>
      </c>
      <c r="F1172" s="1">
        <v>829</v>
      </c>
      <c r="G1172" s="1" t="s">
        <v>38</v>
      </c>
      <c r="H1172" s="1" t="s">
        <v>164</v>
      </c>
      <c r="I1172" s="1" t="s">
        <v>39</v>
      </c>
      <c r="J1172" s="1" t="s">
        <v>40</v>
      </c>
      <c r="K1172" s="1" t="s">
        <v>41</v>
      </c>
      <c r="L1172" s="1"/>
    </row>
    <row r="1173" spans="1:12" s="32" customFormat="1" hidden="1" x14ac:dyDescent="0.3">
      <c r="A1173" s="37">
        <v>46129.446736111109</v>
      </c>
      <c r="B1173" s="1">
        <v>4121410323</v>
      </c>
      <c r="C1173" s="1">
        <v>4531273159</v>
      </c>
      <c r="D1173" s="1">
        <v>4531273159</v>
      </c>
      <c r="E1173" s="1">
        <v>47</v>
      </c>
      <c r="F1173" s="1">
        <v>46</v>
      </c>
      <c r="G1173" s="1" t="s">
        <v>52</v>
      </c>
      <c r="H1173" s="1" t="s">
        <v>165</v>
      </c>
      <c r="I1173" s="1" t="s">
        <v>39</v>
      </c>
      <c r="J1173" s="1" t="s">
        <v>53</v>
      </c>
      <c r="K1173" s="1" t="s">
        <v>41</v>
      </c>
      <c r="L1173" s="1"/>
    </row>
    <row r="1174" spans="1:12" s="32" customFormat="1" x14ac:dyDescent="0.3">
      <c r="A1174" s="37">
        <v>46129.443067129629</v>
      </c>
      <c r="B1174" s="1">
        <v>11964449514</v>
      </c>
      <c r="C1174" s="1" t="s">
        <v>37</v>
      </c>
      <c r="D1174" s="1">
        <v>4431268225</v>
      </c>
      <c r="E1174" s="1">
        <v>530</v>
      </c>
      <c r="F1174" s="1">
        <v>459</v>
      </c>
      <c r="G1174" s="1" t="s">
        <v>38</v>
      </c>
      <c r="H1174" s="1" t="s">
        <v>166</v>
      </c>
      <c r="I1174" s="1" t="s">
        <v>39</v>
      </c>
      <c r="J1174" s="1" t="s">
        <v>40</v>
      </c>
      <c r="K1174" s="1" t="s">
        <v>41</v>
      </c>
      <c r="L1174" s="1">
        <v>5</v>
      </c>
    </row>
    <row r="1175" spans="1:12" s="32" customFormat="1" hidden="1" x14ac:dyDescent="0.3">
      <c r="A1175" s="37">
        <v>46129.440960648149</v>
      </c>
      <c r="B1175" s="1" t="s">
        <v>54</v>
      </c>
      <c r="C1175" s="1">
        <v>83999950688</v>
      </c>
      <c r="D1175" s="1"/>
      <c r="E1175" s="1">
        <v>15</v>
      </c>
      <c r="F1175" s="1">
        <v>4</v>
      </c>
      <c r="G1175" s="1" t="s">
        <v>38</v>
      </c>
      <c r="H1175" s="1" t="s">
        <v>167</v>
      </c>
      <c r="I1175" s="1" t="s">
        <v>46</v>
      </c>
      <c r="J1175" s="1" t="s">
        <v>55</v>
      </c>
      <c r="K1175" s="1"/>
      <c r="L1175" s="1"/>
    </row>
    <row r="1176" spans="1:12" s="32" customFormat="1" hidden="1" x14ac:dyDescent="0.3">
      <c r="A1176" s="37">
        <v>46129.438900462963</v>
      </c>
      <c r="B1176" s="1">
        <v>44991484476</v>
      </c>
      <c r="C1176" s="1" t="s">
        <v>45</v>
      </c>
      <c r="D1176" s="1">
        <v>4430265054</v>
      </c>
      <c r="E1176" s="1">
        <v>781</v>
      </c>
      <c r="F1176" s="1">
        <v>704</v>
      </c>
      <c r="G1176" s="1" t="s">
        <v>38</v>
      </c>
      <c r="H1176" s="1" t="s">
        <v>168</v>
      </c>
      <c r="I1176" s="1" t="s">
        <v>39</v>
      </c>
      <c r="J1176" s="1" t="s">
        <v>40</v>
      </c>
      <c r="K1176" s="1" t="s">
        <v>41</v>
      </c>
      <c r="L1176" s="1"/>
    </row>
    <row r="1177" spans="1:12" s="32" customFormat="1" hidden="1" x14ac:dyDescent="0.3">
      <c r="A1177" s="37">
        <v>46129.4374537037</v>
      </c>
      <c r="B1177" s="1">
        <v>44932316190</v>
      </c>
      <c r="C1177" s="1">
        <v>4430265054</v>
      </c>
      <c r="D1177" s="1">
        <v>4430265054</v>
      </c>
      <c r="E1177" s="1">
        <v>4</v>
      </c>
      <c r="F1177" s="1">
        <v>3</v>
      </c>
      <c r="G1177" s="1" t="s">
        <v>52</v>
      </c>
      <c r="H1177" s="1" t="s">
        <v>169</v>
      </c>
      <c r="I1177" s="1" t="s">
        <v>39</v>
      </c>
      <c r="J1177" s="1" t="s">
        <v>53</v>
      </c>
      <c r="K1177" s="1"/>
      <c r="L1177" s="1"/>
    </row>
    <row r="1178" spans="1:12" s="32" customFormat="1" hidden="1" x14ac:dyDescent="0.3">
      <c r="A1178" s="37">
        <v>46129.437349537038</v>
      </c>
      <c r="B1178" s="1" t="s">
        <v>54</v>
      </c>
      <c r="C1178" s="1">
        <v>11971970471</v>
      </c>
      <c r="D1178" s="1"/>
      <c r="E1178" s="1">
        <v>24</v>
      </c>
      <c r="F1178" s="1">
        <v>2</v>
      </c>
      <c r="G1178" s="1" t="s">
        <v>38</v>
      </c>
      <c r="H1178" s="1" t="s">
        <v>170</v>
      </c>
      <c r="I1178" s="1" t="s">
        <v>46</v>
      </c>
      <c r="J1178" s="1" t="s">
        <v>55</v>
      </c>
      <c r="K1178" s="1"/>
      <c r="L1178" s="1"/>
    </row>
    <row r="1179" spans="1:12" s="32" customFormat="1" hidden="1" x14ac:dyDescent="0.3">
      <c r="A1179" s="37">
        <v>46129.437175925923</v>
      </c>
      <c r="B1179" s="1" t="s">
        <v>45</v>
      </c>
      <c r="C1179" s="1">
        <v>4330333542</v>
      </c>
      <c r="D1179" s="1"/>
      <c r="E1179" s="1">
        <v>42</v>
      </c>
      <c r="F1179" s="1">
        <v>36</v>
      </c>
      <c r="G1179" s="1" t="s">
        <v>38</v>
      </c>
      <c r="H1179" s="1" t="s">
        <v>171</v>
      </c>
      <c r="I1179" s="1" t="s">
        <v>46</v>
      </c>
      <c r="J1179" s="1" t="s">
        <v>40</v>
      </c>
      <c r="K1179" s="1"/>
      <c r="L1179" s="1"/>
    </row>
    <row r="1180" spans="1:12" s="32" customFormat="1" hidden="1" x14ac:dyDescent="0.3">
      <c r="A1180" s="37">
        <v>46129.434571759259</v>
      </c>
      <c r="B1180" s="1" t="s">
        <v>54</v>
      </c>
      <c r="C1180" s="1">
        <v>62999101299</v>
      </c>
      <c r="D1180" s="1"/>
      <c r="E1180" s="1">
        <v>9</v>
      </c>
      <c r="F1180" s="1">
        <v>3</v>
      </c>
      <c r="G1180" s="1" t="s">
        <v>38</v>
      </c>
      <c r="H1180" s="1" t="s">
        <v>172</v>
      </c>
      <c r="I1180" s="1" t="s">
        <v>46</v>
      </c>
      <c r="J1180" s="1" t="s">
        <v>55</v>
      </c>
      <c r="K1180" s="1"/>
      <c r="L1180" s="1"/>
    </row>
    <row r="1181" spans="1:12" s="32" customFormat="1" hidden="1" x14ac:dyDescent="0.3">
      <c r="A1181" s="37">
        <v>46129.432118055556</v>
      </c>
      <c r="B1181" s="1" t="s">
        <v>48</v>
      </c>
      <c r="C1181" s="1">
        <v>4430282545</v>
      </c>
      <c r="D1181" s="1"/>
      <c r="E1181" s="1">
        <v>179</v>
      </c>
      <c r="F1181" s="1">
        <v>165</v>
      </c>
      <c r="G1181" s="1" t="s">
        <v>38</v>
      </c>
      <c r="H1181" s="1" t="s">
        <v>173</v>
      </c>
      <c r="I1181" s="1" t="s">
        <v>46</v>
      </c>
      <c r="J1181" s="1" t="s">
        <v>40</v>
      </c>
      <c r="K1181" s="1"/>
      <c r="L1181" s="1"/>
    </row>
    <row r="1182" spans="1:12" s="32" customFormat="1" hidden="1" x14ac:dyDescent="0.3">
      <c r="A1182" s="37">
        <v>46129.431122685186</v>
      </c>
      <c r="B1182" s="1" t="s">
        <v>48</v>
      </c>
      <c r="C1182" s="1">
        <v>4430282545</v>
      </c>
      <c r="D1182" s="1"/>
      <c r="E1182" s="1">
        <v>3</v>
      </c>
      <c r="F1182" s="1">
        <v>0</v>
      </c>
      <c r="G1182" s="1" t="s">
        <v>47</v>
      </c>
      <c r="H1182" s="1" t="s">
        <v>174</v>
      </c>
      <c r="I1182" s="1" t="s">
        <v>46</v>
      </c>
      <c r="J1182" s="1" t="s">
        <v>40</v>
      </c>
      <c r="K1182" s="1"/>
      <c r="L1182" s="1"/>
    </row>
    <row r="1183" spans="1:12" s="32" customFormat="1" hidden="1" x14ac:dyDescent="0.3">
      <c r="A1183" s="37">
        <v>46129.430833333332</v>
      </c>
      <c r="B1183" s="1">
        <v>44991684895</v>
      </c>
      <c r="C1183" s="1" t="s">
        <v>45</v>
      </c>
      <c r="D1183" s="1">
        <v>4430265054</v>
      </c>
      <c r="E1183" s="1">
        <v>539</v>
      </c>
      <c r="F1183" s="1">
        <v>490</v>
      </c>
      <c r="G1183" s="1" t="s">
        <v>38</v>
      </c>
      <c r="H1183" s="1" t="s">
        <v>175</v>
      </c>
      <c r="I1183" s="1" t="s">
        <v>39</v>
      </c>
      <c r="J1183" s="1" t="s">
        <v>40</v>
      </c>
      <c r="K1183" s="1" t="s">
        <v>41</v>
      </c>
      <c r="L1183" s="1"/>
    </row>
    <row r="1184" spans="1:12" s="32" customFormat="1" hidden="1" x14ac:dyDescent="0.3">
      <c r="A1184" s="37">
        <v>46129.429432870369</v>
      </c>
      <c r="B1184" s="1" t="s">
        <v>48</v>
      </c>
      <c r="C1184" s="1">
        <v>4430282545</v>
      </c>
      <c r="D1184" s="1"/>
      <c r="E1184" s="1">
        <v>138</v>
      </c>
      <c r="F1184" s="1">
        <v>123</v>
      </c>
      <c r="G1184" s="1" t="s">
        <v>38</v>
      </c>
      <c r="H1184" s="1" t="s">
        <v>176</v>
      </c>
      <c r="I1184" s="1" t="s">
        <v>46</v>
      </c>
      <c r="J1184" s="1" t="s">
        <v>40</v>
      </c>
      <c r="K1184" s="1"/>
      <c r="L1184" s="1"/>
    </row>
    <row r="1185" spans="1:13" s="32" customFormat="1" hidden="1" x14ac:dyDescent="0.3">
      <c r="A1185" s="37">
        <v>46129.429050925923</v>
      </c>
      <c r="B1185" s="1" t="s">
        <v>48</v>
      </c>
      <c r="C1185" s="1">
        <v>4430282545</v>
      </c>
      <c r="D1185" s="1"/>
      <c r="E1185" s="1">
        <v>31</v>
      </c>
      <c r="F1185" s="1">
        <v>0</v>
      </c>
      <c r="G1185" s="1" t="s">
        <v>47</v>
      </c>
      <c r="H1185" s="1" t="s">
        <v>177</v>
      </c>
      <c r="I1185" s="1" t="s">
        <v>46</v>
      </c>
      <c r="J1185" s="1" t="s">
        <v>40</v>
      </c>
      <c r="K1185" s="1"/>
      <c r="L1185" s="1"/>
    </row>
    <row r="1186" spans="1:13" s="32" customFormat="1" hidden="1" x14ac:dyDescent="0.3">
      <c r="A1186" s="37">
        <v>46129.427986111114</v>
      </c>
      <c r="B1186" s="1">
        <v>4430282545</v>
      </c>
      <c r="C1186" s="1" t="s">
        <v>37</v>
      </c>
      <c r="D1186" s="1">
        <v>4430265054</v>
      </c>
      <c r="E1186" s="1">
        <v>120</v>
      </c>
      <c r="F1186" s="1">
        <v>99</v>
      </c>
      <c r="G1186" s="1" t="s">
        <v>38</v>
      </c>
      <c r="H1186" s="1" t="s">
        <v>178</v>
      </c>
      <c r="I1186" s="1" t="s">
        <v>39</v>
      </c>
      <c r="J1186" s="1" t="s">
        <v>40</v>
      </c>
      <c r="K1186" s="1" t="s">
        <v>41</v>
      </c>
      <c r="L1186" s="1"/>
    </row>
    <row r="1187" spans="1:13" s="32" customFormat="1" hidden="1" x14ac:dyDescent="0.3">
      <c r="A1187" s="37">
        <v>46129.426435185182</v>
      </c>
      <c r="B1187" s="1">
        <v>4430282545</v>
      </c>
      <c r="C1187" s="1" t="s">
        <v>45</v>
      </c>
      <c r="D1187" s="1">
        <v>4430265054</v>
      </c>
      <c r="E1187" s="1">
        <v>83</v>
      </c>
      <c r="F1187" s="1">
        <v>42</v>
      </c>
      <c r="G1187" s="1" t="s">
        <v>38</v>
      </c>
      <c r="H1187" s="1" t="s">
        <v>179</v>
      </c>
      <c r="I1187" s="1" t="s">
        <v>39</v>
      </c>
      <c r="J1187" s="1" t="s">
        <v>40</v>
      </c>
      <c r="K1187" s="1" t="s">
        <v>41</v>
      </c>
      <c r="L1187" s="1"/>
      <c r="M1187" s="34" t="s">
        <v>2715</v>
      </c>
    </row>
    <row r="1188" spans="1:13" s="32" customFormat="1" hidden="1" x14ac:dyDescent="0.3">
      <c r="A1188" s="37">
        <v>46129.42559027778</v>
      </c>
      <c r="B1188" s="1">
        <v>4130760170</v>
      </c>
      <c r="C1188" s="1" t="s">
        <v>43</v>
      </c>
      <c r="D1188" s="1">
        <v>4430265054</v>
      </c>
      <c r="E1188" s="1">
        <v>1057</v>
      </c>
      <c r="F1188" s="1">
        <v>1019</v>
      </c>
      <c r="G1188" s="1" t="s">
        <v>38</v>
      </c>
      <c r="H1188" s="1" t="s">
        <v>180</v>
      </c>
      <c r="I1188" s="1" t="s">
        <v>39</v>
      </c>
      <c r="J1188" s="1" t="s">
        <v>40</v>
      </c>
      <c r="K1188" s="1" t="s">
        <v>41</v>
      </c>
      <c r="L1188" s="1">
        <v>5</v>
      </c>
    </row>
    <row r="1189" spans="1:13" s="32" customFormat="1" hidden="1" x14ac:dyDescent="0.3">
      <c r="A1189" s="37">
        <v>46129.420520833337</v>
      </c>
      <c r="B1189" s="1">
        <v>44991684895</v>
      </c>
      <c r="C1189" s="1" t="s">
        <v>45</v>
      </c>
      <c r="D1189" s="1">
        <v>4430265054</v>
      </c>
      <c r="E1189" s="1">
        <v>229</v>
      </c>
      <c r="F1189" s="1">
        <v>207</v>
      </c>
      <c r="G1189" s="1" t="s">
        <v>38</v>
      </c>
      <c r="H1189" s="1" t="s">
        <v>181</v>
      </c>
      <c r="I1189" s="1" t="s">
        <v>39</v>
      </c>
      <c r="J1189" s="1" t="s">
        <v>40</v>
      </c>
      <c r="K1189" s="1" t="s">
        <v>41</v>
      </c>
      <c r="L1189" s="1"/>
    </row>
    <row r="1190" spans="1:13" s="32" customFormat="1" hidden="1" x14ac:dyDescent="0.3">
      <c r="A1190" s="37">
        <v>46129.417893518519</v>
      </c>
      <c r="B1190" s="1">
        <v>4433016100</v>
      </c>
      <c r="C1190" s="1" t="s">
        <v>48</v>
      </c>
      <c r="D1190" s="1">
        <v>4430265054</v>
      </c>
      <c r="E1190" s="1">
        <v>288</v>
      </c>
      <c r="F1190" s="1">
        <v>209</v>
      </c>
      <c r="G1190" s="1" t="s">
        <v>38</v>
      </c>
      <c r="H1190" s="1" t="s">
        <v>182</v>
      </c>
      <c r="I1190" s="1" t="s">
        <v>39</v>
      </c>
      <c r="J1190" s="1" t="s">
        <v>40</v>
      </c>
      <c r="K1190" s="1" t="s">
        <v>41</v>
      </c>
      <c r="L1190" s="1"/>
    </row>
    <row r="1191" spans="1:13" s="32" customFormat="1" hidden="1" x14ac:dyDescent="0.3">
      <c r="A1191" s="37">
        <v>46129.417187500003</v>
      </c>
      <c r="B1191" s="1">
        <v>47999115463</v>
      </c>
      <c r="C1191" s="1">
        <v>4430265054</v>
      </c>
      <c r="D1191" s="1">
        <v>4430265054</v>
      </c>
      <c r="E1191" s="1">
        <v>108</v>
      </c>
      <c r="F1191" s="1">
        <v>107</v>
      </c>
      <c r="G1191" s="1" t="s">
        <v>52</v>
      </c>
      <c r="H1191" s="1" t="s">
        <v>183</v>
      </c>
      <c r="I1191" s="1" t="s">
        <v>39</v>
      </c>
      <c r="J1191" s="1" t="s">
        <v>53</v>
      </c>
      <c r="K1191" s="1" t="s">
        <v>41</v>
      </c>
      <c r="L1191" s="1"/>
    </row>
    <row r="1192" spans="1:13" s="32" customFormat="1" hidden="1" x14ac:dyDescent="0.3">
      <c r="A1192" s="37">
        <v>46129.415393518517</v>
      </c>
      <c r="B1192" s="1">
        <v>44991684895</v>
      </c>
      <c r="C1192" s="1" t="s">
        <v>45</v>
      </c>
      <c r="D1192" s="1">
        <v>4430265054</v>
      </c>
      <c r="E1192" s="1">
        <v>197</v>
      </c>
      <c r="F1192" s="1">
        <v>125</v>
      </c>
      <c r="G1192" s="1" t="s">
        <v>38</v>
      </c>
      <c r="H1192" s="1" t="s">
        <v>184</v>
      </c>
      <c r="I1192" s="1" t="s">
        <v>39</v>
      </c>
      <c r="J1192" s="1" t="s">
        <v>40</v>
      </c>
      <c r="K1192" s="1" t="s">
        <v>41</v>
      </c>
      <c r="L1192" s="1"/>
    </row>
    <row r="1193" spans="1:13" s="32" customFormat="1" hidden="1" x14ac:dyDescent="0.3">
      <c r="A1193" s="37">
        <v>46129.411134259259</v>
      </c>
      <c r="B1193" s="1">
        <v>44999449519</v>
      </c>
      <c r="C1193" s="1" t="s">
        <v>45</v>
      </c>
      <c r="D1193" s="1">
        <v>4430265054</v>
      </c>
      <c r="E1193" s="1">
        <v>299</v>
      </c>
      <c r="F1193" s="1">
        <v>257</v>
      </c>
      <c r="G1193" s="1" t="s">
        <v>38</v>
      </c>
      <c r="H1193" s="1" t="s">
        <v>185</v>
      </c>
      <c r="I1193" s="1" t="s">
        <v>39</v>
      </c>
      <c r="J1193" s="1" t="s">
        <v>40</v>
      </c>
      <c r="K1193" s="1" t="s">
        <v>41</v>
      </c>
      <c r="L1193" s="1">
        <v>5</v>
      </c>
    </row>
    <row r="1194" spans="1:13" s="32" customFormat="1" hidden="1" x14ac:dyDescent="0.3">
      <c r="A1194" s="37">
        <v>46129.402615740742</v>
      </c>
      <c r="B1194" s="1" t="s">
        <v>43</v>
      </c>
      <c r="C1194" s="1">
        <v>44998495838</v>
      </c>
      <c r="D1194" s="1"/>
      <c r="E1194" s="1">
        <v>71</v>
      </c>
      <c r="F1194" s="1">
        <v>49</v>
      </c>
      <c r="G1194" s="1" t="s">
        <v>38</v>
      </c>
      <c r="H1194" s="1" t="s">
        <v>186</v>
      </c>
      <c r="I1194" s="1" t="s">
        <v>46</v>
      </c>
      <c r="J1194" s="1" t="s">
        <v>40</v>
      </c>
      <c r="K1194" s="1"/>
      <c r="L1194" s="1"/>
    </row>
    <row r="1195" spans="1:13" s="32" customFormat="1" hidden="1" x14ac:dyDescent="0.3">
      <c r="A1195" s="37">
        <v>46129.402546296296</v>
      </c>
      <c r="B1195" s="1" t="s">
        <v>43</v>
      </c>
      <c r="C1195" s="1">
        <v>44998495838</v>
      </c>
      <c r="D1195" s="1"/>
      <c r="E1195" s="1">
        <v>25</v>
      </c>
      <c r="F1195" s="1">
        <v>25</v>
      </c>
      <c r="G1195" s="1" t="s">
        <v>38</v>
      </c>
      <c r="H1195" s="1" t="s">
        <v>187</v>
      </c>
      <c r="I1195" s="1" t="s">
        <v>46</v>
      </c>
      <c r="J1195" s="1" t="s">
        <v>40</v>
      </c>
      <c r="K1195" s="1"/>
      <c r="L1195" s="1"/>
    </row>
    <row r="1196" spans="1:13" s="32" customFormat="1" hidden="1" x14ac:dyDescent="0.3">
      <c r="A1196" s="37">
        <v>46129.400451388887</v>
      </c>
      <c r="B1196" s="1">
        <v>44999646909</v>
      </c>
      <c r="C1196" s="1" t="s">
        <v>42</v>
      </c>
      <c r="D1196" s="1">
        <v>4430265054</v>
      </c>
      <c r="E1196" s="1">
        <v>1966</v>
      </c>
      <c r="F1196" s="1">
        <v>1937</v>
      </c>
      <c r="G1196" s="1" t="s">
        <v>38</v>
      </c>
      <c r="H1196" s="1" t="s">
        <v>188</v>
      </c>
      <c r="I1196" s="1" t="s">
        <v>39</v>
      </c>
      <c r="J1196" s="1" t="s">
        <v>40</v>
      </c>
      <c r="K1196" s="1" t="s">
        <v>41</v>
      </c>
      <c r="L1196" s="1"/>
    </row>
    <row r="1197" spans="1:13" s="32" customFormat="1" hidden="1" x14ac:dyDescent="0.3">
      <c r="A1197" s="37">
        <v>46129.399062500001</v>
      </c>
      <c r="B1197" s="1" t="s">
        <v>54</v>
      </c>
      <c r="C1197" s="1">
        <v>91993117001</v>
      </c>
      <c r="D1197" s="1"/>
      <c r="E1197" s="1">
        <v>7</v>
      </c>
      <c r="F1197" s="1">
        <v>3</v>
      </c>
      <c r="G1197" s="1" t="s">
        <v>38</v>
      </c>
      <c r="H1197" s="1" t="s">
        <v>189</v>
      </c>
      <c r="I1197" s="1" t="s">
        <v>46</v>
      </c>
      <c r="J1197" s="1" t="s">
        <v>55</v>
      </c>
      <c r="K1197" s="1"/>
      <c r="L1197" s="1"/>
    </row>
    <row r="1198" spans="1:13" s="32" customFormat="1" hidden="1" x14ac:dyDescent="0.3">
      <c r="A1198" s="37">
        <v>46129.397476851853</v>
      </c>
      <c r="B1198" s="1">
        <v>44999717086</v>
      </c>
      <c r="C1198" s="1" t="s">
        <v>48</v>
      </c>
      <c r="D1198" s="1">
        <v>4430265054</v>
      </c>
      <c r="E1198" s="1">
        <v>467</v>
      </c>
      <c r="F1198" s="1">
        <v>466</v>
      </c>
      <c r="G1198" s="1" t="s">
        <v>38</v>
      </c>
      <c r="H1198" s="1" t="s">
        <v>190</v>
      </c>
      <c r="I1198" s="1" t="s">
        <v>39</v>
      </c>
      <c r="J1198" s="1" t="s">
        <v>40</v>
      </c>
      <c r="K1198" s="1" t="s">
        <v>41</v>
      </c>
      <c r="L1198" s="1"/>
    </row>
    <row r="1199" spans="1:13" s="32" customFormat="1" hidden="1" x14ac:dyDescent="0.3">
      <c r="A1199" s="37">
        <v>46129.397037037037</v>
      </c>
      <c r="B1199" s="1">
        <v>44998721566</v>
      </c>
      <c r="C1199" s="1" t="s">
        <v>37</v>
      </c>
      <c r="D1199" s="1">
        <v>4430265054</v>
      </c>
      <c r="E1199" s="1">
        <v>2357</v>
      </c>
      <c r="F1199" s="1">
        <v>2322</v>
      </c>
      <c r="G1199" s="1" t="s">
        <v>38</v>
      </c>
      <c r="H1199" s="1" t="s">
        <v>191</v>
      </c>
      <c r="I1199" s="1" t="s">
        <v>39</v>
      </c>
      <c r="J1199" s="1" t="s">
        <v>40</v>
      </c>
      <c r="K1199" s="1" t="s">
        <v>41</v>
      </c>
      <c r="L1199" s="1"/>
    </row>
    <row r="1200" spans="1:13" s="32" customFormat="1" hidden="1" x14ac:dyDescent="0.3">
      <c r="A1200" s="37">
        <v>46129.396608796298</v>
      </c>
      <c r="B1200" s="1">
        <v>44998721566</v>
      </c>
      <c r="C1200" s="1" t="s">
        <v>37</v>
      </c>
      <c r="D1200" s="1">
        <v>4430265054</v>
      </c>
      <c r="E1200" s="1">
        <v>77</v>
      </c>
      <c r="F1200" s="1">
        <v>42</v>
      </c>
      <c r="G1200" s="1" t="s">
        <v>38</v>
      </c>
      <c r="H1200" s="1" t="s">
        <v>192</v>
      </c>
      <c r="I1200" s="1" t="s">
        <v>39</v>
      </c>
      <c r="J1200" s="1" t="s">
        <v>40</v>
      </c>
      <c r="K1200" s="1" t="s">
        <v>41</v>
      </c>
      <c r="L1200" s="1"/>
    </row>
    <row r="1201" spans="1:12" s="32" customFormat="1" hidden="1" x14ac:dyDescent="0.3">
      <c r="A1201" s="37">
        <v>46129.390914351854</v>
      </c>
      <c r="B1201" s="1">
        <v>44999586096</v>
      </c>
      <c r="C1201" s="1">
        <v>3000</v>
      </c>
      <c r="D1201" s="1">
        <v>4430265054</v>
      </c>
      <c r="E1201" s="1">
        <v>697</v>
      </c>
      <c r="F1201" s="1">
        <v>676</v>
      </c>
      <c r="G1201" s="1" t="s">
        <v>38</v>
      </c>
      <c r="H1201" s="1" t="s">
        <v>193</v>
      </c>
      <c r="I1201" s="1" t="s">
        <v>39</v>
      </c>
      <c r="J1201" s="1" t="s">
        <v>53</v>
      </c>
      <c r="K1201" s="1" t="s">
        <v>41</v>
      </c>
      <c r="L1201" s="1"/>
    </row>
    <row r="1202" spans="1:12" s="32" customFormat="1" hidden="1" x14ac:dyDescent="0.3">
      <c r="A1202" s="37">
        <v>46129.390717592592</v>
      </c>
      <c r="B1202" s="1">
        <v>44998495838</v>
      </c>
      <c r="C1202" s="1" t="s">
        <v>43</v>
      </c>
      <c r="D1202" s="1">
        <v>4430265054</v>
      </c>
      <c r="E1202" s="1">
        <v>917</v>
      </c>
      <c r="F1202" s="1">
        <v>872</v>
      </c>
      <c r="G1202" s="1" t="s">
        <v>38</v>
      </c>
      <c r="H1202" s="1" t="s">
        <v>194</v>
      </c>
      <c r="I1202" s="1" t="s">
        <v>39</v>
      </c>
      <c r="J1202" s="1" t="s">
        <v>40</v>
      </c>
      <c r="K1202" s="1" t="s">
        <v>41</v>
      </c>
      <c r="L1202" s="1"/>
    </row>
    <row r="1203" spans="1:12" s="32" customFormat="1" hidden="1" x14ac:dyDescent="0.3">
      <c r="A1203" s="37">
        <v>46129.389664351853</v>
      </c>
      <c r="B1203" s="1">
        <v>4436196622</v>
      </c>
      <c r="C1203" s="1">
        <v>4430265054</v>
      </c>
      <c r="D1203" s="1">
        <v>4430265054</v>
      </c>
      <c r="E1203" s="1">
        <v>1</v>
      </c>
      <c r="F1203" s="1">
        <v>0</v>
      </c>
      <c r="G1203" s="1" t="s">
        <v>47</v>
      </c>
      <c r="H1203" s="1" t="s">
        <v>195</v>
      </c>
      <c r="I1203" s="1" t="s">
        <v>39</v>
      </c>
      <c r="J1203" s="1" t="s">
        <v>53</v>
      </c>
      <c r="K1203" s="1"/>
      <c r="L1203" s="1"/>
    </row>
    <row r="1204" spans="1:12" s="32" customFormat="1" hidden="1" x14ac:dyDescent="0.3">
      <c r="A1204" s="37">
        <v>46129.38962962963</v>
      </c>
      <c r="B1204" s="1">
        <v>4436196622</v>
      </c>
      <c r="C1204" s="1">
        <v>4430265054</v>
      </c>
      <c r="D1204" s="1">
        <v>4430265054</v>
      </c>
      <c r="E1204" s="1">
        <v>2</v>
      </c>
      <c r="F1204" s="1">
        <v>2</v>
      </c>
      <c r="G1204" s="1" t="s">
        <v>52</v>
      </c>
      <c r="H1204" s="1" t="s">
        <v>196</v>
      </c>
      <c r="I1204" s="1" t="s">
        <v>39</v>
      </c>
      <c r="J1204" s="1" t="s">
        <v>53</v>
      </c>
      <c r="K1204" s="1"/>
      <c r="L1204" s="1"/>
    </row>
    <row r="1205" spans="1:12" s="32" customFormat="1" hidden="1" x14ac:dyDescent="0.3">
      <c r="A1205" s="37">
        <v>46129.389224537037</v>
      </c>
      <c r="B1205" s="1">
        <v>4436196622</v>
      </c>
      <c r="C1205" s="1">
        <v>4430265054</v>
      </c>
      <c r="D1205" s="1">
        <v>4430265054</v>
      </c>
      <c r="E1205" s="1">
        <v>21</v>
      </c>
      <c r="F1205" s="1">
        <v>20</v>
      </c>
      <c r="G1205" s="1" t="s">
        <v>52</v>
      </c>
      <c r="H1205" s="1" t="s">
        <v>197</v>
      </c>
      <c r="I1205" s="1" t="s">
        <v>39</v>
      </c>
      <c r="J1205" s="1" t="s">
        <v>53</v>
      </c>
      <c r="K1205" s="1"/>
      <c r="L1205" s="1"/>
    </row>
    <row r="1206" spans="1:12" s="32" customFormat="1" hidden="1" x14ac:dyDescent="0.3">
      <c r="A1206" s="37">
        <v>46129.387650462966</v>
      </c>
      <c r="B1206" s="1" t="s">
        <v>48</v>
      </c>
      <c r="C1206" s="1">
        <v>4435293520</v>
      </c>
      <c r="D1206" s="1"/>
      <c r="E1206" s="1">
        <v>876</v>
      </c>
      <c r="F1206" s="1">
        <v>870</v>
      </c>
      <c r="G1206" s="1" t="s">
        <v>38</v>
      </c>
      <c r="H1206" s="1" t="s">
        <v>198</v>
      </c>
      <c r="I1206" s="1" t="s">
        <v>46</v>
      </c>
      <c r="J1206" s="1" t="s">
        <v>40</v>
      </c>
      <c r="K1206" s="1"/>
      <c r="L1206" s="1"/>
    </row>
    <row r="1207" spans="1:12" s="32" customFormat="1" hidden="1" x14ac:dyDescent="0.3">
      <c r="A1207" s="37">
        <v>46129.38689814815</v>
      </c>
      <c r="B1207" s="1">
        <v>44991484476</v>
      </c>
      <c r="C1207" s="1" t="s">
        <v>37</v>
      </c>
      <c r="D1207" s="1">
        <v>4430265054</v>
      </c>
      <c r="E1207" s="1">
        <v>467</v>
      </c>
      <c r="F1207" s="1">
        <v>410</v>
      </c>
      <c r="G1207" s="1" t="s">
        <v>38</v>
      </c>
      <c r="H1207" s="1" t="s">
        <v>199</v>
      </c>
      <c r="I1207" s="1" t="s">
        <v>39</v>
      </c>
      <c r="J1207" s="1" t="s">
        <v>40</v>
      </c>
      <c r="K1207" s="1" t="s">
        <v>41</v>
      </c>
      <c r="L1207" s="1"/>
    </row>
    <row r="1208" spans="1:12" s="32" customFormat="1" hidden="1" x14ac:dyDescent="0.3">
      <c r="A1208" s="37">
        <v>46129.385254629633</v>
      </c>
      <c r="B1208" s="1">
        <v>44932242973</v>
      </c>
      <c r="C1208" s="1">
        <v>4430265054</v>
      </c>
      <c r="D1208" s="1">
        <v>4430265054</v>
      </c>
      <c r="E1208" s="1">
        <v>4</v>
      </c>
      <c r="F1208" s="1">
        <v>3</v>
      </c>
      <c r="G1208" s="1" t="s">
        <v>52</v>
      </c>
      <c r="H1208" s="1" t="s">
        <v>200</v>
      </c>
      <c r="I1208" s="1" t="s">
        <v>39</v>
      </c>
      <c r="J1208" s="1" t="s">
        <v>53</v>
      </c>
      <c r="K1208" s="1"/>
      <c r="L1208" s="1"/>
    </row>
    <row r="1209" spans="1:12" s="32" customFormat="1" hidden="1" x14ac:dyDescent="0.3">
      <c r="A1209" s="37">
        <v>46129.38177083333</v>
      </c>
      <c r="B1209" s="1">
        <v>44998620323</v>
      </c>
      <c r="C1209" s="1" t="s">
        <v>37</v>
      </c>
      <c r="D1209" s="1">
        <v>4430265054</v>
      </c>
      <c r="E1209" s="1">
        <v>335</v>
      </c>
      <c r="F1209" s="1">
        <v>297</v>
      </c>
      <c r="G1209" s="1" t="s">
        <v>38</v>
      </c>
      <c r="H1209" s="1" t="s">
        <v>201</v>
      </c>
      <c r="I1209" s="1" t="s">
        <v>39</v>
      </c>
      <c r="J1209" s="1" t="s">
        <v>40</v>
      </c>
      <c r="K1209" s="1" t="s">
        <v>41</v>
      </c>
      <c r="L1209" s="1"/>
    </row>
    <row r="1210" spans="1:12" s="32" customFormat="1" hidden="1" x14ac:dyDescent="0.3">
      <c r="A1210" s="37">
        <v>46129.381215277775</v>
      </c>
      <c r="B1210" s="1">
        <v>4430459001</v>
      </c>
      <c r="C1210" s="1" t="s">
        <v>42</v>
      </c>
      <c r="D1210" s="1">
        <v>4430265054</v>
      </c>
      <c r="E1210" s="1">
        <v>620</v>
      </c>
      <c r="F1210" s="1">
        <v>592</v>
      </c>
      <c r="G1210" s="1" t="s">
        <v>38</v>
      </c>
      <c r="H1210" s="1" t="s">
        <v>202</v>
      </c>
      <c r="I1210" s="1" t="s">
        <v>39</v>
      </c>
      <c r="J1210" s="1" t="s">
        <v>40</v>
      </c>
      <c r="K1210" s="1" t="s">
        <v>41</v>
      </c>
      <c r="L1210" s="1"/>
    </row>
    <row r="1211" spans="1:12" s="32" customFormat="1" hidden="1" x14ac:dyDescent="0.3">
      <c r="A1211" s="37">
        <v>46129.374432870369</v>
      </c>
      <c r="B1211" s="1">
        <v>4520312689</v>
      </c>
      <c r="C1211" s="1" t="s">
        <v>43</v>
      </c>
      <c r="D1211" s="1">
        <v>4430265054</v>
      </c>
      <c r="E1211" s="1">
        <v>676</v>
      </c>
      <c r="F1211" s="1">
        <v>575</v>
      </c>
      <c r="G1211" s="1" t="s">
        <v>38</v>
      </c>
      <c r="H1211" s="1" t="s">
        <v>203</v>
      </c>
      <c r="I1211" s="1" t="s">
        <v>39</v>
      </c>
      <c r="J1211" s="1" t="s">
        <v>40</v>
      </c>
      <c r="K1211" s="1" t="s">
        <v>41</v>
      </c>
      <c r="L1211" s="1">
        <v>5</v>
      </c>
    </row>
    <row r="1212" spans="1:12" s="32" customFormat="1" hidden="1" x14ac:dyDescent="0.3">
      <c r="A1212" s="37">
        <v>46129.374062499999</v>
      </c>
      <c r="B1212" s="1" t="s">
        <v>48</v>
      </c>
      <c r="C1212" s="1">
        <v>4435293520</v>
      </c>
      <c r="D1212" s="1"/>
      <c r="E1212" s="1">
        <v>152</v>
      </c>
      <c r="F1212" s="1">
        <v>141</v>
      </c>
      <c r="G1212" s="1" t="s">
        <v>38</v>
      </c>
      <c r="H1212" s="1" t="s">
        <v>204</v>
      </c>
      <c r="I1212" s="1" t="s">
        <v>46</v>
      </c>
      <c r="J1212" s="1" t="s">
        <v>40</v>
      </c>
      <c r="K1212" s="1"/>
      <c r="L1212" s="1"/>
    </row>
    <row r="1213" spans="1:12" s="32" customFormat="1" hidden="1" x14ac:dyDescent="0.3">
      <c r="A1213" s="37">
        <v>46129.374016203707</v>
      </c>
      <c r="B1213" s="1" t="s">
        <v>48</v>
      </c>
      <c r="C1213" s="1">
        <v>4435293520</v>
      </c>
      <c r="D1213" s="1"/>
      <c r="E1213" s="1">
        <v>25</v>
      </c>
      <c r="F1213" s="1">
        <v>24</v>
      </c>
      <c r="G1213" s="1" t="s">
        <v>38</v>
      </c>
      <c r="H1213" s="1" t="s">
        <v>205</v>
      </c>
      <c r="I1213" s="1" t="s">
        <v>46</v>
      </c>
      <c r="J1213" s="1" t="s">
        <v>40</v>
      </c>
      <c r="K1213" s="1"/>
      <c r="L1213" s="1"/>
    </row>
    <row r="1214" spans="1:12" s="32" customFormat="1" hidden="1" x14ac:dyDescent="0.3">
      <c r="A1214" s="37">
        <v>46129.373969907407</v>
      </c>
      <c r="B1214" s="1" t="s">
        <v>48</v>
      </c>
      <c r="C1214" s="1">
        <v>4435293520</v>
      </c>
      <c r="D1214" s="1"/>
      <c r="E1214" s="1">
        <v>1</v>
      </c>
      <c r="F1214" s="1">
        <v>0</v>
      </c>
      <c r="G1214" s="1" t="s">
        <v>47</v>
      </c>
      <c r="H1214" s="1" t="s">
        <v>206</v>
      </c>
      <c r="I1214" s="1" t="s">
        <v>46</v>
      </c>
      <c r="J1214" s="1" t="s">
        <v>40</v>
      </c>
      <c r="K1214" s="1"/>
      <c r="L1214" s="1"/>
    </row>
    <row r="1215" spans="1:12" s="32" customFormat="1" hidden="1" x14ac:dyDescent="0.3">
      <c r="A1215" s="37">
        <v>46129.373657407406</v>
      </c>
      <c r="B1215" s="1" t="s">
        <v>54</v>
      </c>
      <c r="C1215" s="1">
        <v>92992260195</v>
      </c>
      <c r="D1215" s="1"/>
      <c r="E1215" s="1">
        <v>25</v>
      </c>
      <c r="F1215" s="1">
        <v>0</v>
      </c>
      <c r="G1215" s="1" t="s">
        <v>47</v>
      </c>
      <c r="H1215" s="1" t="s">
        <v>207</v>
      </c>
      <c r="I1215" s="1" t="s">
        <v>46</v>
      </c>
      <c r="J1215" s="1" t="s">
        <v>55</v>
      </c>
      <c r="K1215" s="1"/>
      <c r="L1215" s="1"/>
    </row>
    <row r="1216" spans="1:12" s="32" customFormat="1" hidden="1" x14ac:dyDescent="0.3">
      <c r="A1216" s="37">
        <v>46129.372835648152</v>
      </c>
      <c r="B1216" s="1">
        <v>44991684895</v>
      </c>
      <c r="C1216" s="1" t="s">
        <v>44</v>
      </c>
      <c r="D1216" s="1">
        <v>4430265054</v>
      </c>
      <c r="E1216" s="1">
        <v>1527</v>
      </c>
      <c r="F1216" s="1">
        <v>1395</v>
      </c>
      <c r="G1216" s="1" t="s">
        <v>38</v>
      </c>
      <c r="H1216" s="1" t="s">
        <v>208</v>
      </c>
      <c r="I1216" s="1" t="s">
        <v>39</v>
      </c>
      <c r="J1216" s="1" t="s">
        <v>40</v>
      </c>
      <c r="K1216" s="1" t="s">
        <v>41</v>
      </c>
      <c r="L1216" s="1"/>
    </row>
    <row r="1217" spans="1:12" s="32" customFormat="1" hidden="1" x14ac:dyDescent="0.3">
      <c r="A1217" s="37">
        <v>46129.36986111111</v>
      </c>
      <c r="B1217" s="1" t="s">
        <v>43</v>
      </c>
      <c r="C1217" s="1">
        <v>4330333542</v>
      </c>
      <c r="D1217" s="1"/>
      <c r="E1217" s="1">
        <v>61</v>
      </c>
      <c r="F1217" s="1">
        <v>52</v>
      </c>
      <c r="G1217" s="1" t="s">
        <v>38</v>
      </c>
      <c r="H1217" s="1" t="s">
        <v>209</v>
      </c>
      <c r="I1217" s="1" t="s">
        <v>46</v>
      </c>
      <c r="J1217" s="1" t="s">
        <v>40</v>
      </c>
      <c r="K1217" s="1"/>
      <c r="L1217" s="1"/>
    </row>
    <row r="1218" spans="1:12" s="32" customFormat="1" hidden="1" x14ac:dyDescent="0.3">
      <c r="A1218" s="37">
        <v>46129.36917824074</v>
      </c>
      <c r="B1218" s="1">
        <v>4430317020</v>
      </c>
      <c r="C1218" s="1" t="s">
        <v>43</v>
      </c>
      <c r="D1218" s="1">
        <v>4430265054</v>
      </c>
      <c r="E1218" s="1">
        <v>469</v>
      </c>
      <c r="F1218" s="1">
        <v>310</v>
      </c>
      <c r="G1218" s="1" t="s">
        <v>38</v>
      </c>
      <c r="H1218" s="1" t="s">
        <v>210</v>
      </c>
      <c r="I1218" s="1" t="s">
        <v>39</v>
      </c>
      <c r="J1218" s="1" t="s">
        <v>40</v>
      </c>
      <c r="K1218" s="1" t="s">
        <v>41</v>
      </c>
      <c r="L1218" s="1"/>
    </row>
    <row r="1219" spans="1:12" s="32" customFormat="1" hidden="1" x14ac:dyDescent="0.3">
      <c r="A1219" s="37">
        <v>46129.368773148148</v>
      </c>
      <c r="B1219" s="1">
        <v>4430315826</v>
      </c>
      <c r="C1219" s="1">
        <v>4430265054</v>
      </c>
      <c r="D1219" s="1">
        <v>4430265054</v>
      </c>
      <c r="E1219" s="1">
        <v>0</v>
      </c>
      <c r="F1219" s="1">
        <v>0</v>
      </c>
      <c r="G1219" s="1" t="s">
        <v>47</v>
      </c>
      <c r="H1219" s="1" t="s">
        <v>211</v>
      </c>
      <c r="I1219" s="1" t="s">
        <v>39</v>
      </c>
      <c r="J1219" s="1" t="s">
        <v>53</v>
      </c>
      <c r="K1219" s="1"/>
      <c r="L1219" s="1"/>
    </row>
    <row r="1220" spans="1:12" s="32" customFormat="1" hidden="1" x14ac:dyDescent="0.3">
      <c r="A1220" s="37">
        <v>46129.366122685184</v>
      </c>
      <c r="B1220" s="1" t="s">
        <v>44</v>
      </c>
      <c r="C1220" s="1">
        <v>47999760576</v>
      </c>
      <c r="D1220" s="1"/>
      <c r="E1220" s="1">
        <v>56</v>
      </c>
      <c r="F1220" s="1">
        <v>33</v>
      </c>
      <c r="G1220" s="1" t="s">
        <v>38</v>
      </c>
      <c r="H1220" s="1" t="s">
        <v>212</v>
      </c>
      <c r="I1220" s="1" t="s">
        <v>46</v>
      </c>
      <c r="J1220" s="1" t="s">
        <v>40</v>
      </c>
      <c r="K1220" s="1"/>
      <c r="L1220" s="1"/>
    </row>
    <row r="1221" spans="1:12" s="32" customFormat="1" hidden="1" x14ac:dyDescent="0.3">
      <c r="A1221" s="37">
        <v>46129.36204861111</v>
      </c>
      <c r="B1221" s="1">
        <v>4436281154</v>
      </c>
      <c r="C1221" s="1" t="s">
        <v>37</v>
      </c>
      <c r="D1221" s="1">
        <v>4430265054</v>
      </c>
      <c r="E1221" s="1">
        <v>553</v>
      </c>
      <c r="F1221" s="1">
        <v>516</v>
      </c>
      <c r="G1221" s="1" t="s">
        <v>38</v>
      </c>
      <c r="H1221" s="1" t="s">
        <v>213</v>
      </c>
      <c r="I1221" s="1" t="s">
        <v>39</v>
      </c>
      <c r="J1221" s="1" t="s">
        <v>40</v>
      </c>
      <c r="K1221" s="1" t="s">
        <v>41</v>
      </c>
      <c r="L1221" s="1"/>
    </row>
    <row r="1222" spans="1:12" s="32" customFormat="1" hidden="1" x14ac:dyDescent="0.3">
      <c r="A1222" s="37">
        <v>46129.361493055556</v>
      </c>
      <c r="B1222" s="1" t="s">
        <v>45</v>
      </c>
      <c r="C1222" s="1">
        <v>4439001698</v>
      </c>
      <c r="D1222" s="1"/>
      <c r="E1222" s="1">
        <v>3626</v>
      </c>
      <c r="F1222" s="1">
        <v>3613</v>
      </c>
      <c r="G1222" s="1" t="s">
        <v>38</v>
      </c>
      <c r="H1222" s="1" t="s">
        <v>214</v>
      </c>
      <c r="I1222" s="1" t="s">
        <v>46</v>
      </c>
      <c r="J1222" s="1" t="s">
        <v>40</v>
      </c>
      <c r="K1222" s="1"/>
      <c r="L1222" s="1"/>
    </row>
    <row r="1223" spans="1:12" s="32" customFormat="1" hidden="1" x14ac:dyDescent="0.3">
      <c r="A1223" s="37">
        <v>46129.361064814817</v>
      </c>
      <c r="B1223" s="1" t="s">
        <v>43</v>
      </c>
      <c r="C1223" s="1">
        <v>4330333542</v>
      </c>
      <c r="D1223" s="1"/>
      <c r="E1223" s="1">
        <v>32</v>
      </c>
      <c r="F1223" s="1">
        <v>0</v>
      </c>
      <c r="G1223" s="1" t="s">
        <v>47</v>
      </c>
      <c r="H1223" s="1" t="s">
        <v>215</v>
      </c>
      <c r="I1223" s="1" t="s">
        <v>46</v>
      </c>
      <c r="J1223" s="1" t="s">
        <v>40</v>
      </c>
      <c r="K1223" s="1"/>
      <c r="L1223" s="1"/>
    </row>
    <row r="1224" spans="1:12" s="32" customFormat="1" hidden="1" x14ac:dyDescent="0.3">
      <c r="A1224" s="37">
        <v>46129.360914351855</v>
      </c>
      <c r="B1224" s="1">
        <v>4436281154</v>
      </c>
      <c r="C1224" s="1">
        <v>4430265054</v>
      </c>
      <c r="D1224" s="1">
        <v>4430265054</v>
      </c>
      <c r="E1224" s="1">
        <v>32</v>
      </c>
      <c r="F1224" s="1">
        <v>31</v>
      </c>
      <c r="G1224" s="1" t="s">
        <v>52</v>
      </c>
      <c r="H1224" s="1" t="s">
        <v>216</v>
      </c>
      <c r="I1224" s="1" t="s">
        <v>39</v>
      </c>
      <c r="J1224" s="1" t="s">
        <v>53</v>
      </c>
      <c r="K1224" s="1" t="s">
        <v>41</v>
      </c>
      <c r="L1224" s="1"/>
    </row>
    <row r="1225" spans="1:12" s="32" customFormat="1" hidden="1" x14ac:dyDescent="0.3">
      <c r="A1225" s="37">
        <v>46129.360185185185</v>
      </c>
      <c r="B1225" s="1">
        <v>4439001698</v>
      </c>
      <c r="C1225" s="1" t="s">
        <v>45</v>
      </c>
      <c r="D1225" s="1">
        <v>4430265054</v>
      </c>
      <c r="E1225" s="1">
        <v>113</v>
      </c>
      <c r="F1225" s="1">
        <v>62</v>
      </c>
      <c r="G1225" s="1" t="s">
        <v>38</v>
      </c>
      <c r="H1225" s="1" t="s">
        <v>217</v>
      </c>
      <c r="I1225" s="1" t="s">
        <v>39</v>
      </c>
      <c r="J1225" s="1" t="s">
        <v>40</v>
      </c>
      <c r="K1225" s="1" t="s">
        <v>41</v>
      </c>
      <c r="L1225" s="1"/>
    </row>
    <row r="1226" spans="1:12" s="32" customFormat="1" hidden="1" x14ac:dyDescent="0.3">
      <c r="A1226" s="37">
        <v>46129.356192129628</v>
      </c>
      <c r="B1226" s="1">
        <v>4430282545</v>
      </c>
      <c r="C1226" s="1" t="s">
        <v>45</v>
      </c>
      <c r="D1226" s="1">
        <v>4430265054</v>
      </c>
      <c r="E1226" s="1">
        <v>121</v>
      </c>
      <c r="F1226" s="1">
        <v>47</v>
      </c>
      <c r="G1226" s="1" t="s">
        <v>38</v>
      </c>
      <c r="H1226" s="1" t="s">
        <v>218</v>
      </c>
      <c r="I1226" s="1" t="s">
        <v>39</v>
      </c>
      <c r="J1226" s="1" t="s">
        <v>40</v>
      </c>
      <c r="K1226" s="1" t="s">
        <v>41</v>
      </c>
      <c r="L1226" s="1"/>
    </row>
    <row r="1227" spans="1:12" s="32" customFormat="1" hidden="1" x14ac:dyDescent="0.3">
      <c r="A1227" s="37">
        <v>46129.353368055556</v>
      </c>
      <c r="B1227" s="1">
        <v>44937562600</v>
      </c>
      <c r="C1227" s="1">
        <v>4430265054</v>
      </c>
      <c r="D1227" s="1">
        <v>4430265054</v>
      </c>
      <c r="E1227" s="1">
        <v>12</v>
      </c>
      <c r="F1227" s="1">
        <v>11</v>
      </c>
      <c r="G1227" s="1" t="s">
        <v>52</v>
      </c>
      <c r="H1227" s="1" t="s">
        <v>219</v>
      </c>
      <c r="I1227" s="1" t="s">
        <v>39</v>
      </c>
      <c r="J1227" s="1" t="s">
        <v>53</v>
      </c>
      <c r="K1227" s="1"/>
      <c r="L1227" s="1"/>
    </row>
    <row r="1228" spans="1:12" s="32" customFormat="1" hidden="1" x14ac:dyDescent="0.3">
      <c r="A1228" s="37">
        <v>46129.349027777775</v>
      </c>
      <c r="B1228" s="1">
        <v>44999586096</v>
      </c>
      <c r="C1228" s="1">
        <v>4430265054</v>
      </c>
      <c r="D1228" s="1">
        <v>4430265054</v>
      </c>
      <c r="E1228" s="1">
        <v>16</v>
      </c>
      <c r="F1228" s="1">
        <v>15</v>
      </c>
      <c r="G1228" s="1" t="s">
        <v>52</v>
      </c>
      <c r="H1228" s="1" t="s">
        <v>220</v>
      </c>
      <c r="I1228" s="1" t="s">
        <v>39</v>
      </c>
      <c r="J1228" s="1" t="s">
        <v>53</v>
      </c>
      <c r="K1228" s="1"/>
      <c r="L1228" s="1"/>
    </row>
    <row r="1229" spans="1:12" s="32" customFormat="1" hidden="1" x14ac:dyDescent="0.3">
      <c r="A1229" s="37">
        <v>46129.343599537038</v>
      </c>
      <c r="B1229" s="1">
        <v>44991684895</v>
      </c>
      <c r="C1229" s="1">
        <v>4430265054</v>
      </c>
      <c r="D1229" s="1">
        <v>4430265054</v>
      </c>
      <c r="E1229" s="1">
        <v>13</v>
      </c>
      <c r="F1229" s="1">
        <v>13</v>
      </c>
      <c r="G1229" s="1" t="s">
        <v>52</v>
      </c>
      <c r="H1229" s="1" t="s">
        <v>221</v>
      </c>
      <c r="I1229" s="1" t="s">
        <v>39</v>
      </c>
      <c r="J1229" s="1" t="s">
        <v>53</v>
      </c>
      <c r="K1229" s="1"/>
      <c r="L1229" s="1"/>
    </row>
    <row r="1230" spans="1:12" s="32" customFormat="1" hidden="1" x14ac:dyDescent="0.3">
      <c r="A1230" s="37">
        <v>46129.33865740741</v>
      </c>
      <c r="B1230" s="1">
        <v>4430282545</v>
      </c>
      <c r="C1230" s="1">
        <v>4430265054</v>
      </c>
      <c r="D1230" s="1">
        <v>4430265054</v>
      </c>
      <c r="E1230" s="1">
        <v>29</v>
      </c>
      <c r="F1230" s="1">
        <v>29</v>
      </c>
      <c r="G1230" s="1" t="s">
        <v>52</v>
      </c>
      <c r="H1230" s="1" t="s">
        <v>222</v>
      </c>
      <c r="I1230" s="1" t="s">
        <v>39</v>
      </c>
      <c r="J1230" s="1" t="s">
        <v>53</v>
      </c>
      <c r="K1230" s="1"/>
      <c r="L1230" s="1"/>
    </row>
    <row r="1231" spans="1:12" s="32" customFormat="1" x14ac:dyDescent="0.3">
      <c r="A1231" s="37">
        <v>46128.745185185187</v>
      </c>
      <c r="B1231" s="1">
        <v>44999389014</v>
      </c>
      <c r="C1231" s="1" t="s">
        <v>37</v>
      </c>
      <c r="D1231" s="1">
        <v>4430265054</v>
      </c>
      <c r="E1231" s="1">
        <v>561</v>
      </c>
      <c r="F1231" s="1">
        <v>503</v>
      </c>
      <c r="G1231" s="1" t="s">
        <v>38</v>
      </c>
      <c r="H1231" s="1" t="s">
        <v>223</v>
      </c>
      <c r="I1231" s="1" t="s">
        <v>39</v>
      </c>
      <c r="J1231" s="1" t="s">
        <v>40</v>
      </c>
      <c r="K1231" s="1" t="s">
        <v>41</v>
      </c>
      <c r="L1231" s="1">
        <v>5</v>
      </c>
    </row>
    <row r="1232" spans="1:12" s="32" customFormat="1" hidden="1" x14ac:dyDescent="0.3">
      <c r="A1232" s="37">
        <v>46128.735810185186</v>
      </c>
      <c r="B1232" s="1" t="s">
        <v>37</v>
      </c>
      <c r="C1232" s="1">
        <v>47999760576</v>
      </c>
      <c r="D1232" s="1"/>
      <c r="E1232" s="1">
        <v>14</v>
      </c>
      <c r="F1232" s="1">
        <v>0</v>
      </c>
      <c r="G1232" s="1" t="s">
        <v>47</v>
      </c>
      <c r="H1232" s="1" t="s">
        <v>224</v>
      </c>
      <c r="I1232" s="1" t="s">
        <v>46</v>
      </c>
      <c r="J1232" s="1" t="s">
        <v>40</v>
      </c>
      <c r="K1232" s="1"/>
      <c r="L1232" s="1"/>
    </row>
    <row r="1233" spans="1:12" s="32" customFormat="1" hidden="1" x14ac:dyDescent="0.3">
      <c r="A1233" s="37">
        <v>46128.735613425924</v>
      </c>
      <c r="B1233" s="1" t="s">
        <v>37</v>
      </c>
      <c r="C1233" s="1">
        <v>47999760576</v>
      </c>
      <c r="D1233" s="1"/>
      <c r="E1233" s="1">
        <v>8</v>
      </c>
      <c r="F1233" s="1">
        <v>0</v>
      </c>
      <c r="G1233" s="1" t="s">
        <v>47</v>
      </c>
      <c r="H1233" s="1" t="s">
        <v>225</v>
      </c>
      <c r="I1233" s="1" t="s">
        <v>46</v>
      </c>
      <c r="J1233" s="1" t="s">
        <v>40</v>
      </c>
      <c r="K1233" s="1"/>
      <c r="L1233" s="1"/>
    </row>
    <row r="1234" spans="1:12" s="32" customFormat="1" hidden="1" x14ac:dyDescent="0.3">
      <c r="A1234" s="37">
        <v>46128.735462962963</v>
      </c>
      <c r="B1234" s="1" t="s">
        <v>37</v>
      </c>
      <c r="C1234" s="1">
        <v>47999760576</v>
      </c>
      <c r="D1234" s="1"/>
      <c r="E1234" s="1">
        <v>10</v>
      </c>
      <c r="F1234" s="1">
        <v>0</v>
      </c>
      <c r="G1234" s="1" t="s">
        <v>47</v>
      </c>
      <c r="H1234" s="1" t="s">
        <v>226</v>
      </c>
      <c r="I1234" s="1" t="s">
        <v>46</v>
      </c>
      <c r="J1234" s="1" t="s">
        <v>40</v>
      </c>
      <c r="K1234" s="1"/>
      <c r="L1234" s="1"/>
    </row>
    <row r="1235" spans="1:12" s="32" customFormat="1" hidden="1" x14ac:dyDescent="0.3">
      <c r="A1235" s="37">
        <v>46128.725763888891</v>
      </c>
      <c r="B1235" s="1">
        <v>1131043888</v>
      </c>
      <c r="C1235" s="1">
        <v>4430265054</v>
      </c>
      <c r="D1235" s="1">
        <v>4430265054</v>
      </c>
      <c r="E1235" s="1">
        <v>6</v>
      </c>
      <c r="F1235" s="1">
        <v>5</v>
      </c>
      <c r="G1235" s="1" t="s">
        <v>52</v>
      </c>
      <c r="H1235" s="1" t="s">
        <v>227</v>
      </c>
      <c r="I1235" s="1" t="s">
        <v>39</v>
      </c>
      <c r="J1235" s="1" t="s">
        <v>53</v>
      </c>
      <c r="K1235" s="1"/>
      <c r="L1235" s="1"/>
    </row>
    <row r="1236" spans="1:12" s="32" customFormat="1" hidden="1" x14ac:dyDescent="0.3">
      <c r="A1236" s="37">
        <v>46128.722175925926</v>
      </c>
      <c r="B1236" s="1" t="s">
        <v>48</v>
      </c>
      <c r="C1236" s="1">
        <v>11947305533</v>
      </c>
      <c r="D1236" s="1"/>
      <c r="E1236" s="1">
        <v>743</v>
      </c>
      <c r="F1236" s="1">
        <v>737</v>
      </c>
      <c r="G1236" s="1" t="s">
        <v>38</v>
      </c>
      <c r="H1236" s="1" t="s">
        <v>228</v>
      </c>
      <c r="I1236" s="1" t="s">
        <v>46</v>
      </c>
      <c r="J1236" s="1" t="s">
        <v>40</v>
      </c>
      <c r="K1236" s="1"/>
      <c r="L1236" s="1"/>
    </row>
    <row r="1237" spans="1:12" s="32" customFormat="1" hidden="1" x14ac:dyDescent="0.3">
      <c r="A1237" s="37">
        <v>46128.721956018519</v>
      </c>
      <c r="B1237" s="1" t="s">
        <v>48</v>
      </c>
      <c r="C1237" s="1">
        <v>11947305533</v>
      </c>
      <c r="D1237" s="1"/>
      <c r="E1237" s="1">
        <v>43</v>
      </c>
      <c r="F1237" s="1">
        <v>29</v>
      </c>
      <c r="G1237" s="1" t="s">
        <v>38</v>
      </c>
      <c r="H1237" s="1" t="s">
        <v>229</v>
      </c>
      <c r="I1237" s="1" t="s">
        <v>46</v>
      </c>
      <c r="J1237" s="1" t="s">
        <v>40</v>
      </c>
      <c r="K1237" s="1"/>
      <c r="L1237" s="1"/>
    </row>
    <row r="1238" spans="1:12" s="32" customFormat="1" hidden="1" x14ac:dyDescent="0.3">
      <c r="A1238" s="37">
        <v>46128.720659722225</v>
      </c>
      <c r="B1238" s="1">
        <v>44991684895</v>
      </c>
      <c r="C1238" s="1">
        <v>4430265054</v>
      </c>
      <c r="D1238" s="1">
        <v>4430265054</v>
      </c>
      <c r="E1238" s="1">
        <v>51</v>
      </c>
      <c r="F1238" s="1">
        <v>50</v>
      </c>
      <c r="G1238" s="1" t="s">
        <v>52</v>
      </c>
      <c r="H1238" s="1" t="s">
        <v>230</v>
      </c>
      <c r="I1238" s="1" t="s">
        <v>39</v>
      </c>
      <c r="J1238" s="1" t="s">
        <v>53</v>
      </c>
      <c r="K1238" s="1" t="s">
        <v>41</v>
      </c>
      <c r="L1238" s="1"/>
    </row>
    <row r="1239" spans="1:12" s="32" customFormat="1" hidden="1" x14ac:dyDescent="0.3">
      <c r="A1239" s="37">
        <v>46128.718530092592</v>
      </c>
      <c r="B1239" s="1" t="s">
        <v>42</v>
      </c>
      <c r="C1239" s="1">
        <v>91984737664</v>
      </c>
      <c r="D1239" s="1"/>
      <c r="E1239" s="1">
        <v>1228</v>
      </c>
      <c r="F1239" s="1">
        <v>1216</v>
      </c>
      <c r="G1239" s="1" t="s">
        <v>38</v>
      </c>
      <c r="H1239" s="1" t="s">
        <v>231</v>
      </c>
      <c r="I1239" s="1" t="s">
        <v>46</v>
      </c>
      <c r="J1239" s="1" t="s">
        <v>40</v>
      </c>
      <c r="K1239" s="1"/>
      <c r="L1239" s="1">
        <v>5</v>
      </c>
    </row>
    <row r="1240" spans="1:12" s="32" customFormat="1" hidden="1" x14ac:dyDescent="0.3">
      <c r="A1240" s="37">
        <v>46128.716134259259</v>
      </c>
      <c r="B1240" s="1">
        <v>44999389014</v>
      </c>
      <c r="C1240" s="1" t="s">
        <v>48</v>
      </c>
      <c r="D1240" s="1">
        <v>4430265054</v>
      </c>
      <c r="E1240" s="1">
        <v>495</v>
      </c>
      <c r="F1240" s="1">
        <v>494</v>
      </c>
      <c r="G1240" s="1" t="s">
        <v>38</v>
      </c>
      <c r="H1240" s="1" t="s">
        <v>232</v>
      </c>
      <c r="I1240" s="1" t="s">
        <v>39</v>
      </c>
      <c r="J1240" s="1" t="s">
        <v>40</v>
      </c>
      <c r="K1240" s="1" t="s">
        <v>41</v>
      </c>
      <c r="L1240" s="1"/>
    </row>
    <row r="1241" spans="1:12" s="32" customFormat="1" hidden="1" x14ac:dyDescent="0.3">
      <c r="A1241" s="37">
        <v>46128.715520833335</v>
      </c>
      <c r="B1241" s="1" t="s">
        <v>48</v>
      </c>
      <c r="C1241" s="1">
        <v>11947305533</v>
      </c>
      <c r="D1241" s="1"/>
      <c r="E1241" s="1">
        <v>1</v>
      </c>
      <c r="F1241" s="1">
        <v>0</v>
      </c>
      <c r="G1241" s="1" t="s">
        <v>47</v>
      </c>
      <c r="H1241" s="1" t="s">
        <v>233</v>
      </c>
      <c r="I1241" s="1" t="s">
        <v>46</v>
      </c>
      <c r="J1241" s="1" t="s">
        <v>40</v>
      </c>
      <c r="K1241" s="1"/>
      <c r="L1241" s="1"/>
    </row>
    <row r="1242" spans="1:12" s="32" customFormat="1" x14ac:dyDescent="0.3">
      <c r="A1242" s="37">
        <v>46128.715289351851</v>
      </c>
      <c r="B1242" s="1">
        <v>43999317663</v>
      </c>
      <c r="C1242" s="1" t="s">
        <v>37</v>
      </c>
      <c r="D1242" s="1">
        <v>4430265054</v>
      </c>
      <c r="E1242" s="1">
        <v>353</v>
      </c>
      <c r="F1242" s="1">
        <v>183</v>
      </c>
      <c r="G1242" s="1" t="s">
        <v>38</v>
      </c>
      <c r="H1242" s="1" t="s">
        <v>234</v>
      </c>
      <c r="I1242" s="1" t="s">
        <v>39</v>
      </c>
      <c r="J1242" s="1" t="s">
        <v>40</v>
      </c>
      <c r="K1242" s="1" t="s">
        <v>41</v>
      </c>
      <c r="L1242" s="1">
        <v>5</v>
      </c>
    </row>
    <row r="1243" spans="1:12" s="32" customFormat="1" hidden="1" x14ac:dyDescent="0.3">
      <c r="A1243" s="37">
        <v>46128.702800925923</v>
      </c>
      <c r="B1243" s="1">
        <v>6436133762</v>
      </c>
      <c r="C1243" s="1" t="s">
        <v>44</v>
      </c>
      <c r="D1243" s="1">
        <v>4430265054</v>
      </c>
      <c r="E1243" s="1">
        <v>634</v>
      </c>
      <c r="F1243" s="1">
        <v>521</v>
      </c>
      <c r="G1243" s="1" t="s">
        <v>38</v>
      </c>
      <c r="H1243" s="1" t="s">
        <v>235</v>
      </c>
      <c r="I1243" s="1" t="s">
        <v>39</v>
      </c>
      <c r="J1243" s="1" t="s">
        <v>40</v>
      </c>
      <c r="K1243" s="1" t="s">
        <v>41</v>
      </c>
      <c r="L1243" s="1"/>
    </row>
    <row r="1244" spans="1:12" s="32" customFormat="1" hidden="1" x14ac:dyDescent="0.3">
      <c r="A1244" s="37">
        <v>46128.701018518521</v>
      </c>
      <c r="B1244" s="1">
        <v>6436133762</v>
      </c>
      <c r="C1244" s="1">
        <v>4430265054</v>
      </c>
      <c r="D1244" s="1">
        <v>4430265054</v>
      </c>
      <c r="E1244" s="1">
        <v>92</v>
      </c>
      <c r="F1244" s="1">
        <v>91</v>
      </c>
      <c r="G1244" s="1" t="s">
        <v>52</v>
      </c>
      <c r="H1244" s="1" t="s">
        <v>236</v>
      </c>
      <c r="I1244" s="1" t="s">
        <v>39</v>
      </c>
      <c r="J1244" s="1" t="s">
        <v>53</v>
      </c>
      <c r="K1244" s="1" t="s">
        <v>41</v>
      </c>
      <c r="L1244" s="1"/>
    </row>
    <row r="1245" spans="1:12" s="32" customFormat="1" hidden="1" x14ac:dyDescent="0.3">
      <c r="A1245" s="37">
        <v>46128.700520833336</v>
      </c>
      <c r="B1245" s="1">
        <v>11998030658</v>
      </c>
      <c r="C1245" s="1" t="s">
        <v>42</v>
      </c>
      <c r="D1245" s="1">
        <v>4430265054</v>
      </c>
      <c r="E1245" s="1">
        <v>453</v>
      </c>
      <c r="F1245" s="1">
        <v>327</v>
      </c>
      <c r="G1245" s="1" t="s">
        <v>38</v>
      </c>
      <c r="H1245" s="1" t="s">
        <v>237</v>
      </c>
      <c r="I1245" s="1" t="s">
        <v>39</v>
      </c>
      <c r="J1245" s="1" t="s">
        <v>40</v>
      </c>
      <c r="K1245" s="1" t="s">
        <v>41</v>
      </c>
      <c r="L1245" s="1"/>
    </row>
    <row r="1246" spans="1:12" s="32" customFormat="1" hidden="1" x14ac:dyDescent="0.3">
      <c r="A1246" s="37">
        <v>46128.687060185184</v>
      </c>
      <c r="B1246" s="1">
        <v>44932366340</v>
      </c>
      <c r="C1246" s="1">
        <v>4430265054</v>
      </c>
      <c r="D1246" s="1">
        <v>4430265054</v>
      </c>
      <c r="E1246" s="1">
        <v>4</v>
      </c>
      <c r="F1246" s="1">
        <v>3</v>
      </c>
      <c r="G1246" s="1" t="s">
        <v>52</v>
      </c>
      <c r="H1246" s="1" t="s">
        <v>238</v>
      </c>
      <c r="I1246" s="1" t="s">
        <v>39</v>
      </c>
      <c r="J1246" s="1" t="s">
        <v>53</v>
      </c>
      <c r="K1246" s="1"/>
      <c r="L1246" s="1"/>
    </row>
    <row r="1247" spans="1:12" s="32" customFormat="1" hidden="1" x14ac:dyDescent="0.3">
      <c r="A1247" s="37">
        <v>46128.682222222225</v>
      </c>
      <c r="B1247" s="1">
        <v>4533042020</v>
      </c>
      <c r="C1247" s="1">
        <v>4531273163</v>
      </c>
      <c r="D1247" s="1">
        <v>4531273163</v>
      </c>
      <c r="E1247" s="1">
        <v>7</v>
      </c>
      <c r="F1247" s="1">
        <v>7</v>
      </c>
      <c r="G1247" s="1" t="s">
        <v>52</v>
      </c>
      <c r="H1247" s="1" t="s">
        <v>239</v>
      </c>
      <c r="I1247" s="1" t="s">
        <v>39</v>
      </c>
      <c r="J1247" s="1" t="s">
        <v>53</v>
      </c>
      <c r="K1247" s="1"/>
      <c r="L1247" s="1"/>
    </row>
    <row r="1248" spans="1:12" s="32" customFormat="1" hidden="1" x14ac:dyDescent="0.3">
      <c r="A1248" s="37">
        <v>46128.682175925926</v>
      </c>
      <c r="B1248" s="1" t="s">
        <v>54</v>
      </c>
      <c r="C1248" s="1">
        <v>4733561104</v>
      </c>
      <c r="D1248" s="1"/>
      <c r="E1248" s="1">
        <v>53</v>
      </c>
      <c r="F1248" s="1">
        <v>0</v>
      </c>
      <c r="G1248" s="1" t="s">
        <v>47</v>
      </c>
      <c r="H1248" s="1" t="s">
        <v>240</v>
      </c>
      <c r="I1248" s="1" t="s">
        <v>46</v>
      </c>
      <c r="J1248" s="1" t="s">
        <v>55</v>
      </c>
      <c r="K1248" s="1"/>
      <c r="L1248" s="1"/>
    </row>
    <row r="1249" spans="1:12" s="32" customFormat="1" hidden="1" x14ac:dyDescent="0.3">
      <c r="A1249" s="37">
        <v>46128.681400462963</v>
      </c>
      <c r="B1249" s="1">
        <v>4430468268</v>
      </c>
      <c r="C1249" s="1" t="s">
        <v>45</v>
      </c>
      <c r="D1249" s="1">
        <v>4430265054</v>
      </c>
      <c r="E1249" s="1">
        <v>2611</v>
      </c>
      <c r="F1249" s="1">
        <v>2588</v>
      </c>
      <c r="G1249" s="1" t="s">
        <v>38</v>
      </c>
      <c r="H1249" s="1" t="s">
        <v>241</v>
      </c>
      <c r="I1249" s="1" t="s">
        <v>39</v>
      </c>
      <c r="J1249" s="1" t="s">
        <v>40</v>
      </c>
      <c r="K1249" s="1" t="s">
        <v>41</v>
      </c>
      <c r="L1249" s="1"/>
    </row>
    <row r="1250" spans="1:12" s="32" customFormat="1" hidden="1" x14ac:dyDescent="0.3">
      <c r="A1250" s="37">
        <v>46128.676134259258</v>
      </c>
      <c r="B1250" s="1">
        <v>4430162384</v>
      </c>
      <c r="C1250" s="1" t="s">
        <v>45</v>
      </c>
      <c r="D1250" s="1">
        <v>4430265054</v>
      </c>
      <c r="E1250" s="1">
        <v>373</v>
      </c>
      <c r="F1250" s="1">
        <v>352</v>
      </c>
      <c r="G1250" s="1" t="s">
        <v>38</v>
      </c>
      <c r="H1250" s="1" t="s">
        <v>242</v>
      </c>
      <c r="I1250" s="1" t="s">
        <v>39</v>
      </c>
      <c r="J1250" s="1" t="s">
        <v>40</v>
      </c>
      <c r="K1250" s="1" t="s">
        <v>41</v>
      </c>
      <c r="L1250" s="1"/>
    </row>
    <row r="1251" spans="1:12" s="32" customFormat="1" hidden="1" x14ac:dyDescent="0.3">
      <c r="A1251" s="37">
        <v>46128.670127314814</v>
      </c>
      <c r="B1251" s="1" t="s">
        <v>37</v>
      </c>
      <c r="C1251" s="1">
        <v>4334226481</v>
      </c>
      <c r="D1251" s="1"/>
      <c r="E1251" s="1">
        <v>181</v>
      </c>
      <c r="F1251" s="1">
        <v>172</v>
      </c>
      <c r="G1251" s="1" t="s">
        <v>38</v>
      </c>
      <c r="H1251" s="1" t="s">
        <v>243</v>
      </c>
      <c r="I1251" s="1" t="s">
        <v>46</v>
      </c>
      <c r="J1251" s="1" t="s">
        <v>40</v>
      </c>
      <c r="K1251" s="1"/>
      <c r="L1251" s="1"/>
    </row>
    <row r="1252" spans="1:12" s="32" customFormat="1" hidden="1" x14ac:dyDescent="0.3">
      <c r="A1252" s="37">
        <v>46128.669502314813</v>
      </c>
      <c r="B1252" s="1">
        <v>6436133762</v>
      </c>
      <c r="C1252" s="1" t="s">
        <v>45</v>
      </c>
      <c r="D1252" s="1">
        <v>4430265054</v>
      </c>
      <c r="E1252" s="1">
        <v>571</v>
      </c>
      <c r="F1252" s="1">
        <v>535</v>
      </c>
      <c r="G1252" s="1" t="s">
        <v>38</v>
      </c>
      <c r="H1252" s="1" t="s">
        <v>244</v>
      </c>
      <c r="I1252" s="1" t="s">
        <v>39</v>
      </c>
      <c r="J1252" s="1" t="s">
        <v>40</v>
      </c>
      <c r="K1252" s="1" t="s">
        <v>41</v>
      </c>
      <c r="L1252" s="1">
        <v>5</v>
      </c>
    </row>
    <row r="1253" spans="1:12" s="32" customFormat="1" hidden="1" x14ac:dyDescent="0.3">
      <c r="A1253" s="37">
        <v>46128.668622685182</v>
      </c>
      <c r="B1253" s="1">
        <v>44999305301</v>
      </c>
      <c r="C1253" s="1" t="s">
        <v>42</v>
      </c>
      <c r="D1253" s="1">
        <v>4430265054</v>
      </c>
      <c r="E1253" s="1">
        <v>280</v>
      </c>
      <c r="F1253" s="1">
        <v>236</v>
      </c>
      <c r="G1253" s="1" t="s">
        <v>38</v>
      </c>
      <c r="H1253" s="1" t="s">
        <v>245</v>
      </c>
      <c r="I1253" s="1" t="s">
        <v>39</v>
      </c>
      <c r="J1253" s="1" t="s">
        <v>40</v>
      </c>
      <c r="K1253" s="1" t="s">
        <v>41</v>
      </c>
      <c r="L1253" s="1"/>
    </row>
    <row r="1254" spans="1:12" s="32" customFormat="1" hidden="1" x14ac:dyDescent="0.3">
      <c r="A1254" s="37">
        <v>46128.665763888886</v>
      </c>
      <c r="B1254" s="1" t="s">
        <v>57</v>
      </c>
      <c r="C1254" s="1">
        <v>44999616101</v>
      </c>
      <c r="D1254" s="1"/>
      <c r="E1254" s="1">
        <v>17</v>
      </c>
      <c r="F1254" s="1">
        <v>1</v>
      </c>
      <c r="G1254" s="1" t="s">
        <v>38</v>
      </c>
      <c r="H1254" s="1" t="s">
        <v>246</v>
      </c>
      <c r="I1254" s="1" t="s">
        <v>46</v>
      </c>
      <c r="J1254" s="1" t="s">
        <v>55</v>
      </c>
      <c r="K1254" s="1"/>
      <c r="L1254" s="1"/>
    </row>
    <row r="1255" spans="1:12" s="32" customFormat="1" hidden="1" x14ac:dyDescent="0.3">
      <c r="A1255" s="37">
        <v>46128.665648148148</v>
      </c>
      <c r="B1255" s="1">
        <v>6436133762</v>
      </c>
      <c r="C1255" s="1">
        <v>4430265054</v>
      </c>
      <c r="D1255" s="1">
        <v>4430265054</v>
      </c>
      <c r="E1255" s="1">
        <v>27</v>
      </c>
      <c r="F1255" s="1">
        <v>26</v>
      </c>
      <c r="G1255" s="1" t="s">
        <v>52</v>
      </c>
      <c r="H1255" s="1" t="s">
        <v>247</v>
      </c>
      <c r="I1255" s="1" t="s">
        <v>39</v>
      </c>
      <c r="J1255" s="1" t="s">
        <v>53</v>
      </c>
      <c r="K1255" s="1"/>
      <c r="L1255" s="1"/>
    </row>
    <row r="1256" spans="1:12" s="32" customFormat="1" hidden="1" x14ac:dyDescent="0.3">
      <c r="A1256" s="37">
        <v>46128.665000000001</v>
      </c>
      <c r="B1256" s="1">
        <v>44991388221</v>
      </c>
      <c r="C1256" s="1" t="s">
        <v>45</v>
      </c>
      <c r="D1256" s="1">
        <v>4430265054</v>
      </c>
      <c r="E1256" s="1">
        <v>196</v>
      </c>
      <c r="F1256" s="1">
        <v>138</v>
      </c>
      <c r="G1256" s="1" t="s">
        <v>38</v>
      </c>
      <c r="H1256" s="1" t="s">
        <v>248</v>
      </c>
      <c r="I1256" s="1" t="s">
        <v>39</v>
      </c>
      <c r="J1256" s="1" t="s">
        <v>40</v>
      </c>
      <c r="K1256" s="1" t="s">
        <v>41</v>
      </c>
      <c r="L1256" s="1"/>
    </row>
    <row r="1257" spans="1:12" s="32" customFormat="1" hidden="1" x14ac:dyDescent="0.3">
      <c r="A1257" s="37">
        <v>46128.663483796299</v>
      </c>
      <c r="B1257" s="1" t="s">
        <v>57</v>
      </c>
      <c r="C1257" s="1">
        <v>4432276753</v>
      </c>
      <c r="D1257" s="1"/>
      <c r="E1257" s="1">
        <v>0</v>
      </c>
      <c r="F1257" s="1">
        <v>0</v>
      </c>
      <c r="G1257" s="1" t="s">
        <v>47</v>
      </c>
      <c r="H1257" s="1" t="s">
        <v>249</v>
      </c>
      <c r="I1257" s="1" t="s">
        <v>46</v>
      </c>
      <c r="J1257" s="1" t="s">
        <v>55</v>
      </c>
      <c r="K1257" s="1"/>
      <c r="L1257" s="1"/>
    </row>
    <row r="1258" spans="1:12" s="32" customFormat="1" hidden="1" x14ac:dyDescent="0.3">
      <c r="A1258" s="37">
        <v>46128.663240740738</v>
      </c>
      <c r="B1258" s="1" t="s">
        <v>57</v>
      </c>
      <c r="C1258" s="1">
        <v>44999616101</v>
      </c>
      <c r="D1258" s="1"/>
      <c r="E1258" s="1">
        <v>12</v>
      </c>
      <c r="F1258" s="1">
        <v>0</v>
      </c>
      <c r="G1258" s="1" t="s">
        <v>38</v>
      </c>
      <c r="H1258" s="1" t="s">
        <v>250</v>
      </c>
      <c r="I1258" s="1" t="s">
        <v>46</v>
      </c>
      <c r="J1258" s="1" t="s">
        <v>55</v>
      </c>
      <c r="K1258" s="1"/>
      <c r="L1258" s="1"/>
    </row>
    <row r="1259" spans="1:12" s="32" customFormat="1" hidden="1" x14ac:dyDescent="0.3">
      <c r="A1259" s="37">
        <v>46128.662604166668</v>
      </c>
      <c r="B1259" s="1" t="s">
        <v>57</v>
      </c>
      <c r="C1259" s="1">
        <v>4433052140</v>
      </c>
      <c r="D1259" s="1"/>
      <c r="E1259" s="1">
        <v>7</v>
      </c>
      <c r="F1259" s="1">
        <v>0</v>
      </c>
      <c r="G1259" s="1" t="s">
        <v>47</v>
      </c>
      <c r="H1259" s="1" t="s">
        <v>251</v>
      </c>
      <c r="I1259" s="1" t="s">
        <v>46</v>
      </c>
      <c r="J1259" s="1" t="s">
        <v>55</v>
      </c>
      <c r="K1259" s="1"/>
      <c r="L1259" s="1"/>
    </row>
    <row r="1260" spans="1:12" s="32" customFormat="1" hidden="1" x14ac:dyDescent="0.3">
      <c r="A1260" s="37">
        <v>46128.659178240741</v>
      </c>
      <c r="B1260" s="1" t="s">
        <v>45</v>
      </c>
      <c r="C1260" s="1">
        <v>4436372125</v>
      </c>
      <c r="D1260" s="1"/>
      <c r="E1260" s="1">
        <v>470</v>
      </c>
      <c r="F1260" s="1">
        <v>462</v>
      </c>
      <c r="G1260" s="1" t="s">
        <v>38</v>
      </c>
      <c r="H1260" s="1" t="s">
        <v>252</v>
      </c>
      <c r="I1260" s="1" t="s">
        <v>46</v>
      </c>
      <c r="J1260" s="1" t="s">
        <v>40</v>
      </c>
      <c r="K1260" s="1"/>
      <c r="L1260" s="1">
        <v>5</v>
      </c>
    </row>
    <row r="1261" spans="1:12" s="32" customFormat="1" hidden="1" x14ac:dyDescent="0.3">
      <c r="A1261" s="37">
        <v>46128.659108796295</v>
      </c>
      <c r="B1261" s="1">
        <v>44991113954</v>
      </c>
      <c r="C1261" s="1" t="s">
        <v>43</v>
      </c>
      <c r="D1261" s="1">
        <v>4430265054</v>
      </c>
      <c r="E1261" s="1">
        <v>1647</v>
      </c>
      <c r="F1261" s="1">
        <v>1616</v>
      </c>
      <c r="G1261" s="1" t="s">
        <v>38</v>
      </c>
      <c r="H1261" s="1" t="s">
        <v>253</v>
      </c>
      <c r="I1261" s="1" t="s">
        <v>39</v>
      </c>
      <c r="J1261" s="1" t="s">
        <v>40</v>
      </c>
      <c r="K1261" s="1" t="s">
        <v>41</v>
      </c>
      <c r="L1261" s="1"/>
    </row>
    <row r="1262" spans="1:12" s="32" customFormat="1" hidden="1" x14ac:dyDescent="0.3">
      <c r="A1262" s="37">
        <v>46128.658796296295</v>
      </c>
      <c r="B1262" s="1" t="s">
        <v>45</v>
      </c>
      <c r="C1262" s="1">
        <v>1000</v>
      </c>
      <c r="D1262" s="1"/>
      <c r="E1262" s="1">
        <v>19</v>
      </c>
      <c r="F1262" s="1">
        <v>10</v>
      </c>
      <c r="G1262" s="1" t="s">
        <v>38</v>
      </c>
      <c r="H1262" s="1" t="s">
        <v>254</v>
      </c>
      <c r="I1262" s="1" t="s">
        <v>46</v>
      </c>
      <c r="J1262" s="1" t="s">
        <v>40</v>
      </c>
      <c r="K1262" s="1"/>
      <c r="L1262" s="1"/>
    </row>
    <row r="1263" spans="1:12" s="32" customFormat="1" hidden="1" x14ac:dyDescent="0.3">
      <c r="A1263" s="37">
        <v>46128.658738425926</v>
      </c>
      <c r="B1263" s="1" t="s">
        <v>45</v>
      </c>
      <c r="C1263" s="1">
        <v>4436372125</v>
      </c>
      <c r="D1263" s="1"/>
      <c r="E1263" s="1">
        <v>25</v>
      </c>
      <c r="F1263" s="1">
        <v>25</v>
      </c>
      <c r="G1263" s="1" t="s">
        <v>38</v>
      </c>
      <c r="H1263" s="1" t="s">
        <v>255</v>
      </c>
      <c r="I1263" s="1" t="s">
        <v>46</v>
      </c>
      <c r="J1263" s="1" t="s">
        <v>40</v>
      </c>
      <c r="K1263" s="1"/>
      <c r="L1263" s="1"/>
    </row>
    <row r="1264" spans="1:12" s="32" customFormat="1" hidden="1" x14ac:dyDescent="0.3">
      <c r="A1264" s="37">
        <v>46128.658437500002</v>
      </c>
      <c r="B1264" s="1">
        <v>6436133762</v>
      </c>
      <c r="C1264" s="1" t="s">
        <v>48</v>
      </c>
      <c r="D1264" s="1">
        <v>4430265054</v>
      </c>
      <c r="E1264" s="1">
        <v>230</v>
      </c>
      <c r="F1264" s="1">
        <v>229</v>
      </c>
      <c r="G1264" s="1" t="s">
        <v>38</v>
      </c>
      <c r="H1264" s="1" t="s">
        <v>256</v>
      </c>
      <c r="I1264" s="1" t="s">
        <v>39</v>
      </c>
      <c r="J1264" s="1" t="s">
        <v>40</v>
      </c>
      <c r="K1264" s="1" t="s">
        <v>41</v>
      </c>
      <c r="L1264" s="1"/>
    </row>
    <row r="1265" spans="1:12" s="32" customFormat="1" hidden="1" x14ac:dyDescent="0.3">
      <c r="A1265" s="37">
        <v>46128.655671296299</v>
      </c>
      <c r="B1265" s="1">
        <v>1143744993</v>
      </c>
      <c r="C1265" s="1" t="s">
        <v>43</v>
      </c>
      <c r="D1265" s="1">
        <v>4431268225</v>
      </c>
      <c r="E1265" s="1">
        <v>254</v>
      </c>
      <c r="F1265" s="1">
        <v>229</v>
      </c>
      <c r="G1265" s="1" t="s">
        <v>38</v>
      </c>
      <c r="H1265" s="1" t="s">
        <v>257</v>
      </c>
      <c r="I1265" s="1" t="s">
        <v>39</v>
      </c>
      <c r="J1265" s="1" t="s">
        <v>40</v>
      </c>
      <c r="K1265" s="1" t="s">
        <v>41</v>
      </c>
      <c r="L1265" s="1">
        <v>5</v>
      </c>
    </row>
    <row r="1266" spans="1:12" s="32" customFormat="1" hidden="1" x14ac:dyDescent="0.3">
      <c r="A1266" s="37">
        <v>46128.655578703707</v>
      </c>
      <c r="B1266" s="1" t="s">
        <v>45</v>
      </c>
      <c r="C1266" s="1">
        <v>44998802935</v>
      </c>
      <c r="D1266" s="1"/>
      <c r="E1266" s="1">
        <v>156</v>
      </c>
      <c r="F1266" s="1">
        <v>145</v>
      </c>
      <c r="G1266" s="1" t="s">
        <v>38</v>
      </c>
      <c r="H1266" s="1" t="s">
        <v>258</v>
      </c>
      <c r="I1266" s="1" t="s">
        <v>46</v>
      </c>
      <c r="J1266" s="1" t="s">
        <v>40</v>
      </c>
      <c r="K1266" s="1"/>
      <c r="L1266" s="1"/>
    </row>
    <row r="1267" spans="1:12" s="32" customFormat="1" hidden="1" x14ac:dyDescent="0.3">
      <c r="A1267" s="37">
        <v>46128.655486111114</v>
      </c>
      <c r="B1267" s="1" t="s">
        <v>45</v>
      </c>
      <c r="C1267" s="1">
        <v>44998802935</v>
      </c>
      <c r="D1267" s="1"/>
      <c r="E1267" s="1">
        <v>25</v>
      </c>
      <c r="F1267" s="1">
        <v>25</v>
      </c>
      <c r="G1267" s="1" t="s">
        <v>38</v>
      </c>
      <c r="H1267" s="1" t="s">
        <v>259</v>
      </c>
      <c r="I1267" s="1" t="s">
        <v>46</v>
      </c>
      <c r="J1267" s="1" t="s">
        <v>40</v>
      </c>
      <c r="K1267" s="1"/>
      <c r="L1267" s="1"/>
    </row>
    <row r="1268" spans="1:12" s="32" customFormat="1" hidden="1" x14ac:dyDescent="0.3">
      <c r="A1268" s="37">
        <v>46128.648182870369</v>
      </c>
      <c r="B1268" s="1">
        <v>4434212150</v>
      </c>
      <c r="C1268" s="1" t="s">
        <v>43</v>
      </c>
      <c r="D1268" s="1">
        <v>4430265054</v>
      </c>
      <c r="E1268" s="1">
        <v>527</v>
      </c>
      <c r="F1268" s="1">
        <v>497</v>
      </c>
      <c r="G1268" s="1" t="s">
        <v>38</v>
      </c>
      <c r="H1268" s="1" t="s">
        <v>260</v>
      </c>
      <c r="I1268" s="1" t="s">
        <v>39</v>
      </c>
      <c r="J1268" s="1" t="s">
        <v>40</v>
      </c>
      <c r="K1268" s="1" t="s">
        <v>41</v>
      </c>
      <c r="L1268" s="1">
        <v>5</v>
      </c>
    </row>
    <row r="1269" spans="1:12" s="32" customFormat="1" hidden="1" x14ac:dyDescent="0.3">
      <c r="A1269" s="37">
        <v>46128.647662037038</v>
      </c>
      <c r="B1269" s="1">
        <v>6434530674</v>
      </c>
      <c r="C1269" s="1" t="s">
        <v>37</v>
      </c>
      <c r="D1269" s="1">
        <v>4430265054</v>
      </c>
      <c r="E1269" s="1">
        <v>911</v>
      </c>
      <c r="F1269" s="1">
        <v>893</v>
      </c>
      <c r="G1269" s="1" t="s">
        <v>38</v>
      </c>
      <c r="H1269" s="1" t="s">
        <v>261</v>
      </c>
      <c r="I1269" s="1" t="s">
        <v>39</v>
      </c>
      <c r="J1269" s="1" t="s">
        <v>40</v>
      </c>
      <c r="K1269" s="1" t="s">
        <v>41</v>
      </c>
      <c r="L1269" s="1"/>
    </row>
    <row r="1270" spans="1:12" s="32" customFormat="1" hidden="1" x14ac:dyDescent="0.3">
      <c r="A1270" s="37">
        <v>46128.646944444445</v>
      </c>
      <c r="B1270" s="1">
        <v>4434212150</v>
      </c>
      <c r="C1270" s="1" t="s">
        <v>48</v>
      </c>
      <c r="D1270" s="1">
        <v>4430265054</v>
      </c>
      <c r="E1270" s="1">
        <v>62</v>
      </c>
      <c r="F1270" s="1">
        <v>33</v>
      </c>
      <c r="G1270" s="1" t="s">
        <v>38</v>
      </c>
      <c r="H1270" s="1" t="s">
        <v>262</v>
      </c>
      <c r="I1270" s="1" t="s">
        <v>39</v>
      </c>
      <c r="J1270" s="1" t="s">
        <v>40</v>
      </c>
      <c r="K1270" s="1" t="s">
        <v>41</v>
      </c>
      <c r="L1270" s="1"/>
    </row>
    <row r="1271" spans="1:12" s="32" customFormat="1" hidden="1" x14ac:dyDescent="0.3">
      <c r="A1271" s="37">
        <v>46128.646678240744</v>
      </c>
      <c r="B1271" s="1">
        <v>47999760576</v>
      </c>
      <c r="C1271" s="1" t="s">
        <v>44</v>
      </c>
      <c r="D1271" s="1">
        <v>4430265054</v>
      </c>
      <c r="E1271" s="1">
        <v>1679</v>
      </c>
      <c r="F1271" s="1">
        <v>1622</v>
      </c>
      <c r="G1271" s="1" t="s">
        <v>38</v>
      </c>
      <c r="H1271" s="1" t="s">
        <v>263</v>
      </c>
      <c r="I1271" s="1" t="s">
        <v>39</v>
      </c>
      <c r="J1271" s="1" t="s">
        <v>40</v>
      </c>
      <c r="K1271" s="1" t="s">
        <v>41</v>
      </c>
      <c r="L1271" s="1"/>
    </row>
    <row r="1272" spans="1:12" s="32" customFormat="1" hidden="1" x14ac:dyDescent="0.3">
      <c r="A1272" s="37">
        <v>46128.645902777775</v>
      </c>
      <c r="B1272" s="1">
        <v>1128897100</v>
      </c>
      <c r="C1272" s="1" t="s">
        <v>48</v>
      </c>
      <c r="D1272" s="1">
        <v>4430265054</v>
      </c>
      <c r="E1272" s="1">
        <v>261</v>
      </c>
      <c r="F1272" s="1">
        <v>239</v>
      </c>
      <c r="G1272" s="1" t="s">
        <v>38</v>
      </c>
      <c r="H1272" s="1" t="s">
        <v>264</v>
      </c>
      <c r="I1272" s="1" t="s">
        <v>39</v>
      </c>
      <c r="J1272" s="1" t="s">
        <v>40</v>
      </c>
      <c r="K1272" s="1" t="s">
        <v>49</v>
      </c>
      <c r="L1272" s="1"/>
    </row>
    <row r="1273" spans="1:12" s="32" customFormat="1" hidden="1" x14ac:dyDescent="0.3">
      <c r="A1273" s="37">
        <v>46128.641041666669</v>
      </c>
      <c r="B1273" s="1">
        <v>44991234625</v>
      </c>
      <c r="C1273" s="1" t="s">
        <v>44</v>
      </c>
      <c r="D1273" s="1">
        <v>4430265054</v>
      </c>
      <c r="E1273" s="1">
        <v>233</v>
      </c>
      <c r="F1273" s="1">
        <v>145</v>
      </c>
      <c r="G1273" s="1" t="s">
        <v>38</v>
      </c>
      <c r="H1273" s="1" t="s">
        <v>265</v>
      </c>
      <c r="I1273" s="1" t="s">
        <v>39</v>
      </c>
      <c r="J1273" s="1" t="s">
        <v>40</v>
      </c>
      <c r="K1273" s="1" t="s">
        <v>41</v>
      </c>
      <c r="L1273" s="1">
        <v>5</v>
      </c>
    </row>
    <row r="1274" spans="1:12" s="32" customFormat="1" hidden="1" x14ac:dyDescent="0.3">
      <c r="A1274" s="37">
        <v>46128.636122685188</v>
      </c>
      <c r="B1274" s="1">
        <v>4520311158</v>
      </c>
      <c r="C1274" s="1" t="s">
        <v>42</v>
      </c>
      <c r="D1274" s="1">
        <v>4430265054</v>
      </c>
      <c r="E1274" s="1">
        <v>970</v>
      </c>
      <c r="F1274" s="1">
        <v>947</v>
      </c>
      <c r="G1274" s="1" t="s">
        <v>38</v>
      </c>
      <c r="H1274" s="1" t="s">
        <v>266</v>
      </c>
      <c r="I1274" s="1" t="s">
        <v>39</v>
      </c>
      <c r="J1274" s="1" t="s">
        <v>40</v>
      </c>
      <c r="K1274" s="1" t="s">
        <v>41</v>
      </c>
      <c r="L1274" s="1"/>
    </row>
    <row r="1275" spans="1:12" s="32" customFormat="1" hidden="1" x14ac:dyDescent="0.3">
      <c r="A1275" s="37">
        <v>46128.635671296295</v>
      </c>
      <c r="B1275" s="1">
        <v>83988398480</v>
      </c>
      <c r="C1275" s="1" t="s">
        <v>43</v>
      </c>
      <c r="D1275" s="1">
        <v>4430265054</v>
      </c>
      <c r="E1275" s="1">
        <v>693</v>
      </c>
      <c r="F1275" s="1">
        <v>642</v>
      </c>
      <c r="G1275" s="1" t="s">
        <v>38</v>
      </c>
      <c r="H1275" s="1" t="s">
        <v>267</v>
      </c>
      <c r="I1275" s="1" t="s">
        <v>39</v>
      </c>
      <c r="J1275" s="1" t="s">
        <v>40</v>
      </c>
      <c r="K1275" s="1" t="s">
        <v>41</v>
      </c>
      <c r="L1275" s="1"/>
    </row>
    <row r="1276" spans="1:12" s="32" customFormat="1" hidden="1" x14ac:dyDescent="0.3">
      <c r="A1276" s="37">
        <v>46128.635462962964</v>
      </c>
      <c r="B1276" s="1">
        <v>44998032021</v>
      </c>
      <c r="C1276" s="1">
        <v>4430265054</v>
      </c>
      <c r="D1276" s="1">
        <v>4430265054</v>
      </c>
      <c r="E1276" s="1">
        <v>42</v>
      </c>
      <c r="F1276" s="1">
        <v>41</v>
      </c>
      <c r="G1276" s="1" t="s">
        <v>52</v>
      </c>
      <c r="H1276" s="1" t="s">
        <v>268</v>
      </c>
      <c r="I1276" s="1" t="s">
        <v>39</v>
      </c>
      <c r="J1276" s="1" t="s">
        <v>53</v>
      </c>
      <c r="K1276" s="1" t="s">
        <v>41</v>
      </c>
      <c r="L1276" s="1"/>
    </row>
    <row r="1277" spans="1:12" s="32" customFormat="1" hidden="1" x14ac:dyDescent="0.3">
      <c r="A1277" s="37">
        <v>46128.633252314816</v>
      </c>
      <c r="B1277" s="1" t="s">
        <v>37</v>
      </c>
      <c r="C1277" s="1">
        <v>47999760576</v>
      </c>
      <c r="D1277" s="1"/>
      <c r="E1277" s="1">
        <v>396</v>
      </c>
      <c r="F1277" s="1">
        <v>377</v>
      </c>
      <c r="G1277" s="1" t="s">
        <v>38</v>
      </c>
      <c r="H1277" s="1" t="s">
        <v>269</v>
      </c>
      <c r="I1277" s="1" t="s">
        <v>46</v>
      </c>
      <c r="J1277" s="1" t="s">
        <v>40</v>
      </c>
      <c r="K1277" s="1"/>
      <c r="L1277" s="1"/>
    </row>
    <row r="1278" spans="1:12" s="32" customFormat="1" hidden="1" x14ac:dyDescent="0.3">
      <c r="A1278" s="37">
        <v>46128.633125</v>
      </c>
      <c r="B1278" s="1" t="s">
        <v>37</v>
      </c>
      <c r="C1278" s="1">
        <v>47999760576</v>
      </c>
      <c r="D1278" s="1"/>
      <c r="E1278" s="1">
        <v>9</v>
      </c>
      <c r="F1278" s="1">
        <v>0</v>
      </c>
      <c r="G1278" s="1" t="s">
        <v>47</v>
      </c>
      <c r="H1278" s="1" t="s">
        <v>270</v>
      </c>
      <c r="I1278" s="1" t="s">
        <v>46</v>
      </c>
      <c r="J1278" s="1" t="s">
        <v>40</v>
      </c>
      <c r="K1278" s="1"/>
      <c r="L1278" s="1"/>
    </row>
    <row r="1279" spans="1:12" s="32" customFormat="1" hidden="1" x14ac:dyDescent="0.3">
      <c r="A1279" s="37">
        <v>46128.632615740738</v>
      </c>
      <c r="B1279" s="1" t="s">
        <v>42</v>
      </c>
      <c r="C1279" s="1">
        <v>45999174390</v>
      </c>
      <c r="D1279" s="1"/>
      <c r="E1279" s="1">
        <v>6</v>
      </c>
      <c r="F1279" s="1">
        <v>0</v>
      </c>
      <c r="G1279" s="1" t="s">
        <v>47</v>
      </c>
      <c r="H1279" s="1" t="s">
        <v>271</v>
      </c>
      <c r="I1279" s="1" t="s">
        <v>46</v>
      </c>
      <c r="J1279" s="1" t="s">
        <v>40</v>
      </c>
      <c r="K1279" s="1"/>
      <c r="L1279" s="1"/>
    </row>
    <row r="1280" spans="1:12" s="32" customFormat="1" hidden="1" x14ac:dyDescent="0.3">
      <c r="A1280" s="37">
        <v>46128.632372685184</v>
      </c>
      <c r="B1280" s="1" t="s">
        <v>42</v>
      </c>
      <c r="C1280" s="1">
        <v>45999174390</v>
      </c>
      <c r="D1280" s="1"/>
      <c r="E1280" s="1">
        <v>9</v>
      </c>
      <c r="F1280" s="1">
        <v>0</v>
      </c>
      <c r="G1280" s="1" t="s">
        <v>47</v>
      </c>
      <c r="H1280" s="1" t="s">
        <v>272</v>
      </c>
      <c r="I1280" s="1" t="s">
        <v>46</v>
      </c>
      <c r="J1280" s="1" t="s">
        <v>40</v>
      </c>
      <c r="K1280" s="1"/>
      <c r="L1280" s="1"/>
    </row>
    <row r="1281" spans="1:12" s="32" customFormat="1" hidden="1" x14ac:dyDescent="0.3">
      <c r="A1281" s="37">
        <v>46128.632152777776</v>
      </c>
      <c r="B1281" s="1" t="s">
        <v>42</v>
      </c>
      <c r="C1281" s="1">
        <v>45999174390</v>
      </c>
      <c r="D1281" s="1"/>
      <c r="E1281" s="1">
        <v>9</v>
      </c>
      <c r="F1281" s="1">
        <v>0</v>
      </c>
      <c r="G1281" s="1" t="s">
        <v>47</v>
      </c>
      <c r="H1281" s="1" t="s">
        <v>273</v>
      </c>
      <c r="I1281" s="1" t="s">
        <v>46</v>
      </c>
      <c r="J1281" s="1" t="s">
        <v>40</v>
      </c>
      <c r="K1281" s="1"/>
      <c r="L1281" s="1"/>
    </row>
    <row r="1282" spans="1:12" s="32" customFormat="1" hidden="1" x14ac:dyDescent="0.3">
      <c r="A1282" s="37">
        <v>46128.631956018522</v>
      </c>
      <c r="B1282" s="1" t="s">
        <v>42</v>
      </c>
      <c r="C1282" s="1">
        <v>45999174390</v>
      </c>
      <c r="D1282" s="1"/>
      <c r="E1282" s="1">
        <v>3</v>
      </c>
      <c r="F1282" s="1">
        <v>0</v>
      </c>
      <c r="G1282" s="1" t="s">
        <v>47</v>
      </c>
      <c r="H1282" s="1" t="s">
        <v>274</v>
      </c>
      <c r="I1282" s="1" t="s">
        <v>46</v>
      </c>
      <c r="J1282" s="1" t="s">
        <v>40</v>
      </c>
      <c r="K1282" s="1"/>
      <c r="L1282" s="1"/>
    </row>
    <row r="1283" spans="1:12" s="32" customFormat="1" hidden="1" x14ac:dyDescent="0.3">
      <c r="A1283" s="37">
        <v>46128.631203703706</v>
      </c>
      <c r="B1283" s="1" t="s">
        <v>42</v>
      </c>
      <c r="C1283" s="1">
        <v>45999174390</v>
      </c>
      <c r="D1283" s="1"/>
      <c r="E1283" s="1">
        <v>3</v>
      </c>
      <c r="F1283" s="1">
        <v>0</v>
      </c>
      <c r="G1283" s="1" t="s">
        <v>47</v>
      </c>
      <c r="H1283" s="1" t="s">
        <v>275</v>
      </c>
      <c r="I1283" s="1" t="s">
        <v>46</v>
      </c>
      <c r="J1283" s="1" t="s">
        <v>40</v>
      </c>
      <c r="K1283" s="1"/>
      <c r="L1283" s="1"/>
    </row>
    <row r="1284" spans="1:12" s="32" customFormat="1" hidden="1" x14ac:dyDescent="0.3">
      <c r="A1284" s="37">
        <v>46128.630972222221</v>
      </c>
      <c r="B1284" s="1" t="s">
        <v>42</v>
      </c>
      <c r="C1284" s="1">
        <v>44991684895</v>
      </c>
      <c r="D1284" s="1"/>
      <c r="E1284" s="1">
        <v>26</v>
      </c>
      <c r="F1284" s="1">
        <v>25</v>
      </c>
      <c r="G1284" s="1" t="s">
        <v>38</v>
      </c>
      <c r="H1284" s="1" t="s">
        <v>276</v>
      </c>
      <c r="I1284" s="1" t="s">
        <v>46</v>
      </c>
      <c r="J1284" s="1" t="s">
        <v>40</v>
      </c>
      <c r="K1284" s="1"/>
      <c r="L1284" s="1"/>
    </row>
    <row r="1285" spans="1:12" s="32" customFormat="1" hidden="1" x14ac:dyDescent="0.3">
      <c r="A1285" s="37">
        <v>46128.630682870367</v>
      </c>
      <c r="B1285" s="1" t="s">
        <v>42</v>
      </c>
      <c r="C1285" s="1">
        <v>45999174390</v>
      </c>
      <c r="D1285" s="1"/>
      <c r="E1285" s="1">
        <v>6</v>
      </c>
      <c r="F1285" s="1">
        <v>0</v>
      </c>
      <c r="G1285" s="1" t="s">
        <v>47</v>
      </c>
      <c r="H1285" s="1" t="s">
        <v>277</v>
      </c>
      <c r="I1285" s="1" t="s">
        <v>46</v>
      </c>
      <c r="J1285" s="1" t="s">
        <v>40</v>
      </c>
      <c r="K1285" s="1"/>
      <c r="L1285" s="1"/>
    </row>
    <row r="1286" spans="1:12" s="32" customFormat="1" hidden="1" x14ac:dyDescent="0.3">
      <c r="A1286" s="37">
        <v>46128.628668981481</v>
      </c>
      <c r="B1286" s="1">
        <v>47999760576</v>
      </c>
      <c r="C1286" s="1" t="s">
        <v>37</v>
      </c>
      <c r="D1286" s="1">
        <v>4430265054</v>
      </c>
      <c r="E1286" s="1">
        <v>192</v>
      </c>
      <c r="F1286" s="1">
        <v>175</v>
      </c>
      <c r="G1286" s="1" t="s">
        <v>38</v>
      </c>
      <c r="H1286" s="1" t="s">
        <v>278</v>
      </c>
      <c r="I1286" s="1" t="s">
        <v>39</v>
      </c>
      <c r="J1286" s="1" t="s">
        <v>40</v>
      </c>
      <c r="K1286" s="1" t="s">
        <v>41</v>
      </c>
      <c r="L1286" s="1"/>
    </row>
    <row r="1287" spans="1:12" s="32" customFormat="1" hidden="1" x14ac:dyDescent="0.3">
      <c r="A1287" s="37">
        <v>46128.627199074072</v>
      </c>
      <c r="B1287" s="1">
        <v>44998802935</v>
      </c>
      <c r="C1287" s="1" t="s">
        <v>45</v>
      </c>
      <c r="D1287" s="1">
        <v>4431268225</v>
      </c>
      <c r="E1287" s="1">
        <v>1586</v>
      </c>
      <c r="F1287" s="1">
        <v>1569</v>
      </c>
      <c r="G1287" s="1" t="s">
        <v>38</v>
      </c>
      <c r="H1287" s="1" t="s">
        <v>279</v>
      </c>
      <c r="I1287" s="1" t="s">
        <v>39</v>
      </c>
      <c r="J1287" s="1" t="s">
        <v>40</v>
      </c>
      <c r="K1287" s="1" t="s">
        <v>41</v>
      </c>
      <c r="L1287" s="1">
        <v>5</v>
      </c>
    </row>
    <row r="1288" spans="1:12" s="32" customFormat="1" hidden="1" x14ac:dyDescent="0.3">
      <c r="A1288" s="37">
        <v>46128.625636574077</v>
      </c>
      <c r="B1288" s="1" t="s">
        <v>45</v>
      </c>
      <c r="C1288" s="1">
        <v>44999287104</v>
      </c>
      <c r="D1288" s="1"/>
      <c r="E1288" s="1">
        <v>145</v>
      </c>
      <c r="F1288" s="1">
        <v>140</v>
      </c>
      <c r="G1288" s="1" t="s">
        <v>38</v>
      </c>
      <c r="H1288" s="1" t="s">
        <v>280</v>
      </c>
      <c r="I1288" s="1" t="s">
        <v>46</v>
      </c>
      <c r="J1288" s="1" t="s">
        <v>40</v>
      </c>
      <c r="K1288" s="1"/>
      <c r="L1288" s="1"/>
    </row>
    <row r="1289" spans="1:12" s="32" customFormat="1" hidden="1" x14ac:dyDescent="0.3">
      <c r="A1289" s="37">
        <v>46128.623391203706</v>
      </c>
      <c r="B1289" s="1" t="s">
        <v>43</v>
      </c>
      <c r="C1289" s="1">
        <v>4330333542</v>
      </c>
      <c r="D1289" s="1"/>
      <c r="E1289" s="1">
        <v>703</v>
      </c>
      <c r="F1289" s="1">
        <v>696</v>
      </c>
      <c r="G1289" s="1" t="s">
        <v>38</v>
      </c>
      <c r="H1289" s="1" t="s">
        <v>281</v>
      </c>
      <c r="I1289" s="1" t="s">
        <v>46</v>
      </c>
      <c r="J1289" s="1" t="s">
        <v>40</v>
      </c>
      <c r="K1289" s="1"/>
      <c r="L1289" s="1">
        <v>5</v>
      </c>
    </row>
    <row r="1290" spans="1:12" s="32" customFormat="1" hidden="1" x14ac:dyDescent="0.3">
      <c r="A1290" s="37">
        <v>46128.622141203705</v>
      </c>
      <c r="B1290" s="1">
        <v>45999211333</v>
      </c>
      <c r="C1290" s="1">
        <v>4430265054</v>
      </c>
      <c r="D1290" s="1">
        <v>4430265054</v>
      </c>
      <c r="E1290" s="1">
        <v>82</v>
      </c>
      <c r="F1290" s="1">
        <v>81</v>
      </c>
      <c r="G1290" s="1" t="s">
        <v>52</v>
      </c>
      <c r="H1290" s="1" t="s">
        <v>282</v>
      </c>
      <c r="I1290" s="1" t="s">
        <v>39</v>
      </c>
      <c r="J1290" s="1" t="s">
        <v>53</v>
      </c>
      <c r="K1290" s="1" t="s">
        <v>41</v>
      </c>
      <c r="L1290" s="1"/>
    </row>
    <row r="1291" spans="1:12" s="32" customFormat="1" hidden="1" x14ac:dyDescent="0.3">
      <c r="A1291" s="37">
        <v>46128.617037037038</v>
      </c>
      <c r="B1291" s="1">
        <v>4121413772</v>
      </c>
      <c r="C1291" s="1" t="s">
        <v>43</v>
      </c>
      <c r="D1291" s="1">
        <v>4531273159</v>
      </c>
      <c r="E1291" s="1">
        <v>46</v>
      </c>
      <c r="F1291" s="1">
        <v>14</v>
      </c>
      <c r="G1291" s="1" t="s">
        <v>38</v>
      </c>
      <c r="H1291" s="1" t="s">
        <v>283</v>
      </c>
      <c r="I1291" s="1" t="s">
        <v>39</v>
      </c>
      <c r="J1291" s="1" t="s">
        <v>40</v>
      </c>
      <c r="K1291" s="1" t="s">
        <v>41</v>
      </c>
      <c r="L1291" s="1"/>
    </row>
    <row r="1292" spans="1:12" s="32" customFormat="1" hidden="1" x14ac:dyDescent="0.3">
      <c r="A1292" s="37">
        <v>46128.615844907406</v>
      </c>
      <c r="B1292" s="1">
        <v>4430282545</v>
      </c>
      <c r="C1292" s="1">
        <v>4430265054</v>
      </c>
      <c r="D1292" s="1">
        <v>4430265054</v>
      </c>
      <c r="E1292" s="1">
        <v>41</v>
      </c>
      <c r="F1292" s="1">
        <v>40</v>
      </c>
      <c r="G1292" s="1" t="s">
        <v>52</v>
      </c>
      <c r="H1292" s="1" t="s">
        <v>284</v>
      </c>
      <c r="I1292" s="1" t="s">
        <v>39</v>
      </c>
      <c r="J1292" s="1" t="s">
        <v>53</v>
      </c>
      <c r="K1292" s="1" t="s">
        <v>41</v>
      </c>
      <c r="L1292" s="1"/>
    </row>
    <row r="1293" spans="1:12" s="32" customFormat="1" hidden="1" x14ac:dyDescent="0.3">
      <c r="A1293" s="37">
        <v>46128.615162037036</v>
      </c>
      <c r="B1293" s="1">
        <v>44991484476</v>
      </c>
      <c r="C1293" s="1" t="s">
        <v>42</v>
      </c>
      <c r="D1293" s="1">
        <v>4430265054</v>
      </c>
      <c r="E1293" s="1">
        <v>714</v>
      </c>
      <c r="F1293" s="1">
        <v>595</v>
      </c>
      <c r="G1293" s="1" t="s">
        <v>38</v>
      </c>
      <c r="H1293" s="1" t="s">
        <v>285</v>
      </c>
      <c r="I1293" s="1" t="s">
        <v>39</v>
      </c>
      <c r="J1293" s="1" t="s">
        <v>40</v>
      </c>
      <c r="K1293" s="1" t="s">
        <v>41</v>
      </c>
      <c r="L1293" s="1"/>
    </row>
    <row r="1294" spans="1:12" s="32" customFormat="1" hidden="1" x14ac:dyDescent="0.3">
      <c r="A1294" s="37">
        <v>46128.609085648146</v>
      </c>
      <c r="B1294" s="1" t="s">
        <v>45</v>
      </c>
      <c r="C1294" s="1">
        <v>44999287104</v>
      </c>
      <c r="D1294" s="1"/>
      <c r="E1294" s="1">
        <v>1435</v>
      </c>
      <c r="F1294" s="1">
        <v>1427</v>
      </c>
      <c r="G1294" s="1" t="s">
        <v>38</v>
      </c>
      <c r="H1294" s="1" t="s">
        <v>286</v>
      </c>
      <c r="I1294" s="1" t="s">
        <v>46</v>
      </c>
      <c r="J1294" s="1" t="s">
        <v>40</v>
      </c>
      <c r="K1294" s="1"/>
      <c r="L1294" s="1"/>
    </row>
    <row r="1295" spans="1:12" s="32" customFormat="1" hidden="1" x14ac:dyDescent="0.3">
      <c r="A1295" s="37">
        <v>46128.608472222222</v>
      </c>
      <c r="B1295" s="1">
        <v>4433016050</v>
      </c>
      <c r="C1295" s="1" t="s">
        <v>48</v>
      </c>
      <c r="D1295" s="1">
        <v>4430265054</v>
      </c>
      <c r="E1295" s="1">
        <v>201</v>
      </c>
      <c r="F1295" s="1">
        <v>126</v>
      </c>
      <c r="G1295" s="1" t="s">
        <v>38</v>
      </c>
      <c r="H1295" s="1" t="s">
        <v>287</v>
      </c>
      <c r="I1295" s="1" t="s">
        <v>39</v>
      </c>
      <c r="J1295" s="1" t="s">
        <v>40</v>
      </c>
      <c r="K1295" s="1" t="s">
        <v>41</v>
      </c>
      <c r="L1295" s="1"/>
    </row>
    <row r="1296" spans="1:12" s="32" customFormat="1" hidden="1" x14ac:dyDescent="0.3">
      <c r="A1296" s="37">
        <v>46128.606620370374</v>
      </c>
      <c r="B1296" s="1">
        <v>41999717893</v>
      </c>
      <c r="C1296" s="1">
        <v>4430265054</v>
      </c>
      <c r="D1296" s="1">
        <v>4430265054</v>
      </c>
      <c r="E1296" s="1">
        <v>96</v>
      </c>
      <c r="F1296" s="1">
        <v>95</v>
      </c>
      <c r="G1296" s="1" t="s">
        <v>52</v>
      </c>
      <c r="H1296" s="1" t="s">
        <v>288</v>
      </c>
      <c r="I1296" s="1" t="s">
        <v>39</v>
      </c>
      <c r="J1296" s="1" t="s">
        <v>53</v>
      </c>
      <c r="K1296" s="1" t="s">
        <v>41</v>
      </c>
      <c r="L1296" s="1"/>
    </row>
    <row r="1297" spans="1:12" s="32" customFormat="1" hidden="1" x14ac:dyDescent="0.3">
      <c r="A1297" s="37">
        <v>46128.603854166664</v>
      </c>
      <c r="B1297" s="1" t="s">
        <v>48</v>
      </c>
      <c r="C1297" s="1">
        <v>4435293520</v>
      </c>
      <c r="D1297" s="1"/>
      <c r="E1297" s="1">
        <v>257</v>
      </c>
      <c r="F1297" s="1">
        <v>248</v>
      </c>
      <c r="G1297" s="1" t="s">
        <v>38</v>
      </c>
      <c r="H1297" s="1" t="s">
        <v>289</v>
      </c>
      <c r="I1297" s="1" t="s">
        <v>46</v>
      </c>
      <c r="J1297" s="1" t="s">
        <v>40</v>
      </c>
      <c r="K1297" s="1"/>
      <c r="L1297" s="1"/>
    </row>
    <row r="1298" spans="1:12" s="32" customFormat="1" hidden="1" x14ac:dyDescent="0.3">
      <c r="A1298" s="37">
        <v>46128.599733796298</v>
      </c>
      <c r="B1298" s="1" t="s">
        <v>48</v>
      </c>
      <c r="C1298" s="1">
        <v>4430254650</v>
      </c>
      <c r="D1298" s="1"/>
      <c r="E1298" s="1">
        <v>178</v>
      </c>
      <c r="F1298" s="1">
        <v>178</v>
      </c>
      <c r="G1298" s="1" t="s">
        <v>38</v>
      </c>
      <c r="H1298" s="1" t="s">
        <v>290</v>
      </c>
      <c r="I1298" s="1" t="s">
        <v>46</v>
      </c>
      <c r="J1298" s="1" t="s">
        <v>40</v>
      </c>
      <c r="K1298" s="1"/>
      <c r="L1298" s="1"/>
    </row>
    <row r="1299" spans="1:12" s="32" customFormat="1" hidden="1" x14ac:dyDescent="0.3">
      <c r="A1299" s="37">
        <v>46128.599652777775</v>
      </c>
      <c r="B1299" s="1">
        <v>44991684895</v>
      </c>
      <c r="C1299" s="1">
        <v>4430265054</v>
      </c>
      <c r="D1299" s="1">
        <v>4430265054</v>
      </c>
      <c r="E1299" s="1">
        <v>6</v>
      </c>
      <c r="F1299" s="1">
        <v>5</v>
      </c>
      <c r="G1299" s="1" t="s">
        <v>52</v>
      </c>
      <c r="H1299" s="1" t="s">
        <v>291</v>
      </c>
      <c r="I1299" s="1" t="s">
        <v>39</v>
      </c>
      <c r="J1299" s="1" t="s">
        <v>53</v>
      </c>
      <c r="K1299" s="1"/>
      <c r="L1299" s="1"/>
    </row>
    <row r="1300" spans="1:12" s="32" customFormat="1" hidden="1" x14ac:dyDescent="0.3">
      <c r="A1300" s="37">
        <v>46128.586967592593</v>
      </c>
      <c r="B1300" s="1">
        <v>4334226481</v>
      </c>
      <c r="C1300" s="1" t="s">
        <v>37</v>
      </c>
      <c r="D1300" s="1">
        <v>4430265054</v>
      </c>
      <c r="E1300" s="1">
        <v>2698</v>
      </c>
      <c r="F1300" s="1">
        <v>2617</v>
      </c>
      <c r="G1300" s="1" t="s">
        <v>38</v>
      </c>
      <c r="H1300" s="1" t="s">
        <v>292</v>
      </c>
      <c r="I1300" s="1" t="s">
        <v>39</v>
      </c>
      <c r="J1300" s="1" t="s">
        <v>40</v>
      </c>
      <c r="K1300" s="1" t="s">
        <v>41</v>
      </c>
      <c r="L1300" s="1"/>
    </row>
    <row r="1301" spans="1:12" s="32" customFormat="1" hidden="1" x14ac:dyDescent="0.3">
      <c r="A1301" s="37">
        <v>46128.583229166667</v>
      </c>
      <c r="B1301" s="1" t="s">
        <v>43</v>
      </c>
      <c r="C1301" s="1">
        <v>45999211357</v>
      </c>
      <c r="D1301" s="1"/>
      <c r="E1301" s="1">
        <v>981</v>
      </c>
      <c r="F1301" s="1">
        <v>970</v>
      </c>
      <c r="G1301" s="1" t="s">
        <v>38</v>
      </c>
      <c r="H1301" s="1" t="s">
        <v>293</v>
      </c>
      <c r="I1301" s="1" t="s">
        <v>46</v>
      </c>
      <c r="J1301" s="1" t="s">
        <v>40</v>
      </c>
      <c r="K1301" s="1"/>
      <c r="L1301" s="1">
        <v>5</v>
      </c>
    </row>
    <row r="1302" spans="1:12" s="32" customFormat="1" hidden="1" x14ac:dyDescent="0.3">
      <c r="A1302" s="37">
        <v>46128.582476851851</v>
      </c>
      <c r="B1302" s="1">
        <v>44991113954</v>
      </c>
      <c r="C1302" s="1">
        <v>4430265054</v>
      </c>
      <c r="D1302" s="1">
        <v>4430265054</v>
      </c>
      <c r="E1302" s="1">
        <v>126</v>
      </c>
      <c r="F1302" s="1">
        <v>125</v>
      </c>
      <c r="G1302" s="1" t="s">
        <v>52</v>
      </c>
      <c r="H1302" s="1" t="s">
        <v>294</v>
      </c>
      <c r="I1302" s="1" t="s">
        <v>39</v>
      </c>
      <c r="J1302" s="1" t="s">
        <v>53</v>
      </c>
      <c r="K1302" s="1" t="s">
        <v>41</v>
      </c>
      <c r="L1302" s="1"/>
    </row>
    <row r="1303" spans="1:12" s="32" customFormat="1" hidden="1" x14ac:dyDescent="0.3">
      <c r="A1303" s="37">
        <v>46128.580069444448</v>
      </c>
      <c r="B1303" s="1">
        <v>44991684895</v>
      </c>
      <c r="C1303" s="1" t="s">
        <v>48</v>
      </c>
      <c r="D1303" s="1">
        <v>4430265054</v>
      </c>
      <c r="E1303" s="1">
        <v>1482</v>
      </c>
      <c r="F1303" s="1">
        <v>1455</v>
      </c>
      <c r="G1303" s="1" t="s">
        <v>38</v>
      </c>
      <c r="H1303" s="1" t="s">
        <v>295</v>
      </c>
      <c r="I1303" s="1" t="s">
        <v>39</v>
      </c>
      <c r="J1303" s="1" t="s">
        <v>40</v>
      </c>
      <c r="K1303" s="1" t="s">
        <v>49</v>
      </c>
      <c r="L1303" s="1"/>
    </row>
    <row r="1304" spans="1:12" s="32" customFormat="1" hidden="1" x14ac:dyDescent="0.3">
      <c r="A1304" s="37">
        <v>46128.578796296293</v>
      </c>
      <c r="B1304" s="1" t="s">
        <v>43</v>
      </c>
      <c r="C1304" s="1">
        <v>45999211357</v>
      </c>
      <c r="D1304" s="1"/>
      <c r="E1304" s="1">
        <v>1</v>
      </c>
      <c r="F1304" s="1">
        <v>0</v>
      </c>
      <c r="G1304" s="1" t="s">
        <v>47</v>
      </c>
      <c r="H1304" s="1" t="s">
        <v>296</v>
      </c>
      <c r="I1304" s="1" t="s">
        <v>46</v>
      </c>
      <c r="J1304" s="1" t="s">
        <v>40</v>
      </c>
      <c r="K1304" s="1"/>
      <c r="L1304" s="1"/>
    </row>
    <row r="1305" spans="1:12" s="32" customFormat="1" hidden="1" x14ac:dyDescent="0.3">
      <c r="A1305" s="37">
        <v>46128.578703703701</v>
      </c>
      <c r="B1305" s="1" t="s">
        <v>48</v>
      </c>
      <c r="C1305" s="1">
        <v>4435293520</v>
      </c>
      <c r="D1305" s="1"/>
      <c r="E1305" s="1">
        <v>179</v>
      </c>
      <c r="F1305" s="1">
        <v>169</v>
      </c>
      <c r="G1305" s="1" t="s">
        <v>38</v>
      </c>
      <c r="H1305" s="1" t="s">
        <v>297</v>
      </c>
      <c r="I1305" s="1" t="s">
        <v>46</v>
      </c>
      <c r="J1305" s="1" t="s">
        <v>40</v>
      </c>
      <c r="K1305" s="1"/>
      <c r="L1305" s="1"/>
    </row>
    <row r="1306" spans="1:12" s="32" customFormat="1" hidden="1" x14ac:dyDescent="0.3">
      <c r="A1306" s="37">
        <v>46128.578344907408</v>
      </c>
      <c r="B1306" s="1">
        <v>35998295948</v>
      </c>
      <c r="C1306" s="1" t="s">
        <v>42</v>
      </c>
      <c r="D1306" s="1">
        <v>4430265054</v>
      </c>
      <c r="E1306" s="1">
        <v>547</v>
      </c>
      <c r="F1306" s="1">
        <v>449</v>
      </c>
      <c r="G1306" s="1" t="s">
        <v>38</v>
      </c>
      <c r="H1306" s="1" t="s">
        <v>298</v>
      </c>
      <c r="I1306" s="1" t="s">
        <v>39</v>
      </c>
      <c r="J1306" s="1" t="s">
        <v>40</v>
      </c>
      <c r="K1306" s="1" t="s">
        <v>41</v>
      </c>
      <c r="L1306" s="1"/>
    </row>
    <row r="1307" spans="1:12" s="32" customFormat="1" hidden="1" x14ac:dyDescent="0.3">
      <c r="A1307" s="37">
        <v>46128.574467592596</v>
      </c>
      <c r="B1307" s="1" t="s">
        <v>48</v>
      </c>
      <c r="C1307" s="1">
        <v>4430254650</v>
      </c>
      <c r="D1307" s="1"/>
      <c r="E1307" s="1">
        <v>133</v>
      </c>
      <c r="F1307" s="1">
        <v>132</v>
      </c>
      <c r="G1307" s="1" t="s">
        <v>38</v>
      </c>
      <c r="H1307" s="1" t="s">
        <v>299</v>
      </c>
      <c r="I1307" s="1" t="s">
        <v>46</v>
      </c>
      <c r="J1307" s="1" t="s">
        <v>40</v>
      </c>
      <c r="K1307" s="1"/>
      <c r="L1307" s="1"/>
    </row>
    <row r="1308" spans="1:12" s="32" customFormat="1" hidden="1" x14ac:dyDescent="0.3">
      <c r="A1308" s="37">
        <v>46128.57403935185</v>
      </c>
      <c r="B1308" s="1">
        <v>44991684895</v>
      </c>
      <c r="C1308" s="1" t="s">
        <v>37</v>
      </c>
      <c r="D1308" s="1">
        <v>4430265054</v>
      </c>
      <c r="E1308" s="1">
        <v>510</v>
      </c>
      <c r="F1308" s="1">
        <v>473</v>
      </c>
      <c r="G1308" s="1" t="s">
        <v>38</v>
      </c>
      <c r="H1308" s="1" t="s">
        <v>300</v>
      </c>
      <c r="I1308" s="1" t="s">
        <v>39</v>
      </c>
      <c r="J1308" s="1" t="s">
        <v>40</v>
      </c>
      <c r="K1308" s="1" t="s">
        <v>41</v>
      </c>
      <c r="L1308" s="1"/>
    </row>
    <row r="1309" spans="1:12" s="32" customFormat="1" hidden="1" x14ac:dyDescent="0.3">
      <c r="A1309" s="37">
        <v>46128.57304398148</v>
      </c>
      <c r="B1309" s="1">
        <v>4436372125</v>
      </c>
      <c r="C1309" s="1" t="s">
        <v>45</v>
      </c>
      <c r="D1309" s="1">
        <v>4430265054</v>
      </c>
      <c r="E1309" s="1">
        <v>2211</v>
      </c>
      <c r="F1309" s="1">
        <v>2194</v>
      </c>
      <c r="G1309" s="1" t="s">
        <v>38</v>
      </c>
      <c r="H1309" s="1" t="s">
        <v>301</v>
      </c>
      <c r="I1309" s="1" t="s">
        <v>39</v>
      </c>
      <c r="J1309" s="1" t="s">
        <v>40</v>
      </c>
      <c r="K1309" s="1" t="s">
        <v>41</v>
      </c>
      <c r="L1309" s="1"/>
    </row>
    <row r="1310" spans="1:12" s="32" customFormat="1" hidden="1" x14ac:dyDescent="0.3">
      <c r="A1310" s="37">
        <v>46128.572002314817</v>
      </c>
      <c r="B1310" s="1">
        <v>4432325260</v>
      </c>
      <c r="C1310" s="1" t="s">
        <v>42</v>
      </c>
      <c r="D1310" s="1">
        <v>4430265054</v>
      </c>
      <c r="E1310" s="1">
        <v>531</v>
      </c>
      <c r="F1310" s="1">
        <v>514</v>
      </c>
      <c r="G1310" s="1" t="s">
        <v>38</v>
      </c>
      <c r="H1310" s="1" t="s">
        <v>302</v>
      </c>
      <c r="I1310" s="1" t="s">
        <v>39</v>
      </c>
      <c r="J1310" s="1" t="s">
        <v>40</v>
      </c>
      <c r="K1310" s="1" t="s">
        <v>41</v>
      </c>
      <c r="L1310" s="1"/>
    </row>
    <row r="1311" spans="1:12" s="32" customFormat="1" hidden="1" x14ac:dyDescent="0.3">
      <c r="A1311" s="37">
        <v>46128.570497685185</v>
      </c>
      <c r="B1311" s="1">
        <v>4432105150</v>
      </c>
      <c r="C1311" s="1" t="s">
        <v>37</v>
      </c>
      <c r="D1311" s="1">
        <v>4430265054</v>
      </c>
      <c r="E1311" s="1">
        <v>138</v>
      </c>
      <c r="F1311" s="1">
        <v>101</v>
      </c>
      <c r="G1311" s="1" t="s">
        <v>38</v>
      </c>
      <c r="H1311" s="1" t="s">
        <v>303</v>
      </c>
      <c r="I1311" s="1" t="s">
        <v>39</v>
      </c>
      <c r="J1311" s="1" t="s">
        <v>40</v>
      </c>
      <c r="K1311" s="1" t="s">
        <v>41</v>
      </c>
      <c r="L1311" s="1"/>
    </row>
    <row r="1312" spans="1:12" s="32" customFormat="1" hidden="1" x14ac:dyDescent="0.3">
      <c r="A1312" s="37">
        <v>46128.568831018521</v>
      </c>
      <c r="B1312" s="1" t="s">
        <v>42</v>
      </c>
      <c r="C1312" s="1">
        <v>4432325260</v>
      </c>
      <c r="D1312" s="1"/>
      <c r="E1312" s="1">
        <v>42</v>
      </c>
      <c r="F1312" s="1">
        <v>34</v>
      </c>
      <c r="G1312" s="1" t="s">
        <v>38</v>
      </c>
      <c r="H1312" s="1" t="s">
        <v>304</v>
      </c>
      <c r="I1312" s="1" t="s">
        <v>46</v>
      </c>
      <c r="J1312" s="1" t="s">
        <v>40</v>
      </c>
      <c r="K1312" s="1"/>
      <c r="L1312" s="1"/>
    </row>
    <row r="1313" spans="1:12" s="32" customFormat="1" hidden="1" x14ac:dyDescent="0.3">
      <c r="A1313" s="37">
        <v>46128.562604166669</v>
      </c>
      <c r="B1313" s="1">
        <v>44991381017</v>
      </c>
      <c r="C1313" s="1" t="s">
        <v>45</v>
      </c>
      <c r="D1313" s="1">
        <v>4430265054</v>
      </c>
      <c r="E1313" s="1">
        <v>466</v>
      </c>
      <c r="F1313" s="1">
        <v>388</v>
      </c>
      <c r="G1313" s="1" t="s">
        <v>38</v>
      </c>
      <c r="H1313" s="1" t="s">
        <v>305</v>
      </c>
      <c r="I1313" s="1" t="s">
        <v>39</v>
      </c>
      <c r="J1313" s="1" t="s">
        <v>40</v>
      </c>
      <c r="K1313" s="1" t="s">
        <v>41</v>
      </c>
      <c r="L1313" s="1"/>
    </row>
    <row r="1314" spans="1:12" s="32" customFormat="1" hidden="1" x14ac:dyDescent="0.3">
      <c r="A1314" s="37">
        <v>46128.546053240738</v>
      </c>
      <c r="B1314" s="1">
        <v>1128787060</v>
      </c>
      <c r="C1314" s="1">
        <v>4430265054</v>
      </c>
      <c r="D1314" s="1">
        <v>4430265054</v>
      </c>
      <c r="E1314" s="1">
        <v>14</v>
      </c>
      <c r="F1314" s="1">
        <v>13</v>
      </c>
      <c r="G1314" s="1" t="s">
        <v>52</v>
      </c>
      <c r="H1314" s="1" t="s">
        <v>306</v>
      </c>
      <c r="I1314" s="1" t="s">
        <v>39</v>
      </c>
      <c r="J1314" s="1" t="s">
        <v>53</v>
      </c>
      <c r="K1314" s="1"/>
      <c r="L1314" s="1"/>
    </row>
    <row r="1315" spans="1:12" s="32" customFormat="1" hidden="1" x14ac:dyDescent="0.3">
      <c r="A1315" s="37">
        <v>46128.502002314817</v>
      </c>
      <c r="B1315" s="1">
        <v>4533011395</v>
      </c>
      <c r="C1315" s="1">
        <v>4531273151</v>
      </c>
      <c r="D1315" s="1">
        <v>4531273151</v>
      </c>
      <c r="E1315" s="1">
        <v>28</v>
      </c>
      <c r="F1315" s="1">
        <v>28</v>
      </c>
      <c r="G1315" s="1" t="s">
        <v>52</v>
      </c>
      <c r="H1315" s="1" t="s">
        <v>307</v>
      </c>
      <c r="I1315" s="1" t="s">
        <v>39</v>
      </c>
      <c r="J1315" s="1" t="s">
        <v>53</v>
      </c>
      <c r="K1315" s="1"/>
      <c r="L1315" s="1"/>
    </row>
    <row r="1316" spans="1:12" s="32" customFormat="1" hidden="1" x14ac:dyDescent="0.3">
      <c r="A1316" s="37">
        <v>46128.49077546296</v>
      </c>
      <c r="B1316" s="1">
        <v>44988255390</v>
      </c>
      <c r="C1316" s="1" t="s">
        <v>37</v>
      </c>
      <c r="D1316" s="1">
        <v>4430265054</v>
      </c>
      <c r="E1316" s="1">
        <v>599</v>
      </c>
      <c r="F1316" s="1">
        <v>544</v>
      </c>
      <c r="G1316" s="1" t="s">
        <v>38</v>
      </c>
      <c r="H1316" s="1" t="s">
        <v>308</v>
      </c>
      <c r="I1316" s="1" t="s">
        <v>39</v>
      </c>
      <c r="J1316" s="1" t="s">
        <v>40</v>
      </c>
      <c r="K1316" s="1" t="s">
        <v>41</v>
      </c>
      <c r="L1316" s="1"/>
    </row>
    <row r="1317" spans="1:12" s="32" customFormat="1" hidden="1" x14ac:dyDescent="0.3">
      <c r="A1317" s="37">
        <v>46128.488854166666</v>
      </c>
      <c r="B1317" s="1" t="s">
        <v>57</v>
      </c>
      <c r="C1317" s="1">
        <v>4432325260</v>
      </c>
      <c r="D1317" s="1"/>
      <c r="E1317" s="1">
        <v>166</v>
      </c>
      <c r="F1317" s="1">
        <v>145</v>
      </c>
      <c r="G1317" s="1" t="s">
        <v>38</v>
      </c>
      <c r="H1317" s="1" t="s">
        <v>309</v>
      </c>
      <c r="I1317" s="1" t="s">
        <v>46</v>
      </c>
      <c r="J1317" s="1" t="s">
        <v>55</v>
      </c>
      <c r="K1317" s="1"/>
      <c r="L1317" s="1"/>
    </row>
    <row r="1318" spans="1:12" s="32" customFormat="1" hidden="1" x14ac:dyDescent="0.3">
      <c r="A1318" s="37">
        <v>46128.487303240741</v>
      </c>
      <c r="B1318" s="1" t="s">
        <v>57</v>
      </c>
      <c r="C1318" s="1">
        <v>44999976008</v>
      </c>
      <c r="D1318" s="1"/>
      <c r="E1318" s="1">
        <v>27</v>
      </c>
      <c r="F1318" s="1">
        <v>6</v>
      </c>
      <c r="G1318" s="1" t="s">
        <v>38</v>
      </c>
      <c r="H1318" s="1" t="s">
        <v>310</v>
      </c>
      <c r="I1318" s="1" t="s">
        <v>46</v>
      </c>
      <c r="J1318" s="1" t="s">
        <v>55</v>
      </c>
      <c r="K1318" s="1"/>
      <c r="L1318" s="1"/>
    </row>
    <row r="1319" spans="1:12" s="32" customFormat="1" hidden="1" x14ac:dyDescent="0.3">
      <c r="A1319" s="37">
        <v>46128.486863425926</v>
      </c>
      <c r="B1319" s="1">
        <v>44934312248</v>
      </c>
      <c r="C1319" s="1">
        <v>4430265054</v>
      </c>
      <c r="D1319" s="1">
        <v>4430265054</v>
      </c>
      <c r="E1319" s="1">
        <v>4</v>
      </c>
      <c r="F1319" s="1">
        <v>3</v>
      </c>
      <c r="G1319" s="1" t="s">
        <v>52</v>
      </c>
      <c r="H1319" s="1" t="s">
        <v>311</v>
      </c>
      <c r="I1319" s="1" t="s">
        <v>39</v>
      </c>
      <c r="J1319" s="1" t="s">
        <v>53</v>
      </c>
      <c r="K1319" s="1"/>
      <c r="L1319" s="1"/>
    </row>
    <row r="1320" spans="1:12" s="32" customFormat="1" hidden="1" x14ac:dyDescent="0.3">
      <c r="A1320" s="37">
        <v>46128.484502314815</v>
      </c>
      <c r="B1320" s="1" t="s">
        <v>57</v>
      </c>
      <c r="C1320" s="1">
        <v>44999976008</v>
      </c>
      <c r="D1320" s="1"/>
      <c r="E1320" s="1">
        <v>30</v>
      </c>
      <c r="F1320" s="1">
        <v>7</v>
      </c>
      <c r="G1320" s="1" t="s">
        <v>38</v>
      </c>
      <c r="H1320" s="1" t="s">
        <v>312</v>
      </c>
      <c r="I1320" s="1" t="s">
        <v>46</v>
      </c>
      <c r="J1320" s="1" t="s">
        <v>55</v>
      </c>
      <c r="K1320" s="1"/>
      <c r="L1320" s="1"/>
    </row>
    <row r="1321" spans="1:12" s="32" customFormat="1" hidden="1" x14ac:dyDescent="0.3">
      <c r="A1321" s="37">
        <v>46128.483043981483</v>
      </c>
      <c r="B1321" s="1" t="s">
        <v>57</v>
      </c>
      <c r="C1321" s="1">
        <v>4432641415</v>
      </c>
      <c r="D1321" s="1"/>
      <c r="E1321" s="1">
        <v>32</v>
      </c>
      <c r="F1321" s="1">
        <v>21</v>
      </c>
      <c r="G1321" s="1" t="s">
        <v>38</v>
      </c>
      <c r="H1321" s="1" t="s">
        <v>313</v>
      </c>
      <c r="I1321" s="1" t="s">
        <v>46</v>
      </c>
      <c r="J1321" s="1" t="s">
        <v>55</v>
      </c>
      <c r="K1321" s="1"/>
      <c r="L1321" s="1"/>
    </row>
    <row r="1322" spans="1:12" s="32" customFormat="1" hidden="1" x14ac:dyDescent="0.3">
      <c r="A1322" s="37">
        <v>46128.481793981482</v>
      </c>
      <c r="B1322" s="1">
        <v>1131515685</v>
      </c>
      <c r="C1322" s="1" t="s">
        <v>48</v>
      </c>
      <c r="D1322" s="1">
        <v>4430265054</v>
      </c>
      <c r="E1322" s="1">
        <v>186</v>
      </c>
      <c r="F1322" s="1">
        <v>186</v>
      </c>
      <c r="G1322" s="1" t="s">
        <v>38</v>
      </c>
      <c r="H1322" s="1" t="s">
        <v>314</v>
      </c>
      <c r="I1322" s="1" t="s">
        <v>39</v>
      </c>
      <c r="J1322" s="1" t="s">
        <v>40</v>
      </c>
      <c r="K1322" s="1" t="s">
        <v>41</v>
      </c>
      <c r="L1322" s="1"/>
    </row>
    <row r="1323" spans="1:12" s="32" customFormat="1" hidden="1" x14ac:dyDescent="0.3">
      <c r="A1323" s="37">
        <v>46128.480000000003</v>
      </c>
      <c r="B1323" s="1">
        <v>44997561804</v>
      </c>
      <c r="C1323" s="1" t="s">
        <v>43</v>
      </c>
      <c r="D1323" s="1">
        <v>4430265054</v>
      </c>
      <c r="E1323" s="1">
        <v>453</v>
      </c>
      <c r="F1323" s="1">
        <v>434</v>
      </c>
      <c r="G1323" s="1" t="s">
        <v>38</v>
      </c>
      <c r="H1323" s="1" t="s">
        <v>315</v>
      </c>
      <c r="I1323" s="1" t="s">
        <v>39</v>
      </c>
      <c r="J1323" s="1" t="s">
        <v>40</v>
      </c>
      <c r="K1323" s="1" t="s">
        <v>41</v>
      </c>
      <c r="L1323" s="1">
        <v>5</v>
      </c>
    </row>
    <row r="1324" spans="1:12" s="32" customFormat="1" x14ac:dyDescent="0.3">
      <c r="A1324" s="37">
        <v>46128.479872685188</v>
      </c>
      <c r="B1324" s="1">
        <v>4130263118</v>
      </c>
      <c r="C1324" s="1" t="s">
        <v>37</v>
      </c>
      <c r="D1324" s="1">
        <v>4430265054</v>
      </c>
      <c r="E1324" s="1">
        <v>486</v>
      </c>
      <c r="F1324" s="1">
        <v>461</v>
      </c>
      <c r="G1324" s="1" t="s">
        <v>38</v>
      </c>
      <c r="H1324" s="1" t="s">
        <v>316</v>
      </c>
      <c r="I1324" s="1" t="s">
        <v>39</v>
      </c>
      <c r="J1324" s="1" t="s">
        <v>40</v>
      </c>
      <c r="K1324" s="1" t="s">
        <v>41</v>
      </c>
      <c r="L1324" s="1">
        <v>5</v>
      </c>
    </row>
    <row r="1325" spans="1:12" s="32" customFormat="1" hidden="1" x14ac:dyDescent="0.3">
      <c r="A1325" s="37">
        <v>46128.47042824074</v>
      </c>
      <c r="B1325" s="1" t="s">
        <v>57</v>
      </c>
      <c r="C1325" s="1">
        <v>4130760170</v>
      </c>
      <c r="D1325" s="1"/>
      <c r="E1325" s="1">
        <v>89</v>
      </c>
      <c r="F1325" s="1">
        <v>50</v>
      </c>
      <c r="G1325" s="1" t="s">
        <v>38</v>
      </c>
      <c r="H1325" s="1" t="s">
        <v>317</v>
      </c>
      <c r="I1325" s="1" t="s">
        <v>46</v>
      </c>
      <c r="J1325" s="1" t="s">
        <v>55</v>
      </c>
      <c r="K1325" s="1"/>
      <c r="L1325" s="1"/>
    </row>
    <row r="1326" spans="1:12" s="32" customFormat="1" hidden="1" x14ac:dyDescent="0.3">
      <c r="A1326" s="37">
        <v>46128.46912037037</v>
      </c>
      <c r="B1326" s="1" t="s">
        <v>48</v>
      </c>
      <c r="C1326" s="1">
        <v>4430282545</v>
      </c>
      <c r="D1326" s="1"/>
      <c r="E1326" s="1">
        <v>271</v>
      </c>
      <c r="F1326" s="1">
        <v>250</v>
      </c>
      <c r="G1326" s="1" t="s">
        <v>38</v>
      </c>
      <c r="H1326" s="1" t="s">
        <v>318</v>
      </c>
      <c r="I1326" s="1" t="s">
        <v>46</v>
      </c>
      <c r="J1326" s="1" t="s">
        <v>40</v>
      </c>
      <c r="K1326" s="1"/>
      <c r="L1326" s="1"/>
    </row>
    <row r="1327" spans="1:12" s="32" customFormat="1" hidden="1" x14ac:dyDescent="0.3">
      <c r="A1327" s="37">
        <v>46128.467685185184</v>
      </c>
      <c r="B1327" s="1" t="s">
        <v>57</v>
      </c>
      <c r="C1327" s="1">
        <v>44999737614</v>
      </c>
      <c r="D1327" s="1"/>
      <c r="E1327" s="1">
        <v>33</v>
      </c>
      <c r="F1327" s="1">
        <v>20</v>
      </c>
      <c r="G1327" s="1" t="s">
        <v>38</v>
      </c>
      <c r="H1327" s="1" t="s">
        <v>319</v>
      </c>
      <c r="I1327" s="1" t="s">
        <v>46</v>
      </c>
      <c r="J1327" s="1" t="s">
        <v>55</v>
      </c>
      <c r="K1327" s="1"/>
      <c r="L1327" s="1"/>
    </row>
    <row r="1328" spans="1:12" s="32" customFormat="1" hidden="1" x14ac:dyDescent="0.3">
      <c r="A1328" s="37">
        <v>46128.467476851853</v>
      </c>
      <c r="B1328" s="1" t="s">
        <v>57</v>
      </c>
      <c r="C1328" s="1">
        <v>44999215148</v>
      </c>
      <c r="D1328" s="1"/>
      <c r="E1328" s="1">
        <v>9</v>
      </c>
      <c r="F1328" s="1">
        <v>1</v>
      </c>
      <c r="G1328" s="1" t="s">
        <v>38</v>
      </c>
      <c r="H1328" s="1" t="s">
        <v>320</v>
      </c>
      <c r="I1328" s="1" t="s">
        <v>46</v>
      </c>
      <c r="J1328" s="1" t="s">
        <v>55</v>
      </c>
      <c r="K1328" s="1"/>
      <c r="L1328" s="1"/>
    </row>
    <row r="1329" spans="1:12" s="32" customFormat="1" hidden="1" x14ac:dyDescent="0.3">
      <c r="A1329" s="37">
        <v>46128.466944444444</v>
      </c>
      <c r="B1329" s="1" t="s">
        <v>57</v>
      </c>
      <c r="C1329" s="1">
        <v>4432321533</v>
      </c>
      <c r="D1329" s="1"/>
      <c r="E1329" s="1">
        <v>1</v>
      </c>
      <c r="F1329" s="1">
        <v>0</v>
      </c>
      <c r="G1329" s="1" t="s">
        <v>47</v>
      </c>
      <c r="H1329" s="1" t="s">
        <v>321</v>
      </c>
      <c r="I1329" s="1" t="s">
        <v>46</v>
      </c>
      <c r="J1329" s="1" t="s">
        <v>55</v>
      </c>
      <c r="K1329" s="1"/>
      <c r="L1329" s="1"/>
    </row>
    <row r="1330" spans="1:12" s="32" customFormat="1" hidden="1" x14ac:dyDescent="0.3">
      <c r="A1330" s="37">
        <v>46128.466493055559</v>
      </c>
      <c r="B1330" s="1" t="s">
        <v>57</v>
      </c>
      <c r="C1330" s="1">
        <v>44999737614</v>
      </c>
      <c r="D1330" s="1"/>
      <c r="E1330" s="1">
        <v>34</v>
      </c>
      <c r="F1330" s="1">
        <v>2</v>
      </c>
      <c r="G1330" s="1" t="s">
        <v>38</v>
      </c>
      <c r="H1330" s="1" t="s">
        <v>322</v>
      </c>
      <c r="I1330" s="1" t="s">
        <v>46</v>
      </c>
      <c r="J1330" s="1" t="s">
        <v>55</v>
      </c>
      <c r="K1330" s="1"/>
      <c r="L1330" s="1"/>
    </row>
    <row r="1331" spans="1:12" s="32" customFormat="1" hidden="1" x14ac:dyDescent="0.3">
      <c r="A1331" s="37">
        <v>46128.465138888889</v>
      </c>
      <c r="B1331" s="1" t="s">
        <v>43</v>
      </c>
      <c r="C1331" s="1">
        <v>11992752526</v>
      </c>
      <c r="D1331" s="1"/>
      <c r="E1331" s="1">
        <v>3</v>
      </c>
      <c r="F1331" s="1">
        <v>0</v>
      </c>
      <c r="G1331" s="1" t="s">
        <v>47</v>
      </c>
      <c r="H1331" s="1" t="s">
        <v>323</v>
      </c>
      <c r="I1331" s="1" t="s">
        <v>46</v>
      </c>
      <c r="J1331" s="1" t="s">
        <v>40</v>
      </c>
      <c r="K1331" s="1"/>
      <c r="L1331" s="1"/>
    </row>
    <row r="1332" spans="1:12" s="32" customFormat="1" hidden="1" x14ac:dyDescent="0.3">
      <c r="A1332" s="37">
        <v>46128.464722222219</v>
      </c>
      <c r="B1332" s="1" t="s">
        <v>43</v>
      </c>
      <c r="C1332" s="1">
        <v>11992752526</v>
      </c>
      <c r="D1332" s="1"/>
      <c r="E1332" s="1">
        <v>6</v>
      </c>
      <c r="F1332" s="1">
        <v>0</v>
      </c>
      <c r="G1332" s="1" t="s">
        <v>47</v>
      </c>
      <c r="H1332" s="1" t="s">
        <v>324</v>
      </c>
      <c r="I1332" s="1" t="s">
        <v>46</v>
      </c>
      <c r="J1332" s="1" t="s">
        <v>40</v>
      </c>
      <c r="K1332" s="1"/>
      <c r="L1332" s="1"/>
    </row>
    <row r="1333" spans="1:12" s="32" customFormat="1" hidden="1" x14ac:dyDescent="0.3">
      <c r="A1333" s="37">
        <v>46128.464606481481</v>
      </c>
      <c r="B1333" s="1" t="s">
        <v>37</v>
      </c>
      <c r="C1333" s="1">
        <v>4432268889</v>
      </c>
      <c r="D1333" s="1"/>
      <c r="E1333" s="1">
        <v>261</v>
      </c>
      <c r="F1333" s="1">
        <v>251</v>
      </c>
      <c r="G1333" s="1" t="s">
        <v>38</v>
      </c>
      <c r="H1333" s="1" t="s">
        <v>325</v>
      </c>
      <c r="I1333" s="1" t="s">
        <v>46</v>
      </c>
      <c r="J1333" s="1" t="s">
        <v>40</v>
      </c>
      <c r="K1333" s="1"/>
      <c r="L1333" s="1"/>
    </row>
    <row r="1334" spans="1:12" s="32" customFormat="1" hidden="1" x14ac:dyDescent="0.3">
      <c r="A1334" s="37">
        <v>46128.464305555557</v>
      </c>
      <c r="B1334" s="1" t="s">
        <v>45</v>
      </c>
      <c r="C1334" s="1">
        <v>4330332823</v>
      </c>
      <c r="D1334" s="1"/>
      <c r="E1334" s="1">
        <v>2174</v>
      </c>
      <c r="F1334" s="1">
        <v>2162</v>
      </c>
      <c r="G1334" s="1" t="s">
        <v>38</v>
      </c>
      <c r="H1334" s="1" t="s">
        <v>326</v>
      </c>
      <c r="I1334" s="1" t="s">
        <v>46</v>
      </c>
      <c r="J1334" s="1" t="s">
        <v>40</v>
      </c>
      <c r="K1334" s="1"/>
      <c r="L1334" s="1">
        <v>5</v>
      </c>
    </row>
    <row r="1335" spans="1:12" s="32" customFormat="1" hidden="1" x14ac:dyDescent="0.3">
      <c r="A1335" s="37">
        <v>46128.462719907409</v>
      </c>
      <c r="B1335" s="1" t="s">
        <v>45</v>
      </c>
      <c r="C1335" s="1">
        <v>4130263118</v>
      </c>
      <c r="D1335" s="1"/>
      <c r="E1335" s="1">
        <v>71</v>
      </c>
      <c r="F1335" s="1">
        <v>62</v>
      </c>
      <c r="G1335" s="1" t="s">
        <v>38</v>
      </c>
      <c r="H1335" s="1" t="s">
        <v>327</v>
      </c>
      <c r="I1335" s="1" t="s">
        <v>46</v>
      </c>
      <c r="J1335" s="1" t="s">
        <v>40</v>
      </c>
      <c r="K1335" s="1"/>
      <c r="L1335" s="1"/>
    </row>
    <row r="1336" spans="1:12" s="32" customFormat="1" hidden="1" x14ac:dyDescent="0.3">
      <c r="A1336" s="37">
        <v>46128.458344907405</v>
      </c>
      <c r="B1336" s="1" t="s">
        <v>42</v>
      </c>
      <c r="C1336" s="1">
        <v>44997687156</v>
      </c>
      <c r="D1336" s="1"/>
      <c r="E1336" s="1">
        <v>25</v>
      </c>
      <c r="F1336" s="1">
        <v>25</v>
      </c>
      <c r="G1336" s="1" t="s">
        <v>38</v>
      </c>
      <c r="H1336" s="1" t="s">
        <v>328</v>
      </c>
      <c r="I1336" s="1" t="s">
        <v>46</v>
      </c>
      <c r="J1336" s="1" t="s">
        <v>40</v>
      </c>
      <c r="K1336" s="1"/>
      <c r="L1336" s="1"/>
    </row>
    <row r="1337" spans="1:12" s="32" customFormat="1" hidden="1" x14ac:dyDescent="0.3">
      <c r="A1337" s="37">
        <v>46128.458078703705</v>
      </c>
      <c r="B1337" s="1" t="s">
        <v>42</v>
      </c>
      <c r="C1337" s="1">
        <v>44997687156</v>
      </c>
      <c r="D1337" s="1"/>
      <c r="E1337" s="1">
        <v>44</v>
      </c>
      <c r="F1337" s="1">
        <v>28</v>
      </c>
      <c r="G1337" s="1" t="s">
        <v>38</v>
      </c>
      <c r="H1337" s="1" t="s">
        <v>329</v>
      </c>
      <c r="I1337" s="1" t="s">
        <v>46</v>
      </c>
      <c r="J1337" s="1" t="s">
        <v>40</v>
      </c>
      <c r="K1337" s="1"/>
      <c r="L1337" s="1"/>
    </row>
    <row r="1338" spans="1:12" s="32" customFormat="1" hidden="1" x14ac:dyDescent="0.3">
      <c r="A1338" s="37">
        <v>46128.457974537036</v>
      </c>
      <c r="B1338" s="1" t="s">
        <v>42</v>
      </c>
      <c r="C1338" s="1">
        <v>44997687156</v>
      </c>
      <c r="D1338" s="1"/>
      <c r="E1338" s="1">
        <v>25</v>
      </c>
      <c r="F1338" s="1">
        <v>25</v>
      </c>
      <c r="G1338" s="1" t="s">
        <v>38</v>
      </c>
      <c r="H1338" s="1" t="s">
        <v>330</v>
      </c>
      <c r="I1338" s="1" t="s">
        <v>46</v>
      </c>
      <c r="J1338" s="1" t="s">
        <v>40</v>
      </c>
      <c r="K1338" s="1"/>
      <c r="L1338" s="1"/>
    </row>
    <row r="1339" spans="1:12" s="32" customFormat="1" hidden="1" x14ac:dyDescent="0.3">
      <c r="A1339" s="37">
        <v>46128.457488425927</v>
      </c>
      <c r="B1339" s="1">
        <v>4121418115</v>
      </c>
      <c r="C1339" s="1">
        <v>4531273152</v>
      </c>
      <c r="D1339" s="1">
        <v>4531273152</v>
      </c>
      <c r="E1339" s="1">
        <v>47</v>
      </c>
      <c r="F1339" s="1">
        <v>46</v>
      </c>
      <c r="G1339" s="1" t="s">
        <v>52</v>
      </c>
      <c r="H1339" s="1" t="s">
        <v>331</v>
      </c>
      <c r="I1339" s="1" t="s">
        <v>39</v>
      </c>
      <c r="J1339" s="1" t="s">
        <v>53</v>
      </c>
      <c r="K1339" s="1" t="s">
        <v>41</v>
      </c>
      <c r="L1339" s="1"/>
    </row>
    <row r="1340" spans="1:12" s="32" customFormat="1" hidden="1" x14ac:dyDescent="0.3">
      <c r="A1340" s="37">
        <v>46128.456747685188</v>
      </c>
      <c r="B1340" s="1" t="s">
        <v>57</v>
      </c>
      <c r="C1340" s="1">
        <v>44999499893</v>
      </c>
      <c r="D1340" s="1"/>
      <c r="E1340" s="1">
        <v>221</v>
      </c>
      <c r="F1340" s="1">
        <v>218</v>
      </c>
      <c r="G1340" s="1" t="s">
        <v>38</v>
      </c>
      <c r="H1340" s="1" t="s">
        <v>332</v>
      </c>
      <c r="I1340" s="1" t="s">
        <v>46</v>
      </c>
      <c r="J1340" s="1" t="s">
        <v>55</v>
      </c>
      <c r="K1340" s="1"/>
      <c r="L1340" s="1"/>
    </row>
    <row r="1341" spans="1:12" s="32" customFormat="1" hidden="1" x14ac:dyDescent="0.3">
      <c r="A1341" s="37">
        <v>46128.454363425924</v>
      </c>
      <c r="B1341" s="1" t="s">
        <v>37</v>
      </c>
      <c r="C1341" s="1">
        <v>4430316847</v>
      </c>
      <c r="D1341" s="1"/>
      <c r="E1341" s="1">
        <v>731</v>
      </c>
      <c r="F1341" s="1">
        <v>724</v>
      </c>
      <c r="G1341" s="1" t="s">
        <v>38</v>
      </c>
      <c r="H1341" s="1" t="s">
        <v>333</v>
      </c>
      <c r="I1341" s="1" t="s">
        <v>46</v>
      </c>
      <c r="J1341" s="1" t="s">
        <v>40</v>
      </c>
      <c r="K1341" s="1"/>
      <c r="L1341" s="1">
        <v>5</v>
      </c>
    </row>
    <row r="1342" spans="1:12" s="32" customFormat="1" hidden="1" x14ac:dyDescent="0.3">
      <c r="A1342" s="37">
        <v>46128.454317129632</v>
      </c>
      <c r="B1342" s="1" t="s">
        <v>37</v>
      </c>
      <c r="C1342" s="1">
        <v>4430316847</v>
      </c>
      <c r="D1342" s="1"/>
      <c r="E1342" s="1">
        <v>2</v>
      </c>
      <c r="F1342" s="1">
        <v>0</v>
      </c>
      <c r="G1342" s="1" t="s">
        <v>47</v>
      </c>
      <c r="H1342" s="1" t="s">
        <v>334</v>
      </c>
      <c r="I1342" s="1" t="s">
        <v>46</v>
      </c>
      <c r="J1342" s="1" t="s">
        <v>40</v>
      </c>
      <c r="K1342" s="1"/>
      <c r="L1342" s="1"/>
    </row>
    <row r="1343" spans="1:12" s="32" customFormat="1" hidden="1" x14ac:dyDescent="0.3">
      <c r="A1343" s="37">
        <v>46128.454259259262</v>
      </c>
      <c r="B1343" s="1" t="s">
        <v>37</v>
      </c>
      <c r="C1343" s="1">
        <v>4430316847</v>
      </c>
      <c r="D1343" s="1"/>
      <c r="E1343" s="1">
        <v>3</v>
      </c>
      <c r="F1343" s="1">
        <v>0</v>
      </c>
      <c r="G1343" s="1" t="s">
        <v>47</v>
      </c>
      <c r="H1343" s="1" t="s">
        <v>335</v>
      </c>
      <c r="I1343" s="1" t="s">
        <v>46</v>
      </c>
      <c r="J1343" s="1" t="s">
        <v>40</v>
      </c>
      <c r="K1343" s="1"/>
      <c r="L1343" s="1"/>
    </row>
    <row r="1344" spans="1:12" s="32" customFormat="1" hidden="1" x14ac:dyDescent="0.3">
      <c r="A1344" s="37">
        <v>46128.45417824074</v>
      </c>
      <c r="B1344" s="1" t="s">
        <v>57</v>
      </c>
      <c r="C1344" s="1">
        <v>4430254650</v>
      </c>
      <c r="D1344" s="1"/>
      <c r="E1344" s="1">
        <v>90</v>
      </c>
      <c r="F1344" s="1">
        <v>89</v>
      </c>
      <c r="G1344" s="1" t="s">
        <v>38</v>
      </c>
      <c r="H1344" s="1" t="s">
        <v>336</v>
      </c>
      <c r="I1344" s="1" t="s">
        <v>46</v>
      </c>
      <c r="J1344" s="1" t="s">
        <v>55</v>
      </c>
      <c r="K1344" s="1"/>
      <c r="L1344" s="1"/>
    </row>
    <row r="1345" spans="1:12" s="32" customFormat="1" hidden="1" x14ac:dyDescent="0.3">
      <c r="A1345" s="37">
        <v>46128.454062500001</v>
      </c>
      <c r="B1345" s="1" t="s">
        <v>57</v>
      </c>
      <c r="C1345" s="1">
        <v>4430264650</v>
      </c>
      <c r="D1345" s="1"/>
      <c r="E1345" s="1">
        <v>1</v>
      </c>
      <c r="F1345" s="1">
        <v>1</v>
      </c>
      <c r="G1345" s="1" t="s">
        <v>38</v>
      </c>
      <c r="H1345" s="1" t="s">
        <v>337</v>
      </c>
      <c r="I1345" s="1" t="s">
        <v>46</v>
      </c>
      <c r="J1345" s="1" t="s">
        <v>55</v>
      </c>
      <c r="K1345" s="1"/>
      <c r="L1345" s="1"/>
    </row>
    <row r="1346" spans="1:12" s="32" customFormat="1" hidden="1" x14ac:dyDescent="0.3">
      <c r="A1346" s="37">
        <v>46128.453101851854</v>
      </c>
      <c r="B1346" s="1">
        <v>44991684895</v>
      </c>
      <c r="C1346" s="1" t="s">
        <v>44</v>
      </c>
      <c r="D1346" s="1">
        <v>4430265054</v>
      </c>
      <c r="E1346" s="1">
        <v>253</v>
      </c>
      <c r="F1346" s="1">
        <v>155</v>
      </c>
      <c r="G1346" s="1" t="s">
        <v>38</v>
      </c>
      <c r="H1346" s="1" t="s">
        <v>338</v>
      </c>
      <c r="I1346" s="1" t="s">
        <v>39</v>
      </c>
      <c r="J1346" s="1" t="s">
        <v>40</v>
      </c>
      <c r="K1346" s="1" t="s">
        <v>41</v>
      </c>
      <c r="L1346" s="1"/>
    </row>
    <row r="1347" spans="1:12" s="32" customFormat="1" hidden="1" x14ac:dyDescent="0.3">
      <c r="A1347" s="37">
        <v>46128.452488425923</v>
      </c>
      <c r="B1347" s="1" t="s">
        <v>57</v>
      </c>
      <c r="C1347" s="1">
        <v>44999924688</v>
      </c>
      <c r="D1347" s="1"/>
      <c r="E1347" s="1">
        <v>37</v>
      </c>
      <c r="F1347" s="1">
        <v>0</v>
      </c>
      <c r="G1347" s="1" t="s">
        <v>47</v>
      </c>
      <c r="H1347" s="1" t="s">
        <v>339</v>
      </c>
      <c r="I1347" s="1" t="s">
        <v>46</v>
      </c>
      <c r="J1347" s="1" t="s">
        <v>55</v>
      </c>
      <c r="K1347" s="1"/>
      <c r="L1347" s="1"/>
    </row>
    <row r="1348" spans="1:12" s="32" customFormat="1" hidden="1" x14ac:dyDescent="0.3">
      <c r="A1348" s="37">
        <v>46128.451192129629</v>
      </c>
      <c r="B1348" s="1" t="s">
        <v>57</v>
      </c>
      <c r="C1348" s="1">
        <v>44999342828</v>
      </c>
      <c r="D1348" s="1"/>
      <c r="E1348" s="1">
        <v>47</v>
      </c>
      <c r="F1348" s="1">
        <v>38</v>
      </c>
      <c r="G1348" s="1" t="s">
        <v>38</v>
      </c>
      <c r="H1348" s="1" t="s">
        <v>340</v>
      </c>
      <c r="I1348" s="1" t="s">
        <v>46</v>
      </c>
      <c r="J1348" s="1" t="s">
        <v>55</v>
      </c>
      <c r="K1348" s="1"/>
      <c r="L1348" s="1"/>
    </row>
    <row r="1349" spans="1:12" s="32" customFormat="1" hidden="1" x14ac:dyDescent="0.3">
      <c r="A1349" s="37">
        <v>46128.450428240743</v>
      </c>
      <c r="B1349" s="1" t="s">
        <v>57</v>
      </c>
      <c r="C1349" s="1">
        <v>44999924688</v>
      </c>
      <c r="D1349" s="1"/>
      <c r="E1349" s="1">
        <v>38</v>
      </c>
      <c r="F1349" s="1">
        <v>19</v>
      </c>
      <c r="G1349" s="1" t="s">
        <v>38</v>
      </c>
      <c r="H1349" s="1" t="s">
        <v>341</v>
      </c>
      <c r="I1349" s="1" t="s">
        <v>46</v>
      </c>
      <c r="J1349" s="1" t="s">
        <v>55</v>
      </c>
      <c r="K1349" s="1"/>
      <c r="L1349" s="1"/>
    </row>
    <row r="1350" spans="1:12" s="32" customFormat="1" hidden="1" x14ac:dyDescent="0.3">
      <c r="A1350" s="37">
        <v>46128.449629629627</v>
      </c>
      <c r="B1350" s="1" t="s">
        <v>45</v>
      </c>
      <c r="C1350" s="1">
        <v>44988255390</v>
      </c>
      <c r="D1350" s="1"/>
      <c r="E1350" s="1">
        <v>1097</v>
      </c>
      <c r="F1350" s="1">
        <v>1089</v>
      </c>
      <c r="G1350" s="1" t="s">
        <v>38</v>
      </c>
      <c r="H1350" s="1" t="s">
        <v>342</v>
      </c>
      <c r="I1350" s="1" t="s">
        <v>46</v>
      </c>
      <c r="J1350" s="1" t="s">
        <v>40</v>
      </c>
      <c r="K1350" s="1"/>
      <c r="L1350" s="1"/>
    </row>
    <row r="1351" spans="1:12" s="32" customFormat="1" hidden="1" x14ac:dyDescent="0.3">
      <c r="A1351" s="37">
        <v>46128.449548611112</v>
      </c>
      <c r="B1351" s="1" t="s">
        <v>45</v>
      </c>
      <c r="C1351" s="1">
        <v>44988255390</v>
      </c>
      <c r="D1351" s="1"/>
      <c r="E1351" s="1">
        <v>5</v>
      </c>
      <c r="F1351" s="1">
        <v>0</v>
      </c>
      <c r="G1351" s="1" t="s">
        <v>47</v>
      </c>
      <c r="H1351" s="1" t="s">
        <v>343</v>
      </c>
      <c r="I1351" s="1" t="s">
        <v>46</v>
      </c>
      <c r="J1351" s="1" t="s">
        <v>40</v>
      </c>
      <c r="K1351" s="1"/>
      <c r="L1351" s="1"/>
    </row>
    <row r="1352" spans="1:12" s="32" customFormat="1" hidden="1" x14ac:dyDescent="0.3">
      <c r="A1352" s="37">
        <v>46128.449467592596</v>
      </c>
      <c r="B1352" s="1">
        <v>4432268889</v>
      </c>
      <c r="C1352" s="1" t="s">
        <v>43</v>
      </c>
      <c r="D1352" s="1">
        <v>4430265054</v>
      </c>
      <c r="E1352" s="1">
        <v>76</v>
      </c>
      <c r="F1352" s="1">
        <v>38</v>
      </c>
      <c r="G1352" s="1" t="s">
        <v>38</v>
      </c>
      <c r="H1352" s="1" t="s">
        <v>344</v>
      </c>
      <c r="I1352" s="1" t="s">
        <v>39</v>
      </c>
      <c r="J1352" s="1" t="s">
        <v>40</v>
      </c>
      <c r="K1352" s="1" t="s">
        <v>41</v>
      </c>
      <c r="L1352" s="1"/>
    </row>
    <row r="1353" spans="1:12" s="32" customFormat="1" hidden="1" x14ac:dyDescent="0.3">
      <c r="A1353" s="37">
        <v>46128.44940972222</v>
      </c>
      <c r="B1353" s="1" t="s">
        <v>57</v>
      </c>
      <c r="C1353" s="1">
        <v>4436191501</v>
      </c>
      <c r="D1353" s="1"/>
      <c r="E1353" s="1">
        <v>0</v>
      </c>
      <c r="F1353" s="1">
        <v>0</v>
      </c>
      <c r="G1353" s="1" t="s">
        <v>47</v>
      </c>
      <c r="H1353" s="1" t="s">
        <v>345</v>
      </c>
      <c r="I1353" s="1" t="s">
        <v>46</v>
      </c>
      <c r="J1353" s="1" t="s">
        <v>55</v>
      </c>
      <c r="K1353" s="1"/>
      <c r="L1353" s="1"/>
    </row>
    <row r="1354" spans="1:12" s="32" customFormat="1" hidden="1" x14ac:dyDescent="0.3">
      <c r="A1354" s="37">
        <v>46128.449062500003</v>
      </c>
      <c r="B1354" s="1">
        <v>4121410323</v>
      </c>
      <c r="C1354" s="1">
        <v>4531273161</v>
      </c>
      <c r="D1354" s="1">
        <v>4531273161</v>
      </c>
      <c r="E1354" s="1">
        <v>48</v>
      </c>
      <c r="F1354" s="1">
        <v>48</v>
      </c>
      <c r="G1354" s="1" t="s">
        <v>52</v>
      </c>
      <c r="H1354" s="1" t="s">
        <v>346</v>
      </c>
      <c r="I1354" s="1" t="s">
        <v>39</v>
      </c>
      <c r="J1354" s="1" t="s">
        <v>53</v>
      </c>
      <c r="K1354" s="1" t="s">
        <v>41</v>
      </c>
      <c r="L1354" s="1"/>
    </row>
    <row r="1355" spans="1:12" s="32" customFormat="1" hidden="1" x14ac:dyDescent="0.3">
      <c r="A1355" s="37">
        <v>46128.448946759258</v>
      </c>
      <c r="B1355" s="1">
        <v>44997687156</v>
      </c>
      <c r="C1355" s="1" t="s">
        <v>42</v>
      </c>
      <c r="D1355" s="1">
        <v>4430265054</v>
      </c>
      <c r="E1355" s="1">
        <v>387</v>
      </c>
      <c r="F1355" s="1">
        <v>356</v>
      </c>
      <c r="G1355" s="1" t="s">
        <v>38</v>
      </c>
      <c r="H1355" s="1" t="s">
        <v>347</v>
      </c>
      <c r="I1355" s="1" t="s">
        <v>39</v>
      </c>
      <c r="J1355" s="1" t="s">
        <v>40</v>
      </c>
      <c r="K1355" s="1" t="s">
        <v>41</v>
      </c>
      <c r="L1355" s="1"/>
    </row>
    <row r="1356" spans="1:12" s="32" customFormat="1" hidden="1" x14ac:dyDescent="0.3">
      <c r="A1356" s="37">
        <v>46128.446296296293</v>
      </c>
      <c r="B1356" s="1">
        <v>4121413772</v>
      </c>
      <c r="C1356" s="1" t="s">
        <v>45</v>
      </c>
      <c r="D1356" s="1">
        <v>4531273158</v>
      </c>
      <c r="E1356" s="1">
        <v>46</v>
      </c>
      <c r="F1356" s="1">
        <v>7</v>
      </c>
      <c r="G1356" s="1" t="s">
        <v>38</v>
      </c>
      <c r="H1356" s="1" t="s">
        <v>348</v>
      </c>
      <c r="I1356" s="1" t="s">
        <v>39</v>
      </c>
      <c r="J1356" s="1" t="s">
        <v>40</v>
      </c>
      <c r="K1356" s="1" t="s">
        <v>41</v>
      </c>
      <c r="L1356" s="1"/>
    </row>
    <row r="1357" spans="1:12" s="32" customFormat="1" hidden="1" x14ac:dyDescent="0.3">
      <c r="A1357" s="37">
        <v>46128.443518518521</v>
      </c>
      <c r="B1357" s="1" t="s">
        <v>37</v>
      </c>
      <c r="C1357" s="1">
        <v>4430316847</v>
      </c>
      <c r="D1357" s="1"/>
      <c r="E1357" s="1">
        <v>912</v>
      </c>
      <c r="F1357" s="1">
        <v>894</v>
      </c>
      <c r="G1357" s="1" t="s">
        <v>38</v>
      </c>
      <c r="H1357" s="1" t="s">
        <v>349</v>
      </c>
      <c r="I1357" s="1" t="s">
        <v>46</v>
      </c>
      <c r="J1357" s="1" t="s">
        <v>40</v>
      </c>
      <c r="K1357" s="1"/>
      <c r="L1357" s="1"/>
    </row>
    <row r="1358" spans="1:12" s="32" customFormat="1" hidden="1" x14ac:dyDescent="0.3">
      <c r="A1358" s="37">
        <v>46128.443449074075</v>
      </c>
      <c r="B1358" s="1" t="s">
        <v>37</v>
      </c>
      <c r="C1358" s="1">
        <v>4430316847</v>
      </c>
      <c r="D1358" s="1"/>
      <c r="E1358" s="1">
        <v>3</v>
      </c>
      <c r="F1358" s="1">
        <v>0</v>
      </c>
      <c r="G1358" s="1" t="s">
        <v>47</v>
      </c>
      <c r="H1358" s="1" t="s">
        <v>350</v>
      </c>
      <c r="I1358" s="1" t="s">
        <v>46</v>
      </c>
      <c r="J1358" s="1" t="s">
        <v>40</v>
      </c>
      <c r="K1358" s="1"/>
      <c r="L1358" s="1"/>
    </row>
    <row r="1359" spans="1:12" s="32" customFormat="1" hidden="1" x14ac:dyDescent="0.3">
      <c r="A1359" s="37">
        <v>46128.44159722222</v>
      </c>
      <c r="B1359" s="1">
        <v>44997571961</v>
      </c>
      <c r="C1359" s="1" t="s">
        <v>45</v>
      </c>
      <c r="D1359" s="1">
        <v>4430265054</v>
      </c>
      <c r="E1359" s="1">
        <v>209</v>
      </c>
      <c r="F1359" s="1">
        <v>152</v>
      </c>
      <c r="G1359" s="1" t="s">
        <v>38</v>
      </c>
      <c r="H1359" s="1" t="s">
        <v>351</v>
      </c>
      <c r="I1359" s="1" t="s">
        <v>39</v>
      </c>
      <c r="J1359" s="1" t="s">
        <v>40</v>
      </c>
      <c r="K1359" s="1" t="s">
        <v>41</v>
      </c>
      <c r="L1359" s="1">
        <v>5</v>
      </c>
    </row>
    <row r="1360" spans="1:12" s="32" customFormat="1" hidden="1" x14ac:dyDescent="0.3">
      <c r="A1360" s="37">
        <v>46128.440509259257</v>
      </c>
      <c r="B1360" s="1" t="s">
        <v>48</v>
      </c>
      <c r="C1360" s="1">
        <v>1131043888</v>
      </c>
      <c r="D1360" s="1"/>
      <c r="E1360" s="1">
        <v>787</v>
      </c>
      <c r="F1360" s="1">
        <v>786</v>
      </c>
      <c r="G1360" s="1" t="s">
        <v>38</v>
      </c>
      <c r="H1360" s="1" t="s">
        <v>352</v>
      </c>
      <c r="I1360" s="1" t="s">
        <v>46</v>
      </c>
      <c r="J1360" s="1" t="s">
        <v>40</v>
      </c>
      <c r="K1360" s="1"/>
      <c r="L1360" s="1">
        <v>5</v>
      </c>
    </row>
    <row r="1361" spans="1:12" s="32" customFormat="1" hidden="1" x14ac:dyDescent="0.3">
      <c r="A1361" s="37">
        <v>46128.440023148149</v>
      </c>
      <c r="B1361" s="1">
        <v>44991684895</v>
      </c>
      <c r="C1361" s="1" t="s">
        <v>44</v>
      </c>
      <c r="D1361" s="1">
        <v>4430265054</v>
      </c>
      <c r="E1361" s="1">
        <v>383</v>
      </c>
      <c r="F1361" s="1">
        <v>332</v>
      </c>
      <c r="G1361" s="1" t="s">
        <v>38</v>
      </c>
      <c r="H1361" s="1" t="s">
        <v>353</v>
      </c>
      <c r="I1361" s="1" t="s">
        <v>39</v>
      </c>
      <c r="J1361" s="1" t="s">
        <v>40</v>
      </c>
      <c r="K1361" s="1" t="s">
        <v>41</v>
      </c>
      <c r="L1361" s="1"/>
    </row>
    <row r="1362" spans="1:12" s="32" customFormat="1" hidden="1" x14ac:dyDescent="0.3">
      <c r="A1362" s="37">
        <v>46128.439270833333</v>
      </c>
      <c r="B1362" s="1">
        <v>45999211357</v>
      </c>
      <c r="C1362" s="1" t="s">
        <v>43</v>
      </c>
      <c r="D1362" s="1">
        <v>4431268225</v>
      </c>
      <c r="E1362" s="1">
        <v>107</v>
      </c>
      <c r="F1362" s="1">
        <v>40</v>
      </c>
      <c r="G1362" s="1" t="s">
        <v>38</v>
      </c>
      <c r="H1362" s="1" t="s">
        <v>354</v>
      </c>
      <c r="I1362" s="1" t="s">
        <v>39</v>
      </c>
      <c r="J1362" s="1" t="s">
        <v>40</v>
      </c>
      <c r="K1362" s="1" t="s">
        <v>41</v>
      </c>
      <c r="L1362" s="1"/>
    </row>
    <row r="1363" spans="1:12" s="32" customFormat="1" hidden="1" x14ac:dyDescent="0.3">
      <c r="A1363" s="37">
        <v>46128.437118055554</v>
      </c>
      <c r="B1363" s="1">
        <v>47999760576</v>
      </c>
      <c r="C1363" s="1" t="s">
        <v>42</v>
      </c>
      <c r="D1363" s="1">
        <v>4430265054</v>
      </c>
      <c r="E1363" s="1">
        <v>457</v>
      </c>
      <c r="F1363" s="1">
        <v>382</v>
      </c>
      <c r="G1363" s="1" t="s">
        <v>38</v>
      </c>
      <c r="H1363" s="1" t="s">
        <v>355</v>
      </c>
      <c r="I1363" s="1" t="s">
        <v>39</v>
      </c>
      <c r="J1363" s="1" t="s">
        <v>40</v>
      </c>
      <c r="K1363" s="1" t="s">
        <v>41</v>
      </c>
      <c r="L1363" s="1"/>
    </row>
    <row r="1364" spans="1:12" s="32" customFormat="1" hidden="1" x14ac:dyDescent="0.3">
      <c r="A1364" s="37">
        <v>46128.436944444446</v>
      </c>
      <c r="B1364" s="1">
        <v>1128787060</v>
      </c>
      <c r="C1364" s="1" t="s">
        <v>37</v>
      </c>
      <c r="D1364" s="1">
        <v>4430265054</v>
      </c>
      <c r="E1364" s="1">
        <v>289</v>
      </c>
      <c r="F1364" s="1">
        <v>177</v>
      </c>
      <c r="G1364" s="1" t="s">
        <v>38</v>
      </c>
      <c r="H1364" s="1" t="s">
        <v>356</v>
      </c>
      <c r="I1364" s="1" t="s">
        <v>39</v>
      </c>
      <c r="J1364" s="1" t="s">
        <v>40</v>
      </c>
      <c r="K1364" s="1" t="s">
        <v>41</v>
      </c>
      <c r="L1364" s="1"/>
    </row>
    <row r="1365" spans="1:12" s="32" customFormat="1" hidden="1" x14ac:dyDescent="0.3">
      <c r="A1365" s="37">
        <v>46128.433321759258</v>
      </c>
      <c r="B1365" s="1" t="s">
        <v>37</v>
      </c>
      <c r="C1365" s="1">
        <v>4432226677</v>
      </c>
      <c r="D1365" s="1"/>
      <c r="E1365" s="1">
        <v>57</v>
      </c>
      <c r="F1365" s="1">
        <v>41</v>
      </c>
      <c r="G1365" s="1" t="s">
        <v>38</v>
      </c>
      <c r="H1365" s="1" t="s">
        <v>357</v>
      </c>
      <c r="I1365" s="1" t="s">
        <v>46</v>
      </c>
      <c r="J1365" s="1" t="s">
        <v>40</v>
      </c>
      <c r="K1365" s="1"/>
      <c r="L1365" s="1"/>
    </row>
    <row r="1366" spans="1:12" s="32" customFormat="1" hidden="1" x14ac:dyDescent="0.3">
      <c r="A1366" s="37">
        <v>46128.433263888888</v>
      </c>
      <c r="B1366" s="1" t="s">
        <v>37</v>
      </c>
      <c r="C1366" s="1">
        <v>4432226677</v>
      </c>
      <c r="D1366" s="1"/>
      <c r="E1366" s="1">
        <v>3</v>
      </c>
      <c r="F1366" s="1">
        <v>0</v>
      </c>
      <c r="G1366" s="1" t="s">
        <v>47</v>
      </c>
      <c r="H1366" s="1" t="s">
        <v>358</v>
      </c>
      <c r="I1366" s="1" t="s">
        <v>46</v>
      </c>
      <c r="J1366" s="1" t="s">
        <v>40</v>
      </c>
      <c r="K1366" s="1"/>
      <c r="L1366" s="1"/>
    </row>
    <row r="1367" spans="1:12" s="32" customFormat="1" hidden="1" x14ac:dyDescent="0.3">
      <c r="A1367" s="37">
        <v>46128.43273148148</v>
      </c>
      <c r="B1367" s="1" t="s">
        <v>37</v>
      </c>
      <c r="C1367" s="1">
        <v>4432226677</v>
      </c>
      <c r="D1367" s="1"/>
      <c r="E1367" s="1">
        <v>3</v>
      </c>
      <c r="F1367" s="1">
        <v>0</v>
      </c>
      <c r="G1367" s="1" t="s">
        <v>47</v>
      </c>
      <c r="H1367" s="1" t="s">
        <v>359</v>
      </c>
      <c r="I1367" s="1" t="s">
        <v>46</v>
      </c>
      <c r="J1367" s="1" t="s">
        <v>40</v>
      </c>
      <c r="K1367" s="1"/>
      <c r="L1367" s="1"/>
    </row>
    <row r="1368" spans="1:12" s="32" customFormat="1" hidden="1" x14ac:dyDescent="0.3">
      <c r="A1368" s="37">
        <v>46128.431319444448</v>
      </c>
      <c r="B1368" s="1">
        <v>45999211357</v>
      </c>
      <c r="C1368" s="1">
        <v>4431268225</v>
      </c>
      <c r="D1368" s="1">
        <v>4431268225</v>
      </c>
      <c r="E1368" s="1">
        <v>75</v>
      </c>
      <c r="F1368" s="1">
        <v>74</v>
      </c>
      <c r="G1368" s="1" t="s">
        <v>52</v>
      </c>
      <c r="H1368" s="1" t="s">
        <v>360</v>
      </c>
      <c r="I1368" s="1" t="s">
        <v>39</v>
      </c>
      <c r="J1368" s="1" t="s">
        <v>53</v>
      </c>
      <c r="K1368" s="1" t="s">
        <v>41</v>
      </c>
      <c r="L1368" s="1"/>
    </row>
    <row r="1369" spans="1:12" s="32" customFormat="1" hidden="1" x14ac:dyDescent="0.3">
      <c r="A1369" s="37">
        <v>46128.431284722225</v>
      </c>
      <c r="B1369" s="1">
        <v>4430282545</v>
      </c>
      <c r="C1369" s="1" t="s">
        <v>45</v>
      </c>
      <c r="D1369" s="1">
        <v>4430265054</v>
      </c>
      <c r="E1369" s="1">
        <v>125</v>
      </c>
      <c r="F1369" s="1">
        <v>48</v>
      </c>
      <c r="G1369" s="1" t="s">
        <v>38</v>
      </c>
      <c r="H1369" s="1" t="s">
        <v>361</v>
      </c>
      <c r="I1369" s="1" t="s">
        <v>39</v>
      </c>
      <c r="J1369" s="1" t="s">
        <v>40</v>
      </c>
      <c r="K1369" s="1" t="s">
        <v>41</v>
      </c>
      <c r="L1369" s="1"/>
    </row>
    <row r="1370" spans="1:12" s="32" customFormat="1" hidden="1" x14ac:dyDescent="0.3">
      <c r="A1370" s="37">
        <v>46128.428043981483</v>
      </c>
      <c r="B1370" s="1">
        <v>4330332823</v>
      </c>
      <c r="C1370" s="1" t="s">
        <v>45</v>
      </c>
      <c r="D1370" s="1">
        <v>4430265054</v>
      </c>
      <c r="E1370" s="1">
        <v>143</v>
      </c>
      <c r="F1370" s="1">
        <v>79</v>
      </c>
      <c r="G1370" s="1" t="s">
        <v>38</v>
      </c>
      <c r="H1370" s="1" t="s">
        <v>362</v>
      </c>
      <c r="I1370" s="1" t="s">
        <v>39</v>
      </c>
      <c r="J1370" s="1" t="s">
        <v>40</v>
      </c>
      <c r="K1370" s="1" t="s">
        <v>41</v>
      </c>
      <c r="L1370" s="1"/>
    </row>
    <row r="1371" spans="1:12" s="32" customFormat="1" hidden="1" x14ac:dyDescent="0.3">
      <c r="A1371" s="37">
        <v>46128.426168981481</v>
      </c>
      <c r="B1371" s="1">
        <v>4334234629</v>
      </c>
      <c r="C1371" s="1" t="s">
        <v>44</v>
      </c>
      <c r="D1371" s="1">
        <v>4430265054</v>
      </c>
      <c r="E1371" s="1">
        <v>546</v>
      </c>
      <c r="F1371" s="1">
        <v>429</v>
      </c>
      <c r="G1371" s="1" t="s">
        <v>38</v>
      </c>
      <c r="H1371" s="1" t="s">
        <v>363</v>
      </c>
      <c r="I1371" s="1" t="s">
        <v>39</v>
      </c>
      <c r="J1371" s="1" t="s">
        <v>40</v>
      </c>
      <c r="K1371" s="1" t="s">
        <v>41</v>
      </c>
      <c r="L1371" s="1">
        <v>5</v>
      </c>
    </row>
    <row r="1372" spans="1:12" s="32" customFormat="1" hidden="1" x14ac:dyDescent="0.3">
      <c r="A1372" s="37">
        <v>46128.424849537034</v>
      </c>
      <c r="B1372" s="1">
        <v>4130263118</v>
      </c>
      <c r="C1372" s="1" t="s">
        <v>45</v>
      </c>
      <c r="D1372" s="1">
        <v>4430265054</v>
      </c>
      <c r="E1372" s="1">
        <v>113</v>
      </c>
      <c r="F1372" s="1">
        <v>68</v>
      </c>
      <c r="G1372" s="1" t="s">
        <v>38</v>
      </c>
      <c r="H1372" s="1" t="s">
        <v>364</v>
      </c>
      <c r="I1372" s="1" t="s">
        <v>39</v>
      </c>
      <c r="J1372" s="1" t="s">
        <v>40</v>
      </c>
      <c r="K1372" s="1" t="s">
        <v>41</v>
      </c>
      <c r="L1372" s="1"/>
    </row>
    <row r="1373" spans="1:12" s="32" customFormat="1" hidden="1" x14ac:dyDescent="0.3">
      <c r="A1373" s="37">
        <v>46128.421851851854</v>
      </c>
      <c r="B1373" s="1">
        <v>4334226481</v>
      </c>
      <c r="C1373" s="1">
        <v>4430265054</v>
      </c>
      <c r="D1373" s="1">
        <v>4430265054</v>
      </c>
      <c r="E1373" s="1">
        <v>105</v>
      </c>
      <c r="F1373" s="1">
        <v>104</v>
      </c>
      <c r="G1373" s="1" t="s">
        <v>52</v>
      </c>
      <c r="H1373" s="1" t="s">
        <v>365</v>
      </c>
      <c r="I1373" s="1" t="s">
        <v>39</v>
      </c>
      <c r="J1373" s="1" t="s">
        <v>53</v>
      </c>
      <c r="K1373" s="1" t="s">
        <v>41</v>
      </c>
      <c r="L1373" s="1"/>
    </row>
    <row r="1374" spans="1:12" s="32" customFormat="1" hidden="1" x14ac:dyDescent="0.3">
      <c r="A1374" s="37">
        <v>46128.415347222224</v>
      </c>
      <c r="B1374" s="1">
        <v>4130155076</v>
      </c>
      <c r="C1374" s="1" t="s">
        <v>42</v>
      </c>
      <c r="D1374" s="1">
        <v>4430265054</v>
      </c>
      <c r="E1374" s="1">
        <v>829</v>
      </c>
      <c r="F1374" s="1">
        <v>739</v>
      </c>
      <c r="G1374" s="1" t="s">
        <v>38</v>
      </c>
      <c r="H1374" s="1" t="s">
        <v>366</v>
      </c>
      <c r="I1374" s="1" t="s">
        <v>39</v>
      </c>
      <c r="J1374" s="1" t="s">
        <v>40</v>
      </c>
      <c r="K1374" s="1" t="s">
        <v>41</v>
      </c>
      <c r="L1374" s="1"/>
    </row>
    <row r="1375" spans="1:12" s="32" customFormat="1" hidden="1" x14ac:dyDescent="0.3">
      <c r="A1375" s="37">
        <v>46128.407523148147</v>
      </c>
      <c r="B1375" s="1">
        <v>44997400641</v>
      </c>
      <c r="C1375" s="1" t="s">
        <v>43</v>
      </c>
      <c r="D1375" s="1">
        <v>4430265054</v>
      </c>
      <c r="E1375" s="1">
        <v>517</v>
      </c>
      <c r="F1375" s="1">
        <v>466</v>
      </c>
      <c r="G1375" s="1" t="s">
        <v>38</v>
      </c>
      <c r="H1375" s="1" t="s">
        <v>367</v>
      </c>
      <c r="I1375" s="1" t="s">
        <v>39</v>
      </c>
      <c r="J1375" s="1" t="s">
        <v>40</v>
      </c>
      <c r="K1375" s="1" t="s">
        <v>41</v>
      </c>
      <c r="L1375" s="1"/>
    </row>
    <row r="1376" spans="1:12" s="32" customFormat="1" hidden="1" x14ac:dyDescent="0.3">
      <c r="A1376" s="37">
        <v>46128.405601851853</v>
      </c>
      <c r="B1376" s="1">
        <v>4432677399</v>
      </c>
      <c r="C1376" s="1">
        <v>4430265054</v>
      </c>
      <c r="D1376" s="1">
        <v>4430265054</v>
      </c>
      <c r="E1376" s="1">
        <v>92</v>
      </c>
      <c r="F1376" s="1">
        <v>92</v>
      </c>
      <c r="G1376" s="1" t="s">
        <v>52</v>
      </c>
      <c r="H1376" s="1" t="s">
        <v>368</v>
      </c>
      <c r="I1376" s="1" t="s">
        <v>39</v>
      </c>
      <c r="J1376" s="1" t="s">
        <v>53</v>
      </c>
      <c r="K1376" s="1" t="s">
        <v>41</v>
      </c>
      <c r="L1376" s="1"/>
    </row>
    <row r="1377" spans="1:12" s="32" customFormat="1" hidden="1" x14ac:dyDescent="0.3">
      <c r="A1377" s="37">
        <v>46128.405590277776</v>
      </c>
      <c r="B1377" s="1">
        <v>44988255390</v>
      </c>
      <c r="C1377" s="1" t="s">
        <v>45</v>
      </c>
      <c r="D1377" s="1">
        <v>4430265054</v>
      </c>
      <c r="E1377" s="1">
        <v>271</v>
      </c>
      <c r="F1377" s="1">
        <v>130</v>
      </c>
      <c r="G1377" s="1" t="s">
        <v>38</v>
      </c>
      <c r="H1377" s="1" t="s">
        <v>369</v>
      </c>
      <c r="I1377" s="1" t="s">
        <v>39</v>
      </c>
      <c r="J1377" s="1" t="s">
        <v>40</v>
      </c>
      <c r="K1377" s="1" t="s">
        <v>41</v>
      </c>
      <c r="L1377" s="1"/>
    </row>
    <row r="1378" spans="1:12" s="32" customFormat="1" hidden="1" x14ac:dyDescent="0.3">
      <c r="A1378" s="37">
        <v>46128.399687500001</v>
      </c>
      <c r="B1378" s="1">
        <v>4432677399</v>
      </c>
      <c r="C1378" s="1">
        <v>4430265054</v>
      </c>
      <c r="D1378" s="1">
        <v>4430265054</v>
      </c>
      <c r="E1378" s="1">
        <v>20</v>
      </c>
      <c r="F1378" s="1">
        <v>19</v>
      </c>
      <c r="G1378" s="1" t="s">
        <v>52</v>
      </c>
      <c r="H1378" s="1" t="s">
        <v>370</v>
      </c>
      <c r="I1378" s="1" t="s">
        <v>39</v>
      </c>
      <c r="J1378" s="1" t="s">
        <v>53</v>
      </c>
      <c r="K1378" s="1"/>
      <c r="L1378" s="1"/>
    </row>
    <row r="1379" spans="1:12" s="32" customFormat="1" hidden="1" x14ac:dyDescent="0.3">
      <c r="A1379" s="37">
        <v>46128.398842592593</v>
      </c>
      <c r="B1379" s="1" t="s">
        <v>57</v>
      </c>
      <c r="C1379" s="1">
        <v>4432541200</v>
      </c>
      <c r="D1379" s="1"/>
      <c r="E1379" s="1">
        <v>149</v>
      </c>
      <c r="F1379" s="1">
        <v>144</v>
      </c>
      <c r="G1379" s="1" t="s">
        <v>38</v>
      </c>
      <c r="H1379" s="1" t="s">
        <v>371</v>
      </c>
      <c r="I1379" s="1" t="s">
        <v>46</v>
      </c>
      <c r="J1379" s="1" t="s">
        <v>55</v>
      </c>
      <c r="K1379" s="1"/>
      <c r="L1379" s="1"/>
    </row>
    <row r="1380" spans="1:12" s="32" customFormat="1" hidden="1" x14ac:dyDescent="0.3">
      <c r="A1380" s="37">
        <v>46128.398368055554</v>
      </c>
      <c r="B1380" s="1" t="s">
        <v>37</v>
      </c>
      <c r="C1380" s="1">
        <v>4432226677</v>
      </c>
      <c r="D1380" s="1"/>
      <c r="E1380" s="1">
        <v>311</v>
      </c>
      <c r="F1380" s="1">
        <v>303</v>
      </c>
      <c r="G1380" s="1" t="s">
        <v>38</v>
      </c>
      <c r="H1380" s="1" t="s">
        <v>372</v>
      </c>
      <c r="I1380" s="1" t="s">
        <v>46</v>
      </c>
      <c r="J1380" s="1" t="s">
        <v>40</v>
      </c>
      <c r="K1380" s="1"/>
      <c r="L1380" s="1"/>
    </row>
    <row r="1381" spans="1:12" s="32" customFormat="1" hidden="1" x14ac:dyDescent="0.3">
      <c r="A1381" s="37">
        <v>46128.397337962961</v>
      </c>
      <c r="B1381" s="1">
        <v>44997400641</v>
      </c>
      <c r="C1381" s="1" t="s">
        <v>42</v>
      </c>
      <c r="D1381" s="1">
        <v>4430265054</v>
      </c>
      <c r="E1381" s="1">
        <v>140</v>
      </c>
      <c r="F1381" s="1">
        <v>1</v>
      </c>
      <c r="G1381" s="1" t="s">
        <v>38</v>
      </c>
      <c r="H1381" s="1" t="s">
        <v>374</v>
      </c>
      <c r="I1381" s="1" t="s">
        <v>39</v>
      </c>
      <c r="J1381" s="1" t="s">
        <v>40</v>
      </c>
      <c r="K1381" s="1" t="s">
        <v>41</v>
      </c>
      <c r="L1381" s="1"/>
    </row>
    <row r="1382" spans="1:12" s="32" customFormat="1" hidden="1" x14ac:dyDescent="0.3">
      <c r="A1382" s="37">
        <v>46128.397337962961</v>
      </c>
      <c r="B1382" s="1">
        <v>4430152023</v>
      </c>
      <c r="C1382" s="1" t="s">
        <v>42</v>
      </c>
      <c r="D1382" s="1">
        <v>4430265054</v>
      </c>
      <c r="E1382" s="1">
        <v>371</v>
      </c>
      <c r="F1382" s="1">
        <v>217</v>
      </c>
      <c r="G1382" s="1" t="s">
        <v>38</v>
      </c>
      <c r="H1382" s="1" t="s">
        <v>373</v>
      </c>
      <c r="I1382" s="1" t="s">
        <v>39</v>
      </c>
      <c r="J1382" s="1" t="s">
        <v>40</v>
      </c>
      <c r="K1382" s="1" t="s">
        <v>41</v>
      </c>
      <c r="L1382" s="1"/>
    </row>
    <row r="1383" spans="1:12" s="32" customFormat="1" hidden="1" x14ac:dyDescent="0.3">
      <c r="A1383" s="37">
        <v>46128.39671296296</v>
      </c>
      <c r="B1383" s="1" t="s">
        <v>43</v>
      </c>
      <c r="C1383" s="1">
        <v>43988030048</v>
      </c>
      <c r="D1383" s="1"/>
      <c r="E1383" s="1">
        <v>904</v>
      </c>
      <c r="F1383" s="1">
        <v>893</v>
      </c>
      <c r="G1383" s="1" t="s">
        <v>38</v>
      </c>
      <c r="H1383" s="1" t="s">
        <v>375</v>
      </c>
      <c r="I1383" s="1" t="s">
        <v>46</v>
      </c>
      <c r="J1383" s="1" t="s">
        <v>40</v>
      </c>
      <c r="K1383" s="1"/>
      <c r="L1383" s="1"/>
    </row>
    <row r="1384" spans="1:12" s="32" customFormat="1" hidden="1" x14ac:dyDescent="0.3">
      <c r="A1384" s="37">
        <v>46128.395509259259</v>
      </c>
      <c r="B1384" s="1" t="s">
        <v>37</v>
      </c>
      <c r="C1384" s="1">
        <v>4432268889</v>
      </c>
      <c r="D1384" s="1"/>
      <c r="E1384" s="1">
        <v>75</v>
      </c>
      <c r="F1384" s="1">
        <v>62</v>
      </c>
      <c r="G1384" s="1" t="s">
        <v>38</v>
      </c>
      <c r="H1384" s="1" t="s">
        <v>376</v>
      </c>
      <c r="I1384" s="1" t="s">
        <v>46</v>
      </c>
      <c r="J1384" s="1" t="s">
        <v>40</v>
      </c>
      <c r="K1384" s="1"/>
      <c r="L1384" s="1"/>
    </row>
    <row r="1385" spans="1:12" s="32" customFormat="1" hidden="1" x14ac:dyDescent="0.3">
      <c r="A1385" s="37">
        <v>46128.382314814815</v>
      </c>
      <c r="B1385" s="1">
        <v>4133491428</v>
      </c>
      <c r="C1385" s="1" t="s">
        <v>44</v>
      </c>
      <c r="D1385" s="1">
        <v>4430265054</v>
      </c>
      <c r="E1385" s="1">
        <v>289</v>
      </c>
      <c r="F1385" s="1">
        <v>103</v>
      </c>
      <c r="G1385" s="1" t="s">
        <v>38</v>
      </c>
      <c r="H1385" s="1" t="s">
        <v>377</v>
      </c>
      <c r="I1385" s="1" t="s">
        <v>39</v>
      </c>
      <c r="J1385" s="1" t="s">
        <v>40</v>
      </c>
      <c r="K1385" s="1" t="s">
        <v>41</v>
      </c>
      <c r="L1385" s="1"/>
    </row>
    <row r="1386" spans="1:12" s="32" customFormat="1" hidden="1" x14ac:dyDescent="0.3">
      <c r="A1386" s="37">
        <v>46128.381319444445</v>
      </c>
      <c r="B1386" s="1">
        <v>45999211357</v>
      </c>
      <c r="C1386" s="1" t="s">
        <v>43</v>
      </c>
      <c r="D1386" s="1">
        <v>4431268225</v>
      </c>
      <c r="E1386" s="1">
        <v>613</v>
      </c>
      <c r="F1386" s="1">
        <v>588</v>
      </c>
      <c r="G1386" s="1" t="s">
        <v>38</v>
      </c>
      <c r="H1386" s="1" t="s">
        <v>378</v>
      </c>
      <c r="I1386" s="1" t="s">
        <v>39</v>
      </c>
      <c r="J1386" s="1" t="s">
        <v>40</v>
      </c>
      <c r="K1386" s="1" t="s">
        <v>41</v>
      </c>
      <c r="L1386" s="1"/>
    </row>
    <row r="1387" spans="1:12" s="32" customFormat="1" hidden="1" x14ac:dyDescent="0.3">
      <c r="A1387" s="37">
        <v>46128.378379629627</v>
      </c>
      <c r="B1387" s="1">
        <v>44999629349</v>
      </c>
      <c r="C1387" s="1" t="s">
        <v>37</v>
      </c>
      <c r="D1387" s="1">
        <v>4430265054</v>
      </c>
      <c r="E1387" s="1">
        <v>357</v>
      </c>
      <c r="F1387" s="1">
        <v>236</v>
      </c>
      <c r="G1387" s="1" t="s">
        <v>38</v>
      </c>
      <c r="H1387" s="1" t="s">
        <v>379</v>
      </c>
      <c r="I1387" s="1" t="s">
        <v>39</v>
      </c>
      <c r="J1387" s="1" t="s">
        <v>40</v>
      </c>
      <c r="K1387" s="1" t="s">
        <v>41</v>
      </c>
      <c r="L1387" s="1"/>
    </row>
    <row r="1388" spans="1:12" s="32" customFormat="1" hidden="1" x14ac:dyDescent="0.3">
      <c r="A1388" s="37">
        <v>46128.378287037034</v>
      </c>
      <c r="B1388" s="1" t="s">
        <v>48</v>
      </c>
      <c r="C1388" s="1">
        <v>44997400641</v>
      </c>
      <c r="D1388" s="1"/>
      <c r="E1388" s="1">
        <v>871</v>
      </c>
      <c r="F1388" s="1">
        <v>861</v>
      </c>
      <c r="G1388" s="1" t="s">
        <v>38</v>
      </c>
      <c r="H1388" s="1" t="s">
        <v>380</v>
      </c>
      <c r="I1388" s="1" t="s">
        <v>46</v>
      </c>
      <c r="J1388" s="1" t="s">
        <v>40</v>
      </c>
      <c r="K1388" s="1"/>
      <c r="L1388" s="1"/>
    </row>
    <row r="1389" spans="1:12" s="32" customFormat="1" hidden="1" x14ac:dyDescent="0.3">
      <c r="A1389" s="37">
        <v>46128.372291666667</v>
      </c>
      <c r="B1389" s="1">
        <v>1732146970</v>
      </c>
      <c r="C1389" s="1" t="s">
        <v>44</v>
      </c>
      <c r="D1389" s="1">
        <v>4431268225</v>
      </c>
      <c r="E1389" s="1">
        <v>1013</v>
      </c>
      <c r="F1389" s="1">
        <v>901</v>
      </c>
      <c r="G1389" s="1" t="s">
        <v>38</v>
      </c>
      <c r="H1389" s="1" t="s">
        <v>381</v>
      </c>
      <c r="I1389" s="1" t="s">
        <v>39</v>
      </c>
      <c r="J1389" s="1" t="s">
        <v>40</v>
      </c>
      <c r="K1389" s="1" t="s">
        <v>41</v>
      </c>
      <c r="L1389" s="1"/>
    </row>
    <row r="1390" spans="1:12" s="32" customFormat="1" hidden="1" x14ac:dyDescent="0.3">
      <c r="A1390" s="37">
        <v>46128.372141203705</v>
      </c>
      <c r="B1390" s="1" t="s">
        <v>45</v>
      </c>
      <c r="C1390" s="1">
        <v>15998536957</v>
      </c>
      <c r="D1390" s="1"/>
      <c r="E1390" s="1">
        <v>1232</v>
      </c>
      <c r="F1390" s="1">
        <v>1222</v>
      </c>
      <c r="G1390" s="1" t="s">
        <v>38</v>
      </c>
      <c r="H1390" s="1" t="s">
        <v>382</v>
      </c>
      <c r="I1390" s="1" t="s">
        <v>46</v>
      </c>
      <c r="J1390" s="1" t="s">
        <v>40</v>
      </c>
      <c r="K1390" s="1"/>
      <c r="L1390" s="1"/>
    </row>
    <row r="1391" spans="1:12" s="32" customFormat="1" hidden="1" x14ac:dyDescent="0.3">
      <c r="A1391" s="37">
        <v>46128.371469907404</v>
      </c>
      <c r="B1391" s="1">
        <v>1732146970</v>
      </c>
      <c r="C1391" s="1">
        <v>4431268225</v>
      </c>
      <c r="D1391" s="1">
        <v>4431268225</v>
      </c>
      <c r="E1391" s="1">
        <v>44</v>
      </c>
      <c r="F1391" s="1">
        <v>44</v>
      </c>
      <c r="G1391" s="1" t="s">
        <v>52</v>
      </c>
      <c r="H1391" s="1" t="s">
        <v>383</v>
      </c>
      <c r="I1391" s="1" t="s">
        <v>39</v>
      </c>
      <c r="J1391" s="1" t="s">
        <v>53</v>
      </c>
      <c r="K1391" s="1" t="s">
        <v>41</v>
      </c>
      <c r="L1391" s="1"/>
    </row>
    <row r="1392" spans="1:12" s="32" customFormat="1" hidden="1" x14ac:dyDescent="0.3">
      <c r="A1392" s="37">
        <v>46128.371400462966</v>
      </c>
      <c r="B1392" s="1" t="s">
        <v>45</v>
      </c>
      <c r="C1392" s="1">
        <v>15996808250</v>
      </c>
      <c r="D1392" s="1"/>
      <c r="E1392" s="1">
        <v>41</v>
      </c>
      <c r="F1392" s="1">
        <v>0</v>
      </c>
      <c r="G1392" s="1" t="s">
        <v>47</v>
      </c>
      <c r="H1392" s="1" t="s">
        <v>384</v>
      </c>
      <c r="I1392" s="1" t="s">
        <v>46</v>
      </c>
      <c r="J1392" s="1" t="s">
        <v>40</v>
      </c>
      <c r="K1392" s="1"/>
      <c r="L1392" s="1"/>
    </row>
    <row r="1393" spans="1:12" s="32" customFormat="1" hidden="1" x14ac:dyDescent="0.3">
      <c r="A1393" s="37">
        <v>46128.370613425926</v>
      </c>
      <c r="B1393" s="1" t="s">
        <v>48</v>
      </c>
      <c r="C1393" s="1">
        <v>44997400641</v>
      </c>
      <c r="D1393" s="1"/>
      <c r="E1393" s="1">
        <v>416</v>
      </c>
      <c r="F1393" s="1">
        <v>406</v>
      </c>
      <c r="G1393" s="1" t="s">
        <v>38</v>
      </c>
      <c r="H1393" s="1" t="s">
        <v>385</v>
      </c>
      <c r="I1393" s="1" t="s">
        <v>46</v>
      </c>
      <c r="J1393" s="1" t="s">
        <v>40</v>
      </c>
      <c r="K1393" s="1"/>
      <c r="L1393" s="1"/>
    </row>
    <row r="1394" spans="1:12" s="32" customFormat="1" hidden="1" x14ac:dyDescent="0.3">
      <c r="A1394" s="37">
        <v>46128.368298611109</v>
      </c>
      <c r="B1394" s="1" t="s">
        <v>45</v>
      </c>
      <c r="C1394" s="1">
        <v>15996808250</v>
      </c>
      <c r="D1394" s="1"/>
      <c r="E1394" s="1">
        <v>18</v>
      </c>
      <c r="F1394" s="1">
        <v>0</v>
      </c>
      <c r="G1394" s="1" t="s">
        <v>47</v>
      </c>
      <c r="H1394" s="1" t="s">
        <v>386</v>
      </c>
      <c r="I1394" s="1" t="s">
        <v>46</v>
      </c>
      <c r="J1394" s="1" t="s">
        <v>40</v>
      </c>
      <c r="K1394" s="1"/>
      <c r="L1394" s="1"/>
    </row>
    <row r="1395" spans="1:12" s="32" customFormat="1" hidden="1" x14ac:dyDescent="0.3">
      <c r="A1395" s="37">
        <v>46128.367685185185</v>
      </c>
      <c r="B1395" s="1" t="s">
        <v>45</v>
      </c>
      <c r="C1395" s="1">
        <v>15996808250</v>
      </c>
      <c r="D1395" s="1"/>
      <c r="E1395" s="1">
        <v>28</v>
      </c>
      <c r="F1395" s="1">
        <v>0</v>
      </c>
      <c r="G1395" s="1" t="s">
        <v>47</v>
      </c>
      <c r="H1395" s="1" t="s">
        <v>387</v>
      </c>
      <c r="I1395" s="1" t="s">
        <v>46</v>
      </c>
      <c r="J1395" s="1" t="s">
        <v>40</v>
      </c>
      <c r="K1395" s="1"/>
      <c r="L1395" s="1"/>
    </row>
    <row r="1396" spans="1:12" s="32" customFormat="1" hidden="1" x14ac:dyDescent="0.3">
      <c r="A1396" s="37">
        <v>46128.366400462961</v>
      </c>
      <c r="B1396" s="1">
        <v>44997343311</v>
      </c>
      <c r="C1396" s="1" t="s">
        <v>42</v>
      </c>
      <c r="D1396" s="1">
        <v>4430265054</v>
      </c>
      <c r="E1396" s="1">
        <v>1209</v>
      </c>
      <c r="F1396" s="1">
        <v>1132</v>
      </c>
      <c r="G1396" s="1" t="s">
        <v>38</v>
      </c>
      <c r="H1396" s="1" t="s">
        <v>388</v>
      </c>
      <c r="I1396" s="1" t="s">
        <v>39</v>
      </c>
      <c r="J1396" s="1" t="s">
        <v>40</v>
      </c>
      <c r="K1396" s="1" t="s">
        <v>41</v>
      </c>
      <c r="L1396" s="1">
        <v>5</v>
      </c>
    </row>
    <row r="1397" spans="1:12" s="32" customFormat="1" hidden="1" x14ac:dyDescent="0.3">
      <c r="A1397" s="37">
        <v>46128.362245370372</v>
      </c>
      <c r="B1397" s="1">
        <v>4330333542</v>
      </c>
      <c r="C1397" s="1" t="s">
        <v>43</v>
      </c>
      <c r="D1397" s="1">
        <v>4430265054</v>
      </c>
      <c r="E1397" s="1">
        <v>985</v>
      </c>
      <c r="F1397" s="1">
        <v>907</v>
      </c>
      <c r="G1397" s="1" t="s">
        <v>38</v>
      </c>
      <c r="H1397" s="1" t="s">
        <v>389</v>
      </c>
      <c r="I1397" s="1" t="s">
        <v>39</v>
      </c>
      <c r="J1397" s="1" t="s">
        <v>40</v>
      </c>
      <c r="K1397" s="1" t="s">
        <v>41</v>
      </c>
      <c r="L1397" s="1"/>
    </row>
    <row r="1398" spans="1:12" s="32" customFormat="1" hidden="1" x14ac:dyDescent="0.3">
      <c r="A1398" s="37">
        <v>46128.36141203704</v>
      </c>
      <c r="B1398" s="1">
        <v>4135007070</v>
      </c>
      <c r="C1398" s="1">
        <v>4430265054</v>
      </c>
      <c r="D1398" s="1">
        <v>4430265054</v>
      </c>
      <c r="E1398" s="1">
        <v>6</v>
      </c>
      <c r="F1398" s="1">
        <v>5</v>
      </c>
      <c r="G1398" s="1" t="s">
        <v>52</v>
      </c>
      <c r="H1398" s="1" t="s">
        <v>390</v>
      </c>
      <c r="I1398" s="1" t="s">
        <v>39</v>
      </c>
      <c r="J1398" s="1" t="s">
        <v>53</v>
      </c>
      <c r="K1398" s="1"/>
      <c r="L1398" s="1"/>
    </row>
    <row r="1399" spans="1:12" s="32" customFormat="1" hidden="1" x14ac:dyDescent="0.3">
      <c r="A1399" s="37">
        <v>46128.358877314815</v>
      </c>
      <c r="B1399" s="1">
        <v>44997400641</v>
      </c>
      <c r="C1399" s="1" t="s">
        <v>48</v>
      </c>
      <c r="D1399" s="1">
        <v>4431268225</v>
      </c>
      <c r="E1399" s="1">
        <v>159</v>
      </c>
      <c r="F1399" s="1">
        <v>125</v>
      </c>
      <c r="G1399" s="1" t="s">
        <v>38</v>
      </c>
      <c r="H1399" s="1" t="s">
        <v>391</v>
      </c>
      <c r="I1399" s="1" t="s">
        <v>39</v>
      </c>
      <c r="J1399" s="1" t="s">
        <v>40</v>
      </c>
      <c r="K1399" s="1" t="s">
        <v>41</v>
      </c>
      <c r="L1399" s="1"/>
    </row>
    <row r="1400" spans="1:12" s="32" customFormat="1" hidden="1" x14ac:dyDescent="0.3">
      <c r="A1400" s="37">
        <v>46128.358159722222</v>
      </c>
      <c r="B1400" s="1" t="s">
        <v>42</v>
      </c>
      <c r="C1400" s="1">
        <v>4432325260</v>
      </c>
      <c r="D1400" s="1"/>
      <c r="E1400" s="1">
        <v>312</v>
      </c>
      <c r="F1400" s="1">
        <v>306</v>
      </c>
      <c r="G1400" s="1" t="s">
        <v>38</v>
      </c>
      <c r="H1400" s="1" t="s">
        <v>392</v>
      </c>
      <c r="I1400" s="1" t="s">
        <v>46</v>
      </c>
      <c r="J1400" s="1" t="s">
        <v>40</v>
      </c>
      <c r="K1400" s="1"/>
      <c r="L1400" s="1"/>
    </row>
    <row r="1401" spans="1:12" s="32" customFormat="1" hidden="1" x14ac:dyDescent="0.3">
      <c r="A1401" s="37">
        <v>46128.357048611113</v>
      </c>
      <c r="B1401" s="1">
        <v>44997400641</v>
      </c>
      <c r="C1401" s="1" t="s">
        <v>43</v>
      </c>
      <c r="D1401" s="1">
        <v>4430265054</v>
      </c>
      <c r="E1401" s="1">
        <v>115</v>
      </c>
      <c r="F1401" s="1">
        <v>3</v>
      </c>
      <c r="G1401" s="1" t="s">
        <v>38</v>
      </c>
      <c r="H1401" s="1" t="s">
        <v>393</v>
      </c>
      <c r="I1401" s="1" t="s">
        <v>39</v>
      </c>
      <c r="J1401" s="1" t="s">
        <v>40</v>
      </c>
      <c r="K1401" s="1" t="s">
        <v>41</v>
      </c>
      <c r="L1401" s="1"/>
    </row>
    <row r="1402" spans="1:12" s="32" customFormat="1" hidden="1" x14ac:dyDescent="0.3">
      <c r="A1402" s="37">
        <v>46128.355706018519</v>
      </c>
      <c r="B1402" s="1" t="s">
        <v>37</v>
      </c>
      <c r="C1402" s="1">
        <v>4430316847</v>
      </c>
      <c r="D1402" s="1"/>
      <c r="E1402" s="1">
        <v>656</v>
      </c>
      <c r="F1402" s="1">
        <v>639</v>
      </c>
      <c r="G1402" s="1" t="s">
        <v>38</v>
      </c>
      <c r="H1402" s="1" t="s">
        <v>394</v>
      </c>
      <c r="I1402" s="1" t="s">
        <v>46</v>
      </c>
      <c r="J1402" s="1" t="s">
        <v>40</v>
      </c>
      <c r="K1402" s="1"/>
      <c r="L1402" s="1"/>
    </row>
    <row r="1403" spans="1:12" s="32" customFormat="1" hidden="1" x14ac:dyDescent="0.3">
      <c r="A1403" s="37">
        <v>46128.355543981481</v>
      </c>
      <c r="B1403" s="1" t="s">
        <v>37</v>
      </c>
      <c r="C1403" s="1">
        <v>4430316847</v>
      </c>
      <c r="D1403" s="1"/>
      <c r="E1403" s="1">
        <v>4</v>
      </c>
      <c r="F1403" s="1">
        <v>0</v>
      </c>
      <c r="G1403" s="1" t="s">
        <v>47</v>
      </c>
      <c r="H1403" s="1" t="s">
        <v>395</v>
      </c>
      <c r="I1403" s="1" t="s">
        <v>46</v>
      </c>
      <c r="J1403" s="1" t="s">
        <v>40</v>
      </c>
      <c r="K1403" s="1"/>
      <c r="L1403" s="1"/>
    </row>
    <row r="1404" spans="1:12" s="32" customFormat="1" hidden="1" x14ac:dyDescent="0.3">
      <c r="A1404" s="37">
        <v>46128.354224537034</v>
      </c>
      <c r="B1404" s="1">
        <v>1732146970</v>
      </c>
      <c r="C1404" s="1" t="s">
        <v>45</v>
      </c>
      <c r="D1404" s="1">
        <v>4431268225</v>
      </c>
      <c r="E1404" s="1">
        <v>475</v>
      </c>
      <c r="F1404" s="1">
        <v>407</v>
      </c>
      <c r="G1404" s="1" t="s">
        <v>38</v>
      </c>
      <c r="H1404" s="1" t="s">
        <v>396</v>
      </c>
      <c r="I1404" s="1" t="s">
        <v>39</v>
      </c>
      <c r="J1404" s="1" t="s">
        <v>40</v>
      </c>
      <c r="K1404" s="1" t="s">
        <v>41</v>
      </c>
      <c r="L1404" s="1">
        <v>5</v>
      </c>
    </row>
    <row r="1405" spans="1:12" s="32" customFormat="1" hidden="1" x14ac:dyDescent="0.3">
      <c r="A1405" s="37">
        <v>46128.345196759263</v>
      </c>
      <c r="B1405" s="1">
        <v>4330332823</v>
      </c>
      <c r="C1405" s="1">
        <v>4430265054</v>
      </c>
      <c r="D1405" s="1">
        <v>4430265054</v>
      </c>
      <c r="E1405" s="1">
        <v>14</v>
      </c>
      <c r="F1405" s="1">
        <v>14</v>
      </c>
      <c r="G1405" s="1" t="s">
        <v>52</v>
      </c>
      <c r="H1405" s="1" t="s">
        <v>397</v>
      </c>
      <c r="I1405" s="1" t="s">
        <v>39</v>
      </c>
      <c r="J1405" s="1" t="s">
        <v>53</v>
      </c>
      <c r="K1405" s="1"/>
      <c r="L1405" s="1"/>
    </row>
    <row r="1406" spans="1:12" s="32" customFormat="1" hidden="1" x14ac:dyDescent="0.3">
      <c r="A1406" s="37">
        <v>46128.340150462966</v>
      </c>
      <c r="B1406" s="1" t="s">
        <v>43</v>
      </c>
      <c r="C1406" s="1">
        <v>4330333542</v>
      </c>
      <c r="D1406" s="1"/>
      <c r="E1406" s="1">
        <v>47</v>
      </c>
      <c r="F1406" s="1">
        <v>23</v>
      </c>
      <c r="G1406" s="1" t="s">
        <v>38</v>
      </c>
      <c r="H1406" s="1" t="s">
        <v>398</v>
      </c>
      <c r="I1406" s="1" t="s">
        <v>46</v>
      </c>
      <c r="J1406" s="1" t="s">
        <v>40</v>
      </c>
      <c r="K1406" s="1"/>
      <c r="L1406" s="1"/>
    </row>
    <row r="1407" spans="1:12" s="32" customFormat="1" hidden="1" x14ac:dyDescent="0.3">
      <c r="A1407" s="37">
        <v>46128.337071759262</v>
      </c>
      <c r="B1407" s="1" t="s">
        <v>48</v>
      </c>
      <c r="C1407" s="1">
        <v>44997400641</v>
      </c>
      <c r="D1407" s="1"/>
      <c r="E1407" s="1">
        <v>43</v>
      </c>
      <c r="F1407" s="1">
        <v>26</v>
      </c>
      <c r="G1407" s="1" t="s">
        <v>38</v>
      </c>
      <c r="H1407" s="1" t="s">
        <v>399</v>
      </c>
      <c r="I1407" s="1" t="s">
        <v>46</v>
      </c>
      <c r="J1407" s="1" t="s">
        <v>40</v>
      </c>
      <c r="K1407" s="1"/>
      <c r="L1407" s="1"/>
    </row>
    <row r="1408" spans="1:12" s="32" customFormat="1" hidden="1" x14ac:dyDescent="0.3">
      <c r="A1408" s="37">
        <v>46128.334699074076</v>
      </c>
      <c r="B1408" s="1" t="s">
        <v>37</v>
      </c>
      <c r="C1408" s="1">
        <v>4430316847</v>
      </c>
      <c r="D1408" s="1"/>
      <c r="E1408" s="1">
        <v>292</v>
      </c>
      <c r="F1408" s="1">
        <v>276</v>
      </c>
      <c r="G1408" s="1" t="s">
        <v>38</v>
      </c>
      <c r="H1408" s="1" t="s">
        <v>400</v>
      </c>
      <c r="I1408" s="1" t="s">
        <v>46</v>
      </c>
      <c r="J1408" s="1" t="s">
        <v>40</v>
      </c>
      <c r="K1408" s="1"/>
      <c r="L1408" s="1"/>
    </row>
    <row r="1409" spans="1:12" s="32" customFormat="1" hidden="1" x14ac:dyDescent="0.3">
      <c r="A1409" s="37">
        <v>46127.750833333332</v>
      </c>
      <c r="B1409" s="1" t="s">
        <v>37</v>
      </c>
      <c r="C1409" s="1">
        <v>44999629349</v>
      </c>
      <c r="D1409" s="1"/>
      <c r="E1409" s="1">
        <v>138</v>
      </c>
      <c r="F1409" s="1">
        <v>129</v>
      </c>
      <c r="G1409" s="1" t="s">
        <v>38</v>
      </c>
      <c r="H1409" s="1" t="s">
        <v>401</v>
      </c>
      <c r="I1409" s="1" t="s">
        <v>46</v>
      </c>
      <c r="J1409" s="1" t="s">
        <v>40</v>
      </c>
      <c r="K1409" s="1"/>
      <c r="L1409" s="1"/>
    </row>
    <row r="1410" spans="1:12" s="32" customFormat="1" x14ac:dyDescent="0.3">
      <c r="A1410" s="37">
        <v>46127.743888888886</v>
      </c>
      <c r="B1410" s="1">
        <v>44998640313</v>
      </c>
      <c r="C1410" s="1" t="s">
        <v>37</v>
      </c>
      <c r="D1410" s="1">
        <v>4430265054</v>
      </c>
      <c r="E1410" s="1">
        <v>433</v>
      </c>
      <c r="F1410" s="1">
        <v>208</v>
      </c>
      <c r="G1410" s="1" t="s">
        <v>38</v>
      </c>
      <c r="H1410" s="1" t="s">
        <v>402</v>
      </c>
      <c r="I1410" s="1" t="s">
        <v>39</v>
      </c>
      <c r="J1410" s="1" t="s">
        <v>40</v>
      </c>
      <c r="K1410" s="1" t="s">
        <v>41</v>
      </c>
      <c r="L1410" s="1">
        <v>5</v>
      </c>
    </row>
    <row r="1411" spans="1:12" s="32" customFormat="1" hidden="1" x14ac:dyDescent="0.3">
      <c r="A1411" s="37">
        <v>46127.725972222222</v>
      </c>
      <c r="B1411" s="1" t="s">
        <v>45</v>
      </c>
      <c r="C1411" s="1">
        <v>44999479853</v>
      </c>
      <c r="D1411" s="1"/>
      <c r="E1411" s="1">
        <v>37</v>
      </c>
      <c r="F1411" s="1">
        <v>0</v>
      </c>
      <c r="G1411" s="1" t="s">
        <v>47</v>
      </c>
      <c r="H1411" s="1" t="s">
        <v>403</v>
      </c>
      <c r="I1411" s="1" t="s">
        <v>46</v>
      </c>
      <c r="J1411" s="1" t="s">
        <v>40</v>
      </c>
      <c r="K1411" s="1"/>
      <c r="L1411" s="1"/>
    </row>
    <row r="1412" spans="1:12" s="32" customFormat="1" hidden="1" x14ac:dyDescent="0.3">
      <c r="A1412" s="37">
        <v>46127.725416666668</v>
      </c>
      <c r="B1412" s="1" t="s">
        <v>45</v>
      </c>
      <c r="C1412" s="1">
        <v>44999479853</v>
      </c>
      <c r="D1412" s="1"/>
      <c r="E1412" s="1">
        <v>75</v>
      </c>
      <c r="F1412" s="1">
        <v>30</v>
      </c>
      <c r="G1412" s="1" t="s">
        <v>38</v>
      </c>
      <c r="H1412" s="1" t="s">
        <v>404</v>
      </c>
      <c r="I1412" s="1" t="s">
        <v>46</v>
      </c>
      <c r="J1412" s="1" t="s">
        <v>40</v>
      </c>
      <c r="K1412" s="1"/>
      <c r="L1412" s="1"/>
    </row>
    <row r="1413" spans="1:12" s="32" customFormat="1" hidden="1" x14ac:dyDescent="0.3">
      <c r="A1413" s="37">
        <v>46127.724710648145</v>
      </c>
      <c r="B1413" s="1" t="s">
        <v>45</v>
      </c>
      <c r="C1413" s="1">
        <v>44999479853</v>
      </c>
      <c r="D1413" s="1"/>
      <c r="E1413" s="1">
        <v>80</v>
      </c>
      <c r="F1413" s="1">
        <v>36</v>
      </c>
      <c r="G1413" s="1" t="s">
        <v>38</v>
      </c>
      <c r="H1413" s="1" t="s">
        <v>405</v>
      </c>
      <c r="I1413" s="1" t="s">
        <v>46</v>
      </c>
      <c r="J1413" s="1" t="s">
        <v>40</v>
      </c>
      <c r="K1413" s="1"/>
      <c r="L1413" s="1"/>
    </row>
    <row r="1414" spans="1:12" s="32" customFormat="1" hidden="1" x14ac:dyDescent="0.3">
      <c r="A1414" s="37">
        <v>46127.724212962959</v>
      </c>
      <c r="B1414" s="1" t="s">
        <v>45</v>
      </c>
      <c r="C1414" s="1">
        <v>44999488286</v>
      </c>
      <c r="D1414" s="1"/>
      <c r="E1414" s="1">
        <v>68</v>
      </c>
      <c r="F1414" s="1">
        <v>32</v>
      </c>
      <c r="G1414" s="1" t="s">
        <v>38</v>
      </c>
      <c r="H1414" s="1" t="s">
        <v>406</v>
      </c>
      <c r="I1414" s="1" t="s">
        <v>46</v>
      </c>
      <c r="J1414" s="1" t="s">
        <v>40</v>
      </c>
      <c r="K1414" s="1"/>
      <c r="L1414" s="1"/>
    </row>
    <row r="1415" spans="1:12" s="32" customFormat="1" hidden="1" x14ac:dyDescent="0.3">
      <c r="A1415" s="37">
        <v>46127.723124999997</v>
      </c>
      <c r="B1415" s="1" t="s">
        <v>45</v>
      </c>
      <c r="C1415" s="1">
        <v>44999479853</v>
      </c>
      <c r="D1415" s="1"/>
      <c r="E1415" s="1">
        <v>74</v>
      </c>
      <c r="F1415" s="1">
        <v>29</v>
      </c>
      <c r="G1415" s="1" t="s">
        <v>38</v>
      </c>
      <c r="H1415" s="1" t="s">
        <v>407</v>
      </c>
      <c r="I1415" s="1" t="s">
        <v>46</v>
      </c>
      <c r="J1415" s="1" t="s">
        <v>40</v>
      </c>
      <c r="K1415" s="1"/>
      <c r="L1415" s="1"/>
    </row>
    <row r="1416" spans="1:12" s="32" customFormat="1" hidden="1" x14ac:dyDescent="0.3">
      <c r="A1416" s="37">
        <v>46127.720208333332</v>
      </c>
      <c r="B1416" s="1">
        <v>4432256983</v>
      </c>
      <c r="C1416" s="1" t="s">
        <v>44</v>
      </c>
      <c r="D1416" s="1">
        <v>4430265054</v>
      </c>
      <c r="E1416" s="1">
        <v>710</v>
      </c>
      <c r="F1416" s="1">
        <v>570</v>
      </c>
      <c r="G1416" s="1" t="s">
        <v>38</v>
      </c>
      <c r="H1416" s="1" t="s">
        <v>408</v>
      </c>
      <c r="I1416" s="1" t="s">
        <v>39</v>
      </c>
      <c r="J1416" s="1" t="s">
        <v>40</v>
      </c>
      <c r="K1416" s="1" t="s">
        <v>41</v>
      </c>
      <c r="L1416" s="1">
        <v>5</v>
      </c>
    </row>
    <row r="1417" spans="1:12" s="32" customFormat="1" hidden="1" x14ac:dyDescent="0.3">
      <c r="A1417" s="37">
        <v>46127.719907407409</v>
      </c>
      <c r="B1417" s="1" t="s">
        <v>37</v>
      </c>
      <c r="C1417" s="1">
        <v>44999629349</v>
      </c>
      <c r="D1417" s="1"/>
      <c r="E1417" s="1">
        <v>380</v>
      </c>
      <c r="F1417" s="1">
        <v>374</v>
      </c>
      <c r="G1417" s="1" t="s">
        <v>38</v>
      </c>
      <c r="H1417" s="1" t="s">
        <v>409</v>
      </c>
      <c r="I1417" s="1" t="s">
        <v>46</v>
      </c>
      <c r="J1417" s="1" t="s">
        <v>40</v>
      </c>
      <c r="K1417" s="1"/>
      <c r="L1417" s="1">
        <v>5</v>
      </c>
    </row>
    <row r="1418" spans="1:12" s="32" customFormat="1" hidden="1" x14ac:dyDescent="0.3">
      <c r="A1418" s="37">
        <v>46127.711111111108</v>
      </c>
      <c r="B1418" s="1">
        <v>67992169496</v>
      </c>
      <c r="C1418" s="1" t="s">
        <v>43</v>
      </c>
      <c r="D1418" s="1">
        <v>4430265054</v>
      </c>
      <c r="E1418" s="1">
        <v>909</v>
      </c>
      <c r="F1418" s="1">
        <v>776</v>
      </c>
      <c r="G1418" s="1" t="s">
        <v>38</v>
      </c>
      <c r="H1418" s="1" t="s">
        <v>410</v>
      </c>
      <c r="I1418" s="1" t="s">
        <v>39</v>
      </c>
      <c r="J1418" s="1" t="s">
        <v>40</v>
      </c>
      <c r="K1418" s="1" t="s">
        <v>41</v>
      </c>
      <c r="L1418" s="1">
        <v>5</v>
      </c>
    </row>
    <row r="1419" spans="1:12" s="32" customFormat="1" hidden="1" x14ac:dyDescent="0.3">
      <c r="A1419" s="37">
        <v>46127.707303240742</v>
      </c>
      <c r="B1419" s="1">
        <v>44999629349</v>
      </c>
      <c r="C1419" s="1">
        <v>4430265054</v>
      </c>
      <c r="D1419" s="1">
        <v>4430265054</v>
      </c>
      <c r="E1419" s="1">
        <v>18</v>
      </c>
      <c r="F1419" s="1">
        <v>18</v>
      </c>
      <c r="G1419" s="1" t="s">
        <v>52</v>
      </c>
      <c r="H1419" s="1" t="s">
        <v>411</v>
      </c>
      <c r="I1419" s="1" t="s">
        <v>39</v>
      </c>
      <c r="J1419" s="1" t="s">
        <v>53</v>
      </c>
      <c r="K1419" s="1"/>
      <c r="L1419" s="1"/>
    </row>
    <row r="1420" spans="1:12" s="32" customFormat="1" hidden="1" x14ac:dyDescent="0.3">
      <c r="A1420" s="37">
        <v>46127.702766203707</v>
      </c>
      <c r="B1420" s="1">
        <v>44988067937</v>
      </c>
      <c r="C1420" s="1" t="s">
        <v>45</v>
      </c>
      <c r="D1420" s="1">
        <v>4430265054</v>
      </c>
      <c r="E1420" s="1">
        <v>590</v>
      </c>
      <c r="F1420" s="1">
        <v>265</v>
      </c>
      <c r="G1420" s="1" t="s">
        <v>38</v>
      </c>
      <c r="H1420" s="1" t="s">
        <v>412</v>
      </c>
      <c r="I1420" s="1" t="s">
        <v>39</v>
      </c>
      <c r="J1420" s="1" t="s">
        <v>40</v>
      </c>
      <c r="K1420" s="1" t="s">
        <v>41</v>
      </c>
      <c r="L1420" s="1"/>
    </row>
    <row r="1421" spans="1:12" s="32" customFormat="1" hidden="1" x14ac:dyDescent="0.3">
      <c r="A1421" s="37">
        <v>46127.70040509259</v>
      </c>
      <c r="B1421" s="1" t="s">
        <v>48</v>
      </c>
      <c r="C1421" s="1">
        <v>44997400641</v>
      </c>
      <c r="D1421" s="1"/>
      <c r="E1421" s="1">
        <v>241</v>
      </c>
      <c r="F1421" s="1">
        <v>226</v>
      </c>
      <c r="G1421" s="1" t="s">
        <v>38</v>
      </c>
      <c r="H1421" s="1" t="s">
        <v>413</v>
      </c>
      <c r="I1421" s="1" t="s">
        <v>46</v>
      </c>
      <c r="J1421" s="1" t="s">
        <v>40</v>
      </c>
      <c r="K1421" s="1"/>
      <c r="L1421" s="1"/>
    </row>
    <row r="1422" spans="1:12" s="32" customFormat="1" hidden="1" x14ac:dyDescent="0.3">
      <c r="A1422" s="37">
        <v>46127.700138888889</v>
      </c>
      <c r="B1422" s="1" t="s">
        <v>48</v>
      </c>
      <c r="C1422" s="1">
        <v>44998761561</v>
      </c>
      <c r="D1422" s="1"/>
      <c r="E1422" s="1">
        <v>41</v>
      </c>
      <c r="F1422" s="1">
        <v>31</v>
      </c>
      <c r="G1422" s="1" t="s">
        <v>38</v>
      </c>
      <c r="H1422" s="1" t="s">
        <v>414</v>
      </c>
      <c r="I1422" s="1" t="s">
        <v>46</v>
      </c>
      <c r="J1422" s="1" t="s">
        <v>40</v>
      </c>
      <c r="K1422" s="1"/>
      <c r="L1422" s="1"/>
    </row>
    <row r="1423" spans="1:12" s="32" customFormat="1" hidden="1" x14ac:dyDescent="0.3">
      <c r="A1423" s="37">
        <v>46127.698587962965</v>
      </c>
      <c r="B1423" s="1">
        <v>44999629349</v>
      </c>
      <c r="C1423" s="1" t="s">
        <v>37</v>
      </c>
      <c r="D1423" s="1">
        <v>4430265054</v>
      </c>
      <c r="E1423" s="1">
        <v>475</v>
      </c>
      <c r="F1423" s="1">
        <v>417</v>
      </c>
      <c r="G1423" s="1" t="s">
        <v>38</v>
      </c>
      <c r="H1423" s="1" t="s">
        <v>415</v>
      </c>
      <c r="I1423" s="1" t="s">
        <v>39</v>
      </c>
      <c r="J1423" s="1" t="s">
        <v>40</v>
      </c>
      <c r="K1423" s="1" t="s">
        <v>41</v>
      </c>
      <c r="L1423" s="1"/>
    </row>
    <row r="1424" spans="1:12" s="32" customFormat="1" hidden="1" x14ac:dyDescent="0.3">
      <c r="A1424" s="37">
        <v>46127.697152777779</v>
      </c>
      <c r="B1424" s="1">
        <v>4121413772</v>
      </c>
      <c r="C1424" s="1">
        <v>4531273161</v>
      </c>
      <c r="D1424" s="1">
        <v>4531273161</v>
      </c>
      <c r="E1424" s="1">
        <v>47</v>
      </c>
      <c r="F1424" s="1">
        <v>46</v>
      </c>
      <c r="G1424" s="1" t="s">
        <v>52</v>
      </c>
      <c r="H1424" s="1" t="s">
        <v>416</v>
      </c>
      <c r="I1424" s="1" t="s">
        <v>39</v>
      </c>
      <c r="J1424" s="1" t="s">
        <v>53</v>
      </c>
      <c r="K1424" s="1" t="s">
        <v>41</v>
      </c>
      <c r="L1424" s="1"/>
    </row>
    <row r="1425" spans="1:12" s="32" customFormat="1" hidden="1" x14ac:dyDescent="0.3">
      <c r="A1425" s="37">
        <v>46127.694062499999</v>
      </c>
      <c r="B1425" s="1" t="s">
        <v>43</v>
      </c>
      <c r="C1425" s="1">
        <v>11947305533</v>
      </c>
      <c r="D1425" s="1"/>
      <c r="E1425" s="1">
        <v>365</v>
      </c>
      <c r="F1425" s="1">
        <v>355</v>
      </c>
      <c r="G1425" s="1" t="s">
        <v>38</v>
      </c>
      <c r="H1425" s="1" t="s">
        <v>417</v>
      </c>
      <c r="I1425" s="1" t="s">
        <v>46</v>
      </c>
      <c r="J1425" s="1" t="s">
        <v>40</v>
      </c>
      <c r="K1425" s="1"/>
      <c r="L1425" s="1"/>
    </row>
    <row r="1426" spans="1:12" s="32" customFormat="1" hidden="1" x14ac:dyDescent="0.3">
      <c r="A1426" s="37">
        <v>46127.68540509259</v>
      </c>
      <c r="B1426" s="1">
        <v>44998802935</v>
      </c>
      <c r="C1426" s="1" t="s">
        <v>45</v>
      </c>
      <c r="D1426" s="1">
        <v>4431268225</v>
      </c>
      <c r="E1426" s="1">
        <v>464</v>
      </c>
      <c r="F1426" s="1">
        <v>439</v>
      </c>
      <c r="G1426" s="1" t="s">
        <v>38</v>
      </c>
      <c r="H1426" s="1" t="s">
        <v>418</v>
      </c>
      <c r="I1426" s="1" t="s">
        <v>39</v>
      </c>
      <c r="J1426" s="1" t="s">
        <v>40</v>
      </c>
      <c r="K1426" s="1" t="s">
        <v>41</v>
      </c>
      <c r="L1426" s="1"/>
    </row>
    <row r="1427" spans="1:12" s="32" customFormat="1" hidden="1" x14ac:dyDescent="0.3">
      <c r="A1427" s="37">
        <v>46127.680451388886</v>
      </c>
      <c r="B1427" s="1" t="s">
        <v>50</v>
      </c>
      <c r="C1427" s="1" t="s">
        <v>57</v>
      </c>
      <c r="D1427" s="1"/>
      <c r="E1427" s="1">
        <v>323</v>
      </c>
      <c r="F1427" s="1">
        <v>319</v>
      </c>
      <c r="G1427" s="1" t="s">
        <v>38</v>
      </c>
      <c r="H1427" s="1" t="s">
        <v>419</v>
      </c>
      <c r="I1427" s="1" t="s">
        <v>51</v>
      </c>
      <c r="J1427" s="1" t="s">
        <v>55</v>
      </c>
      <c r="K1427" s="1"/>
      <c r="L1427" s="1"/>
    </row>
    <row r="1428" spans="1:12" s="32" customFormat="1" hidden="1" x14ac:dyDescent="0.3">
      <c r="A1428" s="37">
        <v>46127.679282407407</v>
      </c>
      <c r="B1428" s="1">
        <v>67992169496</v>
      </c>
      <c r="C1428" s="1" t="s">
        <v>37</v>
      </c>
      <c r="D1428" s="1">
        <v>4430265054</v>
      </c>
      <c r="E1428" s="1">
        <v>296</v>
      </c>
      <c r="F1428" s="1">
        <v>218</v>
      </c>
      <c r="G1428" s="1" t="s">
        <v>38</v>
      </c>
      <c r="H1428" s="1" t="s">
        <v>420</v>
      </c>
      <c r="I1428" s="1" t="s">
        <v>39</v>
      </c>
      <c r="J1428" s="1" t="s">
        <v>40</v>
      </c>
      <c r="K1428" s="1" t="s">
        <v>41</v>
      </c>
      <c r="L1428" s="1"/>
    </row>
    <row r="1429" spans="1:12" s="32" customFormat="1" hidden="1" x14ac:dyDescent="0.3">
      <c r="A1429" s="37">
        <v>46127.679166666669</v>
      </c>
      <c r="B1429" s="1">
        <v>4432325260</v>
      </c>
      <c r="C1429" s="1" t="s">
        <v>42</v>
      </c>
      <c r="D1429" s="1">
        <v>4430265054</v>
      </c>
      <c r="E1429" s="1">
        <v>1124</v>
      </c>
      <c r="F1429" s="1">
        <v>1096</v>
      </c>
      <c r="G1429" s="1" t="s">
        <v>38</v>
      </c>
      <c r="H1429" s="1" t="s">
        <v>421</v>
      </c>
      <c r="I1429" s="1" t="s">
        <v>39</v>
      </c>
      <c r="J1429" s="1" t="s">
        <v>40</v>
      </c>
      <c r="K1429" s="1" t="s">
        <v>41</v>
      </c>
      <c r="L1429" s="1"/>
    </row>
    <row r="1430" spans="1:12" s="32" customFormat="1" hidden="1" x14ac:dyDescent="0.3">
      <c r="A1430" s="37">
        <v>46127.678414351853</v>
      </c>
      <c r="B1430" s="1">
        <v>4533011395</v>
      </c>
      <c r="C1430" s="1">
        <v>4531273159</v>
      </c>
      <c r="D1430" s="1">
        <v>4531273159</v>
      </c>
      <c r="E1430" s="1">
        <v>46</v>
      </c>
      <c r="F1430" s="1">
        <v>46</v>
      </c>
      <c r="G1430" s="1" t="s">
        <v>52</v>
      </c>
      <c r="H1430" s="1" t="s">
        <v>422</v>
      </c>
      <c r="I1430" s="1" t="s">
        <v>39</v>
      </c>
      <c r="J1430" s="1" t="s">
        <v>53</v>
      </c>
      <c r="K1430" s="1" t="s">
        <v>41</v>
      </c>
      <c r="L1430" s="1"/>
    </row>
    <row r="1431" spans="1:12" s="32" customFormat="1" hidden="1" x14ac:dyDescent="0.3">
      <c r="A1431" s="37">
        <v>46127.67769675926</v>
      </c>
      <c r="B1431" s="1">
        <v>11947305533</v>
      </c>
      <c r="C1431" s="1" t="s">
        <v>43</v>
      </c>
      <c r="D1431" s="1">
        <v>4430265054</v>
      </c>
      <c r="E1431" s="1">
        <v>733</v>
      </c>
      <c r="F1431" s="1">
        <v>635</v>
      </c>
      <c r="G1431" s="1" t="s">
        <v>38</v>
      </c>
      <c r="H1431" s="1" t="s">
        <v>423</v>
      </c>
      <c r="I1431" s="1" t="s">
        <v>39</v>
      </c>
      <c r="J1431" s="1" t="s">
        <v>40</v>
      </c>
      <c r="K1431" s="1" t="s">
        <v>41</v>
      </c>
      <c r="L1431" s="1"/>
    </row>
    <row r="1432" spans="1:12" s="32" customFormat="1" hidden="1" x14ac:dyDescent="0.3">
      <c r="A1432" s="37">
        <v>46127.668275462966</v>
      </c>
      <c r="B1432" s="1">
        <v>44988067937</v>
      </c>
      <c r="C1432" s="1" t="s">
        <v>45</v>
      </c>
      <c r="D1432" s="1">
        <v>4430265054</v>
      </c>
      <c r="E1432" s="1">
        <v>1236</v>
      </c>
      <c r="F1432" s="1">
        <v>1183</v>
      </c>
      <c r="G1432" s="1" t="s">
        <v>38</v>
      </c>
      <c r="H1432" s="1" t="s">
        <v>424</v>
      </c>
      <c r="I1432" s="1" t="s">
        <v>39</v>
      </c>
      <c r="J1432" s="1" t="s">
        <v>40</v>
      </c>
      <c r="K1432" s="1" t="s">
        <v>41</v>
      </c>
      <c r="L1432" s="1">
        <v>5</v>
      </c>
    </row>
    <row r="1433" spans="1:12" s="32" customFormat="1" hidden="1" x14ac:dyDescent="0.3">
      <c r="A1433" s="37">
        <v>46127.667569444442</v>
      </c>
      <c r="B1433" s="1" t="s">
        <v>43</v>
      </c>
      <c r="C1433" s="1">
        <v>91981481202</v>
      </c>
      <c r="D1433" s="1"/>
      <c r="E1433" s="1">
        <v>31</v>
      </c>
      <c r="F1433" s="1">
        <v>23</v>
      </c>
      <c r="G1433" s="1" t="s">
        <v>38</v>
      </c>
      <c r="H1433" s="1" t="s">
        <v>425</v>
      </c>
      <c r="I1433" s="1" t="s">
        <v>46</v>
      </c>
      <c r="J1433" s="1" t="s">
        <v>40</v>
      </c>
      <c r="K1433" s="1"/>
      <c r="L1433" s="1"/>
    </row>
    <row r="1434" spans="1:12" s="32" customFormat="1" hidden="1" x14ac:dyDescent="0.3">
      <c r="A1434" s="37">
        <v>46127.663437499999</v>
      </c>
      <c r="B1434" s="1" t="s">
        <v>43</v>
      </c>
      <c r="C1434" s="1">
        <v>43988030048</v>
      </c>
      <c r="D1434" s="1"/>
      <c r="E1434" s="1">
        <v>163</v>
      </c>
      <c r="F1434" s="1">
        <v>148</v>
      </c>
      <c r="G1434" s="1" t="s">
        <v>38</v>
      </c>
      <c r="H1434" s="1" t="s">
        <v>426</v>
      </c>
      <c r="I1434" s="1" t="s">
        <v>46</v>
      </c>
      <c r="J1434" s="1" t="s">
        <v>40</v>
      </c>
      <c r="K1434" s="1"/>
      <c r="L1434" s="1"/>
    </row>
    <row r="1435" spans="1:12" s="32" customFormat="1" hidden="1" x14ac:dyDescent="0.3">
      <c r="A1435" s="37">
        <v>46127.662523148145</v>
      </c>
      <c r="B1435" s="1">
        <v>4436281154</v>
      </c>
      <c r="C1435" s="1" t="s">
        <v>37</v>
      </c>
      <c r="D1435" s="1">
        <v>4430265054</v>
      </c>
      <c r="E1435" s="1">
        <v>199</v>
      </c>
      <c r="F1435" s="1">
        <v>142</v>
      </c>
      <c r="G1435" s="1" t="s">
        <v>38</v>
      </c>
      <c r="H1435" s="1" t="s">
        <v>427</v>
      </c>
      <c r="I1435" s="1" t="s">
        <v>39</v>
      </c>
      <c r="J1435" s="1" t="s">
        <v>40</v>
      </c>
      <c r="K1435" s="1" t="s">
        <v>41</v>
      </c>
      <c r="L1435" s="1"/>
    </row>
    <row r="1436" spans="1:12" s="32" customFormat="1" hidden="1" x14ac:dyDescent="0.3">
      <c r="A1436" s="37">
        <v>46127.661666666667</v>
      </c>
      <c r="B1436" s="1">
        <v>4432256273</v>
      </c>
      <c r="C1436" s="1" t="s">
        <v>45</v>
      </c>
      <c r="D1436" s="1">
        <v>4430265054</v>
      </c>
      <c r="E1436" s="1">
        <v>344</v>
      </c>
      <c r="F1436" s="1">
        <v>242</v>
      </c>
      <c r="G1436" s="1" t="s">
        <v>38</v>
      </c>
      <c r="H1436" s="1" t="s">
        <v>428</v>
      </c>
      <c r="I1436" s="1" t="s">
        <v>39</v>
      </c>
      <c r="J1436" s="1" t="s">
        <v>40</v>
      </c>
      <c r="K1436" s="1" t="s">
        <v>41</v>
      </c>
      <c r="L1436" s="1">
        <v>5</v>
      </c>
    </row>
    <row r="1437" spans="1:12" s="32" customFormat="1" hidden="1" x14ac:dyDescent="0.3">
      <c r="A1437" s="37">
        <v>46127.657361111109</v>
      </c>
      <c r="B1437" s="1">
        <v>11964449514</v>
      </c>
      <c r="C1437" s="1" t="s">
        <v>43</v>
      </c>
      <c r="D1437" s="1">
        <v>4431268225</v>
      </c>
      <c r="E1437" s="1">
        <v>109</v>
      </c>
      <c r="F1437" s="1">
        <v>88</v>
      </c>
      <c r="G1437" s="1" t="s">
        <v>38</v>
      </c>
      <c r="H1437" s="1" t="s">
        <v>429</v>
      </c>
      <c r="I1437" s="1" t="s">
        <v>39</v>
      </c>
      <c r="J1437" s="1" t="s">
        <v>40</v>
      </c>
      <c r="K1437" s="1" t="s">
        <v>41</v>
      </c>
      <c r="L1437" s="1"/>
    </row>
    <row r="1438" spans="1:12" s="32" customFormat="1" hidden="1" x14ac:dyDescent="0.3">
      <c r="A1438" s="37">
        <v>46127.656793981485</v>
      </c>
      <c r="B1438" s="1" t="s">
        <v>43</v>
      </c>
      <c r="C1438" s="1">
        <v>11964449514</v>
      </c>
      <c r="D1438" s="1"/>
      <c r="E1438" s="1">
        <v>35</v>
      </c>
      <c r="F1438" s="1">
        <v>0</v>
      </c>
      <c r="G1438" s="1" t="s">
        <v>47</v>
      </c>
      <c r="H1438" s="1" t="s">
        <v>430</v>
      </c>
      <c r="I1438" s="1" t="s">
        <v>46</v>
      </c>
      <c r="J1438" s="1" t="s">
        <v>40</v>
      </c>
      <c r="K1438" s="1"/>
      <c r="L1438" s="1"/>
    </row>
    <row r="1439" spans="1:12" s="32" customFormat="1" hidden="1" x14ac:dyDescent="0.3">
      <c r="A1439" s="37">
        <v>46127.656678240739</v>
      </c>
      <c r="B1439" s="1">
        <v>41999195082</v>
      </c>
      <c r="C1439" s="1" t="s">
        <v>57</v>
      </c>
      <c r="D1439" s="1">
        <v>4430265054</v>
      </c>
      <c r="E1439" s="1">
        <v>972</v>
      </c>
      <c r="F1439" s="1">
        <v>946</v>
      </c>
      <c r="G1439" s="1" t="s">
        <v>38</v>
      </c>
      <c r="H1439" s="1" t="s">
        <v>431</v>
      </c>
      <c r="I1439" s="1" t="s">
        <v>39</v>
      </c>
      <c r="J1439" s="1" t="s">
        <v>55</v>
      </c>
      <c r="K1439" s="1" t="s">
        <v>49</v>
      </c>
      <c r="L1439" s="1"/>
    </row>
    <row r="1440" spans="1:12" s="32" customFormat="1" hidden="1" x14ac:dyDescent="0.3">
      <c r="A1440" s="37">
        <v>46127.655381944445</v>
      </c>
      <c r="B1440" s="1" t="s">
        <v>37</v>
      </c>
      <c r="C1440" s="1">
        <v>4430316847</v>
      </c>
      <c r="D1440" s="1"/>
      <c r="E1440" s="1">
        <v>1</v>
      </c>
      <c r="F1440" s="1">
        <v>0</v>
      </c>
      <c r="G1440" s="1" t="s">
        <v>47</v>
      </c>
      <c r="H1440" s="1" t="s">
        <v>432</v>
      </c>
      <c r="I1440" s="1" t="s">
        <v>46</v>
      </c>
      <c r="J1440" s="1" t="s">
        <v>40</v>
      </c>
      <c r="K1440" s="1"/>
      <c r="L1440" s="1"/>
    </row>
    <row r="1441" spans="1:12" s="32" customFormat="1" hidden="1" x14ac:dyDescent="0.3">
      <c r="A1441" s="37">
        <v>46127.655243055553</v>
      </c>
      <c r="B1441" s="1" t="s">
        <v>37</v>
      </c>
      <c r="C1441" s="1">
        <v>4430316847</v>
      </c>
      <c r="D1441" s="1"/>
      <c r="E1441" s="1">
        <v>1</v>
      </c>
      <c r="F1441" s="1">
        <v>0</v>
      </c>
      <c r="G1441" s="1" t="s">
        <v>47</v>
      </c>
      <c r="H1441" s="1" t="s">
        <v>433</v>
      </c>
      <c r="I1441" s="1" t="s">
        <v>46</v>
      </c>
      <c r="J1441" s="1" t="s">
        <v>40</v>
      </c>
      <c r="K1441" s="1"/>
      <c r="L1441" s="1"/>
    </row>
    <row r="1442" spans="1:12" s="32" customFormat="1" hidden="1" x14ac:dyDescent="0.3">
      <c r="A1442" s="37">
        <v>46127.65483796296</v>
      </c>
      <c r="B1442" s="1">
        <v>44999629349</v>
      </c>
      <c r="C1442" s="1" t="s">
        <v>37</v>
      </c>
      <c r="D1442" s="1">
        <v>4430265054</v>
      </c>
      <c r="E1442" s="1">
        <v>186</v>
      </c>
      <c r="F1442" s="1">
        <v>99</v>
      </c>
      <c r="G1442" s="1" t="s">
        <v>38</v>
      </c>
      <c r="H1442" s="1" t="s">
        <v>434</v>
      </c>
      <c r="I1442" s="1" t="s">
        <v>39</v>
      </c>
      <c r="J1442" s="1" t="s">
        <v>40</v>
      </c>
      <c r="K1442" s="1" t="s">
        <v>41</v>
      </c>
      <c r="L1442" s="1"/>
    </row>
    <row r="1443" spans="1:12" s="32" customFormat="1" hidden="1" x14ac:dyDescent="0.3">
      <c r="A1443" s="37">
        <v>46127.65047453704</v>
      </c>
      <c r="B1443" s="1">
        <v>44997343311</v>
      </c>
      <c r="C1443" s="1" t="s">
        <v>44</v>
      </c>
      <c r="D1443" s="1">
        <v>4430265054</v>
      </c>
      <c r="E1443" s="1">
        <v>220</v>
      </c>
      <c r="F1443" s="1">
        <v>155</v>
      </c>
      <c r="G1443" s="1" t="s">
        <v>38</v>
      </c>
      <c r="H1443" s="1" t="s">
        <v>435</v>
      </c>
      <c r="I1443" s="1" t="s">
        <v>39</v>
      </c>
      <c r="J1443" s="1" t="s">
        <v>40</v>
      </c>
      <c r="K1443" s="1" t="s">
        <v>41</v>
      </c>
      <c r="L1443" s="1"/>
    </row>
    <row r="1444" spans="1:12" s="32" customFormat="1" hidden="1" x14ac:dyDescent="0.3">
      <c r="A1444" s="37">
        <v>46127.646377314813</v>
      </c>
      <c r="B1444" s="1" t="s">
        <v>43</v>
      </c>
      <c r="C1444" s="1">
        <v>41999195082</v>
      </c>
      <c r="D1444" s="1"/>
      <c r="E1444" s="1">
        <v>850</v>
      </c>
      <c r="F1444" s="1">
        <v>845</v>
      </c>
      <c r="G1444" s="1" t="s">
        <v>38</v>
      </c>
      <c r="H1444" s="1" t="s">
        <v>436</v>
      </c>
      <c r="I1444" s="1" t="s">
        <v>46</v>
      </c>
      <c r="J1444" s="1" t="s">
        <v>40</v>
      </c>
      <c r="K1444" s="1"/>
      <c r="L1444" s="1">
        <v>5</v>
      </c>
    </row>
    <row r="1445" spans="1:12" s="32" customFormat="1" hidden="1" x14ac:dyDescent="0.3">
      <c r="A1445" s="37">
        <v>46127.64398148148</v>
      </c>
      <c r="B1445" s="1">
        <v>41999195082</v>
      </c>
      <c r="C1445" s="1" t="s">
        <v>43</v>
      </c>
      <c r="D1445" s="1">
        <v>4430265054</v>
      </c>
      <c r="E1445" s="1">
        <v>202</v>
      </c>
      <c r="F1445" s="1">
        <v>20</v>
      </c>
      <c r="G1445" s="1" t="s">
        <v>38</v>
      </c>
      <c r="H1445" s="1" t="s">
        <v>437</v>
      </c>
      <c r="I1445" s="1" t="s">
        <v>39</v>
      </c>
      <c r="J1445" s="1" t="s">
        <v>40</v>
      </c>
      <c r="K1445" s="1" t="s">
        <v>41</v>
      </c>
      <c r="L1445" s="1"/>
    </row>
    <row r="1446" spans="1:12" s="32" customFormat="1" hidden="1" x14ac:dyDescent="0.3">
      <c r="A1446" s="37">
        <v>46127.643240740741</v>
      </c>
      <c r="B1446" s="1">
        <v>4430316847</v>
      </c>
      <c r="C1446" s="1" t="s">
        <v>37</v>
      </c>
      <c r="D1446" s="1">
        <v>4430265054</v>
      </c>
      <c r="E1446" s="1">
        <v>1062</v>
      </c>
      <c r="F1446" s="1">
        <v>991</v>
      </c>
      <c r="G1446" s="1" t="s">
        <v>38</v>
      </c>
      <c r="H1446" s="1" t="s">
        <v>438</v>
      </c>
      <c r="I1446" s="1" t="s">
        <v>39</v>
      </c>
      <c r="J1446" s="1" t="s">
        <v>40</v>
      </c>
      <c r="K1446" s="1" t="s">
        <v>41</v>
      </c>
      <c r="L1446" s="1"/>
    </row>
    <row r="1447" spans="1:12" s="32" customFormat="1" hidden="1" x14ac:dyDescent="0.3">
      <c r="A1447" s="37">
        <v>46127.641134259262</v>
      </c>
      <c r="B1447" s="1">
        <v>43999110029</v>
      </c>
      <c r="C1447" s="1" t="s">
        <v>42</v>
      </c>
      <c r="D1447" s="1">
        <v>4430265054</v>
      </c>
      <c r="E1447" s="1">
        <v>507</v>
      </c>
      <c r="F1447" s="1">
        <v>467</v>
      </c>
      <c r="G1447" s="1" t="s">
        <v>38</v>
      </c>
      <c r="H1447" s="1" t="s">
        <v>439</v>
      </c>
      <c r="I1447" s="1" t="s">
        <v>39</v>
      </c>
      <c r="J1447" s="1" t="s">
        <v>40</v>
      </c>
      <c r="K1447" s="1" t="s">
        <v>41</v>
      </c>
      <c r="L1447" s="1"/>
    </row>
    <row r="1448" spans="1:12" s="32" customFormat="1" hidden="1" x14ac:dyDescent="0.3">
      <c r="A1448" s="37">
        <v>46127.640138888892</v>
      </c>
      <c r="B1448" s="1">
        <v>4334232912</v>
      </c>
      <c r="C1448" s="1" t="s">
        <v>44</v>
      </c>
      <c r="D1448" s="1">
        <v>4430265054</v>
      </c>
      <c r="E1448" s="1">
        <v>414</v>
      </c>
      <c r="F1448" s="1">
        <v>314</v>
      </c>
      <c r="G1448" s="1" t="s">
        <v>38</v>
      </c>
      <c r="H1448" s="1" t="s">
        <v>440</v>
      </c>
      <c r="I1448" s="1" t="s">
        <v>39</v>
      </c>
      <c r="J1448" s="1" t="s">
        <v>40</v>
      </c>
      <c r="K1448" s="1" t="s">
        <v>41</v>
      </c>
      <c r="L1448" s="1">
        <v>5</v>
      </c>
    </row>
    <row r="1449" spans="1:12" s="32" customFormat="1" hidden="1" x14ac:dyDescent="0.3">
      <c r="A1449" s="37">
        <v>46127.63962962963</v>
      </c>
      <c r="B1449" s="1">
        <v>4430316847</v>
      </c>
      <c r="C1449" s="1">
        <v>4430265054</v>
      </c>
      <c r="D1449" s="1">
        <v>4430265054</v>
      </c>
      <c r="E1449" s="1">
        <v>6</v>
      </c>
      <c r="F1449" s="1">
        <v>6</v>
      </c>
      <c r="G1449" s="1" t="s">
        <v>52</v>
      </c>
      <c r="H1449" s="1" t="s">
        <v>441</v>
      </c>
      <c r="I1449" s="1" t="s">
        <v>39</v>
      </c>
      <c r="J1449" s="1" t="s">
        <v>53</v>
      </c>
      <c r="K1449" s="1"/>
      <c r="L1449" s="1"/>
    </row>
    <row r="1450" spans="1:12" s="32" customFormat="1" hidden="1" x14ac:dyDescent="0.3">
      <c r="A1450" s="37">
        <v>46127.639548611114</v>
      </c>
      <c r="B1450" s="1">
        <v>4130760170</v>
      </c>
      <c r="C1450" s="1" t="s">
        <v>48</v>
      </c>
      <c r="D1450" s="1">
        <v>4430265054</v>
      </c>
      <c r="E1450" s="1">
        <v>960</v>
      </c>
      <c r="F1450" s="1">
        <v>959</v>
      </c>
      <c r="G1450" s="1" t="s">
        <v>38</v>
      </c>
      <c r="H1450" s="1" t="s">
        <v>442</v>
      </c>
      <c r="I1450" s="1" t="s">
        <v>39</v>
      </c>
      <c r="J1450" s="1" t="s">
        <v>40</v>
      </c>
      <c r="K1450" s="1" t="s">
        <v>41</v>
      </c>
      <c r="L1450" s="1">
        <v>5</v>
      </c>
    </row>
    <row r="1451" spans="1:12" s="32" customFormat="1" hidden="1" x14ac:dyDescent="0.3">
      <c r="A1451" s="37">
        <v>46127.637881944444</v>
      </c>
      <c r="B1451" s="1">
        <v>4334234629</v>
      </c>
      <c r="C1451" s="1" t="s">
        <v>42</v>
      </c>
      <c r="D1451" s="1">
        <v>4430265054</v>
      </c>
      <c r="E1451" s="1">
        <v>180</v>
      </c>
      <c r="F1451" s="1">
        <v>31</v>
      </c>
      <c r="G1451" s="1" t="s">
        <v>38</v>
      </c>
      <c r="H1451" s="1" t="s">
        <v>443</v>
      </c>
      <c r="I1451" s="1" t="s">
        <v>39</v>
      </c>
      <c r="J1451" s="1" t="s">
        <v>40</v>
      </c>
      <c r="K1451" s="1" t="s">
        <v>41</v>
      </c>
      <c r="L1451" s="1"/>
    </row>
    <row r="1452" spans="1:12" s="32" customFormat="1" hidden="1" x14ac:dyDescent="0.3">
      <c r="A1452" s="37">
        <v>46127.63486111111</v>
      </c>
      <c r="B1452" s="1">
        <v>4432325260</v>
      </c>
      <c r="C1452" s="1" t="s">
        <v>48</v>
      </c>
      <c r="D1452" s="1">
        <v>4430265054</v>
      </c>
      <c r="E1452" s="1">
        <v>403</v>
      </c>
      <c r="F1452" s="1">
        <v>260</v>
      </c>
      <c r="G1452" s="1" t="s">
        <v>38</v>
      </c>
      <c r="H1452" s="1" t="s">
        <v>444</v>
      </c>
      <c r="I1452" s="1" t="s">
        <v>39</v>
      </c>
      <c r="J1452" s="1" t="s">
        <v>40</v>
      </c>
      <c r="K1452" s="1" t="s">
        <v>41</v>
      </c>
      <c r="L1452" s="1"/>
    </row>
    <row r="1453" spans="1:12" s="32" customFormat="1" hidden="1" x14ac:dyDescent="0.3">
      <c r="A1453" s="37">
        <v>46127.632557870369</v>
      </c>
      <c r="B1453" s="1">
        <v>18996339700</v>
      </c>
      <c r="C1453" s="1" t="s">
        <v>44</v>
      </c>
      <c r="D1453" s="1">
        <v>4430265054</v>
      </c>
      <c r="E1453" s="1">
        <v>338</v>
      </c>
      <c r="F1453" s="1">
        <v>176</v>
      </c>
      <c r="G1453" s="1" t="s">
        <v>38</v>
      </c>
      <c r="H1453" s="1" t="s">
        <v>445</v>
      </c>
      <c r="I1453" s="1" t="s">
        <v>39</v>
      </c>
      <c r="J1453" s="1" t="s">
        <v>40</v>
      </c>
      <c r="K1453" s="1" t="s">
        <v>41</v>
      </c>
      <c r="L1453" s="1"/>
    </row>
    <row r="1454" spans="1:12" s="32" customFormat="1" hidden="1" x14ac:dyDescent="0.3">
      <c r="A1454" s="37">
        <v>46127.630844907406</v>
      </c>
      <c r="B1454" s="1">
        <v>12997611769</v>
      </c>
      <c r="C1454" s="1" t="s">
        <v>44</v>
      </c>
      <c r="D1454" s="1">
        <v>4430265054</v>
      </c>
      <c r="E1454" s="1">
        <v>725</v>
      </c>
      <c r="F1454" s="1">
        <v>217</v>
      </c>
      <c r="G1454" s="1" t="s">
        <v>38</v>
      </c>
      <c r="H1454" s="1" t="s">
        <v>446</v>
      </c>
      <c r="I1454" s="1" t="s">
        <v>39</v>
      </c>
      <c r="J1454" s="1" t="s">
        <v>40</v>
      </c>
      <c r="K1454" s="1" t="s">
        <v>41</v>
      </c>
      <c r="L1454" s="1">
        <v>5</v>
      </c>
    </row>
    <row r="1455" spans="1:12" s="32" customFormat="1" hidden="1" x14ac:dyDescent="0.3">
      <c r="A1455" s="37">
        <v>46127.628958333335</v>
      </c>
      <c r="B1455" s="1">
        <v>4432325260</v>
      </c>
      <c r="C1455" s="1">
        <v>4430265054</v>
      </c>
      <c r="D1455" s="1">
        <v>4430265054</v>
      </c>
      <c r="E1455" s="1">
        <v>19</v>
      </c>
      <c r="F1455" s="1">
        <v>18</v>
      </c>
      <c r="G1455" s="1" t="s">
        <v>52</v>
      </c>
      <c r="H1455" s="1" t="s">
        <v>447</v>
      </c>
      <c r="I1455" s="1" t="s">
        <v>39</v>
      </c>
      <c r="J1455" s="1" t="s">
        <v>53</v>
      </c>
      <c r="K1455" s="1"/>
      <c r="L1455" s="1"/>
    </row>
    <row r="1456" spans="1:12" s="32" customFormat="1" hidden="1" x14ac:dyDescent="0.3">
      <c r="A1456" s="37">
        <v>46127.628553240742</v>
      </c>
      <c r="B1456" s="1">
        <v>4432520077</v>
      </c>
      <c r="C1456" s="1" t="s">
        <v>42</v>
      </c>
      <c r="D1456" s="1">
        <v>4430265054</v>
      </c>
      <c r="E1456" s="1">
        <v>779</v>
      </c>
      <c r="F1456" s="1">
        <v>747</v>
      </c>
      <c r="G1456" s="1" t="s">
        <v>38</v>
      </c>
      <c r="H1456" s="1" t="s">
        <v>448</v>
      </c>
      <c r="I1456" s="1" t="s">
        <v>39</v>
      </c>
      <c r="J1456" s="1" t="s">
        <v>40</v>
      </c>
      <c r="K1456" s="1" t="s">
        <v>41</v>
      </c>
      <c r="L1456" s="1"/>
    </row>
    <row r="1457" spans="1:12" s="32" customFormat="1" hidden="1" x14ac:dyDescent="0.3">
      <c r="A1457" s="37">
        <v>46127.627881944441</v>
      </c>
      <c r="B1457" s="1">
        <v>47999760576</v>
      </c>
      <c r="C1457" s="1" t="s">
        <v>37</v>
      </c>
      <c r="D1457" s="1">
        <v>4430265054</v>
      </c>
      <c r="E1457" s="1">
        <v>1327</v>
      </c>
      <c r="F1457" s="1">
        <v>1228</v>
      </c>
      <c r="G1457" s="1" t="s">
        <v>38</v>
      </c>
      <c r="H1457" s="1" t="s">
        <v>449</v>
      </c>
      <c r="I1457" s="1" t="s">
        <v>39</v>
      </c>
      <c r="J1457" s="1" t="s">
        <v>40</v>
      </c>
      <c r="K1457" s="1" t="s">
        <v>41</v>
      </c>
      <c r="L1457" s="1"/>
    </row>
    <row r="1458" spans="1:12" s="32" customFormat="1" hidden="1" x14ac:dyDescent="0.3">
      <c r="A1458" s="37">
        <v>46127.620763888888</v>
      </c>
      <c r="B1458" s="1">
        <v>18997449617</v>
      </c>
      <c r="C1458" s="1" t="s">
        <v>42</v>
      </c>
      <c r="D1458" s="1">
        <v>4430265054</v>
      </c>
      <c r="E1458" s="1">
        <v>423</v>
      </c>
      <c r="F1458" s="1">
        <v>382</v>
      </c>
      <c r="G1458" s="1" t="s">
        <v>38</v>
      </c>
      <c r="H1458" s="1" t="s">
        <v>450</v>
      </c>
      <c r="I1458" s="1" t="s">
        <v>39</v>
      </c>
      <c r="J1458" s="1" t="s">
        <v>40</v>
      </c>
      <c r="K1458" s="1" t="s">
        <v>41</v>
      </c>
      <c r="L1458" s="1"/>
    </row>
    <row r="1459" spans="1:12" s="32" customFormat="1" hidden="1" x14ac:dyDescent="0.3">
      <c r="A1459" s="37">
        <v>46127.620138888888</v>
      </c>
      <c r="B1459" s="1">
        <v>4334234629</v>
      </c>
      <c r="C1459" s="1" t="s">
        <v>48</v>
      </c>
      <c r="D1459" s="1">
        <v>4430265054</v>
      </c>
      <c r="E1459" s="1">
        <v>158</v>
      </c>
      <c r="F1459" s="1">
        <v>142</v>
      </c>
      <c r="G1459" s="1" t="s">
        <v>38</v>
      </c>
      <c r="H1459" s="1" t="s">
        <v>451</v>
      </c>
      <c r="I1459" s="1" t="s">
        <v>39</v>
      </c>
      <c r="J1459" s="1" t="s">
        <v>40</v>
      </c>
      <c r="K1459" s="1" t="s">
        <v>41</v>
      </c>
      <c r="L1459" s="1"/>
    </row>
    <row r="1460" spans="1:12" s="32" customFormat="1" hidden="1" x14ac:dyDescent="0.3">
      <c r="A1460" s="37">
        <v>46127.619062500002</v>
      </c>
      <c r="B1460" s="1">
        <v>4436249360</v>
      </c>
      <c r="C1460" s="1" t="s">
        <v>44</v>
      </c>
      <c r="D1460" s="1">
        <v>4430265054</v>
      </c>
      <c r="E1460" s="1">
        <v>445</v>
      </c>
      <c r="F1460" s="1">
        <v>251</v>
      </c>
      <c r="G1460" s="1" t="s">
        <v>38</v>
      </c>
      <c r="H1460" s="1" t="s">
        <v>452</v>
      </c>
      <c r="I1460" s="1" t="s">
        <v>39</v>
      </c>
      <c r="J1460" s="1" t="s">
        <v>40</v>
      </c>
      <c r="K1460" s="1" t="s">
        <v>41</v>
      </c>
      <c r="L1460" s="1"/>
    </row>
    <row r="1461" spans="1:12" s="32" customFormat="1" hidden="1" x14ac:dyDescent="0.3">
      <c r="A1461" s="37">
        <v>46127.6091087963</v>
      </c>
      <c r="B1461" s="1">
        <v>4432524652</v>
      </c>
      <c r="C1461" s="1" t="s">
        <v>48</v>
      </c>
      <c r="D1461" s="1">
        <v>4430265054</v>
      </c>
      <c r="E1461" s="1">
        <v>539</v>
      </c>
      <c r="F1461" s="1">
        <v>539</v>
      </c>
      <c r="G1461" s="1" t="s">
        <v>38</v>
      </c>
      <c r="H1461" s="1" t="s">
        <v>453</v>
      </c>
      <c r="I1461" s="1" t="s">
        <v>39</v>
      </c>
      <c r="J1461" s="1" t="s">
        <v>40</v>
      </c>
      <c r="K1461" s="1" t="s">
        <v>41</v>
      </c>
      <c r="L1461" s="1">
        <v>5</v>
      </c>
    </row>
    <row r="1462" spans="1:12" s="32" customFormat="1" hidden="1" x14ac:dyDescent="0.3">
      <c r="A1462" s="37">
        <v>46127.60733796296</v>
      </c>
      <c r="B1462" s="1" t="s">
        <v>45</v>
      </c>
      <c r="C1462" s="1">
        <v>81994195603</v>
      </c>
      <c r="D1462" s="1"/>
      <c r="E1462" s="1">
        <v>4182</v>
      </c>
      <c r="F1462" s="1">
        <v>4175</v>
      </c>
      <c r="G1462" s="1" t="s">
        <v>38</v>
      </c>
      <c r="H1462" s="1" t="s">
        <v>454</v>
      </c>
      <c r="I1462" s="1" t="s">
        <v>46</v>
      </c>
      <c r="J1462" s="1" t="s">
        <v>40</v>
      </c>
      <c r="K1462" s="1"/>
      <c r="L1462" s="1">
        <v>5</v>
      </c>
    </row>
    <row r="1463" spans="1:12" s="32" customFormat="1" hidden="1" x14ac:dyDescent="0.3">
      <c r="A1463" s="37">
        <v>46127.604444444441</v>
      </c>
      <c r="B1463" s="1">
        <v>44988129644</v>
      </c>
      <c r="C1463" s="1" t="s">
        <v>44</v>
      </c>
      <c r="D1463" s="1">
        <v>4430265054</v>
      </c>
      <c r="E1463" s="1">
        <v>100</v>
      </c>
      <c r="F1463" s="1">
        <v>30</v>
      </c>
      <c r="G1463" s="1" t="s">
        <v>38</v>
      </c>
      <c r="H1463" s="1" t="s">
        <v>455</v>
      </c>
      <c r="I1463" s="1" t="s">
        <v>39</v>
      </c>
      <c r="J1463" s="1" t="s">
        <v>40</v>
      </c>
      <c r="K1463" s="1" t="s">
        <v>41</v>
      </c>
      <c r="L1463" s="1"/>
    </row>
    <row r="1464" spans="1:12" s="32" customFormat="1" hidden="1" x14ac:dyDescent="0.3">
      <c r="A1464" s="37">
        <v>46127.596736111111</v>
      </c>
      <c r="B1464" s="1">
        <v>4430346845</v>
      </c>
      <c r="C1464" s="1" t="s">
        <v>48</v>
      </c>
      <c r="D1464" s="1">
        <v>4430265054</v>
      </c>
      <c r="E1464" s="1">
        <v>317</v>
      </c>
      <c r="F1464" s="1">
        <v>316</v>
      </c>
      <c r="G1464" s="1" t="s">
        <v>38</v>
      </c>
      <c r="H1464" s="1" t="s">
        <v>456</v>
      </c>
      <c r="I1464" s="1" t="s">
        <v>39</v>
      </c>
      <c r="J1464" s="1" t="s">
        <v>40</v>
      </c>
      <c r="K1464" s="1" t="s">
        <v>41</v>
      </c>
      <c r="L1464" s="1"/>
    </row>
    <row r="1465" spans="1:12" s="32" customFormat="1" hidden="1" x14ac:dyDescent="0.3">
      <c r="A1465" s="37">
        <v>46127.595810185187</v>
      </c>
      <c r="B1465" s="1">
        <v>44999670264</v>
      </c>
      <c r="C1465" s="1" t="s">
        <v>42</v>
      </c>
      <c r="D1465" s="1">
        <v>4430265054</v>
      </c>
      <c r="E1465" s="1">
        <v>721</v>
      </c>
      <c r="F1465" s="1">
        <v>631</v>
      </c>
      <c r="G1465" s="1" t="s">
        <v>38</v>
      </c>
      <c r="H1465" s="1" t="s">
        <v>457</v>
      </c>
      <c r="I1465" s="1" t="s">
        <v>39</v>
      </c>
      <c r="J1465" s="1" t="s">
        <v>40</v>
      </c>
      <c r="K1465" s="1" t="s">
        <v>41</v>
      </c>
      <c r="L1465" s="1">
        <v>5</v>
      </c>
    </row>
    <row r="1466" spans="1:12" s="32" customFormat="1" x14ac:dyDescent="0.3">
      <c r="A1466" s="37">
        <v>46127.595173611109</v>
      </c>
      <c r="B1466" s="1">
        <v>12997765962</v>
      </c>
      <c r="C1466" s="1" t="s">
        <v>37</v>
      </c>
      <c r="D1466" s="1">
        <v>4430265054</v>
      </c>
      <c r="E1466" s="1">
        <v>1879</v>
      </c>
      <c r="F1466" s="1">
        <v>1776</v>
      </c>
      <c r="G1466" s="1" t="s">
        <v>38</v>
      </c>
      <c r="H1466" s="1" t="s">
        <v>458</v>
      </c>
      <c r="I1466" s="1" t="s">
        <v>39</v>
      </c>
      <c r="J1466" s="1" t="s">
        <v>40</v>
      </c>
      <c r="K1466" s="1" t="s">
        <v>41</v>
      </c>
      <c r="L1466" s="1">
        <v>5</v>
      </c>
    </row>
    <row r="1467" spans="1:12" s="32" customFormat="1" hidden="1" x14ac:dyDescent="0.3">
      <c r="A1467" s="37">
        <v>46127.588020833333</v>
      </c>
      <c r="B1467" s="1">
        <v>11964449514</v>
      </c>
      <c r="C1467" s="1" t="s">
        <v>43</v>
      </c>
      <c r="D1467" s="1">
        <v>4431268225</v>
      </c>
      <c r="E1467" s="1">
        <v>866</v>
      </c>
      <c r="F1467" s="1">
        <v>824</v>
      </c>
      <c r="G1467" s="1" t="s">
        <v>38</v>
      </c>
      <c r="H1467" s="1" t="s">
        <v>459</v>
      </c>
      <c r="I1467" s="1" t="s">
        <v>39</v>
      </c>
      <c r="J1467" s="1" t="s">
        <v>40</v>
      </c>
      <c r="K1467" s="1" t="s">
        <v>41</v>
      </c>
      <c r="L1467" s="1"/>
    </row>
    <row r="1468" spans="1:12" s="32" customFormat="1" hidden="1" x14ac:dyDescent="0.3">
      <c r="A1468" s="37">
        <v>46127.585717592592</v>
      </c>
      <c r="B1468" s="1">
        <v>44988067937</v>
      </c>
      <c r="C1468" s="1" t="s">
        <v>48</v>
      </c>
      <c r="D1468" s="1">
        <v>4430265054</v>
      </c>
      <c r="E1468" s="1">
        <v>368</v>
      </c>
      <c r="F1468" s="1">
        <v>367</v>
      </c>
      <c r="G1468" s="1" t="s">
        <v>38</v>
      </c>
      <c r="H1468" s="1" t="s">
        <v>460</v>
      </c>
      <c r="I1468" s="1" t="s">
        <v>39</v>
      </c>
      <c r="J1468" s="1" t="s">
        <v>40</v>
      </c>
      <c r="K1468" s="1" t="s">
        <v>41</v>
      </c>
      <c r="L1468" s="1"/>
    </row>
    <row r="1469" spans="1:12" s="32" customFormat="1" hidden="1" x14ac:dyDescent="0.3">
      <c r="A1469" s="37">
        <v>46127.583101851851</v>
      </c>
      <c r="B1469" s="1">
        <v>44988182098</v>
      </c>
      <c r="C1469" s="1" t="s">
        <v>44</v>
      </c>
      <c r="D1469" s="1">
        <v>4430265054</v>
      </c>
      <c r="E1469" s="1">
        <v>346</v>
      </c>
      <c r="F1469" s="1">
        <v>256</v>
      </c>
      <c r="G1469" s="1" t="s">
        <v>38</v>
      </c>
      <c r="H1469" s="1" t="s">
        <v>461</v>
      </c>
      <c r="I1469" s="1" t="s">
        <v>39</v>
      </c>
      <c r="J1469" s="1" t="s">
        <v>40</v>
      </c>
      <c r="K1469" s="1" t="s">
        <v>41</v>
      </c>
      <c r="L1469" s="1"/>
    </row>
    <row r="1470" spans="1:12" s="32" customFormat="1" hidden="1" x14ac:dyDescent="0.3">
      <c r="A1470" s="37">
        <v>46127.581932870373</v>
      </c>
      <c r="B1470" s="1">
        <v>44984361000</v>
      </c>
      <c r="C1470" s="1" t="s">
        <v>42</v>
      </c>
      <c r="D1470" s="1">
        <v>4430265054</v>
      </c>
      <c r="E1470" s="1">
        <v>535</v>
      </c>
      <c r="F1470" s="1">
        <v>495</v>
      </c>
      <c r="G1470" s="1" t="s">
        <v>38</v>
      </c>
      <c r="H1470" s="1" t="s">
        <v>462</v>
      </c>
      <c r="I1470" s="1" t="s">
        <v>39</v>
      </c>
      <c r="J1470" s="1" t="s">
        <v>40</v>
      </c>
      <c r="K1470" s="1" t="s">
        <v>41</v>
      </c>
      <c r="L1470" s="1"/>
    </row>
    <row r="1471" spans="1:12" s="32" customFormat="1" x14ac:dyDescent="0.3">
      <c r="A1471" s="37">
        <v>46127.579143518517</v>
      </c>
      <c r="B1471" s="1">
        <v>4436281154</v>
      </c>
      <c r="C1471" s="1" t="s">
        <v>37</v>
      </c>
      <c r="D1471" s="1">
        <v>4430265054</v>
      </c>
      <c r="E1471" s="1">
        <v>627</v>
      </c>
      <c r="F1471" s="1">
        <v>597</v>
      </c>
      <c r="G1471" s="1" t="s">
        <v>38</v>
      </c>
      <c r="H1471" s="1" t="s">
        <v>463</v>
      </c>
      <c r="I1471" s="1" t="s">
        <v>39</v>
      </c>
      <c r="J1471" s="1" t="s">
        <v>40</v>
      </c>
      <c r="K1471" s="1" t="s">
        <v>41</v>
      </c>
      <c r="L1471" s="1">
        <v>5</v>
      </c>
    </row>
    <row r="1472" spans="1:12" s="32" customFormat="1" hidden="1" x14ac:dyDescent="0.3">
      <c r="A1472" s="37">
        <v>46127.578472222223</v>
      </c>
      <c r="B1472" s="1" t="s">
        <v>43</v>
      </c>
      <c r="C1472" s="1">
        <v>43988030048</v>
      </c>
      <c r="D1472" s="1"/>
      <c r="E1472" s="1">
        <v>8</v>
      </c>
      <c r="F1472" s="1">
        <v>0</v>
      </c>
      <c r="G1472" s="1" t="s">
        <v>47</v>
      </c>
      <c r="H1472" s="1" t="s">
        <v>464</v>
      </c>
      <c r="I1472" s="1" t="s">
        <v>46</v>
      </c>
      <c r="J1472" s="1" t="s">
        <v>40</v>
      </c>
      <c r="K1472" s="1"/>
      <c r="L1472" s="1"/>
    </row>
    <row r="1473" spans="1:12" s="32" customFormat="1" hidden="1" x14ac:dyDescent="0.3">
      <c r="A1473" s="37">
        <v>46127.578425925924</v>
      </c>
      <c r="B1473" s="1">
        <v>62992789056</v>
      </c>
      <c r="C1473" s="1" t="s">
        <v>43</v>
      </c>
      <c r="D1473" s="1">
        <v>4430265054</v>
      </c>
      <c r="E1473" s="1">
        <v>817</v>
      </c>
      <c r="F1473" s="1">
        <v>795</v>
      </c>
      <c r="G1473" s="1" t="s">
        <v>38</v>
      </c>
      <c r="H1473" s="1" t="s">
        <v>465</v>
      </c>
      <c r="I1473" s="1" t="s">
        <v>39</v>
      </c>
      <c r="J1473" s="1" t="s">
        <v>40</v>
      </c>
      <c r="K1473" s="1" t="s">
        <v>41</v>
      </c>
      <c r="L1473" s="1">
        <v>5</v>
      </c>
    </row>
    <row r="1474" spans="1:12" s="32" customFormat="1" hidden="1" x14ac:dyDescent="0.3">
      <c r="A1474" s="37">
        <v>46127.578379629631</v>
      </c>
      <c r="B1474" s="1" t="s">
        <v>44</v>
      </c>
      <c r="C1474" s="1">
        <v>4432268889</v>
      </c>
      <c r="D1474" s="1"/>
      <c r="E1474" s="1">
        <v>12</v>
      </c>
      <c r="F1474" s="1">
        <v>0</v>
      </c>
      <c r="G1474" s="1" t="s">
        <v>47</v>
      </c>
      <c r="H1474" s="1" t="s">
        <v>466</v>
      </c>
      <c r="I1474" s="1" t="s">
        <v>46</v>
      </c>
      <c r="J1474" s="1" t="s">
        <v>40</v>
      </c>
      <c r="K1474" s="1"/>
      <c r="L1474" s="1"/>
    </row>
    <row r="1475" spans="1:12" s="32" customFormat="1" hidden="1" x14ac:dyDescent="0.3">
      <c r="A1475" s="37">
        <v>46127.578055555554</v>
      </c>
      <c r="B1475" s="1">
        <v>44988067937</v>
      </c>
      <c r="C1475" s="1" t="s">
        <v>48</v>
      </c>
      <c r="D1475" s="1">
        <v>4430265054</v>
      </c>
      <c r="E1475" s="1">
        <v>311</v>
      </c>
      <c r="F1475" s="1">
        <v>272</v>
      </c>
      <c r="G1475" s="1" t="s">
        <v>38</v>
      </c>
      <c r="H1475" s="1" t="s">
        <v>467</v>
      </c>
      <c r="I1475" s="1" t="s">
        <v>39</v>
      </c>
      <c r="J1475" s="1" t="s">
        <v>40</v>
      </c>
      <c r="K1475" s="1" t="s">
        <v>41</v>
      </c>
      <c r="L1475" s="1"/>
    </row>
    <row r="1476" spans="1:12" s="32" customFormat="1" hidden="1" x14ac:dyDescent="0.3">
      <c r="A1476" s="37">
        <v>46127.578020833331</v>
      </c>
      <c r="B1476" s="1" t="s">
        <v>44</v>
      </c>
      <c r="C1476" s="1">
        <v>18996339700</v>
      </c>
      <c r="D1476" s="1"/>
      <c r="E1476" s="1">
        <v>13</v>
      </c>
      <c r="F1476" s="1">
        <v>0</v>
      </c>
      <c r="G1476" s="1" t="s">
        <v>47</v>
      </c>
      <c r="H1476" s="1" t="s">
        <v>468</v>
      </c>
      <c r="I1476" s="1" t="s">
        <v>46</v>
      </c>
      <c r="J1476" s="1" t="s">
        <v>40</v>
      </c>
      <c r="K1476" s="1"/>
      <c r="L1476" s="1"/>
    </row>
    <row r="1477" spans="1:12" s="32" customFormat="1" hidden="1" x14ac:dyDescent="0.3">
      <c r="A1477" s="37">
        <v>46127.577800925923</v>
      </c>
      <c r="B1477" s="1" t="s">
        <v>44</v>
      </c>
      <c r="C1477" s="1">
        <v>18996339700</v>
      </c>
      <c r="D1477" s="1"/>
      <c r="E1477" s="1">
        <v>42</v>
      </c>
      <c r="F1477" s="1">
        <v>27</v>
      </c>
      <c r="G1477" s="1" t="s">
        <v>38</v>
      </c>
      <c r="H1477" s="1" t="s">
        <v>469</v>
      </c>
      <c r="I1477" s="1" t="s">
        <v>46</v>
      </c>
      <c r="J1477" s="1" t="s">
        <v>40</v>
      </c>
      <c r="K1477" s="1"/>
      <c r="L1477" s="1"/>
    </row>
    <row r="1478" spans="1:12" s="32" customFormat="1" hidden="1" x14ac:dyDescent="0.3">
      <c r="A1478" s="37">
        <v>46127.577384259261</v>
      </c>
      <c r="B1478" s="1">
        <v>43984040334</v>
      </c>
      <c r="C1478" s="1" t="s">
        <v>44</v>
      </c>
      <c r="D1478" s="1">
        <v>4430265054</v>
      </c>
      <c r="E1478" s="1">
        <v>351</v>
      </c>
      <c r="F1478" s="1">
        <v>243</v>
      </c>
      <c r="G1478" s="1" t="s">
        <v>38</v>
      </c>
      <c r="H1478" s="1" t="s">
        <v>470</v>
      </c>
      <c r="I1478" s="1" t="s">
        <v>39</v>
      </c>
      <c r="J1478" s="1" t="s">
        <v>40</v>
      </c>
      <c r="K1478" s="1" t="s">
        <v>41</v>
      </c>
      <c r="L1478" s="1"/>
    </row>
    <row r="1479" spans="1:12" s="32" customFormat="1" hidden="1" x14ac:dyDescent="0.3">
      <c r="A1479" s="37">
        <v>46127.577025462961</v>
      </c>
      <c r="B1479" s="1" t="s">
        <v>43</v>
      </c>
      <c r="C1479" s="1">
        <v>43988030048</v>
      </c>
      <c r="D1479" s="1"/>
      <c r="E1479" s="1">
        <v>19</v>
      </c>
      <c r="F1479" s="1">
        <v>0</v>
      </c>
      <c r="G1479" s="1" t="s">
        <v>47</v>
      </c>
      <c r="H1479" s="1" t="s">
        <v>471</v>
      </c>
      <c r="I1479" s="1" t="s">
        <v>46</v>
      </c>
      <c r="J1479" s="1" t="s">
        <v>40</v>
      </c>
      <c r="K1479" s="1"/>
      <c r="L1479" s="1"/>
    </row>
    <row r="1480" spans="1:12" s="32" customFormat="1" hidden="1" x14ac:dyDescent="0.3">
      <c r="A1480" s="37">
        <v>46127.57476851852</v>
      </c>
      <c r="B1480" s="1" t="s">
        <v>45</v>
      </c>
      <c r="C1480" s="1">
        <v>74981021354</v>
      </c>
      <c r="D1480" s="1"/>
      <c r="E1480" s="1">
        <v>2727</v>
      </c>
      <c r="F1480" s="1">
        <v>2717</v>
      </c>
      <c r="G1480" s="1" t="s">
        <v>38</v>
      </c>
      <c r="H1480" s="1" t="s">
        <v>472</v>
      </c>
      <c r="I1480" s="1" t="s">
        <v>46</v>
      </c>
      <c r="J1480" s="1" t="s">
        <v>40</v>
      </c>
      <c r="K1480" s="1"/>
      <c r="L1480" s="1">
        <v>5</v>
      </c>
    </row>
    <row r="1481" spans="1:12" s="32" customFormat="1" hidden="1" x14ac:dyDescent="0.3">
      <c r="A1481" s="37">
        <v>46127.574386574073</v>
      </c>
      <c r="B1481" s="1">
        <v>11947305533</v>
      </c>
      <c r="C1481" s="1" t="s">
        <v>42</v>
      </c>
      <c r="D1481" s="1">
        <v>4430265054</v>
      </c>
      <c r="E1481" s="1">
        <v>367</v>
      </c>
      <c r="F1481" s="1">
        <v>226</v>
      </c>
      <c r="G1481" s="1" t="s">
        <v>38</v>
      </c>
      <c r="H1481" s="1" t="s">
        <v>473</v>
      </c>
      <c r="I1481" s="1" t="s">
        <v>39</v>
      </c>
      <c r="J1481" s="1" t="s">
        <v>40</v>
      </c>
      <c r="K1481" s="1" t="s">
        <v>41</v>
      </c>
      <c r="L1481" s="1"/>
    </row>
    <row r="1482" spans="1:12" s="32" customFormat="1" hidden="1" x14ac:dyDescent="0.3">
      <c r="A1482" s="37">
        <v>46127.574328703704</v>
      </c>
      <c r="B1482" s="1">
        <v>4533011395</v>
      </c>
      <c r="C1482" s="1">
        <v>4531273151</v>
      </c>
      <c r="D1482" s="1">
        <v>4531273151</v>
      </c>
      <c r="E1482" s="1">
        <v>46</v>
      </c>
      <c r="F1482" s="1">
        <v>46</v>
      </c>
      <c r="G1482" s="1" t="s">
        <v>52</v>
      </c>
      <c r="H1482" s="1" t="s">
        <v>474</v>
      </c>
      <c r="I1482" s="1" t="s">
        <v>39</v>
      </c>
      <c r="J1482" s="1" t="s">
        <v>53</v>
      </c>
      <c r="K1482" s="1" t="s">
        <v>41</v>
      </c>
      <c r="L1482" s="1"/>
    </row>
    <row r="1483" spans="1:12" s="32" customFormat="1" hidden="1" x14ac:dyDescent="0.3">
      <c r="A1483" s="37">
        <v>46127.565717592595</v>
      </c>
      <c r="B1483" s="1">
        <v>44988255390</v>
      </c>
      <c r="C1483" s="1" t="s">
        <v>44</v>
      </c>
      <c r="D1483" s="1">
        <v>4430265054</v>
      </c>
      <c r="E1483" s="1">
        <v>994</v>
      </c>
      <c r="F1483" s="1">
        <v>874</v>
      </c>
      <c r="G1483" s="1" t="s">
        <v>38</v>
      </c>
      <c r="H1483" s="1" t="s">
        <v>475</v>
      </c>
      <c r="I1483" s="1" t="s">
        <v>39</v>
      </c>
      <c r="J1483" s="1" t="s">
        <v>40</v>
      </c>
      <c r="K1483" s="1" t="s">
        <v>41</v>
      </c>
      <c r="L1483" s="1">
        <v>5</v>
      </c>
    </row>
    <row r="1484" spans="1:12" s="32" customFormat="1" hidden="1" x14ac:dyDescent="0.3">
      <c r="A1484" s="37">
        <v>46127.561203703706</v>
      </c>
      <c r="B1484" s="1">
        <v>4121413772</v>
      </c>
      <c r="C1484" s="1">
        <v>4531273152</v>
      </c>
      <c r="D1484" s="1">
        <v>4531273152</v>
      </c>
      <c r="E1484" s="1">
        <v>29</v>
      </c>
      <c r="F1484" s="1">
        <v>28</v>
      </c>
      <c r="G1484" s="1" t="s">
        <v>52</v>
      </c>
      <c r="H1484" s="1" t="s">
        <v>476</v>
      </c>
      <c r="I1484" s="1" t="s">
        <v>39</v>
      </c>
      <c r="J1484" s="1" t="s">
        <v>53</v>
      </c>
      <c r="K1484" s="1"/>
      <c r="L1484" s="1"/>
    </row>
    <row r="1485" spans="1:12" s="32" customFormat="1" hidden="1" x14ac:dyDescent="0.3">
      <c r="A1485" s="37">
        <v>46127.559618055559</v>
      </c>
      <c r="B1485" s="1">
        <v>12997765962</v>
      </c>
      <c r="C1485" s="1">
        <v>4430265054</v>
      </c>
      <c r="D1485" s="1">
        <v>4430265054</v>
      </c>
      <c r="E1485" s="1">
        <v>28</v>
      </c>
      <c r="F1485" s="1">
        <v>28</v>
      </c>
      <c r="G1485" s="1" t="s">
        <v>52</v>
      </c>
      <c r="H1485" s="1" t="s">
        <v>477</v>
      </c>
      <c r="I1485" s="1" t="s">
        <v>39</v>
      </c>
      <c r="J1485" s="1" t="s">
        <v>53</v>
      </c>
      <c r="K1485" s="1"/>
      <c r="L1485" s="1"/>
    </row>
    <row r="1486" spans="1:12" s="32" customFormat="1" hidden="1" x14ac:dyDescent="0.3">
      <c r="A1486" s="37">
        <v>46127.559236111112</v>
      </c>
      <c r="B1486" s="1">
        <v>12997765962</v>
      </c>
      <c r="C1486" s="1">
        <v>4430265054</v>
      </c>
      <c r="D1486" s="1">
        <v>4430265054</v>
      </c>
      <c r="E1486" s="1">
        <v>25</v>
      </c>
      <c r="F1486" s="1">
        <v>24</v>
      </c>
      <c r="G1486" s="1" t="s">
        <v>52</v>
      </c>
      <c r="H1486" s="1" t="s">
        <v>478</v>
      </c>
      <c r="I1486" s="1" t="s">
        <v>39</v>
      </c>
      <c r="J1486" s="1" t="s">
        <v>53</v>
      </c>
      <c r="K1486" s="1"/>
      <c r="L1486" s="1"/>
    </row>
    <row r="1487" spans="1:12" s="32" customFormat="1" hidden="1" x14ac:dyDescent="0.3">
      <c r="A1487" s="37">
        <v>46127.556087962963</v>
      </c>
      <c r="B1487" s="1">
        <v>12997765962</v>
      </c>
      <c r="C1487" s="1">
        <v>4430265054</v>
      </c>
      <c r="D1487" s="1">
        <v>4430265054</v>
      </c>
      <c r="E1487" s="1">
        <v>29</v>
      </c>
      <c r="F1487" s="1">
        <v>28</v>
      </c>
      <c r="G1487" s="1" t="s">
        <v>52</v>
      </c>
      <c r="H1487" s="1" t="s">
        <v>479</v>
      </c>
      <c r="I1487" s="1" t="s">
        <v>39</v>
      </c>
      <c r="J1487" s="1" t="s">
        <v>53</v>
      </c>
      <c r="K1487" s="1"/>
      <c r="L1487" s="1"/>
    </row>
    <row r="1488" spans="1:12" s="32" customFormat="1" hidden="1" x14ac:dyDescent="0.3">
      <c r="A1488" s="37">
        <v>46127.491331018522</v>
      </c>
      <c r="B1488" s="1">
        <v>4533042020</v>
      </c>
      <c r="C1488" s="1" t="s">
        <v>37</v>
      </c>
      <c r="D1488" s="1">
        <v>4531273158</v>
      </c>
      <c r="E1488" s="1">
        <v>47</v>
      </c>
      <c r="F1488" s="1">
        <v>13</v>
      </c>
      <c r="G1488" s="1" t="s">
        <v>38</v>
      </c>
      <c r="H1488" s="1" t="s">
        <v>480</v>
      </c>
      <c r="I1488" s="1" t="s">
        <v>39</v>
      </c>
      <c r="J1488" s="1" t="s">
        <v>40</v>
      </c>
      <c r="K1488" s="1" t="s">
        <v>41</v>
      </c>
      <c r="L1488" s="1"/>
    </row>
    <row r="1489" spans="1:12" s="32" customFormat="1" hidden="1" x14ac:dyDescent="0.3">
      <c r="A1489" s="37">
        <v>46127.48982638889</v>
      </c>
      <c r="B1489" s="1" t="s">
        <v>54</v>
      </c>
      <c r="C1489" s="1">
        <v>51999421711</v>
      </c>
      <c r="D1489" s="1"/>
      <c r="E1489" s="1">
        <v>19</v>
      </c>
      <c r="F1489" s="1">
        <v>14</v>
      </c>
      <c r="G1489" s="1" t="s">
        <v>38</v>
      </c>
      <c r="H1489" s="1" t="s">
        <v>481</v>
      </c>
      <c r="I1489" s="1" t="s">
        <v>46</v>
      </c>
      <c r="J1489" s="1" t="s">
        <v>55</v>
      </c>
      <c r="K1489" s="1"/>
      <c r="L1489" s="1"/>
    </row>
    <row r="1490" spans="1:12" s="32" customFormat="1" hidden="1" x14ac:dyDescent="0.3">
      <c r="A1490" s="37">
        <v>46127.489236111112</v>
      </c>
      <c r="B1490" s="1" t="s">
        <v>54</v>
      </c>
      <c r="C1490" s="1">
        <v>81999622540</v>
      </c>
      <c r="D1490" s="1"/>
      <c r="E1490" s="1">
        <v>24</v>
      </c>
      <c r="F1490" s="1">
        <v>17</v>
      </c>
      <c r="G1490" s="1" t="s">
        <v>38</v>
      </c>
      <c r="H1490" s="1" t="s">
        <v>482</v>
      </c>
      <c r="I1490" s="1" t="s">
        <v>46</v>
      </c>
      <c r="J1490" s="1" t="s">
        <v>55</v>
      </c>
      <c r="K1490" s="1"/>
      <c r="L1490" s="1"/>
    </row>
    <row r="1491" spans="1:12" s="32" customFormat="1" hidden="1" x14ac:dyDescent="0.3">
      <c r="A1491" s="37">
        <v>46127.482106481482</v>
      </c>
      <c r="B1491" s="1">
        <v>44988255390</v>
      </c>
      <c r="C1491" s="1" t="s">
        <v>43</v>
      </c>
      <c r="D1491" s="1">
        <v>4430265054</v>
      </c>
      <c r="E1491" s="1">
        <v>396</v>
      </c>
      <c r="F1491" s="1">
        <v>345</v>
      </c>
      <c r="G1491" s="1" t="s">
        <v>38</v>
      </c>
      <c r="H1491" s="1" t="s">
        <v>483</v>
      </c>
      <c r="I1491" s="1" t="s">
        <v>39</v>
      </c>
      <c r="J1491" s="1" t="s">
        <v>40</v>
      </c>
      <c r="K1491" s="1" t="s">
        <v>41</v>
      </c>
      <c r="L1491" s="1">
        <v>5</v>
      </c>
    </row>
    <row r="1492" spans="1:12" s="32" customFormat="1" hidden="1" x14ac:dyDescent="0.3">
      <c r="A1492" s="37">
        <v>46127.480763888889</v>
      </c>
      <c r="B1492" s="1">
        <v>44999647912</v>
      </c>
      <c r="C1492" s="1" t="s">
        <v>42</v>
      </c>
      <c r="D1492" s="1">
        <v>4430265054</v>
      </c>
      <c r="E1492" s="1">
        <v>185</v>
      </c>
      <c r="F1492" s="1">
        <v>151</v>
      </c>
      <c r="G1492" s="1" t="s">
        <v>38</v>
      </c>
      <c r="H1492" s="1" t="s">
        <v>484</v>
      </c>
      <c r="I1492" s="1" t="s">
        <v>39</v>
      </c>
      <c r="J1492" s="1" t="s">
        <v>40</v>
      </c>
      <c r="K1492" s="1" t="s">
        <v>41</v>
      </c>
      <c r="L1492" s="1"/>
    </row>
    <row r="1493" spans="1:12" s="32" customFormat="1" hidden="1" x14ac:dyDescent="0.3">
      <c r="A1493" s="37">
        <v>46127.479756944442</v>
      </c>
      <c r="B1493" s="1" t="s">
        <v>54</v>
      </c>
      <c r="C1493" s="1">
        <v>11995755498</v>
      </c>
      <c r="D1493" s="1"/>
      <c r="E1493" s="1">
        <v>17</v>
      </c>
      <c r="F1493" s="1">
        <v>6</v>
      </c>
      <c r="G1493" s="1" t="s">
        <v>38</v>
      </c>
      <c r="H1493" s="1" t="s">
        <v>485</v>
      </c>
      <c r="I1493" s="1" t="s">
        <v>46</v>
      </c>
      <c r="J1493" s="1" t="s">
        <v>55</v>
      </c>
      <c r="K1493" s="1"/>
      <c r="L1493" s="1"/>
    </row>
    <row r="1494" spans="1:12" s="32" customFormat="1" hidden="1" x14ac:dyDescent="0.3">
      <c r="A1494" s="37">
        <v>46127.479120370372</v>
      </c>
      <c r="B1494" s="1">
        <v>43988030048</v>
      </c>
      <c r="C1494" s="1" t="s">
        <v>43</v>
      </c>
      <c r="D1494" s="1">
        <v>4430265054</v>
      </c>
      <c r="E1494" s="1">
        <v>253</v>
      </c>
      <c r="F1494" s="1">
        <v>197</v>
      </c>
      <c r="G1494" s="1" t="s">
        <v>38</v>
      </c>
      <c r="H1494" s="1" t="s">
        <v>486</v>
      </c>
      <c r="I1494" s="1" t="s">
        <v>39</v>
      </c>
      <c r="J1494" s="1" t="s">
        <v>40</v>
      </c>
      <c r="K1494" s="1" t="s">
        <v>41</v>
      </c>
      <c r="L1494" s="1"/>
    </row>
    <row r="1495" spans="1:12" s="32" customFormat="1" hidden="1" x14ac:dyDescent="0.3">
      <c r="A1495" s="37">
        <v>46127.476736111108</v>
      </c>
      <c r="B1495" s="1">
        <v>44984361000</v>
      </c>
      <c r="C1495" s="1" t="s">
        <v>44</v>
      </c>
      <c r="D1495" s="1">
        <v>4430265054</v>
      </c>
      <c r="E1495" s="1">
        <v>1141</v>
      </c>
      <c r="F1495" s="1">
        <v>1059</v>
      </c>
      <c r="G1495" s="1" t="s">
        <v>38</v>
      </c>
      <c r="H1495" s="1" t="s">
        <v>487</v>
      </c>
      <c r="I1495" s="1" t="s">
        <v>39</v>
      </c>
      <c r="J1495" s="1" t="s">
        <v>40</v>
      </c>
      <c r="K1495" s="1" t="s">
        <v>41</v>
      </c>
      <c r="L1495" s="1">
        <v>5</v>
      </c>
    </row>
    <row r="1496" spans="1:12" s="32" customFormat="1" hidden="1" x14ac:dyDescent="0.3">
      <c r="A1496" s="37">
        <v>46127.472442129627</v>
      </c>
      <c r="B1496" s="1" t="s">
        <v>54</v>
      </c>
      <c r="C1496" s="1">
        <v>21984507890</v>
      </c>
      <c r="D1496" s="1"/>
      <c r="E1496" s="1">
        <v>20</v>
      </c>
      <c r="F1496" s="1">
        <v>9</v>
      </c>
      <c r="G1496" s="1" t="s">
        <v>38</v>
      </c>
      <c r="H1496" s="1" t="s">
        <v>488</v>
      </c>
      <c r="I1496" s="1" t="s">
        <v>46</v>
      </c>
      <c r="J1496" s="1" t="s">
        <v>55</v>
      </c>
      <c r="K1496" s="1"/>
      <c r="L1496" s="1"/>
    </row>
    <row r="1497" spans="1:12" s="32" customFormat="1" hidden="1" x14ac:dyDescent="0.3">
      <c r="A1497" s="37">
        <v>46127.471446759257</v>
      </c>
      <c r="B1497" s="1" t="s">
        <v>54</v>
      </c>
      <c r="C1497" s="1">
        <v>19994030316</v>
      </c>
      <c r="D1497" s="1"/>
      <c r="E1497" s="1">
        <v>30</v>
      </c>
      <c r="F1497" s="1">
        <v>0</v>
      </c>
      <c r="G1497" s="1" t="s">
        <v>47</v>
      </c>
      <c r="H1497" s="1" t="s">
        <v>489</v>
      </c>
      <c r="I1497" s="1" t="s">
        <v>46</v>
      </c>
      <c r="J1497" s="1" t="s">
        <v>55</v>
      </c>
      <c r="K1497" s="1"/>
      <c r="L1497" s="1"/>
    </row>
    <row r="1498" spans="1:12" s="32" customFormat="1" x14ac:dyDescent="0.3">
      <c r="A1498" s="37">
        <v>46127.470821759256</v>
      </c>
      <c r="B1498" s="1">
        <v>44998846988</v>
      </c>
      <c r="C1498" s="1" t="s">
        <v>37</v>
      </c>
      <c r="D1498" s="1">
        <v>4430265054</v>
      </c>
      <c r="E1498" s="1">
        <v>1288</v>
      </c>
      <c r="F1498" s="1">
        <v>1199</v>
      </c>
      <c r="G1498" s="1" t="s">
        <v>38</v>
      </c>
      <c r="H1498" s="1" t="s">
        <v>490</v>
      </c>
      <c r="I1498" s="1" t="s">
        <v>39</v>
      </c>
      <c r="J1498" s="1" t="s">
        <v>40</v>
      </c>
      <c r="K1498" s="1" t="s">
        <v>41</v>
      </c>
      <c r="L1498" s="1">
        <v>5</v>
      </c>
    </row>
    <row r="1499" spans="1:12" s="32" customFormat="1" hidden="1" x14ac:dyDescent="0.3">
      <c r="A1499" s="37">
        <v>46127.470509259256</v>
      </c>
      <c r="B1499" s="1" t="s">
        <v>54</v>
      </c>
      <c r="C1499" s="1">
        <v>42999770981</v>
      </c>
      <c r="D1499" s="1"/>
      <c r="E1499" s="1">
        <v>0</v>
      </c>
      <c r="F1499" s="1">
        <v>0</v>
      </c>
      <c r="G1499" s="1" t="s">
        <v>47</v>
      </c>
      <c r="H1499" s="1" t="s">
        <v>491</v>
      </c>
      <c r="I1499" s="1" t="s">
        <v>46</v>
      </c>
      <c r="J1499" s="1" t="s">
        <v>55</v>
      </c>
      <c r="K1499" s="1"/>
      <c r="L1499" s="1"/>
    </row>
    <row r="1500" spans="1:12" s="32" customFormat="1" hidden="1" x14ac:dyDescent="0.3">
      <c r="A1500" s="37">
        <v>46127.469872685186</v>
      </c>
      <c r="B1500" s="1" t="s">
        <v>37</v>
      </c>
      <c r="C1500" s="1">
        <v>4432226677</v>
      </c>
      <c r="D1500" s="1"/>
      <c r="E1500" s="1">
        <v>1</v>
      </c>
      <c r="F1500" s="1">
        <v>0</v>
      </c>
      <c r="G1500" s="1" t="s">
        <v>47</v>
      </c>
      <c r="H1500" s="1" t="s">
        <v>492</v>
      </c>
      <c r="I1500" s="1" t="s">
        <v>46</v>
      </c>
      <c r="J1500" s="1" t="s">
        <v>40</v>
      </c>
      <c r="K1500" s="1"/>
      <c r="L1500" s="1"/>
    </row>
    <row r="1501" spans="1:12" s="32" customFormat="1" hidden="1" x14ac:dyDescent="0.3">
      <c r="A1501" s="37">
        <v>46127.46980324074</v>
      </c>
      <c r="B1501" s="1" t="s">
        <v>37</v>
      </c>
      <c r="C1501" s="1">
        <v>4432226677</v>
      </c>
      <c r="D1501" s="1"/>
      <c r="E1501" s="1">
        <v>25</v>
      </c>
      <c r="F1501" s="1">
        <v>25</v>
      </c>
      <c r="G1501" s="1" t="s">
        <v>38</v>
      </c>
      <c r="H1501" s="1" t="s">
        <v>493</v>
      </c>
      <c r="I1501" s="1" t="s">
        <v>46</v>
      </c>
      <c r="J1501" s="1" t="s">
        <v>40</v>
      </c>
      <c r="K1501" s="1"/>
      <c r="L1501" s="1"/>
    </row>
    <row r="1502" spans="1:12" s="32" customFormat="1" hidden="1" x14ac:dyDescent="0.3">
      <c r="A1502" s="37">
        <v>46127.469780092593</v>
      </c>
      <c r="B1502" s="1">
        <v>42998221810</v>
      </c>
      <c r="C1502" s="1" t="s">
        <v>43</v>
      </c>
      <c r="D1502" s="1">
        <v>4430265054</v>
      </c>
      <c r="E1502" s="1">
        <v>407</v>
      </c>
      <c r="F1502" s="1">
        <v>359</v>
      </c>
      <c r="G1502" s="1" t="s">
        <v>38</v>
      </c>
      <c r="H1502" s="1" t="s">
        <v>494</v>
      </c>
      <c r="I1502" s="1" t="s">
        <v>39</v>
      </c>
      <c r="J1502" s="1" t="s">
        <v>40</v>
      </c>
      <c r="K1502" s="1" t="s">
        <v>41</v>
      </c>
      <c r="L1502" s="1"/>
    </row>
    <row r="1503" spans="1:12" s="32" customFormat="1" hidden="1" x14ac:dyDescent="0.3">
      <c r="A1503" s="37">
        <v>46127.469710648147</v>
      </c>
      <c r="B1503" s="1" t="s">
        <v>37</v>
      </c>
      <c r="C1503" s="1">
        <v>4432226677</v>
      </c>
      <c r="D1503" s="1"/>
      <c r="E1503" s="1">
        <v>6</v>
      </c>
      <c r="F1503" s="1">
        <v>0</v>
      </c>
      <c r="G1503" s="1" t="s">
        <v>47</v>
      </c>
      <c r="H1503" s="1" t="s">
        <v>495</v>
      </c>
      <c r="I1503" s="1" t="s">
        <v>46</v>
      </c>
      <c r="J1503" s="1" t="s">
        <v>40</v>
      </c>
      <c r="K1503" s="1"/>
      <c r="L1503" s="1"/>
    </row>
    <row r="1504" spans="1:12" s="32" customFormat="1" hidden="1" x14ac:dyDescent="0.3">
      <c r="A1504" s="37">
        <v>46127.469606481478</v>
      </c>
      <c r="B1504" s="1" t="s">
        <v>37</v>
      </c>
      <c r="C1504" s="1">
        <v>4432226677</v>
      </c>
      <c r="D1504" s="1"/>
      <c r="E1504" s="1">
        <v>25</v>
      </c>
      <c r="F1504" s="1">
        <v>25</v>
      </c>
      <c r="G1504" s="1" t="s">
        <v>38</v>
      </c>
      <c r="H1504" s="1" t="s">
        <v>496</v>
      </c>
      <c r="I1504" s="1" t="s">
        <v>46</v>
      </c>
      <c r="J1504" s="1" t="s">
        <v>40</v>
      </c>
      <c r="K1504" s="1"/>
      <c r="L1504" s="1"/>
    </row>
    <row r="1505" spans="1:12" s="32" customFormat="1" hidden="1" x14ac:dyDescent="0.3">
      <c r="A1505" s="37">
        <v>46127.469236111108</v>
      </c>
      <c r="B1505" s="1" t="s">
        <v>37</v>
      </c>
      <c r="C1505" s="1">
        <v>4432226677</v>
      </c>
      <c r="D1505" s="1"/>
      <c r="E1505" s="1">
        <v>1</v>
      </c>
      <c r="F1505" s="1">
        <v>0</v>
      </c>
      <c r="G1505" s="1" t="s">
        <v>47</v>
      </c>
      <c r="H1505" s="1" t="s">
        <v>497</v>
      </c>
      <c r="I1505" s="1" t="s">
        <v>46</v>
      </c>
      <c r="J1505" s="1" t="s">
        <v>40</v>
      </c>
      <c r="K1505" s="1"/>
      <c r="L1505" s="1"/>
    </row>
    <row r="1506" spans="1:12" s="32" customFormat="1" hidden="1" x14ac:dyDescent="0.3">
      <c r="A1506" s="37">
        <v>46127.467488425929</v>
      </c>
      <c r="B1506" s="1">
        <v>4430145151</v>
      </c>
      <c r="C1506" s="1" t="s">
        <v>44</v>
      </c>
      <c r="D1506" s="1">
        <v>4430265054</v>
      </c>
      <c r="E1506" s="1">
        <v>424</v>
      </c>
      <c r="F1506" s="1">
        <v>373</v>
      </c>
      <c r="G1506" s="1" t="s">
        <v>38</v>
      </c>
      <c r="H1506" s="1" t="s">
        <v>498</v>
      </c>
      <c r="I1506" s="1" t="s">
        <v>39</v>
      </c>
      <c r="J1506" s="1" t="s">
        <v>40</v>
      </c>
      <c r="K1506" s="1" t="s">
        <v>41</v>
      </c>
      <c r="L1506" s="1"/>
    </row>
    <row r="1507" spans="1:12" s="32" customFormat="1" hidden="1" x14ac:dyDescent="0.3">
      <c r="A1507" s="37">
        <v>46127.467094907406</v>
      </c>
      <c r="B1507" s="1">
        <v>4430145151</v>
      </c>
      <c r="C1507" s="1">
        <v>4430265054</v>
      </c>
      <c r="D1507" s="1">
        <v>4430265054</v>
      </c>
      <c r="E1507" s="1">
        <v>20</v>
      </c>
      <c r="F1507" s="1">
        <v>19</v>
      </c>
      <c r="G1507" s="1" t="s">
        <v>52</v>
      </c>
      <c r="H1507" s="1" t="s">
        <v>499</v>
      </c>
      <c r="I1507" s="1" t="s">
        <v>39</v>
      </c>
      <c r="J1507" s="1" t="s">
        <v>53</v>
      </c>
      <c r="K1507" s="1"/>
      <c r="L1507" s="1"/>
    </row>
    <row r="1508" spans="1:12" s="32" customFormat="1" hidden="1" x14ac:dyDescent="0.3">
      <c r="A1508" s="37">
        <v>46127.465810185182</v>
      </c>
      <c r="B1508" s="1" t="s">
        <v>37</v>
      </c>
      <c r="C1508" s="1">
        <v>4435221208</v>
      </c>
      <c r="D1508" s="1"/>
      <c r="E1508" s="1">
        <v>120</v>
      </c>
      <c r="F1508" s="1">
        <v>107</v>
      </c>
      <c r="G1508" s="1" t="s">
        <v>38</v>
      </c>
      <c r="H1508" s="1" t="s">
        <v>500</v>
      </c>
      <c r="I1508" s="1" t="s">
        <v>46</v>
      </c>
      <c r="J1508" s="1" t="s">
        <v>40</v>
      </c>
      <c r="K1508" s="1"/>
      <c r="L1508" s="1"/>
    </row>
    <row r="1509" spans="1:12" s="32" customFormat="1" hidden="1" x14ac:dyDescent="0.3">
      <c r="A1509" s="37">
        <v>46127.464062500003</v>
      </c>
      <c r="B1509" s="1" t="s">
        <v>54</v>
      </c>
      <c r="C1509" s="1">
        <v>62992014914</v>
      </c>
      <c r="D1509" s="1"/>
      <c r="E1509" s="1">
        <v>5</v>
      </c>
      <c r="F1509" s="1">
        <v>0</v>
      </c>
      <c r="G1509" s="1" t="s">
        <v>47</v>
      </c>
      <c r="H1509" s="1" t="s">
        <v>501</v>
      </c>
      <c r="I1509" s="1" t="s">
        <v>46</v>
      </c>
      <c r="J1509" s="1" t="s">
        <v>55</v>
      </c>
      <c r="K1509" s="1"/>
      <c r="L1509" s="1"/>
    </row>
    <row r="1510" spans="1:12" s="32" customFormat="1" hidden="1" x14ac:dyDescent="0.3">
      <c r="A1510" s="37">
        <v>46127.463101851848</v>
      </c>
      <c r="B1510" s="1" t="s">
        <v>45</v>
      </c>
      <c r="C1510" s="1">
        <v>81994195603</v>
      </c>
      <c r="D1510" s="1"/>
      <c r="E1510" s="1">
        <v>2773</v>
      </c>
      <c r="F1510" s="1">
        <v>2759</v>
      </c>
      <c r="G1510" s="1" t="s">
        <v>38</v>
      </c>
      <c r="H1510" s="1" t="s">
        <v>502</v>
      </c>
      <c r="I1510" s="1" t="s">
        <v>46</v>
      </c>
      <c r="J1510" s="1" t="s">
        <v>40</v>
      </c>
      <c r="K1510" s="1"/>
      <c r="L1510" s="1"/>
    </row>
    <row r="1511" spans="1:12" s="32" customFormat="1" hidden="1" x14ac:dyDescent="0.3">
      <c r="A1511" s="37">
        <v>46127.462314814817</v>
      </c>
      <c r="B1511" s="1" t="s">
        <v>43</v>
      </c>
      <c r="C1511" s="1">
        <v>91981481202</v>
      </c>
      <c r="D1511" s="1"/>
      <c r="E1511" s="1">
        <v>342</v>
      </c>
      <c r="F1511" s="1">
        <v>336</v>
      </c>
      <c r="G1511" s="1" t="s">
        <v>38</v>
      </c>
      <c r="H1511" s="1" t="s">
        <v>503</v>
      </c>
      <c r="I1511" s="1" t="s">
        <v>46</v>
      </c>
      <c r="J1511" s="1" t="s">
        <v>40</v>
      </c>
      <c r="K1511" s="1"/>
      <c r="L1511" s="1"/>
    </row>
    <row r="1512" spans="1:12" s="32" customFormat="1" hidden="1" x14ac:dyDescent="0.3">
      <c r="A1512" s="37">
        <v>46127.455787037034</v>
      </c>
      <c r="B1512" s="1">
        <v>91981481202</v>
      </c>
      <c r="C1512" s="1" t="s">
        <v>43</v>
      </c>
      <c r="D1512" s="1">
        <v>4430265054</v>
      </c>
      <c r="E1512" s="1">
        <v>470</v>
      </c>
      <c r="F1512" s="1">
        <v>382</v>
      </c>
      <c r="G1512" s="1" t="s">
        <v>38</v>
      </c>
      <c r="H1512" s="1" t="s">
        <v>504</v>
      </c>
      <c r="I1512" s="1" t="s">
        <v>39</v>
      </c>
      <c r="J1512" s="1" t="s">
        <v>40</v>
      </c>
      <c r="K1512" s="1" t="s">
        <v>41</v>
      </c>
      <c r="L1512" s="1"/>
    </row>
    <row r="1513" spans="1:12" s="32" customFormat="1" hidden="1" x14ac:dyDescent="0.3">
      <c r="A1513" s="37">
        <v>46127.446851851855</v>
      </c>
      <c r="B1513" s="1">
        <v>44998032021</v>
      </c>
      <c r="C1513" s="1" t="s">
        <v>42</v>
      </c>
      <c r="D1513" s="1">
        <v>4430265054</v>
      </c>
      <c r="E1513" s="1">
        <v>307</v>
      </c>
      <c r="F1513" s="1">
        <v>190</v>
      </c>
      <c r="G1513" s="1" t="s">
        <v>38</v>
      </c>
      <c r="H1513" s="1" t="s">
        <v>505</v>
      </c>
      <c r="I1513" s="1" t="s">
        <v>39</v>
      </c>
      <c r="J1513" s="1" t="s">
        <v>40</v>
      </c>
      <c r="K1513" s="1" t="s">
        <v>41</v>
      </c>
      <c r="L1513" s="1"/>
    </row>
    <row r="1514" spans="1:12" s="32" customFormat="1" hidden="1" x14ac:dyDescent="0.3">
      <c r="A1514" s="37">
        <v>46127.4455787037</v>
      </c>
      <c r="B1514" s="1">
        <v>44998032021</v>
      </c>
      <c r="C1514" s="1">
        <v>4430265054</v>
      </c>
      <c r="D1514" s="1">
        <v>4430265054</v>
      </c>
      <c r="E1514" s="1">
        <v>5</v>
      </c>
      <c r="F1514" s="1">
        <v>5</v>
      </c>
      <c r="G1514" s="1" t="s">
        <v>52</v>
      </c>
      <c r="H1514" s="1" t="s">
        <v>506</v>
      </c>
      <c r="I1514" s="1" t="s">
        <v>39</v>
      </c>
      <c r="J1514" s="1" t="s">
        <v>53</v>
      </c>
      <c r="K1514" s="1"/>
      <c r="L1514" s="1"/>
    </row>
    <row r="1515" spans="1:12" s="32" customFormat="1" hidden="1" x14ac:dyDescent="0.3">
      <c r="A1515" s="37">
        <v>46127.445150462961</v>
      </c>
      <c r="B1515" s="1" t="s">
        <v>48</v>
      </c>
      <c r="C1515" s="1">
        <v>1131043888</v>
      </c>
      <c r="D1515" s="1"/>
      <c r="E1515" s="1">
        <v>138</v>
      </c>
      <c r="F1515" s="1">
        <v>137</v>
      </c>
      <c r="G1515" s="1" t="s">
        <v>38</v>
      </c>
      <c r="H1515" s="1" t="s">
        <v>507</v>
      </c>
      <c r="I1515" s="1" t="s">
        <v>46</v>
      </c>
      <c r="J1515" s="1" t="s">
        <v>40</v>
      </c>
      <c r="K1515" s="1"/>
      <c r="L1515" s="1"/>
    </row>
    <row r="1516" spans="1:12" s="32" customFormat="1" hidden="1" x14ac:dyDescent="0.3">
      <c r="A1516" s="37">
        <v>46127.443923611114</v>
      </c>
      <c r="B1516" s="1" t="s">
        <v>54</v>
      </c>
      <c r="C1516" s="1">
        <v>43996777895</v>
      </c>
      <c r="D1516" s="1"/>
      <c r="E1516" s="1">
        <v>14</v>
      </c>
      <c r="F1516" s="1">
        <v>11</v>
      </c>
      <c r="G1516" s="1" t="s">
        <v>38</v>
      </c>
      <c r="H1516" s="1" t="s">
        <v>508</v>
      </c>
      <c r="I1516" s="1" t="s">
        <v>46</v>
      </c>
      <c r="J1516" s="1" t="s">
        <v>55</v>
      </c>
      <c r="K1516" s="1"/>
      <c r="L1516" s="1"/>
    </row>
    <row r="1517" spans="1:12" s="32" customFormat="1" hidden="1" x14ac:dyDescent="0.3">
      <c r="A1517" s="37">
        <v>46127.441400462965</v>
      </c>
      <c r="B1517" s="1">
        <v>2222100098</v>
      </c>
      <c r="C1517" s="1" t="s">
        <v>37</v>
      </c>
      <c r="D1517" s="1">
        <v>4430265054</v>
      </c>
      <c r="E1517" s="1">
        <v>897</v>
      </c>
      <c r="F1517" s="1">
        <v>835</v>
      </c>
      <c r="G1517" s="1" t="s">
        <v>38</v>
      </c>
      <c r="H1517" s="1" t="s">
        <v>509</v>
      </c>
      <c r="I1517" s="1" t="s">
        <v>39</v>
      </c>
      <c r="J1517" s="1" t="s">
        <v>40</v>
      </c>
      <c r="K1517" s="1" t="s">
        <v>41</v>
      </c>
      <c r="L1517" s="1"/>
    </row>
    <row r="1518" spans="1:12" s="32" customFormat="1" hidden="1" x14ac:dyDescent="0.3">
      <c r="A1518" s="37">
        <v>46127.441099537034</v>
      </c>
      <c r="B1518" s="1" t="s">
        <v>54</v>
      </c>
      <c r="C1518" s="1">
        <v>67981122337</v>
      </c>
      <c r="D1518" s="1"/>
      <c r="E1518" s="1">
        <v>5</v>
      </c>
      <c r="F1518" s="1">
        <v>0</v>
      </c>
      <c r="G1518" s="1" t="s">
        <v>47</v>
      </c>
      <c r="H1518" s="1" t="s">
        <v>510</v>
      </c>
      <c r="I1518" s="1" t="s">
        <v>46</v>
      </c>
      <c r="J1518" s="1" t="s">
        <v>55</v>
      </c>
      <c r="K1518" s="1"/>
      <c r="L1518" s="1"/>
    </row>
    <row r="1519" spans="1:12" s="32" customFormat="1" hidden="1" x14ac:dyDescent="0.3">
      <c r="A1519" s="37">
        <v>46127.440601851849</v>
      </c>
      <c r="B1519" s="1">
        <v>4436351835</v>
      </c>
      <c r="C1519" s="1" t="s">
        <v>44</v>
      </c>
      <c r="D1519" s="1">
        <v>4430265054</v>
      </c>
      <c r="E1519" s="1">
        <v>1047</v>
      </c>
      <c r="F1519" s="1">
        <v>985</v>
      </c>
      <c r="G1519" s="1" t="s">
        <v>38</v>
      </c>
      <c r="H1519" s="1" t="s">
        <v>511</v>
      </c>
      <c r="I1519" s="1" t="s">
        <v>39</v>
      </c>
      <c r="J1519" s="1" t="s">
        <v>40</v>
      </c>
      <c r="K1519" s="1" t="s">
        <v>41</v>
      </c>
      <c r="L1519" s="1"/>
    </row>
    <row r="1520" spans="1:12" s="32" customFormat="1" hidden="1" x14ac:dyDescent="0.3">
      <c r="A1520" s="37">
        <v>46127.434629629628</v>
      </c>
      <c r="B1520" s="1" t="s">
        <v>42</v>
      </c>
      <c r="C1520" s="1">
        <v>44999611131</v>
      </c>
      <c r="D1520" s="1"/>
      <c r="E1520" s="1">
        <v>252</v>
      </c>
      <c r="F1520" s="1">
        <v>246</v>
      </c>
      <c r="G1520" s="1" t="s">
        <v>38</v>
      </c>
      <c r="H1520" s="1" t="s">
        <v>512</v>
      </c>
      <c r="I1520" s="1" t="s">
        <v>46</v>
      </c>
      <c r="J1520" s="1" t="s">
        <v>40</v>
      </c>
      <c r="K1520" s="1"/>
      <c r="L1520" s="1"/>
    </row>
    <row r="1521" spans="1:12" s="32" customFormat="1" hidden="1" x14ac:dyDescent="0.3">
      <c r="A1521" s="37">
        <v>46127.434340277781</v>
      </c>
      <c r="B1521" s="1" t="s">
        <v>45</v>
      </c>
      <c r="C1521" s="1">
        <v>74981021354</v>
      </c>
      <c r="D1521" s="1"/>
      <c r="E1521" s="1">
        <v>40</v>
      </c>
      <c r="F1521" s="1">
        <v>24</v>
      </c>
      <c r="G1521" s="1" t="s">
        <v>38</v>
      </c>
      <c r="H1521" s="1" t="s">
        <v>513</v>
      </c>
      <c r="I1521" s="1" t="s">
        <v>46</v>
      </c>
      <c r="J1521" s="1" t="s">
        <v>40</v>
      </c>
      <c r="K1521" s="1"/>
      <c r="L1521" s="1"/>
    </row>
    <row r="1522" spans="1:12" s="32" customFormat="1" hidden="1" x14ac:dyDescent="0.3">
      <c r="A1522" s="37">
        <v>46127.434201388889</v>
      </c>
      <c r="B1522" s="1">
        <v>44988255390</v>
      </c>
      <c r="C1522" s="1" t="s">
        <v>37</v>
      </c>
      <c r="D1522" s="1">
        <v>4430265054</v>
      </c>
      <c r="E1522" s="1">
        <v>544</v>
      </c>
      <c r="F1522" s="1">
        <v>508</v>
      </c>
      <c r="G1522" s="1" t="s">
        <v>38</v>
      </c>
      <c r="H1522" s="1" t="s">
        <v>514</v>
      </c>
      <c r="I1522" s="1" t="s">
        <v>39</v>
      </c>
      <c r="J1522" s="1" t="s">
        <v>40</v>
      </c>
      <c r="K1522" s="1" t="s">
        <v>41</v>
      </c>
      <c r="L1522" s="1"/>
    </row>
    <row r="1523" spans="1:12" s="32" customFormat="1" hidden="1" x14ac:dyDescent="0.3">
      <c r="A1523" s="37">
        <v>46127.433969907404</v>
      </c>
      <c r="B1523" s="1" t="s">
        <v>48</v>
      </c>
      <c r="C1523" s="1">
        <v>4430459001</v>
      </c>
      <c r="D1523" s="1"/>
      <c r="E1523" s="1">
        <v>92</v>
      </c>
      <c r="F1523" s="1">
        <v>82</v>
      </c>
      <c r="G1523" s="1" t="s">
        <v>38</v>
      </c>
      <c r="H1523" s="1" t="s">
        <v>515</v>
      </c>
      <c r="I1523" s="1" t="s">
        <v>46</v>
      </c>
      <c r="J1523" s="1" t="s">
        <v>40</v>
      </c>
      <c r="K1523" s="1"/>
      <c r="L1523" s="1"/>
    </row>
    <row r="1524" spans="1:12" s="32" customFormat="1" hidden="1" x14ac:dyDescent="0.3">
      <c r="A1524" s="37">
        <v>46127.433819444443</v>
      </c>
      <c r="B1524" s="1" t="s">
        <v>54</v>
      </c>
      <c r="C1524" s="1">
        <v>51981992188</v>
      </c>
      <c r="D1524" s="1"/>
      <c r="E1524" s="1">
        <v>35</v>
      </c>
      <c r="F1524" s="1">
        <v>0</v>
      </c>
      <c r="G1524" s="1" t="s">
        <v>47</v>
      </c>
      <c r="H1524" s="1" t="s">
        <v>516</v>
      </c>
      <c r="I1524" s="1" t="s">
        <v>46</v>
      </c>
      <c r="J1524" s="1" t="s">
        <v>55</v>
      </c>
      <c r="K1524" s="1"/>
      <c r="L1524" s="1"/>
    </row>
    <row r="1525" spans="1:12" s="32" customFormat="1" hidden="1" x14ac:dyDescent="0.3">
      <c r="A1525" s="37">
        <v>46127.429386574076</v>
      </c>
      <c r="B1525" s="1">
        <v>4533042020</v>
      </c>
      <c r="C1525" s="1">
        <v>4531273163</v>
      </c>
      <c r="D1525" s="1">
        <v>4531273163</v>
      </c>
      <c r="E1525" s="1">
        <v>63</v>
      </c>
      <c r="F1525" s="1">
        <v>62</v>
      </c>
      <c r="G1525" s="1" t="s">
        <v>52</v>
      </c>
      <c r="H1525" s="1" t="s">
        <v>517</v>
      </c>
      <c r="I1525" s="1" t="s">
        <v>39</v>
      </c>
      <c r="J1525" s="1" t="s">
        <v>53</v>
      </c>
      <c r="K1525" s="1" t="s">
        <v>41</v>
      </c>
      <c r="L1525" s="1"/>
    </row>
    <row r="1526" spans="1:12" s="32" customFormat="1" hidden="1" x14ac:dyDescent="0.3">
      <c r="A1526" s="37">
        <v>46127.423449074071</v>
      </c>
      <c r="B1526" s="1">
        <v>44984241715</v>
      </c>
      <c r="C1526" s="1" t="s">
        <v>43</v>
      </c>
      <c r="D1526" s="1">
        <v>4430265054</v>
      </c>
      <c r="E1526" s="1">
        <v>780</v>
      </c>
      <c r="F1526" s="1">
        <v>723</v>
      </c>
      <c r="G1526" s="1" t="s">
        <v>38</v>
      </c>
      <c r="H1526" s="1" t="s">
        <v>518</v>
      </c>
      <c r="I1526" s="1" t="s">
        <v>39</v>
      </c>
      <c r="J1526" s="1" t="s">
        <v>40</v>
      </c>
      <c r="K1526" s="1" t="s">
        <v>41</v>
      </c>
      <c r="L1526" s="1"/>
    </row>
    <row r="1527" spans="1:12" s="32" customFormat="1" hidden="1" x14ac:dyDescent="0.3">
      <c r="A1527" s="37">
        <v>46127.4221875</v>
      </c>
      <c r="B1527" s="1" t="s">
        <v>44</v>
      </c>
      <c r="C1527" s="1">
        <v>18996339700</v>
      </c>
      <c r="D1527" s="1"/>
      <c r="E1527" s="1">
        <v>68</v>
      </c>
      <c r="F1527" s="1">
        <v>25</v>
      </c>
      <c r="G1527" s="1" t="s">
        <v>38</v>
      </c>
      <c r="H1527" s="1" t="s">
        <v>519</v>
      </c>
      <c r="I1527" s="1" t="s">
        <v>46</v>
      </c>
      <c r="J1527" s="1" t="s">
        <v>40</v>
      </c>
      <c r="K1527" s="1"/>
      <c r="L1527" s="1"/>
    </row>
    <row r="1528" spans="1:12" s="32" customFormat="1" hidden="1" x14ac:dyDescent="0.3">
      <c r="A1528" s="37">
        <v>46127.421388888892</v>
      </c>
      <c r="B1528" s="1" t="s">
        <v>44</v>
      </c>
      <c r="C1528" s="1">
        <v>18996339700</v>
      </c>
      <c r="D1528" s="1"/>
      <c r="E1528" s="1">
        <v>68</v>
      </c>
      <c r="F1528" s="1">
        <v>26</v>
      </c>
      <c r="G1528" s="1" t="s">
        <v>38</v>
      </c>
      <c r="H1528" s="1" t="s">
        <v>520</v>
      </c>
      <c r="I1528" s="1" t="s">
        <v>46</v>
      </c>
      <c r="J1528" s="1" t="s">
        <v>40</v>
      </c>
      <c r="K1528" s="1"/>
      <c r="L1528" s="1"/>
    </row>
    <row r="1529" spans="1:12" s="32" customFormat="1" hidden="1" x14ac:dyDescent="0.3">
      <c r="A1529" s="37">
        <v>46127.421365740738</v>
      </c>
      <c r="B1529" s="1" t="s">
        <v>45</v>
      </c>
      <c r="C1529" s="1">
        <v>74981021354</v>
      </c>
      <c r="D1529" s="1"/>
      <c r="E1529" s="1">
        <v>15</v>
      </c>
      <c r="F1529" s="1">
        <v>0</v>
      </c>
      <c r="G1529" s="1" t="s">
        <v>47</v>
      </c>
      <c r="H1529" s="1" t="s">
        <v>521</v>
      </c>
      <c r="I1529" s="1" t="s">
        <v>46</v>
      </c>
      <c r="J1529" s="1" t="s">
        <v>40</v>
      </c>
      <c r="K1529" s="1"/>
      <c r="L1529" s="1"/>
    </row>
    <row r="1530" spans="1:12" s="32" customFormat="1" hidden="1" x14ac:dyDescent="0.3">
      <c r="A1530" s="37">
        <v>46127.420590277776</v>
      </c>
      <c r="B1530" s="1" t="s">
        <v>44</v>
      </c>
      <c r="C1530" s="1">
        <v>18996339700</v>
      </c>
      <c r="D1530" s="1"/>
      <c r="E1530" s="1">
        <v>41</v>
      </c>
      <c r="F1530" s="1">
        <v>0</v>
      </c>
      <c r="G1530" s="1" t="s">
        <v>47</v>
      </c>
      <c r="H1530" s="1" t="s">
        <v>522</v>
      </c>
      <c r="I1530" s="1" t="s">
        <v>46</v>
      </c>
      <c r="J1530" s="1" t="s">
        <v>40</v>
      </c>
      <c r="K1530" s="1"/>
      <c r="L1530" s="1"/>
    </row>
    <row r="1531" spans="1:12" s="32" customFormat="1" hidden="1" x14ac:dyDescent="0.3">
      <c r="A1531" s="37">
        <v>46127.415972222225</v>
      </c>
      <c r="B1531" s="1">
        <v>91981481202</v>
      </c>
      <c r="C1531" s="1">
        <v>4430265054</v>
      </c>
      <c r="D1531" s="1">
        <v>4430265054</v>
      </c>
      <c r="E1531" s="1">
        <v>74</v>
      </c>
      <c r="F1531" s="1">
        <v>74</v>
      </c>
      <c r="G1531" s="1" t="s">
        <v>52</v>
      </c>
      <c r="H1531" s="1" t="s">
        <v>523</v>
      </c>
      <c r="I1531" s="1" t="s">
        <v>39</v>
      </c>
      <c r="J1531" s="1" t="s">
        <v>53</v>
      </c>
      <c r="K1531" s="1" t="s">
        <v>41</v>
      </c>
      <c r="L1531" s="1"/>
    </row>
    <row r="1532" spans="1:12" s="32" customFormat="1" hidden="1" x14ac:dyDescent="0.3">
      <c r="A1532" s="37">
        <v>46127.415752314817</v>
      </c>
      <c r="B1532" s="1" t="s">
        <v>45</v>
      </c>
      <c r="C1532" s="1">
        <v>41999865917</v>
      </c>
      <c r="D1532" s="1"/>
      <c r="E1532" s="1">
        <v>61</v>
      </c>
      <c r="F1532" s="1">
        <v>54</v>
      </c>
      <c r="G1532" s="1" t="s">
        <v>38</v>
      </c>
      <c r="H1532" s="1" t="s">
        <v>524</v>
      </c>
      <c r="I1532" s="1" t="s">
        <v>46</v>
      </c>
      <c r="J1532" s="1" t="s">
        <v>40</v>
      </c>
      <c r="K1532" s="1"/>
      <c r="L1532" s="1"/>
    </row>
    <row r="1533" spans="1:12" s="32" customFormat="1" hidden="1" x14ac:dyDescent="0.3">
      <c r="A1533" s="37">
        <v>46127.409849537034</v>
      </c>
      <c r="B1533" s="1">
        <v>42999820593</v>
      </c>
      <c r="C1533" s="1" t="s">
        <v>43</v>
      </c>
      <c r="D1533" s="1">
        <v>4430265054</v>
      </c>
      <c r="E1533" s="1">
        <v>704</v>
      </c>
      <c r="F1533" s="1">
        <v>665</v>
      </c>
      <c r="G1533" s="1" t="s">
        <v>38</v>
      </c>
      <c r="H1533" s="1" t="s">
        <v>525</v>
      </c>
      <c r="I1533" s="1" t="s">
        <v>39</v>
      </c>
      <c r="J1533" s="1" t="s">
        <v>40</v>
      </c>
      <c r="K1533" s="1" t="s">
        <v>41</v>
      </c>
      <c r="L1533" s="1"/>
    </row>
    <row r="1534" spans="1:12" s="32" customFormat="1" hidden="1" x14ac:dyDescent="0.3">
      <c r="A1534" s="37">
        <v>46127.407754629632</v>
      </c>
      <c r="B1534" s="1" t="s">
        <v>42</v>
      </c>
      <c r="C1534" s="1">
        <v>4430454546</v>
      </c>
      <c r="D1534" s="1"/>
      <c r="E1534" s="1">
        <v>19</v>
      </c>
      <c r="F1534" s="1">
        <v>11</v>
      </c>
      <c r="G1534" s="1" t="s">
        <v>38</v>
      </c>
      <c r="H1534" s="1" t="s">
        <v>526</v>
      </c>
      <c r="I1534" s="1" t="s">
        <v>46</v>
      </c>
      <c r="J1534" s="1" t="s">
        <v>40</v>
      </c>
      <c r="K1534" s="1"/>
      <c r="L1534" s="1"/>
    </row>
    <row r="1535" spans="1:12" s="32" customFormat="1" hidden="1" x14ac:dyDescent="0.3">
      <c r="A1535" s="37">
        <v>46127.407384259262</v>
      </c>
      <c r="B1535" s="1" t="s">
        <v>42</v>
      </c>
      <c r="C1535" s="1">
        <v>4430454546</v>
      </c>
      <c r="D1535" s="1"/>
      <c r="E1535" s="1">
        <v>27</v>
      </c>
      <c r="F1535" s="1">
        <v>23</v>
      </c>
      <c r="G1535" s="1" t="s">
        <v>38</v>
      </c>
      <c r="H1535" s="1" t="s">
        <v>527</v>
      </c>
      <c r="I1535" s="1" t="s">
        <v>46</v>
      </c>
      <c r="J1535" s="1" t="s">
        <v>40</v>
      </c>
      <c r="K1535" s="1"/>
      <c r="L1535" s="1"/>
    </row>
    <row r="1536" spans="1:12" s="32" customFormat="1" hidden="1" x14ac:dyDescent="0.3">
      <c r="A1536" s="37">
        <v>46127.407129629632</v>
      </c>
      <c r="B1536" s="1" t="s">
        <v>42</v>
      </c>
      <c r="C1536" s="1">
        <v>4430454546</v>
      </c>
      <c r="D1536" s="1"/>
      <c r="E1536" s="1">
        <v>17</v>
      </c>
      <c r="F1536" s="1">
        <v>9</v>
      </c>
      <c r="G1536" s="1" t="s">
        <v>38</v>
      </c>
      <c r="H1536" s="1" t="s">
        <v>528</v>
      </c>
      <c r="I1536" s="1" t="s">
        <v>46</v>
      </c>
      <c r="J1536" s="1" t="s">
        <v>40</v>
      </c>
      <c r="K1536" s="1"/>
      <c r="L1536" s="1"/>
    </row>
    <row r="1537" spans="1:12" s="32" customFormat="1" hidden="1" x14ac:dyDescent="0.3">
      <c r="A1537" s="37">
        <v>46127.406990740739</v>
      </c>
      <c r="B1537" s="1" t="s">
        <v>42</v>
      </c>
      <c r="C1537" s="1">
        <v>4430454546</v>
      </c>
      <c r="D1537" s="1"/>
      <c r="E1537" s="1">
        <v>26</v>
      </c>
      <c r="F1537" s="1">
        <v>25</v>
      </c>
      <c r="G1537" s="1" t="s">
        <v>38</v>
      </c>
      <c r="H1537" s="1" t="s">
        <v>529</v>
      </c>
      <c r="I1537" s="1" t="s">
        <v>46</v>
      </c>
      <c r="J1537" s="1" t="s">
        <v>40</v>
      </c>
      <c r="K1537" s="1"/>
      <c r="L1537" s="1"/>
    </row>
    <row r="1538" spans="1:12" s="32" customFormat="1" hidden="1" x14ac:dyDescent="0.3">
      <c r="A1538" s="37">
        <v>46127.406423611108</v>
      </c>
      <c r="B1538" s="1">
        <v>44999670264</v>
      </c>
      <c r="C1538" s="1" t="s">
        <v>44</v>
      </c>
      <c r="D1538" s="1">
        <v>4430265054</v>
      </c>
      <c r="E1538" s="1">
        <v>665</v>
      </c>
      <c r="F1538" s="1">
        <v>605</v>
      </c>
      <c r="G1538" s="1" t="s">
        <v>38</v>
      </c>
      <c r="H1538" s="1" t="s">
        <v>530</v>
      </c>
      <c r="I1538" s="1" t="s">
        <v>39</v>
      </c>
      <c r="J1538" s="1" t="s">
        <v>40</v>
      </c>
      <c r="K1538" s="1" t="s">
        <v>41</v>
      </c>
      <c r="L1538" s="1">
        <v>5</v>
      </c>
    </row>
    <row r="1539" spans="1:12" s="32" customFormat="1" hidden="1" x14ac:dyDescent="0.3">
      <c r="A1539" s="37">
        <v>46127.403460648151</v>
      </c>
      <c r="B1539" s="1">
        <v>6234347959</v>
      </c>
      <c r="C1539" s="1" t="s">
        <v>45</v>
      </c>
      <c r="D1539" s="1">
        <v>4430265054</v>
      </c>
      <c r="E1539" s="1">
        <v>502</v>
      </c>
      <c r="F1539" s="1">
        <v>461</v>
      </c>
      <c r="G1539" s="1" t="s">
        <v>38</v>
      </c>
      <c r="H1539" s="1" t="s">
        <v>531</v>
      </c>
      <c r="I1539" s="1" t="s">
        <v>39</v>
      </c>
      <c r="J1539" s="1" t="s">
        <v>40</v>
      </c>
      <c r="K1539" s="1" t="s">
        <v>41</v>
      </c>
      <c r="L1539" s="1"/>
    </row>
    <row r="1540" spans="1:12" s="32" customFormat="1" x14ac:dyDescent="0.3">
      <c r="A1540" s="37">
        <v>46127.401099537034</v>
      </c>
      <c r="B1540" s="1">
        <v>4130775695</v>
      </c>
      <c r="C1540" s="1" t="s">
        <v>37</v>
      </c>
      <c r="D1540" s="1">
        <v>4430265054</v>
      </c>
      <c r="E1540" s="1">
        <v>1210</v>
      </c>
      <c r="F1540" s="1">
        <v>1091</v>
      </c>
      <c r="G1540" s="1" t="s">
        <v>38</v>
      </c>
      <c r="H1540" s="1" t="s">
        <v>532</v>
      </c>
      <c r="I1540" s="1" t="s">
        <v>39</v>
      </c>
      <c r="J1540" s="1" t="s">
        <v>40</v>
      </c>
      <c r="K1540" s="1" t="s">
        <v>41</v>
      </c>
      <c r="L1540" s="1">
        <v>5</v>
      </c>
    </row>
    <row r="1541" spans="1:12" s="32" customFormat="1" hidden="1" x14ac:dyDescent="0.3">
      <c r="A1541" s="37">
        <v>46127.400671296295</v>
      </c>
      <c r="B1541" s="1">
        <v>44999917849</v>
      </c>
      <c r="C1541" s="1" t="s">
        <v>44</v>
      </c>
      <c r="D1541" s="1">
        <v>4430265054</v>
      </c>
      <c r="E1541" s="1">
        <v>169</v>
      </c>
      <c r="F1541" s="1">
        <v>145</v>
      </c>
      <c r="G1541" s="1" t="s">
        <v>38</v>
      </c>
      <c r="H1541" s="1" t="s">
        <v>533</v>
      </c>
      <c r="I1541" s="1" t="s">
        <v>39</v>
      </c>
      <c r="J1541" s="1" t="s">
        <v>40</v>
      </c>
      <c r="K1541" s="1" t="s">
        <v>41</v>
      </c>
      <c r="L1541" s="1"/>
    </row>
    <row r="1542" spans="1:12" s="32" customFormat="1" hidden="1" x14ac:dyDescent="0.3">
      <c r="A1542" s="37">
        <v>46127.400034722225</v>
      </c>
      <c r="B1542" s="1">
        <v>6234347959</v>
      </c>
      <c r="C1542" s="1">
        <v>4430265054</v>
      </c>
      <c r="D1542" s="1">
        <v>4430265054</v>
      </c>
      <c r="E1542" s="1">
        <v>89</v>
      </c>
      <c r="F1542" s="1">
        <v>89</v>
      </c>
      <c r="G1542" s="1" t="s">
        <v>52</v>
      </c>
      <c r="H1542" s="1" t="s">
        <v>534</v>
      </c>
      <c r="I1542" s="1" t="s">
        <v>39</v>
      </c>
      <c r="J1542" s="1" t="s">
        <v>53</v>
      </c>
      <c r="K1542" s="1" t="s">
        <v>41</v>
      </c>
      <c r="L1542" s="1"/>
    </row>
    <row r="1543" spans="1:12" s="32" customFormat="1" hidden="1" x14ac:dyDescent="0.3">
      <c r="A1543" s="37">
        <v>46127.399571759262</v>
      </c>
      <c r="B1543" s="1">
        <v>44984241715</v>
      </c>
      <c r="C1543" s="1" t="s">
        <v>43</v>
      </c>
      <c r="D1543" s="1">
        <v>4430265054</v>
      </c>
      <c r="E1543" s="1">
        <v>480</v>
      </c>
      <c r="F1543" s="1">
        <v>368</v>
      </c>
      <c r="G1543" s="1" t="s">
        <v>38</v>
      </c>
      <c r="H1543" s="1" t="s">
        <v>535</v>
      </c>
      <c r="I1543" s="1" t="s">
        <v>39</v>
      </c>
      <c r="J1543" s="1" t="s">
        <v>40</v>
      </c>
      <c r="K1543" s="1" t="s">
        <v>41</v>
      </c>
      <c r="L1543" s="1"/>
    </row>
    <row r="1544" spans="1:12" s="32" customFormat="1" hidden="1" x14ac:dyDescent="0.3">
      <c r="A1544" s="37">
        <v>46127.388981481483</v>
      </c>
      <c r="B1544" s="1">
        <v>44932318654</v>
      </c>
      <c r="C1544" s="1">
        <v>4430265054</v>
      </c>
      <c r="D1544" s="1">
        <v>4430265054</v>
      </c>
      <c r="E1544" s="1">
        <v>4</v>
      </c>
      <c r="F1544" s="1">
        <v>3</v>
      </c>
      <c r="G1544" s="1" t="s">
        <v>52</v>
      </c>
      <c r="H1544" s="1" t="s">
        <v>536</v>
      </c>
      <c r="I1544" s="1" t="s">
        <v>39</v>
      </c>
      <c r="J1544" s="1" t="s">
        <v>53</v>
      </c>
      <c r="K1544" s="1"/>
      <c r="L1544" s="1"/>
    </row>
    <row r="1545" spans="1:12" s="32" customFormat="1" hidden="1" x14ac:dyDescent="0.3">
      <c r="A1545" s="37">
        <v>46127.38857638889</v>
      </c>
      <c r="B1545" s="1">
        <v>11990144272</v>
      </c>
      <c r="C1545" s="1" t="s">
        <v>43</v>
      </c>
      <c r="D1545" s="1">
        <v>4431268225</v>
      </c>
      <c r="E1545" s="1">
        <v>212</v>
      </c>
      <c r="F1545" s="1">
        <v>164</v>
      </c>
      <c r="G1545" s="1" t="s">
        <v>38</v>
      </c>
      <c r="H1545" s="1" t="s">
        <v>537</v>
      </c>
      <c r="I1545" s="1" t="s">
        <v>39</v>
      </c>
      <c r="J1545" s="1" t="s">
        <v>40</v>
      </c>
      <c r="K1545" s="1" t="s">
        <v>41</v>
      </c>
      <c r="L1545" s="1">
        <v>5</v>
      </c>
    </row>
    <row r="1546" spans="1:12" s="32" customFormat="1" hidden="1" x14ac:dyDescent="0.3">
      <c r="A1546" s="37">
        <v>46127.381747685184</v>
      </c>
      <c r="B1546" s="1" t="s">
        <v>45</v>
      </c>
      <c r="C1546" s="1">
        <v>4430451715</v>
      </c>
      <c r="D1546" s="1"/>
      <c r="E1546" s="1">
        <v>1056</v>
      </c>
      <c r="F1546" s="1">
        <v>1048</v>
      </c>
      <c r="G1546" s="1" t="s">
        <v>38</v>
      </c>
      <c r="H1546" s="1" t="s">
        <v>538</v>
      </c>
      <c r="I1546" s="1" t="s">
        <v>46</v>
      </c>
      <c r="J1546" s="1" t="s">
        <v>40</v>
      </c>
      <c r="K1546" s="1"/>
      <c r="L1546" s="1"/>
    </row>
    <row r="1547" spans="1:12" s="32" customFormat="1" hidden="1" x14ac:dyDescent="0.3">
      <c r="A1547" s="37">
        <v>46127.376736111109</v>
      </c>
      <c r="B1547" s="1">
        <v>11990144272</v>
      </c>
      <c r="C1547" s="1" t="s">
        <v>48</v>
      </c>
      <c r="D1547" s="1">
        <v>4431268225</v>
      </c>
      <c r="E1547" s="1">
        <v>428</v>
      </c>
      <c r="F1547" s="1">
        <v>377</v>
      </c>
      <c r="G1547" s="1" t="s">
        <v>38</v>
      </c>
      <c r="H1547" s="1" t="s">
        <v>539</v>
      </c>
      <c r="I1547" s="1" t="s">
        <v>39</v>
      </c>
      <c r="J1547" s="1" t="s">
        <v>40</v>
      </c>
      <c r="K1547" s="1" t="s">
        <v>41</v>
      </c>
      <c r="L1547" s="1"/>
    </row>
    <row r="1548" spans="1:12" s="32" customFormat="1" hidden="1" x14ac:dyDescent="0.3">
      <c r="A1548" s="37">
        <v>46127.376238425924</v>
      </c>
      <c r="B1548" s="1">
        <v>4432520077</v>
      </c>
      <c r="C1548" s="1" t="s">
        <v>42</v>
      </c>
      <c r="D1548" s="1">
        <v>4430265054</v>
      </c>
      <c r="E1548" s="1">
        <v>310</v>
      </c>
      <c r="F1548" s="1">
        <v>279</v>
      </c>
      <c r="G1548" s="1" t="s">
        <v>38</v>
      </c>
      <c r="H1548" s="1" t="s">
        <v>540</v>
      </c>
      <c r="I1548" s="1" t="s">
        <v>39</v>
      </c>
      <c r="J1548" s="1" t="s">
        <v>40</v>
      </c>
      <c r="K1548" s="1" t="s">
        <v>41</v>
      </c>
      <c r="L1548" s="1"/>
    </row>
    <row r="1549" spans="1:12" s="32" customFormat="1" hidden="1" x14ac:dyDescent="0.3">
      <c r="A1549" s="37">
        <v>46127.375497685185</v>
      </c>
      <c r="B1549" s="1">
        <v>4130760170</v>
      </c>
      <c r="C1549" s="1" t="s">
        <v>44</v>
      </c>
      <c r="D1549" s="1">
        <v>4430265054</v>
      </c>
      <c r="E1549" s="1">
        <v>1481</v>
      </c>
      <c r="F1549" s="1">
        <v>1441</v>
      </c>
      <c r="G1549" s="1" t="s">
        <v>38</v>
      </c>
      <c r="H1549" s="1" t="s">
        <v>541</v>
      </c>
      <c r="I1549" s="1" t="s">
        <v>39</v>
      </c>
      <c r="J1549" s="1" t="s">
        <v>40</v>
      </c>
      <c r="K1549" s="1" t="s">
        <v>41</v>
      </c>
      <c r="L1549" s="1">
        <v>5</v>
      </c>
    </row>
    <row r="1550" spans="1:12" s="32" customFormat="1" hidden="1" x14ac:dyDescent="0.3">
      <c r="A1550" s="37">
        <v>46127.372071759259</v>
      </c>
      <c r="B1550" s="1">
        <v>41995960655</v>
      </c>
      <c r="C1550" s="1" t="s">
        <v>43</v>
      </c>
      <c r="D1550" s="1">
        <v>4430265054</v>
      </c>
      <c r="E1550" s="1">
        <v>842</v>
      </c>
      <c r="F1550" s="1">
        <v>801</v>
      </c>
      <c r="G1550" s="1" t="s">
        <v>38</v>
      </c>
      <c r="H1550" s="1" t="s">
        <v>542</v>
      </c>
      <c r="I1550" s="1" t="s">
        <v>39</v>
      </c>
      <c r="J1550" s="1" t="s">
        <v>40</v>
      </c>
      <c r="K1550" s="1" t="s">
        <v>41</v>
      </c>
      <c r="L1550" s="1">
        <v>5</v>
      </c>
    </row>
    <row r="1551" spans="1:12" s="32" customFormat="1" hidden="1" x14ac:dyDescent="0.3">
      <c r="A1551" s="37">
        <v>46127.36824074074</v>
      </c>
      <c r="B1551" s="1">
        <v>44984241715</v>
      </c>
      <c r="C1551" s="1" t="s">
        <v>37</v>
      </c>
      <c r="D1551" s="1">
        <v>4430265054</v>
      </c>
      <c r="E1551" s="1">
        <v>1311</v>
      </c>
      <c r="F1551" s="1">
        <v>1192</v>
      </c>
      <c r="G1551" s="1" t="s">
        <v>38</v>
      </c>
      <c r="H1551" s="1" t="s">
        <v>543</v>
      </c>
      <c r="I1551" s="1" t="s">
        <v>39</v>
      </c>
      <c r="J1551" s="1" t="s">
        <v>40</v>
      </c>
      <c r="K1551" s="1" t="s">
        <v>41</v>
      </c>
      <c r="L1551" s="1"/>
    </row>
    <row r="1552" spans="1:12" s="32" customFormat="1" hidden="1" x14ac:dyDescent="0.3">
      <c r="A1552" s="37">
        <v>46127.366701388892</v>
      </c>
      <c r="B1552" s="1" t="s">
        <v>45</v>
      </c>
      <c r="C1552" s="1">
        <v>41999865917</v>
      </c>
      <c r="D1552" s="1"/>
      <c r="E1552" s="1">
        <v>976</v>
      </c>
      <c r="F1552" s="1">
        <v>972</v>
      </c>
      <c r="G1552" s="1" t="s">
        <v>38</v>
      </c>
      <c r="H1552" s="1" t="s">
        <v>544</v>
      </c>
      <c r="I1552" s="1" t="s">
        <v>46</v>
      </c>
      <c r="J1552" s="1" t="s">
        <v>40</v>
      </c>
      <c r="K1552" s="1"/>
      <c r="L1552" s="1"/>
    </row>
    <row r="1553" spans="1:12" s="32" customFormat="1" hidden="1" x14ac:dyDescent="0.3">
      <c r="A1553" s="37">
        <v>46127.364641203705</v>
      </c>
      <c r="B1553" s="1">
        <v>41999865917</v>
      </c>
      <c r="C1553" s="1" t="s">
        <v>45</v>
      </c>
      <c r="D1553" s="1">
        <v>4430265054</v>
      </c>
      <c r="E1553" s="1">
        <v>95</v>
      </c>
      <c r="F1553" s="1">
        <v>75</v>
      </c>
      <c r="G1553" s="1" t="s">
        <v>38</v>
      </c>
      <c r="H1553" s="1" t="s">
        <v>545</v>
      </c>
      <c r="I1553" s="1" t="s">
        <v>39</v>
      </c>
      <c r="J1553" s="1" t="s">
        <v>40</v>
      </c>
      <c r="K1553" s="1" t="s">
        <v>41</v>
      </c>
      <c r="L1553" s="1"/>
    </row>
    <row r="1554" spans="1:12" s="32" customFormat="1" hidden="1" x14ac:dyDescent="0.3">
      <c r="A1554" s="37">
        <v>46127.363692129627</v>
      </c>
      <c r="B1554" s="1" t="s">
        <v>50</v>
      </c>
      <c r="C1554" s="1">
        <v>44998850106</v>
      </c>
      <c r="D1554" s="1"/>
      <c r="E1554" s="1">
        <v>266</v>
      </c>
      <c r="F1554" s="1">
        <v>252</v>
      </c>
      <c r="G1554" s="1" t="s">
        <v>38</v>
      </c>
      <c r="H1554" s="1" t="s">
        <v>546</v>
      </c>
      <c r="I1554" s="1" t="s">
        <v>46</v>
      </c>
      <c r="J1554" s="1" t="s">
        <v>55</v>
      </c>
      <c r="K1554" s="1"/>
      <c r="L1554" s="1"/>
    </row>
    <row r="1555" spans="1:12" s="32" customFormat="1" hidden="1" x14ac:dyDescent="0.3">
      <c r="A1555" s="37">
        <v>46127.363576388889</v>
      </c>
      <c r="B1555" s="1" t="s">
        <v>50</v>
      </c>
      <c r="C1555" s="1">
        <v>4433059511</v>
      </c>
      <c r="D1555" s="1"/>
      <c r="E1555" s="1">
        <v>1</v>
      </c>
      <c r="F1555" s="1">
        <v>0</v>
      </c>
      <c r="G1555" s="1" t="s">
        <v>47</v>
      </c>
      <c r="H1555" s="1" t="s">
        <v>547</v>
      </c>
      <c r="I1555" s="1" t="s">
        <v>46</v>
      </c>
      <c r="J1555" s="1" t="s">
        <v>55</v>
      </c>
      <c r="K1555" s="1"/>
      <c r="L1555" s="1"/>
    </row>
    <row r="1556" spans="1:12" s="32" customFormat="1" hidden="1" x14ac:dyDescent="0.3">
      <c r="A1556" s="37">
        <v>46127.363506944443</v>
      </c>
      <c r="B1556" s="1" t="s">
        <v>50</v>
      </c>
      <c r="C1556" s="1">
        <v>4433059511</v>
      </c>
      <c r="D1556" s="1"/>
      <c r="E1556" s="1">
        <v>1</v>
      </c>
      <c r="F1556" s="1">
        <v>0</v>
      </c>
      <c r="G1556" s="1" t="s">
        <v>47</v>
      </c>
      <c r="H1556" s="1" t="s">
        <v>548</v>
      </c>
      <c r="I1556" s="1" t="s">
        <v>46</v>
      </c>
      <c r="J1556" s="1" t="s">
        <v>55</v>
      </c>
      <c r="K1556" s="1"/>
      <c r="L1556" s="1"/>
    </row>
    <row r="1557" spans="1:12" s="32" customFormat="1" hidden="1" x14ac:dyDescent="0.3">
      <c r="A1557" s="37">
        <v>46127.359768518516</v>
      </c>
      <c r="B1557" s="1">
        <v>44988135387</v>
      </c>
      <c r="C1557" s="1" t="s">
        <v>43</v>
      </c>
      <c r="D1557" s="1">
        <v>4430265054</v>
      </c>
      <c r="E1557" s="1">
        <v>1023</v>
      </c>
      <c r="F1557" s="1">
        <v>982</v>
      </c>
      <c r="G1557" s="1" t="s">
        <v>38</v>
      </c>
      <c r="H1557" s="1" t="s">
        <v>549</v>
      </c>
      <c r="I1557" s="1" t="s">
        <v>39</v>
      </c>
      <c r="J1557" s="1" t="s">
        <v>40</v>
      </c>
      <c r="K1557" s="1" t="s">
        <v>41</v>
      </c>
      <c r="L1557" s="1">
        <v>5</v>
      </c>
    </row>
    <row r="1558" spans="1:12" s="32" customFormat="1" hidden="1" x14ac:dyDescent="0.3">
      <c r="A1558" s="37">
        <v>46127.354479166665</v>
      </c>
      <c r="B1558" s="1">
        <v>4433235524</v>
      </c>
      <c r="C1558" s="1" t="s">
        <v>45</v>
      </c>
      <c r="D1558" s="1">
        <v>4430265054</v>
      </c>
      <c r="E1558" s="1">
        <v>731</v>
      </c>
      <c r="F1558" s="1">
        <v>660</v>
      </c>
      <c r="G1558" s="1" t="s">
        <v>38</v>
      </c>
      <c r="H1558" s="1" t="s">
        <v>550</v>
      </c>
      <c r="I1558" s="1" t="s">
        <v>39</v>
      </c>
      <c r="J1558" s="1" t="s">
        <v>40</v>
      </c>
      <c r="K1558" s="1" t="s">
        <v>41</v>
      </c>
      <c r="L1558" s="1"/>
    </row>
    <row r="1559" spans="1:12" s="32" customFormat="1" hidden="1" x14ac:dyDescent="0.3">
      <c r="A1559" s="37">
        <v>46127.349374999998</v>
      </c>
      <c r="B1559" s="1" t="s">
        <v>44</v>
      </c>
      <c r="C1559" s="1">
        <v>4331724400</v>
      </c>
      <c r="D1559" s="1"/>
      <c r="E1559" s="1">
        <v>1927</v>
      </c>
      <c r="F1559" s="1">
        <v>1878</v>
      </c>
      <c r="G1559" s="1" t="s">
        <v>38</v>
      </c>
      <c r="H1559" s="1" t="s">
        <v>551</v>
      </c>
      <c r="I1559" s="1" t="s">
        <v>46</v>
      </c>
      <c r="J1559" s="1" t="s">
        <v>40</v>
      </c>
      <c r="K1559" s="1"/>
      <c r="L1559" s="1"/>
    </row>
    <row r="1560" spans="1:12" s="32" customFormat="1" hidden="1" x14ac:dyDescent="0.3">
      <c r="A1560" s="37">
        <v>46127.348576388889</v>
      </c>
      <c r="B1560" s="1">
        <v>44932523972</v>
      </c>
      <c r="C1560" s="1">
        <v>4430265054</v>
      </c>
      <c r="D1560" s="1">
        <v>4430265054</v>
      </c>
      <c r="E1560" s="1">
        <v>4</v>
      </c>
      <c r="F1560" s="1">
        <v>3</v>
      </c>
      <c r="G1560" s="1" t="s">
        <v>52</v>
      </c>
      <c r="H1560" s="1" t="s">
        <v>552</v>
      </c>
      <c r="I1560" s="1" t="s">
        <v>39</v>
      </c>
      <c r="J1560" s="1" t="s">
        <v>53</v>
      </c>
      <c r="K1560" s="1"/>
      <c r="L1560" s="1"/>
    </row>
    <row r="1561" spans="1:12" s="32" customFormat="1" hidden="1" x14ac:dyDescent="0.3">
      <c r="A1561" s="37">
        <v>46127.346932870372</v>
      </c>
      <c r="B1561" s="1" t="s">
        <v>44</v>
      </c>
      <c r="C1561" s="1">
        <v>16997194228</v>
      </c>
      <c r="D1561" s="1"/>
      <c r="E1561" s="1">
        <v>15</v>
      </c>
      <c r="F1561" s="1">
        <v>0</v>
      </c>
      <c r="G1561" s="1" t="s">
        <v>47</v>
      </c>
      <c r="H1561" s="1" t="s">
        <v>553</v>
      </c>
      <c r="I1561" s="1" t="s">
        <v>46</v>
      </c>
      <c r="J1561" s="1" t="s">
        <v>40</v>
      </c>
      <c r="K1561" s="1"/>
      <c r="L1561" s="1"/>
    </row>
    <row r="1562" spans="1:12" s="32" customFormat="1" hidden="1" x14ac:dyDescent="0.3">
      <c r="A1562" s="37">
        <v>46127.346666666665</v>
      </c>
      <c r="B1562" s="1" t="s">
        <v>44</v>
      </c>
      <c r="C1562" s="1">
        <v>16997194228</v>
      </c>
      <c r="D1562" s="1"/>
      <c r="E1562" s="1">
        <v>17</v>
      </c>
      <c r="F1562" s="1">
        <v>0</v>
      </c>
      <c r="G1562" s="1" t="s">
        <v>47</v>
      </c>
      <c r="H1562" s="1" t="s">
        <v>554</v>
      </c>
      <c r="I1562" s="1" t="s">
        <v>46</v>
      </c>
      <c r="J1562" s="1" t="s">
        <v>40</v>
      </c>
      <c r="K1562" s="1"/>
      <c r="L1562" s="1"/>
    </row>
    <row r="1563" spans="1:12" s="32" customFormat="1" hidden="1" x14ac:dyDescent="0.3">
      <c r="A1563" s="37">
        <v>46127.345949074072</v>
      </c>
      <c r="B1563" s="1" t="s">
        <v>44</v>
      </c>
      <c r="C1563" s="1">
        <v>18997449617</v>
      </c>
      <c r="D1563" s="1"/>
      <c r="E1563" s="1">
        <v>32</v>
      </c>
      <c r="F1563" s="1">
        <v>16</v>
      </c>
      <c r="G1563" s="1" t="s">
        <v>38</v>
      </c>
      <c r="H1563" s="1" t="s">
        <v>555</v>
      </c>
      <c r="I1563" s="1" t="s">
        <v>46</v>
      </c>
      <c r="J1563" s="1" t="s">
        <v>40</v>
      </c>
      <c r="K1563" s="1"/>
      <c r="L1563" s="1"/>
    </row>
    <row r="1564" spans="1:12" s="32" customFormat="1" hidden="1" x14ac:dyDescent="0.3">
      <c r="A1564" s="37">
        <v>46127.343738425923</v>
      </c>
      <c r="B1564" s="1" t="s">
        <v>43</v>
      </c>
      <c r="C1564" s="1">
        <v>4430291622</v>
      </c>
      <c r="D1564" s="1"/>
      <c r="E1564" s="1">
        <v>142</v>
      </c>
      <c r="F1564" s="1">
        <v>103</v>
      </c>
      <c r="G1564" s="1" t="s">
        <v>38</v>
      </c>
      <c r="H1564" s="1" t="s">
        <v>556</v>
      </c>
      <c r="I1564" s="1" t="s">
        <v>46</v>
      </c>
      <c r="J1564" s="1" t="s">
        <v>40</v>
      </c>
      <c r="K1564" s="1"/>
      <c r="L1564" s="1"/>
    </row>
    <row r="1565" spans="1:12" s="32" customFormat="1" hidden="1" x14ac:dyDescent="0.3">
      <c r="A1565" s="37">
        <v>46126.746759259258</v>
      </c>
      <c r="B1565" s="1">
        <v>18997449617</v>
      </c>
      <c r="C1565" s="1">
        <v>4431268225</v>
      </c>
      <c r="D1565" s="1">
        <v>4431268225</v>
      </c>
      <c r="E1565" s="1">
        <v>7</v>
      </c>
      <c r="F1565" s="1">
        <v>7</v>
      </c>
      <c r="G1565" s="1" t="s">
        <v>52</v>
      </c>
      <c r="H1565" s="1" t="s">
        <v>557</v>
      </c>
      <c r="I1565" s="1" t="s">
        <v>39</v>
      </c>
      <c r="J1565" s="1" t="s">
        <v>53</v>
      </c>
      <c r="K1565" s="1"/>
      <c r="L1565" s="1"/>
    </row>
    <row r="1566" spans="1:12" s="32" customFormat="1" hidden="1" x14ac:dyDescent="0.3">
      <c r="A1566" s="37">
        <v>46126.743888888886</v>
      </c>
      <c r="B1566" s="1" t="s">
        <v>44</v>
      </c>
      <c r="C1566" s="1">
        <v>18997449617</v>
      </c>
      <c r="D1566" s="1"/>
      <c r="E1566" s="1">
        <v>72</v>
      </c>
      <c r="F1566" s="1">
        <v>32</v>
      </c>
      <c r="G1566" s="1" t="s">
        <v>38</v>
      </c>
      <c r="H1566" s="1" t="s">
        <v>558</v>
      </c>
      <c r="I1566" s="1" t="s">
        <v>46</v>
      </c>
      <c r="J1566" s="1" t="s">
        <v>40</v>
      </c>
      <c r="K1566" s="1"/>
      <c r="L1566" s="1"/>
    </row>
    <row r="1567" spans="1:12" s="32" customFormat="1" hidden="1" x14ac:dyDescent="0.3">
      <c r="A1567" s="37">
        <v>46126.743356481478</v>
      </c>
      <c r="B1567" s="1" t="s">
        <v>44</v>
      </c>
      <c r="C1567" s="1">
        <v>18997449617</v>
      </c>
      <c r="D1567" s="1"/>
      <c r="E1567" s="1">
        <v>39</v>
      </c>
      <c r="F1567" s="1">
        <v>0</v>
      </c>
      <c r="G1567" s="1" t="s">
        <v>47</v>
      </c>
      <c r="H1567" s="1" t="s">
        <v>559</v>
      </c>
      <c r="I1567" s="1" t="s">
        <v>46</v>
      </c>
      <c r="J1567" s="1" t="s">
        <v>40</v>
      </c>
      <c r="K1567" s="1"/>
      <c r="L1567" s="1"/>
    </row>
    <row r="1568" spans="1:12" s="32" customFormat="1" hidden="1" x14ac:dyDescent="0.3">
      <c r="A1568" s="37">
        <v>46126.73914351852</v>
      </c>
      <c r="B1568" s="1">
        <v>91984985454</v>
      </c>
      <c r="C1568" s="1" t="s">
        <v>43</v>
      </c>
      <c r="D1568" s="1">
        <v>4430265054</v>
      </c>
      <c r="E1568" s="1">
        <v>406</v>
      </c>
      <c r="F1568" s="1">
        <v>317</v>
      </c>
      <c r="G1568" s="1" t="s">
        <v>38</v>
      </c>
      <c r="H1568" s="1" t="s">
        <v>560</v>
      </c>
      <c r="I1568" s="1" t="s">
        <v>39</v>
      </c>
      <c r="J1568" s="1" t="s">
        <v>40</v>
      </c>
      <c r="K1568" s="1" t="s">
        <v>41</v>
      </c>
      <c r="L1568" s="1"/>
    </row>
    <row r="1569" spans="1:12" s="32" customFormat="1" hidden="1" x14ac:dyDescent="0.3">
      <c r="A1569" s="37">
        <v>46126.724895833337</v>
      </c>
      <c r="B1569" s="1" t="s">
        <v>48</v>
      </c>
      <c r="C1569" s="1">
        <v>91989363636</v>
      </c>
      <c r="D1569" s="1"/>
      <c r="E1569" s="1">
        <v>307</v>
      </c>
      <c r="F1569" s="1">
        <v>297</v>
      </c>
      <c r="G1569" s="1" t="s">
        <v>38</v>
      </c>
      <c r="H1569" s="1" t="s">
        <v>561</v>
      </c>
      <c r="I1569" s="1" t="s">
        <v>46</v>
      </c>
      <c r="J1569" s="1" t="s">
        <v>40</v>
      </c>
      <c r="K1569" s="1"/>
      <c r="L1569" s="1"/>
    </row>
    <row r="1570" spans="1:12" s="32" customFormat="1" hidden="1" x14ac:dyDescent="0.3">
      <c r="A1570" s="37">
        <v>46126.724699074075</v>
      </c>
      <c r="B1570" s="1" t="s">
        <v>48</v>
      </c>
      <c r="C1570" s="1">
        <v>44989363636</v>
      </c>
      <c r="D1570" s="1"/>
      <c r="E1570" s="1">
        <v>2</v>
      </c>
      <c r="F1570" s="1">
        <v>0</v>
      </c>
      <c r="G1570" s="1" t="s">
        <v>47</v>
      </c>
      <c r="H1570" s="1" t="s">
        <v>562</v>
      </c>
      <c r="I1570" s="1" t="s">
        <v>46</v>
      </c>
      <c r="J1570" s="1" t="s">
        <v>40</v>
      </c>
      <c r="K1570" s="1"/>
      <c r="L1570" s="1"/>
    </row>
    <row r="1571" spans="1:12" s="32" customFormat="1" hidden="1" x14ac:dyDescent="0.3">
      <c r="A1571" s="37">
        <v>46126.724641203706</v>
      </c>
      <c r="B1571" s="1" t="s">
        <v>48</v>
      </c>
      <c r="C1571" s="1">
        <v>91989363636</v>
      </c>
      <c r="D1571" s="1"/>
      <c r="E1571" s="1">
        <v>2</v>
      </c>
      <c r="F1571" s="1">
        <v>0</v>
      </c>
      <c r="G1571" s="1" t="s">
        <v>47</v>
      </c>
      <c r="H1571" s="1" t="s">
        <v>563</v>
      </c>
      <c r="I1571" s="1" t="s">
        <v>46</v>
      </c>
      <c r="J1571" s="1" t="s">
        <v>40</v>
      </c>
      <c r="K1571" s="1"/>
      <c r="L1571" s="1"/>
    </row>
    <row r="1572" spans="1:12" s="32" customFormat="1" hidden="1" x14ac:dyDescent="0.3">
      <c r="A1572" s="37">
        <v>46126.724490740744</v>
      </c>
      <c r="B1572" s="1" t="s">
        <v>48</v>
      </c>
      <c r="C1572" s="1">
        <v>91989363636</v>
      </c>
      <c r="D1572" s="1"/>
      <c r="E1572" s="1">
        <v>9</v>
      </c>
      <c r="F1572" s="1">
        <v>0</v>
      </c>
      <c r="G1572" s="1" t="s">
        <v>47</v>
      </c>
      <c r="H1572" s="1" t="s">
        <v>564</v>
      </c>
      <c r="I1572" s="1" t="s">
        <v>46</v>
      </c>
      <c r="J1572" s="1" t="s">
        <v>40</v>
      </c>
      <c r="K1572" s="1"/>
      <c r="L1572" s="1"/>
    </row>
    <row r="1573" spans="1:12" s="32" customFormat="1" hidden="1" x14ac:dyDescent="0.3">
      <c r="A1573" s="37">
        <v>46126.722233796296</v>
      </c>
      <c r="B1573" s="1" t="s">
        <v>48</v>
      </c>
      <c r="C1573" s="1">
        <v>4332524422</v>
      </c>
      <c r="D1573" s="1"/>
      <c r="E1573" s="1">
        <v>45</v>
      </c>
      <c r="F1573" s="1">
        <v>28</v>
      </c>
      <c r="G1573" s="1" t="s">
        <v>38</v>
      </c>
      <c r="H1573" s="1" t="s">
        <v>565</v>
      </c>
      <c r="I1573" s="1" t="s">
        <v>46</v>
      </c>
      <c r="J1573" s="1" t="s">
        <v>40</v>
      </c>
      <c r="K1573" s="1"/>
      <c r="L1573" s="1"/>
    </row>
    <row r="1574" spans="1:12" s="32" customFormat="1" hidden="1" x14ac:dyDescent="0.3">
      <c r="A1574" s="37">
        <v>46126.71503472222</v>
      </c>
      <c r="B1574" s="1" t="s">
        <v>54</v>
      </c>
      <c r="C1574" s="1">
        <v>21974180899</v>
      </c>
      <c r="D1574" s="1"/>
      <c r="E1574" s="1">
        <v>6</v>
      </c>
      <c r="F1574" s="1">
        <v>0</v>
      </c>
      <c r="G1574" s="1" t="s">
        <v>47</v>
      </c>
      <c r="H1574" s="1" t="s">
        <v>566</v>
      </c>
      <c r="I1574" s="1" t="s">
        <v>46</v>
      </c>
      <c r="J1574" s="1" t="s">
        <v>55</v>
      </c>
      <c r="K1574" s="1"/>
      <c r="L1574" s="1"/>
    </row>
    <row r="1575" spans="1:12" s="32" customFormat="1" hidden="1" x14ac:dyDescent="0.3">
      <c r="A1575" s="37">
        <v>46126.714722222219</v>
      </c>
      <c r="B1575" s="1">
        <v>4430451715</v>
      </c>
      <c r="C1575" s="1" t="s">
        <v>45</v>
      </c>
      <c r="D1575" s="1">
        <v>4430265054</v>
      </c>
      <c r="E1575" s="1">
        <v>1310</v>
      </c>
      <c r="F1575" s="1">
        <v>1246</v>
      </c>
      <c r="G1575" s="1" t="s">
        <v>38</v>
      </c>
      <c r="H1575" s="1" t="s">
        <v>567</v>
      </c>
      <c r="I1575" s="1" t="s">
        <v>39</v>
      </c>
      <c r="J1575" s="1" t="s">
        <v>40</v>
      </c>
      <c r="K1575" s="1" t="s">
        <v>41</v>
      </c>
      <c r="L1575" s="1"/>
    </row>
    <row r="1576" spans="1:12" s="32" customFormat="1" hidden="1" x14ac:dyDescent="0.3">
      <c r="A1576" s="37">
        <v>46126.714270833334</v>
      </c>
      <c r="B1576" s="1" t="s">
        <v>54</v>
      </c>
      <c r="C1576" s="1">
        <v>51992713812</v>
      </c>
      <c r="D1576" s="1"/>
      <c r="E1576" s="1">
        <v>16</v>
      </c>
      <c r="F1576" s="1">
        <v>9</v>
      </c>
      <c r="G1576" s="1" t="s">
        <v>38</v>
      </c>
      <c r="H1576" s="1" t="s">
        <v>568</v>
      </c>
      <c r="I1576" s="1" t="s">
        <v>46</v>
      </c>
      <c r="J1576" s="1" t="s">
        <v>55</v>
      </c>
      <c r="K1576" s="1"/>
      <c r="L1576" s="1"/>
    </row>
    <row r="1577" spans="1:12" s="32" customFormat="1" hidden="1" x14ac:dyDescent="0.3">
      <c r="A1577" s="37">
        <v>46126.708321759259</v>
      </c>
      <c r="B1577" s="1" t="s">
        <v>45</v>
      </c>
      <c r="C1577" s="1">
        <v>3432424736</v>
      </c>
      <c r="D1577" s="1"/>
      <c r="E1577" s="1">
        <v>267</v>
      </c>
      <c r="F1577" s="1">
        <v>266</v>
      </c>
      <c r="G1577" s="1" t="s">
        <v>38</v>
      </c>
      <c r="H1577" s="1" t="s">
        <v>569</v>
      </c>
      <c r="I1577" s="1" t="s">
        <v>46</v>
      </c>
      <c r="J1577" s="1" t="s">
        <v>40</v>
      </c>
      <c r="K1577" s="1"/>
      <c r="L1577" s="1"/>
    </row>
    <row r="1578" spans="1:12" s="32" customFormat="1" hidden="1" x14ac:dyDescent="0.3">
      <c r="A1578" s="37">
        <v>46126.705428240741</v>
      </c>
      <c r="B1578" s="1" t="s">
        <v>42</v>
      </c>
      <c r="C1578" s="1">
        <v>3432424736</v>
      </c>
      <c r="D1578" s="1"/>
      <c r="E1578" s="1">
        <v>780</v>
      </c>
      <c r="F1578" s="1">
        <v>779</v>
      </c>
      <c r="G1578" s="1" t="s">
        <v>38</v>
      </c>
      <c r="H1578" s="1" t="s">
        <v>570</v>
      </c>
      <c r="I1578" s="1" t="s">
        <v>46</v>
      </c>
      <c r="J1578" s="1" t="s">
        <v>40</v>
      </c>
      <c r="K1578" s="1"/>
      <c r="L1578" s="1"/>
    </row>
    <row r="1579" spans="1:12" s="32" customFormat="1" hidden="1" x14ac:dyDescent="0.3">
      <c r="A1579" s="37">
        <v>46126.704837962963</v>
      </c>
      <c r="B1579" s="1">
        <v>44984198651</v>
      </c>
      <c r="C1579" s="1" t="s">
        <v>37</v>
      </c>
      <c r="D1579" s="1">
        <v>4430265054</v>
      </c>
      <c r="E1579" s="1">
        <v>604</v>
      </c>
      <c r="F1579" s="1">
        <v>573</v>
      </c>
      <c r="G1579" s="1" t="s">
        <v>38</v>
      </c>
      <c r="H1579" s="1" t="s">
        <v>571</v>
      </c>
      <c r="I1579" s="1" t="s">
        <v>39</v>
      </c>
      <c r="J1579" s="1" t="s">
        <v>40</v>
      </c>
      <c r="K1579" s="1" t="s">
        <v>41</v>
      </c>
      <c r="L1579" s="1"/>
    </row>
    <row r="1580" spans="1:12" s="32" customFormat="1" hidden="1" x14ac:dyDescent="0.3">
      <c r="A1580" s="37">
        <v>46126.701689814814</v>
      </c>
      <c r="B1580" s="1" t="s">
        <v>43</v>
      </c>
      <c r="C1580" s="1">
        <v>44997343311</v>
      </c>
      <c r="D1580" s="1"/>
      <c r="E1580" s="1">
        <v>12</v>
      </c>
      <c r="F1580" s="1">
        <v>0</v>
      </c>
      <c r="G1580" s="1" t="s">
        <v>47</v>
      </c>
      <c r="H1580" s="1" t="s">
        <v>572</v>
      </c>
      <c r="I1580" s="1" t="s">
        <v>46</v>
      </c>
      <c r="J1580" s="1" t="s">
        <v>40</v>
      </c>
      <c r="K1580" s="1"/>
      <c r="L1580" s="1"/>
    </row>
    <row r="1581" spans="1:12" s="32" customFormat="1" hidden="1" x14ac:dyDescent="0.3">
      <c r="A1581" s="37">
        <v>46126.700231481482</v>
      </c>
      <c r="B1581" s="1">
        <v>44988255390</v>
      </c>
      <c r="C1581" s="1" t="s">
        <v>48</v>
      </c>
      <c r="D1581" s="1">
        <v>4430265054</v>
      </c>
      <c r="E1581" s="1">
        <v>601</v>
      </c>
      <c r="F1581" s="1">
        <v>601</v>
      </c>
      <c r="G1581" s="1" t="s">
        <v>38</v>
      </c>
      <c r="H1581" s="1" t="s">
        <v>573</v>
      </c>
      <c r="I1581" s="1" t="s">
        <v>39</v>
      </c>
      <c r="J1581" s="1" t="s">
        <v>40</v>
      </c>
      <c r="K1581" s="1" t="s">
        <v>41</v>
      </c>
      <c r="L1581" s="1"/>
    </row>
    <row r="1582" spans="1:12" s="32" customFormat="1" hidden="1" x14ac:dyDescent="0.3">
      <c r="A1582" s="37">
        <v>46126.695625</v>
      </c>
      <c r="B1582" s="1">
        <v>44999743444</v>
      </c>
      <c r="C1582" s="1" t="s">
        <v>42</v>
      </c>
      <c r="D1582" s="1">
        <v>4430265054</v>
      </c>
      <c r="E1582" s="1">
        <v>443</v>
      </c>
      <c r="F1582" s="1">
        <v>305</v>
      </c>
      <c r="G1582" s="1" t="s">
        <v>38</v>
      </c>
      <c r="H1582" s="1" t="s">
        <v>574</v>
      </c>
      <c r="I1582" s="1" t="s">
        <v>39</v>
      </c>
      <c r="J1582" s="1" t="s">
        <v>40</v>
      </c>
      <c r="K1582" s="1" t="s">
        <v>41</v>
      </c>
      <c r="L1582" s="1"/>
    </row>
    <row r="1583" spans="1:12" s="32" customFormat="1" hidden="1" x14ac:dyDescent="0.3">
      <c r="A1583" s="37">
        <v>46126.688622685186</v>
      </c>
      <c r="B1583" s="1" t="s">
        <v>48</v>
      </c>
      <c r="C1583" s="1">
        <v>4436292220</v>
      </c>
      <c r="D1583" s="1"/>
      <c r="E1583" s="1">
        <v>213</v>
      </c>
      <c r="F1583" s="1">
        <v>205</v>
      </c>
      <c r="G1583" s="1" t="s">
        <v>38</v>
      </c>
      <c r="H1583" s="1" t="s">
        <v>575</v>
      </c>
      <c r="I1583" s="1" t="s">
        <v>46</v>
      </c>
      <c r="J1583" s="1" t="s">
        <v>40</v>
      </c>
      <c r="K1583" s="1"/>
      <c r="L1583" s="1"/>
    </row>
    <row r="1584" spans="1:12" s="32" customFormat="1" hidden="1" x14ac:dyDescent="0.3">
      <c r="A1584" s="37">
        <v>46126.687303240738</v>
      </c>
      <c r="B1584" s="1">
        <v>91989363636</v>
      </c>
      <c r="C1584" s="1" t="s">
        <v>44</v>
      </c>
      <c r="D1584" s="1">
        <v>4430265054</v>
      </c>
      <c r="E1584" s="1">
        <v>802</v>
      </c>
      <c r="F1584" s="1">
        <v>714</v>
      </c>
      <c r="G1584" s="1" t="s">
        <v>38</v>
      </c>
      <c r="H1584" s="1" t="s">
        <v>576</v>
      </c>
      <c r="I1584" s="1" t="s">
        <v>39</v>
      </c>
      <c r="J1584" s="1" t="s">
        <v>40</v>
      </c>
      <c r="K1584" s="1" t="s">
        <v>41</v>
      </c>
      <c r="L1584" s="1"/>
    </row>
    <row r="1585" spans="1:12" s="32" customFormat="1" hidden="1" x14ac:dyDescent="0.3">
      <c r="A1585" s="37">
        <v>46126.683611111112</v>
      </c>
      <c r="B1585" s="1">
        <v>44999647912</v>
      </c>
      <c r="C1585" s="1" t="s">
        <v>42</v>
      </c>
      <c r="D1585" s="1">
        <v>4430265054</v>
      </c>
      <c r="E1585" s="1">
        <v>974</v>
      </c>
      <c r="F1585" s="1">
        <v>949</v>
      </c>
      <c r="G1585" s="1" t="s">
        <v>38</v>
      </c>
      <c r="H1585" s="1" t="s">
        <v>577</v>
      </c>
      <c r="I1585" s="1" t="s">
        <v>39</v>
      </c>
      <c r="J1585" s="1" t="s">
        <v>40</v>
      </c>
      <c r="K1585" s="1" t="s">
        <v>41</v>
      </c>
      <c r="L1585" s="1"/>
    </row>
    <row r="1586" spans="1:12" s="32" customFormat="1" hidden="1" x14ac:dyDescent="0.3">
      <c r="A1586" s="37">
        <v>46126.681898148148</v>
      </c>
      <c r="B1586" s="1">
        <v>93991064249</v>
      </c>
      <c r="C1586" s="1" t="s">
        <v>45</v>
      </c>
      <c r="D1586" s="1">
        <v>4430265054</v>
      </c>
      <c r="E1586" s="1">
        <v>1485</v>
      </c>
      <c r="F1586" s="1">
        <v>1452</v>
      </c>
      <c r="G1586" s="1" t="s">
        <v>38</v>
      </c>
      <c r="H1586" s="1" t="s">
        <v>578</v>
      </c>
      <c r="I1586" s="1" t="s">
        <v>39</v>
      </c>
      <c r="J1586" s="1" t="s">
        <v>40</v>
      </c>
      <c r="K1586" s="1" t="s">
        <v>41</v>
      </c>
      <c r="L1586" s="1"/>
    </row>
    <row r="1587" spans="1:12" s="32" customFormat="1" hidden="1" x14ac:dyDescent="0.3">
      <c r="A1587" s="37">
        <v>46126.681574074071</v>
      </c>
      <c r="B1587" s="1">
        <v>93991064249</v>
      </c>
      <c r="C1587" s="1">
        <v>4430265054</v>
      </c>
      <c r="D1587" s="1">
        <v>4430265054</v>
      </c>
      <c r="E1587" s="1">
        <v>13</v>
      </c>
      <c r="F1587" s="1">
        <v>12</v>
      </c>
      <c r="G1587" s="1" t="s">
        <v>52</v>
      </c>
      <c r="H1587" s="1" t="s">
        <v>579</v>
      </c>
      <c r="I1587" s="1" t="s">
        <v>39</v>
      </c>
      <c r="J1587" s="1" t="s">
        <v>53</v>
      </c>
      <c r="K1587" s="1"/>
      <c r="L1587" s="1"/>
    </row>
    <row r="1588" spans="1:12" s="32" customFormat="1" hidden="1" x14ac:dyDescent="0.3">
      <c r="A1588" s="37">
        <v>46126.6794212963</v>
      </c>
      <c r="B1588" s="1">
        <v>43988030048</v>
      </c>
      <c r="C1588" s="1" t="s">
        <v>48</v>
      </c>
      <c r="D1588" s="1">
        <v>4430265054</v>
      </c>
      <c r="E1588" s="1">
        <v>249</v>
      </c>
      <c r="F1588" s="1">
        <v>227</v>
      </c>
      <c r="G1588" s="1" t="s">
        <v>38</v>
      </c>
      <c r="H1588" s="1" t="s">
        <v>580</v>
      </c>
      <c r="I1588" s="1" t="s">
        <v>39</v>
      </c>
      <c r="J1588" s="1" t="s">
        <v>40</v>
      </c>
      <c r="K1588" s="1" t="s">
        <v>41</v>
      </c>
      <c r="L1588" s="1"/>
    </row>
    <row r="1589" spans="1:12" s="32" customFormat="1" hidden="1" x14ac:dyDescent="0.3">
      <c r="A1589" s="37">
        <v>46126.673761574071</v>
      </c>
      <c r="B1589" s="1">
        <v>18996339700</v>
      </c>
      <c r="C1589" s="1" t="s">
        <v>44</v>
      </c>
      <c r="D1589" s="1">
        <v>4430265054</v>
      </c>
      <c r="E1589" s="1">
        <v>1108</v>
      </c>
      <c r="F1589" s="1">
        <v>1069</v>
      </c>
      <c r="G1589" s="1" t="s">
        <v>38</v>
      </c>
      <c r="H1589" s="1" t="s">
        <v>581</v>
      </c>
      <c r="I1589" s="1" t="s">
        <v>39</v>
      </c>
      <c r="J1589" s="1" t="s">
        <v>40</v>
      </c>
      <c r="K1589" s="1" t="s">
        <v>41</v>
      </c>
      <c r="L1589" s="1">
        <v>5</v>
      </c>
    </row>
    <row r="1590" spans="1:12" s="32" customFormat="1" hidden="1" x14ac:dyDescent="0.3">
      <c r="A1590" s="37">
        <v>46126.67260416667</v>
      </c>
      <c r="B1590" s="1" t="s">
        <v>54</v>
      </c>
      <c r="C1590" s="1">
        <v>31987825001</v>
      </c>
      <c r="D1590" s="1"/>
      <c r="E1590" s="1">
        <v>26</v>
      </c>
      <c r="F1590" s="1">
        <v>1</v>
      </c>
      <c r="G1590" s="1" t="s">
        <v>38</v>
      </c>
      <c r="H1590" s="1" t="s">
        <v>582</v>
      </c>
      <c r="I1590" s="1" t="s">
        <v>46</v>
      </c>
      <c r="J1590" s="1" t="s">
        <v>55</v>
      </c>
      <c r="K1590" s="1"/>
      <c r="L1590" s="1"/>
    </row>
    <row r="1591" spans="1:12" s="32" customFormat="1" hidden="1" x14ac:dyDescent="0.3">
      <c r="A1591" s="37">
        <v>46126.671527777777</v>
      </c>
      <c r="B1591" s="1">
        <v>42998221810</v>
      </c>
      <c r="C1591" s="1" t="s">
        <v>43</v>
      </c>
      <c r="D1591" s="1">
        <v>4430265054</v>
      </c>
      <c r="E1591" s="1">
        <v>2387</v>
      </c>
      <c r="F1591" s="1">
        <v>2231</v>
      </c>
      <c r="G1591" s="1" t="s">
        <v>38</v>
      </c>
      <c r="H1591" s="1" t="s">
        <v>583</v>
      </c>
      <c r="I1591" s="1" t="s">
        <v>39</v>
      </c>
      <c r="J1591" s="1" t="s">
        <v>40</v>
      </c>
      <c r="K1591" s="1" t="s">
        <v>41</v>
      </c>
      <c r="L1591" s="1"/>
    </row>
    <row r="1592" spans="1:12" s="32" customFormat="1" hidden="1" x14ac:dyDescent="0.3">
      <c r="A1592" s="37">
        <v>46126.66988425926</v>
      </c>
      <c r="B1592" s="1">
        <v>44999647912</v>
      </c>
      <c r="C1592" s="1" t="s">
        <v>42</v>
      </c>
      <c r="D1592" s="1">
        <v>4430265054</v>
      </c>
      <c r="E1592" s="1">
        <v>860</v>
      </c>
      <c r="F1592" s="1">
        <v>820</v>
      </c>
      <c r="G1592" s="1" t="s">
        <v>38</v>
      </c>
      <c r="H1592" s="1" t="s">
        <v>584</v>
      </c>
      <c r="I1592" s="1" t="s">
        <v>39</v>
      </c>
      <c r="J1592" s="1" t="s">
        <v>40</v>
      </c>
      <c r="K1592" s="1" t="s">
        <v>41</v>
      </c>
      <c r="L1592" s="1"/>
    </row>
    <row r="1593" spans="1:12" s="32" customFormat="1" hidden="1" x14ac:dyDescent="0.3">
      <c r="A1593" s="37">
        <v>46126.668668981481</v>
      </c>
      <c r="B1593" s="1" t="s">
        <v>43</v>
      </c>
      <c r="C1593" s="1">
        <v>4430291622</v>
      </c>
      <c r="D1593" s="1"/>
      <c r="E1593" s="1">
        <v>382</v>
      </c>
      <c r="F1593" s="1">
        <v>357</v>
      </c>
      <c r="G1593" s="1" t="s">
        <v>38</v>
      </c>
      <c r="H1593" s="1" t="s">
        <v>585</v>
      </c>
      <c r="I1593" s="1" t="s">
        <v>46</v>
      </c>
      <c r="J1593" s="1" t="s">
        <v>40</v>
      </c>
      <c r="K1593" s="1"/>
      <c r="L1593" s="1"/>
    </row>
    <row r="1594" spans="1:12" s="32" customFormat="1" hidden="1" x14ac:dyDescent="0.3">
      <c r="A1594" s="37">
        <v>46126.668009259258</v>
      </c>
      <c r="B1594" s="1" t="s">
        <v>43</v>
      </c>
      <c r="C1594" s="1">
        <v>44997343311</v>
      </c>
      <c r="D1594" s="1"/>
      <c r="E1594" s="1">
        <v>9</v>
      </c>
      <c r="F1594" s="1">
        <v>0</v>
      </c>
      <c r="G1594" s="1" t="s">
        <v>47</v>
      </c>
      <c r="H1594" s="1" t="s">
        <v>586</v>
      </c>
      <c r="I1594" s="1" t="s">
        <v>46</v>
      </c>
      <c r="J1594" s="1" t="s">
        <v>40</v>
      </c>
      <c r="K1594" s="1"/>
      <c r="L1594" s="1"/>
    </row>
    <row r="1595" spans="1:12" s="32" customFormat="1" hidden="1" x14ac:dyDescent="0.3">
      <c r="A1595" s="37">
        <v>46126.667766203704</v>
      </c>
      <c r="B1595" s="1" t="s">
        <v>43</v>
      </c>
      <c r="C1595" s="1">
        <v>11930586565</v>
      </c>
      <c r="D1595" s="1"/>
      <c r="E1595" s="1">
        <v>5</v>
      </c>
      <c r="F1595" s="1">
        <v>0</v>
      </c>
      <c r="G1595" s="1" t="s">
        <v>47</v>
      </c>
      <c r="H1595" s="1" t="s">
        <v>587</v>
      </c>
      <c r="I1595" s="1" t="s">
        <v>46</v>
      </c>
      <c r="J1595" s="1" t="s">
        <v>40</v>
      </c>
      <c r="K1595" s="1"/>
      <c r="L1595" s="1"/>
    </row>
    <row r="1596" spans="1:12" s="32" customFormat="1" hidden="1" x14ac:dyDescent="0.3">
      <c r="A1596" s="37">
        <v>46126.667337962965</v>
      </c>
      <c r="B1596" s="1">
        <v>47999760576</v>
      </c>
      <c r="C1596" s="1" t="s">
        <v>37</v>
      </c>
      <c r="D1596" s="1">
        <v>4430265054</v>
      </c>
      <c r="E1596" s="1">
        <v>2215</v>
      </c>
      <c r="F1596" s="1">
        <v>2136</v>
      </c>
      <c r="G1596" s="1" t="s">
        <v>38</v>
      </c>
      <c r="H1596" s="1" t="s">
        <v>588</v>
      </c>
      <c r="I1596" s="1" t="s">
        <v>39</v>
      </c>
      <c r="J1596" s="1" t="s">
        <v>40</v>
      </c>
      <c r="K1596" s="1" t="s">
        <v>41</v>
      </c>
      <c r="L1596" s="1"/>
    </row>
    <row r="1597" spans="1:12" s="32" customFormat="1" hidden="1" x14ac:dyDescent="0.3">
      <c r="A1597" s="37">
        <v>46126.665300925924</v>
      </c>
      <c r="B1597" s="1">
        <v>47999760576</v>
      </c>
      <c r="C1597" s="1">
        <v>4430265054</v>
      </c>
      <c r="D1597" s="1">
        <v>4430265054</v>
      </c>
      <c r="E1597" s="1">
        <v>58</v>
      </c>
      <c r="F1597" s="1">
        <v>58</v>
      </c>
      <c r="G1597" s="1" t="s">
        <v>52</v>
      </c>
      <c r="H1597" s="1" t="s">
        <v>589</v>
      </c>
      <c r="I1597" s="1" t="s">
        <v>39</v>
      </c>
      <c r="J1597" s="1" t="s">
        <v>53</v>
      </c>
      <c r="K1597" s="1" t="s">
        <v>41</v>
      </c>
      <c r="L1597" s="1"/>
    </row>
    <row r="1598" spans="1:12" s="32" customFormat="1" hidden="1" x14ac:dyDescent="0.3">
      <c r="A1598" s="37">
        <v>46126.662824074076</v>
      </c>
      <c r="B1598" s="1">
        <v>18997449617</v>
      </c>
      <c r="C1598" s="1" t="s">
        <v>44</v>
      </c>
      <c r="D1598" s="1">
        <v>4430265054</v>
      </c>
      <c r="E1598" s="1">
        <v>629</v>
      </c>
      <c r="F1598" s="1">
        <v>568</v>
      </c>
      <c r="G1598" s="1" t="s">
        <v>38</v>
      </c>
      <c r="H1598" s="1" t="s">
        <v>590</v>
      </c>
      <c r="I1598" s="1" t="s">
        <v>39</v>
      </c>
      <c r="J1598" s="1" t="s">
        <v>40</v>
      </c>
      <c r="K1598" s="1" t="s">
        <v>41</v>
      </c>
      <c r="L1598" s="1"/>
    </row>
    <row r="1599" spans="1:12" s="32" customFormat="1" hidden="1" x14ac:dyDescent="0.3">
      <c r="A1599" s="37">
        <v>46126.662442129629</v>
      </c>
      <c r="B1599" s="1">
        <v>91989363636</v>
      </c>
      <c r="C1599" s="1" t="s">
        <v>37</v>
      </c>
      <c r="D1599" s="1">
        <v>4430265054</v>
      </c>
      <c r="E1599" s="1">
        <v>60</v>
      </c>
      <c r="F1599" s="1">
        <v>6</v>
      </c>
      <c r="G1599" s="1" t="s">
        <v>38</v>
      </c>
      <c r="H1599" s="1" t="s">
        <v>591</v>
      </c>
      <c r="I1599" s="1" t="s">
        <v>39</v>
      </c>
      <c r="J1599" s="1" t="s">
        <v>40</v>
      </c>
      <c r="K1599" s="1" t="s">
        <v>41</v>
      </c>
      <c r="L1599" s="1"/>
    </row>
    <row r="1600" spans="1:12" s="32" customFormat="1" hidden="1" x14ac:dyDescent="0.3">
      <c r="A1600" s="37">
        <v>46126.659826388888</v>
      </c>
      <c r="B1600" s="1">
        <v>47999760576</v>
      </c>
      <c r="C1600" s="1">
        <v>4430265054</v>
      </c>
      <c r="D1600" s="1">
        <v>4430265054</v>
      </c>
      <c r="E1600" s="1">
        <v>6</v>
      </c>
      <c r="F1600" s="1">
        <v>6</v>
      </c>
      <c r="G1600" s="1" t="s">
        <v>52</v>
      </c>
      <c r="H1600" s="1" t="s">
        <v>592</v>
      </c>
      <c r="I1600" s="1" t="s">
        <v>39</v>
      </c>
      <c r="J1600" s="1" t="s">
        <v>53</v>
      </c>
      <c r="K1600" s="1"/>
      <c r="L1600" s="1"/>
    </row>
    <row r="1601" spans="1:12" s="32" customFormat="1" hidden="1" x14ac:dyDescent="0.3">
      <c r="A1601" s="37">
        <v>46126.652222222219</v>
      </c>
      <c r="B1601" s="1">
        <v>4434239353</v>
      </c>
      <c r="C1601" s="1" t="s">
        <v>48</v>
      </c>
      <c r="D1601" s="1">
        <v>4430265054</v>
      </c>
      <c r="E1601" s="1">
        <v>883</v>
      </c>
      <c r="F1601" s="1">
        <v>858</v>
      </c>
      <c r="G1601" s="1" t="s">
        <v>38</v>
      </c>
      <c r="H1601" s="1" t="s">
        <v>593</v>
      </c>
      <c r="I1601" s="1" t="s">
        <v>39</v>
      </c>
      <c r="J1601" s="1" t="s">
        <v>40</v>
      </c>
      <c r="K1601" s="1" t="s">
        <v>41</v>
      </c>
      <c r="L1601" s="1"/>
    </row>
    <row r="1602" spans="1:12" s="32" customFormat="1" hidden="1" x14ac:dyDescent="0.3">
      <c r="A1602" s="37">
        <v>46126.650590277779</v>
      </c>
      <c r="B1602" s="1">
        <v>16997194228</v>
      </c>
      <c r="C1602" s="1" t="s">
        <v>44</v>
      </c>
      <c r="D1602" s="1">
        <v>4430265054</v>
      </c>
      <c r="E1602" s="1">
        <v>1180</v>
      </c>
      <c r="F1602" s="1">
        <v>1086</v>
      </c>
      <c r="G1602" s="1" t="s">
        <v>38</v>
      </c>
      <c r="H1602" s="1" t="s">
        <v>594</v>
      </c>
      <c r="I1602" s="1" t="s">
        <v>39</v>
      </c>
      <c r="J1602" s="1" t="s">
        <v>40</v>
      </c>
      <c r="K1602" s="1" t="s">
        <v>41</v>
      </c>
      <c r="L1602" s="1"/>
    </row>
    <row r="1603" spans="1:12" s="32" customFormat="1" hidden="1" x14ac:dyDescent="0.3">
      <c r="A1603" s="37">
        <v>46126.64775462963</v>
      </c>
      <c r="B1603" s="1">
        <v>4330333542</v>
      </c>
      <c r="C1603" s="1" t="s">
        <v>43</v>
      </c>
      <c r="D1603" s="1">
        <v>4430265054</v>
      </c>
      <c r="E1603" s="1">
        <v>475</v>
      </c>
      <c r="F1603" s="1">
        <v>432</v>
      </c>
      <c r="G1603" s="1" t="s">
        <v>38</v>
      </c>
      <c r="H1603" s="1" t="s">
        <v>595</v>
      </c>
      <c r="I1603" s="1" t="s">
        <v>39</v>
      </c>
      <c r="J1603" s="1" t="s">
        <v>40</v>
      </c>
      <c r="K1603" s="1" t="s">
        <v>41</v>
      </c>
      <c r="L1603" s="1"/>
    </row>
    <row r="1604" spans="1:12" s="32" customFormat="1" x14ac:dyDescent="0.3">
      <c r="A1604" s="37">
        <v>46126.646053240744</v>
      </c>
      <c r="B1604" s="1">
        <v>44998802935</v>
      </c>
      <c r="C1604" s="1" t="s">
        <v>37</v>
      </c>
      <c r="D1604" s="1">
        <v>4431268225</v>
      </c>
      <c r="E1604" s="1">
        <v>712</v>
      </c>
      <c r="F1604" s="1">
        <v>614</v>
      </c>
      <c r="G1604" s="1" t="s">
        <v>38</v>
      </c>
      <c r="H1604" s="1" t="s">
        <v>596</v>
      </c>
      <c r="I1604" s="1" t="s">
        <v>39</v>
      </c>
      <c r="J1604" s="1" t="s">
        <v>40</v>
      </c>
      <c r="K1604" s="1" t="s">
        <v>41</v>
      </c>
      <c r="L1604" s="1">
        <v>5</v>
      </c>
    </row>
    <row r="1605" spans="1:12" s="32" customFormat="1" hidden="1" x14ac:dyDescent="0.3">
      <c r="A1605" s="37">
        <v>46126.640717592592</v>
      </c>
      <c r="B1605" s="1">
        <v>4430450103</v>
      </c>
      <c r="C1605" s="1" t="s">
        <v>42</v>
      </c>
      <c r="D1605" s="1">
        <v>4430265054</v>
      </c>
      <c r="E1605" s="1">
        <v>1045</v>
      </c>
      <c r="F1605" s="1">
        <v>999</v>
      </c>
      <c r="G1605" s="1" t="s">
        <v>38</v>
      </c>
      <c r="H1605" s="1" t="s">
        <v>597</v>
      </c>
      <c r="I1605" s="1" t="s">
        <v>39</v>
      </c>
      <c r="J1605" s="1" t="s">
        <v>40</v>
      </c>
      <c r="K1605" s="1" t="s">
        <v>41</v>
      </c>
      <c r="L1605" s="1">
        <v>5</v>
      </c>
    </row>
    <row r="1606" spans="1:12" s="32" customFormat="1" hidden="1" x14ac:dyDescent="0.3">
      <c r="A1606" s="37">
        <v>46126.639525462961</v>
      </c>
      <c r="B1606" s="1" t="s">
        <v>37</v>
      </c>
      <c r="C1606" s="1">
        <v>91985176746</v>
      </c>
      <c r="D1606" s="1"/>
      <c r="E1606" s="1">
        <v>53</v>
      </c>
      <c r="F1606" s="1">
        <v>30</v>
      </c>
      <c r="G1606" s="1" t="s">
        <v>38</v>
      </c>
      <c r="H1606" s="1" t="s">
        <v>598</v>
      </c>
      <c r="I1606" s="1" t="s">
        <v>46</v>
      </c>
      <c r="J1606" s="1" t="s">
        <v>40</v>
      </c>
      <c r="K1606" s="1"/>
      <c r="L1606" s="1"/>
    </row>
    <row r="1607" spans="1:12" s="32" customFormat="1" hidden="1" x14ac:dyDescent="0.3">
      <c r="A1607" s="37">
        <v>46126.638668981483</v>
      </c>
      <c r="B1607" s="1" t="s">
        <v>45</v>
      </c>
      <c r="C1607" s="1">
        <v>4433231037</v>
      </c>
      <c r="D1607" s="1"/>
      <c r="E1607" s="1">
        <v>2725</v>
      </c>
      <c r="F1607" s="1">
        <v>2715</v>
      </c>
      <c r="G1607" s="1" t="s">
        <v>38</v>
      </c>
      <c r="H1607" s="1" t="s">
        <v>599</v>
      </c>
      <c r="I1607" s="1" t="s">
        <v>46</v>
      </c>
      <c r="J1607" s="1" t="s">
        <v>40</v>
      </c>
      <c r="K1607" s="1"/>
      <c r="L1607" s="1">
        <v>5</v>
      </c>
    </row>
    <row r="1608" spans="1:12" s="32" customFormat="1" hidden="1" x14ac:dyDescent="0.3">
      <c r="A1608" s="37">
        <v>46126.638275462959</v>
      </c>
      <c r="B1608" s="1" t="s">
        <v>45</v>
      </c>
      <c r="C1608" s="1">
        <v>4433231037</v>
      </c>
      <c r="D1608" s="1"/>
      <c r="E1608" s="1">
        <v>25</v>
      </c>
      <c r="F1608" s="1">
        <v>25</v>
      </c>
      <c r="G1608" s="1" t="s">
        <v>38</v>
      </c>
      <c r="H1608" s="1" t="s">
        <v>600</v>
      </c>
      <c r="I1608" s="1" t="s">
        <v>46</v>
      </c>
      <c r="J1608" s="1" t="s">
        <v>40</v>
      </c>
      <c r="K1608" s="1"/>
      <c r="L1608" s="1"/>
    </row>
    <row r="1609" spans="1:12" s="32" customFormat="1" hidden="1" x14ac:dyDescent="0.3">
      <c r="A1609" s="37">
        <v>46126.638194444444</v>
      </c>
      <c r="B1609" s="1" t="s">
        <v>45</v>
      </c>
      <c r="C1609" s="1">
        <v>4433231037</v>
      </c>
      <c r="D1609" s="1"/>
      <c r="E1609" s="1">
        <v>25</v>
      </c>
      <c r="F1609" s="1">
        <v>25</v>
      </c>
      <c r="G1609" s="1" t="s">
        <v>38</v>
      </c>
      <c r="H1609" s="1" t="s">
        <v>601</v>
      </c>
      <c r="I1609" s="1" t="s">
        <v>46</v>
      </c>
      <c r="J1609" s="1" t="s">
        <v>40</v>
      </c>
      <c r="K1609" s="1"/>
      <c r="L1609" s="1"/>
    </row>
    <row r="1610" spans="1:12" s="32" customFormat="1" hidden="1" x14ac:dyDescent="0.3">
      <c r="A1610" s="37">
        <v>46126.637777777774</v>
      </c>
      <c r="B1610" s="1" t="s">
        <v>37</v>
      </c>
      <c r="C1610" s="1">
        <v>91985176746</v>
      </c>
      <c r="D1610" s="1"/>
      <c r="E1610" s="1">
        <v>7</v>
      </c>
      <c r="F1610" s="1">
        <v>0</v>
      </c>
      <c r="G1610" s="1" t="s">
        <v>47</v>
      </c>
      <c r="H1610" s="1" t="s">
        <v>602</v>
      </c>
      <c r="I1610" s="1" t="s">
        <v>46</v>
      </c>
      <c r="J1610" s="1" t="s">
        <v>40</v>
      </c>
      <c r="K1610" s="1"/>
      <c r="L1610" s="1"/>
    </row>
    <row r="1611" spans="1:12" s="32" customFormat="1" hidden="1" x14ac:dyDescent="0.3">
      <c r="A1611" s="37">
        <v>46126.63585648148</v>
      </c>
      <c r="B1611" s="1">
        <v>44933131154</v>
      </c>
      <c r="C1611" s="1">
        <v>4430265054</v>
      </c>
      <c r="D1611" s="1">
        <v>4430265054</v>
      </c>
      <c r="E1611" s="1">
        <v>4</v>
      </c>
      <c r="F1611" s="1">
        <v>3</v>
      </c>
      <c r="G1611" s="1" t="s">
        <v>52</v>
      </c>
      <c r="H1611" s="1" t="s">
        <v>603</v>
      </c>
      <c r="I1611" s="1" t="s">
        <v>39</v>
      </c>
      <c r="J1611" s="1" t="s">
        <v>53</v>
      </c>
      <c r="K1611" s="1"/>
      <c r="L1611" s="1"/>
    </row>
    <row r="1612" spans="1:12" s="32" customFormat="1" hidden="1" x14ac:dyDescent="0.3">
      <c r="A1612" s="37">
        <v>46126.633090277777</v>
      </c>
      <c r="B1612" s="1">
        <v>91985176746</v>
      </c>
      <c r="C1612" s="1" t="s">
        <v>37</v>
      </c>
      <c r="D1612" s="1">
        <v>4430265054</v>
      </c>
      <c r="E1612" s="1">
        <v>266</v>
      </c>
      <c r="F1612" s="1">
        <v>63</v>
      </c>
      <c r="G1612" s="1" t="s">
        <v>38</v>
      </c>
      <c r="H1612" s="1" t="s">
        <v>604</v>
      </c>
      <c r="I1612" s="1" t="s">
        <v>39</v>
      </c>
      <c r="J1612" s="1" t="s">
        <v>40</v>
      </c>
      <c r="K1612" s="1" t="s">
        <v>41</v>
      </c>
      <c r="L1612" s="1"/>
    </row>
    <row r="1613" spans="1:12" s="32" customFormat="1" hidden="1" x14ac:dyDescent="0.3">
      <c r="A1613" s="37">
        <v>46126.629386574074</v>
      </c>
      <c r="B1613" s="1" t="s">
        <v>48</v>
      </c>
      <c r="C1613" s="1">
        <v>44997400641</v>
      </c>
      <c r="D1613" s="1"/>
      <c r="E1613" s="1">
        <v>92</v>
      </c>
      <c r="F1613" s="1">
        <v>80</v>
      </c>
      <c r="G1613" s="1" t="s">
        <v>38</v>
      </c>
      <c r="H1613" s="1" t="s">
        <v>605</v>
      </c>
      <c r="I1613" s="1" t="s">
        <v>46</v>
      </c>
      <c r="J1613" s="1" t="s">
        <v>40</v>
      </c>
      <c r="K1613" s="1"/>
      <c r="L1613" s="1"/>
    </row>
    <row r="1614" spans="1:12" s="32" customFormat="1" hidden="1" x14ac:dyDescent="0.3">
      <c r="A1614" s="37">
        <v>46126.621608796297</v>
      </c>
      <c r="B1614" s="1">
        <v>18996339700</v>
      </c>
      <c r="C1614" s="1" t="s">
        <v>43</v>
      </c>
      <c r="D1614" s="1">
        <v>4430265054</v>
      </c>
      <c r="E1614" s="1">
        <v>1730</v>
      </c>
      <c r="F1614" s="1">
        <v>1581</v>
      </c>
      <c r="G1614" s="1" t="s">
        <v>38</v>
      </c>
      <c r="H1614" s="1" t="s">
        <v>606</v>
      </c>
      <c r="I1614" s="1" t="s">
        <v>39</v>
      </c>
      <c r="J1614" s="1" t="s">
        <v>40</v>
      </c>
      <c r="K1614" s="1" t="s">
        <v>41</v>
      </c>
      <c r="L1614" s="1">
        <v>5</v>
      </c>
    </row>
    <row r="1615" spans="1:12" s="32" customFormat="1" hidden="1" x14ac:dyDescent="0.3">
      <c r="A1615" s="37">
        <v>46126.618032407408</v>
      </c>
      <c r="B1615" s="1" t="s">
        <v>57</v>
      </c>
      <c r="C1615" s="1">
        <v>41987771666</v>
      </c>
      <c r="D1615" s="1"/>
      <c r="E1615" s="1">
        <v>41</v>
      </c>
      <c r="F1615" s="1">
        <v>0</v>
      </c>
      <c r="G1615" s="1" t="s">
        <v>47</v>
      </c>
      <c r="H1615" s="1" t="s">
        <v>607</v>
      </c>
      <c r="I1615" s="1" t="s">
        <v>46</v>
      </c>
      <c r="J1615" s="1" t="s">
        <v>55</v>
      </c>
      <c r="K1615" s="1"/>
      <c r="L1615" s="1"/>
    </row>
    <row r="1616" spans="1:12" s="32" customFormat="1" hidden="1" x14ac:dyDescent="0.3">
      <c r="A1616" s="37">
        <v>46126.616412037038</v>
      </c>
      <c r="B1616" s="1">
        <v>62994086124</v>
      </c>
      <c r="C1616" s="1" t="s">
        <v>54</v>
      </c>
      <c r="D1616" s="1">
        <v>4430265054</v>
      </c>
      <c r="E1616" s="1">
        <v>768</v>
      </c>
      <c r="F1616" s="1">
        <v>745</v>
      </c>
      <c r="G1616" s="1" t="s">
        <v>38</v>
      </c>
      <c r="H1616" s="1" t="s">
        <v>608</v>
      </c>
      <c r="I1616" s="1" t="s">
        <v>39</v>
      </c>
      <c r="J1616" s="1" t="s">
        <v>55</v>
      </c>
      <c r="K1616" s="1" t="s">
        <v>49</v>
      </c>
      <c r="L1616" s="1"/>
    </row>
    <row r="1617" spans="1:12" s="32" customFormat="1" hidden="1" x14ac:dyDescent="0.3">
      <c r="A1617" s="37">
        <v>46126.615960648145</v>
      </c>
      <c r="B1617" s="1" t="s">
        <v>50</v>
      </c>
      <c r="C1617" s="1" t="s">
        <v>57</v>
      </c>
      <c r="D1617" s="1"/>
      <c r="E1617" s="1">
        <v>51</v>
      </c>
      <c r="F1617" s="1">
        <v>49</v>
      </c>
      <c r="G1617" s="1" t="s">
        <v>38</v>
      </c>
      <c r="H1617" s="1" t="s">
        <v>609</v>
      </c>
      <c r="I1617" s="1" t="s">
        <v>51</v>
      </c>
      <c r="J1617" s="1" t="s">
        <v>55</v>
      </c>
      <c r="K1617" s="1"/>
      <c r="L1617" s="1"/>
    </row>
    <row r="1618" spans="1:12" s="32" customFormat="1" hidden="1" x14ac:dyDescent="0.3">
      <c r="A1618" s="37">
        <v>46126.615127314813</v>
      </c>
      <c r="B1618" s="1">
        <v>47999760576</v>
      </c>
      <c r="C1618" s="1" t="s">
        <v>42</v>
      </c>
      <c r="D1618" s="1">
        <v>4430265054</v>
      </c>
      <c r="E1618" s="1">
        <v>1039</v>
      </c>
      <c r="F1618" s="1">
        <v>1017</v>
      </c>
      <c r="G1618" s="1" t="s">
        <v>38</v>
      </c>
      <c r="H1618" s="1" t="s">
        <v>610</v>
      </c>
      <c r="I1618" s="1" t="s">
        <v>39</v>
      </c>
      <c r="J1618" s="1" t="s">
        <v>40</v>
      </c>
      <c r="K1618" s="1" t="s">
        <v>41</v>
      </c>
      <c r="L1618" s="1"/>
    </row>
    <row r="1619" spans="1:12" s="32" customFormat="1" hidden="1" x14ac:dyDescent="0.3">
      <c r="A1619" s="37">
        <v>46126.613518518519</v>
      </c>
      <c r="B1619" s="1">
        <v>4433231037</v>
      </c>
      <c r="C1619" s="1" t="s">
        <v>45</v>
      </c>
      <c r="D1619" s="1">
        <v>4430265054</v>
      </c>
      <c r="E1619" s="1">
        <v>1826</v>
      </c>
      <c r="F1619" s="1">
        <v>1750</v>
      </c>
      <c r="G1619" s="1" t="s">
        <v>38</v>
      </c>
      <c r="H1619" s="1" t="s">
        <v>611</v>
      </c>
      <c r="I1619" s="1" t="s">
        <v>39</v>
      </c>
      <c r="J1619" s="1" t="s">
        <v>40</v>
      </c>
      <c r="K1619" s="1" t="s">
        <v>41</v>
      </c>
      <c r="L1619" s="1"/>
    </row>
    <row r="1620" spans="1:12" s="32" customFormat="1" hidden="1" x14ac:dyDescent="0.3">
      <c r="A1620" s="37">
        <v>46126.612905092596</v>
      </c>
      <c r="B1620" s="1">
        <v>4433231037</v>
      </c>
      <c r="C1620" s="1">
        <v>4430265054</v>
      </c>
      <c r="D1620" s="1">
        <v>4430265054</v>
      </c>
      <c r="E1620" s="1">
        <v>8</v>
      </c>
      <c r="F1620" s="1">
        <v>7</v>
      </c>
      <c r="G1620" s="1" t="s">
        <v>52</v>
      </c>
      <c r="H1620" s="1" t="s">
        <v>612</v>
      </c>
      <c r="I1620" s="1" t="s">
        <v>39</v>
      </c>
      <c r="J1620" s="1" t="s">
        <v>53</v>
      </c>
      <c r="K1620" s="1"/>
      <c r="L1620" s="1"/>
    </row>
    <row r="1621" spans="1:12" s="32" customFormat="1" hidden="1" x14ac:dyDescent="0.3">
      <c r="A1621" s="37">
        <v>46126.611087962963</v>
      </c>
      <c r="B1621" s="1">
        <v>44998890329</v>
      </c>
      <c r="C1621" s="1" t="s">
        <v>37</v>
      </c>
      <c r="D1621" s="1">
        <v>4430265054</v>
      </c>
      <c r="E1621" s="1">
        <v>531</v>
      </c>
      <c r="F1621" s="1">
        <v>487</v>
      </c>
      <c r="G1621" s="1" t="s">
        <v>38</v>
      </c>
      <c r="H1621" s="1" t="s">
        <v>613</v>
      </c>
      <c r="I1621" s="1" t="s">
        <v>39</v>
      </c>
      <c r="J1621" s="1" t="s">
        <v>40</v>
      </c>
      <c r="K1621" s="1" t="s">
        <v>41</v>
      </c>
      <c r="L1621" s="1"/>
    </row>
    <row r="1622" spans="1:12" s="32" customFormat="1" hidden="1" x14ac:dyDescent="0.3">
      <c r="A1622" s="37">
        <v>46126.607731481483</v>
      </c>
      <c r="B1622" s="1" t="s">
        <v>57</v>
      </c>
      <c r="C1622" s="1">
        <v>41987771666</v>
      </c>
      <c r="D1622" s="1"/>
      <c r="E1622" s="1">
        <v>32</v>
      </c>
      <c r="F1622" s="1">
        <v>0</v>
      </c>
      <c r="G1622" s="1" t="s">
        <v>47</v>
      </c>
      <c r="H1622" s="1" t="s">
        <v>614</v>
      </c>
      <c r="I1622" s="1" t="s">
        <v>46</v>
      </c>
      <c r="J1622" s="1" t="s">
        <v>55</v>
      </c>
      <c r="K1622" s="1"/>
      <c r="L1622" s="1"/>
    </row>
    <row r="1623" spans="1:12" s="32" customFormat="1" hidden="1" x14ac:dyDescent="0.3">
      <c r="A1623" s="37">
        <v>46126.606550925928</v>
      </c>
      <c r="B1623" s="1" t="s">
        <v>48</v>
      </c>
      <c r="C1623" s="1">
        <v>44997400641</v>
      </c>
      <c r="D1623" s="1"/>
      <c r="E1623" s="1">
        <v>468</v>
      </c>
      <c r="F1623" s="1">
        <v>459</v>
      </c>
      <c r="G1623" s="1" t="s">
        <v>38</v>
      </c>
      <c r="H1623" s="1" t="s">
        <v>615</v>
      </c>
      <c r="I1623" s="1" t="s">
        <v>46</v>
      </c>
      <c r="J1623" s="1" t="s">
        <v>40</v>
      </c>
      <c r="K1623" s="1"/>
      <c r="L1623" s="1"/>
    </row>
    <row r="1624" spans="1:12" s="32" customFormat="1" hidden="1" x14ac:dyDescent="0.3">
      <c r="A1624" s="37">
        <v>46126.606469907405</v>
      </c>
      <c r="B1624" s="1" t="s">
        <v>48</v>
      </c>
      <c r="C1624" s="1">
        <v>44997400641</v>
      </c>
      <c r="D1624" s="1"/>
      <c r="E1624" s="1">
        <v>25</v>
      </c>
      <c r="F1624" s="1">
        <v>25</v>
      </c>
      <c r="G1624" s="1" t="s">
        <v>38</v>
      </c>
      <c r="H1624" s="1" t="s">
        <v>616</v>
      </c>
      <c r="I1624" s="1" t="s">
        <v>46</v>
      </c>
      <c r="J1624" s="1" t="s">
        <v>40</v>
      </c>
      <c r="K1624" s="1"/>
      <c r="L1624" s="1"/>
    </row>
    <row r="1625" spans="1:12" s="32" customFormat="1" hidden="1" x14ac:dyDescent="0.3">
      <c r="A1625" s="37">
        <v>46126.605000000003</v>
      </c>
      <c r="B1625" s="1">
        <v>44991388221</v>
      </c>
      <c r="C1625" s="1" t="s">
        <v>42</v>
      </c>
      <c r="D1625" s="1">
        <v>4430265054</v>
      </c>
      <c r="E1625" s="1">
        <v>487</v>
      </c>
      <c r="F1625" s="1">
        <v>441</v>
      </c>
      <c r="G1625" s="1" t="s">
        <v>38</v>
      </c>
      <c r="H1625" s="1" t="s">
        <v>617</v>
      </c>
      <c r="I1625" s="1" t="s">
        <v>39</v>
      </c>
      <c r="J1625" s="1" t="s">
        <v>40</v>
      </c>
      <c r="K1625" s="1" t="s">
        <v>41</v>
      </c>
      <c r="L1625" s="1"/>
    </row>
    <row r="1626" spans="1:12" s="32" customFormat="1" hidden="1" x14ac:dyDescent="0.3">
      <c r="A1626" s="37">
        <v>46126.604166666664</v>
      </c>
      <c r="B1626" s="1" t="s">
        <v>45</v>
      </c>
      <c r="C1626" s="1">
        <v>44999743444</v>
      </c>
      <c r="D1626" s="1"/>
      <c r="E1626" s="1">
        <v>14</v>
      </c>
      <c r="F1626" s="1">
        <v>0</v>
      </c>
      <c r="G1626" s="1" t="s">
        <v>47</v>
      </c>
      <c r="H1626" s="1" t="s">
        <v>618</v>
      </c>
      <c r="I1626" s="1" t="s">
        <v>46</v>
      </c>
      <c r="J1626" s="1" t="s">
        <v>40</v>
      </c>
      <c r="K1626" s="1"/>
      <c r="L1626" s="1"/>
    </row>
    <row r="1627" spans="1:12" s="32" customFormat="1" hidden="1" x14ac:dyDescent="0.3">
      <c r="A1627" s="37">
        <v>46126.597627314812</v>
      </c>
      <c r="B1627" s="1">
        <v>44997400641</v>
      </c>
      <c r="C1627" s="1" t="s">
        <v>43</v>
      </c>
      <c r="D1627" s="1">
        <v>4430265054</v>
      </c>
      <c r="E1627" s="1">
        <v>294</v>
      </c>
      <c r="F1627" s="1">
        <v>256</v>
      </c>
      <c r="G1627" s="1" t="s">
        <v>38</v>
      </c>
      <c r="H1627" s="1" t="s">
        <v>619</v>
      </c>
      <c r="I1627" s="1" t="s">
        <v>39</v>
      </c>
      <c r="J1627" s="1" t="s">
        <v>40</v>
      </c>
      <c r="K1627" s="1" t="s">
        <v>41</v>
      </c>
      <c r="L1627" s="1"/>
    </row>
    <row r="1628" spans="1:12" s="32" customFormat="1" hidden="1" x14ac:dyDescent="0.3">
      <c r="A1628" s="37">
        <v>46126.595127314817</v>
      </c>
      <c r="B1628" s="1">
        <v>4121413772</v>
      </c>
      <c r="C1628" s="1" t="s">
        <v>42</v>
      </c>
      <c r="D1628" s="1">
        <v>4531273155</v>
      </c>
      <c r="E1628" s="1">
        <v>57</v>
      </c>
      <c r="F1628" s="1">
        <v>18</v>
      </c>
      <c r="G1628" s="1" t="s">
        <v>38</v>
      </c>
      <c r="H1628" s="1" t="s">
        <v>620</v>
      </c>
      <c r="I1628" s="1" t="s">
        <v>39</v>
      </c>
      <c r="J1628" s="1" t="s">
        <v>40</v>
      </c>
      <c r="K1628" s="1" t="s">
        <v>41</v>
      </c>
      <c r="L1628" s="1"/>
    </row>
    <row r="1629" spans="1:12" s="32" customFormat="1" x14ac:dyDescent="0.3">
      <c r="A1629" s="37">
        <v>46126.590891203705</v>
      </c>
      <c r="B1629" s="1">
        <v>41988796768</v>
      </c>
      <c r="C1629" s="1" t="s">
        <v>37</v>
      </c>
      <c r="D1629" s="1">
        <v>4430265054</v>
      </c>
      <c r="E1629" s="1">
        <v>939</v>
      </c>
      <c r="F1629" s="1">
        <v>820</v>
      </c>
      <c r="G1629" s="1" t="s">
        <v>38</v>
      </c>
      <c r="H1629" s="1" t="s">
        <v>621</v>
      </c>
      <c r="I1629" s="1" t="s">
        <v>39</v>
      </c>
      <c r="J1629" s="1" t="s">
        <v>40</v>
      </c>
      <c r="K1629" s="1" t="s">
        <v>41</v>
      </c>
      <c r="L1629" s="1">
        <v>5</v>
      </c>
    </row>
    <row r="1630" spans="1:12" s="32" customFormat="1" hidden="1" x14ac:dyDescent="0.3">
      <c r="A1630" s="37">
        <v>46126.590254629627</v>
      </c>
      <c r="B1630" s="1" t="s">
        <v>43</v>
      </c>
      <c r="C1630" s="1">
        <v>44997343311</v>
      </c>
      <c r="D1630" s="1"/>
      <c r="E1630" s="1">
        <v>18</v>
      </c>
      <c r="F1630" s="1">
        <v>0</v>
      </c>
      <c r="G1630" s="1" t="s">
        <v>47</v>
      </c>
      <c r="H1630" s="1" t="s">
        <v>622</v>
      </c>
      <c r="I1630" s="1" t="s">
        <v>46</v>
      </c>
      <c r="J1630" s="1" t="s">
        <v>40</v>
      </c>
      <c r="K1630" s="1"/>
      <c r="L1630" s="1"/>
    </row>
    <row r="1631" spans="1:12" s="32" customFormat="1" hidden="1" x14ac:dyDescent="0.3">
      <c r="A1631" s="37">
        <v>46126.589537037034</v>
      </c>
      <c r="B1631" s="1" t="s">
        <v>43</v>
      </c>
      <c r="C1631" s="1">
        <v>44997343311</v>
      </c>
      <c r="D1631" s="1"/>
      <c r="E1631" s="1">
        <v>19</v>
      </c>
      <c r="F1631" s="1">
        <v>0</v>
      </c>
      <c r="G1631" s="1" t="s">
        <v>47</v>
      </c>
      <c r="H1631" s="1" t="s">
        <v>623</v>
      </c>
      <c r="I1631" s="1" t="s">
        <v>46</v>
      </c>
      <c r="J1631" s="1" t="s">
        <v>40</v>
      </c>
      <c r="K1631" s="1"/>
      <c r="L1631" s="1"/>
    </row>
    <row r="1632" spans="1:12" s="32" customFormat="1" hidden="1" x14ac:dyDescent="0.3">
      <c r="A1632" s="37">
        <v>46126.589074074072</v>
      </c>
      <c r="B1632" s="1">
        <v>4433016050</v>
      </c>
      <c r="C1632" s="1" t="s">
        <v>48</v>
      </c>
      <c r="D1632" s="1">
        <v>4430265054</v>
      </c>
      <c r="E1632" s="1">
        <v>1313</v>
      </c>
      <c r="F1632" s="1">
        <v>1200</v>
      </c>
      <c r="G1632" s="1" t="s">
        <v>38</v>
      </c>
      <c r="H1632" s="1" t="s">
        <v>624</v>
      </c>
      <c r="I1632" s="1" t="s">
        <v>39</v>
      </c>
      <c r="J1632" s="1" t="s">
        <v>40</v>
      </c>
      <c r="K1632" s="1" t="s">
        <v>41</v>
      </c>
      <c r="L1632" s="1"/>
    </row>
    <row r="1633" spans="1:12" s="32" customFormat="1" hidden="1" x14ac:dyDescent="0.3">
      <c r="A1633" s="37">
        <v>46126.588206018518</v>
      </c>
      <c r="B1633" s="1">
        <v>4433016050</v>
      </c>
      <c r="C1633" s="1">
        <v>4430265054</v>
      </c>
      <c r="D1633" s="1">
        <v>4430265054</v>
      </c>
      <c r="E1633" s="1">
        <v>42</v>
      </c>
      <c r="F1633" s="1">
        <v>42</v>
      </c>
      <c r="G1633" s="1" t="s">
        <v>52</v>
      </c>
      <c r="H1633" s="1" t="s">
        <v>625</v>
      </c>
      <c r="I1633" s="1" t="s">
        <v>39</v>
      </c>
      <c r="J1633" s="1" t="s">
        <v>53</v>
      </c>
      <c r="K1633" s="1" t="s">
        <v>41</v>
      </c>
      <c r="L1633" s="1"/>
    </row>
    <row r="1634" spans="1:12" s="32" customFormat="1" hidden="1" x14ac:dyDescent="0.3">
      <c r="A1634" s="37">
        <v>46126.579710648148</v>
      </c>
      <c r="B1634" s="1">
        <v>1128787060</v>
      </c>
      <c r="C1634" s="1" t="s">
        <v>48</v>
      </c>
      <c r="D1634" s="1">
        <v>4430265054</v>
      </c>
      <c r="E1634" s="1">
        <v>188</v>
      </c>
      <c r="F1634" s="1">
        <v>167</v>
      </c>
      <c r="G1634" s="1" t="s">
        <v>38</v>
      </c>
      <c r="H1634" s="1" t="s">
        <v>626</v>
      </c>
      <c r="I1634" s="1" t="s">
        <v>39</v>
      </c>
      <c r="J1634" s="1" t="s">
        <v>40</v>
      </c>
      <c r="K1634" s="1" t="s">
        <v>41</v>
      </c>
      <c r="L1634" s="1"/>
    </row>
    <row r="1635" spans="1:12" s="32" customFormat="1" hidden="1" x14ac:dyDescent="0.3">
      <c r="A1635" s="37">
        <v>46126.571157407408</v>
      </c>
      <c r="B1635" s="1">
        <v>44991381017</v>
      </c>
      <c r="C1635" s="1" t="s">
        <v>45</v>
      </c>
      <c r="D1635" s="1">
        <v>4430265054</v>
      </c>
      <c r="E1635" s="1">
        <v>857</v>
      </c>
      <c r="F1635" s="1">
        <v>779</v>
      </c>
      <c r="G1635" s="1" t="s">
        <v>38</v>
      </c>
      <c r="H1635" s="1" t="s">
        <v>627</v>
      </c>
      <c r="I1635" s="1" t="s">
        <v>39</v>
      </c>
      <c r="J1635" s="1" t="s">
        <v>40</v>
      </c>
      <c r="K1635" s="1" t="s">
        <v>41</v>
      </c>
      <c r="L1635" s="1"/>
    </row>
    <row r="1636" spans="1:12" s="32" customFormat="1" hidden="1" x14ac:dyDescent="0.3">
      <c r="A1636" s="37">
        <v>46126.570138888892</v>
      </c>
      <c r="B1636" s="1">
        <v>2222100098</v>
      </c>
      <c r="C1636" s="1" t="s">
        <v>43</v>
      </c>
      <c r="D1636" s="1">
        <v>4430265054</v>
      </c>
      <c r="E1636" s="1">
        <v>737</v>
      </c>
      <c r="F1636" s="1">
        <v>693</v>
      </c>
      <c r="G1636" s="1" t="s">
        <v>38</v>
      </c>
      <c r="H1636" s="1" t="s">
        <v>628</v>
      </c>
      <c r="I1636" s="1" t="s">
        <v>39</v>
      </c>
      <c r="J1636" s="1" t="s">
        <v>40</v>
      </c>
      <c r="K1636" s="1" t="s">
        <v>41</v>
      </c>
      <c r="L1636" s="1"/>
    </row>
    <row r="1637" spans="1:12" s="32" customFormat="1" x14ac:dyDescent="0.3">
      <c r="A1637" s="37">
        <v>46126.56763888889</v>
      </c>
      <c r="B1637" s="1">
        <v>4433542435</v>
      </c>
      <c r="C1637" s="1" t="s">
        <v>37</v>
      </c>
      <c r="D1637" s="1">
        <v>4430265054</v>
      </c>
      <c r="E1637" s="1">
        <v>1510</v>
      </c>
      <c r="F1637" s="1">
        <v>1403</v>
      </c>
      <c r="G1637" s="1" t="s">
        <v>38</v>
      </c>
      <c r="H1637" s="1" t="s">
        <v>629</v>
      </c>
      <c r="I1637" s="1" t="s">
        <v>39</v>
      </c>
      <c r="J1637" s="1" t="s">
        <v>40</v>
      </c>
      <c r="K1637" s="1" t="s">
        <v>41</v>
      </c>
      <c r="L1637" s="1">
        <v>5</v>
      </c>
    </row>
    <row r="1638" spans="1:12" s="32" customFormat="1" hidden="1" x14ac:dyDescent="0.3">
      <c r="A1638" s="37">
        <v>46126.566250000003</v>
      </c>
      <c r="B1638" s="1">
        <v>4331724400</v>
      </c>
      <c r="C1638" s="1" t="s">
        <v>44</v>
      </c>
      <c r="D1638" s="1">
        <v>4430265054</v>
      </c>
      <c r="E1638" s="1">
        <v>1495</v>
      </c>
      <c r="F1638" s="1">
        <v>1421</v>
      </c>
      <c r="G1638" s="1" t="s">
        <v>38</v>
      </c>
      <c r="H1638" s="1" t="s">
        <v>630</v>
      </c>
      <c r="I1638" s="1" t="s">
        <v>39</v>
      </c>
      <c r="J1638" s="1" t="s">
        <v>40</v>
      </c>
      <c r="K1638" s="1" t="s">
        <v>41</v>
      </c>
      <c r="L1638" s="1"/>
    </row>
    <row r="1639" spans="1:12" s="32" customFormat="1" hidden="1" x14ac:dyDescent="0.3">
      <c r="A1639" s="37">
        <v>46126.562210648146</v>
      </c>
      <c r="B1639" s="1">
        <v>2222100098</v>
      </c>
      <c r="C1639" s="1">
        <v>4430265054</v>
      </c>
      <c r="D1639" s="1">
        <v>4430265054</v>
      </c>
      <c r="E1639" s="1">
        <v>14</v>
      </c>
      <c r="F1639" s="1">
        <v>14</v>
      </c>
      <c r="G1639" s="1" t="s">
        <v>52</v>
      </c>
      <c r="H1639" s="1" t="s">
        <v>631</v>
      </c>
      <c r="I1639" s="1" t="s">
        <v>39</v>
      </c>
      <c r="J1639" s="1" t="s">
        <v>53</v>
      </c>
      <c r="K1639" s="1"/>
      <c r="L1639" s="1"/>
    </row>
    <row r="1640" spans="1:12" s="32" customFormat="1" hidden="1" x14ac:dyDescent="0.3">
      <c r="A1640" s="37">
        <v>46126.500972222224</v>
      </c>
      <c r="B1640" s="1">
        <v>16997194228</v>
      </c>
      <c r="C1640" s="1">
        <v>4430265054</v>
      </c>
      <c r="D1640" s="1">
        <v>4430265054</v>
      </c>
      <c r="E1640" s="1">
        <v>21</v>
      </c>
      <c r="F1640" s="1">
        <v>21</v>
      </c>
      <c r="G1640" s="1" t="s">
        <v>52</v>
      </c>
      <c r="H1640" s="1" t="s">
        <v>632</v>
      </c>
      <c r="I1640" s="1" t="s">
        <v>39</v>
      </c>
      <c r="J1640" s="1" t="s">
        <v>53</v>
      </c>
      <c r="K1640" s="1"/>
      <c r="L1640" s="1"/>
    </row>
    <row r="1641" spans="1:12" s="32" customFormat="1" hidden="1" x14ac:dyDescent="0.3">
      <c r="A1641" s="37">
        <v>46126.497916666667</v>
      </c>
      <c r="B1641" s="1">
        <v>16997194228</v>
      </c>
      <c r="C1641" s="1" t="s">
        <v>37</v>
      </c>
      <c r="D1641" s="1">
        <v>4430265054</v>
      </c>
      <c r="E1641" s="1">
        <v>159</v>
      </c>
      <c r="F1641" s="1">
        <v>141</v>
      </c>
      <c r="G1641" s="1" t="s">
        <v>38</v>
      </c>
      <c r="H1641" s="1" t="s">
        <v>633</v>
      </c>
      <c r="I1641" s="1" t="s">
        <v>39</v>
      </c>
      <c r="J1641" s="1" t="s">
        <v>40</v>
      </c>
      <c r="K1641" s="1" t="s">
        <v>41</v>
      </c>
      <c r="L1641" s="1"/>
    </row>
    <row r="1642" spans="1:12" s="32" customFormat="1" hidden="1" x14ac:dyDescent="0.3">
      <c r="A1642" s="37">
        <v>46126.497164351851</v>
      </c>
      <c r="B1642" s="1" t="s">
        <v>37</v>
      </c>
      <c r="C1642" s="1">
        <v>16997194228</v>
      </c>
      <c r="D1642" s="1"/>
      <c r="E1642" s="1">
        <v>17</v>
      </c>
      <c r="F1642" s="1">
        <v>0</v>
      </c>
      <c r="G1642" s="1" t="s">
        <v>47</v>
      </c>
      <c r="H1642" s="1" t="s">
        <v>634</v>
      </c>
      <c r="I1642" s="1" t="s">
        <v>46</v>
      </c>
      <c r="J1642" s="1" t="s">
        <v>40</v>
      </c>
      <c r="K1642" s="1"/>
      <c r="L1642" s="1"/>
    </row>
    <row r="1643" spans="1:12" s="32" customFormat="1" hidden="1" x14ac:dyDescent="0.3">
      <c r="A1643" s="37">
        <v>46126.496180555558</v>
      </c>
      <c r="B1643" s="1">
        <v>4121418115</v>
      </c>
      <c r="C1643" s="1" t="s">
        <v>45</v>
      </c>
      <c r="D1643" s="1">
        <v>4531273156</v>
      </c>
      <c r="E1643" s="1">
        <v>70</v>
      </c>
      <c r="F1643" s="1">
        <v>31</v>
      </c>
      <c r="G1643" s="1" t="s">
        <v>38</v>
      </c>
      <c r="H1643" s="1" t="s">
        <v>635</v>
      </c>
      <c r="I1643" s="1" t="s">
        <v>39</v>
      </c>
      <c r="J1643" s="1" t="s">
        <v>40</v>
      </c>
      <c r="K1643" s="1" t="s">
        <v>41</v>
      </c>
      <c r="L1643" s="1"/>
    </row>
    <row r="1644" spans="1:12" s="32" customFormat="1" hidden="1" x14ac:dyDescent="0.3">
      <c r="A1644" s="37">
        <v>46126.492777777778</v>
      </c>
      <c r="B1644" s="1">
        <v>16997194228</v>
      </c>
      <c r="C1644" s="1" t="s">
        <v>37</v>
      </c>
      <c r="D1644" s="1">
        <v>4430265054</v>
      </c>
      <c r="E1644" s="1">
        <v>369</v>
      </c>
      <c r="F1644" s="1">
        <v>310</v>
      </c>
      <c r="G1644" s="1" t="s">
        <v>38</v>
      </c>
      <c r="H1644" s="1" t="s">
        <v>636</v>
      </c>
      <c r="I1644" s="1" t="s">
        <v>39</v>
      </c>
      <c r="J1644" s="1" t="s">
        <v>40</v>
      </c>
      <c r="K1644" s="1" t="s">
        <v>41</v>
      </c>
      <c r="L1644" s="1"/>
    </row>
    <row r="1645" spans="1:12" s="32" customFormat="1" hidden="1" x14ac:dyDescent="0.3">
      <c r="A1645" s="37">
        <v>46126.491180555553</v>
      </c>
      <c r="B1645" s="1">
        <v>16997194228</v>
      </c>
      <c r="C1645" s="1" t="s">
        <v>42</v>
      </c>
      <c r="D1645" s="1">
        <v>4430265054</v>
      </c>
      <c r="E1645" s="1">
        <v>100</v>
      </c>
      <c r="F1645" s="1">
        <v>43</v>
      </c>
      <c r="G1645" s="1" t="s">
        <v>38</v>
      </c>
      <c r="H1645" s="1" t="s">
        <v>637</v>
      </c>
      <c r="I1645" s="1" t="s">
        <v>39</v>
      </c>
      <c r="J1645" s="1" t="s">
        <v>40</v>
      </c>
      <c r="K1645" s="1" t="s">
        <v>41</v>
      </c>
      <c r="L1645" s="1"/>
    </row>
    <row r="1646" spans="1:12" s="32" customFormat="1" hidden="1" x14ac:dyDescent="0.3">
      <c r="A1646" s="37">
        <v>46126.489699074074</v>
      </c>
      <c r="B1646" s="1">
        <v>4121413772</v>
      </c>
      <c r="C1646" s="1" t="s">
        <v>45</v>
      </c>
      <c r="D1646" s="1">
        <v>4531273151</v>
      </c>
      <c r="E1646" s="1">
        <v>46</v>
      </c>
      <c r="F1646" s="1">
        <v>10</v>
      </c>
      <c r="G1646" s="1" t="s">
        <v>38</v>
      </c>
      <c r="H1646" s="1" t="s">
        <v>638</v>
      </c>
      <c r="I1646" s="1" t="s">
        <v>39</v>
      </c>
      <c r="J1646" s="1" t="s">
        <v>40</v>
      </c>
      <c r="K1646" s="1" t="s">
        <v>41</v>
      </c>
      <c r="L1646" s="1"/>
    </row>
    <row r="1647" spans="1:12" s="32" customFormat="1" hidden="1" x14ac:dyDescent="0.3">
      <c r="A1647" s="37">
        <v>46126.487384259257</v>
      </c>
      <c r="B1647" s="1">
        <v>4533011420</v>
      </c>
      <c r="C1647" s="1" t="s">
        <v>45</v>
      </c>
      <c r="D1647" s="1">
        <v>4531273158</v>
      </c>
      <c r="E1647" s="1">
        <v>47</v>
      </c>
      <c r="F1647" s="1">
        <v>9</v>
      </c>
      <c r="G1647" s="1" t="s">
        <v>38</v>
      </c>
      <c r="H1647" s="1" t="s">
        <v>639</v>
      </c>
      <c r="I1647" s="1" t="s">
        <v>39</v>
      </c>
      <c r="J1647" s="1" t="s">
        <v>40</v>
      </c>
      <c r="K1647" s="1" t="s">
        <v>41</v>
      </c>
      <c r="L1647" s="1"/>
    </row>
    <row r="1648" spans="1:12" s="32" customFormat="1" hidden="1" x14ac:dyDescent="0.3">
      <c r="A1648" s="37">
        <v>46126.486377314817</v>
      </c>
      <c r="B1648" s="1" t="s">
        <v>54</v>
      </c>
      <c r="C1648" s="1">
        <v>21964217621</v>
      </c>
      <c r="D1648" s="1"/>
      <c r="E1648" s="1">
        <v>30</v>
      </c>
      <c r="F1648" s="1">
        <v>0</v>
      </c>
      <c r="G1648" s="1" t="s">
        <v>47</v>
      </c>
      <c r="H1648" s="1" t="s">
        <v>640</v>
      </c>
      <c r="I1648" s="1" t="s">
        <v>46</v>
      </c>
      <c r="J1648" s="1" t="s">
        <v>55</v>
      </c>
      <c r="K1648" s="1"/>
      <c r="L1648" s="1"/>
    </row>
    <row r="1649" spans="1:12" s="32" customFormat="1" hidden="1" x14ac:dyDescent="0.3">
      <c r="A1649" s="37">
        <v>46126.485763888886</v>
      </c>
      <c r="B1649" s="1" t="s">
        <v>54</v>
      </c>
      <c r="C1649" s="1">
        <v>67999461163</v>
      </c>
      <c r="D1649" s="1"/>
      <c r="E1649" s="1">
        <v>22</v>
      </c>
      <c r="F1649" s="1">
        <v>2</v>
      </c>
      <c r="G1649" s="1" t="s">
        <v>38</v>
      </c>
      <c r="H1649" s="1" t="s">
        <v>641</v>
      </c>
      <c r="I1649" s="1" t="s">
        <v>46</v>
      </c>
      <c r="J1649" s="1" t="s">
        <v>55</v>
      </c>
      <c r="K1649" s="1"/>
      <c r="L1649" s="1"/>
    </row>
    <row r="1650" spans="1:12" s="32" customFormat="1" hidden="1" x14ac:dyDescent="0.3">
      <c r="A1650" s="37">
        <v>46126.484166666669</v>
      </c>
      <c r="B1650" s="1">
        <v>1004</v>
      </c>
      <c r="C1650" s="1">
        <v>42998221810</v>
      </c>
      <c r="D1650" s="1"/>
      <c r="E1650" s="1">
        <v>767</v>
      </c>
      <c r="F1650" s="1">
        <v>758</v>
      </c>
      <c r="G1650" s="1" t="s">
        <v>38</v>
      </c>
      <c r="H1650" s="1" t="s">
        <v>642</v>
      </c>
      <c r="I1650" s="1" t="s">
        <v>46</v>
      </c>
      <c r="J1650" s="1" t="s">
        <v>40</v>
      </c>
      <c r="K1650" s="1"/>
      <c r="L1650" s="1"/>
    </row>
    <row r="1651" spans="1:12" s="32" customFormat="1" hidden="1" x14ac:dyDescent="0.3">
      <c r="A1651" s="37">
        <v>46126.48128472222</v>
      </c>
      <c r="B1651" s="1">
        <v>42998221810</v>
      </c>
      <c r="C1651" s="1" t="s">
        <v>45</v>
      </c>
      <c r="D1651" s="1">
        <v>4430265054</v>
      </c>
      <c r="E1651" s="1">
        <v>207</v>
      </c>
      <c r="F1651" s="1">
        <v>75</v>
      </c>
      <c r="G1651" s="1" t="s">
        <v>38</v>
      </c>
      <c r="H1651" s="1" t="s">
        <v>643</v>
      </c>
      <c r="I1651" s="1" t="s">
        <v>39</v>
      </c>
      <c r="J1651" s="1" t="s">
        <v>40</v>
      </c>
      <c r="K1651" s="1" t="s">
        <v>41</v>
      </c>
      <c r="L1651" s="1"/>
    </row>
    <row r="1652" spans="1:12" s="32" customFormat="1" hidden="1" x14ac:dyDescent="0.3">
      <c r="A1652" s="37">
        <v>46126.480775462966</v>
      </c>
      <c r="B1652" s="1" t="s">
        <v>54</v>
      </c>
      <c r="C1652" s="1">
        <v>16992281475</v>
      </c>
      <c r="D1652" s="1"/>
      <c r="E1652" s="1">
        <v>33</v>
      </c>
      <c r="F1652" s="1">
        <v>0</v>
      </c>
      <c r="G1652" s="1" t="s">
        <v>47</v>
      </c>
      <c r="H1652" s="1" t="s">
        <v>644</v>
      </c>
      <c r="I1652" s="1" t="s">
        <v>46</v>
      </c>
      <c r="J1652" s="1" t="s">
        <v>55</v>
      </c>
      <c r="K1652" s="1"/>
      <c r="L1652" s="1"/>
    </row>
    <row r="1653" spans="1:12" s="32" customFormat="1" hidden="1" x14ac:dyDescent="0.3">
      <c r="A1653" s="37">
        <v>46126.480636574073</v>
      </c>
      <c r="B1653" s="1" t="s">
        <v>54</v>
      </c>
      <c r="C1653" s="1">
        <v>63992283301</v>
      </c>
      <c r="D1653" s="1"/>
      <c r="E1653" s="1">
        <v>1</v>
      </c>
      <c r="F1653" s="1">
        <v>0</v>
      </c>
      <c r="G1653" s="1" t="s">
        <v>47</v>
      </c>
      <c r="H1653" s="1" t="s">
        <v>645</v>
      </c>
      <c r="I1653" s="1" t="s">
        <v>46</v>
      </c>
      <c r="J1653" s="1" t="s">
        <v>55</v>
      </c>
      <c r="K1653" s="1"/>
      <c r="L1653" s="1"/>
    </row>
    <row r="1654" spans="1:12" s="32" customFormat="1" hidden="1" x14ac:dyDescent="0.3">
      <c r="A1654" s="37">
        <v>46126.479525462964</v>
      </c>
      <c r="B1654" s="1" t="s">
        <v>54</v>
      </c>
      <c r="C1654" s="1">
        <v>63992283301</v>
      </c>
      <c r="D1654" s="1"/>
      <c r="E1654" s="1">
        <v>39</v>
      </c>
      <c r="F1654" s="1">
        <v>0</v>
      </c>
      <c r="G1654" s="1" t="s">
        <v>47</v>
      </c>
      <c r="H1654" s="1" t="s">
        <v>646</v>
      </c>
      <c r="I1654" s="1" t="s">
        <v>46</v>
      </c>
      <c r="J1654" s="1" t="s">
        <v>55</v>
      </c>
      <c r="K1654" s="1"/>
      <c r="L1654" s="1"/>
    </row>
    <row r="1655" spans="1:12" s="32" customFormat="1" hidden="1" x14ac:dyDescent="0.3">
      <c r="A1655" s="37">
        <v>46126.474618055552</v>
      </c>
      <c r="B1655" s="1">
        <v>44988255390</v>
      </c>
      <c r="C1655" s="1" t="s">
        <v>37</v>
      </c>
      <c r="D1655" s="1">
        <v>4430265054</v>
      </c>
      <c r="E1655" s="1">
        <v>361</v>
      </c>
      <c r="F1655" s="1">
        <v>246</v>
      </c>
      <c r="G1655" s="1" t="s">
        <v>38</v>
      </c>
      <c r="H1655" s="1" t="s">
        <v>647</v>
      </c>
      <c r="I1655" s="1" t="s">
        <v>39</v>
      </c>
      <c r="J1655" s="1" t="s">
        <v>40</v>
      </c>
      <c r="K1655" s="1" t="s">
        <v>41</v>
      </c>
      <c r="L1655" s="1"/>
    </row>
    <row r="1656" spans="1:12" s="32" customFormat="1" hidden="1" x14ac:dyDescent="0.3">
      <c r="A1656" s="37">
        <v>46126.472361111111</v>
      </c>
      <c r="B1656" s="1" t="s">
        <v>54</v>
      </c>
      <c r="C1656" s="1">
        <v>81994010555</v>
      </c>
      <c r="D1656" s="1"/>
      <c r="E1656" s="1">
        <v>8</v>
      </c>
      <c r="F1656" s="1">
        <v>3</v>
      </c>
      <c r="G1656" s="1" t="s">
        <v>38</v>
      </c>
      <c r="H1656" s="1" t="s">
        <v>648</v>
      </c>
      <c r="I1656" s="1" t="s">
        <v>46</v>
      </c>
      <c r="J1656" s="1" t="s">
        <v>55</v>
      </c>
      <c r="K1656" s="1"/>
      <c r="L1656" s="1"/>
    </row>
    <row r="1657" spans="1:12" s="32" customFormat="1" hidden="1" x14ac:dyDescent="0.3">
      <c r="A1657" s="37">
        <v>46126.47084490741</v>
      </c>
      <c r="B1657" s="1">
        <v>44984361000</v>
      </c>
      <c r="C1657" s="1" t="s">
        <v>45</v>
      </c>
      <c r="D1657" s="1">
        <v>4430265054</v>
      </c>
      <c r="E1657" s="1">
        <v>600</v>
      </c>
      <c r="F1657" s="1">
        <v>545</v>
      </c>
      <c r="G1657" s="1" t="s">
        <v>38</v>
      </c>
      <c r="H1657" s="1" t="s">
        <v>649</v>
      </c>
      <c r="I1657" s="1" t="s">
        <v>39</v>
      </c>
      <c r="J1657" s="1" t="s">
        <v>40</v>
      </c>
      <c r="K1657" s="1" t="s">
        <v>41</v>
      </c>
      <c r="L1657" s="1">
        <v>5</v>
      </c>
    </row>
    <row r="1658" spans="1:12" s="32" customFormat="1" hidden="1" x14ac:dyDescent="0.3">
      <c r="A1658" s="37">
        <v>46126.46802083333</v>
      </c>
      <c r="B1658" s="1">
        <v>44997400641</v>
      </c>
      <c r="C1658" s="1" t="s">
        <v>44</v>
      </c>
      <c r="D1658" s="1">
        <v>4430265054</v>
      </c>
      <c r="E1658" s="1">
        <v>409</v>
      </c>
      <c r="F1658" s="1">
        <v>345</v>
      </c>
      <c r="G1658" s="1" t="s">
        <v>38</v>
      </c>
      <c r="H1658" s="1" t="s">
        <v>650</v>
      </c>
      <c r="I1658" s="1" t="s">
        <v>39</v>
      </c>
      <c r="J1658" s="1" t="s">
        <v>40</v>
      </c>
      <c r="K1658" s="1" t="s">
        <v>41</v>
      </c>
      <c r="L1658" s="1"/>
    </row>
    <row r="1659" spans="1:12" s="32" customFormat="1" hidden="1" x14ac:dyDescent="0.3">
      <c r="A1659" s="37">
        <v>46126.466851851852</v>
      </c>
      <c r="B1659" s="1">
        <v>83991061845</v>
      </c>
      <c r="C1659" s="1" t="s">
        <v>37</v>
      </c>
      <c r="D1659" s="1">
        <v>4430265054</v>
      </c>
      <c r="E1659" s="1">
        <v>545</v>
      </c>
      <c r="F1659" s="1">
        <v>527</v>
      </c>
      <c r="G1659" s="1" t="s">
        <v>38</v>
      </c>
      <c r="H1659" s="1" t="s">
        <v>651</v>
      </c>
      <c r="I1659" s="1" t="s">
        <v>39</v>
      </c>
      <c r="J1659" s="1" t="s">
        <v>40</v>
      </c>
      <c r="K1659" s="1" t="s">
        <v>41</v>
      </c>
      <c r="L1659" s="1"/>
    </row>
    <row r="1660" spans="1:12" s="32" customFormat="1" hidden="1" x14ac:dyDescent="0.3">
      <c r="A1660" s="37">
        <v>46126.462268518517</v>
      </c>
      <c r="B1660" s="1" t="s">
        <v>43</v>
      </c>
      <c r="C1660" s="1">
        <v>4436293259</v>
      </c>
      <c r="D1660" s="1"/>
      <c r="E1660" s="1">
        <v>257</v>
      </c>
      <c r="F1660" s="1">
        <v>247</v>
      </c>
      <c r="G1660" s="1" t="s">
        <v>38</v>
      </c>
      <c r="H1660" s="1" t="s">
        <v>652</v>
      </c>
      <c r="I1660" s="1" t="s">
        <v>46</v>
      </c>
      <c r="J1660" s="1" t="s">
        <v>40</v>
      </c>
      <c r="K1660" s="1"/>
      <c r="L1660" s="1"/>
    </row>
    <row r="1661" spans="1:12" s="32" customFormat="1" hidden="1" x14ac:dyDescent="0.3">
      <c r="A1661" s="37">
        <v>46126.462210648147</v>
      </c>
      <c r="B1661" s="1" t="s">
        <v>43</v>
      </c>
      <c r="C1661" s="1">
        <v>4436293259</v>
      </c>
      <c r="D1661" s="1"/>
      <c r="E1661" s="1">
        <v>25</v>
      </c>
      <c r="F1661" s="1">
        <v>25</v>
      </c>
      <c r="G1661" s="1" t="s">
        <v>38</v>
      </c>
      <c r="H1661" s="1" t="s">
        <v>653</v>
      </c>
      <c r="I1661" s="1" t="s">
        <v>46</v>
      </c>
      <c r="J1661" s="1" t="s">
        <v>40</v>
      </c>
      <c r="K1661" s="1"/>
      <c r="L1661" s="1"/>
    </row>
    <row r="1662" spans="1:12" s="32" customFormat="1" hidden="1" x14ac:dyDescent="0.3">
      <c r="A1662" s="37">
        <v>46126.461817129632</v>
      </c>
      <c r="B1662" s="1">
        <v>4430286521</v>
      </c>
      <c r="C1662" s="1" t="s">
        <v>42</v>
      </c>
      <c r="D1662" s="1">
        <v>4430265054</v>
      </c>
      <c r="E1662" s="1">
        <v>735</v>
      </c>
      <c r="F1662" s="1">
        <v>619</v>
      </c>
      <c r="G1662" s="1" t="s">
        <v>38</v>
      </c>
      <c r="H1662" s="1" t="s">
        <v>654</v>
      </c>
      <c r="I1662" s="1" t="s">
        <v>39</v>
      </c>
      <c r="J1662" s="1" t="s">
        <v>40</v>
      </c>
      <c r="K1662" s="1" t="s">
        <v>41</v>
      </c>
      <c r="L1662" s="1"/>
    </row>
    <row r="1663" spans="1:12" s="32" customFormat="1" hidden="1" x14ac:dyDescent="0.3">
      <c r="A1663" s="37">
        <v>46126.461678240739</v>
      </c>
      <c r="B1663" s="1" t="s">
        <v>54</v>
      </c>
      <c r="C1663" s="1">
        <v>92999819200</v>
      </c>
      <c r="D1663" s="1"/>
      <c r="E1663" s="1">
        <v>29</v>
      </c>
      <c r="F1663" s="1">
        <v>7</v>
      </c>
      <c r="G1663" s="1" t="s">
        <v>38</v>
      </c>
      <c r="H1663" s="1" t="s">
        <v>655</v>
      </c>
      <c r="I1663" s="1" t="s">
        <v>46</v>
      </c>
      <c r="J1663" s="1" t="s">
        <v>55</v>
      </c>
      <c r="K1663" s="1"/>
      <c r="L1663" s="1"/>
    </row>
    <row r="1664" spans="1:12" s="32" customFormat="1" hidden="1" x14ac:dyDescent="0.3">
      <c r="A1664" s="37">
        <v>46126.460659722223</v>
      </c>
      <c r="B1664" s="1" t="s">
        <v>54</v>
      </c>
      <c r="C1664" s="1">
        <v>86999860155</v>
      </c>
      <c r="D1664" s="1"/>
      <c r="E1664" s="1">
        <v>20</v>
      </c>
      <c r="F1664" s="1">
        <v>3</v>
      </c>
      <c r="G1664" s="1" t="s">
        <v>38</v>
      </c>
      <c r="H1664" s="1" t="s">
        <v>656</v>
      </c>
      <c r="I1664" s="1" t="s">
        <v>46</v>
      </c>
      <c r="J1664" s="1" t="s">
        <v>55</v>
      </c>
      <c r="K1664" s="1"/>
      <c r="L1664" s="1"/>
    </row>
    <row r="1665" spans="1:12" s="32" customFormat="1" hidden="1" x14ac:dyDescent="0.3">
      <c r="A1665" s="37">
        <v>46126.46</v>
      </c>
      <c r="B1665" s="1" t="s">
        <v>45</v>
      </c>
      <c r="C1665" s="1">
        <v>4435221208</v>
      </c>
      <c r="D1665" s="1"/>
      <c r="E1665" s="1">
        <v>82</v>
      </c>
      <c r="F1665" s="1">
        <v>69</v>
      </c>
      <c r="G1665" s="1" t="s">
        <v>38</v>
      </c>
      <c r="H1665" s="1" t="s">
        <v>657</v>
      </c>
      <c r="I1665" s="1" t="s">
        <v>46</v>
      </c>
      <c r="J1665" s="1" t="s">
        <v>40</v>
      </c>
      <c r="K1665" s="1"/>
      <c r="L1665" s="1"/>
    </row>
    <row r="1666" spans="1:12" s="32" customFormat="1" hidden="1" x14ac:dyDescent="0.3">
      <c r="A1666" s="37">
        <v>46126.459618055553</v>
      </c>
      <c r="B1666" s="1" t="s">
        <v>54</v>
      </c>
      <c r="C1666" s="1">
        <v>15991363217</v>
      </c>
      <c r="D1666" s="1"/>
      <c r="E1666" s="1">
        <v>56</v>
      </c>
      <c r="F1666" s="1">
        <v>14</v>
      </c>
      <c r="G1666" s="1" t="s">
        <v>38</v>
      </c>
      <c r="H1666" s="1" t="s">
        <v>658</v>
      </c>
      <c r="I1666" s="1" t="s">
        <v>46</v>
      </c>
      <c r="J1666" s="1" t="s">
        <v>55</v>
      </c>
      <c r="K1666" s="1"/>
      <c r="L1666" s="1"/>
    </row>
    <row r="1667" spans="1:12" s="32" customFormat="1" hidden="1" x14ac:dyDescent="0.3">
      <c r="A1667" s="37">
        <v>46126.458541666667</v>
      </c>
      <c r="B1667" s="1" t="s">
        <v>54</v>
      </c>
      <c r="C1667" s="1">
        <v>43996711406</v>
      </c>
      <c r="D1667" s="1"/>
      <c r="E1667" s="1">
        <v>18</v>
      </c>
      <c r="F1667" s="1">
        <v>0</v>
      </c>
      <c r="G1667" s="1" t="s">
        <v>47</v>
      </c>
      <c r="H1667" s="1" t="s">
        <v>659</v>
      </c>
      <c r="I1667" s="1" t="s">
        <v>46</v>
      </c>
      <c r="J1667" s="1" t="s">
        <v>55</v>
      </c>
      <c r="K1667" s="1"/>
      <c r="L1667" s="1"/>
    </row>
    <row r="1668" spans="1:12" s="32" customFormat="1" hidden="1" x14ac:dyDescent="0.3">
      <c r="A1668" s="37">
        <v>46126.457881944443</v>
      </c>
      <c r="B1668" s="1">
        <v>44998890329</v>
      </c>
      <c r="C1668" s="1">
        <v>4430265054</v>
      </c>
      <c r="D1668" s="1">
        <v>4430265054</v>
      </c>
      <c r="E1668" s="1">
        <v>31</v>
      </c>
      <c r="F1668" s="1">
        <v>31</v>
      </c>
      <c r="G1668" s="1" t="s">
        <v>52</v>
      </c>
      <c r="H1668" s="1" t="s">
        <v>660</v>
      </c>
      <c r="I1668" s="1" t="s">
        <v>39</v>
      </c>
      <c r="J1668" s="1" t="s">
        <v>53</v>
      </c>
      <c r="K1668" s="1" t="s">
        <v>41</v>
      </c>
      <c r="L1668" s="1"/>
    </row>
    <row r="1669" spans="1:12" s="32" customFormat="1" hidden="1" x14ac:dyDescent="0.3">
      <c r="A1669" s="37">
        <v>46126.45752314815</v>
      </c>
      <c r="B1669" s="1" t="s">
        <v>54</v>
      </c>
      <c r="C1669" s="1">
        <v>86994707542</v>
      </c>
      <c r="D1669" s="1"/>
      <c r="E1669" s="1">
        <v>17</v>
      </c>
      <c r="F1669" s="1">
        <v>7</v>
      </c>
      <c r="G1669" s="1" t="s">
        <v>38</v>
      </c>
      <c r="H1669" s="1" t="s">
        <v>661</v>
      </c>
      <c r="I1669" s="1" t="s">
        <v>46</v>
      </c>
      <c r="J1669" s="1" t="s">
        <v>55</v>
      </c>
      <c r="K1669" s="1"/>
      <c r="L1669" s="1"/>
    </row>
    <row r="1670" spans="1:12" s="32" customFormat="1" hidden="1" x14ac:dyDescent="0.3">
      <c r="A1670" s="37">
        <v>46126.457013888888</v>
      </c>
      <c r="B1670" s="1" t="s">
        <v>54</v>
      </c>
      <c r="C1670" s="1">
        <v>71999371383</v>
      </c>
      <c r="D1670" s="1"/>
      <c r="E1670" s="1">
        <v>1</v>
      </c>
      <c r="F1670" s="1">
        <v>0</v>
      </c>
      <c r="G1670" s="1" t="s">
        <v>47</v>
      </c>
      <c r="H1670" s="1" t="s">
        <v>662</v>
      </c>
      <c r="I1670" s="1" t="s">
        <v>46</v>
      </c>
      <c r="J1670" s="1" t="s">
        <v>55</v>
      </c>
      <c r="K1670" s="1"/>
      <c r="L1670" s="1"/>
    </row>
    <row r="1671" spans="1:12" s="32" customFormat="1" hidden="1" x14ac:dyDescent="0.3">
      <c r="A1671" s="37">
        <v>46126.455289351848</v>
      </c>
      <c r="B1671" s="1" t="s">
        <v>45</v>
      </c>
      <c r="C1671" s="1">
        <v>4435221208</v>
      </c>
      <c r="D1671" s="1"/>
      <c r="E1671" s="1">
        <v>261</v>
      </c>
      <c r="F1671" s="1">
        <v>249</v>
      </c>
      <c r="G1671" s="1" t="s">
        <v>38</v>
      </c>
      <c r="H1671" s="1" t="s">
        <v>663</v>
      </c>
      <c r="I1671" s="1" t="s">
        <v>46</v>
      </c>
      <c r="J1671" s="1" t="s">
        <v>40</v>
      </c>
      <c r="K1671" s="1"/>
      <c r="L1671" s="1"/>
    </row>
    <row r="1672" spans="1:12" s="32" customFormat="1" hidden="1" x14ac:dyDescent="0.3">
      <c r="A1672" s="37">
        <v>46126.454560185186</v>
      </c>
      <c r="B1672" s="1" t="s">
        <v>45</v>
      </c>
      <c r="C1672" s="1">
        <v>44998032021</v>
      </c>
      <c r="D1672" s="1"/>
      <c r="E1672" s="1">
        <v>35</v>
      </c>
      <c r="F1672" s="1">
        <v>33</v>
      </c>
      <c r="G1672" s="1" t="s">
        <v>38</v>
      </c>
      <c r="H1672" s="1" t="s">
        <v>664</v>
      </c>
      <c r="I1672" s="1" t="s">
        <v>46</v>
      </c>
      <c r="J1672" s="1" t="s">
        <v>40</v>
      </c>
      <c r="K1672" s="1"/>
      <c r="L1672" s="1"/>
    </row>
    <row r="1673" spans="1:12" s="32" customFormat="1" hidden="1" x14ac:dyDescent="0.3">
      <c r="A1673" s="37">
        <v>46126.454444444447</v>
      </c>
      <c r="B1673" s="1" t="s">
        <v>45</v>
      </c>
      <c r="C1673" s="1">
        <v>44998032021</v>
      </c>
      <c r="D1673" s="1"/>
      <c r="E1673" s="1">
        <v>25</v>
      </c>
      <c r="F1673" s="1">
        <v>25</v>
      </c>
      <c r="G1673" s="1" t="s">
        <v>38</v>
      </c>
      <c r="H1673" s="1" t="s">
        <v>665</v>
      </c>
      <c r="I1673" s="1" t="s">
        <v>46</v>
      </c>
      <c r="J1673" s="1" t="s">
        <v>40</v>
      </c>
      <c r="K1673" s="1"/>
      <c r="L1673" s="1"/>
    </row>
    <row r="1674" spans="1:12" s="32" customFormat="1" hidden="1" x14ac:dyDescent="0.3">
      <c r="A1674" s="37">
        <v>46126.45034722222</v>
      </c>
      <c r="B1674" s="1" t="s">
        <v>54</v>
      </c>
      <c r="C1674" s="1">
        <v>51999660650</v>
      </c>
      <c r="D1674" s="1"/>
      <c r="E1674" s="1">
        <v>14</v>
      </c>
      <c r="F1674" s="1">
        <v>0</v>
      </c>
      <c r="G1674" s="1" t="s">
        <v>47</v>
      </c>
      <c r="H1674" s="1" t="s">
        <v>666</v>
      </c>
      <c r="I1674" s="1" t="s">
        <v>46</v>
      </c>
      <c r="J1674" s="1" t="s">
        <v>55</v>
      </c>
      <c r="K1674" s="1"/>
      <c r="L1674" s="1"/>
    </row>
    <row r="1675" spans="1:12" s="32" customFormat="1" hidden="1" x14ac:dyDescent="0.3">
      <c r="A1675" s="37">
        <v>46126.449108796296</v>
      </c>
      <c r="B1675" s="1">
        <v>44999743444</v>
      </c>
      <c r="C1675" s="1" t="s">
        <v>37</v>
      </c>
      <c r="D1675" s="1">
        <v>4430265054</v>
      </c>
      <c r="E1675" s="1">
        <v>1159</v>
      </c>
      <c r="F1675" s="1">
        <v>1100</v>
      </c>
      <c r="G1675" s="1" t="s">
        <v>38</v>
      </c>
      <c r="H1675" s="1" t="s">
        <v>667</v>
      </c>
      <c r="I1675" s="1" t="s">
        <v>39</v>
      </c>
      <c r="J1675" s="1" t="s">
        <v>40</v>
      </c>
      <c r="K1675" s="1" t="s">
        <v>41</v>
      </c>
      <c r="L1675" s="1"/>
    </row>
    <row r="1676" spans="1:12" s="32" customFormat="1" hidden="1" x14ac:dyDescent="0.3">
      <c r="A1676" s="37">
        <v>46126.447962962964</v>
      </c>
      <c r="B1676" s="1">
        <v>67992613909</v>
      </c>
      <c r="C1676" s="1" t="s">
        <v>43</v>
      </c>
      <c r="D1676" s="1">
        <v>4430265054</v>
      </c>
      <c r="E1676" s="1">
        <v>226</v>
      </c>
      <c r="F1676" s="1">
        <v>178</v>
      </c>
      <c r="G1676" s="1" t="s">
        <v>38</v>
      </c>
      <c r="H1676" s="1" t="s">
        <v>668</v>
      </c>
      <c r="I1676" s="1" t="s">
        <v>39</v>
      </c>
      <c r="J1676" s="1" t="s">
        <v>40</v>
      </c>
      <c r="K1676" s="1" t="s">
        <v>41</v>
      </c>
      <c r="L1676" s="1">
        <v>5</v>
      </c>
    </row>
    <row r="1677" spans="1:12" s="32" customFormat="1" hidden="1" x14ac:dyDescent="0.3">
      <c r="A1677" s="37">
        <v>46126.446423611109</v>
      </c>
      <c r="B1677" s="1">
        <v>44984361000</v>
      </c>
      <c r="C1677" s="1" t="s">
        <v>42</v>
      </c>
      <c r="D1677" s="1">
        <v>4430265054</v>
      </c>
      <c r="E1677" s="1">
        <v>444</v>
      </c>
      <c r="F1677" s="1">
        <v>390</v>
      </c>
      <c r="G1677" s="1" t="s">
        <v>38</v>
      </c>
      <c r="H1677" s="1" t="s">
        <v>669</v>
      </c>
      <c r="I1677" s="1" t="s">
        <v>39</v>
      </c>
      <c r="J1677" s="1" t="s">
        <v>40</v>
      </c>
      <c r="K1677" s="1" t="s">
        <v>41</v>
      </c>
      <c r="L1677" s="1"/>
    </row>
    <row r="1678" spans="1:12" s="32" customFormat="1" hidden="1" x14ac:dyDescent="0.3">
      <c r="A1678" s="37">
        <v>46126.443854166668</v>
      </c>
      <c r="B1678" s="1" t="s">
        <v>54</v>
      </c>
      <c r="C1678" s="1">
        <v>85994096438</v>
      </c>
      <c r="D1678" s="1"/>
      <c r="E1678" s="1">
        <v>33</v>
      </c>
      <c r="F1678" s="1">
        <v>9</v>
      </c>
      <c r="G1678" s="1" t="s">
        <v>38</v>
      </c>
      <c r="H1678" s="1" t="s">
        <v>670</v>
      </c>
      <c r="I1678" s="1" t="s">
        <v>46</v>
      </c>
      <c r="J1678" s="1" t="s">
        <v>55</v>
      </c>
      <c r="K1678" s="1"/>
      <c r="L1678" s="1"/>
    </row>
    <row r="1679" spans="1:12" s="32" customFormat="1" hidden="1" x14ac:dyDescent="0.3">
      <c r="A1679" s="37">
        <v>46126.443101851852</v>
      </c>
      <c r="B1679" s="1" t="s">
        <v>54</v>
      </c>
      <c r="C1679" s="1">
        <v>61985580746</v>
      </c>
      <c r="D1679" s="1"/>
      <c r="E1679" s="1">
        <v>8</v>
      </c>
      <c r="F1679" s="1">
        <v>0</v>
      </c>
      <c r="G1679" s="1" t="s">
        <v>47</v>
      </c>
      <c r="H1679" s="1" t="s">
        <v>671</v>
      </c>
      <c r="I1679" s="1" t="s">
        <v>46</v>
      </c>
      <c r="J1679" s="1" t="s">
        <v>55</v>
      </c>
      <c r="K1679" s="1"/>
      <c r="L1679" s="1"/>
    </row>
    <row r="1680" spans="1:12" s="32" customFormat="1" hidden="1" x14ac:dyDescent="0.3">
      <c r="A1680" s="37">
        <v>46126.438483796293</v>
      </c>
      <c r="B1680" s="1" t="s">
        <v>54</v>
      </c>
      <c r="C1680" s="1">
        <v>65999181374</v>
      </c>
      <c r="D1680" s="1"/>
      <c r="E1680" s="1">
        <v>45</v>
      </c>
      <c r="F1680" s="1">
        <v>8</v>
      </c>
      <c r="G1680" s="1" t="s">
        <v>38</v>
      </c>
      <c r="H1680" s="1" t="s">
        <v>672</v>
      </c>
      <c r="I1680" s="1" t="s">
        <v>46</v>
      </c>
      <c r="J1680" s="1" t="s">
        <v>55</v>
      </c>
      <c r="K1680" s="1"/>
      <c r="L1680" s="1"/>
    </row>
    <row r="1681" spans="1:12" s="32" customFormat="1" hidden="1" x14ac:dyDescent="0.3">
      <c r="A1681" s="37">
        <v>46126.438136574077</v>
      </c>
      <c r="B1681" s="1">
        <v>4430450103</v>
      </c>
      <c r="C1681" s="1" t="s">
        <v>44</v>
      </c>
      <c r="D1681" s="1">
        <v>4430265054</v>
      </c>
      <c r="E1681" s="1">
        <v>1077</v>
      </c>
      <c r="F1681" s="1">
        <v>1004</v>
      </c>
      <c r="G1681" s="1" t="s">
        <v>38</v>
      </c>
      <c r="H1681" s="1" t="s">
        <v>673</v>
      </c>
      <c r="I1681" s="1" t="s">
        <v>39</v>
      </c>
      <c r="J1681" s="1" t="s">
        <v>40</v>
      </c>
      <c r="K1681" s="1" t="s">
        <v>41</v>
      </c>
      <c r="L1681" s="1">
        <v>5</v>
      </c>
    </row>
    <row r="1682" spans="1:12" s="32" customFormat="1" hidden="1" x14ac:dyDescent="0.3">
      <c r="A1682" s="37">
        <v>46126.437615740739</v>
      </c>
      <c r="B1682" s="1" t="s">
        <v>54</v>
      </c>
      <c r="C1682" s="1">
        <v>51992807254</v>
      </c>
      <c r="D1682" s="1"/>
      <c r="E1682" s="1">
        <v>10</v>
      </c>
      <c r="F1682" s="1">
        <v>0</v>
      </c>
      <c r="G1682" s="1" t="s">
        <v>47</v>
      </c>
      <c r="H1682" s="1" t="s">
        <v>674</v>
      </c>
      <c r="I1682" s="1" t="s">
        <v>46</v>
      </c>
      <c r="J1682" s="1" t="s">
        <v>55</v>
      </c>
      <c r="K1682" s="1"/>
      <c r="L1682" s="1"/>
    </row>
    <row r="1683" spans="1:12" s="32" customFormat="1" hidden="1" x14ac:dyDescent="0.3">
      <c r="A1683" s="37">
        <v>46126.436782407407</v>
      </c>
      <c r="B1683" s="1">
        <v>44999632141</v>
      </c>
      <c r="C1683" s="1" t="s">
        <v>43</v>
      </c>
      <c r="D1683" s="1">
        <v>4430265054</v>
      </c>
      <c r="E1683" s="1">
        <v>500</v>
      </c>
      <c r="F1683" s="1">
        <v>475</v>
      </c>
      <c r="G1683" s="1" t="s">
        <v>38</v>
      </c>
      <c r="H1683" s="1" t="s">
        <v>675</v>
      </c>
      <c r="I1683" s="1" t="s">
        <v>39</v>
      </c>
      <c r="J1683" s="1" t="s">
        <v>40</v>
      </c>
      <c r="K1683" s="1" t="s">
        <v>41</v>
      </c>
      <c r="L1683" s="1">
        <v>5</v>
      </c>
    </row>
    <row r="1684" spans="1:12" s="32" customFormat="1" hidden="1" x14ac:dyDescent="0.3">
      <c r="A1684" s="37">
        <v>46126.436388888891</v>
      </c>
      <c r="B1684" s="1">
        <v>44998890329</v>
      </c>
      <c r="C1684" s="1" t="s">
        <v>45</v>
      </c>
      <c r="D1684" s="1">
        <v>4430265054</v>
      </c>
      <c r="E1684" s="1">
        <v>1001</v>
      </c>
      <c r="F1684" s="1">
        <v>948</v>
      </c>
      <c r="G1684" s="1" t="s">
        <v>38</v>
      </c>
      <c r="H1684" s="1" t="s">
        <v>676</v>
      </c>
      <c r="I1684" s="1" t="s">
        <v>39</v>
      </c>
      <c r="J1684" s="1" t="s">
        <v>40</v>
      </c>
      <c r="K1684" s="1" t="s">
        <v>41</v>
      </c>
      <c r="L1684" s="1"/>
    </row>
    <row r="1685" spans="1:12" s="32" customFormat="1" hidden="1" x14ac:dyDescent="0.3">
      <c r="A1685" s="37">
        <v>46126.431041666663</v>
      </c>
      <c r="B1685" s="1">
        <v>44998464499</v>
      </c>
      <c r="C1685" s="1" t="s">
        <v>45</v>
      </c>
      <c r="D1685" s="1">
        <v>4430265054</v>
      </c>
      <c r="E1685" s="1">
        <v>423</v>
      </c>
      <c r="F1685" s="1">
        <v>401</v>
      </c>
      <c r="G1685" s="1" t="s">
        <v>38</v>
      </c>
      <c r="H1685" s="1" t="s">
        <v>677</v>
      </c>
      <c r="I1685" s="1" t="s">
        <v>39</v>
      </c>
      <c r="J1685" s="1" t="s">
        <v>40</v>
      </c>
      <c r="K1685" s="1" t="s">
        <v>41</v>
      </c>
      <c r="L1685" s="1">
        <v>5</v>
      </c>
    </row>
    <row r="1686" spans="1:12" s="32" customFormat="1" hidden="1" x14ac:dyDescent="0.3">
      <c r="A1686" s="37">
        <v>46126.426342592589</v>
      </c>
      <c r="B1686" s="1">
        <v>4432641415</v>
      </c>
      <c r="C1686" s="1" t="s">
        <v>42</v>
      </c>
      <c r="D1686" s="1">
        <v>4430265054</v>
      </c>
      <c r="E1686" s="1">
        <v>553</v>
      </c>
      <c r="F1686" s="1">
        <v>490</v>
      </c>
      <c r="G1686" s="1" t="s">
        <v>38</v>
      </c>
      <c r="H1686" s="1" t="s">
        <v>678</v>
      </c>
      <c r="I1686" s="1" t="s">
        <v>39</v>
      </c>
      <c r="J1686" s="1" t="s">
        <v>40</v>
      </c>
      <c r="K1686" s="1" t="s">
        <v>41</v>
      </c>
      <c r="L1686" s="1">
        <v>4</v>
      </c>
    </row>
    <row r="1687" spans="1:12" s="32" customFormat="1" hidden="1" x14ac:dyDescent="0.3">
      <c r="A1687" s="37">
        <v>46126.425625000003</v>
      </c>
      <c r="B1687" s="1" t="s">
        <v>54</v>
      </c>
      <c r="C1687" s="1">
        <v>67998280092</v>
      </c>
      <c r="D1687" s="1"/>
      <c r="E1687" s="1">
        <v>12</v>
      </c>
      <c r="F1687" s="1">
        <v>2</v>
      </c>
      <c r="G1687" s="1" t="s">
        <v>38</v>
      </c>
      <c r="H1687" s="1" t="s">
        <v>679</v>
      </c>
      <c r="I1687" s="1" t="s">
        <v>46</v>
      </c>
      <c r="J1687" s="1" t="s">
        <v>55</v>
      </c>
      <c r="K1687" s="1"/>
      <c r="L1687" s="1"/>
    </row>
    <row r="1688" spans="1:12" s="32" customFormat="1" hidden="1" x14ac:dyDescent="0.3">
      <c r="A1688" s="37">
        <v>46126.424872685187</v>
      </c>
      <c r="B1688" s="1">
        <v>44999267282</v>
      </c>
      <c r="C1688" s="1" t="s">
        <v>42</v>
      </c>
      <c r="D1688" s="1">
        <v>4430265054</v>
      </c>
      <c r="E1688" s="1">
        <v>53</v>
      </c>
      <c r="F1688" s="1">
        <v>14</v>
      </c>
      <c r="G1688" s="1" t="s">
        <v>38</v>
      </c>
      <c r="H1688" s="1" t="s">
        <v>680</v>
      </c>
      <c r="I1688" s="1" t="s">
        <v>39</v>
      </c>
      <c r="J1688" s="1" t="s">
        <v>40</v>
      </c>
      <c r="K1688" s="1" t="s">
        <v>41</v>
      </c>
      <c r="L1688" s="1"/>
    </row>
    <row r="1689" spans="1:12" s="32" customFormat="1" hidden="1" x14ac:dyDescent="0.3">
      <c r="A1689" s="37">
        <v>46126.424340277779</v>
      </c>
      <c r="B1689" s="1">
        <v>44999743444</v>
      </c>
      <c r="C1689" s="1">
        <v>4430265054</v>
      </c>
      <c r="D1689" s="1">
        <v>4430265054</v>
      </c>
      <c r="E1689" s="1">
        <v>44</v>
      </c>
      <c r="F1689" s="1">
        <v>43</v>
      </c>
      <c r="G1689" s="1" t="s">
        <v>52</v>
      </c>
      <c r="H1689" s="1" t="s">
        <v>681</v>
      </c>
      <c r="I1689" s="1" t="s">
        <v>39</v>
      </c>
      <c r="J1689" s="1" t="s">
        <v>53</v>
      </c>
      <c r="K1689" s="1" t="s">
        <v>41</v>
      </c>
      <c r="L1689" s="1"/>
    </row>
    <row r="1690" spans="1:12" s="32" customFormat="1" hidden="1" x14ac:dyDescent="0.3">
      <c r="A1690" s="37">
        <v>46126.422766203701</v>
      </c>
      <c r="B1690" s="1">
        <v>42998221810</v>
      </c>
      <c r="C1690" s="1" t="s">
        <v>43</v>
      </c>
      <c r="D1690" s="1">
        <v>4430265054</v>
      </c>
      <c r="E1690" s="1">
        <v>510</v>
      </c>
      <c r="F1690" s="1">
        <v>418</v>
      </c>
      <c r="G1690" s="1" t="s">
        <v>38</v>
      </c>
      <c r="H1690" s="1" t="s">
        <v>682</v>
      </c>
      <c r="I1690" s="1" t="s">
        <v>39</v>
      </c>
      <c r="J1690" s="1" t="s">
        <v>40</v>
      </c>
      <c r="K1690" s="1" t="s">
        <v>41</v>
      </c>
      <c r="L1690" s="1"/>
    </row>
    <row r="1691" spans="1:12" s="32" customFormat="1" hidden="1" x14ac:dyDescent="0.3">
      <c r="A1691" s="37">
        <v>46126.420775462961</v>
      </c>
      <c r="B1691" s="1" t="s">
        <v>37</v>
      </c>
      <c r="C1691" s="1">
        <v>4436293259</v>
      </c>
      <c r="D1691" s="1"/>
      <c r="E1691" s="1">
        <v>1432</v>
      </c>
      <c r="F1691" s="1">
        <v>1425</v>
      </c>
      <c r="G1691" s="1" t="s">
        <v>38</v>
      </c>
      <c r="H1691" s="1" t="s">
        <v>683</v>
      </c>
      <c r="I1691" s="1" t="s">
        <v>46</v>
      </c>
      <c r="J1691" s="1" t="s">
        <v>40</v>
      </c>
      <c r="K1691" s="1"/>
      <c r="L1691" s="1"/>
    </row>
    <row r="1692" spans="1:12" s="32" customFormat="1" hidden="1" x14ac:dyDescent="0.3">
      <c r="A1692" s="37">
        <v>46126.420601851853</v>
      </c>
      <c r="B1692" s="1" t="s">
        <v>37</v>
      </c>
      <c r="C1692" s="1">
        <v>2222100098</v>
      </c>
      <c r="D1692" s="1"/>
      <c r="E1692" s="1">
        <v>5</v>
      </c>
      <c r="F1692" s="1">
        <v>0</v>
      </c>
      <c r="G1692" s="1" t="s">
        <v>47</v>
      </c>
      <c r="H1692" s="1" t="s">
        <v>684</v>
      </c>
      <c r="I1692" s="1" t="s">
        <v>46</v>
      </c>
      <c r="J1692" s="1" t="s">
        <v>40</v>
      </c>
      <c r="K1692" s="1"/>
      <c r="L1692" s="1"/>
    </row>
    <row r="1693" spans="1:12" s="32" customFormat="1" hidden="1" x14ac:dyDescent="0.3">
      <c r="A1693" s="37">
        <v>46126.420092592591</v>
      </c>
      <c r="B1693" s="1" t="s">
        <v>54</v>
      </c>
      <c r="C1693" s="1">
        <v>92984115254</v>
      </c>
      <c r="D1693" s="1"/>
      <c r="E1693" s="1">
        <v>22</v>
      </c>
      <c r="F1693" s="1">
        <v>0</v>
      </c>
      <c r="G1693" s="1" t="s">
        <v>47</v>
      </c>
      <c r="H1693" s="1" t="s">
        <v>685</v>
      </c>
      <c r="I1693" s="1" t="s">
        <v>46</v>
      </c>
      <c r="J1693" s="1" t="s">
        <v>55</v>
      </c>
      <c r="K1693" s="1"/>
      <c r="L1693" s="1"/>
    </row>
    <row r="1694" spans="1:12" s="32" customFormat="1" hidden="1" x14ac:dyDescent="0.3">
      <c r="A1694" s="37">
        <v>46126.41909722222</v>
      </c>
      <c r="B1694" s="1" t="s">
        <v>54</v>
      </c>
      <c r="C1694" s="1">
        <v>4330470020</v>
      </c>
      <c r="D1694" s="1"/>
      <c r="E1694" s="1">
        <v>1</v>
      </c>
      <c r="F1694" s="1">
        <v>0</v>
      </c>
      <c r="G1694" s="1" t="s">
        <v>47</v>
      </c>
      <c r="H1694" s="1" t="s">
        <v>686</v>
      </c>
      <c r="I1694" s="1" t="s">
        <v>46</v>
      </c>
      <c r="J1694" s="1" t="s">
        <v>55</v>
      </c>
      <c r="K1694" s="1"/>
      <c r="L1694" s="1"/>
    </row>
    <row r="1695" spans="1:12" s="32" customFormat="1" hidden="1" x14ac:dyDescent="0.3">
      <c r="A1695" s="37">
        <v>46126.418599537035</v>
      </c>
      <c r="B1695" s="1" t="s">
        <v>48</v>
      </c>
      <c r="C1695" s="1">
        <v>1732146970</v>
      </c>
      <c r="D1695" s="1"/>
      <c r="E1695" s="1">
        <v>289</v>
      </c>
      <c r="F1695" s="1">
        <v>288</v>
      </c>
      <c r="G1695" s="1" t="s">
        <v>38</v>
      </c>
      <c r="H1695" s="1" t="s">
        <v>687</v>
      </c>
      <c r="I1695" s="1" t="s">
        <v>46</v>
      </c>
      <c r="J1695" s="1" t="s">
        <v>40</v>
      </c>
      <c r="K1695" s="1"/>
      <c r="L1695" s="1"/>
    </row>
    <row r="1696" spans="1:12" s="32" customFormat="1" hidden="1" x14ac:dyDescent="0.3">
      <c r="A1696" s="37">
        <v>46126.418483796297</v>
      </c>
      <c r="B1696" s="1" t="s">
        <v>54</v>
      </c>
      <c r="C1696" s="1">
        <v>43996203142</v>
      </c>
      <c r="D1696" s="1"/>
      <c r="E1696" s="1">
        <v>20</v>
      </c>
      <c r="F1696" s="1">
        <v>0</v>
      </c>
      <c r="G1696" s="1" t="s">
        <v>47</v>
      </c>
      <c r="H1696" s="1" t="s">
        <v>688</v>
      </c>
      <c r="I1696" s="1" t="s">
        <v>46</v>
      </c>
      <c r="J1696" s="1" t="s">
        <v>55</v>
      </c>
      <c r="K1696" s="1"/>
      <c r="L1696" s="1"/>
    </row>
    <row r="1697" spans="1:12" s="32" customFormat="1" hidden="1" x14ac:dyDescent="0.3">
      <c r="A1697" s="37">
        <v>46126.416678240741</v>
      </c>
      <c r="B1697" s="1" t="s">
        <v>54</v>
      </c>
      <c r="C1697" s="1">
        <v>48999168637</v>
      </c>
      <c r="D1697" s="1"/>
      <c r="E1697" s="1">
        <v>11</v>
      </c>
      <c r="F1697" s="1">
        <v>1</v>
      </c>
      <c r="G1697" s="1" t="s">
        <v>38</v>
      </c>
      <c r="H1697" s="1" t="s">
        <v>689</v>
      </c>
      <c r="I1697" s="1" t="s">
        <v>46</v>
      </c>
      <c r="J1697" s="1" t="s">
        <v>55</v>
      </c>
      <c r="K1697" s="1"/>
      <c r="L1697" s="1"/>
    </row>
    <row r="1698" spans="1:12" s="32" customFormat="1" hidden="1" x14ac:dyDescent="0.3">
      <c r="A1698" s="37">
        <v>46126.415717592594</v>
      </c>
      <c r="B1698" s="1">
        <v>44997343311</v>
      </c>
      <c r="C1698" s="1" t="s">
        <v>43</v>
      </c>
      <c r="D1698" s="1">
        <v>4430265054</v>
      </c>
      <c r="E1698" s="1">
        <v>293</v>
      </c>
      <c r="F1698" s="1">
        <v>242</v>
      </c>
      <c r="G1698" s="1" t="s">
        <v>38</v>
      </c>
      <c r="H1698" s="1" t="s">
        <v>690</v>
      </c>
      <c r="I1698" s="1" t="s">
        <v>39</v>
      </c>
      <c r="J1698" s="1" t="s">
        <v>40</v>
      </c>
      <c r="K1698" s="1" t="s">
        <v>41</v>
      </c>
      <c r="L1698" s="1"/>
    </row>
    <row r="1699" spans="1:12" s="32" customFormat="1" hidden="1" x14ac:dyDescent="0.3">
      <c r="A1699" s="37">
        <v>46126.415509259263</v>
      </c>
      <c r="B1699" s="1" t="s">
        <v>54</v>
      </c>
      <c r="C1699" s="1">
        <v>11985830255</v>
      </c>
      <c r="D1699" s="1"/>
      <c r="E1699" s="1">
        <v>14</v>
      </c>
      <c r="F1699" s="1">
        <v>7</v>
      </c>
      <c r="G1699" s="1" t="s">
        <v>38</v>
      </c>
      <c r="H1699" s="1" t="s">
        <v>691</v>
      </c>
      <c r="I1699" s="1" t="s">
        <v>46</v>
      </c>
      <c r="J1699" s="1" t="s">
        <v>55</v>
      </c>
      <c r="K1699" s="1"/>
      <c r="L1699" s="1"/>
    </row>
    <row r="1700" spans="1:12" s="32" customFormat="1" hidden="1" x14ac:dyDescent="0.3">
      <c r="A1700" s="37">
        <v>46126.415300925924</v>
      </c>
      <c r="B1700" s="1">
        <v>35998295948</v>
      </c>
      <c r="C1700" s="1" t="s">
        <v>42</v>
      </c>
      <c r="D1700" s="1">
        <v>4430265054</v>
      </c>
      <c r="E1700" s="1">
        <v>322</v>
      </c>
      <c r="F1700" s="1">
        <v>205</v>
      </c>
      <c r="G1700" s="1" t="s">
        <v>38</v>
      </c>
      <c r="H1700" s="1" t="s">
        <v>692</v>
      </c>
      <c r="I1700" s="1" t="s">
        <v>39</v>
      </c>
      <c r="J1700" s="1" t="s">
        <v>40</v>
      </c>
      <c r="K1700" s="1" t="s">
        <v>41</v>
      </c>
      <c r="L1700" s="1"/>
    </row>
    <row r="1701" spans="1:12" s="32" customFormat="1" hidden="1" x14ac:dyDescent="0.3">
      <c r="A1701" s="37">
        <v>46126.412638888891</v>
      </c>
      <c r="B1701" s="1" t="s">
        <v>54</v>
      </c>
      <c r="C1701" s="1">
        <v>47996123985</v>
      </c>
      <c r="D1701" s="1"/>
      <c r="E1701" s="1">
        <v>38</v>
      </c>
      <c r="F1701" s="1">
        <v>0</v>
      </c>
      <c r="G1701" s="1" t="s">
        <v>47</v>
      </c>
      <c r="H1701" s="1" t="s">
        <v>693</v>
      </c>
      <c r="I1701" s="1" t="s">
        <v>46</v>
      </c>
      <c r="J1701" s="1" t="s">
        <v>55</v>
      </c>
      <c r="K1701" s="1"/>
      <c r="L1701" s="1"/>
    </row>
    <row r="1702" spans="1:12" s="32" customFormat="1" hidden="1" x14ac:dyDescent="0.3">
      <c r="A1702" s="37">
        <v>46126.412581018521</v>
      </c>
      <c r="B1702" s="1" t="s">
        <v>50</v>
      </c>
      <c r="C1702" s="1" t="s">
        <v>57</v>
      </c>
      <c r="D1702" s="1"/>
      <c r="E1702" s="1">
        <v>8</v>
      </c>
      <c r="F1702" s="1">
        <v>0</v>
      </c>
      <c r="G1702" s="1" t="s">
        <v>47</v>
      </c>
      <c r="H1702" s="1" t="s">
        <v>694</v>
      </c>
      <c r="I1702" s="1" t="s">
        <v>51</v>
      </c>
      <c r="J1702" s="1" t="s">
        <v>55</v>
      </c>
      <c r="K1702" s="1"/>
      <c r="L1702" s="1"/>
    </row>
    <row r="1703" spans="1:12" s="32" customFormat="1" hidden="1" x14ac:dyDescent="0.3">
      <c r="A1703" s="37">
        <v>46126.411481481482</v>
      </c>
      <c r="B1703" s="1" t="s">
        <v>54</v>
      </c>
      <c r="C1703" s="1">
        <v>27996156591</v>
      </c>
      <c r="D1703" s="1"/>
      <c r="E1703" s="1">
        <v>11</v>
      </c>
      <c r="F1703" s="1">
        <v>1</v>
      </c>
      <c r="G1703" s="1" t="s">
        <v>38</v>
      </c>
      <c r="H1703" s="1" t="s">
        <v>695</v>
      </c>
      <c r="I1703" s="1" t="s">
        <v>46</v>
      </c>
      <c r="J1703" s="1" t="s">
        <v>55</v>
      </c>
      <c r="K1703" s="1"/>
      <c r="L1703" s="1"/>
    </row>
    <row r="1704" spans="1:12" s="32" customFormat="1" hidden="1" x14ac:dyDescent="0.3">
      <c r="A1704" s="37">
        <v>46126.410277777781</v>
      </c>
      <c r="B1704" s="1" t="s">
        <v>54</v>
      </c>
      <c r="C1704" s="1">
        <v>49991070265</v>
      </c>
      <c r="D1704" s="1"/>
      <c r="E1704" s="1">
        <v>43</v>
      </c>
      <c r="F1704" s="1">
        <v>2</v>
      </c>
      <c r="G1704" s="1" t="s">
        <v>38</v>
      </c>
      <c r="H1704" s="1" t="s">
        <v>696</v>
      </c>
      <c r="I1704" s="1" t="s">
        <v>46</v>
      </c>
      <c r="J1704" s="1" t="s">
        <v>55</v>
      </c>
      <c r="K1704" s="1"/>
      <c r="L1704" s="1"/>
    </row>
    <row r="1705" spans="1:12" s="32" customFormat="1" hidden="1" x14ac:dyDescent="0.3">
      <c r="A1705" s="37">
        <v>46126.409629629627</v>
      </c>
      <c r="B1705" s="1" t="s">
        <v>54</v>
      </c>
      <c r="C1705" s="1">
        <v>44998123232</v>
      </c>
      <c r="D1705" s="1"/>
      <c r="E1705" s="1">
        <v>23</v>
      </c>
      <c r="F1705" s="1">
        <v>17</v>
      </c>
      <c r="G1705" s="1" t="s">
        <v>38</v>
      </c>
      <c r="H1705" s="1" t="s">
        <v>697</v>
      </c>
      <c r="I1705" s="1" t="s">
        <v>46</v>
      </c>
      <c r="J1705" s="1" t="s">
        <v>55</v>
      </c>
      <c r="K1705" s="1"/>
      <c r="L1705" s="1"/>
    </row>
    <row r="1706" spans="1:12" s="32" customFormat="1" hidden="1" x14ac:dyDescent="0.3">
      <c r="A1706" s="37">
        <v>46126.407071759262</v>
      </c>
      <c r="B1706" s="1" t="s">
        <v>54</v>
      </c>
      <c r="C1706" s="1">
        <v>54996524471</v>
      </c>
      <c r="D1706" s="1"/>
      <c r="E1706" s="1">
        <v>20</v>
      </c>
      <c r="F1706" s="1">
        <v>7</v>
      </c>
      <c r="G1706" s="1" t="s">
        <v>38</v>
      </c>
      <c r="H1706" s="1" t="s">
        <v>698</v>
      </c>
      <c r="I1706" s="1" t="s">
        <v>46</v>
      </c>
      <c r="J1706" s="1" t="s">
        <v>55</v>
      </c>
      <c r="K1706" s="1"/>
      <c r="L1706" s="1"/>
    </row>
    <row r="1707" spans="1:12" s="32" customFormat="1" hidden="1" x14ac:dyDescent="0.3">
      <c r="A1707" s="37">
        <v>46126.406504629631</v>
      </c>
      <c r="B1707" s="1" t="s">
        <v>54</v>
      </c>
      <c r="C1707" s="1">
        <v>92981308187</v>
      </c>
      <c r="D1707" s="1"/>
      <c r="E1707" s="1">
        <v>12</v>
      </c>
      <c r="F1707" s="1">
        <v>8</v>
      </c>
      <c r="G1707" s="1" t="s">
        <v>38</v>
      </c>
      <c r="H1707" s="1" t="s">
        <v>699</v>
      </c>
      <c r="I1707" s="1" t="s">
        <v>46</v>
      </c>
      <c r="J1707" s="1" t="s">
        <v>55</v>
      </c>
      <c r="K1707" s="1"/>
      <c r="L1707" s="1"/>
    </row>
    <row r="1708" spans="1:12" s="32" customFormat="1" hidden="1" x14ac:dyDescent="0.3">
      <c r="A1708" s="37">
        <v>46126.406331018516</v>
      </c>
      <c r="B1708" s="1" t="s">
        <v>54</v>
      </c>
      <c r="C1708" s="1">
        <v>92981308187</v>
      </c>
      <c r="D1708" s="1"/>
      <c r="E1708" s="1">
        <v>13</v>
      </c>
      <c r="F1708" s="1">
        <v>9</v>
      </c>
      <c r="G1708" s="1" t="s">
        <v>38</v>
      </c>
      <c r="H1708" s="1" t="s">
        <v>700</v>
      </c>
      <c r="I1708" s="1" t="s">
        <v>46</v>
      </c>
      <c r="J1708" s="1" t="s">
        <v>55</v>
      </c>
      <c r="K1708" s="1"/>
      <c r="L1708" s="1"/>
    </row>
    <row r="1709" spans="1:12" s="32" customFormat="1" hidden="1" x14ac:dyDescent="0.3">
      <c r="A1709" s="37">
        <v>46126.405185185184</v>
      </c>
      <c r="B1709" s="1">
        <v>44998032021</v>
      </c>
      <c r="C1709" s="1" t="s">
        <v>45</v>
      </c>
      <c r="D1709" s="1">
        <v>4430265054</v>
      </c>
      <c r="E1709" s="1">
        <v>1929</v>
      </c>
      <c r="F1709" s="1">
        <v>1865</v>
      </c>
      <c r="G1709" s="1" t="s">
        <v>38</v>
      </c>
      <c r="H1709" s="1" t="s">
        <v>701</v>
      </c>
      <c r="I1709" s="1" t="s">
        <v>39</v>
      </c>
      <c r="J1709" s="1" t="s">
        <v>40</v>
      </c>
      <c r="K1709" s="1" t="s">
        <v>41</v>
      </c>
      <c r="L1709" s="1"/>
    </row>
    <row r="1710" spans="1:12" s="32" customFormat="1" hidden="1" x14ac:dyDescent="0.3">
      <c r="A1710" s="37">
        <v>46126.402951388889</v>
      </c>
      <c r="B1710" s="1" t="s">
        <v>54</v>
      </c>
      <c r="C1710" s="1">
        <v>93991165738</v>
      </c>
      <c r="D1710" s="1"/>
      <c r="E1710" s="1">
        <v>24</v>
      </c>
      <c r="F1710" s="1">
        <v>20</v>
      </c>
      <c r="G1710" s="1" t="s">
        <v>38</v>
      </c>
      <c r="H1710" s="1" t="s">
        <v>702</v>
      </c>
      <c r="I1710" s="1" t="s">
        <v>46</v>
      </c>
      <c r="J1710" s="1" t="s">
        <v>55</v>
      </c>
      <c r="K1710" s="1"/>
      <c r="L1710" s="1"/>
    </row>
    <row r="1711" spans="1:12" s="32" customFormat="1" hidden="1" x14ac:dyDescent="0.3">
      <c r="A1711" s="37">
        <v>46126.401134259257</v>
      </c>
      <c r="B1711" s="1" t="s">
        <v>37</v>
      </c>
      <c r="C1711" s="1">
        <v>4330332823</v>
      </c>
      <c r="D1711" s="1"/>
      <c r="E1711" s="1">
        <v>446</v>
      </c>
      <c r="F1711" s="1">
        <v>435</v>
      </c>
      <c r="G1711" s="1" t="s">
        <v>38</v>
      </c>
      <c r="H1711" s="1" t="s">
        <v>703</v>
      </c>
      <c r="I1711" s="1" t="s">
        <v>46</v>
      </c>
      <c r="J1711" s="1" t="s">
        <v>40</v>
      </c>
      <c r="K1711" s="1"/>
      <c r="L1711" s="1">
        <v>5</v>
      </c>
    </row>
    <row r="1712" spans="1:12" s="32" customFormat="1" hidden="1" x14ac:dyDescent="0.3">
      <c r="A1712" s="37">
        <v>46126.398553240739</v>
      </c>
      <c r="B1712" s="1">
        <v>35998295948</v>
      </c>
      <c r="C1712" s="1" t="s">
        <v>45</v>
      </c>
      <c r="D1712" s="1">
        <v>4430265054</v>
      </c>
      <c r="E1712" s="1">
        <v>317</v>
      </c>
      <c r="F1712" s="1">
        <v>255</v>
      </c>
      <c r="G1712" s="1" t="s">
        <v>38</v>
      </c>
      <c r="H1712" s="1" t="s">
        <v>704</v>
      </c>
      <c r="I1712" s="1" t="s">
        <v>39</v>
      </c>
      <c r="J1712" s="1" t="s">
        <v>40</v>
      </c>
      <c r="K1712" s="1" t="s">
        <v>41</v>
      </c>
      <c r="L1712" s="1"/>
    </row>
    <row r="1713" spans="1:12" s="32" customFormat="1" hidden="1" x14ac:dyDescent="0.3">
      <c r="A1713" s="37">
        <v>46126.398379629631</v>
      </c>
      <c r="B1713" s="1" t="s">
        <v>48</v>
      </c>
      <c r="C1713" s="1">
        <v>1131043888</v>
      </c>
      <c r="D1713" s="1"/>
      <c r="E1713" s="1">
        <v>773</v>
      </c>
      <c r="F1713" s="1">
        <v>772</v>
      </c>
      <c r="G1713" s="1" t="s">
        <v>38</v>
      </c>
      <c r="H1713" s="1" t="s">
        <v>705</v>
      </c>
      <c r="I1713" s="1" t="s">
        <v>46</v>
      </c>
      <c r="J1713" s="1" t="s">
        <v>40</v>
      </c>
      <c r="K1713" s="1"/>
      <c r="L1713" s="1"/>
    </row>
    <row r="1714" spans="1:12" s="32" customFormat="1" hidden="1" x14ac:dyDescent="0.3">
      <c r="A1714" s="37">
        <v>46126.394814814812</v>
      </c>
      <c r="B1714" s="1">
        <v>2222100098</v>
      </c>
      <c r="C1714" s="1" t="s">
        <v>43</v>
      </c>
      <c r="D1714" s="1">
        <v>4430265054</v>
      </c>
      <c r="E1714" s="1">
        <v>571</v>
      </c>
      <c r="F1714" s="1">
        <v>506</v>
      </c>
      <c r="G1714" s="1" t="s">
        <v>38</v>
      </c>
      <c r="H1714" s="1" t="s">
        <v>706</v>
      </c>
      <c r="I1714" s="1" t="s">
        <v>39</v>
      </c>
      <c r="J1714" s="1" t="s">
        <v>40</v>
      </c>
      <c r="K1714" s="1" t="s">
        <v>41</v>
      </c>
      <c r="L1714" s="1"/>
    </row>
    <row r="1715" spans="1:12" s="32" customFormat="1" hidden="1" x14ac:dyDescent="0.3">
      <c r="A1715" s="37">
        <v>46126.385729166665</v>
      </c>
      <c r="B1715" s="1">
        <v>4334226481</v>
      </c>
      <c r="C1715" s="1" t="s">
        <v>44</v>
      </c>
      <c r="D1715" s="1">
        <v>4430265054</v>
      </c>
      <c r="E1715" s="1">
        <v>1670</v>
      </c>
      <c r="F1715" s="1">
        <v>1642</v>
      </c>
      <c r="G1715" s="1" t="s">
        <v>38</v>
      </c>
      <c r="H1715" s="1" t="s">
        <v>707</v>
      </c>
      <c r="I1715" s="1" t="s">
        <v>39</v>
      </c>
      <c r="J1715" s="1" t="s">
        <v>40</v>
      </c>
      <c r="K1715" s="1" t="s">
        <v>41</v>
      </c>
      <c r="L1715" s="1">
        <v>5</v>
      </c>
    </row>
    <row r="1716" spans="1:12" s="32" customFormat="1" hidden="1" x14ac:dyDescent="0.3">
      <c r="A1716" s="37">
        <v>46126.370034722226</v>
      </c>
      <c r="B1716" s="1">
        <v>44984241715</v>
      </c>
      <c r="C1716" s="1" t="s">
        <v>43</v>
      </c>
      <c r="D1716" s="1">
        <v>4430265054</v>
      </c>
      <c r="E1716" s="1">
        <v>857</v>
      </c>
      <c r="F1716" s="1">
        <v>803</v>
      </c>
      <c r="G1716" s="1" t="s">
        <v>38</v>
      </c>
      <c r="H1716" s="1" t="s">
        <v>708</v>
      </c>
      <c r="I1716" s="1" t="s">
        <v>39</v>
      </c>
      <c r="J1716" s="1" t="s">
        <v>40</v>
      </c>
      <c r="K1716" s="1" t="s">
        <v>41</v>
      </c>
      <c r="L1716" s="1"/>
    </row>
    <row r="1717" spans="1:12" s="32" customFormat="1" hidden="1" x14ac:dyDescent="0.3">
      <c r="A1717" s="37">
        <v>46126.369363425925</v>
      </c>
      <c r="B1717" s="1" t="s">
        <v>44</v>
      </c>
      <c r="C1717" s="1">
        <v>44999732630</v>
      </c>
      <c r="D1717" s="1"/>
      <c r="E1717" s="1">
        <v>41</v>
      </c>
      <c r="F1717" s="1">
        <v>30</v>
      </c>
      <c r="G1717" s="1" t="s">
        <v>38</v>
      </c>
      <c r="H1717" s="1" t="s">
        <v>709</v>
      </c>
      <c r="I1717" s="1" t="s">
        <v>46</v>
      </c>
      <c r="J1717" s="1" t="s">
        <v>40</v>
      </c>
      <c r="K1717" s="1"/>
      <c r="L1717" s="1"/>
    </row>
    <row r="1718" spans="1:12" s="32" customFormat="1" hidden="1" x14ac:dyDescent="0.3">
      <c r="A1718" s="37">
        <v>46126.368703703702</v>
      </c>
      <c r="B1718" s="1" t="s">
        <v>48</v>
      </c>
      <c r="C1718" s="1">
        <v>1131043888</v>
      </c>
      <c r="D1718" s="1"/>
      <c r="E1718" s="1">
        <v>71</v>
      </c>
      <c r="F1718" s="1">
        <v>70</v>
      </c>
      <c r="G1718" s="1" t="s">
        <v>38</v>
      </c>
      <c r="H1718" s="1" t="s">
        <v>710</v>
      </c>
      <c r="I1718" s="1" t="s">
        <v>46</v>
      </c>
      <c r="J1718" s="1" t="s">
        <v>40</v>
      </c>
      <c r="K1718" s="1"/>
      <c r="L1718" s="1"/>
    </row>
    <row r="1719" spans="1:12" s="32" customFormat="1" hidden="1" x14ac:dyDescent="0.3">
      <c r="A1719" s="37">
        <v>46126.367222222223</v>
      </c>
      <c r="B1719" s="1" t="s">
        <v>44</v>
      </c>
      <c r="C1719" s="1">
        <v>44999732630</v>
      </c>
      <c r="D1719" s="1"/>
      <c r="E1719" s="1">
        <v>16</v>
      </c>
      <c r="F1719" s="1">
        <v>0</v>
      </c>
      <c r="G1719" s="1" t="s">
        <v>47</v>
      </c>
      <c r="H1719" s="1" t="s">
        <v>711</v>
      </c>
      <c r="I1719" s="1" t="s">
        <v>46</v>
      </c>
      <c r="J1719" s="1" t="s">
        <v>40</v>
      </c>
      <c r="K1719" s="1"/>
      <c r="L1719" s="1"/>
    </row>
    <row r="1720" spans="1:12" s="32" customFormat="1" hidden="1" x14ac:dyDescent="0.3">
      <c r="A1720" s="37">
        <v>46126.363206018519</v>
      </c>
      <c r="B1720" s="1">
        <v>44999743444</v>
      </c>
      <c r="C1720" s="1" t="s">
        <v>45</v>
      </c>
      <c r="D1720" s="1">
        <v>4430265054</v>
      </c>
      <c r="E1720" s="1">
        <v>1058</v>
      </c>
      <c r="F1720" s="1">
        <v>1034</v>
      </c>
      <c r="G1720" s="1" t="s">
        <v>38</v>
      </c>
      <c r="H1720" s="1" t="s">
        <v>712</v>
      </c>
      <c r="I1720" s="1" t="s">
        <v>39</v>
      </c>
      <c r="J1720" s="1" t="s">
        <v>40</v>
      </c>
      <c r="K1720" s="1" t="s">
        <v>41</v>
      </c>
      <c r="L1720" s="1"/>
    </row>
    <row r="1721" spans="1:12" s="32" customFormat="1" hidden="1" x14ac:dyDescent="0.3">
      <c r="A1721" s="37">
        <v>46126.360393518517</v>
      </c>
      <c r="B1721" s="1">
        <v>18997449617</v>
      </c>
      <c r="C1721" s="1">
        <v>4430265054</v>
      </c>
      <c r="D1721" s="1">
        <v>4430265054</v>
      </c>
      <c r="E1721" s="1">
        <v>25</v>
      </c>
      <c r="F1721" s="1">
        <v>25</v>
      </c>
      <c r="G1721" s="1" t="s">
        <v>52</v>
      </c>
      <c r="H1721" s="1" t="s">
        <v>713</v>
      </c>
      <c r="I1721" s="1" t="s">
        <v>39</v>
      </c>
      <c r="J1721" s="1" t="s">
        <v>53</v>
      </c>
      <c r="K1721" s="1" t="s">
        <v>41</v>
      </c>
      <c r="L1721" s="1"/>
    </row>
    <row r="1722" spans="1:12" s="32" customFormat="1" hidden="1" x14ac:dyDescent="0.3">
      <c r="A1722" s="37">
        <v>46126.355486111112</v>
      </c>
      <c r="B1722" s="1">
        <v>4431337559</v>
      </c>
      <c r="C1722" s="1" t="s">
        <v>44</v>
      </c>
      <c r="D1722" s="1">
        <v>4430265054</v>
      </c>
      <c r="E1722" s="1">
        <v>700</v>
      </c>
      <c r="F1722" s="1">
        <v>671</v>
      </c>
      <c r="G1722" s="1" t="s">
        <v>38</v>
      </c>
      <c r="H1722" s="1" t="s">
        <v>714</v>
      </c>
      <c r="I1722" s="1" t="s">
        <v>39</v>
      </c>
      <c r="J1722" s="1" t="s">
        <v>40</v>
      </c>
      <c r="K1722" s="1" t="s">
        <v>41</v>
      </c>
      <c r="L1722" s="1"/>
    </row>
    <row r="1723" spans="1:12" s="32" customFormat="1" hidden="1" x14ac:dyDescent="0.3">
      <c r="A1723" s="37">
        <v>46126.352314814816</v>
      </c>
      <c r="B1723" s="1" t="s">
        <v>37</v>
      </c>
      <c r="C1723" s="1">
        <v>4430191401</v>
      </c>
      <c r="D1723" s="1"/>
      <c r="E1723" s="1">
        <v>496</v>
      </c>
      <c r="F1723" s="1">
        <v>487</v>
      </c>
      <c r="G1723" s="1" t="s">
        <v>38</v>
      </c>
      <c r="H1723" s="1" t="s">
        <v>715</v>
      </c>
      <c r="I1723" s="1" t="s">
        <v>46</v>
      </c>
      <c r="J1723" s="1" t="s">
        <v>40</v>
      </c>
      <c r="K1723" s="1"/>
      <c r="L1723" s="1"/>
    </row>
    <row r="1724" spans="1:12" s="32" customFormat="1" hidden="1" x14ac:dyDescent="0.3">
      <c r="A1724" s="37">
        <v>46126.352280092593</v>
      </c>
      <c r="B1724" s="1" t="s">
        <v>37</v>
      </c>
      <c r="C1724" s="1">
        <v>4430191401</v>
      </c>
      <c r="D1724" s="1"/>
      <c r="E1724" s="1">
        <v>1</v>
      </c>
      <c r="F1724" s="1">
        <v>0</v>
      </c>
      <c r="G1724" s="1" t="s">
        <v>47</v>
      </c>
      <c r="H1724" s="1" t="s">
        <v>716</v>
      </c>
      <c r="I1724" s="1" t="s">
        <v>46</v>
      </c>
      <c r="J1724" s="1" t="s">
        <v>40</v>
      </c>
      <c r="K1724" s="1"/>
      <c r="L1724" s="1"/>
    </row>
    <row r="1725" spans="1:12" s="32" customFormat="1" hidden="1" x14ac:dyDescent="0.3">
      <c r="A1725" s="37">
        <v>46126.352187500001</v>
      </c>
      <c r="B1725" s="1" t="s">
        <v>37</v>
      </c>
      <c r="C1725" s="1">
        <v>4436312588</v>
      </c>
      <c r="D1725" s="1"/>
      <c r="E1725" s="1">
        <v>4</v>
      </c>
      <c r="F1725" s="1">
        <v>0</v>
      </c>
      <c r="G1725" s="1" t="s">
        <v>47</v>
      </c>
      <c r="H1725" s="1" t="s">
        <v>717</v>
      </c>
      <c r="I1725" s="1" t="s">
        <v>46</v>
      </c>
      <c r="J1725" s="1" t="s">
        <v>40</v>
      </c>
      <c r="K1725" s="1"/>
      <c r="L1725" s="1"/>
    </row>
    <row r="1726" spans="1:12" s="32" customFormat="1" hidden="1" x14ac:dyDescent="0.3">
      <c r="A1726" s="37">
        <v>46126.352071759262</v>
      </c>
      <c r="B1726" s="1" t="s">
        <v>37</v>
      </c>
      <c r="C1726" s="1">
        <v>4436313773</v>
      </c>
      <c r="D1726" s="1"/>
      <c r="E1726" s="1">
        <v>4</v>
      </c>
      <c r="F1726" s="1">
        <v>0</v>
      </c>
      <c r="G1726" s="1" t="s">
        <v>47</v>
      </c>
      <c r="H1726" s="1" t="s">
        <v>718</v>
      </c>
      <c r="I1726" s="1" t="s">
        <v>46</v>
      </c>
      <c r="J1726" s="1" t="s">
        <v>40</v>
      </c>
      <c r="K1726" s="1"/>
      <c r="L1726" s="1"/>
    </row>
    <row r="1727" spans="1:12" s="32" customFormat="1" hidden="1" x14ac:dyDescent="0.3">
      <c r="A1727" s="37">
        <v>46126.351539351854</v>
      </c>
      <c r="B1727" s="1" t="s">
        <v>37</v>
      </c>
      <c r="C1727" s="1">
        <v>44998547551</v>
      </c>
      <c r="D1727" s="1"/>
      <c r="E1727" s="1">
        <v>36</v>
      </c>
      <c r="F1727" s="1">
        <v>0</v>
      </c>
      <c r="G1727" s="1" t="s">
        <v>47</v>
      </c>
      <c r="H1727" s="1" t="s">
        <v>719</v>
      </c>
      <c r="I1727" s="1" t="s">
        <v>46</v>
      </c>
      <c r="J1727" s="1" t="s">
        <v>40</v>
      </c>
      <c r="K1727" s="1"/>
      <c r="L1727" s="1"/>
    </row>
    <row r="1728" spans="1:12" s="32" customFormat="1" hidden="1" x14ac:dyDescent="0.3">
      <c r="A1728" s="37">
        <v>46126.339131944442</v>
      </c>
      <c r="B1728" s="1" t="s">
        <v>48</v>
      </c>
      <c r="C1728" s="1">
        <v>1131043888</v>
      </c>
      <c r="D1728" s="1"/>
      <c r="E1728" s="1">
        <v>83</v>
      </c>
      <c r="F1728" s="1">
        <v>82</v>
      </c>
      <c r="G1728" s="1" t="s">
        <v>38</v>
      </c>
      <c r="H1728" s="1" t="s">
        <v>720</v>
      </c>
      <c r="I1728" s="1" t="s">
        <v>46</v>
      </c>
      <c r="J1728" s="1" t="s">
        <v>40</v>
      </c>
      <c r="K1728" s="1"/>
      <c r="L1728" s="1"/>
    </row>
    <row r="1729" spans="1:12" s="32" customFormat="1" hidden="1" x14ac:dyDescent="0.3">
      <c r="A1729" s="37">
        <v>46125.745497685188</v>
      </c>
      <c r="B1729" s="1" t="s">
        <v>57</v>
      </c>
      <c r="C1729" s="1" t="s">
        <v>50</v>
      </c>
      <c r="D1729" s="1"/>
      <c r="E1729" s="1">
        <v>55</v>
      </c>
      <c r="F1729" s="1">
        <v>51</v>
      </c>
      <c r="G1729" s="1" t="s">
        <v>38</v>
      </c>
      <c r="H1729" s="1" t="s">
        <v>721</v>
      </c>
      <c r="I1729" s="1" t="s">
        <v>51</v>
      </c>
      <c r="J1729" s="1" t="s">
        <v>55</v>
      </c>
      <c r="K1729" s="1"/>
      <c r="L1729" s="1"/>
    </row>
    <row r="1730" spans="1:12" s="32" customFormat="1" hidden="1" x14ac:dyDescent="0.3">
      <c r="A1730" s="37">
        <v>46125.744583333333</v>
      </c>
      <c r="B1730" s="1" t="s">
        <v>50</v>
      </c>
      <c r="C1730" s="1" t="s">
        <v>57</v>
      </c>
      <c r="D1730" s="1"/>
      <c r="E1730" s="1">
        <v>31</v>
      </c>
      <c r="F1730" s="1">
        <v>0</v>
      </c>
      <c r="G1730" s="1" t="s">
        <v>47</v>
      </c>
      <c r="H1730" s="1" t="s">
        <v>722</v>
      </c>
      <c r="I1730" s="1" t="s">
        <v>51</v>
      </c>
      <c r="J1730" s="1" t="s">
        <v>55</v>
      </c>
      <c r="K1730" s="1"/>
      <c r="L1730" s="1"/>
    </row>
    <row r="1731" spans="1:12" s="32" customFormat="1" x14ac:dyDescent="0.3">
      <c r="A1731" s="37">
        <v>46125.744317129633</v>
      </c>
      <c r="B1731" s="1">
        <v>1131515685</v>
      </c>
      <c r="C1731" s="1" t="s">
        <v>37</v>
      </c>
      <c r="D1731" s="1">
        <v>4430265054</v>
      </c>
      <c r="E1731" s="1">
        <v>277</v>
      </c>
      <c r="F1731" s="1">
        <v>152</v>
      </c>
      <c r="G1731" s="1" t="s">
        <v>38</v>
      </c>
      <c r="H1731" s="1" t="s">
        <v>723</v>
      </c>
      <c r="I1731" s="1" t="s">
        <v>39</v>
      </c>
      <c r="J1731" s="1" t="s">
        <v>40</v>
      </c>
      <c r="K1731" s="1" t="s">
        <v>41</v>
      </c>
      <c r="L1731" s="1">
        <v>5</v>
      </c>
    </row>
    <row r="1732" spans="1:12" s="32" customFormat="1" hidden="1" x14ac:dyDescent="0.3">
      <c r="A1732" s="37">
        <v>46125.726747685185</v>
      </c>
      <c r="B1732" s="1">
        <v>91985176746</v>
      </c>
      <c r="C1732" s="1" t="s">
        <v>45</v>
      </c>
      <c r="D1732" s="1">
        <v>4430265054</v>
      </c>
      <c r="E1732" s="1">
        <v>429</v>
      </c>
      <c r="F1732" s="1">
        <v>415</v>
      </c>
      <c r="G1732" s="1" t="s">
        <v>38</v>
      </c>
      <c r="H1732" s="1" t="s">
        <v>724</v>
      </c>
      <c r="I1732" s="1" t="s">
        <v>39</v>
      </c>
      <c r="J1732" s="1" t="s">
        <v>40</v>
      </c>
      <c r="K1732" s="1" t="s">
        <v>41</v>
      </c>
      <c r="L1732" s="1">
        <v>5</v>
      </c>
    </row>
    <row r="1733" spans="1:12" s="32" customFormat="1" hidden="1" x14ac:dyDescent="0.3">
      <c r="A1733" s="37">
        <v>46125.718761574077</v>
      </c>
      <c r="B1733" s="1" t="s">
        <v>54</v>
      </c>
      <c r="C1733" s="1">
        <v>1235669874</v>
      </c>
      <c r="D1733" s="1"/>
      <c r="E1733" s="1">
        <v>7</v>
      </c>
      <c r="F1733" s="1">
        <v>0</v>
      </c>
      <c r="G1733" s="1" t="s">
        <v>47</v>
      </c>
      <c r="H1733" s="1" t="s">
        <v>725</v>
      </c>
      <c r="I1733" s="1" t="s">
        <v>46</v>
      </c>
      <c r="J1733" s="1" t="s">
        <v>55</v>
      </c>
      <c r="K1733" s="1"/>
      <c r="L1733" s="1"/>
    </row>
    <row r="1734" spans="1:12" s="32" customFormat="1" hidden="1" x14ac:dyDescent="0.3">
      <c r="A1734" s="37">
        <v>46125.717349537037</v>
      </c>
      <c r="B1734" s="1" t="s">
        <v>54</v>
      </c>
      <c r="C1734" s="1">
        <v>11950542409</v>
      </c>
      <c r="D1734" s="1"/>
      <c r="E1734" s="1">
        <v>9</v>
      </c>
      <c r="F1734" s="1">
        <v>1</v>
      </c>
      <c r="G1734" s="1" t="s">
        <v>38</v>
      </c>
      <c r="H1734" s="1" t="s">
        <v>726</v>
      </c>
      <c r="I1734" s="1" t="s">
        <v>46</v>
      </c>
      <c r="J1734" s="1" t="s">
        <v>55</v>
      </c>
      <c r="K1734" s="1"/>
      <c r="L1734" s="1"/>
    </row>
    <row r="1735" spans="1:12" s="32" customFormat="1" hidden="1" x14ac:dyDescent="0.3">
      <c r="A1735" s="37">
        <v>46125.716458333336</v>
      </c>
      <c r="B1735" s="1" t="s">
        <v>54</v>
      </c>
      <c r="C1735" s="1">
        <v>31998987597</v>
      </c>
      <c r="D1735" s="1"/>
      <c r="E1735" s="1">
        <v>21</v>
      </c>
      <c r="F1735" s="1">
        <v>0</v>
      </c>
      <c r="G1735" s="1" t="s">
        <v>47</v>
      </c>
      <c r="H1735" s="1" t="s">
        <v>727</v>
      </c>
      <c r="I1735" s="1" t="s">
        <v>46</v>
      </c>
      <c r="J1735" s="1" t="s">
        <v>55</v>
      </c>
      <c r="K1735" s="1"/>
      <c r="L1735" s="1"/>
    </row>
    <row r="1736" spans="1:12" s="32" customFormat="1" hidden="1" x14ac:dyDescent="0.3">
      <c r="A1736" s="37">
        <v>46125.71597222222</v>
      </c>
      <c r="B1736" s="1">
        <v>67992613909</v>
      </c>
      <c r="C1736" s="1" t="s">
        <v>45</v>
      </c>
      <c r="D1736" s="1">
        <v>4430265054</v>
      </c>
      <c r="E1736" s="1">
        <v>352</v>
      </c>
      <c r="F1736" s="1">
        <v>322</v>
      </c>
      <c r="G1736" s="1" t="s">
        <v>38</v>
      </c>
      <c r="H1736" s="1" t="s">
        <v>728</v>
      </c>
      <c r="I1736" s="1" t="s">
        <v>39</v>
      </c>
      <c r="J1736" s="1" t="s">
        <v>40</v>
      </c>
      <c r="K1736" s="1" t="s">
        <v>41</v>
      </c>
      <c r="L1736" s="1"/>
    </row>
    <row r="1737" spans="1:12" s="32" customFormat="1" hidden="1" x14ac:dyDescent="0.3">
      <c r="A1737" s="37">
        <v>46125.703865740739</v>
      </c>
      <c r="B1737" s="1">
        <v>44998267320</v>
      </c>
      <c r="C1737" s="1">
        <v>4430265054</v>
      </c>
      <c r="D1737" s="1">
        <v>4430265054</v>
      </c>
      <c r="E1737" s="1">
        <v>53</v>
      </c>
      <c r="F1737" s="1">
        <v>53</v>
      </c>
      <c r="G1737" s="1" t="s">
        <v>52</v>
      </c>
      <c r="H1737" s="1" t="s">
        <v>729</v>
      </c>
      <c r="I1737" s="1" t="s">
        <v>39</v>
      </c>
      <c r="J1737" s="1" t="s">
        <v>53</v>
      </c>
      <c r="K1737" s="1" t="s">
        <v>41</v>
      </c>
      <c r="L1737" s="1"/>
    </row>
    <row r="1738" spans="1:12" s="32" customFormat="1" hidden="1" x14ac:dyDescent="0.3">
      <c r="A1738" s="37">
        <v>46125.703460648147</v>
      </c>
      <c r="B1738" s="1">
        <v>44998267320</v>
      </c>
      <c r="C1738" s="1" t="s">
        <v>42</v>
      </c>
      <c r="D1738" s="1">
        <v>4430265054</v>
      </c>
      <c r="E1738" s="1">
        <v>18</v>
      </c>
      <c r="F1738" s="1">
        <v>11</v>
      </c>
      <c r="G1738" s="1" t="s">
        <v>38</v>
      </c>
      <c r="H1738" s="1" t="s">
        <v>730</v>
      </c>
      <c r="I1738" s="1" t="s">
        <v>39</v>
      </c>
      <c r="J1738" s="1" t="s">
        <v>40</v>
      </c>
      <c r="K1738" s="1" t="s">
        <v>41</v>
      </c>
      <c r="L1738" s="1"/>
    </row>
    <row r="1739" spans="1:12" s="32" customFormat="1" hidden="1" x14ac:dyDescent="0.3">
      <c r="A1739" s="37">
        <v>46125.703113425923</v>
      </c>
      <c r="B1739" s="1">
        <v>44998267320</v>
      </c>
      <c r="C1739" s="1" t="s">
        <v>44</v>
      </c>
      <c r="D1739" s="1">
        <v>4430265054</v>
      </c>
      <c r="E1739" s="1">
        <v>20</v>
      </c>
      <c r="F1739" s="1">
        <v>6</v>
      </c>
      <c r="G1739" s="1" t="s">
        <v>38</v>
      </c>
      <c r="H1739" s="1" t="s">
        <v>731</v>
      </c>
      <c r="I1739" s="1" t="s">
        <v>39</v>
      </c>
      <c r="J1739" s="1" t="s">
        <v>40</v>
      </c>
      <c r="K1739" s="1" t="s">
        <v>41</v>
      </c>
      <c r="L1739" s="1"/>
    </row>
    <row r="1740" spans="1:12" s="32" customFormat="1" x14ac:dyDescent="0.3">
      <c r="A1740" s="37">
        <v>46125.69871527778</v>
      </c>
      <c r="B1740" s="1">
        <v>4330332823</v>
      </c>
      <c r="C1740" s="1" t="s">
        <v>37</v>
      </c>
      <c r="D1740" s="1">
        <v>4430265054</v>
      </c>
      <c r="E1740" s="1">
        <v>1449</v>
      </c>
      <c r="F1740" s="1">
        <v>1183</v>
      </c>
      <c r="G1740" s="1" t="s">
        <v>38</v>
      </c>
      <c r="H1740" s="1" t="s">
        <v>732</v>
      </c>
      <c r="I1740" s="1" t="s">
        <v>39</v>
      </c>
      <c r="J1740" s="1" t="s">
        <v>40</v>
      </c>
      <c r="K1740" s="1" t="s">
        <v>41</v>
      </c>
      <c r="L1740" s="1">
        <v>5</v>
      </c>
    </row>
    <row r="1741" spans="1:12" s="32" customFormat="1" hidden="1" x14ac:dyDescent="0.3">
      <c r="A1741" s="37">
        <v>46125.698101851849</v>
      </c>
      <c r="B1741" s="1">
        <v>4486232449</v>
      </c>
      <c r="C1741" s="1">
        <v>4430265054</v>
      </c>
      <c r="D1741" s="1">
        <v>4430265054</v>
      </c>
      <c r="E1741" s="1">
        <v>32</v>
      </c>
      <c r="F1741" s="1">
        <v>31</v>
      </c>
      <c r="G1741" s="1" t="s">
        <v>52</v>
      </c>
      <c r="H1741" s="1" t="s">
        <v>733</v>
      </c>
      <c r="I1741" s="1" t="s">
        <v>39</v>
      </c>
      <c r="J1741" s="1" t="s">
        <v>53</v>
      </c>
      <c r="K1741" s="1" t="s">
        <v>41</v>
      </c>
      <c r="L1741" s="1"/>
    </row>
    <row r="1742" spans="1:12" s="32" customFormat="1" hidden="1" x14ac:dyDescent="0.3">
      <c r="A1742" s="37">
        <v>46125.693831018521</v>
      </c>
      <c r="B1742" s="1">
        <v>4135007070</v>
      </c>
      <c r="C1742" s="1">
        <v>4430265054</v>
      </c>
      <c r="D1742" s="1">
        <v>4430265054</v>
      </c>
      <c r="E1742" s="1">
        <v>5</v>
      </c>
      <c r="F1742" s="1">
        <v>5</v>
      </c>
      <c r="G1742" s="1" t="s">
        <v>52</v>
      </c>
      <c r="H1742" s="1" t="s">
        <v>734</v>
      </c>
      <c r="I1742" s="1" t="s">
        <v>39</v>
      </c>
      <c r="J1742" s="1" t="s">
        <v>53</v>
      </c>
      <c r="K1742" s="1"/>
      <c r="L1742" s="1"/>
    </row>
    <row r="1743" spans="1:12" s="32" customFormat="1" hidden="1" x14ac:dyDescent="0.3">
      <c r="A1743" s="37">
        <v>46125.675405092596</v>
      </c>
      <c r="B1743" s="1">
        <v>4334232912</v>
      </c>
      <c r="C1743" s="1" t="s">
        <v>42</v>
      </c>
      <c r="D1743" s="1">
        <v>4430265054</v>
      </c>
      <c r="E1743" s="1">
        <v>719</v>
      </c>
      <c r="F1743" s="1">
        <v>557</v>
      </c>
      <c r="G1743" s="1" t="s">
        <v>38</v>
      </c>
      <c r="H1743" s="1" t="s">
        <v>735</v>
      </c>
      <c r="I1743" s="1" t="s">
        <v>39</v>
      </c>
      <c r="J1743" s="1" t="s">
        <v>40</v>
      </c>
      <c r="K1743" s="1" t="s">
        <v>41</v>
      </c>
      <c r="L1743" s="1">
        <v>5</v>
      </c>
    </row>
    <row r="1744" spans="1:12" s="32" customFormat="1" hidden="1" x14ac:dyDescent="0.3">
      <c r="A1744" s="37">
        <v>46125.670798611114</v>
      </c>
      <c r="B1744" s="1">
        <v>44991668902</v>
      </c>
      <c r="C1744" s="1" t="s">
        <v>45</v>
      </c>
      <c r="D1744" s="1">
        <v>4430265054</v>
      </c>
      <c r="E1744" s="1">
        <v>200</v>
      </c>
      <c r="F1744" s="1">
        <v>145</v>
      </c>
      <c r="G1744" s="1" t="s">
        <v>38</v>
      </c>
      <c r="H1744" s="1" t="s">
        <v>736</v>
      </c>
      <c r="I1744" s="1" t="s">
        <v>39</v>
      </c>
      <c r="J1744" s="1" t="s">
        <v>40</v>
      </c>
      <c r="K1744" s="1" t="s">
        <v>41</v>
      </c>
      <c r="L1744" s="1">
        <v>5</v>
      </c>
    </row>
    <row r="1745" spans="1:12" s="32" customFormat="1" hidden="1" x14ac:dyDescent="0.3">
      <c r="A1745" s="37">
        <v>46125.67046296296</v>
      </c>
      <c r="B1745" s="1">
        <v>4432524652</v>
      </c>
      <c r="C1745" s="1" t="s">
        <v>42</v>
      </c>
      <c r="D1745" s="1">
        <v>4430265054</v>
      </c>
      <c r="E1745" s="1">
        <v>261</v>
      </c>
      <c r="F1745" s="1">
        <v>209</v>
      </c>
      <c r="G1745" s="1" t="s">
        <v>38</v>
      </c>
      <c r="H1745" s="1" t="s">
        <v>737</v>
      </c>
      <c r="I1745" s="1" t="s">
        <v>39</v>
      </c>
      <c r="J1745" s="1" t="s">
        <v>40</v>
      </c>
      <c r="K1745" s="1" t="s">
        <v>41</v>
      </c>
      <c r="L1745" s="1">
        <v>5</v>
      </c>
    </row>
    <row r="1746" spans="1:12" s="32" customFormat="1" hidden="1" x14ac:dyDescent="0.3">
      <c r="A1746" s="37">
        <v>46125.669444444444</v>
      </c>
      <c r="B1746" s="1" t="s">
        <v>48</v>
      </c>
      <c r="C1746" s="1">
        <v>11996812848</v>
      </c>
      <c r="D1746" s="1"/>
      <c r="E1746" s="1">
        <v>861</v>
      </c>
      <c r="F1746" s="1">
        <v>850</v>
      </c>
      <c r="G1746" s="1" t="s">
        <v>38</v>
      </c>
      <c r="H1746" s="1" t="s">
        <v>738</v>
      </c>
      <c r="I1746" s="1" t="s">
        <v>46</v>
      </c>
      <c r="J1746" s="1" t="s">
        <v>40</v>
      </c>
      <c r="K1746" s="1"/>
      <c r="L1746" s="1">
        <v>5</v>
      </c>
    </row>
    <row r="1747" spans="1:12" s="32" customFormat="1" hidden="1" x14ac:dyDescent="0.3">
      <c r="A1747" s="37">
        <v>46125.669062499997</v>
      </c>
      <c r="B1747" s="1" t="s">
        <v>54</v>
      </c>
      <c r="C1747" s="1">
        <v>11966410830</v>
      </c>
      <c r="D1747" s="1"/>
      <c r="E1747" s="1">
        <v>64</v>
      </c>
      <c r="F1747" s="1">
        <v>52</v>
      </c>
      <c r="G1747" s="1" t="s">
        <v>38</v>
      </c>
      <c r="H1747" s="1" t="s">
        <v>739</v>
      </c>
      <c r="I1747" s="1" t="s">
        <v>46</v>
      </c>
      <c r="J1747" s="1" t="s">
        <v>55</v>
      </c>
      <c r="K1747" s="1"/>
      <c r="L1747" s="1"/>
    </row>
    <row r="1748" spans="1:12" s="32" customFormat="1" hidden="1" x14ac:dyDescent="0.3">
      <c r="A1748" s="37">
        <v>46125.665370370371</v>
      </c>
      <c r="B1748" s="1">
        <v>4330333542</v>
      </c>
      <c r="C1748" s="1">
        <v>4430265054</v>
      </c>
      <c r="D1748" s="1">
        <v>4430265054</v>
      </c>
      <c r="E1748" s="1">
        <v>20</v>
      </c>
      <c r="F1748" s="1">
        <v>20</v>
      </c>
      <c r="G1748" s="1" t="s">
        <v>52</v>
      </c>
      <c r="H1748" s="1" t="s">
        <v>740</v>
      </c>
      <c r="I1748" s="1" t="s">
        <v>39</v>
      </c>
      <c r="J1748" s="1" t="s">
        <v>53</v>
      </c>
      <c r="K1748" s="1" t="s">
        <v>41</v>
      </c>
      <c r="L1748" s="1"/>
    </row>
    <row r="1749" spans="1:12" s="32" customFormat="1" x14ac:dyDescent="0.3">
      <c r="A1749" s="37">
        <v>46125.665127314816</v>
      </c>
      <c r="B1749" s="1">
        <v>4330332823</v>
      </c>
      <c r="C1749" s="1" t="s">
        <v>37</v>
      </c>
      <c r="D1749" s="1">
        <v>4430265054</v>
      </c>
      <c r="E1749" s="1">
        <v>1155</v>
      </c>
      <c r="F1749" s="1">
        <v>1126</v>
      </c>
      <c r="G1749" s="1" t="s">
        <v>38</v>
      </c>
      <c r="H1749" s="1" t="s">
        <v>741</v>
      </c>
      <c r="I1749" s="1" t="s">
        <v>39</v>
      </c>
      <c r="J1749" s="1" t="s">
        <v>40</v>
      </c>
      <c r="K1749" s="1" t="s">
        <v>41</v>
      </c>
      <c r="L1749" s="1">
        <v>5</v>
      </c>
    </row>
    <row r="1750" spans="1:12" s="32" customFormat="1" hidden="1" x14ac:dyDescent="0.3">
      <c r="A1750" s="37">
        <v>46125.662974537037</v>
      </c>
      <c r="B1750" s="1">
        <v>4330333542</v>
      </c>
      <c r="C1750" s="1" t="s">
        <v>37</v>
      </c>
      <c r="D1750" s="1">
        <v>4430265054</v>
      </c>
      <c r="E1750" s="1">
        <v>191</v>
      </c>
      <c r="F1750" s="1">
        <v>33</v>
      </c>
      <c r="G1750" s="1" t="s">
        <v>38</v>
      </c>
      <c r="H1750" s="1" t="s">
        <v>742</v>
      </c>
      <c r="I1750" s="1" t="s">
        <v>39</v>
      </c>
      <c r="J1750" s="1" t="s">
        <v>40</v>
      </c>
      <c r="K1750" s="1" t="s">
        <v>41</v>
      </c>
      <c r="L1750" s="1"/>
    </row>
    <row r="1751" spans="1:12" s="32" customFormat="1" hidden="1" x14ac:dyDescent="0.3">
      <c r="A1751" s="37">
        <v>46125.654999999999</v>
      </c>
      <c r="B1751" s="1">
        <v>44991484476</v>
      </c>
      <c r="C1751" s="1" t="s">
        <v>42</v>
      </c>
      <c r="D1751" s="1">
        <v>4430265054</v>
      </c>
      <c r="E1751" s="1">
        <v>298</v>
      </c>
      <c r="F1751" s="1">
        <v>257</v>
      </c>
      <c r="G1751" s="1" t="s">
        <v>38</v>
      </c>
      <c r="H1751" s="1" t="s">
        <v>743</v>
      </c>
      <c r="I1751" s="1" t="s">
        <v>39</v>
      </c>
      <c r="J1751" s="1" t="s">
        <v>40</v>
      </c>
      <c r="K1751" s="1" t="s">
        <v>41</v>
      </c>
      <c r="L1751" s="1"/>
    </row>
    <row r="1752" spans="1:12" s="32" customFormat="1" hidden="1" x14ac:dyDescent="0.3">
      <c r="A1752" s="37">
        <v>46125.652789351851</v>
      </c>
      <c r="B1752" s="1">
        <v>4330333542</v>
      </c>
      <c r="C1752" s="1">
        <v>4430265054</v>
      </c>
      <c r="D1752" s="1">
        <v>4430265054</v>
      </c>
      <c r="E1752" s="1">
        <v>215</v>
      </c>
      <c r="F1752" s="1">
        <v>214</v>
      </c>
      <c r="G1752" s="1" t="s">
        <v>52</v>
      </c>
      <c r="H1752" s="1" t="s">
        <v>744</v>
      </c>
      <c r="I1752" s="1" t="s">
        <v>39</v>
      </c>
      <c r="J1752" s="1" t="s">
        <v>53</v>
      </c>
      <c r="K1752" s="1" t="s">
        <v>41</v>
      </c>
      <c r="L1752" s="1"/>
    </row>
    <row r="1753" spans="1:12" s="32" customFormat="1" hidden="1" x14ac:dyDescent="0.3">
      <c r="A1753" s="37">
        <v>46125.646273148152</v>
      </c>
      <c r="B1753" s="1">
        <v>2222100098</v>
      </c>
      <c r="C1753" s="1" t="s">
        <v>37</v>
      </c>
      <c r="D1753" s="1">
        <v>4430265054</v>
      </c>
      <c r="E1753" s="1">
        <v>798</v>
      </c>
      <c r="F1753" s="1">
        <v>757</v>
      </c>
      <c r="G1753" s="1" t="s">
        <v>38</v>
      </c>
      <c r="H1753" s="1" t="s">
        <v>745</v>
      </c>
      <c r="I1753" s="1" t="s">
        <v>39</v>
      </c>
      <c r="J1753" s="1" t="s">
        <v>40</v>
      </c>
      <c r="K1753" s="1" t="s">
        <v>41</v>
      </c>
      <c r="L1753" s="1"/>
    </row>
    <row r="1754" spans="1:12" s="32" customFormat="1" x14ac:dyDescent="0.3">
      <c r="A1754" s="37">
        <v>46125.626932870371</v>
      </c>
      <c r="B1754" s="1">
        <v>44997650834</v>
      </c>
      <c r="C1754" s="1" t="s">
        <v>37</v>
      </c>
      <c r="D1754" s="1">
        <v>4430265054</v>
      </c>
      <c r="E1754" s="1">
        <v>331</v>
      </c>
      <c r="F1754" s="1">
        <v>279</v>
      </c>
      <c r="G1754" s="1" t="s">
        <v>38</v>
      </c>
      <c r="H1754" s="1" t="s">
        <v>746</v>
      </c>
      <c r="I1754" s="1" t="s">
        <v>39</v>
      </c>
      <c r="J1754" s="1" t="s">
        <v>40</v>
      </c>
      <c r="K1754" s="1" t="s">
        <v>41</v>
      </c>
      <c r="L1754" s="1">
        <v>5</v>
      </c>
    </row>
    <row r="1755" spans="1:12" s="32" customFormat="1" hidden="1" x14ac:dyDescent="0.3">
      <c r="A1755" s="37">
        <v>46125.626122685186</v>
      </c>
      <c r="B1755" s="1" t="s">
        <v>44</v>
      </c>
      <c r="C1755" s="1">
        <v>4432206400</v>
      </c>
      <c r="D1755" s="1"/>
      <c r="E1755" s="1">
        <v>793</v>
      </c>
      <c r="F1755" s="1">
        <v>784</v>
      </c>
      <c r="G1755" s="1" t="s">
        <v>38</v>
      </c>
      <c r="H1755" s="1" t="s">
        <v>747</v>
      </c>
      <c r="I1755" s="1" t="s">
        <v>46</v>
      </c>
      <c r="J1755" s="1" t="s">
        <v>40</v>
      </c>
      <c r="K1755" s="1"/>
      <c r="L1755" s="1">
        <v>5</v>
      </c>
    </row>
    <row r="1756" spans="1:12" s="32" customFormat="1" hidden="1" x14ac:dyDescent="0.3">
      <c r="A1756" s="37">
        <v>46125.626087962963</v>
      </c>
      <c r="B1756" s="1" t="s">
        <v>44</v>
      </c>
      <c r="C1756" s="1">
        <v>4432206400</v>
      </c>
      <c r="D1756" s="1"/>
      <c r="E1756" s="1">
        <v>25</v>
      </c>
      <c r="F1756" s="1">
        <v>25</v>
      </c>
      <c r="G1756" s="1" t="s">
        <v>38</v>
      </c>
      <c r="H1756" s="1" t="s">
        <v>748</v>
      </c>
      <c r="I1756" s="1" t="s">
        <v>46</v>
      </c>
      <c r="J1756" s="1" t="s">
        <v>40</v>
      </c>
      <c r="K1756" s="1"/>
      <c r="L1756" s="1"/>
    </row>
    <row r="1757" spans="1:12" s="32" customFormat="1" hidden="1" x14ac:dyDescent="0.3">
      <c r="A1757" s="37">
        <v>46125.626018518517</v>
      </c>
      <c r="B1757" s="1" t="s">
        <v>44</v>
      </c>
      <c r="C1757" s="1">
        <v>4432206400</v>
      </c>
      <c r="D1757" s="1"/>
      <c r="E1757" s="1">
        <v>25</v>
      </c>
      <c r="F1757" s="1">
        <v>24</v>
      </c>
      <c r="G1757" s="1" t="s">
        <v>38</v>
      </c>
      <c r="H1757" s="1" t="s">
        <v>749</v>
      </c>
      <c r="I1757" s="1" t="s">
        <v>46</v>
      </c>
      <c r="J1757" s="1" t="s">
        <v>40</v>
      </c>
      <c r="K1757" s="1"/>
      <c r="L1757" s="1"/>
    </row>
    <row r="1758" spans="1:12" s="32" customFormat="1" hidden="1" x14ac:dyDescent="0.3">
      <c r="A1758" s="37">
        <v>46125.623495370368</v>
      </c>
      <c r="B1758" s="1">
        <v>44991484476</v>
      </c>
      <c r="C1758" s="1" t="s">
        <v>45</v>
      </c>
      <c r="D1758" s="1">
        <v>4430265054</v>
      </c>
      <c r="E1758" s="1">
        <v>438</v>
      </c>
      <c r="F1758" s="1">
        <v>340</v>
      </c>
      <c r="G1758" s="1" t="s">
        <v>38</v>
      </c>
      <c r="H1758" s="1" t="s">
        <v>750</v>
      </c>
      <c r="I1758" s="1" t="s">
        <v>39</v>
      </c>
      <c r="J1758" s="1" t="s">
        <v>40</v>
      </c>
      <c r="K1758" s="1" t="s">
        <v>41</v>
      </c>
      <c r="L1758" s="1">
        <v>5</v>
      </c>
    </row>
    <row r="1759" spans="1:12" s="32" customFormat="1" hidden="1" x14ac:dyDescent="0.3">
      <c r="A1759" s="37">
        <v>46125.615428240744</v>
      </c>
      <c r="B1759" s="1">
        <v>2222100098</v>
      </c>
      <c r="C1759" s="1" t="s">
        <v>44</v>
      </c>
      <c r="D1759" s="1">
        <v>4430265054</v>
      </c>
      <c r="E1759" s="1">
        <v>837</v>
      </c>
      <c r="F1759" s="1">
        <v>719</v>
      </c>
      <c r="G1759" s="1" t="s">
        <v>38</v>
      </c>
      <c r="H1759" s="1" t="s">
        <v>751</v>
      </c>
      <c r="I1759" s="1" t="s">
        <v>39</v>
      </c>
      <c r="J1759" s="1" t="s">
        <v>40</v>
      </c>
      <c r="K1759" s="1" t="s">
        <v>41</v>
      </c>
      <c r="L1759" s="1"/>
    </row>
    <row r="1760" spans="1:12" s="32" customFormat="1" hidden="1" x14ac:dyDescent="0.3">
      <c r="A1760" s="37">
        <v>46125.614016203705</v>
      </c>
      <c r="B1760" s="1">
        <v>4432206400</v>
      </c>
      <c r="C1760" s="1" t="s">
        <v>44</v>
      </c>
      <c r="D1760" s="1">
        <v>4430265054</v>
      </c>
      <c r="E1760" s="1">
        <v>57</v>
      </c>
      <c r="F1760" s="1">
        <v>20</v>
      </c>
      <c r="G1760" s="1" t="s">
        <v>38</v>
      </c>
      <c r="H1760" s="1" t="s">
        <v>752</v>
      </c>
      <c r="I1760" s="1" t="s">
        <v>39</v>
      </c>
      <c r="J1760" s="1" t="s">
        <v>40</v>
      </c>
      <c r="K1760" s="1" t="s">
        <v>41</v>
      </c>
      <c r="L1760" s="1"/>
    </row>
    <row r="1761" spans="1:12" s="32" customFormat="1" hidden="1" x14ac:dyDescent="0.3">
      <c r="A1761" s="37">
        <v>46125.609930555554</v>
      </c>
      <c r="B1761" s="1">
        <v>1131043888</v>
      </c>
      <c r="C1761" s="1" t="s">
        <v>45</v>
      </c>
      <c r="D1761" s="1">
        <v>4430265054</v>
      </c>
      <c r="E1761" s="1">
        <v>1247</v>
      </c>
      <c r="F1761" s="1">
        <v>1179</v>
      </c>
      <c r="G1761" s="1" t="s">
        <v>38</v>
      </c>
      <c r="H1761" s="1" t="s">
        <v>753</v>
      </c>
      <c r="I1761" s="1" t="s">
        <v>39</v>
      </c>
      <c r="J1761" s="1" t="s">
        <v>40</v>
      </c>
      <c r="K1761" s="1" t="s">
        <v>41</v>
      </c>
      <c r="L1761" s="1">
        <v>5</v>
      </c>
    </row>
    <row r="1762" spans="1:12" s="32" customFormat="1" hidden="1" x14ac:dyDescent="0.3">
      <c r="A1762" s="37">
        <v>46125.609259259261</v>
      </c>
      <c r="B1762" s="1">
        <v>4430459032</v>
      </c>
      <c r="C1762" s="1">
        <v>4430265054</v>
      </c>
      <c r="D1762" s="1">
        <v>4430265054</v>
      </c>
      <c r="E1762" s="1">
        <v>27</v>
      </c>
      <c r="F1762" s="1">
        <v>26</v>
      </c>
      <c r="G1762" s="1" t="s">
        <v>52</v>
      </c>
      <c r="H1762" s="1" t="s">
        <v>754</v>
      </c>
      <c r="I1762" s="1" t="s">
        <v>39</v>
      </c>
      <c r="J1762" s="1" t="s">
        <v>53</v>
      </c>
      <c r="K1762" s="1"/>
      <c r="L1762" s="1"/>
    </row>
    <row r="1763" spans="1:12" s="32" customFormat="1" x14ac:dyDescent="0.3">
      <c r="A1763" s="37">
        <v>46125.608148148145</v>
      </c>
      <c r="B1763" s="1">
        <v>44988067937</v>
      </c>
      <c r="C1763" s="1" t="s">
        <v>37</v>
      </c>
      <c r="D1763" s="1">
        <v>4430265054</v>
      </c>
      <c r="E1763" s="1">
        <v>541</v>
      </c>
      <c r="F1763" s="1">
        <v>461</v>
      </c>
      <c r="G1763" s="1" t="s">
        <v>38</v>
      </c>
      <c r="H1763" s="1" t="s">
        <v>755</v>
      </c>
      <c r="I1763" s="1" t="s">
        <v>39</v>
      </c>
      <c r="J1763" s="1" t="s">
        <v>40</v>
      </c>
      <c r="K1763" s="1" t="s">
        <v>41</v>
      </c>
      <c r="L1763" s="1">
        <v>5</v>
      </c>
    </row>
    <row r="1764" spans="1:12" s="32" customFormat="1" hidden="1" x14ac:dyDescent="0.3">
      <c r="A1764" s="37">
        <v>46125.606412037036</v>
      </c>
      <c r="B1764" s="1" t="s">
        <v>45</v>
      </c>
      <c r="C1764" s="1">
        <v>1131043888</v>
      </c>
      <c r="D1764" s="1"/>
      <c r="E1764" s="1">
        <v>358</v>
      </c>
      <c r="F1764" s="1">
        <v>356</v>
      </c>
      <c r="G1764" s="1" t="s">
        <v>38</v>
      </c>
      <c r="H1764" s="1" t="s">
        <v>756</v>
      </c>
      <c r="I1764" s="1" t="s">
        <v>46</v>
      </c>
      <c r="J1764" s="1" t="s">
        <v>40</v>
      </c>
      <c r="K1764" s="1"/>
      <c r="L1764" s="1">
        <v>5</v>
      </c>
    </row>
    <row r="1765" spans="1:12" s="32" customFormat="1" x14ac:dyDescent="0.3">
      <c r="A1765" s="37">
        <v>46125.602222222224</v>
      </c>
      <c r="B1765" s="1">
        <v>44991484476</v>
      </c>
      <c r="C1765" s="1" t="s">
        <v>37</v>
      </c>
      <c r="D1765" s="1">
        <v>4430265054</v>
      </c>
      <c r="E1765" s="1">
        <v>180</v>
      </c>
      <c r="F1765" s="1">
        <v>144</v>
      </c>
      <c r="G1765" s="1" t="s">
        <v>38</v>
      </c>
      <c r="H1765" s="1" t="s">
        <v>757</v>
      </c>
      <c r="I1765" s="1" t="s">
        <v>39</v>
      </c>
      <c r="J1765" s="1" t="s">
        <v>40</v>
      </c>
      <c r="K1765" s="1" t="s">
        <v>41</v>
      </c>
      <c r="L1765" s="1">
        <v>5</v>
      </c>
    </row>
    <row r="1766" spans="1:12" s="32" customFormat="1" hidden="1" x14ac:dyDescent="0.3">
      <c r="A1766" s="37">
        <v>46125.600868055553</v>
      </c>
      <c r="B1766" s="1">
        <v>4436291629</v>
      </c>
      <c r="C1766" s="1" t="s">
        <v>42</v>
      </c>
      <c r="D1766" s="1">
        <v>4430265054</v>
      </c>
      <c r="E1766" s="1">
        <v>502</v>
      </c>
      <c r="F1766" s="1">
        <v>457</v>
      </c>
      <c r="G1766" s="1" t="s">
        <v>38</v>
      </c>
      <c r="H1766" s="1" t="s">
        <v>758</v>
      </c>
      <c r="I1766" s="1" t="s">
        <v>39</v>
      </c>
      <c r="J1766" s="1" t="s">
        <v>40</v>
      </c>
      <c r="K1766" s="1" t="s">
        <v>41</v>
      </c>
      <c r="L1766" s="1"/>
    </row>
    <row r="1767" spans="1:12" s="32" customFormat="1" hidden="1" x14ac:dyDescent="0.3">
      <c r="A1767" s="37">
        <v>46125.59878472222</v>
      </c>
      <c r="B1767" s="1">
        <v>4330333558</v>
      </c>
      <c r="C1767" s="1">
        <v>4430265054</v>
      </c>
      <c r="D1767" s="1">
        <v>4430265054</v>
      </c>
      <c r="E1767" s="1">
        <v>62</v>
      </c>
      <c r="F1767" s="1">
        <v>62</v>
      </c>
      <c r="G1767" s="1" t="s">
        <v>52</v>
      </c>
      <c r="H1767" s="1" t="s">
        <v>759</v>
      </c>
      <c r="I1767" s="1" t="s">
        <v>39</v>
      </c>
      <c r="J1767" s="1" t="s">
        <v>53</v>
      </c>
      <c r="K1767" s="1" t="s">
        <v>41</v>
      </c>
      <c r="L1767" s="1"/>
    </row>
    <row r="1768" spans="1:12" s="32" customFormat="1" hidden="1" x14ac:dyDescent="0.3">
      <c r="A1768" s="37">
        <v>46125.594212962962</v>
      </c>
      <c r="B1768" s="1">
        <v>4130760170</v>
      </c>
      <c r="C1768" s="1" t="s">
        <v>48</v>
      </c>
      <c r="D1768" s="1">
        <v>4430265054</v>
      </c>
      <c r="E1768" s="1">
        <v>676</v>
      </c>
      <c r="F1768" s="1">
        <v>675</v>
      </c>
      <c r="G1768" s="1" t="s">
        <v>38</v>
      </c>
      <c r="H1768" s="1" t="s">
        <v>760</v>
      </c>
      <c r="I1768" s="1" t="s">
        <v>39</v>
      </c>
      <c r="J1768" s="1" t="s">
        <v>40</v>
      </c>
      <c r="K1768" s="1" t="s">
        <v>41</v>
      </c>
      <c r="L1768" s="1">
        <v>5</v>
      </c>
    </row>
    <row r="1769" spans="1:12" s="32" customFormat="1" hidden="1" x14ac:dyDescent="0.3">
      <c r="A1769" s="37">
        <v>46125.591585648152</v>
      </c>
      <c r="B1769" s="1" t="s">
        <v>48</v>
      </c>
      <c r="C1769" s="1">
        <v>1131043888</v>
      </c>
      <c r="D1769" s="1"/>
      <c r="E1769" s="1">
        <v>191</v>
      </c>
      <c r="F1769" s="1">
        <v>190</v>
      </c>
      <c r="G1769" s="1" t="s">
        <v>38</v>
      </c>
      <c r="H1769" s="1" t="s">
        <v>761</v>
      </c>
      <c r="I1769" s="1" t="s">
        <v>46</v>
      </c>
      <c r="J1769" s="1" t="s">
        <v>40</v>
      </c>
      <c r="K1769" s="1"/>
      <c r="L1769" s="1">
        <v>5</v>
      </c>
    </row>
    <row r="1770" spans="1:12" s="32" customFormat="1" hidden="1" x14ac:dyDescent="0.3">
      <c r="A1770" s="37">
        <v>46125.590162037035</v>
      </c>
      <c r="B1770" s="1">
        <v>44999497001</v>
      </c>
      <c r="C1770" s="1" t="s">
        <v>42</v>
      </c>
      <c r="D1770" s="1">
        <v>4430265054</v>
      </c>
      <c r="E1770" s="1">
        <v>655</v>
      </c>
      <c r="F1770" s="1">
        <v>581</v>
      </c>
      <c r="G1770" s="1" t="s">
        <v>38</v>
      </c>
      <c r="H1770" s="1" t="s">
        <v>762</v>
      </c>
      <c r="I1770" s="1" t="s">
        <v>39</v>
      </c>
      <c r="J1770" s="1" t="s">
        <v>40</v>
      </c>
      <c r="K1770" s="1" t="s">
        <v>41</v>
      </c>
      <c r="L1770" s="1"/>
    </row>
    <row r="1771" spans="1:12" s="32" customFormat="1" hidden="1" x14ac:dyDescent="0.3">
      <c r="A1771" s="37">
        <v>46125.585266203707</v>
      </c>
      <c r="B1771" s="1">
        <v>4334234629</v>
      </c>
      <c r="C1771" s="1" t="s">
        <v>44</v>
      </c>
      <c r="D1771" s="1">
        <v>4430265054</v>
      </c>
      <c r="E1771" s="1">
        <v>249</v>
      </c>
      <c r="F1771" s="1">
        <v>190</v>
      </c>
      <c r="G1771" s="1" t="s">
        <v>38</v>
      </c>
      <c r="H1771" s="1" t="s">
        <v>763</v>
      </c>
      <c r="I1771" s="1" t="s">
        <v>39</v>
      </c>
      <c r="J1771" s="1" t="s">
        <v>40</v>
      </c>
      <c r="K1771" s="1" t="s">
        <v>41</v>
      </c>
      <c r="L1771" s="1"/>
    </row>
    <row r="1772" spans="1:12" s="32" customFormat="1" x14ac:dyDescent="0.3">
      <c r="A1772" s="37">
        <v>46125.584965277776</v>
      </c>
      <c r="B1772" s="1">
        <v>41995061279</v>
      </c>
      <c r="C1772" s="1" t="s">
        <v>37</v>
      </c>
      <c r="D1772" s="1">
        <v>4430265054</v>
      </c>
      <c r="E1772" s="1">
        <v>968</v>
      </c>
      <c r="F1772" s="1">
        <v>869</v>
      </c>
      <c r="G1772" s="1" t="s">
        <v>38</v>
      </c>
      <c r="H1772" s="1" t="s">
        <v>764</v>
      </c>
      <c r="I1772" s="1" t="s">
        <v>39</v>
      </c>
      <c r="J1772" s="1" t="s">
        <v>40</v>
      </c>
      <c r="K1772" s="1" t="s">
        <v>41</v>
      </c>
      <c r="L1772" s="1">
        <v>4</v>
      </c>
    </row>
    <row r="1773" spans="1:12" s="32" customFormat="1" hidden="1" x14ac:dyDescent="0.3">
      <c r="A1773" s="37">
        <v>46125.584374999999</v>
      </c>
      <c r="B1773" s="1">
        <v>4430459032</v>
      </c>
      <c r="C1773" s="1" t="s">
        <v>42</v>
      </c>
      <c r="D1773" s="1">
        <v>4430265054</v>
      </c>
      <c r="E1773" s="1">
        <v>499</v>
      </c>
      <c r="F1773" s="1">
        <v>434</v>
      </c>
      <c r="G1773" s="1" t="s">
        <v>38</v>
      </c>
      <c r="H1773" s="1" t="s">
        <v>765</v>
      </c>
      <c r="I1773" s="1" t="s">
        <v>39</v>
      </c>
      <c r="J1773" s="1" t="s">
        <v>40</v>
      </c>
      <c r="K1773" s="1" t="s">
        <v>41</v>
      </c>
      <c r="L1773" s="1">
        <v>5</v>
      </c>
    </row>
    <row r="1774" spans="1:12" s="32" customFormat="1" hidden="1" x14ac:dyDescent="0.3">
      <c r="A1774" s="37">
        <v>46125.570335648146</v>
      </c>
      <c r="B1774" s="1" t="s">
        <v>37</v>
      </c>
      <c r="C1774" s="1">
        <v>91984737664</v>
      </c>
      <c r="D1774" s="1"/>
      <c r="E1774" s="1">
        <v>42</v>
      </c>
      <c r="F1774" s="1">
        <v>0</v>
      </c>
      <c r="G1774" s="1" t="s">
        <v>47</v>
      </c>
      <c r="H1774" s="1" t="s">
        <v>766</v>
      </c>
      <c r="I1774" s="1" t="s">
        <v>46</v>
      </c>
      <c r="J1774" s="1" t="s">
        <v>40</v>
      </c>
      <c r="K1774" s="1"/>
      <c r="L1774" s="1"/>
    </row>
    <row r="1775" spans="1:12" s="32" customFormat="1" hidden="1" x14ac:dyDescent="0.3">
      <c r="A1775" s="37">
        <v>46125.569976851853</v>
      </c>
      <c r="B1775" s="1" t="s">
        <v>37</v>
      </c>
      <c r="C1775" s="1">
        <v>91984737664</v>
      </c>
      <c r="D1775" s="1"/>
      <c r="E1775" s="1">
        <v>24</v>
      </c>
      <c r="F1775" s="1">
        <v>14</v>
      </c>
      <c r="G1775" s="1" t="s">
        <v>38</v>
      </c>
      <c r="H1775" s="1" t="s">
        <v>767</v>
      </c>
      <c r="I1775" s="1" t="s">
        <v>46</v>
      </c>
      <c r="J1775" s="1" t="s">
        <v>40</v>
      </c>
      <c r="K1775" s="1"/>
      <c r="L1775" s="1"/>
    </row>
    <row r="1776" spans="1:12" s="32" customFormat="1" hidden="1" x14ac:dyDescent="0.3">
      <c r="A1776" s="37">
        <v>46125.569456018522</v>
      </c>
      <c r="B1776" s="1" t="s">
        <v>37</v>
      </c>
      <c r="C1776" s="1">
        <v>91984737664</v>
      </c>
      <c r="D1776" s="1"/>
      <c r="E1776" s="1">
        <v>39</v>
      </c>
      <c r="F1776" s="1">
        <v>0</v>
      </c>
      <c r="G1776" s="1" t="s">
        <v>47</v>
      </c>
      <c r="H1776" s="1" t="s">
        <v>768</v>
      </c>
      <c r="I1776" s="1" t="s">
        <v>46</v>
      </c>
      <c r="J1776" s="1" t="s">
        <v>40</v>
      </c>
      <c r="K1776" s="1"/>
      <c r="L1776" s="1"/>
    </row>
    <row r="1777" spans="1:12" s="32" customFormat="1" hidden="1" x14ac:dyDescent="0.3">
      <c r="A1777" s="37">
        <v>46125.56554398148</v>
      </c>
      <c r="B1777" s="1" t="s">
        <v>45</v>
      </c>
      <c r="C1777" s="1">
        <v>1131043888</v>
      </c>
      <c r="D1777" s="1"/>
      <c r="E1777" s="1">
        <v>3295</v>
      </c>
      <c r="F1777" s="1">
        <v>3294</v>
      </c>
      <c r="G1777" s="1" t="s">
        <v>38</v>
      </c>
      <c r="H1777" s="1" t="s">
        <v>769</v>
      </c>
      <c r="I1777" s="1" t="s">
        <v>46</v>
      </c>
      <c r="J1777" s="1" t="s">
        <v>40</v>
      </c>
      <c r="K1777" s="1"/>
      <c r="L1777" s="1"/>
    </row>
    <row r="1778" spans="1:12" s="32" customFormat="1" hidden="1" x14ac:dyDescent="0.3">
      <c r="A1778" s="37">
        <v>46125.564710648148</v>
      </c>
      <c r="B1778" s="1" t="s">
        <v>37</v>
      </c>
      <c r="C1778" s="1">
        <v>44998782223</v>
      </c>
      <c r="D1778" s="1"/>
      <c r="E1778" s="1">
        <v>4</v>
      </c>
      <c r="F1778" s="1">
        <v>0</v>
      </c>
      <c r="G1778" s="1" t="s">
        <v>47</v>
      </c>
      <c r="H1778" s="1" t="s">
        <v>770</v>
      </c>
      <c r="I1778" s="1" t="s">
        <v>46</v>
      </c>
      <c r="J1778" s="1" t="s">
        <v>40</v>
      </c>
      <c r="K1778" s="1"/>
      <c r="L1778" s="1"/>
    </row>
    <row r="1779" spans="1:12" s="32" customFormat="1" hidden="1" x14ac:dyDescent="0.3">
      <c r="A1779" s="37">
        <v>46125.564293981479</v>
      </c>
      <c r="B1779" s="1" t="s">
        <v>37</v>
      </c>
      <c r="C1779" s="1">
        <v>4436313773</v>
      </c>
      <c r="D1779" s="1"/>
      <c r="E1779" s="1">
        <v>6</v>
      </c>
      <c r="F1779" s="1">
        <v>0</v>
      </c>
      <c r="G1779" s="1" t="s">
        <v>47</v>
      </c>
      <c r="H1779" s="1" t="s">
        <v>771</v>
      </c>
      <c r="I1779" s="1" t="s">
        <v>46</v>
      </c>
      <c r="J1779" s="1" t="s">
        <v>40</v>
      </c>
      <c r="K1779" s="1"/>
      <c r="L1779" s="1"/>
    </row>
    <row r="1780" spans="1:12" s="32" customFormat="1" hidden="1" x14ac:dyDescent="0.3">
      <c r="A1780" s="37">
        <v>46125.552685185183</v>
      </c>
      <c r="B1780" s="1">
        <v>41995061279</v>
      </c>
      <c r="C1780" s="1">
        <v>4430265054</v>
      </c>
      <c r="D1780" s="1">
        <v>4430265054</v>
      </c>
      <c r="E1780" s="1">
        <v>19</v>
      </c>
      <c r="F1780" s="1">
        <v>19</v>
      </c>
      <c r="G1780" s="1" t="s">
        <v>52</v>
      </c>
      <c r="H1780" s="1" t="s">
        <v>772</v>
      </c>
      <c r="I1780" s="1" t="s">
        <v>39</v>
      </c>
      <c r="J1780" s="1" t="s">
        <v>53</v>
      </c>
      <c r="K1780" s="1"/>
      <c r="L1780" s="1"/>
    </row>
    <row r="1781" spans="1:12" s="32" customFormat="1" hidden="1" x14ac:dyDescent="0.3">
      <c r="A1781" s="37">
        <v>46125.491608796299</v>
      </c>
      <c r="B1781" s="1">
        <v>4436281154</v>
      </c>
      <c r="C1781" s="1" t="s">
        <v>42</v>
      </c>
      <c r="D1781" s="1">
        <v>4430265054</v>
      </c>
      <c r="E1781" s="1">
        <v>290</v>
      </c>
      <c r="F1781" s="1">
        <v>249</v>
      </c>
      <c r="G1781" s="1" t="s">
        <v>38</v>
      </c>
      <c r="H1781" s="1" t="s">
        <v>773</v>
      </c>
      <c r="I1781" s="1" t="s">
        <v>39</v>
      </c>
      <c r="J1781" s="1" t="s">
        <v>40</v>
      </c>
      <c r="K1781" s="1" t="s">
        <v>41</v>
      </c>
      <c r="L1781" s="1"/>
    </row>
    <row r="1782" spans="1:12" s="32" customFormat="1" hidden="1" x14ac:dyDescent="0.3">
      <c r="A1782" s="37">
        <v>46125.489745370367</v>
      </c>
      <c r="B1782" s="1">
        <v>4121410323</v>
      </c>
      <c r="C1782" s="1" t="s">
        <v>42</v>
      </c>
      <c r="D1782" s="1">
        <v>4531273163</v>
      </c>
      <c r="E1782" s="1">
        <v>47</v>
      </c>
      <c r="F1782" s="1">
        <v>11</v>
      </c>
      <c r="G1782" s="1" t="s">
        <v>38</v>
      </c>
      <c r="H1782" s="1" t="s">
        <v>774</v>
      </c>
      <c r="I1782" s="1" t="s">
        <v>39</v>
      </c>
      <c r="J1782" s="1" t="s">
        <v>40</v>
      </c>
      <c r="K1782" s="1" t="s">
        <v>41</v>
      </c>
      <c r="L1782" s="1"/>
    </row>
    <row r="1783" spans="1:12" s="32" customFormat="1" hidden="1" x14ac:dyDescent="0.3">
      <c r="A1783" s="37">
        <v>46125.488807870373</v>
      </c>
      <c r="B1783" s="1">
        <v>4533011420</v>
      </c>
      <c r="C1783" s="1">
        <v>4531273158</v>
      </c>
      <c r="D1783" s="1">
        <v>4531273158</v>
      </c>
      <c r="E1783" s="1">
        <v>47</v>
      </c>
      <c r="F1783" s="1">
        <v>46</v>
      </c>
      <c r="G1783" s="1" t="s">
        <v>52</v>
      </c>
      <c r="H1783" s="1" t="s">
        <v>775</v>
      </c>
      <c r="I1783" s="1" t="s">
        <v>39</v>
      </c>
      <c r="J1783" s="1" t="s">
        <v>53</v>
      </c>
      <c r="K1783" s="1" t="s">
        <v>41</v>
      </c>
      <c r="L1783" s="1"/>
    </row>
    <row r="1784" spans="1:12" s="32" customFormat="1" hidden="1" x14ac:dyDescent="0.3">
      <c r="A1784" s="37">
        <v>46125.488182870373</v>
      </c>
      <c r="B1784" s="1" t="s">
        <v>37</v>
      </c>
      <c r="C1784" s="1">
        <v>4436313773</v>
      </c>
      <c r="D1784" s="1"/>
      <c r="E1784" s="1">
        <v>3</v>
      </c>
      <c r="F1784" s="1">
        <v>0</v>
      </c>
      <c r="G1784" s="1" t="s">
        <v>47</v>
      </c>
      <c r="H1784" s="1" t="s">
        <v>776</v>
      </c>
      <c r="I1784" s="1" t="s">
        <v>46</v>
      </c>
      <c r="J1784" s="1" t="s">
        <v>40</v>
      </c>
      <c r="K1784" s="1"/>
      <c r="L1784" s="1"/>
    </row>
    <row r="1785" spans="1:12" s="32" customFormat="1" hidden="1" x14ac:dyDescent="0.3">
      <c r="A1785" s="37">
        <v>46125.487662037034</v>
      </c>
      <c r="B1785" s="1" t="s">
        <v>37</v>
      </c>
      <c r="C1785" s="1">
        <v>4436313773</v>
      </c>
      <c r="D1785" s="1"/>
      <c r="E1785" s="1">
        <v>40</v>
      </c>
      <c r="F1785" s="1">
        <v>0</v>
      </c>
      <c r="G1785" s="1" t="s">
        <v>47</v>
      </c>
      <c r="H1785" s="1" t="s">
        <v>777</v>
      </c>
      <c r="I1785" s="1" t="s">
        <v>46</v>
      </c>
      <c r="J1785" s="1" t="s">
        <v>40</v>
      </c>
      <c r="K1785" s="1"/>
      <c r="L1785" s="1"/>
    </row>
    <row r="1786" spans="1:12" s="32" customFormat="1" hidden="1" x14ac:dyDescent="0.3">
      <c r="A1786" s="37">
        <v>46125.485833333332</v>
      </c>
      <c r="B1786" s="1">
        <v>4432206400</v>
      </c>
      <c r="C1786" s="1" t="s">
        <v>44</v>
      </c>
      <c r="D1786" s="1">
        <v>4430265054</v>
      </c>
      <c r="E1786" s="1">
        <v>790</v>
      </c>
      <c r="F1786" s="1">
        <v>751</v>
      </c>
      <c r="G1786" s="1" t="s">
        <v>38</v>
      </c>
      <c r="H1786" s="1" t="s">
        <v>778</v>
      </c>
      <c r="I1786" s="1" t="s">
        <v>39</v>
      </c>
      <c r="J1786" s="1" t="s">
        <v>40</v>
      </c>
      <c r="K1786" s="1" t="s">
        <v>41</v>
      </c>
      <c r="L1786" s="1"/>
    </row>
    <row r="1787" spans="1:12" s="32" customFormat="1" hidden="1" x14ac:dyDescent="0.3">
      <c r="A1787" s="37">
        <v>46125.485625000001</v>
      </c>
      <c r="B1787" s="1" t="s">
        <v>37</v>
      </c>
      <c r="C1787" s="1">
        <v>44998782223</v>
      </c>
      <c r="D1787" s="1"/>
      <c r="E1787" s="1">
        <v>37</v>
      </c>
      <c r="F1787" s="1">
        <v>0</v>
      </c>
      <c r="G1787" s="1" t="s">
        <v>47</v>
      </c>
      <c r="H1787" s="1" t="s">
        <v>779</v>
      </c>
      <c r="I1787" s="1" t="s">
        <v>46</v>
      </c>
      <c r="J1787" s="1" t="s">
        <v>40</v>
      </c>
      <c r="K1787" s="1"/>
      <c r="L1787" s="1"/>
    </row>
    <row r="1788" spans="1:12" s="32" customFormat="1" hidden="1" x14ac:dyDescent="0.3">
      <c r="A1788" s="37">
        <v>46125.485023148147</v>
      </c>
      <c r="B1788" s="1" t="s">
        <v>37</v>
      </c>
      <c r="C1788" s="1">
        <v>4430191401</v>
      </c>
      <c r="D1788" s="1"/>
      <c r="E1788" s="1">
        <v>62</v>
      </c>
      <c r="F1788" s="1">
        <v>18</v>
      </c>
      <c r="G1788" s="1" t="s">
        <v>38</v>
      </c>
      <c r="H1788" s="1" t="s">
        <v>780</v>
      </c>
      <c r="I1788" s="1" t="s">
        <v>46</v>
      </c>
      <c r="J1788" s="1" t="s">
        <v>40</v>
      </c>
      <c r="K1788" s="1"/>
      <c r="L1788" s="1"/>
    </row>
    <row r="1789" spans="1:12" s="32" customFormat="1" hidden="1" x14ac:dyDescent="0.3">
      <c r="A1789" s="37">
        <v>46125.484930555554</v>
      </c>
      <c r="B1789" s="1" t="s">
        <v>37</v>
      </c>
      <c r="C1789" s="1">
        <v>4436313773</v>
      </c>
      <c r="D1789" s="1"/>
      <c r="E1789" s="1">
        <v>4</v>
      </c>
      <c r="F1789" s="1">
        <v>0</v>
      </c>
      <c r="G1789" s="1" t="s">
        <v>47</v>
      </c>
      <c r="H1789" s="1" t="s">
        <v>781</v>
      </c>
      <c r="I1789" s="1" t="s">
        <v>46</v>
      </c>
      <c r="J1789" s="1" t="s">
        <v>40</v>
      </c>
      <c r="K1789" s="1"/>
      <c r="L1789" s="1"/>
    </row>
    <row r="1790" spans="1:12" s="32" customFormat="1" hidden="1" x14ac:dyDescent="0.3">
      <c r="A1790" s="37">
        <v>46125.484837962962</v>
      </c>
      <c r="B1790" s="1" t="s">
        <v>37</v>
      </c>
      <c r="C1790" s="1">
        <v>4436312588</v>
      </c>
      <c r="D1790" s="1"/>
      <c r="E1790" s="1">
        <v>4</v>
      </c>
      <c r="F1790" s="1">
        <v>0</v>
      </c>
      <c r="G1790" s="1" t="s">
        <v>47</v>
      </c>
      <c r="H1790" s="1" t="s">
        <v>782</v>
      </c>
      <c r="I1790" s="1" t="s">
        <v>46</v>
      </c>
      <c r="J1790" s="1" t="s">
        <v>40</v>
      </c>
      <c r="K1790" s="1"/>
      <c r="L1790" s="1"/>
    </row>
    <row r="1791" spans="1:12" s="32" customFormat="1" hidden="1" x14ac:dyDescent="0.3">
      <c r="A1791" s="37">
        <v>46125.484398148146</v>
      </c>
      <c r="B1791" s="1" t="s">
        <v>37</v>
      </c>
      <c r="C1791" s="1">
        <v>4436312588</v>
      </c>
      <c r="D1791" s="1"/>
      <c r="E1791" s="1">
        <v>5</v>
      </c>
      <c r="F1791" s="1">
        <v>0</v>
      </c>
      <c r="G1791" s="1" t="s">
        <v>47</v>
      </c>
      <c r="H1791" s="1" t="s">
        <v>783</v>
      </c>
      <c r="I1791" s="1" t="s">
        <v>46</v>
      </c>
      <c r="J1791" s="1" t="s">
        <v>40</v>
      </c>
      <c r="K1791" s="1"/>
      <c r="L1791" s="1"/>
    </row>
    <row r="1792" spans="1:12" s="32" customFormat="1" hidden="1" x14ac:dyDescent="0.3">
      <c r="A1792" s="37">
        <v>46125.484224537038</v>
      </c>
      <c r="B1792" s="1" t="s">
        <v>37</v>
      </c>
      <c r="C1792" s="1">
        <v>4436312588</v>
      </c>
      <c r="D1792" s="1"/>
      <c r="E1792" s="1">
        <v>25</v>
      </c>
      <c r="F1792" s="1">
        <v>24</v>
      </c>
      <c r="G1792" s="1" t="s">
        <v>38</v>
      </c>
      <c r="H1792" s="1" t="s">
        <v>784</v>
      </c>
      <c r="I1792" s="1" t="s">
        <v>46</v>
      </c>
      <c r="J1792" s="1" t="s">
        <v>40</v>
      </c>
      <c r="K1792" s="1"/>
      <c r="L1792" s="1"/>
    </row>
    <row r="1793" spans="1:12" s="32" customFormat="1" hidden="1" x14ac:dyDescent="0.3">
      <c r="A1793" s="37">
        <v>46125.476666666669</v>
      </c>
      <c r="B1793" s="1" t="s">
        <v>45</v>
      </c>
      <c r="C1793" s="1">
        <v>1131043888</v>
      </c>
      <c r="D1793" s="1"/>
      <c r="E1793" s="1">
        <v>1085</v>
      </c>
      <c r="F1793" s="1">
        <v>1083</v>
      </c>
      <c r="G1793" s="1" t="s">
        <v>38</v>
      </c>
      <c r="H1793" s="1" t="s">
        <v>785</v>
      </c>
      <c r="I1793" s="1" t="s">
        <v>46</v>
      </c>
      <c r="J1793" s="1" t="s">
        <v>40</v>
      </c>
      <c r="K1793" s="1"/>
      <c r="L1793" s="1"/>
    </row>
    <row r="1794" spans="1:12" s="32" customFormat="1" hidden="1" x14ac:dyDescent="0.3">
      <c r="A1794" s="37">
        <v>46125.469814814816</v>
      </c>
      <c r="B1794" s="1">
        <v>4130760170</v>
      </c>
      <c r="C1794" s="1" t="s">
        <v>48</v>
      </c>
      <c r="D1794" s="1">
        <v>4430265054</v>
      </c>
      <c r="E1794" s="1">
        <v>304</v>
      </c>
      <c r="F1794" s="1">
        <v>304</v>
      </c>
      <c r="G1794" s="1" t="s">
        <v>38</v>
      </c>
      <c r="H1794" s="1" t="s">
        <v>786</v>
      </c>
      <c r="I1794" s="1" t="s">
        <v>39</v>
      </c>
      <c r="J1794" s="1" t="s">
        <v>40</v>
      </c>
      <c r="K1794" s="1" t="s">
        <v>41</v>
      </c>
      <c r="L1794" s="1">
        <v>5</v>
      </c>
    </row>
    <row r="1795" spans="1:12" s="32" customFormat="1" hidden="1" x14ac:dyDescent="0.3">
      <c r="A1795" s="37">
        <v>46125.469664351855</v>
      </c>
      <c r="B1795" s="1">
        <v>44991388221</v>
      </c>
      <c r="C1795" s="1" t="s">
        <v>37</v>
      </c>
      <c r="D1795" s="1">
        <v>4430265054</v>
      </c>
      <c r="E1795" s="1">
        <v>632</v>
      </c>
      <c r="F1795" s="1">
        <v>572</v>
      </c>
      <c r="G1795" s="1" t="s">
        <v>38</v>
      </c>
      <c r="H1795" s="1" t="s">
        <v>787</v>
      </c>
      <c r="I1795" s="1" t="s">
        <v>39</v>
      </c>
      <c r="J1795" s="1" t="s">
        <v>40</v>
      </c>
      <c r="K1795" s="1" t="s">
        <v>41</v>
      </c>
      <c r="L1795" s="1"/>
    </row>
    <row r="1796" spans="1:12" s="32" customFormat="1" hidden="1" x14ac:dyDescent="0.3">
      <c r="A1796" s="37">
        <v>46125.459687499999</v>
      </c>
      <c r="B1796" s="1">
        <v>44998581219</v>
      </c>
      <c r="C1796" s="1" t="s">
        <v>45</v>
      </c>
      <c r="D1796" s="1">
        <v>4430265054</v>
      </c>
      <c r="E1796" s="1">
        <v>682</v>
      </c>
      <c r="F1796" s="1">
        <v>657</v>
      </c>
      <c r="G1796" s="1" t="s">
        <v>38</v>
      </c>
      <c r="H1796" s="1" t="s">
        <v>788</v>
      </c>
      <c r="I1796" s="1" t="s">
        <v>39</v>
      </c>
      <c r="J1796" s="1" t="s">
        <v>40</v>
      </c>
      <c r="K1796" s="1" t="s">
        <v>41</v>
      </c>
      <c r="L1796" s="1"/>
    </row>
    <row r="1797" spans="1:12" s="32" customFormat="1" hidden="1" x14ac:dyDescent="0.3">
      <c r="A1797" s="37">
        <v>46125.447488425925</v>
      </c>
      <c r="B1797" s="1" t="s">
        <v>48</v>
      </c>
      <c r="C1797" s="1">
        <v>1131043888</v>
      </c>
      <c r="D1797" s="1"/>
      <c r="E1797" s="1">
        <v>507</v>
      </c>
      <c r="F1797" s="1">
        <v>506</v>
      </c>
      <c r="G1797" s="1" t="s">
        <v>38</v>
      </c>
      <c r="H1797" s="1" t="s">
        <v>789</v>
      </c>
      <c r="I1797" s="1" t="s">
        <v>46</v>
      </c>
      <c r="J1797" s="1" t="s">
        <v>40</v>
      </c>
      <c r="K1797" s="1"/>
      <c r="L1797" s="1"/>
    </row>
    <row r="1798" spans="1:12" s="32" customFormat="1" hidden="1" x14ac:dyDescent="0.3">
      <c r="A1798" s="37">
        <v>46125.444652777776</v>
      </c>
      <c r="B1798" s="1" t="s">
        <v>57</v>
      </c>
      <c r="C1798" s="1">
        <v>44998003003</v>
      </c>
      <c r="D1798" s="1"/>
      <c r="E1798" s="1">
        <v>2610</v>
      </c>
      <c r="F1798" s="1">
        <v>2584</v>
      </c>
      <c r="G1798" s="1" t="s">
        <v>38</v>
      </c>
      <c r="H1798" s="1" t="s">
        <v>790</v>
      </c>
      <c r="I1798" s="1" t="s">
        <v>46</v>
      </c>
      <c r="J1798" s="1" t="s">
        <v>55</v>
      </c>
      <c r="K1798" s="1"/>
      <c r="L1798" s="1"/>
    </row>
    <row r="1799" spans="1:12" s="32" customFormat="1" x14ac:dyDescent="0.3">
      <c r="A1799" s="37">
        <v>46125.433032407411</v>
      </c>
      <c r="B1799" s="1">
        <v>4430346845</v>
      </c>
      <c r="C1799" s="1" t="s">
        <v>37</v>
      </c>
      <c r="D1799" s="1">
        <v>4430265054</v>
      </c>
      <c r="E1799" s="1">
        <v>772</v>
      </c>
      <c r="F1799" s="1">
        <v>684</v>
      </c>
      <c r="G1799" s="1" t="s">
        <v>38</v>
      </c>
      <c r="H1799" s="1" t="s">
        <v>791</v>
      </c>
      <c r="I1799" s="1" t="s">
        <v>39</v>
      </c>
      <c r="J1799" s="1" t="s">
        <v>40</v>
      </c>
      <c r="K1799" s="1" t="s">
        <v>41</v>
      </c>
      <c r="L1799" s="1">
        <v>5</v>
      </c>
    </row>
    <row r="1800" spans="1:12" s="32" customFormat="1" hidden="1" x14ac:dyDescent="0.3">
      <c r="A1800" s="37">
        <v>46125.433020833334</v>
      </c>
      <c r="B1800" s="1">
        <v>4121413772</v>
      </c>
      <c r="C1800" s="1">
        <v>4531273156</v>
      </c>
      <c r="D1800" s="1">
        <v>4531273156</v>
      </c>
      <c r="E1800" s="1">
        <v>47</v>
      </c>
      <c r="F1800" s="1">
        <v>47</v>
      </c>
      <c r="G1800" s="1" t="s">
        <v>52</v>
      </c>
      <c r="H1800" s="1" t="s">
        <v>792</v>
      </c>
      <c r="I1800" s="1" t="s">
        <v>39</v>
      </c>
      <c r="J1800" s="1" t="s">
        <v>53</v>
      </c>
      <c r="K1800" s="1" t="s">
        <v>41</v>
      </c>
      <c r="L1800" s="1"/>
    </row>
    <row r="1801" spans="1:12" s="32" customFormat="1" hidden="1" x14ac:dyDescent="0.3">
      <c r="A1801" s="37">
        <v>46125.432824074072</v>
      </c>
      <c r="B1801" s="1">
        <v>44988255390</v>
      </c>
      <c r="C1801" s="1" t="s">
        <v>44</v>
      </c>
      <c r="D1801" s="1">
        <v>4430265054</v>
      </c>
      <c r="E1801" s="1">
        <v>373</v>
      </c>
      <c r="F1801" s="1">
        <v>322</v>
      </c>
      <c r="G1801" s="1" t="s">
        <v>38</v>
      </c>
      <c r="H1801" s="1" t="s">
        <v>793</v>
      </c>
      <c r="I1801" s="1" t="s">
        <v>39</v>
      </c>
      <c r="J1801" s="1" t="s">
        <v>40</v>
      </c>
      <c r="K1801" s="1" t="s">
        <v>41</v>
      </c>
      <c r="L1801" s="1"/>
    </row>
    <row r="1802" spans="1:12" s="32" customFormat="1" hidden="1" x14ac:dyDescent="0.3">
      <c r="A1802" s="37">
        <v>46125.432754629626</v>
      </c>
      <c r="B1802" s="1">
        <v>4124410505</v>
      </c>
      <c r="C1802" s="1">
        <v>4430265054</v>
      </c>
      <c r="D1802" s="1">
        <v>4430265054</v>
      </c>
      <c r="E1802" s="1">
        <v>13</v>
      </c>
      <c r="F1802" s="1">
        <v>13</v>
      </c>
      <c r="G1802" s="1" t="s">
        <v>52</v>
      </c>
      <c r="H1802" s="1" t="s">
        <v>794</v>
      </c>
      <c r="I1802" s="1" t="s">
        <v>39</v>
      </c>
      <c r="J1802" s="1" t="s">
        <v>53</v>
      </c>
      <c r="K1802" s="1"/>
      <c r="L1802" s="1"/>
    </row>
    <row r="1803" spans="1:12" s="32" customFormat="1" hidden="1" x14ac:dyDescent="0.3">
      <c r="A1803" s="37">
        <v>46125.432037037041</v>
      </c>
      <c r="B1803" s="1">
        <v>4430346845</v>
      </c>
      <c r="C1803" s="1" t="s">
        <v>44</v>
      </c>
      <c r="D1803" s="1">
        <v>4430265054</v>
      </c>
      <c r="E1803" s="1">
        <v>50</v>
      </c>
      <c r="F1803" s="1">
        <v>18</v>
      </c>
      <c r="G1803" s="1" t="s">
        <v>38</v>
      </c>
      <c r="H1803" s="1" t="s">
        <v>795</v>
      </c>
      <c r="I1803" s="1" t="s">
        <v>39</v>
      </c>
      <c r="J1803" s="1" t="s">
        <v>40</v>
      </c>
      <c r="K1803" s="1" t="s">
        <v>41</v>
      </c>
      <c r="L1803" s="1"/>
    </row>
    <row r="1804" spans="1:12" s="32" customFormat="1" hidden="1" x14ac:dyDescent="0.3">
      <c r="A1804" s="37">
        <v>46125.431261574071</v>
      </c>
      <c r="B1804" s="1">
        <v>44988255390</v>
      </c>
      <c r="C1804" s="1" t="s">
        <v>44</v>
      </c>
      <c r="D1804" s="1">
        <v>4430265054</v>
      </c>
      <c r="E1804" s="1">
        <v>124</v>
      </c>
      <c r="F1804" s="1">
        <v>53</v>
      </c>
      <c r="G1804" s="1" t="s">
        <v>38</v>
      </c>
      <c r="H1804" s="1" t="s">
        <v>796</v>
      </c>
      <c r="I1804" s="1" t="s">
        <v>39</v>
      </c>
      <c r="J1804" s="1" t="s">
        <v>40</v>
      </c>
      <c r="K1804" s="1" t="s">
        <v>41</v>
      </c>
      <c r="L1804" s="1"/>
    </row>
    <row r="1805" spans="1:12" s="32" customFormat="1" hidden="1" x14ac:dyDescent="0.3">
      <c r="A1805" s="37">
        <v>46125.427245370367</v>
      </c>
      <c r="B1805" s="1" t="s">
        <v>48</v>
      </c>
      <c r="C1805" s="1">
        <v>4430256607</v>
      </c>
      <c r="D1805" s="1"/>
      <c r="E1805" s="1">
        <v>640</v>
      </c>
      <c r="F1805" s="1">
        <v>628</v>
      </c>
      <c r="G1805" s="1" t="s">
        <v>38</v>
      </c>
      <c r="H1805" s="1" t="s">
        <v>797</v>
      </c>
      <c r="I1805" s="1" t="s">
        <v>46</v>
      </c>
      <c r="J1805" s="1" t="s">
        <v>40</v>
      </c>
      <c r="K1805" s="1"/>
      <c r="L1805" s="1"/>
    </row>
    <row r="1806" spans="1:12" s="32" customFormat="1" hidden="1" x14ac:dyDescent="0.3">
      <c r="A1806" s="37">
        <v>46125.425578703704</v>
      </c>
      <c r="B1806" s="1" t="s">
        <v>57</v>
      </c>
      <c r="C1806" s="1">
        <v>44998003003</v>
      </c>
      <c r="D1806" s="1"/>
      <c r="E1806" s="1">
        <v>19</v>
      </c>
      <c r="F1806" s="1">
        <v>6</v>
      </c>
      <c r="G1806" s="1" t="s">
        <v>38</v>
      </c>
      <c r="H1806" s="1" t="s">
        <v>798</v>
      </c>
      <c r="I1806" s="1" t="s">
        <v>46</v>
      </c>
      <c r="J1806" s="1" t="s">
        <v>55</v>
      </c>
      <c r="K1806" s="1"/>
      <c r="L1806" s="1"/>
    </row>
    <row r="1807" spans="1:12" s="32" customFormat="1" hidden="1" x14ac:dyDescent="0.3">
      <c r="A1807" s="37">
        <v>46125.425439814811</v>
      </c>
      <c r="B1807" s="1" t="s">
        <v>45</v>
      </c>
      <c r="C1807" s="1">
        <v>4130760170</v>
      </c>
      <c r="D1807" s="1"/>
      <c r="E1807" s="1">
        <v>1853</v>
      </c>
      <c r="F1807" s="1">
        <v>1830</v>
      </c>
      <c r="G1807" s="1" t="s">
        <v>38</v>
      </c>
      <c r="H1807" s="1" t="s">
        <v>799</v>
      </c>
      <c r="I1807" s="1" t="s">
        <v>46</v>
      </c>
      <c r="J1807" s="1" t="s">
        <v>40</v>
      </c>
      <c r="K1807" s="1"/>
      <c r="L1807" s="1">
        <v>5</v>
      </c>
    </row>
    <row r="1808" spans="1:12" s="32" customFormat="1" hidden="1" x14ac:dyDescent="0.3">
      <c r="A1808" s="37">
        <v>46125.424976851849</v>
      </c>
      <c r="B1808" s="1">
        <v>41995960655</v>
      </c>
      <c r="C1808" s="1" t="s">
        <v>42</v>
      </c>
      <c r="D1808" s="1">
        <v>4430265054</v>
      </c>
      <c r="E1808" s="1">
        <v>1124</v>
      </c>
      <c r="F1808" s="1">
        <v>1084</v>
      </c>
      <c r="G1808" s="1" t="s">
        <v>38</v>
      </c>
      <c r="H1808" s="1" t="s">
        <v>800</v>
      </c>
      <c r="I1808" s="1" t="s">
        <v>39</v>
      </c>
      <c r="J1808" s="1" t="s">
        <v>40</v>
      </c>
      <c r="K1808" s="1" t="s">
        <v>41</v>
      </c>
      <c r="L1808" s="1"/>
    </row>
    <row r="1809" spans="1:12" s="32" customFormat="1" hidden="1" x14ac:dyDescent="0.3">
      <c r="A1809" s="37">
        <v>46125.423530092594</v>
      </c>
      <c r="B1809" s="1" t="s">
        <v>50</v>
      </c>
      <c r="C1809" s="1" t="s">
        <v>57</v>
      </c>
      <c r="D1809" s="1"/>
      <c r="E1809" s="1">
        <v>150</v>
      </c>
      <c r="F1809" s="1">
        <v>148</v>
      </c>
      <c r="G1809" s="1" t="s">
        <v>38</v>
      </c>
      <c r="H1809" s="1" t="s">
        <v>801</v>
      </c>
      <c r="I1809" s="1" t="s">
        <v>51</v>
      </c>
      <c r="J1809" s="1" t="s">
        <v>55</v>
      </c>
      <c r="K1809" s="1"/>
      <c r="L1809" s="1"/>
    </row>
    <row r="1810" spans="1:12" s="32" customFormat="1" hidden="1" x14ac:dyDescent="0.3">
      <c r="A1810" s="37">
        <v>46125.422442129631</v>
      </c>
      <c r="B1810" s="1">
        <v>4130760170</v>
      </c>
      <c r="C1810" s="1" t="s">
        <v>45</v>
      </c>
      <c r="D1810" s="1">
        <v>4430265054</v>
      </c>
      <c r="E1810" s="1">
        <v>265</v>
      </c>
      <c r="F1810" s="1">
        <v>245</v>
      </c>
      <c r="G1810" s="1" t="s">
        <v>38</v>
      </c>
      <c r="H1810" s="1" t="s">
        <v>802</v>
      </c>
      <c r="I1810" s="1" t="s">
        <v>39</v>
      </c>
      <c r="J1810" s="1" t="s">
        <v>40</v>
      </c>
      <c r="K1810" s="1" t="s">
        <v>41</v>
      </c>
      <c r="L1810" s="1"/>
    </row>
    <row r="1811" spans="1:12" s="32" customFormat="1" hidden="1" x14ac:dyDescent="0.3">
      <c r="A1811" s="37">
        <v>46125.413981481484</v>
      </c>
      <c r="B1811" s="1">
        <v>44998003003</v>
      </c>
      <c r="C1811" s="1" t="s">
        <v>37</v>
      </c>
      <c r="D1811" s="1">
        <v>4430265054</v>
      </c>
      <c r="E1811" s="1">
        <v>432</v>
      </c>
      <c r="F1811" s="1">
        <v>262</v>
      </c>
      <c r="G1811" s="1" t="s">
        <v>38</v>
      </c>
      <c r="H1811" s="1" t="s">
        <v>803</v>
      </c>
      <c r="I1811" s="1" t="s">
        <v>39</v>
      </c>
      <c r="J1811" s="1" t="s">
        <v>40</v>
      </c>
      <c r="K1811" s="1" t="s">
        <v>41</v>
      </c>
      <c r="L1811" s="1"/>
    </row>
    <row r="1812" spans="1:12" s="32" customFormat="1" x14ac:dyDescent="0.3">
      <c r="A1812" s="37">
        <v>46125.40247685185</v>
      </c>
      <c r="B1812" s="1">
        <v>44997650834</v>
      </c>
      <c r="C1812" s="1" t="s">
        <v>37</v>
      </c>
      <c r="D1812" s="1">
        <v>4430265054</v>
      </c>
      <c r="E1812" s="1">
        <v>366</v>
      </c>
      <c r="F1812" s="1">
        <v>323</v>
      </c>
      <c r="G1812" s="1" t="s">
        <v>38</v>
      </c>
      <c r="H1812" s="1" t="s">
        <v>804</v>
      </c>
      <c r="I1812" s="1" t="s">
        <v>39</v>
      </c>
      <c r="J1812" s="1" t="s">
        <v>40</v>
      </c>
      <c r="K1812" s="1" t="s">
        <v>41</v>
      </c>
      <c r="L1812" s="1">
        <v>5</v>
      </c>
    </row>
    <row r="1813" spans="1:12" s="32" customFormat="1" hidden="1" x14ac:dyDescent="0.3">
      <c r="A1813" s="37">
        <v>46125.393263888887</v>
      </c>
      <c r="B1813" s="1" t="s">
        <v>37</v>
      </c>
      <c r="C1813" s="1">
        <v>4532541802</v>
      </c>
      <c r="D1813" s="1"/>
      <c r="E1813" s="1">
        <v>242</v>
      </c>
      <c r="F1813" s="1">
        <v>242</v>
      </c>
      <c r="G1813" s="1" t="s">
        <v>38</v>
      </c>
      <c r="H1813" s="1" t="s">
        <v>805</v>
      </c>
      <c r="I1813" s="1" t="s">
        <v>46</v>
      </c>
      <c r="J1813" s="1" t="s">
        <v>40</v>
      </c>
      <c r="K1813" s="1"/>
      <c r="L1813" s="1"/>
    </row>
    <row r="1814" spans="1:12" s="32" customFormat="1" hidden="1" x14ac:dyDescent="0.3">
      <c r="A1814" s="37">
        <v>46125.392650462964</v>
      </c>
      <c r="B1814" s="1">
        <v>4130760170</v>
      </c>
      <c r="C1814" s="1" t="s">
        <v>42</v>
      </c>
      <c r="D1814" s="1">
        <v>4430265054</v>
      </c>
      <c r="E1814" s="1">
        <v>1394</v>
      </c>
      <c r="F1814" s="1">
        <v>1365</v>
      </c>
      <c r="G1814" s="1" t="s">
        <v>38</v>
      </c>
      <c r="H1814" s="1" t="s">
        <v>806</v>
      </c>
      <c r="I1814" s="1" t="s">
        <v>39</v>
      </c>
      <c r="J1814" s="1" t="s">
        <v>40</v>
      </c>
      <c r="K1814" s="1" t="s">
        <v>41</v>
      </c>
      <c r="L1814" s="1"/>
    </row>
    <row r="1815" spans="1:12" s="32" customFormat="1" hidden="1" x14ac:dyDescent="0.3">
      <c r="A1815" s="37">
        <v>46125.389641203707</v>
      </c>
      <c r="B1815" s="1" t="s">
        <v>54</v>
      </c>
      <c r="C1815" s="1">
        <v>35988616735</v>
      </c>
      <c r="D1815" s="1"/>
      <c r="E1815" s="1">
        <v>7</v>
      </c>
      <c r="F1815" s="1">
        <v>0</v>
      </c>
      <c r="G1815" s="1" t="s">
        <v>47</v>
      </c>
      <c r="H1815" s="1" t="s">
        <v>807</v>
      </c>
      <c r="I1815" s="1" t="s">
        <v>46</v>
      </c>
      <c r="J1815" s="1" t="s">
        <v>55</v>
      </c>
      <c r="K1815" s="1"/>
      <c r="L1815" s="1"/>
    </row>
    <row r="1816" spans="1:12" s="32" customFormat="1" hidden="1" x14ac:dyDescent="0.3">
      <c r="A1816" s="37">
        <v>46125.389120370368</v>
      </c>
      <c r="B1816" s="1" t="s">
        <v>54</v>
      </c>
      <c r="C1816" s="1">
        <v>48996876207</v>
      </c>
      <c r="D1816" s="1"/>
      <c r="E1816" s="1">
        <v>6</v>
      </c>
      <c r="F1816" s="1">
        <v>2</v>
      </c>
      <c r="G1816" s="1" t="s">
        <v>38</v>
      </c>
      <c r="H1816" s="1" t="s">
        <v>808</v>
      </c>
      <c r="I1816" s="1" t="s">
        <v>46</v>
      </c>
      <c r="J1816" s="1" t="s">
        <v>55</v>
      </c>
      <c r="K1816" s="1"/>
      <c r="L1816" s="1"/>
    </row>
    <row r="1817" spans="1:12" s="32" customFormat="1" hidden="1" x14ac:dyDescent="0.3">
      <c r="A1817" s="37">
        <v>46125.387673611112</v>
      </c>
      <c r="B1817" s="1">
        <v>81996150625</v>
      </c>
      <c r="C1817" s="1" t="s">
        <v>45</v>
      </c>
      <c r="D1817" s="1">
        <v>4430265054</v>
      </c>
      <c r="E1817" s="1">
        <v>621</v>
      </c>
      <c r="F1817" s="1">
        <v>586</v>
      </c>
      <c r="G1817" s="1" t="s">
        <v>38</v>
      </c>
      <c r="H1817" s="1" t="s">
        <v>809</v>
      </c>
      <c r="I1817" s="1" t="s">
        <v>39</v>
      </c>
      <c r="J1817" s="1" t="s">
        <v>40</v>
      </c>
      <c r="K1817" s="1" t="s">
        <v>41</v>
      </c>
      <c r="L1817" s="1"/>
    </row>
    <row r="1818" spans="1:12" s="32" customFormat="1" hidden="1" x14ac:dyDescent="0.3">
      <c r="A1818" s="37">
        <v>46125.381747685184</v>
      </c>
      <c r="B1818" s="1">
        <v>44988255390</v>
      </c>
      <c r="C1818" s="1" t="s">
        <v>45</v>
      </c>
      <c r="D1818" s="1">
        <v>4430265054</v>
      </c>
      <c r="E1818" s="1">
        <v>188</v>
      </c>
      <c r="F1818" s="1">
        <v>144</v>
      </c>
      <c r="G1818" s="1" t="s">
        <v>38</v>
      </c>
      <c r="H1818" s="1" t="s">
        <v>810</v>
      </c>
      <c r="I1818" s="1" t="s">
        <v>39</v>
      </c>
      <c r="J1818" s="1" t="s">
        <v>40</v>
      </c>
      <c r="K1818" s="1" t="s">
        <v>41</v>
      </c>
      <c r="L1818" s="1"/>
    </row>
    <row r="1819" spans="1:12" s="32" customFormat="1" hidden="1" x14ac:dyDescent="0.3">
      <c r="A1819" s="37">
        <v>46125.368692129632</v>
      </c>
      <c r="B1819" s="1">
        <v>18997449617</v>
      </c>
      <c r="C1819" s="1" t="s">
        <v>42</v>
      </c>
      <c r="D1819" s="1">
        <v>4430265054</v>
      </c>
      <c r="E1819" s="1">
        <v>544</v>
      </c>
      <c r="F1819" s="1">
        <v>523</v>
      </c>
      <c r="G1819" s="1" t="s">
        <v>38</v>
      </c>
      <c r="H1819" s="1" t="s">
        <v>811</v>
      </c>
      <c r="I1819" s="1" t="s">
        <v>39</v>
      </c>
      <c r="J1819" s="1" t="s">
        <v>40</v>
      </c>
      <c r="K1819" s="1" t="s">
        <v>41</v>
      </c>
      <c r="L1819" s="1"/>
    </row>
    <row r="1820" spans="1:12" s="32" customFormat="1" hidden="1" x14ac:dyDescent="0.3">
      <c r="A1820" s="37">
        <v>46125.355925925927</v>
      </c>
      <c r="B1820" s="1" t="s">
        <v>45</v>
      </c>
      <c r="C1820" s="1">
        <v>11998030658</v>
      </c>
      <c r="D1820" s="1"/>
      <c r="E1820" s="1">
        <v>279</v>
      </c>
      <c r="F1820" s="1">
        <v>271</v>
      </c>
      <c r="G1820" s="1" t="s">
        <v>38</v>
      </c>
      <c r="H1820" s="1" t="s">
        <v>812</v>
      </c>
      <c r="I1820" s="1" t="s">
        <v>46</v>
      </c>
      <c r="J1820" s="1" t="s">
        <v>40</v>
      </c>
      <c r="K1820" s="1"/>
      <c r="L1820" s="1"/>
    </row>
    <row r="1821" spans="1:12" s="32" customFormat="1" hidden="1" x14ac:dyDescent="0.3">
      <c r="A1821" s="37">
        <v>46125.34747685185</v>
      </c>
      <c r="B1821" s="1" t="s">
        <v>54</v>
      </c>
      <c r="C1821" s="1">
        <v>21968856163</v>
      </c>
      <c r="D1821" s="1"/>
      <c r="E1821" s="1">
        <v>38</v>
      </c>
      <c r="F1821" s="1">
        <v>3</v>
      </c>
      <c r="G1821" s="1" t="s">
        <v>38</v>
      </c>
      <c r="H1821" s="1" t="s">
        <v>813</v>
      </c>
      <c r="I1821" s="1" t="s">
        <v>46</v>
      </c>
      <c r="J1821" s="1" t="s">
        <v>55</v>
      </c>
      <c r="K1821" s="1"/>
      <c r="L1821" s="1"/>
    </row>
    <row r="1822" spans="1:12" s="32" customFormat="1" hidden="1" x14ac:dyDescent="0.3">
      <c r="A1822" s="37">
        <v>46125.33934027778</v>
      </c>
      <c r="B1822" s="1" t="s">
        <v>48</v>
      </c>
      <c r="C1822" s="1">
        <v>4436291629</v>
      </c>
      <c r="D1822" s="1"/>
      <c r="E1822" s="1">
        <v>340</v>
      </c>
      <c r="F1822" s="1">
        <v>321</v>
      </c>
      <c r="G1822" s="1" t="s">
        <v>38</v>
      </c>
      <c r="H1822" s="1" t="s">
        <v>814</v>
      </c>
      <c r="I1822" s="1" t="s">
        <v>46</v>
      </c>
      <c r="J1822" s="1" t="s">
        <v>40</v>
      </c>
      <c r="K1822" s="1"/>
      <c r="L1822" s="1"/>
    </row>
    <row r="1823" spans="1:12" s="32" customFormat="1" hidden="1" x14ac:dyDescent="0.3">
      <c r="A1823" s="37">
        <v>46123.361840277779</v>
      </c>
      <c r="B1823" s="1">
        <v>35998295948</v>
      </c>
      <c r="C1823" s="1">
        <v>4430265054</v>
      </c>
      <c r="D1823" s="1">
        <v>4430265054</v>
      </c>
      <c r="E1823" s="1">
        <v>29</v>
      </c>
      <c r="F1823" s="1">
        <v>28</v>
      </c>
      <c r="G1823" s="1" t="s">
        <v>52</v>
      </c>
      <c r="H1823" s="1" t="s">
        <v>815</v>
      </c>
      <c r="I1823" s="1" t="s">
        <v>39</v>
      </c>
      <c r="J1823" s="1" t="s">
        <v>53</v>
      </c>
      <c r="K1823" s="1"/>
      <c r="L1823" s="1"/>
    </row>
    <row r="1824" spans="1:12" s="32" customFormat="1" hidden="1" x14ac:dyDescent="0.3">
      <c r="A1824" s="37">
        <v>46123.356805555559</v>
      </c>
      <c r="B1824" s="1">
        <v>35998295948</v>
      </c>
      <c r="C1824" s="1">
        <v>4430265054</v>
      </c>
      <c r="D1824" s="1">
        <v>4430265054</v>
      </c>
      <c r="E1824" s="1">
        <v>29</v>
      </c>
      <c r="F1824" s="1">
        <v>28</v>
      </c>
      <c r="G1824" s="1" t="s">
        <v>52</v>
      </c>
      <c r="H1824" s="1" t="s">
        <v>816</v>
      </c>
      <c r="I1824" s="1" t="s">
        <v>39</v>
      </c>
      <c r="J1824" s="1" t="s">
        <v>53</v>
      </c>
      <c r="K1824" s="1"/>
      <c r="L1824" s="1"/>
    </row>
    <row r="1825" spans="1:12" s="32" customFormat="1" hidden="1" x14ac:dyDescent="0.3">
      <c r="A1825" s="37">
        <v>46123.355092592596</v>
      </c>
      <c r="B1825" s="1">
        <v>35998295948</v>
      </c>
      <c r="C1825" s="1">
        <v>4430265054</v>
      </c>
      <c r="D1825" s="1">
        <v>4430265054</v>
      </c>
      <c r="E1825" s="1">
        <v>29</v>
      </c>
      <c r="F1825" s="1">
        <v>28</v>
      </c>
      <c r="G1825" s="1" t="s">
        <v>52</v>
      </c>
      <c r="H1825" s="1" t="s">
        <v>817</v>
      </c>
      <c r="I1825" s="1" t="s">
        <v>39</v>
      </c>
      <c r="J1825" s="1" t="s">
        <v>53</v>
      </c>
      <c r="K1825" s="1"/>
      <c r="L1825" s="1"/>
    </row>
    <row r="1826" spans="1:12" s="32" customFormat="1" hidden="1" x14ac:dyDescent="0.3">
      <c r="A1826" s="37">
        <v>46122.743032407408</v>
      </c>
      <c r="B1826" s="1">
        <v>53981112780</v>
      </c>
      <c r="C1826" s="1">
        <v>4430265054</v>
      </c>
      <c r="D1826" s="1">
        <v>4430265054</v>
      </c>
      <c r="E1826" s="1">
        <v>82</v>
      </c>
      <c r="F1826" s="1">
        <v>82</v>
      </c>
      <c r="G1826" s="1" t="s">
        <v>52</v>
      </c>
      <c r="H1826" s="1" t="s">
        <v>818</v>
      </c>
      <c r="I1826" s="1" t="s">
        <v>39</v>
      </c>
      <c r="J1826" s="1" t="s">
        <v>53</v>
      </c>
      <c r="K1826" s="1" t="s">
        <v>41</v>
      </c>
      <c r="L1826" s="1"/>
    </row>
    <row r="1827" spans="1:12" s="32" customFormat="1" hidden="1" x14ac:dyDescent="0.3">
      <c r="A1827" s="37">
        <v>46122.741412037038</v>
      </c>
      <c r="B1827" s="1" t="s">
        <v>54</v>
      </c>
      <c r="C1827" s="1">
        <v>62982618888</v>
      </c>
      <c r="D1827" s="1"/>
      <c r="E1827" s="1">
        <v>17</v>
      </c>
      <c r="F1827" s="1">
        <v>11</v>
      </c>
      <c r="G1827" s="1" t="s">
        <v>38</v>
      </c>
      <c r="H1827" s="1" t="s">
        <v>819</v>
      </c>
      <c r="I1827" s="1" t="s">
        <v>46</v>
      </c>
      <c r="J1827" s="1" t="s">
        <v>55</v>
      </c>
      <c r="K1827" s="1"/>
      <c r="L1827" s="1"/>
    </row>
    <row r="1828" spans="1:12" s="32" customFormat="1" hidden="1" x14ac:dyDescent="0.3">
      <c r="A1828" s="37">
        <v>46122.739502314813</v>
      </c>
      <c r="B1828" s="1" t="s">
        <v>54</v>
      </c>
      <c r="C1828" s="1">
        <v>81995188185</v>
      </c>
      <c r="D1828" s="1"/>
      <c r="E1828" s="1">
        <v>57</v>
      </c>
      <c r="F1828" s="1">
        <v>0</v>
      </c>
      <c r="G1828" s="1" t="s">
        <v>47</v>
      </c>
      <c r="H1828" s="1" t="s">
        <v>820</v>
      </c>
      <c r="I1828" s="1" t="s">
        <v>46</v>
      </c>
      <c r="J1828" s="1" t="s">
        <v>55</v>
      </c>
      <c r="K1828" s="1"/>
      <c r="L1828" s="1"/>
    </row>
    <row r="1829" spans="1:12" s="32" customFormat="1" hidden="1" x14ac:dyDescent="0.3">
      <c r="A1829" s="37">
        <v>46122.736250000002</v>
      </c>
      <c r="B1829" s="1" t="s">
        <v>54</v>
      </c>
      <c r="C1829" s="1">
        <v>48996876207</v>
      </c>
      <c r="D1829" s="1"/>
      <c r="E1829" s="1">
        <v>17</v>
      </c>
      <c r="F1829" s="1">
        <v>14</v>
      </c>
      <c r="G1829" s="1" t="s">
        <v>38</v>
      </c>
      <c r="H1829" s="1" t="s">
        <v>821</v>
      </c>
      <c r="I1829" s="1" t="s">
        <v>46</v>
      </c>
      <c r="J1829" s="1" t="s">
        <v>55</v>
      </c>
      <c r="K1829" s="1"/>
      <c r="L1829" s="1"/>
    </row>
    <row r="1830" spans="1:12" s="32" customFormat="1" hidden="1" x14ac:dyDescent="0.3">
      <c r="A1830" s="37">
        <v>46122.730844907404</v>
      </c>
      <c r="B1830" s="1" t="s">
        <v>54</v>
      </c>
      <c r="C1830" s="1">
        <v>85987047830</v>
      </c>
      <c r="D1830" s="1"/>
      <c r="E1830" s="1">
        <v>15</v>
      </c>
      <c r="F1830" s="1">
        <v>3</v>
      </c>
      <c r="G1830" s="1" t="s">
        <v>38</v>
      </c>
      <c r="H1830" s="1" t="s">
        <v>822</v>
      </c>
      <c r="I1830" s="1" t="s">
        <v>46</v>
      </c>
      <c r="J1830" s="1" t="s">
        <v>55</v>
      </c>
      <c r="K1830" s="1"/>
      <c r="L1830" s="1"/>
    </row>
    <row r="1831" spans="1:12" s="32" customFormat="1" hidden="1" x14ac:dyDescent="0.3">
      <c r="A1831" s="37">
        <v>46122.73028935185</v>
      </c>
      <c r="B1831" s="1" t="s">
        <v>54</v>
      </c>
      <c r="C1831" s="1">
        <v>71991894319</v>
      </c>
      <c r="D1831" s="1"/>
      <c r="E1831" s="1">
        <v>12</v>
      </c>
      <c r="F1831" s="1">
        <v>1</v>
      </c>
      <c r="G1831" s="1" t="s">
        <v>38</v>
      </c>
      <c r="H1831" s="1" t="s">
        <v>823</v>
      </c>
      <c r="I1831" s="1" t="s">
        <v>46</v>
      </c>
      <c r="J1831" s="1" t="s">
        <v>55</v>
      </c>
      <c r="K1831" s="1"/>
      <c r="L1831" s="1"/>
    </row>
    <row r="1832" spans="1:12" s="32" customFormat="1" hidden="1" x14ac:dyDescent="0.3">
      <c r="A1832" s="37">
        <v>46122.723726851851</v>
      </c>
      <c r="B1832" s="1">
        <v>4432226677</v>
      </c>
      <c r="C1832" s="1" t="s">
        <v>37</v>
      </c>
      <c r="D1832" s="1">
        <v>4430265054</v>
      </c>
      <c r="E1832" s="1">
        <v>1796</v>
      </c>
      <c r="F1832" s="1">
        <v>1691</v>
      </c>
      <c r="G1832" s="1" t="s">
        <v>38</v>
      </c>
      <c r="H1832" s="1" t="s">
        <v>824</v>
      </c>
      <c r="I1832" s="1" t="s">
        <v>39</v>
      </c>
      <c r="J1832" s="1" t="s">
        <v>40</v>
      </c>
      <c r="K1832" s="1" t="s">
        <v>41</v>
      </c>
      <c r="L1832" s="1"/>
    </row>
    <row r="1833" spans="1:12" s="32" customFormat="1" hidden="1" x14ac:dyDescent="0.3">
      <c r="A1833" s="37">
        <v>46122.721805555557</v>
      </c>
      <c r="B1833" s="1" t="s">
        <v>54</v>
      </c>
      <c r="C1833" s="1">
        <v>21979403750</v>
      </c>
      <c r="D1833" s="1"/>
      <c r="E1833" s="1">
        <v>10</v>
      </c>
      <c r="F1833" s="1">
        <v>7</v>
      </c>
      <c r="G1833" s="1" t="s">
        <v>38</v>
      </c>
      <c r="H1833" s="1" t="s">
        <v>825</v>
      </c>
      <c r="I1833" s="1" t="s">
        <v>46</v>
      </c>
      <c r="J1833" s="1" t="s">
        <v>55</v>
      </c>
      <c r="K1833" s="1"/>
      <c r="L1833" s="1"/>
    </row>
    <row r="1834" spans="1:12" s="32" customFormat="1" hidden="1" x14ac:dyDescent="0.3">
      <c r="A1834" s="37">
        <v>46122.720613425925</v>
      </c>
      <c r="B1834" s="1" t="s">
        <v>54</v>
      </c>
      <c r="C1834" s="1">
        <v>89994464177</v>
      </c>
      <c r="D1834" s="1"/>
      <c r="E1834" s="1">
        <v>1</v>
      </c>
      <c r="F1834" s="1">
        <v>0</v>
      </c>
      <c r="G1834" s="1" t="s">
        <v>47</v>
      </c>
      <c r="H1834" s="1" t="s">
        <v>826</v>
      </c>
      <c r="I1834" s="1" t="s">
        <v>46</v>
      </c>
      <c r="J1834" s="1" t="s">
        <v>55</v>
      </c>
      <c r="K1834" s="1"/>
      <c r="L1834" s="1"/>
    </row>
    <row r="1835" spans="1:12" s="32" customFormat="1" hidden="1" x14ac:dyDescent="0.3">
      <c r="A1835" s="37">
        <v>46122.71471064815</v>
      </c>
      <c r="B1835" s="1" t="s">
        <v>54</v>
      </c>
      <c r="C1835" s="1">
        <v>27995296675</v>
      </c>
      <c r="D1835" s="1"/>
      <c r="E1835" s="1">
        <v>24</v>
      </c>
      <c r="F1835" s="1">
        <v>0</v>
      </c>
      <c r="G1835" s="1" t="s">
        <v>47</v>
      </c>
      <c r="H1835" s="1" t="s">
        <v>827</v>
      </c>
      <c r="I1835" s="1" t="s">
        <v>46</v>
      </c>
      <c r="J1835" s="1" t="s">
        <v>55</v>
      </c>
      <c r="K1835" s="1"/>
      <c r="L1835" s="1"/>
    </row>
    <row r="1836" spans="1:12" s="32" customFormat="1" hidden="1" x14ac:dyDescent="0.3">
      <c r="A1836" s="37">
        <v>46122.713888888888</v>
      </c>
      <c r="B1836" s="1" t="s">
        <v>54</v>
      </c>
      <c r="C1836" s="1">
        <v>67991535017</v>
      </c>
      <c r="D1836" s="1"/>
      <c r="E1836" s="1">
        <v>13</v>
      </c>
      <c r="F1836" s="1">
        <v>2</v>
      </c>
      <c r="G1836" s="1" t="s">
        <v>38</v>
      </c>
      <c r="H1836" s="1" t="s">
        <v>828</v>
      </c>
      <c r="I1836" s="1" t="s">
        <v>46</v>
      </c>
      <c r="J1836" s="1" t="s">
        <v>55</v>
      </c>
      <c r="K1836" s="1"/>
      <c r="L1836" s="1"/>
    </row>
    <row r="1837" spans="1:12" s="32" customFormat="1" hidden="1" x14ac:dyDescent="0.3">
      <c r="A1837" s="37">
        <v>46122.713182870371</v>
      </c>
      <c r="B1837" s="1" t="s">
        <v>54</v>
      </c>
      <c r="C1837" s="1">
        <v>51984644112</v>
      </c>
      <c r="D1837" s="1"/>
      <c r="E1837" s="1">
        <v>11</v>
      </c>
      <c r="F1837" s="1">
        <v>0</v>
      </c>
      <c r="G1837" s="1" t="s">
        <v>38</v>
      </c>
      <c r="H1837" s="1" t="s">
        <v>829</v>
      </c>
      <c r="I1837" s="1" t="s">
        <v>46</v>
      </c>
      <c r="J1837" s="1" t="s">
        <v>55</v>
      </c>
      <c r="K1837" s="1"/>
      <c r="L1837" s="1"/>
    </row>
    <row r="1838" spans="1:12" s="32" customFormat="1" hidden="1" x14ac:dyDescent="0.3">
      <c r="A1838" s="37">
        <v>46122.712847222225</v>
      </c>
      <c r="B1838" s="1">
        <v>11998030658</v>
      </c>
      <c r="C1838" s="1" t="s">
        <v>45</v>
      </c>
      <c r="D1838" s="1">
        <v>4430265054</v>
      </c>
      <c r="E1838" s="1">
        <v>1535</v>
      </c>
      <c r="F1838" s="1">
        <v>1508</v>
      </c>
      <c r="G1838" s="1" t="s">
        <v>38</v>
      </c>
      <c r="H1838" s="1" t="s">
        <v>830</v>
      </c>
      <c r="I1838" s="1" t="s">
        <v>39</v>
      </c>
      <c r="J1838" s="1" t="s">
        <v>40</v>
      </c>
      <c r="K1838" s="1" t="s">
        <v>41</v>
      </c>
      <c r="L1838" s="1"/>
    </row>
    <row r="1839" spans="1:12" s="32" customFormat="1" hidden="1" x14ac:dyDescent="0.3">
      <c r="A1839" s="37">
        <v>46122.711701388886</v>
      </c>
      <c r="B1839" s="1" t="s">
        <v>54</v>
      </c>
      <c r="C1839" s="1">
        <v>31975048589</v>
      </c>
      <c r="D1839" s="1"/>
      <c r="E1839" s="1">
        <v>15</v>
      </c>
      <c r="F1839" s="1">
        <v>6</v>
      </c>
      <c r="G1839" s="1" t="s">
        <v>38</v>
      </c>
      <c r="H1839" s="1" t="s">
        <v>831</v>
      </c>
      <c r="I1839" s="1" t="s">
        <v>46</v>
      </c>
      <c r="J1839" s="1" t="s">
        <v>55</v>
      </c>
      <c r="K1839" s="1"/>
      <c r="L1839" s="1"/>
    </row>
    <row r="1840" spans="1:12" s="32" customFormat="1" hidden="1" x14ac:dyDescent="0.3">
      <c r="A1840" s="37">
        <v>46122.709733796299</v>
      </c>
      <c r="B1840" s="1" t="s">
        <v>54</v>
      </c>
      <c r="C1840" s="1">
        <v>91981687869</v>
      </c>
      <c r="D1840" s="1"/>
      <c r="E1840" s="1">
        <v>24</v>
      </c>
      <c r="F1840" s="1">
        <v>0</v>
      </c>
      <c r="G1840" s="1" t="s">
        <v>47</v>
      </c>
      <c r="H1840" s="1" t="s">
        <v>832</v>
      </c>
      <c r="I1840" s="1" t="s">
        <v>46</v>
      </c>
      <c r="J1840" s="1" t="s">
        <v>55</v>
      </c>
      <c r="K1840" s="1"/>
      <c r="L1840" s="1"/>
    </row>
    <row r="1841" spans="1:12" s="32" customFormat="1" x14ac:dyDescent="0.3">
      <c r="A1841" s="37">
        <v>46122.708773148152</v>
      </c>
      <c r="B1841" s="1">
        <v>4432325260</v>
      </c>
      <c r="C1841" s="1" t="s">
        <v>37</v>
      </c>
      <c r="D1841" s="1">
        <v>4430265054</v>
      </c>
      <c r="E1841" s="1">
        <v>246</v>
      </c>
      <c r="F1841" s="1">
        <v>207</v>
      </c>
      <c r="G1841" s="1" t="s">
        <v>38</v>
      </c>
      <c r="H1841" s="1" t="s">
        <v>833</v>
      </c>
      <c r="I1841" s="1" t="s">
        <v>39</v>
      </c>
      <c r="J1841" s="1" t="s">
        <v>40</v>
      </c>
      <c r="K1841" s="1" t="s">
        <v>41</v>
      </c>
      <c r="L1841" s="1">
        <v>5</v>
      </c>
    </row>
    <row r="1842" spans="1:12" s="32" customFormat="1" hidden="1" x14ac:dyDescent="0.3">
      <c r="A1842" s="37">
        <v>46122.707974537036</v>
      </c>
      <c r="B1842" s="1" t="s">
        <v>54</v>
      </c>
      <c r="C1842" s="1">
        <v>19997491199</v>
      </c>
      <c r="D1842" s="1"/>
      <c r="E1842" s="1">
        <v>33</v>
      </c>
      <c r="F1842" s="1">
        <v>9</v>
      </c>
      <c r="G1842" s="1" t="s">
        <v>38</v>
      </c>
      <c r="H1842" s="1" t="s">
        <v>834</v>
      </c>
      <c r="I1842" s="1" t="s">
        <v>46</v>
      </c>
      <c r="J1842" s="1" t="s">
        <v>55</v>
      </c>
      <c r="K1842" s="1"/>
      <c r="L1842" s="1"/>
    </row>
    <row r="1843" spans="1:12" s="32" customFormat="1" hidden="1" x14ac:dyDescent="0.3">
      <c r="A1843" s="37">
        <v>46122.702650462961</v>
      </c>
      <c r="B1843" s="1">
        <v>62991155122</v>
      </c>
      <c r="C1843" s="1" t="s">
        <v>42</v>
      </c>
      <c r="D1843" s="1">
        <v>4430265054</v>
      </c>
      <c r="E1843" s="1">
        <v>359</v>
      </c>
      <c r="F1843" s="1">
        <v>335</v>
      </c>
      <c r="G1843" s="1" t="s">
        <v>38</v>
      </c>
      <c r="H1843" s="1" t="s">
        <v>835</v>
      </c>
      <c r="I1843" s="1" t="s">
        <v>39</v>
      </c>
      <c r="J1843" s="1" t="s">
        <v>40</v>
      </c>
      <c r="K1843" s="1" t="s">
        <v>41</v>
      </c>
      <c r="L1843" s="1"/>
    </row>
    <row r="1844" spans="1:12" s="32" customFormat="1" hidden="1" x14ac:dyDescent="0.3">
      <c r="A1844" s="37">
        <v>46122.699120370373</v>
      </c>
      <c r="B1844" s="1" t="s">
        <v>42</v>
      </c>
      <c r="C1844" s="1">
        <v>62991155122</v>
      </c>
      <c r="D1844" s="1"/>
      <c r="E1844" s="1">
        <v>35</v>
      </c>
      <c r="F1844" s="1">
        <v>0</v>
      </c>
      <c r="G1844" s="1" t="s">
        <v>47</v>
      </c>
      <c r="H1844" s="1" t="s">
        <v>836</v>
      </c>
      <c r="I1844" s="1" t="s">
        <v>46</v>
      </c>
      <c r="J1844" s="1" t="s">
        <v>40</v>
      </c>
      <c r="K1844" s="1"/>
      <c r="L1844" s="1"/>
    </row>
    <row r="1845" spans="1:12" s="32" customFormat="1" hidden="1" x14ac:dyDescent="0.3">
      <c r="A1845" s="37">
        <v>46122.697569444441</v>
      </c>
      <c r="B1845" s="1" t="s">
        <v>54</v>
      </c>
      <c r="C1845" s="1">
        <v>27999025690</v>
      </c>
      <c r="D1845" s="1"/>
      <c r="E1845" s="1">
        <v>16</v>
      </c>
      <c r="F1845" s="1">
        <v>0</v>
      </c>
      <c r="G1845" s="1" t="s">
        <v>47</v>
      </c>
      <c r="H1845" s="1" t="s">
        <v>837</v>
      </c>
      <c r="I1845" s="1" t="s">
        <v>46</v>
      </c>
      <c r="J1845" s="1" t="s">
        <v>55</v>
      </c>
      <c r="K1845" s="1"/>
      <c r="L1845" s="1"/>
    </row>
    <row r="1846" spans="1:12" s="32" customFormat="1" hidden="1" x14ac:dyDescent="0.3">
      <c r="A1846" s="37">
        <v>46122.69635416667</v>
      </c>
      <c r="B1846" s="1">
        <v>43984996095</v>
      </c>
      <c r="C1846" s="1" t="s">
        <v>43</v>
      </c>
      <c r="D1846" s="1">
        <v>4430265054</v>
      </c>
      <c r="E1846" s="1">
        <v>236</v>
      </c>
      <c r="F1846" s="1">
        <v>140</v>
      </c>
      <c r="G1846" s="1" t="s">
        <v>38</v>
      </c>
      <c r="H1846" s="1" t="s">
        <v>838</v>
      </c>
      <c r="I1846" s="1" t="s">
        <v>39</v>
      </c>
      <c r="J1846" s="1" t="s">
        <v>40</v>
      </c>
      <c r="K1846" s="1" t="s">
        <v>41</v>
      </c>
      <c r="L1846" s="1"/>
    </row>
    <row r="1847" spans="1:12" s="32" customFormat="1" hidden="1" x14ac:dyDescent="0.3">
      <c r="A1847" s="37">
        <v>46122.690115740741</v>
      </c>
      <c r="B1847" s="1" t="s">
        <v>54</v>
      </c>
      <c r="C1847" s="1">
        <v>61982288707</v>
      </c>
      <c r="D1847" s="1"/>
      <c r="E1847" s="1">
        <v>46</v>
      </c>
      <c r="F1847" s="1">
        <v>5</v>
      </c>
      <c r="G1847" s="1" t="s">
        <v>38</v>
      </c>
      <c r="H1847" s="1" t="s">
        <v>839</v>
      </c>
      <c r="I1847" s="1" t="s">
        <v>46</v>
      </c>
      <c r="J1847" s="1" t="s">
        <v>55</v>
      </c>
      <c r="K1847" s="1"/>
      <c r="L1847" s="1"/>
    </row>
    <row r="1848" spans="1:12" s="32" customFormat="1" hidden="1" x14ac:dyDescent="0.3">
      <c r="A1848" s="37">
        <v>46122.683969907404</v>
      </c>
      <c r="B1848" s="1">
        <v>62991155122</v>
      </c>
      <c r="C1848" s="1" t="s">
        <v>42</v>
      </c>
      <c r="D1848" s="1">
        <v>4430265054</v>
      </c>
      <c r="E1848" s="1">
        <v>1295</v>
      </c>
      <c r="F1848" s="1">
        <v>1204</v>
      </c>
      <c r="G1848" s="1" t="s">
        <v>38</v>
      </c>
      <c r="H1848" s="1" t="s">
        <v>840</v>
      </c>
      <c r="I1848" s="1" t="s">
        <v>39</v>
      </c>
      <c r="J1848" s="1" t="s">
        <v>40</v>
      </c>
      <c r="K1848" s="1" t="s">
        <v>41</v>
      </c>
      <c r="L1848" s="1"/>
    </row>
    <row r="1849" spans="1:12" s="32" customFormat="1" hidden="1" x14ac:dyDescent="0.3">
      <c r="A1849" s="37">
        <v>46122.678206018521</v>
      </c>
      <c r="B1849" s="1">
        <v>4130760170</v>
      </c>
      <c r="C1849" s="1" t="s">
        <v>43</v>
      </c>
      <c r="D1849" s="1">
        <v>4430265054</v>
      </c>
      <c r="E1849" s="1">
        <v>772</v>
      </c>
      <c r="F1849" s="1">
        <v>705</v>
      </c>
      <c r="G1849" s="1" t="s">
        <v>38</v>
      </c>
      <c r="H1849" s="1" t="s">
        <v>841</v>
      </c>
      <c r="I1849" s="1" t="s">
        <v>39</v>
      </c>
      <c r="J1849" s="1" t="s">
        <v>40</v>
      </c>
      <c r="K1849" s="1" t="s">
        <v>41</v>
      </c>
      <c r="L1849" s="1">
        <v>5</v>
      </c>
    </row>
    <row r="1850" spans="1:12" s="32" customFormat="1" hidden="1" x14ac:dyDescent="0.3">
      <c r="A1850" s="37">
        <v>46122.674618055556</v>
      </c>
      <c r="B1850" s="1">
        <v>11913466279</v>
      </c>
      <c r="C1850" s="1" t="s">
        <v>45</v>
      </c>
      <c r="D1850" s="1">
        <v>4430265054</v>
      </c>
      <c r="E1850" s="1">
        <v>379</v>
      </c>
      <c r="F1850" s="1">
        <v>345</v>
      </c>
      <c r="G1850" s="1" t="s">
        <v>38</v>
      </c>
      <c r="H1850" s="1" t="s">
        <v>842</v>
      </c>
      <c r="I1850" s="1" t="s">
        <v>39</v>
      </c>
      <c r="J1850" s="1" t="s">
        <v>40</v>
      </c>
      <c r="K1850" s="1" t="s">
        <v>41</v>
      </c>
      <c r="L1850" s="1"/>
    </row>
    <row r="1851" spans="1:12" s="32" customFormat="1" hidden="1" x14ac:dyDescent="0.3">
      <c r="A1851" s="37">
        <v>46122.671412037038</v>
      </c>
      <c r="B1851" s="1" t="s">
        <v>37</v>
      </c>
      <c r="C1851" s="1">
        <v>81994195603</v>
      </c>
      <c r="D1851" s="1"/>
      <c r="E1851" s="1">
        <v>823</v>
      </c>
      <c r="F1851" s="1">
        <v>815</v>
      </c>
      <c r="G1851" s="1" t="s">
        <v>38</v>
      </c>
      <c r="H1851" s="1" t="s">
        <v>843</v>
      </c>
      <c r="I1851" s="1" t="s">
        <v>46</v>
      </c>
      <c r="J1851" s="1" t="s">
        <v>40</v>
      </c>
      <c r="K1851" s="1"/>
      <c r="L1851" s="1"/>
    </row>
    <row r="1852" spans="1:12" s="32" customFormat="1" hidden="1" x14ac:dyDescent="0.3">
      <c r="A1852" s="37">
        <v>46122.669409722221</v>
      </c>
      <c r="B1852" s="1">
        <v>93991495484</v>
      </c>
      <c r="C1852" s="1" t="s">
        <v>43</v>
      </c>
      <c r="D1852" s="1">
        <v>4430265054</v>
      </c>
      <c r="E1852" s="1">
        <v>663</v>
      </c>
      <c r="F1852" s="1">
        <v>625</v>
      </c>
      <c r="G1852" s="1" t="s">
        <v>38</v>
      </c>
      <c r="H1852" s="1" t="s">
        <v>844</v>
      </c>
      <c r="I1852" s="1" t="s">
        <v>39</v>
      </c>
      <c r="J1852" s="1" t="s">
        <v>40</v>
      </c>
      <c r="K1852" s="1" t="s">
        <v>41</v>
      </c>
      <c r="L1852" s="1">
        <v>5</v>
      </c>
    </row>
    <row r="1853" spans="1:12" s="32" customFormat="1" hidden="1" x14ac:dyDescent="0.3">
      <c r="A1853" s="37">
        <v>46122.665219907409</v>
      </c>
      <c r="B1853" s="1">
        <v>1131043888</v>
      </c>
      <c r="C1853" s="1" t="s">
        <v>43</v>
      </c>
      <c r="D1853" s="1">
        <v>4430265054</v>
      </c>
      <c r="E1853" s="1">
        <v>367</v>
      </c>
      <c r="F1853" s="1">
        <v>337</v>
      </c>
      <c r="G1853" s="1" t="s">
        <v>38</v>
      </c>
      <c r="H1853" s="1" t="s">
        <v>845</v>
      </c>
      <c r="I1853" s="1" t="s">
        <v>39</v>
      </c>
      <c r="J1853" s="1" t="s">
        <v>40</v>
      </c>
      <c r="K1853" s="1" t="s">
        <v>41</v>
      </c>
      <c r="L1853" s="1">
        <v>5</v>
      </c>
    </row>
    <row r="1854" spans="1:12" s="32" customFormat="1" hidden="1" x14ac:dyDescent="0.3">
      <c r="A1854" s="37">
        <v>46122.663773148146</v>
      </c>
      <c r="B1854" s="1">
        <v>44991814587</v>
      </c>
      <c r="C1854" s="1" t="s">
        <v>44</v>
      </c>
      <c r="D1854" s="1">
        <v>4430265054</v>
      </c>
      <c r="E1854" s="1">
        <v>2289</v>
      </c>
      <c r="F1854" s="1">
        <v>2225</v>
      </c>
      <c r="G1854" s="1" t="s">
        <v>38</v>
      </c>
      <c r="H1854" s="1" t="s">
        <v>846</v>
      </c>
      <c r="I1854" s="1" t="s">
        <v>39</v>
      </c>
      <c r="J1854" s="1" t="s">
        <v>40</v>
      </c>
      <c r="K1854" s="1" t="s">
        <v>41</v>
      </c>
      <c r="L1854" s="1"/>
    </row>
    <row r="1855" spans="1:12" s="32" customFormat="1" hidden="1" x14ac:dyDescent="0.3">
      <c r="A1855" s="37">
        <v>46122.662754629629</v>
      </c>
      <c r="B1855" s="1" t="s">
        <v>54</v>
      </c>
      <c r="C1855" s="1">
        <v>62982208208</v>
      </c>
      <c r="D1855" s="1"/>
      <c r="E1855" s="1">
        <v>27</v>
      </c>
      <c r="F1855" s="1">
        <v>6</v>
      </c>
      <c r="G1855" s="1" t="s">
        <v>38</v>
      </c>
      <c r="H1855" s="1" t="s">
        <v>847</v>
      </c>
      <c r="I1855" s="1" t="s">
        <v>46</v>
      </c>
      <c r="J1855" s="1" t="s">
        <v>55</v>
      </c>
      <c r="K1855" s="1"/>
      <c r="L1855" s="1"/>
    </row>
    <row r="1856" spans="1:12" s="32" customFormat="1" hidden="1" x14ac:dyDescent="0.3">
      <c r="A1856" s="37">
        <v>46122.661956018521</v>
      </c>
      <c r="B1856" s="1">
        <v>44999449519</v>
      </c>
      <c r="C1856" s="1" t="s">
        <v>42</v>
      </c>
      <c r="D1856" s="1">
        <v>4430265054</v>
      </c>
      <c r="E1856" s="1">
        <v>790</v>
      </c>
      <c r="F1856" s="1">
        <v>746</v>
      </c>
      <c r="G1856" s="1" t="s">
        <v>38</v>
      </c>
      <c r="H1856" s="1" t="s">
        <v>848</v>
      </c>
      <c r="I1856" s="1" t="s">
        <v>39</v>
      </c>
      <c r="J1856" s="1" t="s">
        <v>40</v>
      </c>
      <c r="K1856" s="1" t="s">
        <v>41</v>
      </c>
      <c r="L1856" s="1">
        <v>5</v>
      </c>
    </row>
    <row r="1857" spans="1:12" s="32" customFormat="1" hidden="1" x14ac:dyDescent="0.3">
      <c r="A1857" s="37">
        <v>46122.661516203705</v>
      </c>
      <c r="B1857" s="1">
        <v>4331622700</v>
      </c>
      <c r="C1857" s="1" t="s">
        <v>43</v>
      </c>
      <c r="D1857" s="1">
        <v>4430265054</v>
      </c>
      <c r="E1857" s="1">
        <v>340</v>
      </c>
      <c r="F1857" s="1">
        <v>285</v>
      </c>
      <c r="G1857" s="1" t="s">
        <v>38</v>
      </c>
      <c r="H1857" s="1" t="s">
        <v>849</v>
      </c>
      <c r="I1857" s="1" t="s">
        <v>39</v>
      </c>
      <c r="J1857" s="1" t="s">
        <v>40</v>
      </c>
      <c r="K1857" s="1" t="s">
        <v>41</v>
      </c>
      <c r="L1857" s="1">
        <v>5</v>
      </c>
    </row>
    <row r="1858" spans="1:12" s="32" customFormat="1" hidden="1" x14ac:dyDescent="0.3">
      <c r="A1858" s="37">
        <v>46122.661400462966</v>
      </c>
      <c r="B1858" s="1">
        <v>44999449519</v>
      </c>
      <c r="C1858" s="1">
        <v>4430265054</v>
      </c>
      <c r="D1858" s="1">
        <v>4430265054</v>
      </c>
      <c r="E1858" s="1">
        <v>40</v>
      </c>
      <c r="F1858" s="1">
        <v>39</v>
      </c>
      <c r="G1858" s="1" t="s">
        <v>52</v>
      </c>
      <c r="H1858" s="1" t="s">
        <v>850</v>
      </c>
      <c r="I1858" s="1" t="s">
        <v>39</v>
      </c>
      <c r="J1858" s="1" t="s">
        <v>53</v>
      </c>
      <c r="K1858" s="1" t="s">
        <v>41</v>
      </c>
      <c r="L1858" s="1"/>
    </row>
    <row r="1859" spans="1:12" s="32" customFormat="1" hidden="1" x14ac:dyDescent="0.3">
      <c r="A1859" s="37">
        <v>46122.660752314812</v>
      </c>
      <c r="B1859" s="1" t="s">
        <v>37</v>
      </c>
      <c r="C1859" s="1">
        <v>81994195603</v>
      </c>
      <c r="D1859" s="1"/>
      <c r="E1859" s="1">
        <v>799</v>
      </c>
      <c r="F1859" s="1">
        <v>790</v>
      </c>
      <c r="G1859" s="1" t="s">
        <v>38</v>
      </c>
      <c r="H1859" s="1" t="s">
        <v>851</v>
      </c>
      <c r="I1859" s="1" t="s">
        <v>46</v>
      </c>
      <c r="J1859" s="1" t="s">
        <v>40</v>
      </c>
      <c r="K1859" s="1"/>
      <c r="L1859" s="1"/>
    </row>
    <row r="1860" spans="1:12" s="32" customFormat="1" hidden="1" x14ac:dyDescent="0.3">
      <c r="A1860" s="37">
        <v>46122.659953703704</v>
      </c>
      <c r="B1860" s="1">
        <v>4533011420</v>
      </c>
      <c r="C1860" s="1">
        <v>4531273163</v>
      </c>
      <c r="D1860" s="1">
        <v>4531273163</v>
      </c>
      <c r="E1860" s="1">
        <v>46</v>
      </c>
      <c r="F1860" s="1">
        <v>46</v>
      </c>
      <c r="G1860" s="1" t="s">
        <v>52</v>
      </c>
      <c r="H1860" s="1" t="s">
        <v>852</v>
      </c>
      <c r="I1860" s="1" t="s">
        <v>39</v>
      </c>
      <c r="J1860" s="1" t="s">
        <v>53</v>
      </c>
      <c r="K1860" s="1" t="s">
        <v>41</v>
      </c>
      <c r="L1860" s="1"/>
    </row>
    <row r="1861" spans="1:12" s="32" customFormat="1" hidden="1" x14ac:dyDescent="0.3">
      <c r="A1861" s="37">
        <v>46122.656655092593</v>
      </c>
      <c r="B1861" s="1">
        <v>81994195603</v>
      </c>
      <c r="C1861" s="1">
        <v>4431268225</v>
      </c>
      <c r="D1861" s="1">
        <v>4431268225</v>
      </c>
      <c r="E1861" s="1">
        <v>8</v>
      </c>
      <c r="F1861" s="1">
        <v>7</v>
      </c>
      <c r="G1861" s="1" t="s">
        <v>52</v>
      </c>
      <c r="H1861" s="1" t="s">
        <v>853</v>
      </c>
      <c r="I1861" s="1" t="s">
        <v>39</v>
      </c>
      <c r="J1861" s="1" t="s">
        <v>53</v>
      </c>
      <c r="K1861" s="1"/>
      <c r="L1861" s="1"/>
    </row>
    <row r="1862" spans="1:12" s="32" customFormat="1" hidden="1" x14ac:dyDescent="0.3">
      <c r="A1862" s="37">
        <v>46122.654699074075</v>
      </c>
      <c r="B1862" s="1">
        <v>4431337559</v>
      </c>
      <c r="C1862" s="1" t="s">
        <v>45</v>
      </c>
      <c r="D1862" s="1">
        <v>4430265054</v>
      </c>
      <c r="E1862" s="1">
        <v>1483</v>
      </c>
      <c r="F1862" s="1">
        <v>1410</v>
      </c>
      <c r="G1862" s="1" t="s">
        <v>38</v>
      </c>
      <c r="H1862" s="1" t="s">
        <v>854</v>
      </c>
      <c r="I1862" s="1" t="s">
        <v>39</v>
      </c>
      <c r="J1862" s="1" t="s">
        <v>40</v>
      </c>
      <c r="K1862" s="1" t="s">
        <v>41</v>
      </c>
      <c r="L1862" s="1"/>
    </row>
    <row r="1863" spans="1:12" s="32" customFormat="1" hidden="1" x14ac:dyDescent="0.3">
      <c r="A1863" s="37">
        <v>46122.651238425926</v>
      </c>
      <c r="B1863" s="1">
        <v>4430459032</v>
      </c>
      <c r="C1863" s="1">
        <v>4430265054</v>
      </c>
      <c r="D1863" s="1">
        <v>4430265054</v>
      </c>
      <c r="E1863" s="1">
        <v>18</v>
      </c>
      <c r="F1863" s="1">
        <v>17</v>
      </c>
      <c r="G1863" s="1" t="s">
        <v>52</v>
      </c>
      <c r="H1863" s="1" t="s">
        <v>855</v>
      </c>
      <c r="I1863" s="1" t="s">
        <v>39</v>
      </c>
      <c r="J1863" s="1" t="s">
        <v>53</v>
      </c>
      <c r="K1863" s="1"/>
      <c r="L1863" s="1"/>
    </row>
    <row r="1864" spans="1:12" s="32" customFormat="1" hidden="1" x14ac:dyDescent="0.3">
      <c r="A1864" s="37">
        <v>46122.649456018517</v>
      </c>
      <c r="B1864" s="1" t="s">
        <v>37</v>
      </c>
      <c r="C1864" s="1">
        <v>81994195603</v>
      </c>
      <c r="D1864" s="1"/>
      <c r="E1864" s="1">
        <v>46</v>
      </c>
      <c r="F1864" s="1">
        <v>0</v>
      </c>
      <c r="G1864" s="1" t="s">
        <v>47</v>
      </c>
      <c r="H1864" s="1" t="s">
        <v>856</v>
      </c>
      <c r="I1864" s="1" t="s">
        <v>46</v>
      </c>
      <c r="J1864" s="1" t="s">
        <v>40</v>
      </c>
      <c r="K1864" s="1"/>
      <c r="L1864" s="1"/>
    </row>
    <row r="1865" spans="1:12" s="32" customFormat="1" hidden="1" x14ac:dyDescent="0.3">
      <c r="A1865" s="37">
        <v>46122.636423611111</v>
      </c>
      <c r="B1865" s="1" t="s">
        <v>50</v>
      </c>
      <c r="C1865" s="1" t="s">
        <v>57</v>
      </c>
      <c r="D1865" s="1"/>
      <c r="E1865" s="1">
        <v>626</v>
      </c>
      <c r="F1865" s="1">
        <v>623</v>
      </c>
      <c r="G1865" s="1" t="s">
        <v>38</v>
      </c>
      <c r="H1865" s="1" t="s">
        <v>857</v>
      </c>
      <c r="I1865" s="1" t="s">
        <v>51</v>
      </c>
      <c r="J1865" s="1" t="s">
        <v>55</v>
      </c>
      <c r="K1865" s="1"/>
      <c r="L1865" s="1"/>
    </row>
    <row r="1866" spans="1:12" s="32" customFormat="1" x14ac:dyDescent="0.3">
      <c r="A1866" s="37">
        <v>46122.635138888887</v>
      </c>
      <c r="B1866" s="1">
        <v>4430459032</v>
      </c>
      <c r="C1866" s="1" t="s">
        <v>37</v>
      </c>
      <c r="D1866" s="1">
        <v>4430265054</v>
      </c>
      <c r="E1866" s="1">
        <v>311</v>
      </c>
      <c r="F1866" s="1">
        <v>238</v>
      </c>
      <c r="G1866" s="1" t="s">
        <v>38</v>
      </c>
      <c r="H1866" s="1" t="s">
        <v>858</v>
      </c>
      <c r="I1866" s="1" t="s">
        <v>39</v>
      </c>
      <c r="J1866" s="1" t="s">
        <v>40</v>
      </c>
      <c r="K1866" s="1" t="s">
        <v>41</v>
      </c>
      <c r="L1866" s="1">
        <v>5</v>
      </c>
    </row>
    <row r="1867" spans="1:12" s="32" customFormat="1" hidden="1" x14ac:dyDescent="0.3">
      <c r="A1867" s="37">
        <v>46122.626377314817</v>
      </c>
      <c r="B1867" s="1">
        <v>44997235101</v>
      </c>
      <c r="C1867" s="1" t="s">
        <v>45</v>
      </c>
      <c r="D1867" s="1">
        <v>4430265054</v>
      </c>
      <c r="E1867" s="1">
        <v>588</v>
      </c>
      <c r="F1867" s="1">
        <v>505</v>
      </c>
      <c r="G1867" s="1" t="s">
        <v>38</v>
      </c>
      <c r="H1867" s="1" t="s">
        <v>859</v>
      </c>
      <c r="I1867" s="1" t="s">
        <v>39</v>
      </c>
      <c r="J1867" s="1" t="s">
        <v>40</v>
      </c>
      <c r="K1867" s="1" t="s">
        <v>41</v>
      </c>
      <c r="L1867" s="1">
        <v>5</v>
      </c>
    </row>
    <row r="1868" spans="1:12" s="32" customFormat="1" hidden="1" x14ac:dyDescent="0.3">
      <c r="A1868" s="37">
        <v>46122.62059027778</v>
      </c>
      <c r="B1868" s="1" t="s">
        <v>44</v>
      </c>
      <c r="C1868" s="1">
        <v>4330332823</v>
      </c>
      <c r="D1868" s="1"/>
      <c r="E1868" s="1">
        <v>116</v>
      </c>
      <c r="F1868" s="1">
        <v>109</v>
      </c>
      <c r="G1868" s="1" t="s">
        <v>38</v>
      </c>
      <c r="H1868" s="1" t="s">
        <v>860</v>
      </c>
      <c r="I1868" s="1" t="s">
        <v>46</v>
      </c>
      <c r="J1868" s="1" t="s">
        <v>40</v>
      </c>
      <c r="K1868" s="1"/>
      <c r="L1868" s="1"/>
    </row>
    <row r="1869" spans="1:12" s="32" customFormat="1" hidden="1" x14ac:dyDescent="0.3">
      <c r="A1869" s="37">
        <v>46122.619027777779</v>
      </c>
      <c r="B1869" s="1">
        <v>4130775695</v>
      </c>
      <c r="C1869" s="1" t="s">
        <v>43</v>
      </c>
      <c r="D1869" s="1">
        <v>4430265054</v>
      </c>
      <c r="E1869" s="1">
        <v>268</v>
      </c>
      <c r="F1869" s="1">
        <v>224</v>
      </c>
      <c r="G1869" s="1" t="s">
        <v>38</v>
      </c>
      <c r="H1869" s="1" t="s">
        <v>861</v>
      </c>
      <c r="I1869" s="1" t="s">
        <v>39</v>
      </c>
      <c r="J1869" s="1" t="s">
        <v>40</v>
      </c>
      <c r="K1869" s="1" t="s">
        <v>41</v>
      </c>
      <c r="L1869" s="1"/>
    </row>
    <row r="1870" spans="1:12" s="32" customFormat="1" hidden="1" x14ac:dyDescent="0.3">
      <c r="A1870" s="37">
        <v>46122.618958333333</v>
      </c>
      <c r="B1870" s="1" t="s">
        <v>48</v>
      </c>
      <c r="C1870" s="1">
        <v>4436292220</v>
      </c>
      <c r="D1870" s="1"/>
      <c r="E1870" s="1">
        <v>619</v>
      </c>
      <c r="F1870" s="1">
        <v>611</v>
      </c>
      <c r="G1870" s="1" t="s">
        <v>38</v>
      </c>
      <c r="H1870" s="1" t="s">
        <v>862</v>
      </c>
      <c r="I1870" s="1" t="s">
        <v>46</v>
      </c>
      <c r="J1870" s="1" t="s">
        <v>40</v>
      </c>
      <c r="K1870" s="1"/>
      <c r="L1870" s="1"/>
    </row>
    <row r="1871" spans="1:12" s="32" customFormat="1" hidden="1" x14ac:dyDescent="0.3">
      <c r="A1871" s="37">
        <v>46122.618842592594</v>
      </c>
      <c r="B1871" s="1" t="s">
        <v>48</v>
      </c>
      <c r="C1871" s="1">
        <v>4436292220</v>
      </c>
      <c r="D1871" s="1"/>
      <c r="E1871" s="1">
        <v>25</v>
      </c>
      <c r="F1871" s="1">
        <v>25</v>
      </c>
      <c r="G1871" s="1" t="s">
        <v>38</v>
      </c>
      <c r="H1871" s="1" t="s">
        <v>863</v>
      </c>
      <c r="I1871" s="1" t="s">
        <v>46</v>
      </c>
      <c r="J1871" s="1" t="s">
        <v>40</v>
      </c>
      <c r="K1871" s="1"/>
      <c r="L1871" s="1"/>
    </row>
    <row r="1872" spans="1:12" s="32" customFormat="1" hidden="1" x14ac:dyDescent="0.3">
      <c r="A1872" s="37">
        <v>46122.616724537038</v>
      </c>
      <c r="B1872" s="1" t="s">
        <v>48</v>
      </c>
      <c r="C1872" s="1">
        <v>4436291629</v>
      </c>
      <c r="D1872" s="1"/>
      <c r="E1872" s="1">
        <v>134</v>
      </c>
      <c r="F1872" s="1">
        <v>116</v>
      </c>
      <c r="G1872" s="1" t="s">
        <v>38</v>
      </c>
      <c r="H1872" s="1" t="s">
        <v>864</v>
      </c>
      <c r="I1872" s="1" t="s">
        <v>46</v>
      </c>
      <c r="J1872" s="1" t="s">
        <v>40</v>
      </c>
      <c r="K1872" s="1"/>
      <c r="L1872" s="1"/>
    </row>
    <row r="1873" spans="1:12" s="32" customFormat="1" hidden="1" x14ac:dyDescent="0.3">
      <c r="A1873" s="37">
        <v>46122.616527777776</v>
      </c>
      <c r="B1873" s="1" t="s">
        <v>48</v>
      </c>
      <c r="C1873" s="1">
        <v>4436291629</v>
      </c>
      <c r="D1873" s="1"/>
      <c r="E1873" s="1">
        <v>25</v>
      </c>
      <c r="F1873" s="1">
        <v>25</v>
      </c>
      <c r="G1873" s="1" t="s">
        <v>38</v>
      </c>
      <c r="H1873" s="1" t="s">
        <v>865</v>
      </c>
      <c r="I1873" s="1" t="s">
        <v>46</v>
      </c>
      <c r="J1873" s="1" t="s">
        <v>40</v>
      </c>
      <c r="K1873" s="1"/>
      <c r="L1873" s="1"/>
    </row>
    <row r="1874" spans="1:12" s="32" customFormat="1" hidden="1" x14ac:dyDescent="0.3">
      <c r="A1874" s="37">
        <v>46122.615868055553</v>
      </c>
      <c r="B1874" s="1" t="s">
        <v>43</v>
      </c>
      <c r="C1874" s="1">
        <v>4430291622</v>
      </c>
      <c r="D1874" s="1"/>
      <c r="E1874" s="1">
        <v>47</v>
      </c>
      <c r="F1874" s="1">
        <v>37</v>
      </c>
      <c r="G1874" s="1" t="s">
        <v>38</v>
      </c>
      <c r="H1874" s="1" t="s">
        <v>866</v>
      </c>
      <c r="I1874" s="1" t="s">
        <v>46</v>
      </c>
      <c r="J1874" s="1" t="s">
        <v>40</v>
      </c>
      <c r="K1874" s="1"/>
      <c r="L1874" s="1"/>
    </row>
    <row r="1875" spans="1:12" s="32" customFormat="1" hidden="1" x14ac:dyDescent="0.3">
      <c r="A1875" s="37">
        <v>46122.60869212963</v>
      </c>
      <c r="B1875" s="1">
        <v>11940298065</v>
      </c>
      <c r="C1875" s="1" t="s">
        <v>42</v>
      </c>
      <c r="D1875" s="1">
        <v>4430265054</v>
      </c>
      <c r="E1875" s="1">
        <v>2316</v>
      </c>
      <c r="F1875" s="1">
        <v>2295</v>
      </c>
      <c r="G1875" s="1" t="s">
        <v>38</v>
      </c>
      <c r="H1875" s="1" t="s">
        <v>867</v>
      </c>
      <c r="I1875" s="1" t="s">
        <v>39</v>
      </c>
      <c r="J1875" s="1" t="s">
        <v>40</v>
      </c>
      <c r="K1875" s="1" t="s">
        <v>41</v>
      </c>
      <c r="L1875" s="1"/>
    </row>
    <row r="1876" spans="1:12" s="32" customFormat="1" x14ac:dyDescent="0.3">
      <c r="A1876" s="37">
        <v>46122.599907407406</v>
      </c>
      <c r="B1876" s="1">
        <v>11916079448</v>
      </c>
      <c r="C1876" s="1" t="s">
        <v>37</v>
      </c>
      <c r="D1876" s="1">
        <v>4430265054</v>
      </c>
      <c r="E1876" s="1">
        <v>1332</v>
      </c>
      <c r="F1876" s="1">
        <v>1107</v>
      </c>
      <c r="G1876" s="1" t="s">
        <v>38</v>
      </c>
      <c r="H1876" s="1" t="s">
        <v>868</v>
      </c>
      <c r="I1876" s="1" t="s">
        <v>39</v>
      </c>
      <c r="J1876" s="1" t="s">
        <v>40</v>
      </c>
      <c r="K1876" s="1" t="s">
        <v>41</v>
      </c>
      <c r="L1876" s="1">
        <v>5</v>
      </c>
    </row>
    <row r="1877" spans="1:12" s="32" customFormat="1" hidden="1" x14ac:dyDescent="0.3">
      <c r="A1877" s="37">
        <v>46122.595370370371</v>
      </c>
      <c r="B1877" s="1" t="s">
        <v>43</v>
      </c>
      <c r="C1877" s="1">
        <v>4430291622</v>
      </c>
      <c r="D1877" s="1"/>
      <c r="E1877" s="1">
        <v>53</v>
      </c>
      <c r="F1877" s="1">
        <v>45</v>
      </c>
      <c r="G1877" s="1" t="s">
        <v>38</v>
      </c>
      <c r="H1877" s="1" t="s">
        <v>869</v>
      </c>
      <c r="I1877" s="1" t="s">
        <v>46</v>
      </c>
      <c r="J1877" s="1" t="s">
        <v>40</v>
      </c>
      <c r="K1877" s="1"/>
      <c r="L1877" s="1"/>
    </row>
    <row r="1878" spans="1:12" s="32" customFormat="1" hidden="1" x14ac:dyDescent="0.3">
      <c r="A1878" s="37">
        <v>46122.591307870367</v>
      </c>
      <c r="B1878" s="1" t="s">
        <v>45</v>
      </c>
      <c r="C1878" s="1">
        <v>4432524636</v>
      </c>
      <c r="D1878" s="1"/>
      <c r="E1878" s="1">
        <v>1941</v>
      </c>
      <c r="F1878" s="1">
        <v>1935</v>
      </c>
      <c r="G1878" s="1" t="s">
        <v>38</v>
      </c>
      <c r="H1878" s="1" t="s">
        <v>870</v>
      </c>
      <c r="I1878" s="1" t="s">
        <v>46</v>
      </c>
      <c r="J1878" s="1" t="s">
        <v>40</v>
      </c>
      <c r="K1878" s="1"/>
      <c r="L1878" s="1"/>
    </row>
    <row r="1879" spans="1:12" s="32" customFormat="1" hidden="1" x14ac:dyDescent="0.3">
      <c r="A1879" s="37">
        <v>46122.591226851851</v>
      </c>
      <c r="B1879" s="1" t="s">
        <v>45</v>
      </c>
      <c r="C1879" s="1">
        <v>4432524636</v>
      </c>
      <c r="D1879" s="1"/>
      <c r="E1879" s="1">
        <v>25</v>
      </c>
      <c r="F1879" s="1">
        <v>25</v>
      </c>
      <c r="G1879" s="1" t="s">
        <v>38</v>
      </c>
      <c r="H1879" s="1" t="s">
        <v>871</v>
      </c>
      <c r="I1879" s="1" t="s">
        <v>46</v>
      </c>
      <c r="J1879" s="1" t="s">
        <v>40</v>
      </c>
      <c r="K1879" s="1"/>
      <c r="L1879" s="1"/>
    </row>
    <row r="1880" spans="1:12" s="32" customFormat="1" hidden="1" x14ac:dyDescent="0.3">
      <c r="A1880" s="37">
        <v>46122.586076388892</v>
      </c>
      <c r="B1880" s="1">
        <v>1732146970</v>
      </c>
      <c r="C1880" s="1" t="s">
        <v>44</v>
      </c>
      <c r="D1880" s="1">
        <v>4431268225</v>
      </c>
      <c r="E1880" s="1">
        <v>1656</v>
      </c>
      <c r="F1880" s="1">
        <v>1563</v>
      </c>
      <c r="G1880" s="1" t="s">
        <v>38</v>
      </c>
      <c r="H1880" s="1" t="s">
        <v>872</v>
      </c>
      <c r="I1880" s="1" t="s">
        <v>39</v>
      </c>
      <c r="J1880" s="1" t="s">
        <v>40</v>
      </c>
      <c r="K1880" s="1" t="s">
        <v>41</v>
      </c>
      <c r="L1880" s="1"/>
    </row>
    <row r="1881" spans="1:12" s="32" customFormat="1" hidden="1" x14ac:dyDescent="0.3">
      <c r="A1881" s="37">
        <v>46122.579675925925</v>
      </c>
      <c r="B1881" s="1">
        <v>4432524636</v>
      </c>
      <c r="C1881" s="1" t="s">
        <v>45</v>
      </c>
      <c r="D1881" s="1">
        <v>4430265054</v>
      </c>
      <c r="E1881" s="1">
        <v>991</v>
      </c>
      <c r="F1881" s="1">
        <v>960</v>
      </c>
      <c r="G1881" s="1" t="s">
        <v>38</v>
      </c>
      <c r="H1881" s="1" t="s">
        <v>873</v>
      </c>
      <c r="I1881" s="1" t="s">
        <v>39</v>
      </c>
      <c r="J1881" s="1" t="s">
        <v>40</v>
      </c>
      <c r="K1881" s="1" t="s">
        <v>41</v>
      </c>
      <c r="L1881" s="1"/>
    </row>
    <row r="1882" spans="1:12" s="32" customFormat="1" hidden="1" x14ac:dyDescent="0.3">
      <c r="A1882" s="37">
        <v>46122.577245370368</v>
      </c>
      <c r="B1882" s="1">
        <v>4432524636</v>
      </c>
      <c r="C1882" s="1">
        <v>4430265054</v>
      </c>
      <c r="D1882" s="1">
        <v>4430265054</v>
      </c>
      <c r="E1882" s="1">
        <v>37</v>
      </c>
      <c r="F1882" s="1">
        <v>37</v>
      </c>
      <c r="G1882" s="1" t="s">
        <v>52</v>
      </c>
      <c r="H1882" s="1" t="s">
        <v>874</v>
      </c>
      <c r="I1882" s="1" t="s">
        <v>39</v>
      </c>
      <c r="J1882" s="1" t="s">
        <v>53</v>
      </c>
      <c r="K1882" s="1" t="s">
        <v>41</v>
      </c>
      <c r="L1882" s="1"/>
    </row>
    <row r="1883" spans="1:12" s="32" customFormat="1" hidden="1" x14ac:dyDescent="0.3">
      <c r="A1883" s="37">
        <v>46122.57576388889</v>
      </c>
      <c r="B1883" s="1" t="s">
        <v>37</v>
      </c>
      <c r="C1883" s="1">
        <v>81997464880</v>
      </c>
      <c r="D1883" s="1"/>
      <c r="E1883" s="1">
        <v>9</v>
      </c>
      <c r="F1883" s="1">
        <v>0</v>
      </c>
      <c r="G1883" s="1" t="s">
        <v>47</v>
      </c>
      <c r="H1883" s="1" t="s">
        <v>875</v>
      </c>
      <c r="I1883" s="1" t="s">
        <v>46</v>
      </c>
      <c r="J1883" s="1" t="s">
        <v>40</v>
      </c>
      <c r="K1883" s="1"/>
      <c r="L1883" s="1"/>
    </row>
    <row r="1884" spans="1:12" s="32" customFormat="1" hidden="1" x14ac:dyDescent="0.3">
      <c r="A1884" s="37">
        <v>46122.57508101852</v>
      </c>
      <c r="B1884" s="1" t="s">
        <v>37</v>
      </c>
      <c r="C1884" s="1">
        <v>81997464880</v>
      </c>
      <c r="D1884" s="1"/>
      <c r="E1884" s="1">
        <v>8</v>
      </c>
      <c r="F1884" s="1">
        <v>0</v>
      </c>
      <c r="G1884" s="1" t="s">
        <v>47</v>
      </c>
      <c r="H1884" s="1" t="s">
        <v>876</v>
      </c>
      <c r="I1884" s="1" t="s">
        <v>46</v>
      </c>
      <c r="J1884" s="1" t="s">
        <v>40</v>
      </c>
      <c r="K1884" s="1"/>
      <c r="L1884" s="1"/>
    </row>
    <row r="1885" spans="1:12" s="32" customFormat="1" hidden="1" x14ac:dyDescent="0.3">
      <c r="A1885" s="37">
        <v>46122.571701388886</v>
      </c>
      <c r="B1885" s="1" t="s">
        <v>43</v>
      </c>
      <c r="C1885" s="1">
        <v>4430291622</v>
      </c>
      <c r="D1885" s="1"/>
      <c r="E1885" s="1">
        <v>1038</v>
      </c>
      <c r="F1885" s="1">
        <v>1030</v>
      </c>
      <c r="G1885" s="1" t="s">
        <v>38</v>
      </c>
      <c r="H1885" s="1" t="s">
        <v>877</v>
      </c>
      <c r="I1885" s="1" t="s">
        <v>46</v>
      </c>
      <c r="J1885" s="1" t="s">
        <v>40</v>
      </c>
      <c r="K1885" s="1"/>
      <c r="L1885" s="1"/>
    </row>
    <row r="1886" spans="1:12" s="32" customFormat="1" hidden="1" x14ac:dyDescent="0.3">
      <c r="A1886" s="37">
        <v>46122.571608796294</v>
      </c>
      <c r="B1886" s="1" t="s">
        <v>43</v>
      </c>
      <c r="C1886" s="1">
        <v>4430291622</v>
      </c>
      <c r="D1886" s="1"/>
      <c r="E1886" s="1">
        <v>26</v>
      </c>
      <c r="F1886" s="1">
        <v>25</v>
      </c>
      <c r="G1886" s="1" t="s">
        <v>38</v>
      </c>
      <c r="H1886" s="1" t="s">
        <v>878</v>
      </c>
      <c r="I1886" s="1" t="s">
        <v>46</v>
      </c>
      <c r="J1886" s="1" t="s">
        <v>40</v>
      </c>
      <c r="K1886" s="1"/>
      <c r="L1886" s="1"/>
    </row>
    <row r="1887" spans="1:12" s="32" customFormat="1" hidden="1" x14ac:dyDescent="0.3">
      <c r="A1887" s="37">
        <v>46122.571388888886</v>
      </c>
      <c r="B1887" s="1">
        <v>44998266194</v>
      </c>
      <c r="C1887" s="1" t="s">
        <v>45</v>
      </c>
      <c r="D1887" s="1">
        <v>4431268225</v>
      </c>
      <c r="E1887" s="1">
        <v>189</v>
      </c>
      <c r="F1887" s="1">
        <v>154</v>
      </c>
      <c r="G1887" s="1" t="s">
        <v>38</v>
      </c>
      <c r="H1887" s="1" t="s">
        <v>879</v>
      </c>
      <c r="I1887" s="1" t="s">
        <v>39</v>
      </c>
      <c r="J1887" s="1" t="s">
        <v>40</v>
      </c>
      <c r="K1887" s="1" t="s">
        <v>41</v>
      </c>
      <c r="L1887" s="1">
        <v>5</v>
      </c>
    </row>
    <row r="1888" spans="1:12" s="32" customFormat="1" hidden="1" x14ac:dyDescent="0.3">
      <c r="A1888" s="37">
        <v>46122.564085648148</v>
      </c>
      <c r="B1888" s="1" t="s">
        <v>45</v>
      </c>
      <c r="C1888" s="1">
        <v>4432637197</v>
      </c>
      <c r="D1888" s="1"/>
      <c r="E1888" s="1">
        <v>263</v>
      </c>
      <c r="F1888" s="1">
        <v>254</v>
      </c>
      <c r="G1888" s="1" t="s">
        <v>38</v>
      </c>
      <c r="H1888" s="1" t="s">
        <v>880</v>
      </c>
      <c r="I1888" s="1" t="s">
        <v>46</v>
      </c>
      <c r="J1888" s="1" t="s">
        <v>40</v>
      </c>
      <c r="K1888" s="1"/>
      <c r="L1888" s="1">
        <v>5</v>
      </c>
    </row>
    <row r="1889" spans="1:12" s="32" customFormat="1" hidden="1" x14ac:dyDescent="0.3">
      <c r="A1889" s="37">
        <v>46122.563969907409</v>
      </c>
      <c r="B1889" s="1" t="s">
        <v>45</v>
      </c>
      <c r="C1889" s="1">
        <v>4432637197</v>
      </c>
      <c r="D1889" s="1"/>
      <c r="E1889" s="1">
        <v>25</v>
      </c>
      <c r="F1889" s="1">
        <v>25</v>
      </c>
      <c r="G1889" s="1" t="s">
        <v>38</v>
      </c>
      <c r="H1889" s="1" t="s">
        <v>881</v>
      </c>
      <c r="I1889" s="1" t="s">
        <v>46</v>
      </c>
      <c r="J1889" s="1" t="s">
        <v>40</v>
      </c>
      <c r="K1889" s="1"/>
      <c r="L1889" s="1"/>
    </row>
    <row r="1890" spans="1:12" s="32" customFormat="1" hidden="1" x14ac:dyDescent="0.3">
      <c r="A1890" s="37">
        <v>46122.557928240742</v>
      </c>
      <c r="B1890" s="1">
        <v>4432524636</v>
      </c>
      <c r="C1890" s="1">
        <v>4430265054</v>
      </c>
      <c r="D1890" s="1">
        <v>4430265054</v>
      </c>
      <c r="E1890" s="1">
        <v>20</v>
      </c>
      <c r="F1890" s="1">
        <v>20</v>
      </c>
      <c r="G1890" s="1" t="s">
        <v>52</v>
      </c>
      <c r="H1890" s="1" t="s">
        <v>882</v>
      </c>
      <c r="I1890" s="1" t="s">
        <v>39</v>
      </c>
      <c r="J1890" s="1" t="s">
        <v>53</v>
      </c>
      <c r="K1890" s="1"/>
      <c r="L1890" s="1"/>
    </row>
    <row r="1891" spans="1:12" s="32" customFormat="1" hidden="1" x14ac:dyDescent="0.3">
      <c r="A1891" s="37">
        <v>46122.553356481483</v>
      </c>
      <c r="B1891" s="1">
        <v>44932322573</v>
      </c>
      <c r="C1891" s="1">
        <v>4430265054</v>
      </c>
      <c r="D1891" s="1">
        <v>4430265054</v>
      </c>
      <c r="E1891" s="1">
        <v>4</v>
      </c>
      <c r="F1891" s="1">
        <v>3</v>
      </c>
      <c r="G1891" s="1" t="s">
        <v>52</v>
      </c>
      <c r="H1891" s="1" t="s">
        <v>883</v>
      </c>
      <c r="I1891" s="1" t="s">
        <v>39</v>
      </c>
      <c r="J1891" s="1" t="s">
        <v>53</v>
      </c>
      <c r="K1891" s="1"/>
      <c r="L1891" s="1"/>
    </row>
    <row r="1892" spans="1:12" s="32" customFormat="1" hidden="1" x14ac:dyDescent="0.3">
      <c r="A1892" s="37">
        <v>46122.528310185182</v>
      </c>
      <c r="B1892" s="1">
        <v>4121413772</v>
      </c>
      <c r="C1892" s="1">
        <v>4531273152</v>
      </c>
      <c r="D1892" s="1">
        <v>4531273152</v>
      </c>
      <c r="E1892" s="1">
        <v>28</v>
      </c>
      <c r="F1892" s="1">
        <v>28</v>
      </c>
      <c r="G1892" s="1" t="s">
        <v>52</v>
      </c>
      <c r="H1892" s="1" t="s">
        <v>884</v>
      </c>
      <c r="I1892" s="1" t="s">
        <v>39</v>
      </c>
      <c r="J1892" s="1" t="s">
        <v>53</v>
      </c>
      <c r="K1892" s="1"/>
      <c r="L1892" s="1"/>
    </row>
    <row r="1893" spans="1:12" s="32" customFormat="1" hidden="1" x14ac:dyDescent="0.3">
      <c r="A1893" s="37">
        <v>46122.507465277777</v>
      </c>
      <c r="B1893" s="1">
        <v>4121418115</v>
      </c>
      <c r="C1893" s="1">
        <v>4531273155</v>
      </c>
      <c r="D1893" s="1">
        <v>4531273155</v>
      </c>
      <c r="E1893" s="1">
        <v>28</v>
      </c>
      <c r="F1893" s="1">
        <v>28</v>
      </c>
      <c r="G1893" s="1" t="s">
        <v>52</v>
      </c>
      <c r="H1893" s="1" t="s">
        <v>885</v>
      </c>
      <c r="I1893" s="1" t="s">
        <v>39</v>
      </c>
      <c r="J1893" s="1" t="s">
        <v>53</v>
      </c>
      <c r="K1893" s="1"/>
      <c r="L1893" s="1"/>
    </row>
    <row r="1894" spans="1:12" s="32" customFormat="1" hidden="1" x14ac:dyDescent="0.3">
      <c r="A1894" s="37">
        <v>46122.502187500002</v>
      </c>
      <c r="B1894" s="1">
        <v>4533042020</v>
      </c>
      <c r="C1894" s="1">
        <v>4531273151</v>
      </c>
      <c r="D1894" s="1">
        <v>4531273151</v>
      </c>
      <c r="E1894" s="1">
        <v>29</v>
      </c>
      <c r="F1894" s="1">
        <v>28</v>
      </c>
      <c r="G1894" s="1" t="s">
        <v>52</v>
      </c>
      <c r="H1894" s="1" t="s">
        <v>886</v>
      </c>
      <c r="I1894" s="1" t="s">
        <v>39</v>
      </c>
      <c r="J1894" s="1" t="s">
        <v>53</v>
      </c>
      <c r="K1894" s="1"/>
      <c r="L1894" s="1"/>
    </row>
    <row r="1895" spans="1:12" s="32" customFormat="1" hidden="1" x14ac:dyDescent="0.3">
      <c r="A1895" s="37">
        <v>46122.499548611115</v>
      </c>
      <c r="B1895" s="1">
        <v>4121410323</v>
      </c>
      <c r="C1895" s="1" t="s">
        <v>37</v>
      </c>
      <c r="D1895" s="1">
        <v>4531273161</v>
      </c>
      <c r="E1895" s="1">
        <v>46</v>
      </c>
      <c r="F1895" s="1">
        <v>13</v>
      </c>
      <c r="G1895" s="1" t="s">
        <v>38</v>
      </c>
      <c r="H1895" s="1" t="s">
        <v>887</v>
      </c>
      <c r="I1895" s="1" t="s">
        <v>39</v>
      </c>
      <c r="J1895" s="1" t="s">
        <v>40</v>
      </c>
      <c r="K1895" s="1" t="s">
        <v>41</v>
      </c>
      <c r="L1895" s="1"/>
    </row>
    <row r="1896" spans="1:12" s="32" customFormat="1" hidden="1" x14ac:dyDescent="0.3">
      <c r="A1896" s="37">
        <v>46122.498796296299</v>
      </c>
      <c r="B1896" s="1">
        <v>4533011395</v>
      </c>
      <c r="C1896" s="1" t="s">
        <v>45</v>
      </c>
      <c r="D1896" s="1">
        <v>4531273159</v>
      </c>
      <c r="E1896" s="1">
        <v>47</v>
      </c>
      <c r="F1896" s="1">
        <v>9</v>
      </c>
      <c r="G1896" s="1" t="s">
        <v>38</v>
      </c>
      <c r="H1896" s="1" t="s">
        <v>888</v>
      </c>
      <c r="I1896" s="1" t="s">
        <v>39</v>
      </c>
      <c r="J1896" s="1" t="s">
        <v>40</v>
      </c>
      <c r="K1896" s="1" t="s">
        <v>41</v>
      </c>
      <c r="L1896" s="1"/>
    </row>
    <row r="1897" spans="1:12" s="32" customFormat="1" hidden="1" x14ac:dyDescent="0.3">
      <c r="A1897" s="37">
        <v>46122.491724537038</v>
      </c>
      <c r="B1897" s="1">
        <v>44997735525</v>
      </c>
      <c r="C1897" s="1" t="s">
        <v>42</v>
      </c>
      <c r="D1897" s="1">
        <v>4430265054</v>
      </c>
      <c r="E1897" s="1">
        <v>759</v>
      </c>
      <c r="F1897" s="1">
        <v>680</v>
      </c>
      <c r="G1897" s="1" t="s">
        <v>38</v>
      </c>
      <c r="H1897" s="1" t="s">
        <v>889</v>
      </c>
      <c r="I1897" s="1" t="s">
        <v>39</v>
      </c>
      <c r="J1897" s="1" t="s">
        <v>40</v>
      </c>
      <c r="K1897" s="1" t="s">
        <v>41</v>
      </c>
      <c r="L1897" s="1">
        <v>5</v>
      </c>
    </row>
    <row r="1898" spans="1:12" s="32" customFormat="1" hidden="1" x14ac:dyDescent="0.3">
      <c r="A1898" s="37">
        <v>46122.486134259256</v>
      </c>
      <c r="B1898" s="1">
        <v>77999014770</v>
      </c>
      <c r="C1898" s="1" t="s">
        <v>45</v>
      </c>
      <c r="D1898" s="1">
        <v>4430265054</v>
      </c>
      <c r="E1898" s="1">
        <v>432</v>
      </c>
      <c r="F1898" s="1">
        <v>400</v>
      </c>
      <c r="G1898" s="1" t="s">
        <v>38</v>
      </c>
      <c r="H1898" s="1" t="s">
        <v>890</v>
      </c>
      <c r="I1898" s="1" t="s">
        <v>39</v>
      </c>
      <c r="J1898" s="1" t="s">
        <v>40</v>
      </c>
      <c r="K1898" s="1" t="s">
        <v>41</v>
      </c>
      <c r="L1898" s="1"/>
    </row>
    <row r="1899" spans="1:12" s="32" customFormat="1" hidden="1" x14ac:dyDescent="0.3">
      <c r="A1899" s="37">
        <v>46122.484178240738</v>
      </c>
      <c r="B1899" s="1">
        <v>4334226481</v>
      </c>
      <c r="C1899" s="1" t="s">
        <v>43</v>
      </c>
      <c r="D1899" s="1">
        <v>4430265054</v>
      </c>
      <c r="E1899" s="1">
        <v>529</v>
      </c>
      <c r="F1899" s="1">
        <v>381</v>
      </c>
      <c r="G1899" s="1" t="s">
        <v>38</v>
      </c>
      <c r="H1899" s="1" t="s">
        <v>891</v>
      </c>
      <c r="I1899" s="1" t="s">
        <v>39</v>
      </c>
      <c r="J1899" s="1" t="s">
        <v>40</v>
      </c>
      <c r="K1899" s="1" t="s">
        <v>41</v>
      </c>
      <c r="L1899" s="1">
        <v>5</v>
      </c>
    </row>
    <row r="1900" spans="1:12" s="32" customFormat="1" hidden="1" x14ac:dyDescent="0.3">
      <c r="A1900" s="37">
        <v>46122.48</v>
      </c>
      <c r="B1900" s="1" t="s">
        <v>45</v>
      </c>
      <c r="C1900" s="1">
        <v>4432637197</v>
      </c>
      <c r="D1900" s="1"/>
      <c r="E1900" s="1">
        <v>68</v>
      </c>
      <c r="F1900" s="1">
        <v>0</v>
      </c>
      <c r="G1900" s="1" t="s">
        <v>47</v>
      </c>
      <c r="H1900" s="1" t="s">
        <v>892</v>
      </c>
      <c r="I1900" s="1" t="s">
        <v>46</v>
      </c>
      <c r="J1900" s="1" t="s">
        <v>40</v>
      </c>
      <c r="K1900" s="1"/>
      <c r="L1900" s="1"/>
    </row>
    <row r="1901" spans="1:12" s="32" customFormat="1" hidden="1" x14ac:dyDescent="0.3">
      <c r="A1901" s="37">
        <v>46122.479907407411</v>
      </c>
      <c r="B1901" s="1" t="s">
        <v>45</v>
      </c>
      <c r="C1901" s="1">
        <v>4432637197</v>
      </c>
      <c r="D1901" s="1"/>
      <c r="E1901" s="1">
        <v>25</v>
      </c>
      <c r="F1901" s="1">
        <v>25</v>
      </c>
      <c r="G1901" s="1" t="s">
        <v>38</v>
      </c>
      <c r="H1901" s="1" t="s">
        <v>893</v>
      </c>
      <c r="I1901" s="1" t="s">
        <v>46</v>
      </c>
      <c r="J1901" s="1" t="s">
        <v>40</v>
      </c>
      <c r="K1901" s="1"/>
      <c r="L1901" s="1"/>
    </row>
    <row r="1902" spans="1:12" s="32" customFormat="1" hidden="1" x14ac:dyDescent="0.3">
      <c r="A1902" s="37">
        <v>46122.472256944442</v>
      </c>
      <c r="B1902" s="1">
        <v>18997449617</v>
      </c>
      <c r="C1902" s="1" t="s">
        <v>37</v>
      </c>
      <c r="D1902" s="1">
        <v>4430265054</v>
      </c>
      <c r="E1902" s="1">
        <v>322</v>
      </c>
      <c r="F1902" s="1">
        <v>296</v>
      </c>
      <c r="G1902" s="1" t="s">
        <v>38</v>
      </c>
      <c r="H1902" s="1" t="s">
        <v>894</v>
      </c>
      <c r="I1902" s="1" t="s">
        <v>39</v>
      </c>
      <c r="J1902" s="1" t="s">
        <v>40</v>
      </c>
      <c r="K1902" s="1" t="s">
        <v>41</v>
      </c>
      <c r="L1902" s="1"/>
    </row>
    <row r="1903" spans="1:12" s="32" customFormat="1" hidden="1" x14ac:dyDescent="0.3">
      <c r="A1903" s="37">
        <v>46122.470289351855</v>
      </c>
      <c r="B1903" s="1">
        <v>44999647912</v>
      </c>
      <c r="C1903" s="1" t="s">
        <v>45</v>
      </c>
      <c r="D1903" s="1">
        <v>4430265054</v>
      </c>
      <c r="E1903" s="1">
        <v>205</v>
      </c>
      <c r="F1903" s="1">
        <v>127</v>
      </c>
      <c r="G1903" s="1" t="s">
        <v>38</v>
      </c>
      <c r="H1903" s="1" t="s">
        <v>895</v>
      </c>
      <c r="I1903" s="1" t="s">
        <v>39</v>
      </c>
      <c r="J1903" s="1" t="s">
        <v>40</v>
      </c>
      <c r="K1903" s="1" t="s">
        <v>41</v>
      </c>
      <c r="L1903" s="1"/>
    </row>
    <row r="1904" spans="1:12" s="32" customFormat="1" hidden="1" x14ac:dyDescent="0.3">
      <c r="A1904" s="37">
        <v>46122.466932870368</v>
      </c>
      <c r="B1904" s="1" t="s">
        <v>54</v>
      </c>
      <c r="C1904" s="1">
        <v>47974008912</v>
      </c>
      <c r="D1904" s="1"/>
      <c r="E1904" s="1">
        <v>22</v>
      </c>
      <c r="F1904" s="1">
        <v>0</v>
      </c>
      <c r="G1904" s="1" t="s">
        <v>47</v>
      </c>
      <c r="H1904" s="1" t="s">
        <v>896</v>
      </c>
      <c r="I1904" s="1" t="s">
        <v>46</v>
      </c>
      <c r="J1904" s="1" t="s">
        <v>55</v>
      </c>
      <c r="K1904" s="1"/>
      <c r="L1904" s="1"/>
    </row>
    <row r="1905" spans="1:12" s="32" customFormat="1" hidden="1" x14ac:dyDescent="0.3">
      <c r="A1905" s="37">
        <v>46122.465543981481</v>
      </c>
      <c r="B1905" s="1" t="s">
        <v>45</v>
      </c>
      <c r="C1905" s="1">
        <v>44999814176</v>
      </c>
      <c r="D1905" s="1"/>
      <c r="E1905" s="1">
        <v>11</v>
      </c>
      <c r="F1905" s="1">
        <v>0</v>
      </c>
      <c r="G1905" s="1" t="s">
        <v>47</v>
      </c>
      <c r="H1905" s="1" t="s">
        <v>897</v>
      </c>
      <c r="I1905" s="1" t="s">
        <v>46</v>
      </c>
      <c r="J1905" s="1" t="s">
        <v>40</v>
      </c>
      <c r="K1905" s="1"/>
      <c r="L1905" s="1"/>
    </row>
    <row r="1906" spans="1:12" s="32" customFormat="1" hidden="1" x14ac:dyDescent="0.3">
      <c r="A1906" s="37">
        <v>46122.464988425927</v>
      </c>
      <c r="B1906" s="1" t="s">
        <v>54</v>
      </c>
      <c r="C1906" s="1">
        <v>61991061506</v>
      </c>
      <c r="D1906" s="1"/>
      <c r="E1906" s="1">
        <v>10</v>
      </c>
      <c r="F1906" s="1">
        <v>1</v>
      </c>
      <c r="G1906" s="1" t="s">
        <v>38</v>
      </c>
      <c r="H1906" s="1" t="s">
        <v>898</v>
      </c>
      <c r="I1906" s="1" t="s">
        <v>46</v>
      </c>
      <c r="J1906" s="1" t="s">
        <v>55</v>
      </c>
      <c r="K1906" s="1"/>
      <c r="L1906" s="1"/>
    </row>
    <row r="1907" spans="1:12" s="32" customFormat="1" hidden="1" x14ac:dyDescent="0.3">
      <c r="A1907" s="37">
        <v>46122.464490740742</v>
      </c>
      <c r="B1907" s="1" t="s">
        <v>45</v>
      </c>
      <c r="C1907" s="1">
        <v>41996255598</v>
      </c>
      <c r="D1907" s="1"/>
      <c r="E1907" s="1">
        <v>63</v>
      </c>
      <c r="F1907" s="1">
        <v>40</v>
      </c>
      <c r="G1907" s="1" t="s">
        <v>38</v>
      </c>
      <c r="H1907" s="1" t="s">
        <v>899</v>
      </c>
      <c r="I1907" s="1" t="s">
        <v>46</v>
      </c>
      <c r="J1907" s="1" t="s">
        <v>40</v>
      </c>
      <c r="K1907" s="1"/>
      <c r="L1907" s="1"/>
    </row>
    <row r="1908" spans="1:12" s="32" customFormat="1" hidden="1" x14ac:dyDescent="0.3">
      <c r="A1908" s="37">
        <v>46122.464282407411</v>
      </c>
      <c r="B1908" s="1">
        <v>4432524636</v>
      </c>
      <c r="C1908" s="1" t="s">
        <v>48</v>
      </c>
      <c r="D1908" s="1">
        <v>4430265054</v>
      </c>
      <c r="E1908" s="1">
        <v>1217</v>
      </c>
      <c r="F1908" s="1">
        <v>1216</v>
      </c>
      <c r="G1908" s="1" t="s">
        <v>38</v>
      </c>
      <c r="H1908" s="1" t="s">
        <v>900</v>
      </c>
      <c r="I1908" s="1" t="s">
        <v>39</v>
      </c>
      <c r="J1908" s="1" t="s">
        <v>40</v>
      </c>
      <c r="K1908" s="1" t="s">
        <v>41</v>
      </c>
      <c r="L1908" s="1"/>
    </row>
    <row r="1909" spans="1:12" s="32" customFormat="1" hidden="1" x14ac:dyDescent="0.3">
      <c r="A1909" s="37">
        <v>46122.463854166665</v>
      </c>
      <c r="B1909" s="1" t="s">
        <v>45</v>
      </c>
      <c r="C1909" s="1">
        <v>44999814176</v>
      </c>
      <c r="D1909" s="1"/>
      <c r="E1909" s="1">
        <v>24</v>
      </c>
      <c r="F1909" s="1">
        <v>0</v>
      </c>
      <c r="G1909" s="1" t="s">
        <v>47</v>
      </c>
      <c r="H1909" s="1" t="s">
        <v>901</v>
      </c>
      <c r="I1909" s="1" t="s">
        <v>46</v>
      </c>
      <c r="J1909" s="1" t="s">
        <v>40</v>
      </c>
      <c r="K1909" s="1"/>
      <c r="L1909" s="1"/>
    </row>
    <row r="1910" spans="1:12" s="32" customFormat="1" hidden="1" x14ac:dyDescent="0.3">
      <c r="A1910" s="37">
        <v>46122.463773148149</v>
      </c>
      <c r="B1910" s="1" t="s">
        <v>45</v>
      </c>
      <c r="C1910" s="1">
        <v>44999814176</v>
      </c>
      <c r="D1910" s="1"/>
      <c r="E1910" s="1">
        <v>25</v>
      </c>
      <c r="F1910" s="1">
        <v>24</v>
      </c>
      <c r="G1910" s="1" t="s">
        <v>38</v>
      </c>
      <c r="H1910" s="1" t="s">
        <v>902</v>
      </c>
      <c r="I1910" s="1" t="s">
        <v>46</v>
      </c>
      <c r="J1910" s="1" t="s">
        <v>40</v>
      </c>
      <c r="K1910" s="1"/>
      <c r="L1910" s="1"/>
    </row>
    <row r="1911" spans="1:12" s="32" customFormat="1" hidden="1" x14ac:dyDescent="0.3">
      <c r="A1911" s="37">
        <v>46122.463263888887</v>
      </c>
      <c r="B1911" s="1" t="s">
        <v>45</v>
      </c>
      <c r="C1911" s="1">
        <v>41996255598</v>
      </c>
      <c r="D1911" s="1"/>
      <c r="E1911" s="1">
        <v>50</v>
      </c>
      <c r="F1911" s="1">
        <v>30</v>
      </c>
      <c r="G1911" s="1" t="s">
        <v>38</v>
      </c>
      <c r="H1911" s="1" t="s">
        <v>903</v>
      </c>
      <c r="I1911" s="1" t="s">
        <v>46</v>
      </c>
      <c r="J1911" s="1" t="s">
        <v>40</v>
      </c>
      <c r="K1911" s="1"/>
      <c r="L1911" s="1"/>
    </row>
    <row r="1912" spans="1:12" s="32" customFormat="1" hidden="1" x14ac:dyDescent="0.3">
      <c r="A1912" s="37">
        <v>46122.462604166663</v>
      </c>
      <c r="B1912" s="1" t="s">
        <v>45</v>
      </c>
      <c r="C1912" s="1">
        <v>41996255598</v>
      </c>
      <c r="D1912" s="1"/>
      <c r="E1912" s="1">
        <v>17</v>
      </c>
      <c r="F1912" s="1">
        <v>0</v>
      </c>
      <c r="G1912" s="1" t="s">
        <v>47</v>
      </c>
      <c r="H1912" s="1" t="s">
        <v>904</v>
      </c>
      <c r="I1912" s="1" t="s">
        <v>46</v>
      </c>
      <c r="J1912" s="1" t="s">
        <v>40</v>
      </c>
      <c r="K1912" s="1"/>
      <c r="L1912" s="1"/>
    </row>
    <row r="1913" spans="1:12" s="32" customFormat="1" hidden="1" x14ac:dyDescent="0.3">
      <c r="A1913" s="37">
        <v>46122.462152777778</v>
      </c>
      <c r="B1913" s="1">
        <v>3432424736</v>
      </c>
      <c r="C1913" s="1" t="s">
        <v>43</v>
      </c>
      <c r="D1913" s="1">
        <v>4430265054</v>
      </c>
      <c r="E1913" s="1">
        <v>474</v>
      </c>
      <c r="F1913" s="1">
        <v>339</v>
      </c>
      <c r="G1913" s="1" t="s">
        <v>38</v>
      </c>
      <c r="H1913" s="1" t="s">
        <v>905</v>
      </c>
      <c r="I1913" s="1" t="s">
        <v>39</v>
      </c>
      <c r="J1913" s="1" t="s">
        <v>40</v>
      </c>
      <c r="K1913" s="1" t="s">
        <v>41</v>
      </c>
      <c r="L1913" s="1"/>
    </row>
    <row r="1914" spans="1:12" s="32" customFormat="1" hidden="1" x14ac:dyDescent="0.3">
      <c r="A1914" s="37">
        <v>46122.460578703707</v>
      </c>
      <c r="B1914" s="1" t="s">
        <v>45</v>
      </c>
      <c r="C1914" s="1">
        <v>41996255598</v>
      </c>
      <c r="D1914" s="1"/>
      <c r="E1914" s="1">
        <v>18</v>
      </c>
      <c r="F1914" s="1">
        <v>0</v>
      </c>
      <c r="G1914" s="1" t="s">
        <v>47</v>
      </c>
      <c r="H1914" s="1" t="s">
        <v>906</v>
      </c>
      <c r="I1914" s="1" t="s">
        <v>46</v>
      </c>
      <c r="J1914" s="1" t="s">
        <v>40</v>
      </c>
      <c r="K1914" s="1"/>
      <c r="L1914" s="1"/>
    </row>
    <row r="1915" spans="1:12" s="32" customFormat="1" hidden="1" x14ac:dyDescent="0.3">
      <c r="A1915" s="37">
        <v>46122.459837962961</v>
      </c>
      <c r="B1915" s="1" t="s">
        <v>45</v>
      </c>
      <c r="C1915" s="1">
        <v>41996255598</v>
      </c>
      <c r="D1915" s="1"/>
      <c r="E1915" s="1">
        <v>51</v>
      </c>
      <c r="F1915" s="1">
        <v>30</v>
      </c>
      <c r="G1915" s="1" t="s">
        <v>38</v>
      </c>
      <c r="H1915" s="1" t="s">
        <v>907</v>
      </c>
      <c r="I1915" s="1" t="s">
        <v>46</v>
      </c>
      <c r="J1915" s="1" t="s">
        <v>40</v>
      </c>
      <c r="K1915" s="1"/>
      <c r="L1915" s="1"/>
    </row>
    <row r="1916" spans="1:12" s="32" customFormat="1" hidden="1" x14ac:dyDescent="0.3">
      <c r="A1916" s="37">
        <v>46122.459456018521</v>
      </c>
      <c r="B1916" s="1" t="s">
        <v>45</v>
      </c>
      <c r="C1916" s="1">
        <v>41996255598</v>
      </c>
      <c r="D1916" s="1"/>
      <c r="E1916" s="1">
        <v>58</v>
      </c>
      <c r="F1916" s="1">
        <v>36</v>
      </c>
      <c r="G1916" s="1" t="s">
        <v>38</v>
      </c>
      <c r="H1916" s="1" t="s">
        <v>908</v>
      </c>
      <c r="I1916" s="1" t="s">
        <v>46</v>
      </c>
      <c r="J1916" s="1" t="s">
        <v>40</v>
      </c>
      <c r="K1916" s="1"/>
      <c r="L1916" s="1"/>
    </row>
    <row r="1917" spans="1:12" s="32" customFormat="1" hidden="1" x14ac:dyDescent="0.3">
      <c r="A1917" s="37">
        <v>46122.459374999999</v>
      </c>
      <c r="B1917" s="1">
        <v>11985836640</v>
      </c>
      <c r="C1917" s="1" t="s">
        <v>44</v>
      </c>
      <c r="D1917" s="1">
        <v>4430265054</v>
      </c>
      <c r="E1917" s="1">
        <v>1299</v>
      </c>
      <c r="F1917" s="1">
        <v>1189</v>
      </c>
      <c r="G1917" s="1" t="s">
        <v>38</v>
      </c>
      <c r="H1917" s="1" t="s">
        <v>909</v>
      </c>
      <c r="I1917" s="1" t="s">
        <v>39</v>
      </c>
      <c r="J1917" s="1" t="s">
        <v>40</v>
      </c>
      <c r="K1917" s="1" t="s">
        <v>41</v>
      </c>
      <c r="L1917" s="1">
        <v>5</v>
      </c>
    </row>
    <row r="1918" spans="1:12" s="32" customFormat="1" hidden="1" x14ac:dyDescent="0.3">
      <c r="A1918" s="37">
        <v>46122.45921296296</v>
      </c>
      <c r="B1918" s="1">
        <v>4121410323</v>
      </c>
      <c r="C1918" s="1">
        <v>4531273158</v>
      </c>
      <c r="D1918" s="1">
        <v>4531273158</v>
      </c>
      <c r="E1918" s="1">
        <v>48</v>
      </c>
      <c r="F1918" s="1">
        <v>47</v>
      </c>
      <c r="G1918" s="1" t="s">
        <v>52</v>
      </c>
      <c r="H1918" s="1" t="s">
        <v>910</v>
      </c>
      <c r="I1918" s="1" t="s">
        <v>39</v>
      </c>
      <c r="J1918" s="1" t="s">
        <v>53</v>
      </c>
      <c r="K1918" s="1" t="s">
        <v>41</v>
      </c>
      <c r="L1918" s="1"/>
    </row>
    <row r="1919" spans="1:12" s="32" customFormat="1" x14ac:dyDescent="0.3">
      <c r="A1919" s="37">
        <v>46122.453900462962</v>
      </c>
      <c r="B1919" s="1">
        <v>6436133762</v>
      </c>
      <c r="C1919" s="1" t="s">
        <v>37</v>
      </c>
      <c r="D1919" s="1">
        <v>4430265054</v>
      </c>
      <c r="E1919" s="1">
        <v>754</v>
      </c>
      <c r="F1919" s="1">
        <v>732</v>
      </c>
      <c r="G1919" s="1" t="s">
        <v>38</v>
      </c>
      <c r="H1919" s="1" t="s">
        <v>911</v>
      </c>
      <c r="I1919" s="1" t="s">
        <v>39</v>
      </c>
      <c r="J1919" s="1" t="s">
        <v>40</v>
      </c>
      <c r="K1919" s="1" t="s">
        <v>41</v>
      </c>
      <c r="L1919" s="1">
        <v>5</v>
      </c>
    </row>
    <row r="1920" spans="1:12" s="32" customFormat="1" hidden="1" x14ac:dyDescent="0.3">
      <c r="A1920" s="37">
        <v>46122.45</v>
      </c>
      <c r="B1920" s="1" t="s">
        <v>54</v>
      </c>
      <c r="C1920" s="1">
        <v>1141382010</v>
      </c>
      <c r="D1920" s="1"/>
      <c r="E1920" s="1">
        <v>19</v>
      </c>
      <c r="F1920" s="1">
        <v>0</v>
      </c>
      <c r="G1920" s="1" t="s">
        <v>47</v>
      </c>
      <c r="H1920" s="1" t="s">
        <v>912</v>
      </c>
      <c r="I1920" s="1" t="s">
        <v>46</v>
      </c>
      <c r="J1920" s="1" t="s">
        <v>55</v>
      </c>
      <c r="K1920" s="1"/>
      <c r="L1920" s="1"/>
    </row>
    <row r="1921" spans="1:12" s="32" customFormat="1" hidden="1" x14ac:dyDescent="0.3">
      <c r="A1921" s="37">
        <v>46122.449363425927</v>
      </c>
      <c r="B1921" s="1" t="s">
        <v>54</v>
      </c>
      <c r="C1921" s="1">
        <v>91980546353</v>
      </c>
      <c r="D1921" s="1"/>
      <c r="E1921" s="1">
        <v>17</v>
      </c>
      <c r="F1921" s="1">
        <v>0</v>
      </c>
      <c r="G1921" s="1" t="s">
        <v>47</v>
      </c>
      <c r="H1921" s="1" t="s">
        <v>913</v>
      </c>
      <c r="I1921" s="1" t="s">
        <v>46</v>
      </c>
      <c r="J1921" s="1" t="s">
        <v>55</v>
      </c>
      <c r="K1921" s="1"/>
      <c r="L1921" s="1"/>
    </row>
    <row r="1922" spans="1:12" s="32" customFormat="1" hidden="1" x14ac:dyDescent="0.3">
      <c r="A1922" s="37">
        <v>46122.44835648148</v>
      </c>
      <c r="B1922" s="1" t="s">
        <v>54</v>
      </c>
      <c r="C1922" s="1">
        <v>41995134703</v>
      </c>
      <c r="D1922" s="1"/>
      <c r="E1922" s="1">
        <v>21</v>
      </c>
      <c r="F1922" s="1">
        <v>0</v>
      </c>
      <c r="G1922" s="1" t="s">
        <v>47</v>
      </c>
      <c r="H1922" s="1" t="s">
        <v>914</v>
      </c>
      <c r="I1922" s="1" t="s">
        <v>46</v>
      </c>
      <c r="J1922" s="1" t="s">
        <v>55</v>
      </c>
      <c r="K1922" s="1"/>
      <c r="L1922" s="1"/>
    </row>
    <row r="1923" spans="1:12" s="32" customFormat="1" hidden="1" x14ac:dyDescent="0.3">
      <c r="A1923" s="37">
        <v>46122.447569444441</v>
      </c>
      <c r="B1923" s="1">
        <v>4334232912</v>
      </c>
      <c r="C1923" s="1" t="s">
        <v>44</v>
      </c>
      <c r="D1923" s="1">
        <v>4430265054</v>
      </c>
      <c r="E1923" s="1">
        <v>790</v>
      </c>
      <c r="F1923" s="1">
        <v>690</v>
      </c>
      <c r="G1923" s="1" t="s">
        <v>38</v>
      </c>
      <c r="H1923" s="1" t="s">
        <v>915</v>
      </c>
      <c r="I1923" s="1" t="s">
        <v>39</v>
      </c>
      <c r="J1923" s="1" t="s">
        <v>40</v>
      </c>
      <c r="K1923" s="1" t="s">
        <v>41</v>
      </c>
      <c r="L1923" s="1">
        <v>5</v>
      </c>
    </row>
    <row r="1924" spans="1:12" s="32" customFormat="1" hidden="1" x14ac:dyDescent="0.3">
      <c r="A1924" s="37">
        <v>46122.446331018517</v>
      </c>
      <c r="B1924" s="1" t="s">
        <v>54</v>
      </c>
      <c r="C1924" s="1">
        <v>21995352838</v>
      </c>
      <c r="D1924" s="1"/>
      <c r="E1924" s="1">
        <v>8</v>
      </c>
      <c r="F1924" s="1">
        <v>5</v>
      </c>
      <c r="G1924" s="1" t="s">
        <v>38</v>
      </c>
      <c r="H1924" s="1" t="s">
        <v>916</v>
      </c>
      <c r="I1924" s="1" t="s">
        <v>46</v>
      </c>
      <c r="J1924" s="1" t="s">
        <v>55</v>
      </c>
      <c r="K1924" s="1"/>
      <c r="L1924" s="1"/>
    </row>
    <row r="1925" spans="1:12" s="32" customFormat="1" hidden="1" x14ac:dyDescent="0.3">
      <c r="A1925" s="37">
        <v>46122.443055555559</v>
      </c>
      <c r="B1925" s="1">
        <v>44988300360</v>
      </c>
      <c r="C1925" s="1" t="s">
        <v>45</v>
      </c>
      <c r="D1925" s="1">
        <v>4430265054</v>
      </c>
      <c r="E1925" s="1">
        <v>348</v>
      </c>
      <c r="F1925" s="1">
        <v>330</v>
      </c>
      <c r="G1925" s="1" t="s">
        <v>38</v>
      </c>
      <c r="H1925" s="1" t="s">
        <v>917</v>
      </c>
      <c r="I1925" s="1" t="s">
        <v>39</v>
      </c>
      <c r="J1925" s="1" t="s">
        <v>40</v>
      </c>
      <c r="K1925" s="1" t="s">
        <v>41</v>
      </c>
      <c r="L1925" s="1"/>
    </row>
    <row r="1926" spans="1:12" s="32" customFormat="1" hidden="1" x14ac:dyDescent="0.3">
      <c r="A1926" s="37">
        <v>46122.441886574074</v>
      </c>
      <c r="B1926" s="1">
        <v>44988300360</v>
      </c>
      <c r="C1926" s="1" t="s">
        <v>45</v>
      </c>
      <c r="D1926" s="1">
        <v>4430265054</v>
      </c>
      <c r="E1926" s="1">
        <v>94</v>
      </c>
      <c r="F1926" s="1">
        <v>12</v>
      </c>
      <c r="G1926" s="1" t="s">
        <v>38</v>
      </c>
      <c r="H1926" s="1" t="s">
        <v>918</v>
      </c>
      <c r="I1926" s="1" t="s">
        <v>39</v>
      </c>
      <c r="J1926" s="1" t="s">
        <v>40</v>
      </c>
      <c r="K1926" s="1" t="s">
        <v>41</v>
      </c>
      <c r="L1926" s="1"/>
    </row>
    <row r="1927" spans="1:12" s="32" customFormat="1" hidden="1" x14ac:dyDescent="0.3">
      <c r="A1927" s="37">
        <v>46122.437905092593</v>
      </c>
      <c r="B1927" s="1">
        <v>44999449519</v>
      </c>
      <c r="C1927" s="1" t="s">
        <v>43</v>
      </c>
      <c r="D1927" s="1">
        <v>4430265054</v>
      </c>
      <c r="E1927" s="1">
        <v>255</v>
      </c>
      <c r="F1927" s="1">
        <v>172</v>
      </c>
      <c r="G1927" s="1" t="s">
        <v>38</v>
      </c>
      <c r="H1927" s="1" t="s">
        <v>919</v>
      </c>
      <c r="I1927" s="1" t="s">
        <v>39</v>
      </c>
      <c r="J1927" s="1" t="s">
        <v>40</v>
      </c>
      <c r="K1927" s="1" t="s">
        <v>41</v>
      </c>
      <c r="L1927" s="1">
        <v>5</v>
      </c>
    </row>
    <row r="1928" spans="1:12" s="32" customFormat="1" hidden="1" x14ac:dyDescent="0.3">
      <c r="A1928" s="37">
        <v>46122.42900462963</v>
      </c>
      <c r="B1928" s="1" t="s">
        <v>54</v>
      </c>
      <c r="C1928" s="1">
        <v>51994633552</v>
      </c>
      <c r="D1928" s="1"/>
      <c r="E1928" s="1">
        <v>25</v>
      </c>
      <c r="F1928" s="1">
        <v>18</v>
      </c>
      <c r="G1928" s="1" t="s">
        <v>38</v>
      </c>
      <c r="H1928" s="1" t="s">
        <v>920</v>
      </c>
      <c r="I1928" s="1" t="s">
        <v>46</v>
      </c>
      <c r="J1928" s="1" t="s">
        <v>55</v>
      </c>
      <c r="K1928" s="1"/>
      <c r="L1928" s="1"/>
    </row>
    <row r="1929" spans="1:12" s="32" customFormat="1" hidden="1" x14ac:dyDescent="0.3">
      <c r="A1929" s="37">
        <v>46122.425868055558</v>
      </c>
      <c r="B1929" s="1" t="s">
        <v>54</v>
      </c>
      <c r="C1929" s="1">
        <v>1147894222</v>
      </c>
      <c r="D1929" s="1"/>
      <c r="E1929" s="1">
        <v>55</v>
      </c>
      <c r="F1929" s="1">
        <v>46</v>
      </c>
      <c r="G1929" s="1" t="s">
        <v>38</v>
      </c>
      <c r="H1929" s="1" t="s">
        <v>921</v>
      </c>
      <c r="I1929" s="1" t="s">
        <v>46</v>
      </c>
      <c r="J1929" s="1" t="s">
        <v>55</v>
      </c>
      <c r="K1929" s="1"/>
      <c r="L1929" s="1"/>
    </row>
    <row r="1930" spans="1:12" s="32" customFormat="1" hidden="1" x14ac:dyDescent="0.3">
      <c r="A1930" s="37">
        <v>46122.423900462964</v>
      </c>
      <c r="B1930" s="1" t="s">
        <v>54</v>
      </c>
      <c r="C1930" s="1">
        <v>5433153394</v>
      </c>
      <c r="D1930" s="1"/>
      <c r="E1930" s="1">
        <v>16</v>
      </c>
      <c r="F1930" s="1">
        <v>5</v>
      </c>
      <c r="G1930" s="1" t="s">
        <v>38</v>
      </c>
      <c r="H1930" s="1" t="s">
        <v>922</v>
      </c>
      <c r="I1930" s="1" t="s">
        <v>46</v>
      </c>
      <c r="J1930" s="1" t="s">
        <v>55</v>
      </c>
      <c r="K1930" s="1"/>
      <c r="L1930" s="1"/>
    </row>
    <row r="1931" spans="1:12" s="32" customFormat="1" hidden="1" x14ac:dyDescent="0.3">
      <c r="A1931" s="37">
        <v>46122.419305555559</v>
      </c>
      <c r="B1931" s="1">
        <v>44999449519</v>
      </c>
      <c r="C1931" s="1" t="s">
        <v>43</v>
      </c>
      <c r="D1931" s="1">
        <v>4430265054</v>
      </c>
      <c r="E1931" s="1">
        <v>975</v>
      </c>
      <c r="F1931" s="1">
        <v>874</v>
      </c>
      <c r="G1931" s="1" t="s">
        <v>38</v>
      </c>
      <c r="H1931" s="1" t="s">
        <v>923</v>
      </c>
      <c r="I1931" s="1" t="s">
        <v>39</v>
      </c>
      <c r="J1931" s="1" t="s">
        <v>40</v>
      </c>
      <c r="K1931" s="1" t="s">
        <v>41</v>
      </c>
      <c r="L1931" s="1">
        <v>5</v>
      </c>
    </row>
    <row r="1932" spans="1:12" s="32" customFormat="1" hidden="1" x14ac:dyDescent="0.3">
      <c r="A1932" s="37">
        <v>46122.418530092589</v>
      </c>
      <c r="B1932" s="1">
        <v>44999449519</v>
      </c>
      <c r="C1932" s="1" t="s">
        <v>42</v>
      </c>
      <c r="D1932" s="1">
        <v>4430265054</v>
      </c>
      <c r="E1932" s="1">
        <v>61</v>
      </c>
      <c r="F1932" s="1">
        <v>23</v>
      </c>
      <c r="G1932" s="1" t="s">
        <v>38</v>
      </c>
      <c r="H1932" s="1" t="s">
        <v>924</v>
      </c>
      <c r="I1932" s="1" t="s">
        <v>39</v>
      </c>
      <c r="J1932" s="1" t="s">
        <v>40</v>
      </c>
      <c r="K1932" s="1" t="s">
        <v>41</v>
      </c>
      <c r="L1932" s="1"/>
    </row>
    <row r="1933" spans="1:12" s="32" customFormat="1" hidden="1" x14ac:dyDescent="0.3">
      <c r="A1933" s="37">
        <v>46122.417592592596</v>
      </c>
      <c r="B1933" s="1">
        <v>44988300360</v>
      </c>
      <c r="C1933" s="1" t="s">
        <v>45</v>
      </c>
      <c r="D1933" s="1">
        <v>4430265054</v>
      </c>
      <c r="E1933" s="1">
        <v>599</v>
      </c>
      <c r="F1933" s="1">
        <v>534</v>
      </c>
      <c r="G1933" s="1" t="s">
        <v>38</v>
      </c>
      <c r="H1933" s="1" t="s">
        <v>925</v>
      </c>
      <c r="I1933" s="1" t="s">
        <v>39</v>
      </c>
      <c r="J1933" s="1" t="s">
        <v>40</v>
      </c>
      <c r="K1933" s="1" t="s">
        <v>41</v>
      </c>
      <c r="L1933" s="1"/>
    </row>
    <row r="1934" spans="1:12" s="32" customFormat="1" hidden="1" x14ac:dyDescent="0.3">
      <c r="A1934" s="37">
        <v>46122.414618055554</v>
      </c>
      <c r="B1934" s="1" t="s">
        <v>45</v>
      </c>
      <c r="C1934" s="1">
        <v>41996255598</v>
      </c>
      <c r="D1934" s="1"/>
      <c r="E1934" s="1">
        <v>52</v>
      </c>
      <c r="F1934" s="1">
        <v>29</v>
      </c>
      <c r="G1934" s="1" t="s">
        <v>38</v>
      </c>
      <c r="H1934" s="1" t="s">
        <v>926</v>
      </c>
      <c r="I1934" s="1" t="s">
        <v>46</v>
      </c>
      <c r="J1934" s="1" t="s">
        <v>40</v>
      </c>
      <c r="K1934" s="1"/>
      <c r="L1934" s="1"/>
    </row>
    <row r="1935" spans="1:12" s="32" customFormat="1" hidden="1" x14ac:dyDescent="0.3">
      <c r="A1935" s="37">
        <v>46122.411423611113</v>
      </c>
      <c r="B1935" s="1">
        <v>4432637197</v>
      </c>
      <c r="C1935" s="1" t="s">
        <v>45</v>
      </c>
      <c r="D1935" s="1">
        <v>4430265054</v>
      </c>
      <c r="E1935" s="1">
        <v>168</v>
      </c>
      <c r="F1935" s="1">
        <v>73</v>
      </c>
      <c r="G1935" s="1" t="s">
        <v>38</v>
      </c>
      <c r="H1935" s="1" t="s">
        <v>927</v>
      </c>
      <c r="I1935" s="1" t="s">
        <v>39</v>
      </c>
      <c r="J1935" s="1" t="s">
        <v>40</v>
      </c>
      <c r="K1935" s="1" t="s">
        <v>41</v>
      </c>
      <c r="L1935" s="1"/>
    </row>
    <row r="1936" spans="1:12" s="32" customFormat="1" hidden="1" x14ac:dyDescent="0.3">
      <c r="A1936" s="37">
        <v>46122.406875000001</v>
      </c>
      <c r="B1936" s="1">
        <v>81983567163</v>
      </c>
      <c r="C1936" s="1" t="s">
        <v>45</v>
      </c>
      <c r="D1936" s="1">
        <v>4430265054</v>
      </c>
      <c r="E1936" s="1">
        <v>433</v>
      </c>
      <c r="F1936" s="1">
        <v>426</v>
      </c>
      <c r="G1936" s="1" t="s">
        <v>38</v>
      </c>
      <c r="H1936" s="1" t="s">
        <v>928</v>
      </c>
      <c r="I1936" s="1" t="s">
        <v>39</v>
      </c>
      <c r="J1936" s="1" t="s">
        <v>40</v>
      </c>
      <c r="K1936" s="1" t="s">
        <v>41</v>
      </c>
      <c r="L1936" s="1">
        <v>5</v>
      </c>
    </row>
    <row r="1937" spans="1:12" s="32" customFormat="1" hidden="1" x14ac:dyDescent="0.3">
      <c r="A1937" s="37">
        <v>46122.406064814815</v>
      </c>
      <c r="B1937" s="1">
        <v>4430141533</v>
      </c>
      <c r="C1937" s="1" t="s">
        <v>42</v>
      </c>
      <c r="D1937" s="1">
        <v>4430265054</v>
      </c>
      <c r="E1937" s="1">
        <v>411</v>
      </c>
      <c r="F1937" s="1">
        <v>366</v>
      </c>
      <c r="G1937" s="1" t="s">
        <v>38</v>
      </c>
      <c r="H1937" s="1" t="s">
        <v>929</v>
      </c>
      <c r="I1937" s="1" t="s">
        <v>39</v>
      </c>
      <c r="J1937" s="1" t="s">
        <v>40</v>
      </c>
      <c r="K1937" s="1" t="s">
        <v>41</v>
      </c>
      <c r="L1937" s="1"/>
    </row>
    <row r="1938" spans="1:12" s="32" customFormat="1" hidden="1" x14ac:dyDescent="0.3">
      <c r="A1938" s="37">
        <v>46122.405763888892</v>
      </c>
      <c r="B1938" s="1">
        <v>81983567163</v>
      </c>
      <c r="C1938" s="1" t="s">
        <v>45</v>
      </c>
      <c r="D1938" s="1">
        <v>4430265054</v>
      </c>
      <c r="E1938" s="1">
        <v>66</v>
      </c>
      <c r="F1938" s="1">
        <v>61</v>
      </c>
      <c r="G1938" s="1" t="s">
        <v>38</v>
      </c>
      <c r="H1938" s="1" t="s">
        <v>930</v>
      </c>
      <c r="I1938" s="1" t="s">
        <v>39</v>
      </c>
      <c r="J1938" s="1" t="s">
        <v>40</v>
      </c>
      <c r="K1938" s="1" t="s">
        <v>41</v>
      </c>
      <c r="L1938" s="1"/>
    </row>
    <row r="1939" spans="1:12" s="32" customFormat="1" hidden="1" x14ac:dyDescent="0.3">
      <c r="A1939" s="37">
        <v>46122.405381944445</v>
      </c>
      <c r="B1939" s="1">
        <v>81983567163</v>
      </c>
      <c r="C1939" s="1" t="s">
        <v>45</v>
      </c>
      <c r="D1939" s="1">
        <v>4430265054</v>
      </c>
      <c r="E1939" s="1">
        <v>17</v>
      </c>
      <c r="F1939" s="1">
        <v>10</v>
      </c>
      <c r="G1939" s="1" t="s">
        <v>38</v>
      </c>
      <c r="H1939" s="1" t="s">
        <v>931</v>
      </c>
      <c r="I1939" s="1" t="s">
        <v>39</v>
      </c>
      <c r="J1939" s="1" t="s">
        <v>40</v>
      </c>
      <c r="K1939" s="1" t="s">
        <v>41</v>
      </c>
      <c r="L1939" s="1"/>
    </row>
    <row r="1940" spans="1:12" s="32" customFormat="1" hidden="1" x14ac:dyDescent="0.3">
      <c r="A1940" s="37">
        <v>46122.405300925922</v>
      </c>
      <c r="B1940" s="1" t="s">
        <v>45</v>
      </c>
      <c r="C1940" s="1">
        <v>81983567163</v>
      </c>
      <c r="D1940" s="1"/>
      <c r="E1940" s="1">
        <v>33</v>
      </c>
      <c r="F1940" s="1">
        <v>26</v>
      </c>
      <c r="G1940" s="1" t="s">
        <v>38</v>
      </c>
      <c r="H1940" s="1" t="s">
        <v>932</v>
      </c>
      <c r="I1940" s="1" t="s">
        <v>46</v>
      </c>
      <c r="J1940" s="1" t="s">
        <v>40</v>
      </c>
      <c r="K1940" s="1"/>
      <c r="L1940" s="1"/>
    </row>
    <row r="1941" spans="1:12" s="32" customFormat="1" hidden="1" x14ac:dyDescent="0.3">
      <c r="A1941" s="37">
        <v>46122.404097222221</v>
      </c>
      <c r="B1941" s="1">
        <v>81983567163</v>
      </c>
      <c r="C1941" s="1" t="s">
        <v>45</v>
      </c>
      <c r="D1941" s="1">
        <v>4430265054</v>
      </c>
      <c r="E1941" s="1">
        <v>97</v>
      </c>
      <c r="F1941" s="1">
        <v>76</v>
      </c>
      <c r="G1941" s="1" t="s">
        <v>38</v>
      </c>
      <c r="H1941" s="1" t="s">
        <v>933</v>
      </c>
      <c r="I1941" s="1" t="s">
        <v>39</v>
      </c>
      <c r="J1941" s="1" t="s">
        <v>40</v>
      </c>
      <c r="K1941" s="1" t="s">
        <v>41</v>
      </c>
      <c r="L1941" s="1"/>
    </row>
    <row r="1942" spans="1:12" s="32" customFormat="1" hidden="1" x14ac:dyDescent="0.3">
      <c r="A1942" s="37">
        <v>46122.402581018519</v>
      </c>
      <c r="B1942" s="1" t="s">
        <v>54</v>
      </c>
      <c r="C1942" s="1">
        <v>64992213641</v>
      </c>
      <c r="D1942" s="1"/>
      <c r="E1942" s="1">
        <v>10</v>
      </c>
      <c r="F1942" s="1">
        <v>0</v>
      </c>
      <c r="G1942" s="1" t="s">
        <v>47</v>
      </c>
      <c r="H1942" s="1" t="s">
        <v>934</v>
      </c>
      <c r="I1942" s="1" t="s">
        <v>46</v>
      </c>
      <c r="J1942" s="1" t="s">
        <v>55</v>
      </c>
      <c r="K1942" s="1"/>
      <c r="L1942" s="1"/>
    </row>
    <row r="1943" spans="1:12" s="32" customFormat="1" hidden="1" x14ac:dyDescent="0.3">
      <c r="A1943" s="37">
        <v>46122.398981481485</v>
      </c>
      <c r="B1943" s="1">
        <v>44991388221</v>
      </c>
      <c r="C1943" s="1" t="s">
        <v>43</v>
      </c>
      <c r="D1943" s="1">
        <v>4430265054</v>
      </c>
      <c r="E1943" s="1">
        <v>210</v>
      </c>
      <c r="F1943" s="1">
        <v>132</v>
      </c>
      <c r="G1943" s="1" t="s">
        <v>38</v>
      </c>
      <c r="H1943" s="1" t="s">
        <v>935</v>
      </c>
      <c r="I1943" s="1" t="s">
        <v>39</v>
      </c>
      <c r="J1943" s="1" t="s">
        <v>40</v>
      </c>
      <c r="K1943" s="1" t="s">
        <v>41</v>
      </c>
      <c r="L1943" s="1"/>
    </row>
    <row r="1944" spans="1:12" s="32" customFormat="1" hidden="1" x14ac:dyDescent="0.3">
      <c r="A1944" s="37">
        <v>46122.396469907406</v>
      </c>
      <c r="B1944" s="1">
        <v>4334226481</v>
      </c>
      <c r="C1944" s="1" t="s">
        <v>42</v>
      </c>
      <c r="D1944" s="1">
        <v>4430265054</v>
      </c>
      <c r="E1944" s="1">
        <v>753</v>
      </c>
      <c r="F1944" s="1">
        <v>733</v>
      </c>
      <c r="G1944" s="1" t="s">
        <v>38</v>
      </c>
      <c r="H1944" s="1" t="s">
        <v>936</v>
      </c>
      <c r="I1944" s="1" t="s">
        <v>39</v>
      </c>
      <c r="J1944" s="1" t="s">
        <v>40</v>
      </c>
      <c r="K1944" s="1" t="s">
        <v>41</v>
      </c>
      <c r="L1944" s="1">
        <v>5</v>
      </c>
    </row>
    <row r="1945" spans="1:12" s="32" customFormat="1" x14ac:dyDescent="0.3">
      <c r="A1945" s="37">
        <v>46122.394895833335</v>
      </c>
      <c r="B1945" s="1">
        <v>4430141092</v>
      </c>
      <c r="C1945" s="1" t="s">
        <v>37</v>
      </c>
      <c r="D1945" s="1">
        <v>4430265054</v>
      </c>
      <c r="E1945" s="1">
        <v>1262</v>
      </c>
      <c r="F1945" s="1">
        <v>1170</v>
      </c>
      <c r="G1945" s="1" t="s">
        <v>38</v>
      </c>
      <c r="H1945" s="1" t="s">
        <v>937</v>
      </c>
      <c r="I1945" s="1" t="s">
        <v>39</v>
      </c>
      <c r="J1945" s="1" t="s">
        <v>40</v>
      </c>
      <c r="K1945" s="1" t="s">
        <v>41</v>
      </c>
      <c r="L1945" s="1">
        <v>5</v>
      </c>
    </row>
    <row r="1946" spans="1:12" s="32" customFormat="1" hidden="1" x14ac:dyDescent="0.3">
      <c r="A1946" s="37">
        <v>46122.39167824074</v>
      </c>
      <c r="B1946" s="1">
        <v>45999211357</v>
      </c>
      <c r="C1946" s="1" t="s">
        <v>43</v>
      </c>
      <c r="D1946" s="1">
        <v>4431268225</v>
      </c>
      <c r="E1946" s="1">
        <v>570</v>
      </c>
      <c r="F1946" s="1">
        <v>527</v>
      </c>
      <c r="G1946" s="1" t="s">
        <v>38</v>
      </c>
      <c r="H1946" s="1" t="s">
        <v>938</v>
      </c>
      <c r="I1946" s="1" t="s">
        <v>39</v>
      </c>
      <c r="J1946" s="1" t="s">
        <v>40</v>
      </c>
      <c r="K1946" s="1" t="s">
        <v>41</v>
      </c>
      <c r="L1946" s="1">
        <v>4</v>
      </c>
    </row>
    <row r="1947" spans="1:12" s="32" customFormat="1" hidden="1" x14ac:dyDescent="0.3">
      <c r="A1947" s="37">
        <v>46122.380648148152</v>
      </c>
      <c r="B1947" s="1">
        <v>4436351835</v>
      </c>
      <c r="C1947" s="1" t="s">
        <v>43</v>
      </c>
      <c r="D1947" s="1">
        <v>4430265054</v>
      </c>
      <c r="E1947" s="1">
        <v>710</v>
      </c>
      <c r="F1947" s="1">
        <v>654</v>
      </c>
      <c r="G1947" s="1" t="s">
        <v>38</v>
      </c>
      <c r="H1947" s="1" t="s">
        <v>939</v>
      </c>
      <c r="I1947" s="1" t="s">
        <v>39</v>
      </c>
      <c r="J1947" s="1" t="s">
        <v>40</v>
      </c>
      <c r="K1947" s="1" t="s">
        <v>41</v>
      </c>
      <c r="L1947" s="1">
        <v>5</v>
      </c>
    </row>
    <row r="1948" spans="1:12" s="32" customFormat="1" hidden="1" x14ac:dyDescent="0.3">
      <c r="A1948" s="37">
        <v>46122.377303240741</v>
      </c>
      <c r="B1948" s="1" t="s">
        <v>43</v>
      </c>
      <c r="C1948" s="1">
        <v>44998266194</v>
      </c>
      <c r="D1948" s="1"/>
      <c r="E1948" s="1">
        <v>84</v>
      </c>
      <c r="F1948" s="1">
        <v>77</v>
      </c>
      <c r="G1948" s="1" t="s">
        <v>38</v>
      </c>
      <c r="H1948" s="1" t="s">
        <v>940</v>
      </c>
      <c r="I1948" s="1" t="s">
        <v>46</v>
      </c>
      <c r="J1948" s="1" t="s">
        <v>40</v>
      </c>
      <c r="K1948" s="1"/>
      <c r="L1948" s="1"/>
    </row>
    <row r="1949" spans="1:12" s="32" customFormat="1" hidden="1" x14ac:dyDescent="0.3">
      <c r="A1949" s="37">
        <v>46122.377222222225</v>
      </c>
      <c r="B1949" s="1" t="s">
        <v>43</v>
      </c>
      <c r="C1949" s="1">
        <v>44998266194</v>
      </c>
      <c r="D1949" s="1"/>
      <c r="E1949" s="1">
        <v>26</v>
      </c>
      <c r="F1949" s="1">
        <v>25</v>
      </c>
      <c r="G1949" s="1" t="s">
        <v>38</v>
      </c>
      <c r="H1949" s="1" t="s">
        <v>941</v>
      </c>
      <c r="I1949" s="1" t="s">
        <v>46</v>
      </c>
      <c r="J1949" s="1" t="s">
        <v>40</v>
      </c>
      <c r="K1949" s="1"/>
      <c r="L1949" s="1"/>
    </row>
    <row r="1950" spans="1:12" s="32" customFormat="1" hidden="1" x14ac:dyDescent="0.3">
      <c r="A1950" s="37">
        <v>46122.37568287037</v>
      </c>
      <c r="B1950" s="1">
        <v>4436351835</v>
      </c>
      <c r="C1950" s="1">
        <v>4430265054</v>
      </c>
      <c r="D1950" s="1">
        <v>4430265054</v>
      </c>
      <c r="E1950" s="1">
        <v>130</v>
      </c>
      <c r="F1950" s="1">
        <v>130</v>
      </c>
      <c r="G1950" s="1" t="s">
        <v>52</v>
      </c>
      <c r="H1950" s="1" t="s">
        <v>942</v>
      </c>
      <c r="I1950" s="1" t="s">
        <v>39</v>
      </c>
      <c r="J1950" s="1" t="s">
        <v>53</v>
      </c>
      <c r="K1950" s="1" t="s">
        <v>41</v>
      </c>
      <c r="L1950" s="1"/>
    </row>
    <row r="1951" spans="1:12" s="32" customFormat="1" hidden="1" x14ac:dyDescent="0.3">
      <c r="A1951" s="37">
        <v>46122.373113425929</v>
      </c>
      <c r="B1951" s="1">
        <v>18997449617</v>
      </c>
      <c r="C1951" s="1" t="s">
        <v>45</v>
      </c>
      <c r="D1951" s="1">
        <v>4430265054</v>
      </c>
      <c r="E1951" s="1">
        <v>1963</v>
      </c>
      <c r="F1951" s="1">
        <v>1946</v>
      </c>
      <c r="G1951" s="1" t="s">
        <v>38</v>
      </c>
      <c r="H1951" s="1" t="s">
        <v>943</v>
      </c>
      <c r="I1951" s="1" t="s">
        <v>39</v>
      </c>
      <c r="J1951" s="1" t="s">
        <v>40</v>
      </c>
      <c r="K1951" s="1" t="s">
        <v>41</v>
      </c>
      <c r="L1951" s="1">
        <v>5</v>
      </c>
    </row>
    <row r="1952" spans="1:12" s="32" customFormat="1" hidden="1" x14ac:dyDescent="0.3">
      <c r="A1952" s="37">
        <v>46122.369062500002</v>
      </c>
      <c r="B1952" s="1">
        <v>44998266194</v>
      </c>
      <c r="C1952" s="1" t="s">
        <v>43</v>
      </c>
      <c r="D1952" s="1">
        <v>4430265054</v>
      </c>
      <c r="E1952" s="1">
        <v>131</v>
      </c>
      <c r="F1952" s="1">
        <v>110</v>
      </c>
      <c r="G1952" s="1" t="s">
        <v>38</v>
      </c>
      <c r="H1952" s="1" t="s">
        <v>944</v>
      </c>
      <c r="I1952" s="1" t="s">
        <v>39</v>
      </c>
      <c r="J1952" s="1" t="s">
        <v>40</v>
      </c>
      <c r="K1952" s="1" t="s">
        <v>41</v>
      </c>
      <c r="L1952" s="1"/>
    </row>
    <row r="1953" spans="1:12" s="32" customFormat="1" hidden="1" x14ac:dyDescent="0.3">
      <c r="A1953" s="37">
        <v>46122.367256944446</v>
      </c>
      <c r="B1953" s="1" t="s">
        <v>45</v>
      </c>
      <c r="C1953" s="1">
        <v>41996255598</v>
      </c>
      <c r="D1953" s="1"/>
      <c r="E1953" s="1">
        <v>56</v>
      </c>
      <c r="F1953" s="1">
        <v>34</v>
      </c>
      <c r="G1953" s="1" t="s">
        <v>38</v>
      </c>
      <c r="H1953" s="1" t="s">
        <v>945</v>
      </c>
      <c r="I1953" s="1" t="s">
        <v>46</v>
      </c>
      <c r="J1953" s="1" t="s">
        <v>40</v>
      </c>
      <c r="K1953" s="1"/>
      <c r="L1953" s="1"/>
    </row>
    <row r="1954" spans="1:12" s="32" customFormat="1" hidden="1" x14ac:dyDescent="0.3">
      <c r="A1954" s="37">
        <v>46122.366909722223</v>
      </c>
      <c r="B1954" s="1">
        <v>44984225332</v>
      </c>
      <c r="C1954" s="1">
        <v>4430265054</v>
      </c>
      <c r="D1954" s="1">
        <v>4430265054</v>
      </c>
      <c r="E1954" s="1">
        <v>12</v>
      </c>
      <c r="F1954" s="1">
        <v>11</v>
      </c>
      <c r="G1954" s="1" t="s">
        <v>52</v>
      </c>
      <c r="H1954" s="1" t="s">
        <v>946</v>
      </c>
      <c r="I1954" s="1" t="s">
        <v>39</v>
      </c>
      <c r="J1954" s="1" t="s">
        <v>53</v>
      </c>
      <c r="K1954" s="1"/>
      <c r="L1954" s="1"/>
    </row>
    <row r="1955" spans="1:12" s="32" customFormat="1" hidden="1" x14ac:dyDescent="0.3">
      <c r="A1955" s="37">
        <v>46122.364722222221</v>
      </c>
      <c r="B1955" s="1">
        <v>4334232912</v>
      </c>
      <c r="C1955" s="1" t="s">
        <v>42</v>
      </c>
      <c r="D1955" s="1">
        <v>4430265054</v>
      </c>
      <c r="E1955" s="1">
        <v>1593</v>
      </c>
      <c r="F1955" s="1">
        <v>1465</v>
      </c>
      <c r="G1955" s="1" t="s">
        <v>38</v>
      </c>
      <c r="H1955" s="1" t="s">
        <v>947</v>
      </c>
      <c r="I1955" s="1" t="s">
        <v>39</v>
      </c>
      <c r="J1955" s="1" t="s">
        <v>40</v>
      </c>
      <c r="K1955" s="1" t="s">
        <v>41</v>
      </c>
      <c r="L1955" s="1"/>
    </row>
    <row r="1956" spans="1:12" s="32" customFormat="1" hidden="1" x14ac:dyDescent="0.3">
      <c r="A1956" s="37">
        <v>46122.357291666667</v>
      </c>
      <c r="B1956" s="1" t="s">
        <v>57</v>
      </c>
      <c r="C1956" s="1">
        <v>11961695958</v>
      </c>
      <c r="D1956" s="1"/>
      <c r="E1956" s="1">
        <v>845</v>
      </c>
      <c r="F1956" s="1">
        <v>835</v>
      </c>
      <c r="G1956" s="1" t="s">
        <v>38</v>
      </c>
      <c r="H1956" s="1" t="s">
        <v>948</v>
      </c>
      <c r="I1956" s="1" t="s">
        <v>46</v>
      </c>
      <c r="J1956" s="1" t="s">
        <v>55</v>
      </c>
      <c r="K1956" s="1"/>
      <c r="L1956" s="1"/>
    </row>
    <row r="1957" spans="1:12" s="32" customFormat="1" hidden="1" x14ac:dyDescent="0.3">
      <c r="A1957" s="37">
        <v>46122.336273148147</v>
      </c>
      <c r="B1957" s="1">
        <v>4140404452</v>
      </c>
      <c r="C1957" s="1">
        <v>4430265054</v>
      </c>
      <c r="D1957" s="1">
        <v>4430265054</v>
      </c>
      <c r="E1957" s="1">
        <v>6</v>
      </c>
      <c r="F1957" s="1">
        <v>5</v>
      </c>
      <c r="G1957" s="1" t="s">
        <v>52</v>
      </c>
      <c r="H1957" s="1" t="s">
        <v>949</v>
      </c>
      <c r="I1957" s="1" t="s">
        <v>39</v>
      </c>
      <c r="J1957" s="1" t="s">
        <v>53</v>
      </c>
      <c r="K1957" s="1"/>
      <c r="L1957" s="1"/>
    </row>
    <row r="1958" spans="1:12" s="32" customFormat="1" hidden="1" x14ac:dyDescent="0.3">
      <c r="A1958" s="37">
        <v>46121.73027777778</v>
      </c>
      <c r="B1958" s="1">
        <v>44998107650</v>
      </c>
      <c r="C1958" s="1" t="s">
        <v>43</v>
      </c>
      <c r="D1958" s="1">
        <v>4431268225</v>
      </c>
      <c r="E1958" s="1">
        <v>130</v>
      </c>
      <c r="F1958" s="1">
        <v>46</v>
      </c>
      <c r="G1958" s="1" t="s">
        <v>38</v>
      </c>
      <c r="H1958" s="1" t="s">
        <v>950</v>
      </c>
      <c r="I1958" s="1" t="s">
        <v>39</v>
      </c>
      <c r="J1958" s="1" t="s">
        <v>40</v>
      </c>
      <c r="K1958" s="1" t="s">
        <v>41</v>
      </c>
      <c r="L1958" s="1"/>
    </row>
    <row r="1959" spans="1:12" s="32" customFormat="1" hidden="1" x14ac:dyDescent="0.3">
      <c r="A1959" s="37">
        <v>46121.726331018515</v>
      </c>
      <c r="B1959" s="1" t="s">
        <v>48</v>
      </c>
      <c r="C1959" s="1">
        <v>4436291629</v>
      </c>
      <c r="D1959" s="1"/>
      <c r="E1959" s="1">
        <v>82</v>
      </c>
      <c r="F1959" s="1">
        <v>64</v>
      </c>
      <c r="G1959" s="1" t="s">
        <v>38</v>
      </c>
      <c r="H1959" s="1" t="s">
        <v>951</v>
      </c>
      <c r="I1959" s="1" t="s">
        <v>46</v>
      </c>
      <c r="J1959" s="1" t="s">
        <v>40</v>
      </c>
      <c r="K1959" s="1"/>
      <c r="L1959" s="1"/>
    </row>
    <row r="1960" spans="1:12" s="32" customFormat="1" hidden="1" x14ac:dyDescent="0.3">
      <c r="A1960" s="37">
        <v>46121.722569444442</v>
      </c>
      <c r="B1960" s="1">
        <v>4431414588</v>
      </c>
      <c r="C1960" s="1" t="s">
        <v>45</v>
      </c>
      <c r="D1960" s="1">
        <v>4430265054</v>
      </c>
      <c r="E1960" s="1">
        <v>1048</v>
      </c>
      <c r="F1960" s="1">
        <v>839</v>
      </c>
      <c r="G1960" s="1" t="s">
        <v>38</v>
      </c>
      <c r="H1960" s="1" t="s">
        <v>952</v>
      </c>
      <c r="I1960" s="1" t="s">
        <v>39</v>
      </c>
      <c r="J1960" s="1" t="s">
        <v>40</v>
      </c>
      <c r="K1960" s="1" t="s">
        <v>41</v>
      </c>
      <c r="L1960" s="1"/>
    </row>
    <row r="1961" spans="1:12" s="32" customFormat="1" hidden="1" x14ac:dyDescent="0.3">
      <c r="A1961" s="37">
        <v>46121.722141203703</v>
      </c>
      <c r="B1961" s="1">
        <v>4430459032</v>
      </c>
      <c r="C1961" s="1" t="s">
        <v>45</v>
      </c>
      <c r="D1961" s="1">
        <v>4430265054</v>
      </c>
      <c r="E1961" s="1">
        <v>181</v>
      </c>
      <c r="F1961" s="1">
        <v>59</v>
      </c>
      <c r="G1961" s="1" t="s">
        <v>38</v>
      </c>
      <c r="H1961" s="1" t="s">
        <v>953</v>
      </c>
      <c r="I1961" s="1" t="s">
        <v>39</v>
      </c>
      <c r="J1961" s="1" t="s">
        <v>40</v>
      </c>
      <c r="K1961" s="1" t="s">
        <v>41</v>
      </c>
      <c r="L1961" s="1"/>
    </row>
    <row r="1962" spans="1:12" s="32" customFormat="1" hidden="1" x14ac:dyDescent="0.3">
      <c r="A1962" s="37">
        <v>46121.721805555557</v>
      </c>
      <c r="B1962" s="1">
        <v>4431414588</v>
      </c>
      <c r="C1962" s="1">
        <v>4430265054</v>
      </c>
      <c r="D1962" s="1">
        <v>4430265054</v>
      </c>
      <c r="E1962" s="1">
        <v>1</v>
      </c>
      <c r="F1962" s="1">
        <v>0</v>
      </c>
      <c r="G1962" s="1" t="s">
        <v>47</v>
      </c>
      <c r="H1962" s="1" t="s">
        <v>954</v>
      </c>
      <c r="I1962" s="1" t="s">
        <v>39</v>
      </c>
      <c r="J1962" s="1" t="s">
        <v>53</v>
      </c>
      <c r="K1962" s="1"/>
      <c r="L1962" s="1"/>
    </row>
    <row r="1963" spans="1:12" s="32" customFormat="1" hidden="1" x14ac:dyDescent="0.3">
      <c r="A1963" s="37">
        <v>46121.712939814817</v>
      </c>
      <c r="B1963" s="1">
        <v>4330333542</v>
      </c>
      <c r="C1963" s="1" t="s">
        <v>44</v>
      </c>
      <c r="D1963" s="1">
        <v>4430265054</v>
      </c>
      <c r="E1963" s="1">
        <v>1193</v>
      </c>
      <c r="F1963" s="1">
        <v>1031</v>
      </c>
      <c r="G1963" s="1" t="s">
        <v>38</v>
      </c>
      <c r="H1963" s="1" t="s">
        <v>955</v>
      </c>
      <c r="I1963" s="1" t="s">
        <v>39</v>
      </c>
      <c r="J1963" s="1" t="s">
        <v>40</v>
      </c>
      <c r="K1963" s="1" t="s">
        <v>41</v>
      </c>
      <c r="L1963" s="1"/>
    </row>
    <row r="1964" spans="1:12" s="32" customFormat="1" hidden="1" x14ac:dyDescent="0.3">
      <c r="A1964" s="37">
        <v>46121.711840277778</v>
      </c>
      <c r="B1964" s="1">
        <v>44991388221</v>
      </c>
      <c r="C1964" s="1" t="s">
        <v>45</v>
      </c>
      <c r="D1964" s="1">
        <v>4430265054</v>
      </c>
      <c r="E1964" s="1">
        <v>268</v>
      </c>
      <c r="F1964" s="1">
        <v>104</v>
      </c>
      <c r="G1964" s="1" t="s">
        <v>38</v>
      </c>
      <c r="H1964" s="1" t="s">
        <v>956</v>
      </c>
      <c r="I1964" s="1" t="s">
        <v>39</v>
      </c>
      <c r="J1964" s="1" t="s">
        <v>40</v>
      </c>
      <c r="K1964" s="1" t="s">
        <v>41</v>
      </c>
      <c r="L1964" s="1"/>
    </row>
    <row r="1965" spans="1:12" s="32" customFormat="1" hidden="1" x14ac:dyDescent="0.3">
      <c r="A1965" s="37">
        <v>46121.696331018517</v>
      </c>
      <c r="B1965" s="1" t="s">
        <v>57</v>
      </c>
      <c r="C1965" s="1">
        <v>44998611343</v>
      </c>
      <c r="D1965" s="1"/>
      <c r="E1965" s="1">
        <v>197</v>
      </c>
      <c r="F1965" s="1">
        <v>182</v>
      </c>
      <c r="G1965" s="1" t="s">
        <v>38</v>
      </c>
      <c r="H1965" s="1" t="s">
        <v>957</v>
      </c>
      <c r="I1965" s="1" t="s">
        <v>46</v>
      </c>
      <c r="J1965" s="1" t="s">
        <v>55</v>
      </c>
      <c r="K1965" s="1"/>
      <c r="L1965" s="1"/>
    </row>
    <row r="1966" spans="1:12" s="32" customFormat="1" hidden="1" x14ac:dyDescent="0.3">
      <c r="A1966" s="37">
        <v>46121.693344907406</v>
      </c>
      <c r="B1966" s="1">
        <v>4430459032</v>
      </c>
      <c r="C1966" s="1" t="s">
        <v>43</v>
      </c>
      <c r="D1966" s="1">
        <v>4430265054</v>
      </c>
      <c r="E1966" s="1">
        <v>859</v>
      </c>
      <c r="F1966" s="1">
        <v>697</v>
      </c>
      <c r="G1966" s="1" t="s">
        <v>38</v>
      </c>
      <c r="H1966" s="1" t="s">
        <v>958</v>
      </c>
      <c r="I1966" s="1" t="s">
        <v>39</v>
      </c>
      <c r="J1966" s="1" t="s">
        <v>40</v>
      </c>
      <c r="K1966" s="1" t="s">
        <v>41</v>
      </c>
      <c r="L1966" s="1"/>
    </row>
    <row r="1967" spans="1:12" s="32" customFormat="1" hidden="1" x14ac:dyDescent="0.3">
      <c r="A1967" s="37">
        <v>46121.692118055558</v>
      </c>
      <c r="B1967" s="1">
        <v>4430459032</v>
      </c>
      <c r="C1967" s="1">
        <v>4430265054</v>
      </c>
      <c r="D1967" s="1">
        <v>4430265054</v>
      </c>
      <c r="E1967" s="1">
        <v>62</v>
      </c>
      <c r="F1967" s="1">
        <v>62</v>
      </c>
      <c r="G1967" s="1" t="s">
        <v>52</v>
      </c>
      <c r="H1967" s="1" t="s">
        <v>959</v>
      </c>
      <c r="I1967" s="1" t="s">
        <v>39</v>
      </c>
      <c r="J1967" s="1" t="s">
        <v>53</v>
      </c>
      <c r="K1967" s="1" t="s">
        <v>41</v>
      </c>
      <c r="L1967" s="1"/>
    </row>
    <row r="1968" spans="1:12" s="32" customFormat="1" hidden="1" x14ac:dyDescent="0.3">
      <c r="A1968" s="37">
        <v>46121.686597222222</v>
      </c>
      <c r="B1968" s="1">
        <v>4439001698</v>
      </c>
      <c r="C1968" s="1" t="s">
        <v>43</v>
      </c>
      <c r="D1968" s="1">
        <v>4430265054</v>
      </c>
      <c r="E1968" s="1">
        <v>414</v>
      </c>
      <c r="F1968" s="1">
        <v>279</v>
      </c>
      <c r="G1968" s="1" t="s">
        <v>38</v>
      </c>
      <c r="H1968" s="1" t="s">
        <v>960</v>
      </c>
      <c r="I1968" s="1" t="s">
        <v>39</v>
      </c>
      <c r="J1968" s="1" t="s">
        <v>40</v>
      </c>
      <c r="K1968" s="1" t="s">
        <v>41</v>
      </c>
      <c r="L1968" s="1">
        <v>5</v>
      </c>
    </row>
    <row r="1969" spans="1:12" s="32" customFormat="1" hidden="1" x14ac:dyDescent="0.3">
      <c r="A1969" s="37">
        <v>46121.68540509259</v>
      </c>
      <c r="B1969" s="1">
        <v>77999014770</v>
      </c>
      <c r="C1969" s="1" t="s">
        <v>44</v>
      </c>
      <c r="D1969" s="1">
        <v>4430265054</v>
      </c>
      <c r="E1969" s="1">
        <v>522</v>
      </c>
      <c r="F1969" s="1">
        <v>337</v>
      </c>
      <c r="G1969" s="1" t="s">
        <v>38</v>
      </c>
      <c r="H1969" s="1" t="s">
        <v>961</v>
      </c>
      <c r="I1969" s="1" t="s">
        <v>39</v>
      </c>
      <c r="J1969" s="1" t="s">
        <v>40</v>
      </c>
      <c r="K1969" s="1" t="s">
        <v>41</v>
      </c>
      <c r="L1969" s="1"/>
    </row>
    <row r="1970" spans="1:12" s="32" customFormat="1" hidden="1" x14ac:dyDescent="0.3">
      <c r="A1970" s="37">
        <v>46121.684953703705</v>
      </c>
      <c r="B1970" s="1">
        <v>77999014770</v>
      </c>
      <c r="C1970" s="1">
        <v>4430265054</v>
      </c>
      <c r="D1970" s="1">
        <v>4430265054</v>
      </c>
      <c r="E1970" s="1">
        <v>11</v>
      </c>
      <c r="F1970" s="1">
        <v>10</v>
      </c>
      <c r="G1970" s="1" t="s">
        <v>52</v>
      </c>
      <c r="H1970" s="1" t="s">
        <v>962</v>
      </c>
      <c r="I1970" s="1" t="s">
        <v>39</v>
      </c>
      <c r="J1970" s="1" t="s">
        <v>53</v>
      </c>
      <c r="K1970" s="1"/>
      <c r="L1970" s="1"/>
    </row>
    <row r="1971" spans="1:12" s="32" customFormat="1" hidden="1" x14ac:dyDescent="0.3">
      <c r="A1971" s="37">
        <v>46121.684861111113</v>
      </c>
      <c r="B1971" s="1" t="s">
        <v>48</v>
      </c>
      <c r="C1971" s="1">
        <v>4436291629</v>
      </c>
      <c r="D1971" s="1"/>
      <c r="E1971" s="1">
        <v>501</v>
      </c>
      <c r="F1971" s="1">
        <v>483</v>
      </c>
      <c r="G1971" s="1" t="s">
        <v>38</v>
      </c>
      <c r="H1971" s="1" t="s">
        <v>963</v>
      </c>
      <c r="I1971" s="1" t="s">
        <v>46</v>
      </c>
      <c r="J1971" s="1" t="s">
        <v>40</v>
      </c>
      <c r="K1971" s="1"/>
      <c r="L1971" s="1"/>
    </row>
    <row r="1972" spans="1:12" s="32" customFormat="1" hidden="1" x14ac:dyDescent="0.3">
      <c r="A1972" s="37">
        <v>46121.684594907405</v>
      </c>
      <c r="B1972" s="1" t="s">
        <v>57</v>
      </c>
      <c r="C1972" s="1">
        <v>44991392207</v>
      </c>
      <c r="D1972" s="1"/>
      <c r="E1972" s="1">
        <v>45</v>
      </c>
      <c r="F1972" s="1">
        <v>5</v>
      </c>
      <c r="G1972" s="1" t="s">
        <v>38</v>
      </c>
      <c r="H1972" s="1" t="s">
        <v>964</v>
      </c>
      <c r="I1972" s="1" t="s">
        <v>46</v>
      </c>
      <c r="J1972" s="1" t="s">
        <v>55</v>
      </c>
      <c r="K1972" s="1"/>
      <c r="L1972" s="1"/>
    </row>
    <row r="1973" spans="1:12" s="32" customFormat="1" hidden="1" x14ac:dyDescent="0.3">
      <c r="A1973" s="37">
        <v>46121.683749999997</v>
      </c>
      <c r="B1973" s="1" t="s">
        <v>57</v>
      </c>
      <c r="C1973" s="1">
        <v>44998611343</v>
      </c>
      <c r="D1973" s="1"/>
      <c r="E1973" s="1">
        <v>60</v>
      </c>
      <c r="F1973" s="1">
        <v>15</v>
      </c>
      <c r="G1973" s="1" t="s">
        <v>38</v>
      </c>
      <c r="H1973" s="1" t="s">
        <v>965</v>
      </c>
      <c r="I1973" s="1" t="s">
        <v>46</v>
      </c>
      <c r="J1973" s="1" t="s">
        <v>55</v>
      </c>
      <c r="K1973" s="1"/>
      <c r="L1973" s="1"/>
    </row>
    <row r="1974" spans="1:12" s="32" customFormat="1" hidden="1" x14ac:dyDescent="0.3">
      <c r="A1974" s="37">
        <v>46121.680775462963</v>
      </c>
      <c r="B1974" s="1">
        <v>4330332823</v>
      </c>
      <c r="C1974" s="1" t="s">
        <v>44</v>
      </c>
      <c r="D1974" s="1">
        <v>4430265054</v>
      </c>
      <c r="E1974" s="1">
        <v>389</v>
      </c>
      <c r="F1974" s="1">
        <v>344</v>
      </c>
      <c r="G1974" s="1" t="s">
        <v>38</v>
      </c>
      <c r="H1974" s="1" t="s">
        <v>966</v>
      </c>
      <c r="I1974" s="1" t="s">
        <v>39</v>
      </c>
      <c r="J1974" s="1" t="s">
        <v>40</v>
      </c>
      <c r="K1974" s="1" t="s">
        <v>41</v>
      </c>
      <c r="L1974" s="1"/>
    </row>
    <row r="1975" spans="1:12" s="32" customFormat="1" hidden="1" x14ac:dyDescent="0.3">
      <c r="A1975" s="37">
        <v>46121.680115740739</v>
      </c>
      <c r="B1975" s="1">
        <v>4436351835</v>
      </c>
      <c r="C1975" s="1" t="s">
        <v>43</v>
      </c>
      <c r="D1975" s="1">
        <v>4430265054</v>
      </c>
      <c r="E1975" s="1">
        <v>412</v>
      </c>
      <c r="F1975" s="1">
        <v>330</v>
      </c>
      <c r="G1975" s="1" t="s">
        <v>38</v>
      </c>
      <c r="H1975" s="1" t="s">
        <v>967</v>
      </c>
      <c r="I1975" s="1" t="s">
        <v>39</v>
      </c>
      <c r="J1975" s="1" t="s">
        <v>40</v>
      </c>
      <c r="K1975" s="1" t="s">
        <v>41</v>
      </c>
      <c r="L1975" s="1">
        <v>5</v>
      </c>
    </row>
    <row r="1976" spans="1:12" s="32" customFormat="1" hidden="1" x14ac:dyDescent="0.3">
      <c r="A1976" s="37">
        <v>46121.673298611109</v>
      </c>
      <c r="B1976" s="1" t="s">
        <v>57</v>
      </c>
      <c r="C1976" s="1">
        <v>4432541200</v>
      </c>
      <c r="D1976" s="1"/>
      <c r="E1976" s="1">
        <v>142</v>
      </c>
      <c r="F1976" s="1">
        <v>128</v>
      </c>
      <c r="G1976" s="1" t="s">
        <v>38</v>
      </c>
      <c r="H1976" s="1" t="s">
        <v>968</v>
      </c>
      <c r="I1976" s="1" t="s">
        <v>46</v>
      </c>
      <c r="J1976" s="1" t="s">
        <v>55</v>
      </c>
      <c r="K1976" s="1"/>
      <c r="L1976" s="1"/>
    </row>
    <row r="1977" spans="1:12" s="32" customFormat="1" hidden="1" x14ac:dyDescent="0.3">
      <c r="A1977" s="37">
        <v>46121.669687499998</v>
      </c>
      <c r="B1977" s="1" t="s">
        <v>48</v>
      </c>
      <c r="C1977" s="1">
        <v>44999770237</v>
      </c>
      <c r="D1977" s="1"/>
      <c r="E1977" s="1">
        <v>42</v>
      </c>
      <c r="F1977" s="1">
        <v>40</v>
      </c>
      <c r="G1977" s="1" t="s">
        <v>38</v>
      </c>
      <c r="H1977" s="1" t="s">
        <v>969</v>
      </c>
      <c r="I1977" s="1" t="s">
        <v>46</v>
      </c>
      <c r="J1977" s="1" t="s">
        <v>40</v>
      </c>
      <c r="K1977" s="1"/>
      <c r="L1977" s="1"/>
    </row>
    <row r="1978" spans="1:12" s="32" customFormat="1" hidden="1" x14ac:dyDescent="0.3">
      <c r="A1978" s="37">
        <v>46121.668935185182</v>
      </c>
      <c r="B1978" s="1" t="s">
        <v>48</v>
      </c>
      <c r="C1978" s="1">
        <v>44999770237</v>
      </c>
      <c r="D1978" s="1"/>
      <c r="E1978" s="1">
        <v>65</v>
      </c>
      <c r="F1978" s="1">
        <v>29</v>
      </c>
      <c r="G1978" s="1" t="s">
        <v>38</v>
      </c>
      <c r="H1978" s="1" t="s">
        <v>970</v>
      </c>
      <c r="I1978" s="1" t="s">
        <v>46</v>
      </c>
      <c r="J1978" s="1" t="s">
        <v>40</v>
      </c>
      <c r="K1978" s="1"/>
      <c r="L1978" s="1"/>
    </row>
    <row r="1979" spans="1:12" s="32" customFormat="1" hidden="1" x14ac:dyDescent="0.3">
      <c r="A1979" s="37">
        <v>46121.668726851851</v>
      </c>
      <c r="B1979" s="1" t="s">
        <v>48</v>
      </c>
      <c r="C1979" s="1">
        <v>44999770237</v>
      </c>
      <c r="D1979" s="1"/>
      <c r="E1979" s="1">
        <v>45</v>
      </c>
      <c r="F1979" s="1">
        <v>40</v>
      </c>
      <c r="G1979" s="1" t="s">
        <v>38</v>
      </c>
      <c r="H1979" s="1" t="s">
        <v>971</v>
      </c>
      <c r="I1979" s="1" t="s">
        <v>46</v>
      </c>
      <c r="J1979" s="1" t="s">
        <v>40</v>
      </c>
      <c r="K1979" s="1"/>
      <c r="L1979" s="1"/>
    </row>
    <row r="1980" spans="1:12" s="32" customFormat="1" hidden="1" x14ac:dyDescent="0.3">
      <c r="A1980" s="37">
        <v>46121.663194444445</v>
      </c>
      <c r="B1980" s="1">
        <v>91981311350</v>
      </c>
      <c r="C1980" s="1" t="s">
        <v>45</v>
      </c>
      <c r="D1980" s="1">
        <v>4430265054</v>
      </c>
      <c r="E1980" s="1">
        <v>255</v>
      </c>
      <c r="F1980" s="1">
        <v>221</v>
      </c>
      <c r="G1980" s="1" t="s">
        <v>38</v>
      </c>
      <c r="H1980" s="1" t="s">
        <v>972</v>
      </c>
      <c r="I1980" s="1" t="s">
        <v>39</v>
      </c>
      <c r="J1980" s="1" t="s">
        <v>40</v>
      </c>
      <c r="K1980" s="1" t="s">
        <v>41</v>
      </c>
      <c r="L1980" s="1">
        <v>5</v>
      </c>
    </row>
    <row r="1981" spans="1:12" s="32" customFormat="1" hidden="1" x14ac:dyDescent="0.3">
      <c r="A1981" s="37">
        <v>46121.662997685184</v>
      </c>
      <c r="B1981" s="1" t="s">
        <v>45</v>
      </c>
      <c r="C1981" s="1">
        <v>91981311350</v>
      </c>
      <c r="D1981" s="1"/>
      <c r="E1981" s="1">
        <v>5</v>
      </c>
      <c r="F1981" s="1">
        <v>0</v>
      </c>
      <c r="G1981" s="1" t="s">
        <v>47</v>
      </c>
      <c r="H1981" s="1" t="s">
        <v>973</v>
      </c>
      <c r="I1981" s="1" t="s">
        <v>46</v>
      </c>
      <c r="J1981" s="1" t="s">
        <v>40</v>
      </c>
      <c r="K1981" s="1"/>
      <c r="L1981" s="1"/>
    </row>
    <row r="1982" spans="1:12" s="32" customFormat="1" hidden="1" x14ac:dyDescent="0.3">
      <c r="A1982" s="37">
        <v>46121.659085648149</v>
      </c>
      <c r="B1982" s="1">
        <v>91981311350</v>
      </c>
      <c r="C1982" s="1" t="s">
        <v>45</v>
      </c>
      <c r="D1982" s="1">
        <v>4430265054</v>
      </c>
      <c r="E1982" s="1">
        <v>348</v>
      </c>
      <c r="F1982" s="1">
        <v>224</v>
      </c>
      <c r="G1982" s="1" t="s">
        <v>38</v>
      </c>
      <c r="H1982" s="1" t="s">
        <v>974</v>
      </c>
      <c r="I1982" s="1" t="s">
        <v>39</v>
      </c>
      <c r="J1982" s="1" t="s">
        <v>40</v>
      </c>
      <c r="K1982" s="1" t="s">
        <v>41</v>
      </c>
      <c r="L1982" s="1"/>
    </row>
    <row r="1983" spans="1:12" s="32" customFormat="1" hidden="1" x14ac:dyDescent="0.3">
      <c r="A1983" s="37">
        <v>46121.657997685186</v>
      </c>
      <c r="B1983" s="1">
        <v>4121413772</v>
      </c>
      <c r="C1983" s="1" t="s">
        <v>45</v>
      </c>
      <c r="D1983" s="1">
        <v>4531273158</v>
      </c>
      <c r="E1983" s="1">
        <v>46</v>
      </c>
      <c r="F1983" s="1">
        <v>7</v>
      </c>
      <c r="G1983" s="1" t="s">
        <v>38</v>
      </c>
      <c r="H1983" s="1" t="s">
        <v>975</v>
      </c>
      <c r="I1983" s="1" t="s">
        <v>39</v>
      </c>
      <c r="J1983" s="1" t="s">
        <v>40</v>
      </c>
      <c r="K1983" s="1" t="s">
        <v>41</v>
      </c>
      <c r="L1983" s="1"/>
    </row>
    <row r="1984" spans="1:12" s="32" customFormat="1" hidden="1" x14ac:dyDescent="0.3">
      <c r="A1984" s="37">
        <v>46121.655659722222</v>
      </c>
      <c r="B1984" s="1" t="s">
        <v>37</v>
      </c>
      <c r="C1984" s="1">
        <v>43984040334</v>
      </c>
      <c r="D1984" s="1"/>
      <c r="E1984" s="1">
        <v>130</v>
      </c>
      <c r="F1984" s="1">
        <v>113</v>
      </c>
      <c r="G1984" s="1" t="s">
        <v>38</v>
      </c>
      <c r="H1984" s="1" t="s">
        <v>976</v>
      </c>
      <c r="I1984" s="1" t="s">
        <v>46</v>
      </c>
      <c r="J1984" s="1" t="s">
        <v>40</v>
      </c>
      <c r="K1984" s="1"/>
      <c r="L1984" s="1"/>
    </row>
    <row r="1985" spans="1:12" s="32" customFormat="1" hidden="1" x14ac:dyDescent="0.3">
      <c r="A1985" s="37">
        <v>46121.655034722222</v>
      </c>
      <c r="B1985" s="1" t="s">
        <v>37</v>
      </c>
      <c r="C1985" s="1">
        <v>43984040334</v>
      </c>
      <c r="D1985" s="1"/>
      <c r="E1985" s="1">
        <v>38</v>
      </c>
      <c r="F1985" s="1">
        <v>0</v>
      </c>
      <c r="G1985" s="1" t="s">
        <v>47</v>
      </c>
      <c r="H1985" s="1" t="s">
        <v>977</v>
      </c>
      <c r="I1985" s="1" t="s">
        <v>46</v>
      </c>
      <c r="J1985" s="1" t="s">
        <v>40</v>
      </c>
      <c r="K1985" s="1"/>
      <c r="L1985" s="1"/>
    </row>
    <row r="1986" spans="1:12" s="32" customFormat="1" hidden="1" x14ac:dyDescent="0.3">
      <c r="A1986" s="37">
        <v>46121.654027777775</v>
      </c>
      <c r="B1986" s="1" t="s">
        <v>37</v>
      </c>
      <c r="C1986" s="1">
        <v>4330333558</v>
      </c>
      <c r="D1986" s="1"/>
      <c r="E1986" s="1">
        <v>82</v>
      </c>
      <c r="F1986" s="1">
        <v>71</v>
      </c>
      <c r="G1986" s="1" t="s">
        <v>38</v>
      </c>
      <c r="H1986" s="1" t="s">
        <v>978</v>
      </c>
      <c r="I1986" s="1" t="s">
        <v>46</v>
      </c>
      <c r="J1986" s="1" t="s">
        <v>40</v>
      </c>
      <c r="K1986" s="1"/>
      <c r="L1986" s="1"/>
    </row>
    <row r="1987" spans="1:12" s="32" customFormat="1" hidden="1" x14ac:dyDescent="0.3">
      <c r="A1987" s="37">
        <v>46121.645231481481</v>
      </c>
      <c r="B1987" s="1">
        <v>67992169496</v>
      </c>
      <c r="C1987" s="1" t="s">
        <v>48</v>
      </c>
      <c r="D1987" s="1">
        <v>4430265054</v>
      </c>
      <c r="E1987" s="1">
        <v>890</v>
      </c>
      <c r="F1987" s="1">
        <v>889</v>
      </c>
      <c r="G1987" s="1" t="s">
        <v>38</v>
      </c>
      <c r="H1987" s="1" t="s">
        <v>979</v>
      </c>
      <c r="I1987" s="1" t="s">
        <v>39</v>
      </c>
      <c r="J1987" s="1" t="s">
        <v>40</v>
      </c>
      <c r="K1987" s="1" t="s">
        <v>41</v>
      </c>
      <c r="L1987" s="1"/>
    </row>
    <row r="1988" spans="1:12" s="32" customFormat="1" x14ac:dyDescent="0.3">
      <c r="A1988" s="37">
        <v>46121.644166666665</v>
      </c>
      <c r="B1988" s="1">
        <v>4430162376</v>
      </c>
      <c r="C1988" s="1" t="s">
        <v>37</v>
      </c>
      <c r="D1988" s="1">
        <v>4430265054</v>
      </c>
      <c r="E1988" s="1">
        <v>383</v>
      </c>
      <c r="F1988" s="1">
        <v>319</v>
      </c>
      <c r="G1988" s="1" t="s">
        <v>38</v>
      </c>
      <c r="H1988" s="1" t="s">
        <v>980</v>
      </c>
      <c r="I1988" s="1" t="s">
        <v>39</v>
      </c>
      <c r="J1988" s="1" t="s">
        <v>40</v>
      </c>
      <c r="K1988" s="1" t="s">
        <v>41</v>
      </c>
      <c r="L1988" s="1">
        <v>5</v>
      </c>
    </row>
    <row r="1989" spans="1:12" s="32" customFormat="1" hidden="1" x14ac:dyDescent="0.3">
      <c r="A1989" s="37">
        <v>46121.639930555553</v>
      </c>
      <c r="B1989" s="1">
        <v>44999497001</v>
      </c>
      <c r="C1989" s="1" t="s">
        <v>42</v>
      </c>
      <c r="D1989" s="1">
        <v>4430265054</v>
      </c>
      <c r="E1989" s="1">
        <v>422</v>
      </c>
      <c r="F1989" s="1">
        <v>309</v>
      </c>
      <c r="G1989" s="1" t="s">
        <v>38</v>
      </c>
      <c r="H1989" s="1" t="s">
        <v>981</v>
      </c>
      <c r="I1989" s="1" t="s">
        <v>39</v>
      </c>
      <c r="J1989" s="1" t="s">
        <v>40</v>
      </c>
      <c r="K1989" s="1" t="s">
        <v>41</v>
      </c>
      <c r="L1989" s="1"/>
    </row>
    <row r="1990" spans="1:12" s="32" customFormat="1" x14ac:dyDescent="0.3">
      <c r="A1990" s="37">
        <v>46121.638495370367</v>
      </c>
      <c r="B1990" s="1">
        <v>4430450103</v>
      </c>
      <c r="C1990" s="1" t="s">
        <v>37</v>
      </c>
      <c r="D1990" s="1">
        <v>4430265054</v>
      </c>
      <c r="E1990" s="1">
        <v>437</v>
      </c>
      <c r="F1990" s="1">
        <v>391</v>
      </c>
      <c r="G1990" s="1" t="s">
        <v>38</v>
      </c>
      <c r="H1990" s="1" t="s">
        <v>982</v>
      </c>
      <c r="I1990" s="1" t="s">
        <v>39</v>
      </c>
      <c r="J1990" s="1" t="s">
        <v>40</v>
      </c>
      <c r="K1990" s="1" t="s">
        <v>41</v>
      </c>
      <c r="L1990" s="1">
        <v>5</v>
      </c>
    </row>
    <row r="1991" spans="1:12" s="32" customFormat="1" hidden="1" x14ac:dyDescent="0.3">
      <c r="A1991" s="37">
        <v>46121.635601851849</v>
      </c>
      <c r="B1991" s="1">
        <v>11998030658</v>
      </c>
      <c r="C1991" s="1" t="s">
        <v>45</v>
      </c>
      <c r="D1991" s="1">
        <v>4430265054</v>
      </c>
      <c r="E1991" s="1">
        <v>836</v>
      </c>
      <c r="F1991" s="1">
        <v>763</v>
      </c>
      <c r="G1991" s="1" t="s">
        <v>38</v>
      </c>
      <c r="H1991" s="1" t="s">
        <v>983</v>
      </c>
      <c r="I1991" s="1" t="s">
        <v>39</v>
      </c>
      <c r="J1991" s="1" t="s">
        <v>40</v>
      </c>
      <c r="K1991" s="1" t="s">
        <v>41</v>
      </c>
      <c r="L1991" s="1"/>
    </row>
    <row r="1992" spans="1:12" s="32" customFormat="1" hidden="1" x14ac:dyDescent="0.3">
      <c r="A1992" s="37">
        <v>46121.633206018516</v>
      </c>
      <c r="B1992" s="1" t="s">
        <v>54</v>
      </c>
      <c r="C1992" s="1">
        <v>31992634871</v>
      </c>
      <c r="D1992" s="1"/>
      <c r="E1992" s="1">
        <v>5</v>
      </c>
      <c r="F1992" s="1">
        <v>0</v>
      </c>
      <c r="G1992" s="1" t="s">
        <v>47</v>
      </c>
      <c r="H1992" s="1" t="s">
        <v>984</v>
      </c>
      <c r="I1992" s="1" t="s">
        <v>46</v>
      </c>
      <c r="J1992" s="1" t="s">
        <v>55</v>
      </c>
      <c r="K1992" s="1"/>
      <c r="L1992" s="1"/>
    </row>
    <row r="1993" spans="1:12" s="32" customFormat="1" hidden="1" x14ac:dyDescent="0.3">
      <c r="A1993" s="37">
        <v>46121.627083333333</v>
      </c>
      <c r="B1993" s="1">
        <v>91981481202</v>
      </c>
      <c r="C1993" s="1" t="s">
        <v>43</v>
      </c>
      <c r="D1993" s="1">
        <v>4430265054</v>
      </c>
      <c r="E1993" s="1">
        <v>166</v>
      </c>
      <c r="F1993" s="1">
        <v>121</v>
      </c>
      <c r="G1993" s="1" t="s">
        <v>38</v>
      </c>
      <c r="H1993" s="1" t="s">
        <v>985</v>
      </c>
      <c r="I1993" s="1" t="s">
        <v>39</v>
      </c>
      <c r="J1993" s="1" t="s">
        <v>40</v>
      </c>
      <c r="K1993" s="1" t="s">
        <v>41</v>
      </c>
      <c r="L1993" s="1"/>
    </row>
    <row r="1994" spans="1:12" s="32" customFormat="1" hidden="1" x14ac:dyDescent="0.3">
      <c r="A1994" s="37">
        <v>46121.626018518517</v>
      </c>
      <c r="B1994" s="1">
        <v>4433015964</v>
      </c>
      <c r="C1994" s="1">
        <v>4430265054</v>
      </c>
      <c r="D1994" s="1">
        <v>4430265054</v>
      </c>
      <c r="E1994" s="1">
        <v>3</v>
      </c>
      <c r="F1994" s="1">
        <v>2</v>
      </c>
      <c r="G1994" s="1" t="s">
        <v>52</v>
      </c>
      <c r="H1994" s="1" t="s">
        <v>986</v>
      </c>
      <c r="I1994" s="1" t="s">
        <v>39</v>
      </c>
      <c r="J1994" s="1" t="s">
        <v>53</v>
      </c>
      <c r="K1994" s="1"/>
      <c r="L1994" s="1"/>
    </row>
    <row r="1995" spans="1:12" s="32" customFormat="1" hidden="1" x14ac:dyDescent="0.3">
      <c r="A1995" s="37">
        <v>46121.617893518516</v>
      </c>
      <c r="B1995" s="1">
        <v>44998454020</v>
      </c>
      <c r="C1995" s="1">
        <v>4430265054</v>
      </c>
      <c r="D1995" s="1">
        <v>4430265054</v>
      </c>
      <c r="E1995" s="1">
        <v>5</v>
      </c>
      <c r="F1995" s="1">
        <v>4</v>
      </c>
      <c r="G1995" s="1" t="s">
        <v>52</v>
      </c>
      <c r="H1995" s="1" t="s">
        <v>987</v>
      </c>
      <c r="I1995" s="1" t="s">
        <v>39</v>
      </c>
      <c r="J1995" s="1" t="s">
        <v>53</v>
      </c>
      <c r="K1995" s="1"/>
      <c r="L1995" s="1"/>
    </row>
    <row r="1996" spans="1:12" s="32" customFormat="1" hidden="1" x14ac:dyDescent="0.3">
      <c r="A1996" s="37">
        <v>46121.612858796296</v>
      </c>
      <c r="B1996" s="1">
        <v>67992169496</v>
      </c>
      <c r="C1996" s="1" t="s">
        <v>43</v>
      </c>
      <c r="D1996" s="1">
        <v>4430265054</v>
      </c>
      <c r="E1996" s="1">
        <v>1025</v>
      </c>
      <c r="F1996" s="1">
        <v>945</v>
      </c>
      <c r="G1996" s="1" t="s">
        <v>38</v>
      </c>
      <c r="H1996" s="1" t="s">
        <v>988</v>
      </c>
      <c r="I1996" s="1" t="s">
        <v>39</v>
      </c>
      <c r="J1996" s="1" t="s">
        <v>40</v>
      </c>
      <c r="K1996" s="1" t="s">
        <v>41</v>
      </c>
      <c r="L1996" s="1"/>
    </row>
    <row r="1997" spans="1:12" s="32" customFormat="1" hidden="1" x14ac:dyDescent="0.3">
      <c r="A1997" s="37">
        <v>46121.611585648148</v>
      </c>
      <c r="B1997" s="1">
        <v>44998454020</v>
      </c>
      <c r="C1997" s="1" t="s">
        <v>42</v>
      </c>
      <c r="D1997" s="1">
        <v>4430265054</v>
      </c>
      <c r="E1997" s="1">
        <v>540</v>
      </c>
      <c r="F1997" s="1">
        <v>418</v>
      </c>
      <c r="G1997" s="1" t="s">
        <v>38</v>
      </c>
      <c r="H1997" s="1" t="s">
        <v>989</v>
      </c>
      <c r="I1997" s="1" t="s">
        <v>39</v>
      </c>
      <c r="J1997" s="1" t="s">
        <v>40</v>
      </c>
      <c r="K1997" s="1" t="s">
        <v>41</v>
      </c>
      <c r="L1997" s="1">
        <v>5</v>
      </c>
    </row>
    <row r="1998" spans="1:12" s="32" customFormat="1" hidden="1" x14ac:dyDescent="0.3">
      <c r="A1998" s="37">
        <v>46121.607442129629</v>
      </c>
      <c r="B1998" s="1">
        <v>44999497001</v>
      </c>
      <c r="C1998" s="1" t="s">
        <v>44</v>
      </c>
      <c r="D1998" s="1">
        <v>4430265054</v>
      </c>
      <c r="E1998" s="1">
        <v>283</v>
      </c>
      <c r="F1998" s="1">
        <v>255</v>
      </c>
      <c r="G1998" s="1" t="s">
        <v>38</v>
      </c>
      <c r="H1998" s="1" t="s">
        <v>990</v>
      </c>
      <c r="I1998" s="1" t="s">
        <v>39</v>
      </c>
      <c r="J1998" s="1" t="s">
        <v>40</v>
      </c>
      <c r="K1998" s="1" t="s">
        <v>41</v>
      </c>
      <c r="L1998" s="1"/>
    </row>
    <row r="1999" spans="1:12" s="32" customFormat="1" hidden="1" x14ac:dyDescent="0.3">
      <c r="A1999" s="37">
        <v>46121.602175925924</v>
      </c>
      <c r="B1999" s="1">
        <v>4430450103</v>
      </c>
      <c r="C1999" s="1" t="s">
        <v>43</v>
      </c>
      <c r="D1999" s="1">
        <v>4430265054</v>
      </c>
      <c r="E1999" s="1">
        <v>551</v>
      </c>
      <c r="F1999" s="1">
        <v>507</v>
      </c>
      <c r="G1999" s="1" t="s">
        <v>38</v>
      </c>
      <c r="H1999" s="1" t="s">
        <v>991</v>
      </c>
      <c r="I1999" s="1" t="s">
        <v>39</v>
      </c>
      <c r="J1999" s="1" t="s">
        <v>40</v>
      </c>
      <c r="K1999" s="1" t="s">
        <v>41</v>
      </c>
      <c r="L1999" s="1">
        <v>5</v>
      </c>
    </row>
    <row r="2000" spans="1:12" s="32" customFormat="1" hidden="1" x14ac:dyDescent="0.3">
      <c r="A2000" s="37">
        <v>46121.601145833331</v>
      </c>
      <c r="B2000" s="1">
        <v>6436225567</v>
      </c>
      <c r="C2000" s="1" t="s">
        <v>37</v>
      </c>
      <c r="D2000" s="1">
        <v>4430265054</v>
      </c>
      <c r="E2000" s="1">
        <v>986</v>
      </c>
      <c r="F2000" s="1">
        <v>836</v>
      </c>
      <c r="G2000" s="1" t="s">
        <v>38</v>
      </c>
      <c r="H2000" s="1" t="s">
        <v>992</v>
      </c>
      <c r="I2000" s="1" t="s">
        <v>39</v>
      </c>
      <c r="J2000" s="1" t="s">
        <v>40</v>
      </c>
      <c r="K2000" s="1" t="s">
        <v>41</v>
      </c>
      <c r="L2000" s="1"/>
    </row>
    <row r="2001" spans="1:12" s="32" customFormat="1" hidden="1" x14ac:dyDescent="0.3">
      <c r="A2001" s="37">
        <v>46121.598252314812</v>
      </c>
      <c r="B2001" s="1">
        <v>44997134514</v>
      </c>
      <c r="C2001" s="1" t="s">
        <v>48</v>
      </c>
      <c r="D2001" s="1">
        <v>4430265054</v>
      </c>
      <c r="E2001" s="1">
        <v>555</v>
      </c>
      <c r="F2001" s="1">
        <v>378</v>
      </c>
      <c r="G2001" s="1" t="s">
        <v>38</v>
      </c>
      <c r="H2001" s="1" t="s">
        <v>993</v>
      </c>
      <c r="I2001" s="1" t="s">
        <v>39</v>
      </c>
      <c r="J2001" s="1" t="s">
        <v>40</v>
      </c>
      <c r="K2001" s="1" t="s">
        <v>41</v>
      </c>
      <c r="L2001" s="1"/>
    </row>
    <row r="2002" spans="1:12" s="32" customFormat="1" hidden="1" x14ac:dyDescent="0.3">
      <c r="A2002" s="37">
        <v>46121.596678240741</v>
      </c>
      <c r="B2002" s="1">
        <v>4430289556</v>
      </c>
      <c r="C2002" s="1">
        <v>4430265054</v>
      </c>
      <c r="D2002" s="1">
        <v>4430265054</v>
      </c>
      <c r="E2002" s="1">
        <v>28</v>
      </c>
      <c r="F2002" s="1">
        <v>27</v>
      </c>
      <c r="G2002" s="1" t="s">
        <v>52</v>
      </c>
      <c r="H2002" s="1" t="s">
        <v>994</v>
      </c>
      <c r="I2002" s="1" t="s">
        <v>39</v>
      </c>
      <c r="J2002" s="1" t="s">
        <v>53</v>
      </c>
      <c r="K2002" s="1" t="s">
        <v>41</v>
      </c>
      <c r="L2002" s="1"/>
    </row>
    <row r="2003" spans="1:12" s="32" customFormat="1" hidden="1" x14ac:dyDescent="0.3">
      <c r="A2003" s="37">
        <v>46121.596620370372</v>
      </c>
      <c r="B2003" s="1" t="s">
        <v>43</v>
      </c>
      <c r="C2003" s="1">
        <v>4430256607</v>
      </c>
      <c r="D2003" s="1"/>
      <c r="E2003" s="1">
        <v>306</v>
      </c>
      <c r="F2003" s="1">
        <v>298</v>
      </c>
      <c r="G2003" s="1" t="s">
        <v>38</v>
      </c>
      <c r="H2003" s="1" t="s">
        <v>995</v>
      </c>
      <c r="I2003" s="1" t="s">
        <v>46</v>
      </c>
      <c r="J2003" s="1" t="s">
        <v>40</v>
      </c>
      <c r="K2003" s="1"/>
      <c r="L2003" s="1"/>
    </row>
    <row r="2004" spans="1:12" s="32" customFormat="1" hidden="1" x14ac:dyDescent="0.3">
      <c r="A2004" s="37">
        <v>46121.596539351849</v>
      </c>
      <c r="B2004" s="1" t="s">
        <v>43</v>
      </c>
      <c r="C2004" s="1">
        <v>4430256607</v>
      </c>
      <c r="D2004" s="1"/>
      <c r="E2004" s="1">
        <v>25</v>
      </c>
      <c r="F2004" s="1">
        <v>25</v>
      </c>
      <c r="G2004" s="1" t="s">
        <v>38</v>
      </c>
      <c r="H2004" s="1" t="s">
        <v>996</v>
      </c>
      <c r="I2004" s="1" t="s">
        <v>46</v>
      </c>
      <c r="J2004" s="1" t="s">
        <v>40</v>
      </c>
      <c r="K2004" s="1"/>
      <c r="L2004" s="1"/>
    </row>
    <row r="2005" spans="1:12" s="32" customFormat="1" hidden="1" x14ac:dyDescent="0.3">
      <c r="A2005" s="37">
        <v>46121.594733796293</v>
      </c>
      <c r="B2005" s="1">
        <v>4430256607</v>
      </c>
      <c r="C2005" s="1" t="s">
        <v>43</v>
      </c>
      <c r="D2005" s="1">
        <v>4430265054</v>
      </c>
      <c r="E2005" s="1">
        <v>149</v>
      </c>
      <c r="F2005" s="1">
        <v>47</v>
      </c>
      <c r="G2005" s="1" t="s">
        <v>38</v>
      </c>
      <c r="H2005" s="1" t="s">
        <v>997</v>
      </c>
      <c r="I2005" s="1" t="s">
        <v>39</v>
      </c>
      <c r="J2005" s="1" t="s">
        <v>40</v>
      </c>
      <c r="K2005" s="1" t="s">
        <v>41</v>
      </c>
      <c r="L2005" s="1"/>
    </row>
    <row r="2006" spans="1:12" s="32" customFormat="1" hidden="1" x14ac:dyDescent="0.3">
      <c r="A2006" s="37">
        <v>46121.591874999998</v>
      </c>
      <c r="B2006" s="1">
        <v>44991388221</v>
      </c>
      <c r="C2006" s="1" t="s">
        <v>45</v>
      </c>
      <c r="D2006" s="1">
        <v>4430265054</v>
      </c>
      <c r="E2006" s="1">
        <v>2659</v>
      </c>
      <c r="F2006" s="1">
        <v>2622</v>
      </c>
      <c r="G2006" s="1" t="s">
        <v>38</v>
      </c>
      <c r="H2006" s="1" t="s">
        <v>998</v>
      </c>
      <c r="I2006" s="1" t="s">
        <v>39</v>
      </c>
      <c r="J2006" s="1" t="s">
        <v>40</v>
      </c>
      <c r="K2006" s="1" t="s">
        <v>41</v>
      </c>
      <c r="L2006" s="1">
        <v>5</v>
      </c>
    </row>
    <row r="2007" spans="1:12" s="32" customFormat="1" hidden="1" x14ac:dyDescent="0.3">
      <c r="A2007" s="37">
        <v>46121.589618055557</v>
      </c>
      <c r="B2007" s="1">
        <v>43996490165</v>
      </c>
      <c r="C2007" s="1" t="s">
        <v>45</v>
      </c>
      <c r="D2007" s="1">
        <v>4430265054</v>
      </c>
      <c r="E2007" s="1">
        <v>160</v>
      </c>
      <c r="F2007" s="1">
        <v>118</v>
      </c>
      <c r="G2007" s="1" t="s">
        <v>38</v>
      </c>
      <c r="H2007" s="1" t="s">
        <v>999</v>
      </c>
      <c r="I2007" s="1" t="s">
        <v>39</v>
      </c>
      <c r="J2007" s="1" t="s">
        <v>40</v>
      </c>
      <c r="K2007" s="1" t="s">
        <v>41</v>
      </c>
      <c r="L2007" s="1"/>
    </row>
    <row r="2008" spans="1:12" s="32" customFormat="1" hidden="1" x14ac:dyDescent="0.3">
      <c r="A2008" s="37">
        <v>46121.585104166668</v>
      </c>
      <c r="B2008" s="1">
        <v>44991814587</v>
      </c>
      <c r="C2008" s="1" t="s">
        <v>43</v>
      </c>
      <c r="D2008" s="1">
        <v>4430265054</v>
      </c>
      <c r="E2008" s="1">
        <v>549</v>
      </c>
      <c r="F2008" s="1">
        <v>512</v>
      </c>
      <c r="G2008" s="1" t="s">
        <v>38</v>
      </c>
      <c r="H2008" s="1" t="s">
        <v>1000</v>
      </c>
      <c r="I2008" s="1" t="s">
        <v>39</v>
      </c>
      <c r="J2008" s="1" t="s">
        <v>40</v>
      </c>
      <c r="K2008" s="1" t="s">
        <v>41</v>
      </c>
      <c r="L2008" s="1"/>
    </row>
    <row r="2009" spans="1:12" s="32" customFormat="1" hidden="1" x14ac:dyDescent="0.3">
      <c r="A2009" s="37">
        <v>46121.581944444442</v>
      </c>
      <c r="B2009" s="1">
        <v>44991388221</v>
      </c>
      <c r="C2009" s="1">
        <v>4430265054</v>
      </c>
      <c r="D2009" s="1">
        <v>4430265054</v>
      </c>
      <c r="E2009" s="1">
        <v>77</v>
      </c>
      <c r="F2009" s="1">
        <v>77</v>
      </c>
      <c r="G2009" s="1" t="s">
        <v>52</v>
      </c>
      <c r="H2009" s="1" t="s">
        <v>1001</v>
      </c>
      <c r="I2009" s="1" t="s">
        <v>39</v>
      </c>
      <c r="J2009" s="1" t="s">
        <v>53</v>
      </c>
      <c r="K2009" s="1" t="s">
        <v>41</v>
      </c>
      <c r="L2009" s="1"/>
    </row>
    <row r="2010" spans="1:12" s="32" customFormat="1" hidden="1" x14ac:dyDescent="0.3">
      <c r="A2010" s="37">
        <v>46121.58016203704</v>
      </c>
      <c r="B2010" s="1">
        <v>4436313773</v>
      </c>
      <c r="C2010" s="1" t="s">
        <v>42</v>
      </c>
      <c r="D2010" s="1">
        <v>4430265054</v>
      </c>
      <c r="E2010" s="1">
        <v>1392</v>
      </c>
      <c r="F2010" s="1">
        <v>1272</v>
      </c>
      <c r="G2010" s="1" t="s">
        <v>38</v>
      </c>
      <c r="H2010" s="1" t="s">
        <v>1002</v>
      </c>
      <c r="I2010" s="1" t="s">
        <v>39</v>
      </c>
      <c r="J2010" s="1" t="s">
        <v>40</v>
      </c>
      <c r="K2010" s="1" t="s">
        <v>41</v>
      </c>
      <c r="L2010" s="1"/>
    </row>
    <row r="2011" spans="1:12" s="32" customFormat="1" hidden="1" x14ac:dyDescent="0.3">
      <c r="A2011" s="37">
        <v>46121.577569444446</v>
      </c>
      <c r="B2011" s="1">
        <v>1131043888</v>
      </c>
      <c r="C2011" s="1" t="s">
        <v>45</v>
      </c>
      <c r="D2011" s="1">
        <v>4430265054</v>
      </c>
      <c r="E2011" s="1">
        <v>489</v>
      </c>
      <c r="F2011" s="1">
        <v>399</v>
      </c>
      <c r="G2011" s="1" t="s">
        <v>38</v>
      </c>
      <c r="H2011" s="1" t="s">
        <v>1003</v>
      </c>
      <c r="I2011" s="1" t="s">
        <v>39</v>
      </c>
      <c r="J2011" s="1" t="s">
        <v>40</v>
      </c>
      <c r="K2011" s="1" t="s">
        <v>41</v>
      </c>
      <c r="L2011" s="1"/>
    </row>
    <row r="2012" spans="1:12" s="32" customFormat="1" hidden="1" x14ac:dyDescent="0.3">
      <c r="A2012" s="37">
        <v>46121.573495370372</v>
      </c>
      <c r="B2012" s="1">
        <v>44991388221</v>
      </c>
      <c r="C2012" s="1">
        <v>4430265054</v>
      </c>
      <c r="D2012" s="1">
        <v>4430265054</v>
      </c>
      <c r="E2012" s="1">
        <v>30</v>
      </c>
      <c r="F2012" s="1">
        <v>30</v>
      </c>
      <c r="G2012" s="1" t="s">
        <v>52</v>
      </c>
      <c r="H2012" s="1" t="s">
        <v>1004</v>
      </c>
      <c r="I2012" s="1" t="s">
        <v>39</v>
      </c>
      <c r="J2012" s="1" t="s">
        <v>53</v>
      </c>
      <c r="K2012" s="1" t="s">
        <v>41</v>
      </c>
      <c r="L2012" s="1"/>
    </row>
    <row r="2013" spans="1:12" s="32" customFormat="1" hidden="1" x14ac:dyDescent="0.3">
      <c r="A2013" s="37">
        <v>46121.571134259262</v>
      </c>
      <c r="B2013" s="1" t="s">
        <v>50</v>
      </c>
      <c r="C2013" s="1" t="s">
        <v>57</v>
      </c>
      <c r="D2013" s="1"/>
      <c r="E2013" s="1">
        <v>412</v>
      </c>
      <c r="F2013" s="1">
        <v>405</v>
      </c>
      <c r="G2013" s="1" t="s">
        <v>38</v>
      </c>
      <c r="H2013" s="1" t="s">
        <v>1005</v>
      </c>
      <c r="I2013" s="1" t="s">
        <v>51</v>
      </c>
      <c r="J2013" s="1" t="s">
        <v>55</v>
      </c>
      <c r="K2013" s="1"/>
      <c r="L2013" s="1"/>
    </row>
    <row r="2014" spans="1:12" s="32" customFormat="1" hidden="1" x14ac:dyDescent="0.3">
      <c r="A2014" s="37">
        <v>46121.570185185185</v>
      </c>
      <c r="B2014" s="1">
        <v>21980099142</v>
      </c>
      <c r="C2014" s="1">
        <v>4430265054</v>
      </c>
      <c r="D2014" s="1">
        <v>4430265054</v>
      </c>
      <c r="E2014" s="1">
        <v>4</v>
      </c>
      <c r="F2014" s="1">
        <v>3</v>
      </c>
      <c r="G2014" s="1" t="s">
        <v>52</v>
      </c>
      <c r="H2014" s="1" t="s">
        <v>1006</v>
      </c>
      <c r="I2014" s="1" t="s">
        <v>39</v>
      </c>
      <c r="J2014" s="1" t="s">
        <v>53</v>
      </c>
      <c r="K2014" s="1"/>
      <c r="L2014" s="1"/>
    </row>
    <row r="2015" spans="1:12" s="32" customFormat="1" hidden="1" x14ac:dyDescent="0.3">
      <c r="A2015" s="37">
        <v>46121.567152777781</v>
      </c>
      <c r="B2015" s="1">
        <v>4430282545</v>
      </c>
      <c r="C2015" s="1" t="s">
        <v>42</v>
      </c>
      <c r="D2015" s="1">
        <v>4430265054</v>
      </c>
      <c r="E2015" s="1">
        <v>556</v>
      </c>
      <c r="F2015" s="1">
        <v>516</v>
      </c>
      <c r="G2015" s="1" t="s">
        <v>38</v>
      </c>
      <c r="H2015" s="1" t="s">
        <v>1007</v>
      </c>
      <c r="I2015" s="1" t="s">
        <v>39</v>
      </c>
      <c r="J2015" s="1" t="s">
        <v>40</v>
      </c>
      <c r="K2015" s="1" t="s">
        <v>41</v>
      </c>
      <c r="L2015" s="1"/>
    </row>
    <row r="2016" spans="1:12" s="32" customFormat="1" hidden="1" x14ac:dyDescent="0.3">
      <c r="A2016" s="37">
        <v>46121.505902777775</v>
      </c>
      <c r="B2016" s="1">
        <v>44999976008</v>
      </c>
      <c r="C2016" s="1">
        <v>4430265054</v>
      </c>
      <c r="D2016" s="1">
        <v>4430265054</v>
      </c>
      <c r="E2016" s="1">
        <v>14</v>
      </c>
      <c r="F2016" s="1">
        <v>13</v>
      </c>
      <c r="G2016" s="1" t="s">
        <v>52</v>
      </c>
      <c r="H2016" s="1" t="s">
        <v>1008</v>
      </c>
      <c r="I2016" s="1" t="s">
        <v>39</v>
      </c>
      <c r="J2016" s="1" t="s">
        <v>53</v>
      </c>
      <c r="K2016" s="1"/>
      <c r="L2016" s="1"/>
    </row>
    <row r="2017" spans="1:12" s="32" customFormat="1" hidden="1" x14ac:dyDescent="0.3">
      <c r="A2017" s="37">
        <v>46121.487141203703</v>
      </c>
      <c r="B2017" s="1">
        <v>4130760170</v>
      </c>
      <c r="C2017" s="1" t="s">
        <v>45</v>
      </c>
      <c r="D2017" s="1">
        <v>4430265054</v>
      </c>
      <c r="E2017" s="1">
        <v>519</v>
      </c>
      <c r="F2017" s="1">
        <v>475</v>
      </c>
      <c r="G2017" s="1" t="s">
        <v>38</v>
      </c>
      <c r="H2017" s="1" t="s">
        <v>1009</v>
      </c>
      <c r="I2017" s="1" t="s">
        <v>39</v>
      </c>
      <c r="J2017" s="1" t="s">
        <v>40</v>
      </c>
      <c r="K2017" s="1" t="s">
        <v>41</v>
      </c>
      <c r="L2017" s="1"/>
    </row>
    <row r="2018" spans="1:12" s="32" customFormat="1" hidden="1" x14ac:dyDescent="0.3">
      <c r="A2018" s="37">
        <v>46121.468159722222</v>
      </c>
      <c r="B2018" s="1">
        <v>4331622700</v>
      </c>
      <c r="C2018" s="1" t="s">
        <v>43</v>
      </c>
      <c r="D2018" s="1">
        <v>4430265054</v>
      </c>
      <c r="E2018" s="1">
        <v>189</v>
      </c>
      <c r="F2018" s="1">
        <v>165</v>
      </c>
      <c r="G2018" s="1" t="s">
        <v>38</v>
      </c>
      <c r="H2018" s="1" t="s">
        <v>1010</v>
      </c>
      <c r="I2018" s="1" t="s">
        <v>39</v>
      </c>
      <c r="J2018" s="1" t="s">
        <v>40</v>
      </c>
      <c r="K2018" s="1" t="s">
        <v>41</v>
      </c>
      <c r="L2018" s="1"/>
    </row>
    <row r="2019" spans="1:12" s="32" customFormat="1" hidden="1" x14ac:dyDescent="0.3">
      <c r="A2019" s="37">
        <v>46121.466377314813</v>
      </c>
      <c r="B2019" s="1">
        <v>44991388221</v>
      </c>
      <c r="C2019" s="1" t="s">
        <v>42</v>
      </c>
      <c r="D2019" s="1">
        <v>4430265054</v>
      </c>
      <c r="E2019" s="1">
        <v>197</v>
      </c>
      <c r="F2019" s="1">
        <v>154</v>
      </c>
      <c r="G2019" s="1" t="s">
        <v>38</v>
      </c>
      <c r="H2019" s="1" t="s">
        <v>1011</v>
      </c>
      <c r="I2019" s="1" t="s">
        <v>39</v>
      </c>
      <c r="J2019" s="1" t="s">
        <v>40</v>
      </c>
      <c r="K2019" s="1" t="s">
        <v>41</v>
      </c>
      <c r="L2019" s="1"/>
    </row>
    <row r="2020" spans="1:12" s="32" customFormat="1" hidden="1" x14ac:dyDescent="0.3">
      <c r="A2020" s="37">
        <v>46121.462638888886</v>
      </c>
      <c r="B2020" s="1">
        <v>4331622700</v>
      </c>
      <c r="C2020" s="1">
        <v>4430265054</v>
      </c>
      <c r="D2020" s="1">
        <v>4430265054</v>
      </c>
      <c r="E2020" s="1">
        <v>132</v>
      </c>
      <c r="F2020" s="1">
        <v>131</v>
      </c>
      <c r="G2020" s="1" t="s">
        <v>52</v>
      </c>
      <c r="H2020" s="1" t="s">
        <v>1012</v>
      </c>
      <c r="I2020" s="1" t="s">
        <v>39</v>
      </c>
      <c r="J2020" s="1" t="s">
        <v>53</v>
      </c>
      <c r="K2020" s="1" t="s">
        <v>41</v>
      </c>
      <c r="L2020" s="1"/>
    </row>
    <row r="2021" spans="1:12" s="32" customFormat="1" hidden="1" x14ac:dyDescent="0.3">
      <c r="A2021" s="37">
        <v>46121.453738425924</v>
      </c>
      <c r="B2021" s="1" t="s">
        <v>42</v>
      </c>
      <c r="C2021" s="1">
        <v>4430284942</v>
      </c>
      <c r="D2021" s="1"/>
      <c r="E2021" s="1">
        <v>362</v>
      </c>
      <c r="F2021" s="1">
        <v>355</v>
      </c>
      <c r="G2021" s="1" t="s">
        <v>38</v>
      </c>
      <c r="H2021" s="1" t="s">
        <v>1013</v>
      </c>
      <c r="I2021" s="1" t="s">
        <v>46</v>
      </c>
      <c r="J2021" s="1" t="s">
        <v>40</v>
      </c>
      <c r="K2021" s="1"/>
      <c r="L2021" s="1"/>
    </row>
    <row r="2022" spans="1:12" s="32" customFormat="1" hidden="1" x14ac:dyDescent="0.3">
      <c r="A2022" s="37">
        <v>46121.453668981485</v>
      </c>
      <c r="B2022" s="1" t="s">
        <v>42</v>
      </c>
      <c r="C2022" s="1">
        <v>4430284942</v>
      </c>
      <c r="D2022" s="1"/>
      <c r="E2022" s="1">
        <v>25</v>
      </c>
      <c r="F2022" s="1">
        <v>25</v>
      </c>
      <c r="G2022" s="1" t="s">
        <v>38</v>
      </c>
      <c r="H2022" s="1" t="s">
        <v>1014</v>
      </c>
      <c r="I2022" s="1" t="s">
        <v>46</v>
      </c>
      <c r="J2022" s="1" t="s">
        <v>40</v>
      </c>
      <c r="K2022" s="1"/>
      <c r="L2022" s="1"/>
    </row>
    <row r="2023" spans="1:12" s="32" customFormat="1" hidden="1" x14ac:dyDescent="0.3">
      <c r="A2023" s="37">
        <v>46121.444340277776</v>
      </c>
      <c r="B2023" s="1">
        <v>4430284942</v>
      </c>
      <c r="C2023" s="1" t="s">
        <v>42</v>
      </c>
      <c r="D2023" s="1">
        <v>4430265054</v>
      </c>
      <c r="E2023" s="1">
        <v>441</v>
      </c>
      <c r="F2023" s="1">
        <v>403</v>
      </c>
      <c r="G2023" s="1" t="s">
        <v>38</v>
      </c>
      <c r="H2023" s="1" t="s">
        <v>1015</v>
      </c>
      <c r="I2023" s="1" t="s">
        <v>39</v>
      </c>
      <c r="J2023" s="1" t="s">
        <v>40</v>
      </c>
      <c r="K2023" s="1" t="s">
        <v>41</v>
      </c>
      <c r="L2023" s="1"/>
    </row>
    <row r="2024" spans="1:12" s="32" customFormat="1" hidden="1" x14ac:dyDescent="0.3">
      <c r="A2024" s="37">
        <v>46121.438726851855</v>
      </c>
      <c r="B2024" s="1" t="s">
        <v>45</v>
      </c>
      <c r="C2024" s="1">
        <v>4330332823</v>
      </c>
      <c r="D2024" s="1"/>
      <c r="E2024" s="1">
        <v>506</v>
      </c>
      <c r="F2024" s="1">
        <v>478</v>
      </c>
      <c r="G2024" s="1" t="s">
        <v>38</v>
      </c>
      <c r="H2024" s="1" t="s">
        <v>1016</v>
      </c>
      <c r="I2024" s="1" t="s">
        <v>46</v>
      </c>
      <c r="J2024" s="1" t="s">
        <v>40</v>
      </c>
      <c r="K2024" s="1"/>
      <c r="L2024" s="1">
        <v>5</v>
      </c>
    </row>
    <row r="2025" spans="1:12" s="32" customFormat="1" hidden="1" x14ac:dyDescent="0.3">
      <c r="A2025" s="37">
        <v>46121.436597222222</v>
      </c>
      <c r="B2025" s="1">
        <v>4121410323</v>
      </c>
      <c r="C2025" s="1">
        <v>4531273152</v>
      </c>
      <c r="D2025" s="1">
        <v>4531273152</v>
      </c>
      <c r="E2025" s="1">
        <v>47</v>
      </c>
      <c r="F2025" s="1">
        <v>46</v>
      </c>
      <c r="G2025" s="1" t="s">
        <v>52</v>
      </c>
      <c r="H2025" s="1" t="s">
        <v>1017</v>
      </c>
      <c r="I2025" s="1" t="s">
        <v>39</v>
      </c>
      <c r="J2025" s="1" t="s">
        <v>53</v>
      </c>
      <c r="K2025" s="1" t="s">
        <v>41</v>
      </c>
      <c r="L2025" s="1"/>
    </row>
    <row r="2026" spans="1:12" s="32" customFormat="1" hidden="1" x14ac:dyDescent="0.3">
      <c r="A2026" s="37">
        <v>46121.420312499999</v>
      </c>
      <c r="B2026" s="1" t="s">
        <v>43</v>
      </c>
      <c r="C2026" s="1">
        <v>4430291622</v>
      </c>
      <c r="D2026" s="1"/>
      <c r="E2026" s="1">
        <v>70</v>
      </c>
      <c r="F2026" s="1">
        <v>60</v>
      </c>
      <c r="G2026" s="1" t="s">
        <v>38</v>
      </c>
      <c r="H2026" s="1" t="s">
        <v>1018</v>
      </c>
      <c r="I2026" s="1" t="s">
        <v>46</v>
      </c>
      <c r="J2026" s="1" t="s">
        <v>40</v>
      </c>
      <c r="K2026" s="1"/>
      <c r="L2026" s="1"/>
    </row>
    <row r="2027" spans="1:12" s="32" customFormat="1" hidden="1" x14ac:dyDescent="0.3">
      <c r="A2027" s="37">
        <v>46121.420231481483</v>
      </c>
      <c r="B2027" s="1" t="s">
        <v>43</v>
      </c>
      <c r="C2027" s="1">
        <v>4430291622</v>
      </c>
      <c r="D2027" s="1"/>
      <c r="E2027" s="1">
        <v>25</v>
      </c>
      <c r="F2027" s="1">
        <v>25</v>
      </c>
      <c r="G2027" s="1" t="s">
        <v>38</v>
      </c>
      <c r="H2027" s="1" t="s">
        <v>1019</v>
      </c>
      <c r="I2027" s="1" t="s">
        <v>46</v>
      </c>
      <c r="J2027" s="1" t="s">
        <v>40</v>
      </c>
      <c r="K2027" s="1"/>
      <c r="L2027" s="1"/>
    </row>
    <row r="2028" spans="1:12" s="32" customFormat="1" hidden="1" x14ac:dyDescent="0.3">
      <c r="A2028" s="37">
        <v>46121.418541666666</v>
      </c>
      <c r="B2028" s="1" t="s">
        <v>50</v>
      </c>
      <c r="C2028" s="1" t="s">
        <v>57</v>
      </c>
      <c r="D2028" s="1"/>
      <c r="E2028" s="1">
        <v>131</v>
      </c>
      <c r="F2028" s="1">
        <v>129</v>
      </c>
      <c r="G2028" s="1" t="s">
        <v>38</v>
      </c>
      <c r="H2028" s="1" t="s">
        <v>1020</v>
      </c>
      <c r="I2028" s="1" t="s">
        <v>51</v>
      </c>
      <c r="J2028" s="1" t="s">
        <v>55</v>
      </c>
      <c r="K2028" s="1"/>
      <c r="L2028" s="1"/>
    </row>
    <row r="2029" spans="1:12" s="32" customFormat="1" hidden="1" x14ac:dyDescent="0.3">
      <c r="A2029" s="37">
        <v>46121.412199074075</v>
      </c>
      <c r="B2029" s="1">
        <v>4430141533</v>
      </c>
      <c r="C2029" s="1" t="s">
        <v>44</v>
      </c>
      <c r="D2029" s="1">
        <v>4430265054</v>
      </c>
      <c r="E2029" s="1">
        <v>259</v>
      </c>
      <c r="F2029" s="1">
        <v>105</v>
      </c>
      <c r="G2029" s="1" t="s">
        <v>38</v>
      </c>
      <c r="H2029" s="1" t="s">
        <v>1021</v>
      </c>
      <c r="I2029" s="1" t="s">
        <v>39</v>
      </c>
      <c r="J2029" s="1" t="s">
        <v>40</v>
      </c>
      <c r="K2029" s="1" t="s">
        <v>41</v>
      </c>
      <c r="L2029" s="1"/>
    </row>
    <row r="2030" spans="1:12" s="32" customFormat="1" hidden="1" x14ac:dyDescent="0.3">
      <c r="A2030" s="37">
        <v>46121.410254629627</v>
      </c>
      <c r="B2030" s="1" t="s">
        <v>50</v>
      </c>
      <c r="C2030" s="1" t="s">
        <v>57</v>
      </c>
      <c r="D2030" s="1"/>
      <c r="E2030" s="1">
        <v>695</v>
      </c>
      <c r="F2030" s="1">
        <v>692</v>
      </c>
      <c r="G2030" s="1" t="s">
        <v>38</v>
      </c>
      <c r="H2030" s="1" t="s">
        <v>1022</v>
      </c>
      <c r="I2030" s="1" t="s">
        <v>51</v>
      </c>
      <c r="J2030" s="1" t="s">
        <v>55</v>
      </c>
      <c r="K2030" s="1"/>
      <c r="L2030" s="1"/>
    </row>
    <row r="2031" spans="1:12" s="32" customFormat="1" x14ac:dyDescent="0.3">
      <c r="A2031" s="37">
        <v>46121.409861111111</v>
      </c>
      <c r="B2031" s="1">
        <v>12997346335</v>
      </c>
      <c r="C2031" s="1" t="s">
        <v>37</v>
      </c>
      <c r="D2031" s="1">
        <v>4430265054</v>
      </c>
      <c r="E2031" s="1">
        <v>954</v>
      </c>
      <c r="F2031" s="1">
        <v>916</v>
      </c>
      <c r="G2031" s="1" t="s">
        <v>38</v>
      </c>
      <c r="H2031" s="1" t="s">
        <v>1023</v>
      </c>
      <c r="I2031" s="1" t="s">
        <v>39</v>
      </c>
      <c r="J2031" s="1" t="s">
        <v>40</v>
      </c>
      <c r="K2031" s="1" t="s">
        <v>41</v>
      </c>
      <c r="L2031" s="1">
        <v>5</v>
      </c>
    </row>
    <row r="2032" spans="1:12" s="32" customFormat="1" hidden="1" x14ac:dyDescent="0.3">
      <c r="A2032" s="37">
        <v>46121.406863425924</v>
      </c>
      <c r="B2032" s="1" t="s">
        <v>50</v>
      </c>
      <c r="C2032" s="1" t="s">
        <v>57</v>
      </c>
      <c r="D2032" s="1"/>
      <c r="E2032" s="1">
        <v>2</v>
      </c>
      <c r="F2032" s="1">
        <v>0</v>
      </c>
      <c r="G2032" s="1" t="s">
        <v>47</v>
      </c>
      <c r="H2032" s="1" t="s">
        <v>1024</v>
      </c>
      <c r="I2032" s="1" t="s">
        <v>51</v>
      </c>
      <c r="J2032" s="1" t="s">
        <v>55</v>
      </c>
      <c r="K2032" s="1"/>
      <c r="L2032" s="1"/>
    </row>
    <row r="2033" spans="1:12" s="32" customFormat="1" hidden="1" x14ac:dyDescent="0.3">
      <c r="A2033" s="37">
        <v>46121.406701388885</v>
      </c>
      <c r="B2033" s="1">
        <v>4430291622</v>
      </c>
      <c r="C2033" s="1" t="s">
        <v>43</v>
      </c>
      <c r="D2033" s="1">
        <v>4430265054</v>
      </c>
      <c r="E2033" s="1">
        <v>671</v>
      </c>
      <c r="F2033" s="1">
        <v>610</v>
      </c>
      <c r="G2033" s="1" t="s">
        <v>38</v>
      </c>
      <c r="H2033" s="1" t="s">
        <v>1025</v>
      </c>
      <c r="I2033" s="1" t="s">
        <v>39</v>
      </c>
      <c r="J2033" s="1" t="s">
        <v>40</v>
      </c>
      <c r="K2033" s="1" t="s">
        <v>41</v>
      </c>
      <c r="L2033" s="1"/>
    </row>
    <row r="2034" spans="1:12" s="32" customFormat="1" hidden="1" x14ac:dyDescent="0.3">
      <c r="A2034" s="37">
        <v>46121.4065625</v>
      </c>
      <c r="B2034" s="1">
        <v>43984810043</v>
      </c>
      <c r="C2034" s="1" t="s">
        <v>45</v>
      </c>
      <c r="D2034" s="1">
        <v>4430265054</v>
      </c>
      <c r="E2034" s="1">
        <v>837</v>
      </c>
      <c r="F2034" s="1">
        <v>733</v>
      </c>
      <c r="G2034" s="1" t="s">
        <v>38</v>
      </c>
      <c r="H2034" s="1" t="s">
        <v>1026</v>
      </c>
      <c r="I2034" s="1" t="s">
        <v>39</v>
      </c>
      <c r="J2034" s="1" t="s">
        <v>40</v>
      </c>
      <c r="K2034" s="1" t="s">
        <v>41</v>
      </c>
      <c r="L2034" s="1"/>
    </row>
    <row r="2035" spans="1:12" s="32" customFormat="1" hidden="1" x14ac:dyDescent="0.3">
      <c r="A2035" s="37">
        <v>46121.40552083333</v>
      </c>
      <c r="B2035" s="1">
        <v>12997346335</v>
      </c>
      <c r="C2035" s="1" t="s">
        <v>37</v>
      </c>
      <c r="D2035" s="1">
        <v>4430265054</v>
      </c>
      <c r="E2035" s="1">
        <v>177</v>
      </c>
      <c r="F2035" s="1">
        <v>34</v>
      </c>
      <c r="G2035" s="1" t="s">
        <v>38</v>
      </c>
      <c r="H2035" s="1" t="s">
        <v>1027</v>
      </c>
      <c r="I2035" s="1" t="s">
        <v>39</v>
      </c>
      <c r="J2035" s="1" t="s">
        <v>40</v>
      </c>
      <c r="K2035" s="1" t="s">
        <v>41</v>
      </c>
      <c r="L2035" s="1"/>
    </row>
    <row r="2036" spans="1:12" s="32" customFormat="1" hidden="1" x14ac:dyDescent="0.3">
      <c r="A2036" s="37">
        <v>46121.394907407404</v>
      </c>
      <c r="B2036" s="1">
        <v>1438160351</v>
      </c>
      <c r="C2036" s="1">
        <v>4430265054</v>
      </c>
      <c r="D2036" s="1">
        <v>4430265054</v>
      </c>
      <c r="E2036" s="1">
        <v>6</v>
      </c>
      <c r="F2036" s="1">
        <v>6</v>
      </c>
      <c r="G2036" s="1" t="s">
        <v>52</v>
      </c>
      <c r="H2036" s="1" t="s">
        <v>1028</v>
      </c>
      <c r="I2036" s="1" t="s">
        <v>39</v>
      </c>
      <c r="J2036" s="1" t="s">
        <v>53</v>
      </c>
      <c r="K2036" s="1"/>
      <c r="L2036" s="1"/>
    </row>
    <row r="2037" spans="1:12" s="32" customFormat="1" hidden="1" x14ac:dyDescent="0.3">
      <c r="A2037" s="37">
        <v>46121.392164351855</v>
      </c>
      <c r="B2037" s="1">
        <v>6234347959</v>
      </c>
      <c r="C2037" s="1" t="s">
        <v>43</v>
      </c>
      <c r="D2037" s="1">
        <v>4430265054</v>
      </c>
      <c r="E2037" s="1">
        <v>310</v>
      </c>
      <c r="F2037" s="1">
        <v>282</v>
      </c>
      <c r="G2037" s="1" t="s">
        <v>38</v>
      </c>
      <c r="H2037" s="1" t="s">
        <v>1029</v>
      </c>
      <c r="I2037" s="1" t="s">
        <v>39</v>
      </c>
      <c r="J2037" s="1" t="s">
        <v>40</v>
      </c>
      <c r="K2037" s="1" t="s">
        <v>41</v>
      </c>
      <c r="L2037" s="1">
        <v>5</v>
      </c>
    </row>
    <row r="2038" spans="1:12" s="32" customFormat="1" hidden="1" x14ac:dyDescent="0.3">
      <c r="A2038" s="37">
        <v>46121.39099537037</v>
      </c>
      <c r="B2038" s="1" t="s">
        <v>42</v>
      </c>
      <c r="C2038" s="1">
        <v>93991495484</v>
      </c>
      <c r="D2038" s="1"/>
      <c r="E2038" s="1">
        <v>171</v>
      </c>
      <c r="F2038" s="1">
        <v>136</v>
      </c>
      <c r="G2038" s="1" t="s">
        <v>38</v>
      </c>
      <c r="H2038" s="1" t="s">
        <v>1030</v>
      </c>
      <c r="I2038" s="1" t="s">
        <v>46</v>
      </c>
      <c r="J2038" s="1" t="s">
        <v>40</v>
      </c>
      <c r="K2038" s="1"/>
      <c r="L2038" s="1"/>
    </row>
    <row r="2039" spans="1:12" s="32" customFormat="1" hidden="1" x14ac:dyDescent="0.3">
      <c r="A2039" s="37">
        <v>46121.389155092591</v>
      </c>
      <c r="B2039" s="1" t="s">
        <v>48</v>
      </c>
      <c r="C2039" s="1">
        <v>4430457100</v>
      </c>
      <c r="D2039" s="1"/>
      <c r="E2039" s="1">
        <v>182</v>
      </c>
      <c r="F2039" s="1">
        <v>170</v>
      </c>
      <c r="G2039" s="1" t="s">
        <v>38</v>
      </c>
      <c r="H2039" s="1" t="s">
        <v>1031</v>
      </c>
      <c r="I2039" s="1" t="s">
        <v>46</v>
      </c>
      <c r="J2039" s="1" t="s">
        <v>40</v>
      </c>
      <c r="K2039" s="1"/>
      <c r="L2039" s="1"/>
    </row>
    <row r="2040" spans="1:12" s="32" customFormat="1" hidden="1" x14ac:dyDescent="0.3">
      <c r="A2040" s="37">
        <v>46121.388645833336</v>
      </c>
      <c r="B2040" s="1">
        <v>44988300360</v>
      </c>
      <c r="C2040" s="1" t="s">
        <v>43</v>
      </c>
      <c r="D2040" s="1">
        <v>4430265054</v>
      </c>
      <c r="E2040" s="1">
        <v>195</v>
      </c>
      <c r="F2040" s="1">
        <v>170</v>
      </c>
      <c r="G2040" s="1" t="s">
        <v>38</v>
      </c>
      <c r="H2040" s="1" t="s">
        <v>1032</v>
      </c>
      <c r="I2040" s="1" t="s">
        <v>39</v>
      </c>
      <c r="J2040" s="1" t="s">
        <v>40</v>
      </c>
      <c r="K2040" s="1" t="s">
        <v>41</v>
      </c>
      <c r="L2040" s="1"/>
    </row>
    <row r="2041" spans="1:12" s="32" customFormat="1" x14ac:dyDescent="0.3">
      <c r="A2041" s="37">
        <v>46121.384965277779</v>
      </c>
      <c r="B2041" s="1">
        <v>44999497001</v>
      </c>
      <c r="C2041" s="1" t="s">
        <v>37</v>
      </c>
      <c r="D2041" s="1">
        <v>4430265054</v>
      </c>
      <c r="E2041" s="1">
        <v>483</v>
      </c>
      <c r="F2041" s="1">
        <v>443</v>
      </c>
      <c r="G2041" s="1" t="s">
        <v>38</v>
      </c>
      <c r="H2041" s="1" t="s">
        <v>1033</v>
      </c>
      <c r="I2041" s="1" t="s">
        <v>39</v>
      </c>
      <c r="J2041" s="1" t="s">
        <v>40</v>
      </c>
      <c r="K2041" s="1" t="s">
        <v>41</v>
      </c>
      <c r="L2041" s="1">
        <v>5</v>
      </c>
    </row>
    <row r="2042" spans="1:12" s="32" customFormat="1" hidden="1" x14ac:dyDescent="0.3">
      <c r="A2042" s="37">
        <v>46121.383125</v>
      </c>
      <c r="B2042" s="1">
        <v>62984961358</v>
      </c>
      <c r="C2042" s="1" t="s">
        <v>42</v>
      </c>
      <c r="D2042" s="1">
        <v>4430265054</v>
      </c>
      <c r="E2042" s="1">
        <v>635</v>
      </c>
      <c r="F2042" s="1">
        <v>608</v>
      </c>
      <c r="G2042" s="1" t="s">
        <v>38</v>
      </c>
      <c r="H2042" s="1" t="s">
        <v>1034</v>
      </c>
      <c r="I2042" s="1" t="s">
        <v>39</v>
      </c>
      <c r="J2042" s="1" t="s">
        <v>40</v>
      </c>
      <c r="K2042" s="1" t="s">
        <v>41</v>
      </c>
      <c r="L2042" s="1"/>
    </row>
    <row r="2043" spans="1:12" s="32" customFormat="1" hidden="1" x14ac:dyDescent="0.3">
      <c r="A2043" s="37">
        <v>46121.381076388891</v>
      </c>
      <c r="B2043" s="1">
        <v>83988398480</v>
      </c>
      <c r="C2043" s="1" t="s">
        <v>45</v>
      </c>
      <c r="D2043" s="1">
        <v>4430265054</v>
      </c>
      <c r="E2043" s="1">
        <v>975</v>
      </c>
      <c r="F2043" s="1">
        <v>941</v>
      </c>
      <c r="G2043" s="1" t="s">
        <v>38</v>
      </c>
      <c r="H2043" s="1" t="s">
        <v>1035</v>
      </c>
      <c r="I2043" s="1" t="s">
        <v>39</v>
      </c>
      <c r="J2043" s="1" t="s">
        <v>40</v>
      </c>
      <c r="K2043" s="1" t="s">
        <v>41</v>
      </c>
      <c r="L2043" s="1">
        <v>5</v>
      </c>
    </row>
    <row r="2044" spans="1:12" s="32" customFormat="1" hidden="1" x14ac:dyDescent="0.3">
      <c r="A2044" s="37">
        <v>46121.379224537035</v>
      </c>
      <c r="B2044" s="1">
        <v>4432541200</v>
      </c>
      <c r="C2044" s="1">
        <v>4430265054</v>
      </c>
      <c r="D2044" s="1">
        <v>4430265054</v>
      </c>
      <c r="E2044" s="1">
        <v>12</v>
      </c>
      <c r="F2044" s="1">
        <v>11</v>
      </c>
      <c r="G2044" s="1" t="s">
        <v>52</v>
      </c>
      <c r="H2044" s="1" t="s">
        <v>1036</v>
      </c>
      <c r="I2044" s="1" t="s">
        <v>39</v>
      </c>
      <c r="J2044" s="1" t="s">
        <v>53</v>
      </c>
      <c r="K2044" s="1"/>
      <c r="L2044" s="1"/>
    </row>
    <row r="2045" spans="1:12" s="32" customFormat="1" hidden="1" x14ac:dyDescent="0.3">
      <c r="A2045" s="37">
        <v>46121.363622685189</v>
      </c>
      <c r="B2045" s="1" t="s">
        <v>48</v>
      </c>
      <c r="C2045" s="1">
        <v>4540639075</v>
      </c>
      <c r="D2045" s="1"/>
      <c r="E2045" s="1">
        <v>308</v>
      </c>
      <c r="F2045" s="1">
        <v>304</v>
      </c>
      <c r="G2045" s="1" t="s">
        <v>38</v>
      </c>
      <c r="H2045" s="1" t="s">
        <v>1037</v>
      </c>
      <c r="I2045" s="1" t="s">
        <v>46</v>
      </c>
      <c r="J2045" s="1" t="s">
        <v>40</v>
      </c>
      <c r="K2045" s="1"/>
      <c r="L2045" s="1"/>
    </row>
    <row r="2046" spans="1:12" s="32" customFormat="1" hidden="1" x14ac:dyDescent="0.3">
      <c r="A2046" s="37">
        <v>46121.363171296296</v>
      </c>
      <c r="B2046" s="1" t="s">
        <v>48</v>
      </c>
      <c r="C2046" s="1">
        <v>4440639075</v>
      </c>
      <c r="D2046" s="1"/>
      <c r="E2046" s="1">
        <v>36</v>
      </c>
      <c r="F2046" s="1">
        <v>0</v>
      </c>
      <c r="G2046" s="1" t="s">
        <v>47</v>
      </c>
      <c r="H2046" s="1" t="s">
        <v>1038</v>
      </c>
      <c r="I2046" s="1" t="s">
        <v>46</v>
      </c>
      <c r="J2046" s="1" t="s">
        <v>40</v>
      </c>
      <c r="K2046" s="1"/>
      <c r="L2046" s="1"/>
    </row>
    <row r="2047" spans="1:12" s="32" customFormat="1" hidden="1" x14ac:dyDescent="0.3">
      <c r="A2047" s="37">
        <v>46121.361770833333</v>
      </c>
      <c r="B2047" s="1">
        <v>43984040334</v>
      </c>
      <c r="C2047" s="1" t="s">
        <v>44</v>
      </c>
      <c r="D2047" s="1">
        <v>4430265054</v>
      </c>
      <c r="E2047" s="1">
        <v>642</v>
      </c>
      <c r="F2047" s="1">
        <v>545</v>
      </c>
      <c r="G2047" s="1" t="s">
        <v>38</v>
      </c>
      <c r="H2047" s="1" t="s">
        <v>1039</v>
      </c>
      <c r="I2047" s="1" t="s">
        <v>39</v>
      </c>
      <c r="J2047" s="1" t="s">
        <v>40</v>
      </c>
      <c r="K2047" s="1" t="s">
        <v>41</v>
      </c>
      <c r="L2047" s="1"/>
    </row>
    <row r="2048" spans="1:12" s="32" customFormat="1" hidden="1" x14ac:dyDescent="0.3">
      <c r="A2048" s="37">
        <v>46121.361018518517</v>
      </c>
      <c r="B2048" s="1">
        <v>1128897100</v>
      </c>
      <c r="C2048" s="1">
        <v>3000</v>
      </c>
      <c r="D2048" s="1">
        <v>4430265054</v>
      </c>
      <c r="E2048" s="1">
        <v>582</v>
      </c>
      <c r="F2048" s="1">
        <v>560</v>
      </c>
      <c r="G2048" s="1" t="s">
        <v>38</v>
      </c>
      <c r="H2048" s="1" t="s">
        <v>1040</v>
      </c>
      <c r="I2048" s="1" t="s">
        <v>39</v>
      </c>
      <c r="J2048" s="1" t="s">
        <v>53</v>
      </c>
      <c r="K2048" s="1" t="s">
        <v>41</v>
      </c>
      <c r="L2048" s="1"/>
    </row>
    <row r="2049" spans="1:12" s="32" customFormat="1" hidden="1" x14ac:dyDescent="0.3">
      <c r="A2049" s="37">
        <v>46121.360011574077</v>
      </c>
      <c r="B2049" s="1" t="s">
        <v>54</v>
      </c>
      <c r="C2049" s="1">
        <v>44991787995</v>
      </c>
      <c r="D2049" s="1"/>
      <c r="E2049" s="1">
        <v>5</v>
      </c>
      <c r="F2049" s="1">
        <v>0</v>
      </c>
      <c r="G2049" s="1" t="s">
        <v>47</v>
      </c>
      <c r="H2049" s="1" t="s">
        <v>1041</v>
      </c>
      <c r="I2049" s="1" t="s">
        <v>46</v>
      </c>
      <c r="J2049" s="1" t="s">
        <v>55</v>
      </c>
      <c r="K2049" s="1"/>
      <c r="L2049" s="1"/>
    </row>
    <row r="2050" spans="1:12" s="32" customFormat="1" hidden="1" x14ac:dyDescent="0.3">
      <c r="A2050" s="37">
        <v>46121.359918981485</v>
      </c>
      <c r="B2050" s="1" t="s">
        <v>54</v>
      </c>
      <c r="C2050" s="1">
        <v>44991787995</v>
      </c>
      <c r="D2050" s="1"/>
      <c r="E2050" s="1">
        <v>6</v>
      </c>
      <c r="F2050" s="1">
        <v>5</v>
      </c>
      <c r="G2050" s="1" t="s">
        <v>38</v>
      </c>
      <c r="H2050" s="1" t="s">
        <v>1042</v>
      </c>
      <c r="I2050" s="1" t="s">
        <v>46</v>
      </c>
      <c r="J2050" s="1" t="s">
        <v>55</v>
      </c>
      <c r="K2050" s="1"/>
      <c r="L2050" s="1"/>
    </row>
    <row r="2051" spans="1:12" s="32" customFormat="1" hidden="1" x14ac:dyDescent="0.3">
      <c r="A2051" s="37">
        <v>46121.35496527778</v>
      </c>
      <c r="B2051" s="1">
        <v>4330333542</v>
      </c>
      <c r="C2051" s="1" t="s">
        <v>45</v>
      </c>
      <c r="D2051" s="1">
        <v>4430265054</v>
      </c>
      <c r="E2051" s="1">
        <v>229</v>
      </c>
      <c r="F2051" s="1">
        <v>106</v>
      </c>
      <c r="G2051" s="1" t="s">
        <v>38</v>
      </c>
      <c r="H2051" s="1" t="s">
        <v>1043</v>
      </c>
      <c r="I2051" s="1" t="s">
        <v>39</v>
      </c>
      <c r="J2051" s="1" t="s">
        <v>40</v>
      </c>
      <c r="K2051" s="1" t="s">
        <v>41</v>
      </c>
      <c r="L2051" s="1"/>
    </row>
    <row r="2052" spans="1:12" s="32" customFormat="1" hidden="1" x14ac:dyDescent="0.3">
      <c r="A2052" s="37">
        <v>46121.349062499998</v>
      </c>
      <c r="B2052" s="1" t="s">
        <v>45</v>
      </c>
      <c r="C2052" s="1">
        <v>44991388221</v>
      </c>
      <c r="D2052" s="1"/>
      <c r="E2052" s="1">
        <v>110</v>
      </c>
      <c r="F2052" s="1">
        <v>100</v>
      </c>
      <c r="G2052" s="1" t="s">
        <v>38</v>
      </c>
      <c r="H2052" s="1" t="s">
        <v>1044</v>
      </c>
      <c r="I2052" s="1" t="s">
        <v>46</v>
      </c>
      <c r="J2052" s="1" t="s">
        <v>40</v>
      </c>
      <c r="K2052" s="1"/>
      <c r="L2052" s="1"/>
    </row>
    <row r="2053" spans="1:12" s="32" customFormat="1" hidden="1" x14ac:dyDescent="0.3">
      <c r="A2053" s="37">
        <v>46121.348958333336</v>
      </c>
      <c r="B2053" s="1" t="s">
        <v>45</v>
      </c>
      <c r="C2053" s="1">
        <v>44991388221</v>
      </c>
      <c r="D2053" s="1"/>
      <c r="E2053" s="1">
        <v>26</v>
      </c>
      <c r="F2053" s="1">
        <v>25</v>
      </c>
      <c r="G2053" s="1" t="s">
        <v>38</v>
      </c>
      <c r="H2053" s="1" t="s">
        <v>1045</v>
      </c>
      <c r="I2053" s="1" t="s">
        <v>46</v>
      </c>
      <c r="J2053" s="1" t="s">
        <v>40</v>
      </c>
      <c r="K2053" s="1"/>
      <c r="L2053" s="1"/>
    </row>
    <row r="2054" spans="1:12" s="32" customFormat="1" hidden="1" x14ac:dyDescent="0.3">
      <c r="A2054" s="37">
        <v>46121.343912037039</v>
      </c>
      <c r="B2054" s="1" t="s">
        <v>45</v>
      </c>
      <c r="C2054" s="1">
        <v>41988242929</v>
      </c>
      <c r="D2054" s="1"/>
      <c r="E2054" s="1">
        <v>4</v>
      </c>
      <c r="F2054" s="1">
        <v>0</v>
      </c>
      <c r="G2054" s="1" t="s">
        <v>47</v>
      </c>
      <c r="H2054" s="1" t="s">
        <v>1046</v>
      </c>
      <c r="I2054" s="1" t="s">
        <v>46</v>
      </c>
      <c r="J2054" s="1" t="s">
        <v>40</v>
      </c>
      <c r="K2054" s="1"/>
      <c r="L2054" s="1"/>
    </row>
    <row r="2055" spans="1:12" s="32" customFormat="1" hidden="1" x14ac:dyDescent="0.3">
      <c r="A2055" s="37">
        <v>46120.742858796293</v>
      </c>
      <c r="B2055" s="1">
        <v>1128787060</v>
      </c>
      <c r="C2055" s="1" t="s">
        <v>57</v>
      </c>
      <c r="D2055" s="1">
        <v>4430265054</v>
      </c>
      <c r="E2055" s="1">
        <v>346</v>
      </c>
      <c r="F2055" s="1">
        <v>318</v>
      </c>
      <c r="G2055" s="1" t="s">
        <v>38</v>
      </c>
      <c r="H2055" s="1" t="s">
        <v>1047</v>
      </c>
      <c r="I2055" s="1" t="s">
        <v>39</v>
      </c>
      <c r="J2055" s="1" t="s">
        <v>55</v>
      </c>
      <c r="K2055" s="1" t="s">
        <v>49</v>
      </c>
      <c r="L2055" s="1"/>
    </row>
    <row r="2056" spans="1:12" s="32" customFormat="1" hidden="1" x14ac:dyDescent="0.3">
      <c r="A2056" s="37">
        <v>46120.740706018521</v>
      </c>
      <c r="B2056" s="1">
        <v>93991495484</v>
      </c>
      <c r="C2056" s="1" t="s">
        <v>42</v>
      </c>
      <c r="D2056" s="1">
        <v>4430265054</v>
      </c>
      <c r="E2056" s="1">
        <v>462</v>
      </c>
      <c r="F2056" s="1">
        <v>369</v>
      </c>
      <c r="G2056" s="1" t="s">
        <v>38</v>
      </c>
      <c r="H2056" s="1" t="s">
        <v>1048</v>
      </c>
      <c r="I2056" s="1" t="s">
        <v>39</v>
      </c>
      <c r="J2056" s="1" t="s">
        <v>40</v>
      </c>
      <c r="K2056" s="1" t="s">
        <v>41</v>
      </c>
      <c r="L2056" s="1">
        <v>5</v>
      </c>
    </row>
    <row r="2057" spans="1:12" s="32" customFormat="1" hidden="1" x14ac:dyDescent="0.3">
      <c r="A2057" s="37">
        <v>46120.73946759259</v>
      </c>
      <c r="B2057" s="1" t="s">
        <v>54</v>
      </c>
      <c r="C2057" s="1">
        <v>12996421981</v>
      </c>
      <c r="D2057" s="1"/>
      <c r="E2057" s="1">
        <v>25</v>
      </c>
      <c r="F2057" s="1">
        <v>9</v>
      </c>
      <c r="G2057" s="1" t="s">
        <v>38</v>
      </c>
      <c r="H2057" s="1" t="s">
        <v>1049</v>
      </c>
      <c r="I2057" s="1" t="s">
        <v>46</v>
      </c>
      <c r="J2057" s="1" t="s">
        <v>55</v>
      </c>
      <c r="K2057" s="1"/>
      <c r="L2057" s="1"/>
    </row>
    <row r="2058" spans="1:12" s="32" customFormat="1" hidden="1" x14ac:dyDescent="0.3">
      <c r="A2058" s="37">
        <v>46120.739189814813</v>
      </c>
      <c r="B2058" s="1">
        <v>93991495484</v>
      </c>
      <c r="C2058" s="1" t="s">
        <v>42</v>
      </c>
      <c r="D2058" s="1">
        <v>4430265054</v>
      </c>
      <c r="E2058" s="1">
        <v>120</v>
      </c>
      <c r="F2058" s="1">
        <v>41</v>
      </c>
      <c r="G2058" s="1" t="s">
        <v>38</v>
      </c>
      <c r="H2058" s="1" t="s">
        <v>1050</v>
      </c>
      <c r="I2058" s="1" t="s">
        <v>39</v>
      </c>
      <c r="J2058" s="1" t="s">
        <v>40</v>
      </c>
      <c r="K2058" s="1" t="s">
        <v>41</v>
      </c>
      <c r="L2058" s="1"/>
    </row>
    <row r="2059" spans="1:12" s="32" customFormat="1" hidden="1" x14ac:dyDescent="0.3">
      <c r="A2059" s="37">
        <v>46120.737928240742</v>
      </c>
      <c r="B2059" s="1" t="s">
        <v>54</v>
      </c>
      <c r="C2059" s="1">
        <v>48991641728</v>
      </c>
      <c r="D2059" s="1"/>
      <c r="E2059" s="1">
        <v>45</v>
      </c>
      <c r="F2059" s="1">
        <v>6</v>
      </c>
      <c r="G2059" s="1" t="s">
        <v>38</v>
      </c>
      <c r="H2059" s="1" t="s">
        <v>1051</v>
      </c>
      <c r="I2059" s="1" t="s">
        <v>46</v>
      </c>
      <c r="J2059" s="1" t="s">
        <v>55</v>
      </c>
      <c r="K2059" s="1"/>
      <c r="L2059" s="1"/>
    </row>
    <row r="2060" spans="1:12" s="32" customFormat="1" hidden="1" x14ac:dyDescent="0.3">
      <c r="A2060" s="37">
        <v>46120.737199074072</v>
      </c>
      <c r="B2060" s="1" t="s">
        <v>54</v>
      </c>
      <c r="C2060" s="1">
        <v>41987166757</v>
      </c>
      <c r="D2060" s="1"/>
      <c r="E2060" s="1">
        <v>14</v>
      </c>
      <c r="F2060" s="1">
        <v>0</v>
      </c>
      <c r="G2060" s="1" t="s">
        <v>47</v>
      </c>
      <c r="H2060" s="1" t="s">
        <v>1052</v>
      </c>
      <c r="I2060" s="1" t="s">
        <v>46</v>
      </c>
      <c r="J2060" s="1" t="s">
        <v>55</v>
      </c>
      <c r="K2060" s="1"/>
      <c r="L2060" s="1"/>
    </row>
    <row r="2061" spans="1:12" s="32" customFormat="1" x14ac:dyDescent="0.3">
      <c r="A2061" s="37">
        <v>46120.734571759262</v>
      </c>
      <c r="B2061" s="1">
        <v>44997426611</v>
      </c>
      <c r="C2061" s="1" t="s">
        <v>37</v>
      </c>
      <c r="D2061" s="1">
        <v>4430265054</v>
      </c>
      <c r="E2061" s="1">
        <v>1140</v>
      </c>
      <c r="F2061" s="1">
        <v>874</v>
      </c>
      <c r="G2061" s="1" t="s">
        <v>38</v>
      </c>
      <c r="H2061" s="1" t="s">
        <v>1053</v>
      </c>
      <c r="I2061" s="1" t="s">
        <v>39</v>
      </c>
      <c r="J2061" s="1" t="s">
        <v>40</v>
      </c>
      <c r="K2061" s="1" t="s">
        <v>41</v>
      </c>
      <c r="L2061" s="1">
        <v>5</v>
      </c>
    </row>
    <row r="2062" spans="1:12" s="32" customFormat="1" hidden="1" x14ac:dyDescent="0.3">
      <c r="A2062" s="37">
        <v>46120.732777777775</v>
      </c>
      <c r="B2062" s="1" t="s">
        <v>54</v>
      </c>
      <c r="C2062" s="1">
        <v>11952869884</v>
      </c>
      <c r="D2062" s="1"/>
      <c r="E2062" s="1">
        <v>12</v>
      </c>
      <c r="F2062" s="1">
        <v>0</v>
      </c>
      <c r="G2062" s="1" t="s">
        <v>47</v>
      </c>
      <c r="H2062" s="1" t="s">
        <v>1054</v>
      </c>
      <c r="I2062" s="1" t="s">
        <v>46</v>
      </c>
      <c r="J2062" s="1" t="s">
        <v>55</v>
      </c>
      <c r="K2062" s="1"/>
      <c r="L2062" s="1"/>
    </row>
    <row r="2063" spans="1:12" s="32" customFormat="1" hidden="1" x14ac:dyDescent="0.3">
      <c r="A2063" s="37">
        <v>46120.731979166667</v>
      </c>
      <c r="B2063" s="1" t="s">
        <v>54</v>
      </c>
      <c r="C2063" s="1">
        <v>75998742626</v>
      </c>
      <c r="D2063" s="1"/>
      <c r="E2063" s="1">
        <v>27</v>
      </c>
      <c r="F2063" s="1">
        <v>0</v>
      </c>
      <c r="G2063" s="1" t="s">
        <v>47</v>
      </c>
      <c r="H2063" s="1" t="s">
        <v>1055</v>
      </c>
      <c r="I2063" s="1" t="s">
        <v>46</v>
      </c>
      <c r="J2063" s="1" t="s">
        <v>55</v>
      </c>
      <c r="K2063" s="1"/>
      <c r="L2063" s="1"/>
    </row>
    <row r="2064" spans="1:12" s="32" customFormat="1" hidden="1" x14ac:dyDescent="0.3">
      <c r="A2064" s="37">
        <v>46120.73159722222</v>
      </c>
      <c r="B2064" s="1">
        <v>44991814587</v>
      </c>
      <c r="C2064" s="1">
        <v>4430265054</v>
      </c>
      <c r="D2064" s="1">
        <v>4430265054</v>
      </c>
      <c r="E2064" s="1">
        <v>94</v>
      </c>
      <c r="F2064" s="1">
        <v>94</v>
      </c>
      <c r="G2064" s="1" t="s">
        <v>52</v>
      </c>
      <c r="H2064" s="1" t="s">
        <v>1056</v>
      </c>
      <c r="I2064" s="1" t="s">
        <v>39</v>
      </c>
      <c r="J2064" s="1" t="s">
        <v>53</v>
      </c>
      <c r="K2064" s="1" t="s">
        <v>41</v>
      </c>
      <c r="L2064" s="1"/>
    </row>
    <row r="2065" spans="1:12" s="32" customFormat="1" hidden="1" x14ac:dyDescent="0.3">
      <c r="A2065" s="37">
        <v>46120.73060185185</v>
      </c>
      <c r="B2065" s="1" t="s">
        <v>54</v>
      </c>
      <c r="C2065" s="1">
        <v>33988247721</v>
      </c>
      <c r="D2065" s="1"/>
      <c r="E2065" s="1">
        <v>12</v>
      </c>
      <c r="F2065" s="1">
        <v>0</v>
      </c>
      <c r="G2065" s="1" t="s">
        <v>47</v>
      </c>
      <c r="H2065" s="1" t="s">
        <v>1057</v>
      </c>
      <c r="I2065" s="1" t="s">
        <v>46</v>
      </c>
      <c r="J2065" s="1" t="s">
        <v>55</v>
      </c>
      <c r="K2065" s="1"/>
      <c r="L2065" s="1"/>
    </row>
    <row r="2066" spans="1:12" s="32" customFormat="1" hidden="1" x14ac:dyDescent="0.3">
      <c r="A2066" s="37">
        <v>46120.728738425925</v>
      </c>
      <c r="B2066" s="1">
        <v>57932527545</v>
      </c>
      <c r="C2066" s="1">
        <v>4430265054</v>
      </c>
      <c r="D2066" s="1">
        <v>4430265054</v>
      </c>
      <c r="E2066" s="1">
        <v>5</v>
      </c>
      <c r="F2066" s="1">
        <v>5</v>
      </c>
      <c r="G2066" s="1" t="s">
        <v>52</v>
      </c>
      <c r="H2066" s="1" t="s">
        <v>1058</v>
      </c>
      <c r="I2066" s="1" t="s">
        <v>39</v>
      </c>
      <c r="J2066" s="1" t="s">
        <v>53</v>
      </c>
      <c r="K2066" s="1"/>
      <c r="L2066" s="1"/>
    </row>
    <row r="2067" spans="1:12" s="32" customFormat="1" hidden="1" x14ac:dyDescent="0.3">
      <c r="A2067" s="37">
        <v>46120.714918981481</v>
      </c>
      <c r="B2067" s="1">
        <v>4430403880</v>
      </c>
      <c r="C2067" s="1" t="s">
        <v>48</v>
      </c>
      <c r="D2067" s="1">
        <v>4430265054</v>
      </c>
      <c r="E2067" s="1">
        <v>251</v>
      </c>
      <c r="F2067" s="1">
        <v>235</v>
      </c>
      <c r="G2067" s="1" t="s">
        <v>38</v>
      </c>
      <c r="H2067" s="1" t="s">
        <v>1059</v>
      </c>
      <c r="I2067" s="1" t="s">
        <v>39</v>
      </c>
      <c r="J2067" s="1" t="s">
        <v>40</v>
      </c>
      <c r="K2067" s="1" t="s">
        <v>41</v>
      </c>
      <c r="L2067" s="1"/>
    </row>
    <row r="2068" spans="1:12" s="32" customFormat="1" hidden="1" x14ac:dyDescent="0.3">
      <c r="A2068" s="37">
        <v>46120.714803240742</v>
      </c>
      <c r="B2068" s="1">
        <v>4133491428</v>
      </c>
      <c r="C2068" s="1" t="s">
        <v>43</v>
      </c>
      <c r="D2068" s="1">
        <v>4430265054</v>
      </c>
      <c r="E2068" s="1">
        <v>112</v>
      </c>
      <c r="F2068" s="1">
        <v>93</v>
      </c>
      <c r="G2068" s="1" t="s">
        <v>38</v>
      </c>
      <c r="H2068" s="1" t="s">
        <v>1060</v>
      </c>
      <c r="I2068" s="1" t="s">
        <v>39</v>
      </c>
      <c r="J2068" s="1" t="s">
        <v>40</v>
      </c>
      <c r="K2068" s="1" t="s">
        <v>41</v>
      </c>
      <c r="L2068" s="1"/>
    </row>
    <row r="2069" spans="1:12" s="32" customFormat="1" hidden="1" x14ac:dyDescent="0.3">
      <c r="A2069" s="37">
        <v>46120.712094907409</v>
      </c>
      <c r="B2069" s="1">
        <v>44999632140</v>
      </c>
      <c r="C2069" s="1" t="s">
        <v>45</v>
      </c>
      <c r="D2069" s="1">
        <v>4430265054</v>
      </c>
      <c r="E2069" s="1">
        <v>1723</v>
      </c>
      <c r="F2069" s="1">
        <v>1676</v>
      </c>
      <c r="G2069" s="1" t="s">
        <v>38</v>
      </c>
      <c r="H2069" s="1" t="s">
        <v>1061</v>
      </c>
      <c r="I2069" s="1" t="s">
        <v>39</v>
      </c>
      <c r="J2069" s="1" t="s">
        <v>40</v>
      </c>
      <c r="K2069" s="1" t="s">
        <v>41</v>
      </c>
      <c r="L2069" s="1">
        <v>5</v>
      </c>
    </row>
    <row r="2070" spans="1:12" s="32" customFormat="1" hidden="1" x14ac:dyDescent="0.3">
      <c r="A2070" s="37">
        <v>46120.706701388888</v>
      </c>
      <c r="B2070" s="1">
        <v>44991814587</v>
      </c>
      <c r="C2070" s="1" t="s">
        <v>43</v>
      </c>
      <c r="D2070" s="1">
        <v>4430265054</v>
      </c>
      <c r="E2070" s="1">
        <v>477</v>
      </c>
      <c r="F2070" s="1">
        <v>354</v>
      </c>
      <c r="G2070" s="1" t="s">
        <v>38</v>
      </c>
      <c r="H2070" s="1" t="s">
        <v>1062</v>
      </c>
      <c r="I2070" s="1" t="s">
        <v>39</v>
      </c>
      <c r="J2070" s="1" t="s">
        <v>40</v>
      </c>
      <c r="K2070" s="1" t="s">
        <v>41</v>
      </c>
      <c r="L2070" s="1"/>
    </row>
    <row r="2071" spans="1:12" s="32" customFormat="1" hidden="1" x14ac:dyDescent="0.3">
      <c r="A2071" s="37">
        <v>46120.703194444446</v>
      </c>
      <c r="B2071" s="1">
        <v>4130155076</v>
      </c>
      <c r="C2071" s="1" t="s">
        <v>42</v>
      </c>
      <c r="D2071" s="1">
        <v>4430265054</v>
      </c>
      <c r="E2071" s="1">
        <v>1497</v>
      </c>
      <c r="F2071" s="1">
        <v>1346</v>
      </c>
      <c r="G2071" s="1" t="s">
        <v>38</v>
      </c>
      <c r="H2071" s="1" t="s">
        <v>1063</v>
      </c>
      <c r="I2071" s="1" t="s">
        <v>39</v>
      </c>
      <c r="J2071" s="1" t="s">
        <v>40</v>
      </c>
      <c r="K2071" s="1" t="s">
        <v>41</v>
      </c>
      <c r="L2071" s="1"/>
    </row>
    <row r="2072" spans="1:12" s="32" customFormat="1" hidden="1" x14ac:dyDescent="0.3">
      <c r="A2072" s="37">
        <v>46120.695520833331</v>
      </c>
      <c r="B2072" s="1" t="s">
        <v>57</v>
      </c>
      <c r="C2072" s="1">
        <v>4434231198</v>
      </c>
      <c r="D2072" s="1"/>
      <c r="E2072" s="1">
        <v>440</v>
      </c>
      <c r="F2072" s="1">
        <v>436</v>
      </c>
      <c r="G2072" s="1" t="s">
        <v>38</v>
      </c>
      <c r="H2072" s="1" t="s">
        <v>1064</v>
      </c>
      <c r="I2072" s="1" t="s">
        <v>46</v>
      </c>
      <c r="J2072" s="1" t="s">
        <v>55</v>
      </c>
      <c r="K2072" s="1"/>
      <c r="L2072" s="1"/>
    </row>
    <row r="2073" spans="1:12" s="32" customFormat="1" hidden="1" x14ac:dyDescent="0.3">
      <c r="A2073" s="37">
        <v>46120.695370370369</v>
      </c>
      <c r="B2073" s="1" t="s">
        <v>57</v>
      </c>
      <c r="C2073" s="1">
        <v>4434321198</v>
      </c>
      <c r="D2073" s="1"/>
      <c r="E2073" s="1">
        <v>1</v>
      </c>
      <c r="F2073" s="1">
        <v>0</v>
      </c>
      <c r="G2073" s="1" t="s">
        <v>47</v>
      </c>
      <c r="H2073" s="1" t="s">
        <v>1065</v>
      </c>
      <c r="I2073" s="1" t="s">
        <v>46</v>
      </c>
      <c r="J2073" s="1" t="s">
        <v>55</v>
      </c>
      <c r="K2073" s="1"/>
      <c r="L2073" s="1"/>
    </row>
    <row r="2074" spans="1:12" s="32" customFormat="1" hidden="1" x14ac:dyDescent="0.3">
      <c r="A2074" s="37">
        <v>46120.691631944443</v>
      </c>
      <c r="B2074" s="1" t="s">
        <v>54</v>
      </c>
      <c r="C2074" s="1">
        <v>53999786737</v>
      </c>
      <c r="D2074" s="1"/>
      <c r="E2074" s="1">
        <v>15</v>
      </c>
      <c r="F2074" s="1">
        <v>0</v>
      </c>
      <c r="G2074" s="1" t="s">
        <v>47</v>
      </c>
      <c r="H2074" s="1" t="s">
        <v>1066</v>
      </c>
      <c r="I2074" s="1" t="s">
        <v>46</v>
      </c>
      <c r="J2074" s="1" t="s">
        <v>55</v>
      </c>
      <c r="K2074" s="1"/>
      <c r="L2074" s="1"/>
    </row>
    <row r="2075" spans="1:12" s="32" customFormat="1" hidden="1" x14ac:dyDescent="0.3">
      <c r="A2075" s="37">
        <v>46120.689872685187</v>
      </c>
      <c r="B2075" s="1" t="s">
        <v>54</v>
      </c>
      <c r="C2075" s="1">
        <v>51984541761</v>
      </c>
      <c r="D2075" s="1"/>
      <c r="E2075" s="1">
        <v>20</v>
      </c>
      <c r="F2075" s="1">
        <v>1</v>
      </c>
      <c r="G2075" s="1" t="s">
        <v>38</v>
      </c>
      <c r="H2075" s="1" t="s">
        <v>1067</v>
      </c>
      <c r="I2075" s="1" t="s">
        <v>46</v>
      </c>
      <c r="J2075" s="1" t="s">
        <v>55</v>
      </c>
      <c r="K2075" s="1"/>
      <c r="L2075" s="1"/>
    </row>
    <row r="2076" spans="1:12" s="32" customFormat="1" hidden="1" x14ac:dyDescent="0.3">
      <c r="A2076" s="37">
        <v>46120.680335648147</v>
      </c>
      <c r="B2076" s="1" t="s">
        <v>57</v>
      </c>
      <c r="C2076" s="1">
        <v>44988681870</v>
      </c>
      <c r="D2076" s="1"/>
      <c r="E2076" s="1">
        <v>138</v>
      </c>
      <c r="F2076" s="1">
        <v>115</v>
      </c>
      <c r="G2076" s="1" t="s">
        <v>38</v>
      </c>
      <c r="H2076" s="1" t="s">
        <v>1068</v>
      </c>
      <c r="I2076" s="1" t="s">
        <v>46</v>
      </c>
      <c r="J2076" s="1" t="s">
        <v>55</v>
      </c>
      <c r="K2076" s="1"/>
      <c r="L2076" s="1"/>
    </row>
    <row r="2077" spans="1:12" s="32" customFormat="1" hidden="1" x14ac:dyDescent="0.3">
      <c r="A2077" s="37">
        <v>46120.680185185185</v>
      </c>
      <c r="B2077" s="1" t="s">
        <v>57</v>
      </c>
      <c r="C2077" s="1">
        <v>4434233167</v>
      </c>
      <c r="D2077" s="1"/>
      <c r="E2077" s="1">
        <v>1</v>
      </c>
      <c r="F2077" s="1">
        <v>0</v>
      </c>
      <c r="G2077" s="1" t="s">
        <v>47</v>
      </c>
      <c r="H2077" s="1" t="s">
        <v>1069</v>
      </c>
      <c r="I2077" s="1" t="s">
        <v>46</v>
      </c>
      <c r="J2077" s="1" t="s">
        <v>55</v>
      </c>
      <c r="K2077" s="1"/>
      <c r="L2077" s="1"/>
    </row>
    <row r="2078" spans="1:12" s="32" customFormat="1" hidden="1" x14ac:dyDescent="0.3">
      <c r="A2078" s="37">
        <v>46120.673645833333</v>
      </c>
      <c r="B2078" s="1">
        <v>4432321232</v>
      </c>
      <c r="C2078" s="1" t="s">
        <v>45</v>
      </c>
      <c r="D2078" s="1">
        <v>4430265054</v>
      </c>
      <c r="E2078" s="1">
        <v>673</v>
      </c>
      <c r="F2078" s="1">
        <v>646</v>
      </c>
      <c r="G2078" s="1" t="s">
        <v>38</v>
      </c>
      <c r="H2078" s="1" t="s">
        <v>1070</v>
      </c>
      <c r="I2078" s="1" t="s">
        <v>39</v>
      </c>
      <c r="J2078" s="1" t="s">
        <v>40</v>
      </c>
      <c r="K2078" s="1" t="s">
        <v>41</v>
      </c>
      <c r="L2078" s="1"/>
    </row>
    <row r="2079" spans="1:12" s="32" customFormat="1" hidden="1" x14ac:dyDescent="0.3">
      <c r="A2079" s="37">
        <v>46120.671932870369</v>
      </c>
      <c r="B2079" s="1">
        <v>91981311350</v>
      </c>
      <c r="C2079" s="1" t="s">
        <v>44</v>
      </c>
      <c r="D2079" s="1">
        <v>4430265054</v>
      </c>
      <c r="E2079" s="1">
        <v>2856</v>
      </c>
      <c r="F2079" s="1">
        <v>2719</v>
      </c>
      <c r="G2079" s="1" t="s">
        <v>38</v>
      </c>
      <c r="H2079" s="1" t="s">
        <v>1071</v>
      </c>
      <c r="I2079" s="1" t="s">
        <v>39</v>
      </c>
      <c r="J2079" s="1" t="s">
        <v>40</v>
      </c>
      <c r="K2079" s="1" t="s">
        <v>41</v>
      </c>
      <c r="L2079" s="1">
        <v>5</v>
      </c>
    </row>
    <row r="2080" spans="1:12" s="32" customFormat="1" hidden="1" x14ac:dyDescent="0.3">
      <c r="A2080" s="37">
        <v>46120.671666666669</v>
      </c>
      <c r="B2080" s="1">
        <v>4432525112</v>
      </c>
      <c r="C2080" s="1" t="s">
        <v>43</v>
      </c>
      <c r="D2080" s="1">
        <v>4430265054</v>
      </c>
      <c r="E2080" s="1">
        <v>486</v>
      </c>
      <c r="F2080" s="1">
        <v>418</v>
      </c>
      <c r="G2080" s="1" t="s">
        <v>38</v>
      </c>
      <c r="H2080" s="1" t="s">
        <v>1072</v>
      </c>
      <c r="I2080" s="1" t="s">
        <v>39</v>
      </c>
      <c r="J2080" s="1" t="s">
        <v>40</v>
      </c>
      <c r="K2080" s="1" t="s">
        <v>41</v>
      </c>
      <c r="L2080" s="1">
        <v>5</v>
      </c>
    </row>
    <row r="2081" spans="1:12" s="32" customFormat="1" hidden="1" x14ac:dyDescent="0.3">
      <c r="A2081" s="37">
        <v>46120.666898148149</v>
      </c>
      <c r="B2081" s="1">
        <v>44998107650</v>
      </c>
      <c r="C2081" s="1" t="s">
        <v>44</v>
      </c>
      <c r="D2081" s="1">
        <v>4431268225</v>
      </c>
      <c r="E2081" s="1">
        <v>273</v>
      </c>
      <c r="F2081" s="1">
        <v>167</v>
      </c>
      <c r="G2081" s="1" t="s">
        <v>38</v>
      </c>
      <c r="H2081" s="1" t="s">
        <v>1073</v>
      </c>
      <c r="I2081" s="1" t="s">
        <v>39</v>
      </c>
      <c r="J2081" s="1" t="s">
        <v>40</v>
      </c>
      <c r="K2081" s="1" t="s">
        <v>41</v>
      </c>
      <c r="L2081" s="1">
        <v>5</v>
      </c>
    </row>
    <row r="2082" spans="1:12" s="32" customFormat="1" hidden="1" x14ac:dyDescent="0.3">
      <c r="A2082" s="37">
        <v>46120.666273148148</v>
      </c>
      <c r="B2082" s="1">
        <v>4133491428</v>
      </c>
      <c r="C2082" s="1" t="s">
        <v>42</v>
      </c>
      <c r="D2082" s="1">
        <v>4430265054</v>
      </c>
      <c r="E2082" s="1">
        <v>1690</v>
      </c>
      <c r="F2082" s="1">
        <v>1621</v>
      </c>
      <c r="G2082" s="1" t="s">
        <v>38</v>
      </c>
      <c r="H2082" s="1" t="s">
        <v>1074</v>
      </c>
      <c r="I2082" s="1" t="s">
        <v>39</v>
      </c>
      <c r="J2082" s="1" t="s">
        <v>40</v>
      </c>
      <c r="K2082" s="1" t="s">
        <v>41</v>
      </c>
      <c r="L2082" s="1"/>
    </row>
    <row r="2083" spans="1:12" s="32" customFormat="1" hidden="1" x14ac:dyDescent="0.3">
      <c r="A2083" s="37">
        <v>46120.66547453704</v>
      </c>
      <c r="B2083" s="1" t="s">
        <v>57</v>
      </c>
      <c r="C2083" s="1">
        <v>44998003003</v>
      </c>
      <c r="D2083" s="1"/>
      <c r="E2083" s="1">
        <v>668</v>
      </c>
      <c r="F2083" s="1">
        <v>660</v>
      </c>
      <c r="G2083" s="1" t="s">
        <v>38</v>
      </c>
      <c r="H2083" s="1" t="s">
        <v>1075</v>
      </c>
      <c r="I2083" s="1" t="s">
        <v>46</v>
      </c>
      <c r="J2083" s="1" t="s">
        <v>55</v>
      </c>
      <c r="K2083" s="1"/>
      <c r="L2083" s="1"/>
    </row>
    <row r="2084" spans="1:12" s="32" customFormat="1" hidden="1" x14ac:dyDescent="0.3">
      <c r="A2084" s="37">
        <v>46120.664409722223</v>
      </c>
      <c r="B2084" s="1" t="s">
        <v>57</v>
      </c>
      <c r="C2084" s="1">
        <v>4430265076</v>
      </c>
      <c r="D2084" s="1"/>
      <c r="E2084" s="1">
        <v>1</v>
      </c>
      <c r="F2084" s="1">
        <v>0</v>
      </c>
      <c r="G2084" s="1" t="s">
        <v>47</v>
      </c>
      <c r="H2084" s="1" t="s">
        <v>1076</v>
      </c>
      <c r="I2084" s="1" t="s">
        <v>46</v>
      </c>
      <c r="J2084" s="1" t="s">
        <v>55</v>
      </c>
      <c r="K2084" s="1"/>
      <c r="L2084" s="1"/>
    </row>
    <row r="2085" spans="1:12" s="32" customFormat="1" hidden="1" x14ac:dyDescent="0.3">
      <c r="A2085" s="37">
        <v>46120.663506944446</v>
      </c>
      <c r="B2085" s="1" t="s">
        <v>57</v>
      </c>
      <c r="C2085" s="1">
        <v>4430175515</v>
      </c>
      <c r="D2085" s="1"/>
      <c r="E2085" s="1">
        <v>1</v>
      </c>
      <c r="F2085" s="1">
        <v>0</v>
      </c>
      <c r="G2085" s="1" t="s">
        <v>47</v>
      </c>
      <c r="H2085" s="1" t="s">
        <v>1077</v>
      </c>
      <c r="I2085" s="1" t="s">
        <v>46</v>
      </c>
      <c r="J2085" s="1" t="s">
        <v>55</v>
      </c>
      <c r="K2085" s="1"/>
      <c r="L2085" s="1"/>
    </row>
    <row r="2086" spans="1:12" s="32" customFormat="1" hidden="1" x14ac:dyDescent="0.3">
      <c r="A2086" s="37">
        <v>46120.663321759261</v>
      </c>
      <c r="B2086" s="1" t="s">
        <v>57</v>
      </c>
      <c r="C2086" s="1">
        <v>4435252515</v>
      </c>
      <c r="D2086" s="1"/>
      <c r="E2086" s="1">
        <v>7</v>
      </c>
      <c r="F2086" s="1">
        <v>0</v>
      </c>
      <c r="G2086" s="1" t="s">
        <v>47</v>
      </c>
      <c r="H2086" s="1" t="s">
        <v>1078</v>
      </c>
      <c r="I2086" s="1" t="s">
        <v>46</v>
      </c>
      <c r="J2086" s="1" t="s">
        <v>55</v>
      </c>
      <c r="K2086" s="1"/>
      <c r="L2086" s="1"/>
    </row>
    <row r="2087" spans="1:12" s="32" customFormat="1" hidden="1" x14ac:dyDescent="0.3">
      <c r="A2087" s="37">
        <v>46120.663206018522</v>
      </c>
      <c r="B2087" s="1" t="s">
        <v>57</v>
      </c>
      <c r="C2087" s="1">
        <v>4430175515</v>
      </c>
      <c r="D2087" s="1"/>
      <c r="E2087" s="1">
        <v>1</v>
      </c>
      <c r="F2087" s="1">
        <v>0</v>
      </c>
      <c r="G2087" s="1" t="s">
        <v>47</v>
      </c>
      <c r="H2087" s="1" t="s">
        <v>1079</v>
      </c>
      <c r="I2087" s="1" t="s">
        <v>46</v>
      </c>
      <c r="J2087" s="1" t="s">
        <v>55</v>
      </c>
      <c r="K2087" s="1"/>
      <c r="L2087" s="1"/>
    </row>
    <row r="2088" spans="1:12" s="32" customFormat="1" hidden="1" x14ac:dyDescent="0.3">
      <c r="A2088" s="37">
        <v>46120.661365740743</v>
      </c>
      <c r="B2088" s="1" t="s">
        <v>48</v>
      </c>
      <c r="C2088" s="1">
        <v>44999770237</v>
      </c>
      <c r="D2088" s="1"/>
      <c r="E2088" s="1">
        <v>91</v>
      </c>
      <c r="F2088" s="1">
        <v>83</v>
      </c>
      <c r="G2088" s="1" t="s">
        <v>38</v>
      </c>
      <c r="H2088" s="1" t="s">
        <v>1080</v>
      </c>
      <c r="I2088" s="1" t="s">
        <v>46</v>
      </c>
      <c r="J2088" s="1" t="s">
        <v>40</v>
      </c>
      <c r="K2088" s="1"/>
      <c r="L2088" s="1"/>
    </row>
    <row r="2089" spans="1:12" s="32" customFormat="1" hidden="1" x14ac:dyDescent="0.3">
      <c r="A2089" s="37">
        <v>46120.661249999997</v>
      </c>
      <c r="B2089" s="1">
        <v>53981112780</v>
      </c>
      <c r="C2089" s="1" t="s">
        <v>45</v>
      </c>
      <c r="D2089" s="1">
        <v>4430265054</v>
      </c>
      <c r="E2089" s="1">
        <v>198</v>
      </c>
      <c r="F2089" s="1">
        <v>106</v>
      </c>
      <c r="G2089" s="1" t="s">
        <v>38</v>
      </c>
      <c r="H2089" s="1" t="s">
        <v>1081</v>
      </c>
      <c r="I2089" s="1" t="s">
        <v>39</v>
      </c>
      <c r="J2089" s="1" t="s">
        <v>40</v>
      </c>
      <c r="K2089" s="1" t="s">
        <v>41</v>
      </c>
      <c r="L2089" s="1"/>
    </row>
    <row r="2090" spans="1:12" s="32" customFormat="1" hidden="1" x14ac:dyDescent="0.3">
      <c r="A2090" s="37">
        <v>46120.661157407405</v>
      </c>
      <c r="B2090" s="1" t="s">
        <v>48</v>
      </c>
      <c r="C2090" s="1">
        <v>44999770237</v>
      </c>
      <c r="D2090" s="1"/>
      <c r="E2090" s="1">
        <v>26</v>
      </c>
      <c r="F2090" s="1">
        <v>21</v>
      </c>
      <c r="G2090" s="1" t="s">
        <v>38</v>
      </c>
      <c r="H2090" s="1" t="s">
        <v>1082</v>
      </c>
      <c r="I2090" s="1" t="s">
        <v>46</v>
      </c>
      <c r="J2090" s="1" t="s">
        <v>40</v>
      </c>
      <c r="K2090" s="1"/>
      <c r="L2090" s="1"/>
    </row>
    <row r="2091" spans="1:12" s="32" customFormat="1" hidden="1" x14ac:dyDescent="0.3">
      <c r="A2091" s="37">
        <v>46120.658333333333</v>
      </c>
      <c r="B2091" s="1" t="s">
        <v>57</v>
      </c>
      <c r="C2091" s="1">
        <v>4436721260</v>
      </c>
      <c r="D2091" s="1"/>
      <c r="E2091" s="1">
        <v>62</v>
      </c>
      <c r="F2091" s="1">
        <v>44</v>
      </c>
      <c r="G2091" s="1" t="s">
        <v>38</v>
      </c>
      <c r="H2091" s="1" t="s">
        <v>1083</v>
      </c>
      <c r="I2091" s="1" t="s">
        <v>46</v>
      </c>
      <c r="J2091" s="1" t="s">
        <v>55</v>
      </c>
      <c r="K2091" s="1"/>
      <c r="L2091" s="1"/>
    </row>
    <row r="2092" spans="1:12" s="32" customFormat="1" hidden="1" x14ac:dyDescent="0.3">
      <c r="A2092" s="37">
        <v>46120.656319444446</v>
      </c>
      <c r="B2092" s="1">
        <v>11973545510</v>
      </c>
      <c r="C2092" s="1" t="s">
        <v>44</v>
      </c>
      <c r="D2092" s="1">
        <v>4430265054</v>
      </c>
      <c r="E2092" s="1">
        <v>500</v>
      </c>
      <c r="F2092" s="1">
        <v>439</v>
      </c>
      <c r="G2092" s="1" t="s">
        <v>38</v>
      </c>
      <c r="H2092" s="1" t="s">
        <v>1084</v>
      </c>
      <c r="I2092" s="1" t="s">
        <v>39</v>
      </c>
      <c r="J2092" s="1" t="s">
        <v>40</v>
      </c>
      <c r="K2092" s="1" t="s">
        <v>41</v>
      </c>
      <c r="L2092" s="1"/>
    </row>
    <row r="2093" spans="1:12" s="32" customFormat="1" hidden="1" x14ac:dyDescent="0.3">
      <c r="A2093" s="37">
        <v>46120.656030092592</v>
      </c>
      <c r="B2093" s="1">
        <v>91981481202</v>
      </c>
      <c r="C2093" s="1" t="s">
        <v>45</v>
      </c>
      <c r="D2093" s="1">
        <v>4430265054</v>
      </c>
      <c r="E2093" s="1">
        <v>191</v>
      </c>
      <c r="F2093" s="1">
        <v>178</v>
      </c>
      <c r="G2093" s="1" t="s">
        <v>38</v>
      </c>
      <c r="H2093" s="1" t="s">
        <v>1085</v>
      </c>
      <c r="I2093" s="1" t="s">
        <v>39</v>
      </c>
      <c r="J2093" s="1" t="s">
        <v>40</v>
      </c>
      <c r="K2093" s="1" t="s">
        <v>41</v>
      </c>
      <c r="L2093" s="1"/>
    </row>
    <row r="2094" spans="1:12" s="32" customFormat="1" hidden="1" x14ac:dyDescent="0.3">
      <c r="A2094" s="37">
        <v>46120.653668981482</v>
      </c>
      <c r="B2094" s="1" t="s">
        <v>48</v>
      </c>
      <c r="C2094" s="1">
        <v>1131043888</v>
      </c>
      <c r="D2094" s="1"/>
      <c r="E2094" s="1">
        <v>344</v>
      </c>
      <c r="F2094" s="1">
        <v>343</v>
      </c>
      <c r="G2094" s="1" t="s">
        <v>38</v>
      </c>
      <c r="H2094" s="1" t="s">
        <v>1086</v>
      </c>
      <c r="I2094" s="1" t="s">
        <v>46</v>
      </c>
      <c r="J2094" s="1" t="s">
        <v>40</v>
      </c>
      <c r="K2094" s="1"/>
      <c r="L2094" s="1"/>
    </row>
    <row r="2095" spans="1:12" s="32" customFormat="1" hidden="1" x14ac:dyDescent="0.3">
      <c r="A2095" s="37">
        <v>46120.645405092589</v>
      </c>
      <c r="B2095" s="1">
        <v>44988067937</v>
      </c>
      <c r="C2095" s="1" t="s">
        <v>37</v>
      </c>
      <c r="D2095" s="1">
        <v>4430265054</v>
      </c>
      <c r="E2095" s="1">
        <v>954</v>
      </c>
      <c r="F2095" s="1">
        <v>813</v>
      </c>
      <c r="G2095" s="1" t="s">
        <v>38</v>
      </c>
      <c r="H2095" s="1" t="s">
        <v>1087</v>
      </c>
      <c r="I2095" s="1" t="s">
        <v>39</v>
      </c>
      <c r="J2095" s="1" t="s">
        <v>40</v>
      </c>
      <c r="K2095" s="1" t="s">
        <v>41</v>
      </c>
      <c r="L2095" s="1"/>
    </row>
    <row r="2096" spans="1:12" s="32" customFormat="1" hidden="1" x14ac:dyDescent="0.3">
      <c r="A2096" s="37">
        <v>46120.641712962963</v>
      </c>
      <c r="B2096" s="1" t="s">
        <v>45</v>
      </c>
      <c r="C2096" s="1">
        <v>44997561804</v>
      </c>
      <c r="D2096" s="1"/>
      <c r="E2096" s="1">
        <v>303</v>
      </c>
      <c r="F2096" s="1">
        <v>300</v>
      </c>
      <c r="G2096" s="1" t="s">
        <v>38</v>
      </c>
      <c r="H2096" s="1" t="s">
        <v>1088</v>
      </c>
      <c r="I2096" s="1" t="s">
        <v>46</v>
      </c>
      <c r="J2096" s="1" t="s">
        <v>40</v>
      </c>
      <c r="K2096" s="1"/>
      <c r="L2096" s="1"/>
    </row>
    <row r="2097" spans="1:12" s="32" customFormat="1" hidden="1" x14ac:dyDescent="0.3">
      <c r="A2097" s="37">
        <v>46120.639791666668</v>
      </c>
      <c r="B2097" s="1">
        <v>4432269849</v>
      </c>
      <c r="C2097" s="1" t="s">
        <v>37</v>
      </c>
      <c r="D2097" s="1">
        <v>4430265054</v>
      </c>
      <c r="E2097" s="1">
        <v>350</v>
      </c>
      <c r="F2097" s="1">
        <v>303</v>
      </c>
      <c r="G2097" s="1" t="s">
        <v>38</v>
      </c>
      <c r="H2097" s="1" t="s">
        <v>1089</v>
      </c>
      <c r="I2097" s="1" t="s">
        <v>39</v>
      </c>
      <c r="J2097" s="1" t="s">
        <v>40</v>
      </c>
      <c r="K2097" s="1" t="s">
        <v>41</v>
      </c>
      <c r="L2097" s="1"/>
    </row>
    <row r="2098" spans="1:12" s="32" customFormat="1" hidden="1" x14ac:dyDescent="0.3">
      <c r="A2098" s="37">
        <v>46120.639548611114</v>
      </c>
      <c r="B2098" s="1">
        <v>44997079838</v>
      </c>
      <c r="C2098" s="1">
        <v>4430265054</v>
      </c>
      <c r="D2098" s="1">
        <v>4430265054</v>
      </c>
      <c r="E2098" s="1">
        <v>5</v>
      </c>
      <c r="F2098" s="1">
        <v>4</v>
      </c>
      <c r="G2098" s="1" t="s">
        <v>52</v>
      </c>
      <c r="H2098" s="1" t="s">
        <v>1090</v>
      </c>
      <c r="I2098" s="1" t="s">
        <v>39</v>
      </c>
      <c r="J2098" s="1" t="s">
        <v>53</v>
      </c>
      <c r="K2098" s="1"/>
      <c r="L2098" s="1"/>
    </row>
    <row r="2099" spans="1:12" s="32" customFormat="1" hidden="1" x14ac:dyDescent="0.3">
      <c r="A2099" s="37">
        <v>46120.632326388892</v>
      </c>
      <c r="B2099" s="1">
        <v>44991174709</v>
      </c>
      <c r="C2099" s="1" t="s">
        <v>43</v>
      </c>
      <c r="D2099" s="1">
        <v>4430265054</v>
      </c>
      <c r="E2099" s="1">
        <v>209</v>
      </c>
      <c r="F2099" s="1">
        <v>91</v>
      </c>
      <c r="G2099" s="1" t="s">
        <v>38</v>
      </c>
      <c r="H2099" s="1" t="s">
        <v>1091</v>
      </c>
      <c r="I2099" s="1" t="s">
        <v>39</v>
      </c>
      <c r="J2099" s="1" t="s">
        <v>40</v>
      </c>
      <c r="K2099" s="1" t="s">
        <v>41</v>
      </c>
      <c r="L2099" s="1">
        <v>5</v>
      </c>
    </row>
    <row r="2100" spans="1:12" s="32" customFormat="1" hidden="1" x14ac:dyDescent="0.3">
      <c r="A2100" s="37">
        <v>46120.631840277776</v>
      </c>
      <c r="B2100" s="1" t="s">
        <v>45</v>
      </c>
      <c r="C2100" s="1">
        <v>4130155076</v>
      </c>
      <c r="D2100" s="1"/>
      <c r="E2100" s="1">
        <v>841</v>
      </c>
      <c r="F2100" s="1">
        <v>833</v>
      </c>
      <c r="G2100" s="1" t="s">
        <v>38</v>
      </c>
      <c r="H2100" s="1" t="s">
        <v>1092</v>
      </c>
      <c r="I2100" s="1" t="s">
        <v>46</v>
      </c>
      <c r="J2100" s="1" t="s">
        <v>40</v>
      </c>
      <c r="K2100" s="1"/>
      <c r="L2100" s="1">
        <v>5</v>
      </c>
    </row>
    <row r="2101" spans="1:12" s="32" customFormat="1" hidden="1" x14ac:dyDescent="0.3">
      <c r="A2101" s="37">
        <v>46120.622488425928</v>
      </c>
      <c r="B2101" s="1">
        <v>1128787060</v>
      </c>
      <c r="C2101" s="1">
        <v>4430265054</v>
      </c>
      <c r="D2101" s="1">
        <v>4430265054</v>
      </c>
      <c r="E2101" s="1">
        <v>17</v>
      </c>
      <c r="F2101" s="1">
        <v>17</v>
      </c>
      <c r="G2101" s="1" t="s">
        <v>52</v>
      </c>
      <c r="H2101" s="1" t="s">
        <v>1093</v>
      </c>
      <c r="I2101" s="1" t="s">
        <v>39</v>
      </c>
      <c r="J2101" s="1" t="s">
        <v>53</v>
      </c>
      <c r="K2101" s="1"/>
      <c r="L2101" s="1"/>
    </row>
    <row r="2102" spans="1:12" s="32" customFormat="1" hidden="1" x14ac:dyDescent="0.3">
      <c r="A2102" s="37">
        <v>46120.618888888886</v>
      </c>
      <c r="B2102" s="1">
        <v>44997650834</v>
      </c>
      <c r="C2102" s="1" t="s">
        <v>45</v>
      </c>
      <c r="D2102" s="1">
        <v>4430265054</v>
      </c>
      <c r="E2102" s="1">
        <v>177</v>
      </c>
      <c r="F2102" s="1">
        <v>132</v>
      </c>
      <c r="G2102" s="1" t="s">
        <v>38</v>
      </c>
      <c r="H2102" s="1" t="s">
        <v>1094</v>
      </c>
      <c r="I2102" s="1" t="s">
        <v>39</v>
      </c>
      <c r="J2102" s="1" t="s">
        <v>40</v>
      </c>
      <c r="K2102" s="1" t="s">
        <v>41</v>
      </c>
      <c r="L2102" s="1">
        <v>5</v>
      </c>
    </row>
    <row r="2103" spans="1:12" s="32" customFormat="1" hidden="1" x14ac:dyDescent="0.3">
      <c r="A2103" s="37">
        <v>46120.615578703706</v>
      </c>
      <c r="B2103" s="1" t="s">
        <v>54</v>
      </c>
      <c r="C2103" s="1">
        <v>11983563222</v>
      </c>
      <c r="D2103" s="1"/>
      <c r="E2103" s="1">
        <v>23</v>
      </c>
      <c r="F2103" s="1">
        <v>0</v>
      </c>
      <c r="G2103" s="1" t="s">
        <v>47</v>
      </c>
      <c r="H2103" s="1" t="s">
        <v>1095</v>
      </c>
      <c r="I2103" s="1" t="s">
        <v>46</v>
      </c>
      <c r="J2103" s="1" t="s">
        <v>55</v>
      </c>
      <c r="K2103" s="1"/>
      <c r="L2103" s="1"/>
    </row>
    <row r="2104" spans="1:12" s="32" customFormat="1" hidden="1" x14ac:dyDescent="0.3">
      <c r="A2104" s="37">
        <v>46120.614930555559</v>
      </c>
      <c r="B2104" s="1" t="s">
        <v>56</v>
      </c>
      <c r="C2104" s="1">
        <v>44991486467</v>
      </c>
      <c r="D2104" s="1"/>
      <c r="E2104" s="1">
        <v>981</v>
      </c>
      <c r="F2104" s="1">
        <v>961</v>
      </c>
      <c r="G2104" s="1" t="s">
        <v>38</v>
      </c>
      <c r="H2104" s="1" t="s">
        <v>1096</v>
      </c>
      <c r="I2104" s="1" t="s">
        <v>46</v>
      </c>
      <c r="J2104" s="1" t="s">
        <v>53</v>
      </c>
      <c r="K2104" s="1"/>
      <c r="L2104" s="1"/>
    </row>
    <row r="2105" spans="1:12" s="32" customFormat="1" hidden="1" x14ac:dyDescent="0.3">
      <c r="A2105" s="37">
        <v>46120.614710648151</v>
      </c>
      <c r="B2105" s="1" t="s">
        <v>54</v>
      </c>
      <c r="C2105" s="1">
        <v>34999046106</v>
      </c>
      <c r="D2105" s="1"/>
      <c r="E2105" s="1">
        <v>43</v>
      </c>
      <c r="F2105" s="1">
        <v>0</v>
      </c>
      <c r="G2105" s="1" t="s">
        <v>47</v>
      </c>
      <c r="H2105" s="1" t="s">
        <v>1097</v>
      </c>
      <c r="I2105" s="1" t="s">
        <v>46</v>
      </c>
      <c r="J2105" s="1" t="s">
        <v>55</v>
      </c>
      <c r="K2105" s="1"/>
      <c r="L2105" s="1"/>
    </row>
    <row r="2106" spans="1:12" s="32" customFormat="1" hidden="1" x14ac:dyDescent="0.3">
      <c r="A2106" s="37">
        <v>46120.611342592594</v>
      </c>
      <c r="B2106" s="1">
        <v>4135007070</v>
      </c>
      <c r="C2106" s="1">
        <v>4430265054</v>
      </c>
      <c r="D2106" s="1">
        <v>4430265054</v>
      </c>
      <c r="E2106" s="1">
        <v>5</v>
      </c>
      <c r="F2106" s="1">
        <v>5</v>
      </c>
      <c r="G2106" s="1" t="s">
        <v>52</v>
      </c>
      <c r="H2106" s="1" t="s">
        <v>1098</v>
      </c>
      <c r="I2106" s="1" t="s">
        <v>39</v>
      </c>
      <c r="J2106" s="1" t="s">
        <v>53</v>
      </c>
      <c r="K2106" s="1"/>
      <c r="L2106" s="1"/>
    </row>
    <row r="2107" spans="1:12" s="32" customFormat="1" hidden="1" x14ac:dyDescent="0.3">
      <c r="A2107" s="37">
        <v>46120.602905092594</v>
      </c>
      <c r="B2107" s="1" t="s">
        <v>48</v>
      </c>
      <c r="C2107" s="1">
        <v>1131043888</v>
      </c>
      <c r="D2107" s="1"/>
      <c r="E2107" s="1">
        <v>158</v>
      </c>
      <c r="F2107" s="1">
        <v>157</v>
      </c>
      <c r="G2107" s="1" t="s">
        <v>38</v>
      </c>
      <c r="H2107" s="1" t="s">
        <v>1099</v>
      </c>
      <c r="I2107" s="1" t="s">
        <v>46</v>
      </c>
      <c r="J2107" s="1" t="s">
        <v>40</v>
      </c>
      <c r="K2107" s="1"/>
      <c r="L2107" s="1"/>
    </row>
    <row r="2108" spans="1:12" s="32" customFormat="1" hidden="1" x14ac:dyDescent="0.3">
      <c r="A2108" s="37">
        <v>46120.59480324074</v>
      </c>
      <c r="B2108" s="1">
        <v>4130775695</v>
      </c>
      <c r="C2108" s="1" t="s">
        <v>42</v>
      </c>
      <c r="D2108" s="1">
        <v>4430265054</v>
      </c>
      <c r="E2108" s="1">
        <v>558</v>
      </c>
      <c r="F2108" s="1">
        <v>481</v>
      </c>
      <c r="G2108" s="1" t="s">
        <v>38</v>
      </c>
      <c r="H2108" s="1" t="s">
        <v>1100</v>
      </c>
      <c r="I2108" s="1" t="s">
        <v>39</v>
      </c>
      <c r="J2108" s="1" t="s">
        <v>40</v>
      </c>
      <c r="K2108" s="1" t="s">
        <v>41</v>
      </c>
      <c r="L2108" s="1">
        <v>5</v>
      </c>
    </row>
    <row r="2109" spans="1:12" s="32" customFormat="1" hidden="1" x14ac:dyDescent="0.3">
      <c r="A2109" s="37">
        <v>46120.570300925923</v>
      </c>
      <c r="B2109" s="1" t="s">
        <v>43</v>
      </c>
      <c r="C2109" s="1">
        <v>4432226677</v>
      </c>
      <c r="D2109" s="1"/>
      <c r="E2109" s="1">
        <v>1841</v>
      </c>
      <c r="F2109" s="1">
        <v>1826</v>
      </c>
      <c r="G2109" s="1" t="s">
        <v>38</v>
      </c>
      <c r="H2109" s="1" t="s">
        <v>1101</v>
      </c>
      <c r="I2109" s="1" t="s">
        <v>46</v>
      </c>
      <c r="J2109" s="1" t="s">
        <v>40</v>
      </c>
      <c r="K2109" s="1"/>
      <c r="L2109" s="1"/>
    </row>
    <row r="2110" spans="1:12" s="32" customFormat="1" hidden="1" x14ac:dyDescent="0.3">
      <c r="A2110" s="37">
        <v>46120.566828703704</v>
      </c>
      <c r="B2110" s="1" t="s">
        <v>54</v>
      </c>
      <c r="C2110" s="1" t="s">
        <v>57</v>
      </c>
      <c r="D2110" s="1"/>
      <c r="E2110" s="1">
        <v>31</v>
      </c>
      <c r="F2110" s="1">
        <v>0</v>
      </c>
      <c r="G2110" s="1" t="s">
        <v>47</v>
      </c>
      <c r="H2110" s="1" t="s">
        <v>1102</v>
      </c>
      <c r="I2110" s="1" t="s">
        <v>51</v>
      </c>
      <c r="J2110" s="1" t="s">
        <v>55</v>
      </c>
      <c r="K2110" s="1"/>
      <c r="L2110" s="1"/>
    </row>
    <row r="2111" spans="1:12" s="32" customFormat="1" hidden="1" x14ac:dyDescent="0.3">
      <c r="A2111" s="37">
        <v>46120.565127314818</v>
      </c>
      <c r="B2111" s="1">
        <v>3432424736</v>
      </c>
      <c r="C2111" s="1" t="s">
        <v>45</v>
      </c>
      <c r="D2111" s="1">
        <v>4430265054</v>
      </c>
      <c r="E2111" s="1">
        <v>3229</v>
      </c>
      <c r="F2111" s="1">
        <v>3193</v>
      </c>
      <c r="G2111" s="1" t="s">
        <v>38</v>
      </c>
      <c r="H2111" s="1" t="s">
        <v>1103</v>
      </c>
      <c r="I2111" s="1" t="s">
        <v>39</v>
      </c>
      <c r="J2111" s="1" t="s">
        <v>40</v>
      </c>
      <c r="K2111" s="1" t="s">
        <v>41</v>
      </c>
      <c r="L2111" s="1"/>
    </row>
    <row r="2112" spans="1:12" s="32" customFormat="1" hidden="1" x14ac:dyDescent="0.3">
      <c r="A2112" s="37">
        <v>46120.541261574072</v>
      </c>
      <c r="B2112" s="1">
        <v>4121413772</v>
      </c>
      <c r="C2112" s="1">
        <v>4531273151</v>
      </c>
      <c r="D2112" s="1">
        <v>4531273151</v>
      </c>
      <c r="E2112" s="1">
        <v>29</v>
      </c>
      <c r="F2112" s="1">
        <v>28</v>
      </c>
      <c r="G2112" s="1" t="s">
        <v>52</v>
      </c>
      <c r="H2112" s="1" t="s">
        <v>1104</v>
      </c>
      <c r="I2112" s="1" t="s">
        <v>39</v>
      </c>
      <c r="J2112" s="1" t="s">
        <v>53</v>
      </c>
      <c r="K2112" s="1"/>
      <c r="L2112" s="1"/>
    </row>
    <row r="2113" spans="1:12" s="32" customFormat="1" hidden="1" x14ac:dyDescent="0.3">
      <c r="A2113" s="37">
        <v>46120.526226851849</v>
      </c>
      <c r="B2113" s="1">
        <v>4533011395</v>
      </c>
      <c r="C2113" s="1">
        <v>4531273158</v>
      </c>
      <c r="D2113" s="1">
        <v>4531273158</v>
      </c>
      <c r="E2113" s="1">
        <v>28</v>
      </c>
      <c r="F2113" s="1">
        <v>28</v>
      </c>
      <c r="G2113" s="1" t="s">
        <v>52</v>
      </c>
      <c r="H2113" s="1" t="s">
        <v>1105</v>
      </c>
      <c r="I2113" s="1" t="s">
        <v>39</v>
      </c>
      <c r="J2113" s="1" t="s">
        <v>53</v>
      </c>
      <c r="K2113" s="1"/>
      <c r="L2113" s="1"/>
    </row>
    <row r="2114" spans="1:12" s="32" customFormat="1" hidden="1" x14ac:dyDescent="0.3">
      <c r="A2114" s="37">
        <v>46120.518252314818</v>
      </c>
      <c r="B2114" s="1">
        <v>44998142739</v>
      </c>
      <c r="C2114" s="1">
        <v>4430265054</v>
      </c>
      <c r="D2114" s="1">
        <v>4430265054</v>
      </c>
      <c r="E2114" s="1">
        <v>3</v>
      </c>
      <c r="F2114" s="1">
        <v>2</v>
      </c>
      <c r="G2114" s="1" t="s">
        <v>52</v>
      </c>
      <c r="H2114" s="1" t="s">
        <v>1106</v>
      </c>
      <c r="I2114" s="1" t="s">
        <v>39</v>
      </c>
      <c r="J2114" s="1" t="s">
        <v>53</v>
      </c>
      <c r="K2114" s="1"/>
      <c r="L2114" s="1"/>
    </row>
    <row r="2115" spans="1:12" s="32" customFormat="1" hidden="1" x14ac:dyDescent="0.3">
      <c r="A2115" s="37">
        <v>46120.511921296296</v>
      </c>
      <c r="B2115" s="1">
        <v>4533011420</v>
      </c>
      <c r="C2115" s="1">
        <v>4531273152</v>
      </c>
      <c r="D2115" s="1">
        <v>4531273152</v>
      </c>
      <c r="E2115" s="1">
        <v>29</v>
      </c>
      <c r="F2115" s="1">
        <v>28</v>
      </c>
      <c r="G2115" s="1" t="s">
        <v>52</v>
      </c>
      <c r="H2115" s="1" t="s">
        <v>1107</v>
      </c>
      <c r="I2115" s="1" t="s">
        <v>39</v>
      </c>
      <c r="J2115" s="1" t="s">
        <v>53</v>
      </c>
      <c r="K2115" s="1"/>
      <c r="L2115" s="1"/>
    </row>
    <row r="2116" spans="1:12" s="32" customFormat="1" hidden="1" x14ac:dyDescent="0.3">
      <c r="A2116" s="37">
        <v>46120.505474537036</v>
      </c>
      <c r="B2116" s="1">
        <v>4121410323</v>
      </c>
      <c r="C2116" s="1">
        <v>4531273155</v>
      </c>
      <c r="D2116" s="1">
        <v>4531273155</v>
      </c>
      <c r="E2116" s="1">
        <v>28</v>
      </c>
      <c r="F2116" s="1">
        <v>28</v>
      </c>
      <c r="G2116" s="1" t="s">
        <v>52</v>
      </c>
      <c r="H2116" s="1" t="s">
        <v>1108</v>
      </c>
      <c r="I2116" s="1" t="s">
        <v>39</v>
      </c>
      <c r="J2116" s="1" t="s">
        <v>53</v>
      </c>
      <c r="K2116" s="1"/>
      <c r="L2116" s="1"/>
    </row>
    <row r="2117" spans="1:12" s="32" customFormat="1" hidden="1" x14ac:dyDescent="0.3">
      <c r="A2117" s="37">
        <v>46120.494675925926</v>
      </c>
      <c r="B2117" s="1" t="s">
        <v>45</v>
      </c>
      <c r="C2117" s="1">
        <v>4130155076</v>
      </c>
      <c r="D2117" s="1"/>
      <c r="E2117" s="1">
        <v>223</v>
      </c>
      <c r="F2117" s="1">
        <v>215</v>
      </c>
      <c r="G2117" s="1" t="s">
        <v>38</v>
      </c>
      <c r="H2117" s="1" t="s">
        <v>1109</v>
      </c>
      <c r="I2117" s="1" t="s">
        <v>46</v>
      </c>
      <c r="J2117" s="1" t="s">
        <v>40</v>
      </c>
      <c r="K2117" s="1"/>
      <c r="L2117" s="1"/>
    </row>
    <row r="2118" spans="1:12" s="32" customFormat="1" hidden="1" x14ac:dyDescent="0.3">
      <c r="A2118" s="37">
        <v>46120.494305555556</v>
      </c>
      <c r="B2118" s="1" t="s">
        <v>45</v>
      </c>
      <c r="C2118" s="1">
        <v>4130155076</v>
      </c>
      <c r="D2118" s="1"/>
      <c r="E2118" s="1">
        <v>2</v>
      </c>
      <c r="F2118" s="1">
        <v>0</v>
      </c>
      <c r="G2118" s="1" t="s">
        <v>47</v>
      </c>
      <c r="H2118" s="1" t="s">
        <v>1110</v>
      </c>
      <c r="I2118" s="1" t="s">
        <v>46</v>
      </c>
      <c r="J2118" s="1" t="s">
        <v>40</v>
      </c>
      <c r="K2118" s="1"/>
      <c r="L2118" s="1"/>
    </row>
    <row r="2119" spans="1:12" s="32" customFormat="1" hidden="1" x14ac:dyDescent="0.3">
      <c r="A2119" s="37">
        <v>46120.49423611111</v>
      </c>
      <c r="B2119" s="1" t="s">
        <v>45</v>
      </c>
      <c r="C2119" s="1">
        <v>4430146402</v>
      </c>
      <c r="D2119" s="1"/>
      <c r="E2119" s="1">
        <v>25</v>
      </c>
      <c r="F2119" s="1">
        <v>25</v>
      </c>
      <c r="G2119" s="1" t="s">
        <v>38</v>
      </c>
      <c r="H2119" s="1" t="s">
        <v>1111</v>
      </c>
      <c r="I2119" s="1" t="s">
        <v>46</v>
      </c>
      <c r="J2119" s="1" t="s">
        <v>40</v>
      </c>
      <c r="K2119" s="1"/>
      <c r="L2119" s="1"/>
    </row>
    <row r="2120" spans="1:12" s="32" customFormat="1" hidden="1" x14ac:dyDescent="0.3">
      <c r="A2120" s="37">
        <v>46120.489537037036</v>
      </c>
      <c r="B2120" s="1">
        <v>62984961358</v>
      </c>
      <c r="C2120" s="1" t="s">
        <v>42</v>
      </c>
      <c r="D2120" s="1">
        <v>4430265054</v>
      </c>
      <c r="E2120" s="1">
        <v>462</v>
      </c>
      <c r="F2120" s="1">
        <v>423</v>
      </c>
      <c r="G2120" s="1" t="s">
        <v>38</v>
      </c>
      <c r="H2120" s="1" t="s">
        <v>1112</v>
      </c>
      <c r="I2120" s="1" t="s">
        <v>39</v>
      </c>
      <c r="J2120" s="1" t="s">
        <v>40</v>
      </c>
      <c r="K2120" s="1" t="s">
        <v>41</v>
      </c>
      <c r="L2120" s="1"/>
    </row>
    <row r="2121" spans="1:12" s="32" customFormat="1" hidden="1" x14ac:dyDescent="0.3">
      <c r="A2121" s="37">
        <v>46120.48951388889</v>
      </c>
      <c r="B2121" s="1" t="s">
        <v>37</v>
      </c>
      <c r="C2121" s="1">
        <v>1131043888</v>
      </c>
      <c r="D2121" s="1"/>
      <c r="E2121" s="1">
        <v>747</v>
      </c>
      <c r="F2121" s="1">
        <v>746</v>
      </c>
      <c r="G2121" s="1" t="s">
        <v>38</v>
      </c>
      <c r="H2121" s="1" t="s">
        <v>1113</v>
      </c>
      <c r="I2121" s="1" t="s">
        <v>46</v>
      </c>
      <c r="J2121" s="1" t="s">
        <v>40</v>
      </c>
      <c r="K2121" s="1"/>
      <c r="L2121" s="1"/>
    </row>
    <row r="2122" spans="1:12" s="32" customFormat="1" hidden="1" x14ac:dyDescent="0.3">
      <c r="A2122" s="37">
        <v>46120.487430555557</v>
      </c>
      <c r="B2122" s="1">
        <v>4121410323</v>
      </c>
      <c r="C2122" s="1">
        <v>4531273163</v>
      </c>
      <c r="D2122" s="1">
        <v>4531273163</v>
      </c>
      <c r="E2122" s="1">
        <v>46</v>
      </c>
      <c r="F2122" s="1">
        <v>46</v>
      </c>
      <c r="G2122" s="1" t="s">
        <v>52</v>
      </c>
      <c r="H2122" s="1" t="s">
        <v>1114</v>
      </c>
      <c r="I2122" s="1" t="s">
        <v>39</v>
      </c>
      <c r="J2122" s="1" t="s">
        <v>53</v>
      </c>
      <c r="K2122" s="1" t="s">
        <v>41</v>
      </c>
      <c r="L2122" s="1"/>
    </row>
    <row r="2123" spans="1:12" s="32" customFormat="1" hidden="1" x14ac:dyDescent="0.3">
      <c r="A2123" s="37">
        <v>46120.477696759262</v>
      </c>
      <c r="B2123" s="1">
        <v>4432520627</v>
      </c>
      <c r="C2123" s="1" t="s">
        <v>42</v>
      </c>
      <c r="D2123" s="1">
        <v>4430265054</v>
      </c>
      <c r="E2123" s="1">
        <v>419</v>
      </c>
      <c r="F2123" s="1">
        <v>378</v>
      </c>
      <c r="G2123" s="1" t="s">
        <v>38</v>
      </c>
      <c r="H2123" s="1" t="s">
        <v>1115</v>
      </c>
      <c r="I2123" s="1" t="s">
        <v>39</v>
      </c>
      <c r="J2123" s="1" t="s">
        <v>40</v>
      </c>
      <c r="K2123" s="1" t="s">
        <v>41</v>
      </c>
      <c r="L2123" s="1">
        <v>5</v>
      </c>
    </row>
    <row r="2124" spans="1:12" s="32" customFormat="1" hidden="1" x14ac:dyDescent="0.3">
      <c r="A2124" s="37">
        <v>46120.472314814811</v>
      </c>
      <c r="B2124" s="1">
        <v>12997346335</v>
      </c>
      <c r="C2124" s="1">
        <v>4430265054</v>
      </c>
      <c r="D2124" s="1">
        <v>4430265054</v>
      </c>
      <c r="E2124" s="1">
        <v>4</v>
      </c>
      <c r="F2124" s="1">
        <v>3</v>
      </c>
      <c r="G2124" s="1" t="s">
        <v>52</v>
      </c>
      <c r="H2124" s="1" t="s">
        <v>1116</v>
      </c>
      <c r="I2124" s="1" t="s">
        <v>39</v>
      </c>
      <c r="J2124" s="1" t="s">
        <v>53</v>
      </c>
      <c r="K2124" s="1"/>
      <c r="L2124" s="1"/>
    </row>
    <row r="2125" spans="1:12" s="32" customFormat="1" hidden="1" x14ac:dyDescent="0.3">
      <c r="A2125" s="37">
        <v>46120.469594907408</v>
      </c>
      <c r="B2125" s="1" t="s">
        <v>45</v>
      </c>
      <c r="C2125" s="1">
        <v>4435231494</v>
      </c>
      <c r="D2125" s="1"/>
      <c r="E2125" s="1">
        <v>68</v>
      </c>
      <c r="F2125" s="1">
        <v>62</v>
      </c>
      <c r="G2125" s="1" t="s">
        <v>38</v>
      </c>
      <c r="H2125" s="1" t="s">
        <v>1117</v>
      </c>
      <c r="I2125" s="1" t="s">
        <v>46</v>
      </c>
      <c r="J2125" s="1" t="s">
        <v>40</v>
      </c>
      <c r="K2125" s="1"/>
      <c r="L2125" s="1"/>
    </row>
    <row r="2126" spans="1:12" s="32" customFormat="1" hidden="1" x14ac:dyDescent="0.3">
      <c r="A2126" s="37">
        <v>46120.467789351853</v>
      </c>
      <c r="B2126" s="1" t="s">
        <v>57</v>
      </c>
      <c r="C2126" s="1">
        <v>91991060530</v>
      </c>
      <c r="D2126" s="1"/>
      <c r="E2126" s="1">
        <v>12</v>
      </c>
      <c r="F2126" s="1">
        <v>3</v>
      </c>
      <c r="G2126" s="1" t="s">
        <v>38</v>
      </c>
      <c r="H2126" s="1" t="s">
        <v>1118</v>
      </c>
      <c r="I2126" s="1" t="s">
        <v>46</v>
      </c>
      <c r="J2126" s="1" t="s">
        <v>55</v>
      </c>
      <c r="K2126" s="1"/>
      <c r="L2126" s="1"/>
    </row>
    <row r="2127" spans="1:12" s="32" customFormat="1" hidden="1" x14ac:dyDescent="0.3">
      <c r="A2127" s="37">
        <v>46120.467291666668</v>
      </c>
      <c r="B2127" s="1" t="s">
        <v>57</v>
      </c>
      <c r="C2127" s="1">
        <v>91981481202</v>
      </c>
      <c r="D2127" s="1"/>
      <c r="E2127" s="1">
        <v>32</v>
      </c>
      <c r="F2127" s="1">
        <v>12</v>
      </c>
      <c r="G2127" s="1" t="s">
        <v>38</v>
      </c>
      <c r="H2127" s="1" t="s">
        <v>1119</v>
      </c>
      <c r="I2127" s="1" t="s">
        <v>46</v>
      </c>
      <c r="J2127" s="1" t="s">
        <v>55</v>
      </c>
      <c r="K2127" s="1"/>
      <c r="L2127" s="1"/>
    </row>
    <row r="2128" spans="1:12" s="32" customFormat="1" hidden="1" x14ac:dyDescent="0.3">
      <c r="A2128" s="37">
        <v>46120.462916666664</v>
      </c>
      <c r="B2128" s="1">
        <v>93984112869</v>
      </c>
      <c r="C2128" s="1" t="s">
        <v>45</v>
      </c>
      <c r="D2128" s="1">
        <v>4431268225</v>
      </c>
      <c r="E2128" s="1">
        <v>385</v>
      </c>
      <c r="F2128" s="1">
        <v>360</v>
      </c>
      <c r="G2128" s="1" t="s">
        <v>38</v>
      </c>
      <c r="H2128" s="1" t="s">
        <v>1120</v>
      </c>
      <c r="I2128" s="1" t="s">
        <v>39</v>
      </c>
      <c r="J2128" s="1" t="s">
        <v>40</v>
      </c>
      <c r="K2128" s="1" t="s">
        <v>41</v>
      </c>
      <c r="L2128" s="1">
        <v>5</v>
      </c>
    </row>
    <row r="2129" spans="1:12" s="32" customFormat="1" hidden="1" x14ac:dyDescent="0.3">
      <c r="A2129" s="37">
        <v>46120.456226851849</v>
      </c>
      <c r="B2129" s="1">
        <v>4533011395</v>
      </c>
      <c r="C2129" s="1">
        <v>4531273161</v>
      </c>
      <c r="D2129" s="1">
        <v>4531273161</v>
      </c>
      <c r="E2129" s="1">
        <v>22</v>
      </c>
      <c r="F2129" s="1">
        <v>21</v>
      </c>
      <c r="G2129" s="1" t="s">
        <v>52</v>
      </c>
      <c r="H2129" s="1" t="s">
        <v>1121</v>
      </c>
      <c r="I2129" s="1" t="s">
        <v>39</v>
      </c>
      <c r="J2129" s="1" t="s">
        <v>53</v>
      </c>
      <c r="K2129" s="1"/>
      <c r="L2129" s="1"/>
    </row>
    <row r="2130" spans="1:12" s="32" customFormat="1" x14ac:dyDescent="0.3">
      <c r="A2130" s="37">
        <v>46120.449143518519</v>
      </c>
      <c r="B2130" s="1">
        <v>93991495484</v>
      </c>
      <c r="C2130" s="1" t="s">
        <v>37</v>
      </c>
      <c r="D2130" s="1">
        <v>4430265054</v>
      </c>
      <c r="E2130" s="1">
        <v>1031</v>
      </c>
      <c r="F2130" s="1">
        <v>910</v>
      </c>
      <c r="G2130" s="1" t="s">
        <v>38</v>
      </c>
      <c r="H2130" s="1" t="s">
        <v>1122</v>
      </c>
      <c r="I2130" s="1" t="s">
        <v>39</v>
      </c>
      <c r="J2130" s="1" t="s">
        <v>40</v>
      </c>
      <c r="K2130" s="1" t="s">
        <v>41</v>
      </c>
      <c r="L2130" s="1">
        <v>5</v>
      </c>
    </row>
    <row r="2131" spans="1:12" s="32" customFormat="1" hidden="1" x14ac:dyDescent="0.3">
      <c r="A2131" s="37">
        <v>46120.442256944443</v>
      </c>
      <c r="B2131" s="1" t="s">
        <v>54</v>
      </c>
      <c r="C2131" s="1">
        <v>11962191816</v>
      </c>
      <c r="D2131" s="1"/>
      <c r="E2131" s="1">
        <v>119</v>
      </c>
      <c r="F2131" s="1">
        <v>107</v>
      </c>
      <c r="G2131" s="1" t="s">
        <v>38</v>
      </c>
      <c r="H2131" s="1" t="s">
        <v>1123</v>
      </c>
      <c r="I2131" s="1" t="s">
        <v>46</v>
      </c>
      <c r="J2131" s="1" t="s">
        <v>55</v>
      </c>
      <c r="K2131" s="1"/>
      <c r="L2131" s="1"/>
    </row>
    <row r="2132" spans="1:12" s="32" customFormat="1" hidden="1" x14ac:dyDescent="0.3">
      <c r="A2132" s="37">
        <v>46120.438611111109</v>
      </c>
      <c r="B2132" s="1">
        <v>11971245198</v>
      </c>
      <c r="C2132" s="1" t="s">
        <v>45</v>
      </c>
      <c r="D2132" s="1">
        <v>4430265054</v>
      </c>
      <c r="E2132" s="1">
        <v>624</v>
      </c>
      <c r="F2132" s="1">
        <v>520</v>
      </c>
      <c r="G2132" s="1" t="s">
        <v>38</v>
      </c>
      <c r="H2132" s="1" t="s">
        <v>1124</v>
      </c>
      <c r="I2132" s="1" t="s">
        <v>39</v>
      </c>
      <c r="J2132" s="1" t="s">
        <v>40</v>
      </c>
      <c r="K2132" s="1" t="s">
        <v>41</v>
      </c>
      <c r="L2132" s="1"/>
    </row>
    <row r="2133" spans="1:12" s="32" customFormat="1" hidden="1" x14ac:dyDescent="0.3">
      <c r="A2133" s="37">
        <v>46120.436562499999</v>
      </c>
      <c r="B2133" s="1">
        <v>4430289492</v>
      </c>
      <c r="C2133" s="1" t="s">
        <v>44</v>
      </c>
      <c r="D2133" s="1">
        <v>4430265054</v>
      </c>
      <c r="E2133" s="1">
        <v>1939</v>
      </c>
      <c r="F2133" s="1">
        <v>1761</v>
      </c>
      <c r="G2133" s="1" t="s">
        <v>38</v>
      </c>
      <c r="H2133" s="1" t="s">
        <v>1125</v>
      </c>
      <c r="I2133" s="1" t="s">
        <v>39</v>
      </c>
      <c r="J2133" s="1" t="s">
        <v>40</v>
      </c>
      <c r="K2133" s="1" t="s">
        <v>41</v>
      </c>
      <c r="L2133" s="1"/>
    </row>
    <row r="2134" spans="1:12" s="32" customFormat="1" hidden="1" x14ac:dyDescent="0.3">
      <c r="A2134" s="37">
        <v>46120.434039351851</v>
      </c>
      <c r="B2134" s="1">
        <v>4436281154</v>
      </c>
      <c r="C2134" s="1" t="s">
        <v>45</v>
      </c>
      <c r="D2134" s="1">
        <v>4430265054</v>
      </c>
      <c r="E2134" s="1">
        <v>414</v>
      </c>
      <c r="F2134" s="1">
        <v>269</v>
      </c>
      <c r="G2134" s="1" t="s">
        <v>38</v>
      </c>
      <c r="H2134" s="1" t="s">
        <v>1126</v>
      </c>
      <c r="I2134" s="1" t="s">
        <v>39</v>
      </c>
      <c r="J2134" s="1" t="s">
        <v>40</v>
      </c>
      <c r="K2134" s="1" t="s">
        <v>41</v>
      </c>
      <c r="L2134" s="1"/>
    </row>
    <row r="2135" spans="1:12" s="32" customFormat="1" hidden="1" x14ac:dyDescent="0.3">
      <c r="A2135" s="37">
        <v>46120.432152777779</v>
      </c>
      <c r="B2135" s="1">
        <v>6236223830</v>
      </c>
      <c r="C2135" s="1" t="s">
        <v>57</v>
      </c>
      <c r="D2135" s="1">
        <v>4430265054</v>
      </c>
      <c r="E2135" s="1">
        <v>690</v>
      </c>
      <c r="F2135" s="1">
        <v>664</v>
      </c>
      <c r="G2135" s="1" t="s">
        <v>38</v>
      </c>
      <c r="H2135" s="1" t="s">
        <v>1127</v>
      </c>
      <c r="I2135" s="1" t="s">
        <v>39</v>
      </c>
      <c r="J2135" s="1" t="s">
        <v>55</v>
      </c>
      <c r="K2135" s="1" t="s">
        <v>49</v>
      </c>
      <c r="L2135" s="1"/>
    </row>
    <row r="2136" spans="1:12" s="32" customFormat="1" hidden="1" x14ac:dyDescent="0.3">
      <c r="A2136" s="37">
        <v>46120.431655092594</v>
      </c>
      <c r="B2136" s="1" t="s">
        <v>42</v>
      </c>
      <c r="C2136" s="1">
        <v>4432325260</v>
      </c>
      <c r="D2136" s="1"/>
      <c r="E2136" s="1">
        <v>413</v>
      </c>
      <c r="F2136" s="1">
        <v>406</v>
      </c>
      <c r="G2136" s="1" t="s">
        <v>38</v>
      </c>
      <c r="H2136" s="1" t="s">
        <v>1128</v>
      </c>
      <c r="I2136" s="1" t="s">
        <v>46</v>
      </c>
      <c r="J2136" s="1" t="s">
        <v>40</v>
      </c>
      <c r="K2136" s="1"/>
      <c r="L2136" s="1"/>
    </row>
    <row r="2137" spans="1:12" s="32" customFormat="1" hidden="1" x14ac:dyDescent="0.3">
      <c r="A2137" s="37">
        <v>46120.43072916667</v>
      </c>
      <c r="B2137" s="1">
        <v>4121418115</v>
      </c>
      <c r="C2137" s="1">
        <v>4531273159</v>
      </c>
      <c r="D2137" s="1">
        <v>4531273159</v>
      </c>
      <c r="E2137" s="1">
        <v>47</v>
      </c>
      <c r="F2137" s="1">
        <v>47</v>
      </c>
      <c r="G2137" s="1" t="s">
        <v>52</v>
      </c>
      <c r="H2137" s="1" t="s">
        <v>1129</v>
      </c>
      <c r="I2137" s="1" t="s">
        <v>39</v>
      </c>
      <c r="J2137" s="1" t="s">
        <v>53</v>
      </c>
      <c r="K2137" s="1" t="s">
        <v>41</v>
      </c>
      <c r="L2137" s="1"/>
    </row>
    <row r="2138" spans="1:12" s="32" customFormat="1" hidden="1" x14ac:dyDescent="0.3">
      <c r="A2138" s="37">
        <v>46120.430601851855</v>
      </c>
      <c r="B2138" s="1">
        <v>4432541200</v>
      </c>
      <c r="C2138" s="1" t="s">
        <v>43</v>
      </c>
      <c r="D2138" s="1">
        <v>4430265054</v>
      </c>
      <c r="E2138" s="1">
        <v>243</v>
      </c>
      <c r="F2138" s="1">
        <v>186</v>
      </c>
      <c r="G2138" s="1" t="s">
        <v>38</v>
      </c>
      <c r="H2138" s="1" t="s">
        <v>1130</v>
      </c>
      <c r="I2138" s="1" t="s">
        <v>39</v>
      </c>
      <c r="J2138" s="1" t="s">
        <v>40</v>
      </c>
      <c r="K2138" s="1" t="s">
        <v>41</v>
      </c>
      <c r="L2138" s="1">
        <v>5</v>
      </c>
    </row>
    <row r="2139" spans="1:12" s="32" customFormat="1" hidden="1" x14ac:dyDescent="0.3">
      <c r="A2139" s="37">
        <v>46120.428240740737</v>
      </c>
      <c r="B2139" s="1">
        <v>4430146402</v>
      </c>
      <c r="C2139" s="1" t="s">
        <v>45</v>
      </c>
      <c r="D2139" s="1">
        <v>4430265054</v>
      </c>
      <c r="E2139" s="1">
        <v>564</v>
      </c>
      <c r="F2139" s="1">
        <v>520</v>
      </c>
      <c r="G2139" s="1" t="s">
        <v>38</v>
      </c>
      <c r="H2139" s="1" t="s">
        <v>1131</v>
      </c>
      <c r="I2139" s="1" t="s">
        <v>39</v>
      </c>
      <c r="J2139" s="1" t="s">
        <v>40</v>
      </c>
      <c r="K2139" s="1" t="s">
        <v>41</v>
      </c>
      <c r="L2139" s="1">
        <v>5</v>
      </c>
    </row>
    <row r="2140" spans="1:12" s="32" customFormat="1" hidden="1" x14ac:dyDescent="0.3">
      <c r="A2140" s="37">
        <v>46120.427430555559</v>
      </c>
      <c r="B2140" s="1" t="s">
        <v>42</v>
      </c>
      <c r="C2140" s="1">
        <v>4432325260</v>
      </c>
      <c r="D2140" s="1"/>
      <c r="E2140" s="1">
        <v>254</v>
      </c>
      <c r="F2140" s="1">
        <v>247</v>
      </c>
      <c r="G2140" s="1" t="s">
        <v>38</v>
      </c>
      <c r="H2140" s="1" t="s">
        <v>1132</v>
      </c>
      <c r="I2140" s="1" t="s">
        <v>46</v>
      </c>
      <c r="J2140" s="1" t="s">
        <v>40</v>
      </c>
      <c r="K2140" s="1"/>
      <c r="L2140" s="1"/>
    </row>
    <row r="2141" spans="1:12" s="32" customFormat="1" hidden="1" x14ac:dyDescent="0.3">
      <c r="A2141" s="37">
        <v>46120.407060185185</v>
      </c>
      <c r="B2141" s="1" t="s">
        <v>42</v>
      </c>
      <c r="C2141" s="1">
        <v>4432325260</v>
      </c>
      <c r="D2141" s="1"/>
      <c r="E2141" s="1">
        <v>897</v>
      </c>
      <c r="F2141" s="1">
        <v>889</v>
      </c>
      <c r="G2141" s="1" t="s">
        <v>38</v>
      </c>
      <c r="H2141" s="1" t="s">
        <v>1133</v>
      </c>
      <c r="I2141" s="1" t="s">
        <v>46</v>
      </c>
      <c r="J2141" s="1" t="s">
        <v>40</v>
      </c>
      <c r="K2141" s="1"/>
      <c r="L2141" s="1"/>
    </row>
    <row r="2142" spans="1:12" s="32" customFormat="1" hidden="1" x14ac:dyDescent="0.3">
      <c r="A2142" s="37">
        <v>46120.40697916667</v>
      </c>
      <c r="B2142" s="1" t="s">
        <v>42</v>
      </c>
      <c r="C2142" s="1">
        <v>4432325260</v>
      </c>
      <c r="D2142" s="1"/>
      <c r="E2142" s="1">
        <v>25</v>
      </c>
      <c r="F2142" s="1">
        <v>25</v>
      </c>
      <c r="G2142" s="1" t="s">
        <v>38</v>
      </c>
      <c r="H2142" s="1" t="s">
        <v>1134</v>
      </c>
      <c r="I2142" s="1" t="s">
        <v>46</v>
      </c>
      <c r="J2142" s="1" t="s">
        <v>40</v>
      </c>
      <c r="K2142" s="1"/>
      <c r="L2142" s="1"/>
    </row>
    <row r="2143" spans="1:12" s="32" customFormat="1" hidden="1" x14ac:dyDescent="0.3">
      <c r="A2143" s="37">
        <v>46120.405289351853</v>
      </c>
      <c r="B2143" s="1">
        <v>4432272377</v>
      </c>
      <c r="C2143" s="1" t="s">
        <v>45</v>
      </c>
      <c r="D2143" s="1">
        <v>4430265054</v>
      </c>
      <c r="E2143" s="1">
        <v>718</v>
      </c>
      <c r="F2143" s="1">
        <v>649</v>
      </c>
      <c r="G2143" s="1" t="s">
        <v>38</v>
      </c>
      <c r="H2143" s="1" t="s">
        <v>1135</v>
      </c>
      <c r="I2143" s="1" t="s">
        <v>39</v>
      </c>
      <c r="J2143" s="1" t="s">
        <v>40</v>
      </c>
      <c r="K2143" s="1" t="s">
        <v>41</v>
      </c>
      <c r="L2143" s="1">
        <v>5</v>
      </c>
    </row>
    <row r="2144" spans="1:12" s="32" customFormat="1" hidden="1" x14ac:dyDescent="0.3">
      <c r="A2144" s="37">
        <v>46120.404467592591</v>
      </c>
      <c r="B2144" s="1">
        <v>44999629349</v>
      </c>
      <c r="C2144" s="1" t="s">
        <v>43</v>
      </c>
      <c r="D2144" s="1">
        <v>4430265054</v>
      </c>
      <c r="E2144" s="1">
        <v>592</v>
      </c>
      <c r="F2144" s="1">
        <v>554</v>
      </c>
      <c r="G2144" s="1" t="s">
        <v>38</v>
      </c>
      <c r="H2144" s="1" t="s">
        <v>1136</v>
      </c>
      <c r="I2144" s="1" t="s">
        <v>39</v>
      </c>
      <c r="J2144" s="1" t="s">
        <v>40</v>
      </c>
      <c r="K2144" s="1" t="s">
        <v>41</v>
      </c>
      <c r="L2144" s="1"/>
    </row>
    <row r="2145" spans="1:12" s="32" customFormat="1" hidden="1" x14ac:dyDescent="0.3">
      <c r="A2145" s="37">
        <v>46120.400717592594</v>
      </c>
      <c r="B2145" s="1">
        <v>4436281154</v>
      </c>
      <c r="C2145" s="1" t="s">
        <v>43</v>
      </c>
      <c r="D2145" s="1">
        <v>4430265054</v>
      </c>
      <c r="E2145" s="1">
        <v>307</v>
      </c>
      <c r="F2145" s="1">
        <v>173</v>
      </c>
      <c r="G2145" s="1" t="s">
        <v>38</v>
      </c>
      <c r="H2145" s="1" t="s">
        <v>1137</v>
      </c>
      <c r="I2145" s="1" t="s">
        <v>39</v>
      </c>
      <c r="J2145" s="1" t="s">
        <v>40</v>
      </c>
      <c r="K2145" s="1" t="s">
        <v>41</v>
      </c>
      <c r="L2145" s="1"/>
    </row>
    <row r="2146" spans="1:12" s="32" customFormat="1" hidden="1" x14ac:dyDescent="0.3">
      <c r="A2146" s="37">
        <v>46120.399467592593</v>
      </c>
      <c r="B2146" s="1" t="s">
        <v>48</v>
      </c>
      <c r="C2146" s="1">
        <v>4436291629</v>
      </c>
      <c r="D2146" s="1"/>
      <c r="E2146" s="1">
        <v>351</v>
      </c>
      <c r="F2146" s="1">
        <v>332</v>
      </c>
      <c r="G2146" s="1" t="s">
        <v>38</v>
      </c>
      <c r="H2146" s="1" t="s">
        <v>1138</v>
      </c>
      <c r="I2146" s="1" t="s">
        <v>46</v>
      </c>
      <c r="J2146" s="1" t="s">
        <v>40</v>
      </c>
      <c r="K2146" s="1"/>
      <c r="L2146" s="1"/>
    </row>
    <row r="2147" spans="1:12" s="32" customFormat="1" hidden="1" x14ac:dyDescent="0.3">
      <c r="A2147" s="37">
        <v>46120.393472222226</v>
      </c>
      <c r="B2147" s="1">
        <v>4432325260</v>
      </c>
      <c r="C2147" s="1" t="s">
        <v>42</v>
      </c>
      <c r="D2147" s="1">
        <v>4430265054</v>
      </c>
      <c r="E2147" s="1">
        <v>782</v>
      </c>
      <c r="F2147" s="1">
        <v>569</v>
      </c>
      <c r="G2147" s="1" t="s">
        <v>38</v>
      </c>
      <c r="H2147" s="1" t="s">
        <v>1139</v>
      </c>
      <c r="I2147" s="1" t="s">
        <v>39</v>
      </c>
      <c r="J2147" s="1" t="s">
        <v>40</v>
      </c>
      <c r="K2147" s="1" t="s">
        <v>41</v>
      </c>
      <c r="L2147" s="1"/>
    </row>
    <row r="2148" spans="1:12" s="32" customFormat="1" hidden="1" x14ac:dyDescent="0.3">
      <c r="A2148" s="37">
        <v>46120.393321759257</v>
      </c>
      <c r="B2148" s="1">
        <v>4430316847</v>
      </c>
      <c r="C2148" s="1">
        <v>4430265054</v>
      </c>
      <c r="D2148" s="1">
        <v>4430265054</v>
      </c>
      <c r="E2148" s="1">
        <v>80</v>
      </c>
      <c r="F2148" s="1">
        <v>79</v>
      </c>
      <c r="G2148" s="1" t="s">
        <v>52</v>
      </c>
      <c r="H2148" s="1" t="s">
        <v>1140</v>
      </c>
      <c r="I2148" s="1" t="s">
        <v>39</v>
      </c>
      <c r="J2148" s="1" t="s">
        <v>53</v>
      </c>
      <c r="K2148" s="1" t="s">
        <v>41</v>
      </c>
      <c r="L2148" s="1"/>
    </row>
    <row r="2149" spans="1:12" s="32" customFormat="1" hidden="1" x14ac:dyDescent="0.3">
      <c r="A2149" s="37">
        <v>46120.392071759263</v>
      </c>
      <c r="B2149" s="1">
        <v>4130155076</v>
      </c>
      <c r="C2149" s="1" t="s">
        <v>45</v>
      </c>
      <c r="D2149" s="1">
        <v>4430265054</v>
      </c>
      <c r="E2149" s="1">
        <v>1040</v>
      </c>
      <c r="F2149" s="1">
        <v>1002</v>
      </c>
      <c r="G2149" s="1" t="s">
        <v>38</v>
      </c>
      <c r="H2149" s="1" t="s">
        <v>1141</v>
      </c>
      <c r="I2149" s="1" t="s">
        <v>39</v>
      </c>
      <c r="J2149" s="1" t="s">
        <v>40</v>
      </c>
      <c r="K2149" s="1" t="s">
        <v>41</v>
      </c>
      <c r="L2149" s="1"/>
    </row>
    <row r="2150" spans="1:12" s="32" customFormat="1" hidden="1" x14ac:dyDescent="0.3">
      <c r="A2150" s="37">
        <v>46120.388680555552</v>
      </c>
      <c r="B2150" s="1">
        <v>44997079838</v>
      </c>
      <c r="C2150" s="1" t="s">
        <v>43</v>
      </c>
      <c r="D2150" s="1">
        <v>4430265054</v>
      </c>
      <c r="E2150" s="1">
        <v>676</v>
      </c>
      <c r="F2150" s="1">
        <v>639</v>
      </c>
      <c r="G2150" s="1" t="s">
        <v>38</v>
      </c>
      <c r="H2150" s="1" t="s">
        <v>1142</v>
      </c>
      <c r="I2150" s="1" t="s">
        <v>39</v>
      </c>
      <c r="J2150" s="1" t="s">
        <v>40</v>
      </c>
      <c r="K2150" s="1" t="s">
        <v>41</v>
      </c>
      <c r="L2150" s="1">
        <v>5</v>
      </c>
    </row>
    <row r="2151" spans="1:12" s="32" customFormat="1" hidden="1" x14ac:dyDescent="0.3">
      <c r="A2151" s="37">
        <v>46120.386550925927</v>
      </c>
      <c r="B2151" s="1">
        <v>44991484476</v>
      </c>
      <c r="C2151" s="1" t="s">
        <v>54</v>
      </c>
      <c r="D2151" s="1">
        <v>4430265054</v>
      </c>
      <c r="E2151" s="1">
        <v>399</v>
      </c>
      <c r="F2151" s="1">
        <v>375</v>
      </c>
      <c r="G2151" s="1" t="s">
        <v>38</v>
      </c>
      <c r="H2151" s="1" t="s">
        <v>1143</v>
      </c>
      <c r="I2151" s="1" t="s">
        <v>39</v>
      </c>
      <c r="J2151" s="1" t="s">
        <v>55</v>
      </c>
      <c r="K2151" s="1" t="s">
        <v>49</v>
      </c>
      <c r="L2151" s="1"/>
    </row>
    <row r="2152" spans="1:12" s="32" customFormat="1" hidden="1" x14ac:dyDescent="0.3">
      <c r="A2152" s="37">
        <v>46120.384340277778</v>
      </c>
      <c r="B2152" s="1">
        <v>11971245198</v>
      </c>
      <c r="C2152" s="1" t="s">
        <v>44</v>
      </c>
      <c r="D2152" s="1">
        <v>4430265054</v>
      </c>
      <c r="E2152" s="1">
        <v>160</v>
      </c>
      <c r="F2152" s="1">
        <v>69</v>
      </c>
      <c r="G2152" s="1" t="s">
        <v>38</v>
      </c>
      <c r="H2152" s="1" t="s">
        <v>1144</v>
      </c>
      <c r="I2152" s="1" t="s">
        <v>39</v>
      </c>
      <c r="J2152" s="1" t="s">
        <v>40</v>
      </c>
      <c r="K2152" s="1" t="s">
        <v>41</v>
      </c>
      <c r="L2152" s="1"/>
    </row>
    <row r="2153" spans="1:12" s="32" customFormat="1" hidden="1" x14ac:dyDescent="0.3">
      <c r="A2153" s="37">
        <v>46120.380231481482</v>
      </c>
      <c r="B2153" s="1">
        <v>4130775695</v>
      </c>
      <c r="C2153" s="1" t="s">
        <v>42</v>
      </c>
      <c r="D2153" s="1">
        <v>4430265054</v>
      </c>
      <c r="E2153" s="1">
        <v>977</v>
      </c>
      <c r="F2153" s="1">
        <v>959</v>
      </c>
      <c r="G2153" s="1" t="s">
        <v>38</v>
      </c>
      <c r="H2153" s="1" t="s">
        <v>1145</v>
      </c>
      <c r="I2153" s="1" t="s">
        <v>39</v>
      </c>
      <c r="J2153" s="1" t="s">
        <v>40</v>
      </c>
      <c r="K2153" s="1" t="s">
        <v>41</v>
      </c>
      <c r="L2153" s="1"/>
    </row>
    <row r="2154" spans="1:12" s="32" customFormat="1" hidden="1" x14ac:dyDescent="0.3">
      <c r="A2154" s="37">
        <v>46120.373680555553</v>
      </c>
      <c r="B2154" s="1">
        <v>44997650834</v>
      </c>
      <c r="C2154" s="1" t="s">
        <v>43</v>
      </c>
      <c r="D2154" s="1">
        <v>4430265054</v>
      </c>
      <c r="E2154" s="1">
        <v>1156</v>
      </c>
      <c r="F2154" s="1">
        <v>1098</v>
      </c>
      <c r="G2154" s="1" t="s">
        <v>38</v>
      </c>
      <c r="H2154" s="1" t="s">
        <v>1146</v>
      </c>
      <c r="I2154" s="1" t="s">
        <v>39</v>
      </c>
      <c r="J2154" s="1" t="s">
        <v>40</v>
      </c>
      <c r="K2154" s="1" t="s">
        <v>41</v>
      </c>
      <c r="L2154" s="1">
        <v>5</v>
      </c>
    </row>
    <row r="2155" spans="1:12" s="32" customFormat="1" hidden="1" x14ac:dyDescent="0.3">
      <c r="A2155" s="37">
        <v>46120.372997685183</v>
      </c>
      <c r="B2155" s="1" t="s">
        <v>45</v>
      </c>
      <c r="C2155" s="1">
        <v>44991388221</v>
      </c>
      <c r="D2155" s="1"/>
      <c r="E2155" s="1">
        <v>1063</v>
      </c>
      <c r="F2155" s="1">
        <v>1055</v>
      </c>
      <c r="G2155" s="1" t="s">
        <v>38</v>
      </c>
      <c r="H2155" s="1" t="s">
        <v>1147</v>
      </c>
      <c r="I2155" s="1" t="s">
        <v>46</v>
      </c>
      <c r="J2155" s="1" t="s">
        <v>40</v>
      </c>
      <c r="K2155" s="1"/>
      <c r="L2155" s="1"/>
    </row>
    <row r="2156" spans="1:12" s="32" customFormat="1" hidden="1" x14ac:dyDescent="0.3">
      <c r="A2156" s="37">
        <v>46120.372060185182</v>
      </c>
      <c r="B2156" s="1">
        <v>44991388221</v>
      </c>
      <c r="C2156" s="1">
        <v>4431268225</v>
      </c>
      <c r="D2156" s="1">
        <v>4431268225</v>
      </c>
      <c r="E2156" s="1">
        <v>5</v>
      </c>
      <c r="F2156" s="1">
        <v>5</v>
      </c>
      <c r="G2156" s="1" t="s">
        <v>52</v>
      </c>
      <c r="H2156" s="1" t="s">
        <v>1148</v>
      </c>
      <c r="I2156" s="1" t="s">
        <v>39</v>
      </c>
      <c r="J2156" s="1" t="s">
        <v>53</v>
      </c>
      <c r="K2156" s="1"/>
      <c r="L2156" s="1"/>
    </row>
    <row r="2157" spans="1:12" s="32" customFormat="1" x14ac:dyDescent="0.3">
      <c r="A2157" s="37">
        <v>46120.372025462966</v>
      </c>
      <c r="B2157" s="1">
        <v>4334226481</v>
      </c>
      <c r="C2157" s="1" t="s">
        <v>37</v>
      </c>
      <c r="D2157" s="1">
        <v>4430265054</v>
      </c>
      <c r="E2157" s="1">
        <v>1042</v>
      </c>
      <c r="F2157" s="1">
        <v>943</v>
      </c>
      <c r="G2157" s="1" t="s">
        <v>38</v>
      </c>
      <c r="H2157" s="1" t="s">
        <v>1149</v>
      </c>
      <c r="I2157" s="1" t="s">
        <v>39</v>
      </c>
      <c r="J2157" s="1" t="s">
        <v>40</v>
      </c>
      <c r="K2157" s="1" t="s">
        <v>41</v>
      </c>
      <c r="L2157" s="1">
        <v>5</v>
      </c>
    </row>
    <row r="2158" spans="1:12" s="32" customFormat="1" hidden="1" x14ac:dyDescent="0.3">
      <c r="A2158" s="37">
        <v>46120.371759259258</v>
      </c>
      <c r="B2158" s="1" t="s">
        <v>45</v>
      </c>
      <c r="C2158" s="1">
        <v>44991388221</v>
      </c>
      <c r="D2158" s="1"/>
      <c r="E2158" s="1">
        <v>3</v>
      </c>
      <c r="F2158" s="1">
        <v>0</v>
      </c>
      <c r="G2158" s="1" t="s">
        <v>47</v>
      </c>
      <c r="H2158" s="1" t="s">
        <v>1150</v>
      </c>
      <c r="I2158" s="1" t="s">
        <v>46</v>
      </c>
      <c r="J2158" s="1" t="s">
        <v>40</v>
      </c>
      <c r="K2158" s="1"/>
      <c r="L2158" s="1"/>
    </row>
    <row r="2159" spans="1:12" s="32" customFormat="1" hidden="1" x14ac:dyDescent="0.3">
      <c r="A2159" s="37">
        <v>46120.365636574075</v>
      </c>
      <c r="B2159" s="1">
        <v>44997650834</v>
      </c>
      <c r="C2159" s="1" t="s">
        <v>45</v>
      </c>
      <c r="D2159" s="1">
        <v>4430265054</v>
      </c>
      <c r="E2159" s="1">
        <v>244</v>
      </c>
      <c r="F2159" s="1">
        <v>194</v>
      </c>
      <c r="G2159" s="1" t="s">
        <v>38</v>
      </c>
      <c r="H2159" s="1" t="s">
        <v>1151</v>
      </c>
      <c r="I2159" s="1" t="s">
        <v>39</v>
      </c>
      <c r="J2159" s="1" t="s">
        <v>40</v>
      </c>
      <c r="K2159" s="1" t="s">
        <v>41</v>
      </c>
      <c r="L2159" s="1"/>
    </row>
    <row r="2160" spans="1:12" s="32" customFormat="1" hidden="1" x14ac:dyDescent="0.3">
      <c r="A2160" s="37">
        <v>46120.360613425924</v>
      </c>
      <c r="B2160" s="1">
        <v>44997079838</v>
      </c>
      <c r="C2160" s="1" t="s">
        <v>43</v>
      </c>
      <c r="D2160" s="1">
        <v>4430265054</v>
      </c>
      <c r="E2160" s="1">
        <v>386</v>
      </c>
      <c r="F2160" s="1">
        <v>361</v>
      </c>
      <c r="G2160" s="1" t="s">
        <v>38</v>
      </c>
      <c r="H2160" s="1" t="s">
        <v>1152</v>
      </c>
      <c r="I2160" s="1" t="s">
        <v>39</v>
      </c>
      <c r="J2160" s="1" t="s">
        <v>40</v>
      </c>
      <c r="K2160" s="1" t="s">
        <v>41</v>
      </c>
      <c r="L2160" s="1"/>
    </row>
    <row r="2161" spans="1:12" s="32" customFormat="1" hidden="1" x14ac:dyDescent="0.3">
      <c r="A2161" s="37">
        <v>46120.357754629629</v>
      </c>
      <c r="B2161" s="1">
        <v>1733231449</v>
      </c>
      <c r="C2161" s="1" t="s">
        <v>44</v>
      </c>
      <c r="D2161" s="1">
        <v>4430265054</v>
      </c>
      <c r="E2161" s="1">
        <v>600</v>
      </c>
      <c r="F2161" s="1">
        <v>562</v>
      </c>
      <c r="G2161" s="1" t="s">
        <v>38</v>
      </c>
      <c r="H2161" s="1" t="s">
        <v>1153</v>
      </c>
      <c r="I2161" s="1" t="s">
        <v>39</v>
      </c>
      <c r="J2161" s="1" t="s">
        <v>40</v>
      </c>
      <c r="K2161" s="1" t="s">
        <v>41</v>
      </c>
      <c r="L2161" s="1">
        <v>5</v>
      </c>
    </row>
    <row r="2162" spans="1:12" s="32" customFormat="1" hidden="1" x14ac:dyDescent="0.3">
      <c r="A2162" s="37">
        <v>46120.350902777776</v>
      </c>
      <c r="B2162" s="1" t="s">
        <v>57</v>
      </c>
      <c r="C2162" s="1">
        <v>11930586565</v>
      </c>
      <c r="D2162" s="1"/>
      <c r="E2162" s="1">
        <v>1</v>
      </c>
      <c r="F2162" s="1">
        <v>0</v>
      </c>
      <c r="G2162" s="1" t="s">
        <v>47</v>
      </c>
      <c r="H2162" s="1" t="s">
        <v>1154</v>
      </c>
      <c r="I2162" s="1" t="s">
        <v>46</v>
      </c>
      <c r="J2162" s="1" t="s">
        <v>55</v>
      </c>
      <c r="K2162" s="1"/>
      <c r="L2162" s="1"/>
    </row>
    <row r="2163" spans="1:12" s="32" customFormat="1" hidden="1" x14ac:dyDescent="0.3">
      <c r="A2163" s="37">
        <v>46119.740069444444</v>
      </c>
      <c r="B2163" s="1">
        <v>44998547551</v>
      </c>
      <c r="C2163" s="1" t="s">
        <v>44</v>
      </c>
      <c r="D2163" s="1">
        <v>4430265054</v>
      </c>
      <c r="E2163" s="1">
        <v>183</v>
      </c>
      <c r="F2163" s="1">
        <v>90</v>
      </c>
      <c r="G2163" s="1" t="s">
        <v>38</v>
      </c>
      <c r="H2163" s="1" t="s">
        <v>1155</v>
      </c>
      <c r="I2163" s="1" t="s">
        <v>39</v>
      </c>
      <c r="J2163" s="1" t="s">
        <v>40</v>
      </c>
      <c r="K2163" s="1" t="s">
        <v>41</v>
      </c>
      <c r="L2163" s="1"/>
    </row>
    <row r="2164" spans="1:12" s="32" customFormat="1" hidden="1" x14ac:dyDescent="0.3">
      <c r="A2164" s="37">
        <v>46119.737500000003</v>
      </c>
      <c r="B2164" s="1">
        <v>44998547551</v>
      </c>
      <c r="C2164" s="1">
        <v>4430265054</v>
      </c>
      <c r="D2164" s="1">
        <v>4430265054</v>
      </c>
      <c r="E2164" s="1">
        <v>159</v>
      </c>
      <c r="F2164" s="1">
        <v>158</v>
      </c>
      <c r="G2164" s="1" t="s">
        <v>52</v>
      </c>
      <c r="H2164" s="1" t="s">
        <v>1156</v>
      </c>
      <c r="I2164" s="1" t="s">
        <v>39</v>
      </c>
      <c r="J2164" s="1" t="s">
        <v>53</v>
      </c>
      <c r="K2164" s="1" t="s">
        <v>41</v>
      </c>
      <c r="L2164" s="1"/>
    </row>
    <row r="2165" spans="1:12" s="32" customFormat="1" hidden="1" x14ac:dyDescent="0.3">
      <c r="A2165" s="37">
        <v>46119.730486111112</v>
      </c>
      <c r="B2165" s="1">
        <v>4330332823</v>
      </c>
      <c r="C2165" s="1" t="s">
        <v>42</v>
      </c>
      <c r="D2165" s="1">
        <v>4430265054</v>
      </c>
      <c r="E2165" s="1">
        <v>244</v>
      </c>
      <c r="F2165" s="1">
        <v>121</v>
      </c>
      <c r="G2165" s="1" t="s">
        <v>38</v>
      </c>
      <c r="H2165" s="1" t="s">
        <v>1157</v>
      </c>
      <c r="I2165" s="1" t="s">
        <v>39</v>
      </c>
      <c r="J2165" s="1" t="s">
        <v>40</v>
      </c>
      <c r="K2165" s="1" t="s">
        <v>41</v>
      </c>
      <c r="L2165" s="1"/>
    </row>
    <row r="2166" spans="1:12" s="32" customFormat="1" hidden="1" x14ac:dyDescent="0.3">
      <c r="A2166" s="37">
        <v>46119.721180555556</v>
      </c>
      <c r="B2166" s="1">
        <v>44988266421</v>
      </c>
      <c r="C2166" s="1">
        <v>4430265054</v>
      </c>
      <c r="D2166" s="1">
        <v>4430265054</v>
      </c>
      <c r="E2166" s="1">
        <v>9</v>
      </c>
      <c r="F2166" s="1">
        <v>8</v>
      </c>
      <c r="G2166" s="1" t="s">
        <v>52</v>
      </c>
      <c r="H2166" s="1" t="s">
        <v>1158</v>
      </c>
      <c r="I2166" s="1" t="s">
        <v>39</v>
      </c>
      <c r="J2166" s="1" t="s">
        <v>53</v>
      </c>
      <c r="K2166" s="1"/>
      <c r="L2166" s="1"/>
    </row>
    <row r="2167" spans="1:12" s="32" customFormat="1" hidden="1" x14ac:dyDescent="0.3">
      <c r="A2167" s="37">
        <v>46119.718564814815</v>
      </c>
      <c r="B2167" s="1">
        <v>4435226025</v>
      </c>
      <c r="C2167" s="1" t="s">
        <v>37</v>
      </c>
      <c r="D2167" s="1">
        <v>4430265054</v>
      </c>
      <c r="E2167" s="1">
        <v>147</v>
      </c>
      <c r="F2167" s="1">
        <v>93</v>
      </c>
      <c r="G2167" s="1" t="s">
        <v>38</v>
      </c>
      <c r="H2167" s="1" t="s">
        <v>1159</v>
      </c>
      <c r="I2167" s="1" t="s">
        <v>39</v>
      </c>
      <c r="J2167" s="1" t="s">
        <v>40</v>
      </c>
      <c r="K2167" s="1" t="s">
        <v>41</v>
      </c>
      <c r="L2167" s="1"/>
    </row>
    <row r="2168" spans="1:12" s="32" customFormat="1" hidden="1" x14ac:dyDescent="0.3">
      <c r="A2168" s="37">
        <v>46119.717465277776</v>
      </c>
      <c r="B2168" s="1" t="s">
        <v>37</v>
      </c>
      <c r="C2168" s="1">
        <v>24993107305</v>
      </c>
      <c r="D2168" s="1"/>
      <c r="E2168" s="1">
        <v>69</v>
      </c>
      <c r="F2168" s="1">
        <v>30</v>
      </c>
      <c r="G2168" s="1" t="s">
        <v>38</v>
      </c>
      <c r="H2168" s="1" t="s">
        <v>1160</v>
      </c>
      <c r="I2168" s="1" t="s">
        <v>46</v>
      </c>
      <c r="J2168" s="1" t="s">
        <v>40</v>
      </c>
      <c r="K2168" s="1"/>
      <c r="L2168" s="1"/>
    </row>
    <row r="2169" spans="1:12" s="32" customFormat="1" hidden="1" x14ac:dyDescent="0.3">
      <c r="A2169" s="37">
        <v>46119.713530092595</v>
      </c>
      <c r="B2169" s="1" t="s">
        <v>54</v>
      </c>
      <c r="C2169" s="1">
        <v>61982519968</v>
      </c>
      <c r="D2169" s="1"/>
      <c r="E2169" s="1">
        <v>14</v>
      </c>
      <c r="F2169" s="1">
        <v>10</v>
      </c>
      <c r="G2169" s="1" t="s">
        <v>38</v>
      </c>
      <c r="H2169" s="1" t="s">
        <v>1161</v>
      </c>
      <c r="I2169" s="1" t="s">
        <v>46</v>
      </c>
      <c r="J2169" s="1" t="s">
        <v>55</v>
      </c>
      <c r="K2169" s="1"/>
      <c r="L2169" s="1"/>
    </row>
    <row r="2170" spans="1:12" s="32" customFormat="1" hidden="1" x14ac:dyDescent="0.3">
      <c r="A2170" s="37">
        <v>46119.713148148148</v>
      </c>
      <c r="B2170" s="1" t="s">
        <v>48</v>
      </c>
      <c r="C2170" s="1">
        <v>4436291629</v>
      </c>
      <c r="D2170" s="1"/>
      <c r="E2170" s="1">
        <v>104</v>
      </c>
      <c r="F2170" s="1">
        <v>88</v>
      </c>
      <c r="G2170" s="1" t="s">
        <v>38</v>
      </c>
      <c r="H2170" s="1" t="s">
        <v>1162</v>
      </c>
      <c r="I2170" s="1" t="s">
        <v>46</v>
      </c>
      <c r="J2170" s="1" t="s">
        <v>40</v>
      </c>
      <c r="K2170" s="1"/>
      <c r="L2170" s="1"/>
    </row>
    <row r="2171" spans="1:12" s="32" customFormat="1" hidden="1" x14ac:dyDescent="0.3">
      <c r="A2171" s="37">
        <v>46119.713125000002</v>
      </c>
      <c r="B2171" s="1" t="s">
        <v>48</v>
      </c>
      <c r="C2171" s="1">
        <v>4436291629</v>
      </c>
      <c r="D2171" s="1"/>
      <c r="E2171" s="1">
        <v>25</v>
      </c>
      <c r="F2171" s="1">
        <v>25</v>
      </c>
      <c r="G2171" s="1" t="s">
        <v>38</v>
      </c>
      <c r="H2171" s="1" t="s">
        <v>1163</v>
      </c>
      <c r="I2171" s="1" t="s">
        <v>46</v>
      </c>
      <c r="J2171" s="1" t="s">
        <v>40</v>
      </c>
      <c r="K2171" s="1"/>
      <c r="L2171" s="1"/>
    </row>
    <row r="2172" spans="1:12" s="32" customFormat="1" hidden="1" x14ac:dyDescent="0.3">
      <c r="A2172" s="37">
        <v>46119.71298611111</v>
      </c>
      <c r="B2172" s="1" t="s">
        <v>48</v>
      </c>
      <c r="C2172" s="1">
        <v>44988182098</v>
      </c>
      <c r="D2172" s="1"/>
      <c r="E2172" s="1">
        <v>3</v>
      </c>
      <c r="F2172" s="1">
        <v>0</v>
      </c>
      <c r="G2172" s="1" t="s">
        <v>47</v>
      </c>
      <c r="H2172" s="1" t="s">
        <v>1164</v>
      </c>
      <c r="I2172" s="1" t="s">
        <v>46</v>
      </c>
      <c r="J2172" s="1" t="s">
        <v>40</v>
      </c>
      <c r="K2172" s="1"/>
      <c r="L2172" s="1"/>
    </row>
    <row r="2173" spans="1:12" s="32" customFormat="1" hidden="1" x14ac:dyDescent="0.3">
      <c r="A2173" s="37">
        <v>46119.711909722224</v>
      </c>
      <c r="B2173" s="1" t="s">
        <v>54</v>
      </c>
      <c r="C2173" s="1">
        <v>71991738285</v>
      </c>
      <c r="D2173" s="1"/>
      <c r="E2173" s="1">
        <v>26</v>
      </c>
      <c r="F2173" s="1">
        <v>2</v>
      </c>
      <c r="G2173" s="1" t="s">
        <v>38</v>
      </c>
      <c r="H2173" s="1" t="s">
        <v>1165</v>
      </c>
      <c r="I2173" s="1" t="s">
        <v>46</v>
      </c>
      <c r="J2173" s="1" t="s">
        <v>55</v>
      </c>
      <c r="K2173" s="1"/>
      <c r="L2173" s="1"/>
    </row>
    <row r="2174" spans="1:12" s="32" customFormat="1" hidden="1" x14ac:dyDescent="0.3">
      <c r="A2174" s="37">
        <v>46119.710057870368</v>
      </c>
      <c r="B2174" s="1" t="s">
        <v>37</v>
      </c>
      <c r="C2174" s="1">
        <v>24993107305</v>
      </c>
      <c r="D2174" s="1"/>
      <c r="E2174" s="1">
        <v>38</v>
      </c>
      <c r="F2174" s="1">
        <v>0</v>
      </c>
      <c r="G2174" s="1" t="s">
        <v>47</v>
      </c>
      <c r="H2174" s="1" t="s">
        <v>1166</v>
      </c>
      <c r="I2174" s="1" t="s">
        <v>46</v>
      </c>
      <c r="J2174" s="1" t="s">
        <v>40</v>
      </c>
      <c r="K2174" s="1"/>
      <c r="L2174" s="1"/>
    </row>
    <row r="2175" spans="1:12" s="32" customFormat="1" hidden="1" x14ac:dyDescent="0.3">
      <c r="A2175" s="37">
        <v>46119.709594907406</v>
      </c>
      <c r="B2175" s="1" t="s">
        <v>37</v>
      </c>
      <c r="C2175" s="1">
        <v>24993107305</v>
      </c>
      <c r="D2175" s="1"/>
      <c r="E2175" s="1">
        <v>38</v>
      </c>
      <c r="F2175" s="1">
        <v>0</v>
      </c>
      <c r="G2175" s="1" t="s">
        <v>47</v>
      </c>
      <c r="H2175" s="1" t="s">
        <v>1167</v>
      </c>
      <c r="I2175" s="1" t="s">
        <v>46</v>
      </c>
      <c r="J2175" s="1" t="s">
        <v>40</v>
      </c>
      <c r="K2175" s="1"/>
      <c r="L2175" s="1"/>
    </row>
    <row r="2176" spans="1:12" s="32" customFormat="1" hidden="1" x14ac:dyDescent="0.3">
      <c r="A2176" s="37">
        <v>46119.707916666666</v>
      </c>
      <c r="B2176" s="1">
        <v>4121410323</v>
      </c>
      <c r="C2176" s="1">
        <v>4531273159</v>
      </c>
      <c r="D2176" s="1">
        <v>4531273159</v>
      </c>
      <c r="E2176" s="1">
        <v>46</v>
      </c>
      <c r="F2176" s="1">
        <v>46</v>
      </c>
      <c r="G2176" s="1" t="s">
        <v>52</v>
      </c>
      <c r="H2176" s="1" t="s">
        <v>1168</v>
      </c>
      <c r="I2176" s="1" t="s">
        <v>39</v>
      </c>
      <c r="J2176" s="1" t="s">
        <v>53</v>
      </c>
      <c r="K2176" s="1" t="s">
        <v>41</v>
      </c>
      <c r="L2176" s="1"/>
    </row>
    <row r="2177" spans="1:12" s="32" customFormat="1" hidden="1" x14ac:dyDescent="0.3">
      <c r="A2177" s="37">
        <v>46119.705069444448</v>
      </c>
      <c r="B2177" s="1" t="s">
        <v>54</v>
      </c>
      <c r="C2177" s="1">
        <v>81995956271</v>
      </c>
      <c r="D2177" s="1"/>
      <c r="E2177" s="1">
        <v>105</v>
      </c>
      <c r="F2177" s="1">
        <v>77</v>
      </c>
      <c r="G2177" s="1" t="s">
        <v>38</v>
      </c>
      <c r="H2177" s="1" t="s">
        <v>1169</v>
      </c>
      <c r="I2177" s="1" t="s">
        <v>46</v>
      </c>
      <c r="J2177" s="1" t="s">
        <v>55</v>
      </c>
      <c r="K2177" s="1"/>
      <c r="L2177" s="1"/>
    </row>
    <row r="2178" spans="1:12" s="32" customFormat="1" hidden="1" x14ac:dyDescent="0.3">
      <c r="A2178" s="37">
        <v>46119.699560185189</v>
      </c>
      <c r="B2178" s="1">
        <v>44988182098</v>
      </c>
      <c r="C2178" s="1" t="s">
        <v>43</v>
      </c>
      <c r="D2178" s="1">
        <v>4430265054</v>
      </c>
      <c r="E2178" s="1">
        <v>523</v>
      </c>
      <c r="F2178" s="1">
        <v>291</v>
      </c>
      <c r="G2178" s="1" t="s">
        <v>38</v>
      </c>
      <c r="H2178" s="1" t="s">
        <v>1170</v>
      </c>
      <c r="I2178" s="1" t="s">
        <v>39</v>
      </c>
      <c r="J2178" s="1" t="s">
        <v>40</v>
      </c>
      <c r="K2178" s="1" t="s">
        <v>41</v>
      </c>
      <c r="L2178" s="1"/>
    </row>
    <row r="2179" spans="1:12" s="32" customFormat="1" hidden="1" x14ac:dyDescent="0.3">
      <c r="A2179" s="37">
        <v>46119.698888888888</v>
      </c>
      <c r="B2179" s="1">
        <v>67992169496</v>
      </c>
      <c r="C2179" s="1" t="s">
        <v>44</v>
      </c>
      <c r="D2179" s="1">
        <v>4430265054</v>
      </c>
      <c r="E2179" s="1">
        <v>1428</v>
      </c>
      <c r="F2179" s="1">
        <v>1317</v>
      </c>
      <c r="G2179" s="1" t="s">
        <v>38</v>
      </c>
      <c r="H2179" s="1" t="s">
        <v>1171</v>
      </c>
      <c r="I2179" s="1" t="s">
        <v>39</v>
      </c>
      <c r="J2179" s="1" t="s">
        <v>40</v>
      </c>
      <c r="K2179" s="1" t="s">
        <v>41</v>
      </c>
      <c r="L2179" s="1"/>
    </row>
    <row r="2180" spans="1:12" s="32" customFormat="1" hidden="1" x14ac:dyDescent="0.3">
      <c r="A2180" s="37">
        <v>46119.694525462961</v>
      </c>
      <c r="B2180" s="1">
        <v>4430191617</v>
      </c>
      <c r="C2180" s="1" t="s">
        <v>48</v>
      </c>
      <c r="D2180" s="1">
        <v>4430265054</v>
      </c>
      <c r="E2180" s="1">
        <v>258</v>
      </c>
      <c r="F2180" s="1">
        <v>181</v>
      </c>
      <c r="G2180" s="1" t="s">
        <v>38</v>
      </c>
      <c r="H2180" s="1" t="s">
        <v>1172</v>
      </c>
      <c r="I2180" s="1" t="s">
        <v>39</v>
      </c>
      <c r="J2180" s="1" t="s">
        <v>40</v>
      </c>
      <c r="K2180" s="1" t="s">
        <v>41</v>
      </c>
      <c r="L2180" s="1"/>
    </row>
    <row r="2181" spans="1:12" s="32" customFormat="1" hidden="1" x14ac:dyDescent="0.3">
      <c r="A2181" s="37">
        <v>46119.692916666667</v>
      </c>
      <c r="B2181" s="1">
        <v>4436291629</v>
      </c>
      <c r="C2181" s="1">
        <v>4430265054</v>
      </c>
      <c r="D2181" s="1">
        <v>4430265054</v>
      </c>
      <c r="E2181" s="1">
        <v>131</v>
      </c>
      <c r="F2181" s="1">
        <v>130</v>
      </c>
      <c r="G2181" s="1" t="s">
        <v>52</v>
      </c>
      <c r="H2181" s="1" t="s">
        <v>1173</v>
      </c>
      <c r="I2181" s="1" t="s">
        <v>39</v>
      </c>
      <c r="J2181" s="1" t="s">
        <v>53</v>
      </c>
      <c r="K2181" s="1" t="s">
        <v>41</v>
      </c>
      <c r="L2181" s="1"/>
    </row>
    <row r="2182" spans="1:12" s="32" customFormat="1" hidden="1" x14ac:dyDescent="0.3">
      <c r="A2182" s="37">
        <v>46119.692326388889</v>
      </c>
      <c r="B2182" s="1">
        <v>4432322192</v>
      </c>
      <c r="C2182" s="1" t="s">
        <v>43</v>
      </c>
      <c r="D2182" s="1">
        <v>4430265054</v>
      </c>
      <c r="E2182" s="1">
        <v>745</v>
      </c>
      <c r="F2182" s="1">
        <v>647</v>
      </c>
      <c r="G2182" s="1" t="s">
        <v>38</v>
      </c>
      <c r="H2182" s="1" t="s">
        <v>1174</v>
      </c>
      <c r="I2182" s="1" t="s">
        <v>39</v>
      </c>
      <c r="J2182" s="1" t="s">
        <v>40</v>
      </c>
      <c r="K2182" s="1" t="s">
        <v>41</v>
      </c>
      <c r="L2182" s="1"/>
    </row>
    <row r="2183" spans="1:12" s="32" customFormat="1" hidden="1" x14ac:dyDescent="0.3">
      <c r="A2183" s="37">
        <v>46119.687974537039</v>
      </c>
      <c r="B2183" s="1">
        <v>4330332823</v>
      </c>
      <c r="C2183" s="1" t="s">
        <v>45</v>
      </c>
      <c r="D2183" s="1">
        <v>4430265054</v>
      </c>
      <c r="E2183" s="1">
        <v>1739</v>
      </c>
      <c r="F2183" s="1">
        <v>1683</v>
      </c>
      <c r="G2183" s="1" t="s">
        <v>38</v>
      </c>
      <c r="H2183" s="1" t="s">
        <v>1175</v>
      </c>
      <c r="I2183" s="1" t="s">
        <v>39</v>
      </c>
      <c r="J2183" s="1" t="s">
        <v>40</v>
      </c>
      <c r="K2183" s="1" t="s">
        <v>41</v>
      </c>
      <c r="L2183" s="1"/>
    </row>
    <row r="2184" spans="1:12" s="32" customFormat="1" hidden="1" x14ac:dyDescent="0.3">
      <c r="A2184" s="37">
        <v>46119.684166666666</v>
      </c>
      <c r="B2184" s="1">
        <v>44999586096</v>
      </c>
      <c r="C2184" s="1" t="s">
        <v>42</v>
      </c>
      <c r="D2184" s="1">
        <v>4430265054</v>
      </c>
      <c r="E2184" s="1">
        <v>788</v>
      </c>
      <c r="F2184" s="1">
        <v>728</v>
      </c>
      <c r="G2184" s="1" t="s">
        <v>38</v>
      </c>
      <c r="H2184" s="1" t="s">
        <v>1176</v>
      </c>
      <c r="I2184" s="1" t="s">
        <v>39</v>
      </c>
      <c r="J2184" s="1" t="s">
        <v>40</v>
      </c>
      <c r="K2184" s="1" t="s">
        <v>41</v>
      </c>
      <c r="L2184" s="1"/>
    </row>
    <row r="2185" spans="1:12" s="32" customFormat="1" hidden="1" x14ac:dyDescent="0.3">
      <c r="A2185" s="37">
        <v>46119.682291666664</v>
      </c>
      <c r="B2185" s="1" t="s">
        <v>43</v>
      </c>
      <c r="C2185" s="1">
        <v>44991388221</v>
      </c>
      <c r="D2185" s="1"/>
      <c r="E2185" s="1">
        <v>201</v>
      </c>
      <c r="F2185" s="1">
        <v>192</v>
      </c>
      <c r="G2185" s="1" t="s">
        <v>38</v>
      </c>
      <c r="H2185" s="1" t="s">
        <v>1177</v>
      </c>
      <c r="I2185" s="1" t="s">
        <v>46</v>
      </c>
      <c r="J2185" s="1" t="s">
        <v>40</v>
      </c>
      <c r="K2185" s="1"/>
      <c r="L2185" s="1"/>
    </row>
    <row r="2186" spans="1:12" s="32" customFormat="1" hidden="1" x14ac:dyDescent="0.3">
      <c r="A2186" s="37">
        <v>46119.682164351849</v>
      </c>
      <c r="B2186" s="1" t="s">
        <v>43</v>
      </c>
      <c r="C2186" s="1">
        <v>44991388221</v>
      </c>
      <c r="D2186" s="1"/>
      <c r="E2186" s="1">
        <v>25</v>
      </c>
      <c r="F2186" s="1">
        <v>25</v>
      </c>
      <c r="G2186" s="1" t="s">
        <v>38</v>
      </c>
      <c r="H2186" s="1" t="s">
        <v>1178</v>
      </c>
      <c r="I2186" s="1" t="s">
        <v>46</v>
      </c>
      <c r="J2186" s="1" t="s">
        <v>40</v>
      </c>
      <c r="K2186" s="1"/>
      <c r="L2186" s="1"/>
    </row>
    <row r="2187" spans="1:12" s="32" customFormat="1" hidden="1" x14ac:dyDescent="0.3">
      <c r="A2187" s="37">
        <v>46119.675358796296</v>
      </c>
      <c r="B2187" s="1">
        <v>4533011395</v>
      </c>
      <c r="C2187" s="1">
        <v>4531273158</v>
      </c>
      <c r="D2187" s="1">
        <v>4531273158</v>
      </c>
      <c r="E2187" s="1">
        <v>47</v>
      </c>
      <c r="F2187" s="1">
        <v>47</v>
      </c>
      <c r="G2187" s="1" t="s">
        <v>52</v>
      </c>
      <c r="H2187" s="1" t="s">
        <v>1179</v>
      </c>
      <c r="I2187" s="1" t="s">
        <v>39</v>
      </c>
      <c r="J2187" s="1" t="s">
        <v>53</v>
      </c>
      <c r="K2187" s="1" t="s">
        <v>41</v>
      </c>
      <c r="L2187" s="1"/>
    </row>
    <row r="2188" spans="1:12" s="32" customFormat="1" hidden="1" x14ac:dyDescent="0.3">
      <c r="A2188" s="37">
        <v>46119.672847222224</v>
      </c>
      <c r="B2188" s="1" t="s">
        <v>54</v>
      </c>
      <c r="C2188" s="1">
        <v>11962191816</v>
      </c>
      <c r="D2188" s="1"/>
      <c r="E2188" s="1">
        <v>235</v>
      </c>
      <c r="F2188" s="1">
        <v>219</v>
      </c>
      <c r="G2188" s="1" t="s">
        <v>38</v>
      </c>
      <c r="H2188" s="1" t="s">
        <v>1180</v>
      </c>
      <c r="I2188" s="1" t="s">
        <v>46</v>
      </c>
      <c r="J2188" s="1" t="s">
        <v>55</v>
      </c>
      <c r="K2188" s="1"/>
      <c r="L2188" s="1"/>
    </row>
    <row r="2189" spans="1:12" s="32" customFormat="1" hidden="1" x14ac:dyDescent="0.3">
      <c r="A2189" s="37">
        <v>46119.670219907406</v>
      </c>
      <c r="B2189" s="1">
        <v>44998032021</v>
      </c>
      <c r="C2189" s="1" t="s">
        <v>37</v>
      </c>
      <c r="D2189" s="1">
        <v>4430265054</v>
      </c>
      <c r="E2189" s="1">
        <v>1354</v>
      </c>
      <c r="F2189" s="1">
        <v>1238</v>
      </c>
      <c r="G2189" s="1" t="s">
        <v>38</v>
      </c>
      <c r="H2189" s="1" t="s">
        <v>1181</v>
      </c>
      <c r="I2189" s="1" t="s">
        <v>39</v>
      </c>
      <c r="J2189" s="1" t="s">
        <v>40</v>
      </c>
      <c r="K2189" s="1" t="s">
        <v>41</v>
      </c>
      <c r="L2189" s="1"/>
    </row>
    <row r="2190" spans="1:12" s="32" customFormat="1" hidden="1" x14ac:dyDescent="0.3">
      <c r="A2190" s="37">
        <v>46119.669004629628</v>
      </c>
      <c r="B2190" s="1">
        <v>4432520077</v>
      </c>
      <c r="C2190" s="1" t="s">
        <v>42</v>
      </c>
      <c r="D2190" s="1">
        <v>4430265054</v>
      </c>
      <c r="E2190" s="1">
        <v>674</v>
      </c>
      <c r="F2190" s="1">
        <v>642</v>
      </c>
      <c r="G2190" s="1" t="s">
        <v>38</v>
      </c>
      <c r="H2190" s="1" t="s">
        <v>1182</v>
      </c>
      <c r="I2190" s="1" t="s">
        <v>39</v>
      </c>
      <c r="J2190" s="1" t="s">
        <v>40</v>
      </c>
      <c r="K2190" s="1" t="s">
        <v>41</v>
      </c>
      <c r="L2190" s="1"/>
    </row>
    <row r="2191" spans="1:12" s="32" customFormat="1" hidden="1" x14ac:dyDescent="0.3">
      <c r="A2191" s="37">
        <v>46119.66609953704</v>
      </c>
      <c r="B2191" s="1" t="s">
        <v>43</v>
      </c>
      <c r="C2191" s="1">
        <v>1131043888</v>
      </c>
      <c r="D2191" s="1"/>
      <c r="E2191" s="1">
        <v>97</v>
      </c>
      <c r="F2191" s="1">
        <v>96</v>
      </c>
      <c r="G2191" s="1" t="s">
        <v>38</v>
      </c>
      <c r="H2191" s="1" t="s">
        <v>1183</v>
      </c>
      <c r="I2191" s="1" t="s">
        <v>46</v>
      </c>
      <c r="J2191" s="1" t="s">
        <v>40</v>
      </c>
      <c r="K2191" s="1"/>
      <c r="L2191" s="1"/>
    </row>
    <row r="2192" spans="1:12" s="32" customFormat="1" hidden="1" x14ac:dyDescent="0.3">
      <c r="A2192" s="37">
        <v>46119.659884259258</v>
      </c>
      <c r="B2192" s="1">
        <v>3432424736</v>
      </c>
      <c r="C2192" s="1" t="s">
        <v>37</v>
      </c>
      <c r="D2192" s="1">
        <v>4430265054</v>
      </c>
      <c r="E2192" s="1">
        <v>491</v>
      </c>
      <c r="F2192" s="1">
        <v>415</v>
      </c>
      <c r="G2192" s="1" t="s">
        <v>38</v>
      </c>
      <c r="H2192" s="1" t="s">
        <v>1184</v>
      </c>
      <c r="I2192" s="1" t="s">
        <v>39</v>
      </c>
      <c r="J2192" s="1" t="s">
        <v>40</v>
      </c>
      <c r="K2192" s="1" t="s">
        <v>41</v>
      </c>
      <c r="L2192" s="1"/>
    </row>
    <row r="2193" spans="1:12" s="32" customFormat="1" hidden="1" x14ac:dyDescent="0.3">
      <c r="A2193" s="37">
        <v>46119.658437500002</v>
      </c>
      <c r="B2193" s="1">
        <v>4430450103</v>
      </c>
      <c r="C2193" s="1" t="s">
        <v>45</v>
      </c>
      <c r="D2193" s="1">
        <v>4430265054</v>
      </c>
      <c r="E2193" s="1">
        <v>1668</v>
      </c>
      <c r="F2193" s="1">
        <v>1634</v>
      </c>
      <c r="G2193" s="1" t="s">
        <v>38</v>
      </c>
      <c r="H2193" s="1" t="s">
        <v>1185</v>
      </c>
      <c r="I2193" s="1" t="s">
        <v>39</v>
      </c>
      <c r="J2193" s="1" t="s">
        <v>40</v>
      </c>
      <c r="K2193" s="1" t="s">
        <v>41</v>
      </c>
      <c r="L2193" s="1">
        <v>5</v>
      </c>
    </row>
    <row r="2194" spans="1:12" s="32" customFormat="1" hidden="1" x14ac:dyDescent="0.3">
      <c r="A2194" s="37">
        <v>46119.651354166665</v>
      </c>
      <c r="B2194" s="1">
        <v>44999917849</v>
      </c>
      <c r="C2194" s="1" t="s">
        <v>37</v>
      </c>
      <c r="D2194" s="1">
        <v>4430265054</v>
      </c>
      <c r="E2194" s="1">
        <v>409</v>
      </c>
      <c r="F2194" s="1">
        <v>365</v>
      </c>
      <c r="G2194" s="1" t="s">
        <v>38</v>
      </c>
      <c r="H2194" s="1" t="s">
        <v>1186</v>
      </c>
      <c r="I2194" s="1" t="s">
        <v>39</v>
      </c>
      <c r="J2194" s="1" t="s">
        <v>40</v>
      </c>
      <c r="K2194" s="1" t="s">
        <v>41</v>
      </c>
      <c r="L2194" s="1"/>
    </row>
    <row r="2195" spans="1:12" s="32" customFormat="1" hidden="1" x14ac:dyDescent="0.3">
      <c r="A2195" s="37">
        <v>46119.646203703705</v>
      </c>
      <c r="B2195" s="1">
        <v>4330332823</v>
      </c>
      <c r="C2195" s="1" t="s">
        <v>44</v>
      </c>
      <c r="D2195" s="1">
        <v>4430265054</v>
      </c>
      <c r="E2195" s="1">
        <v>410</v>
      </c>
      <c r="F2195" s="1">
        <v>347</v>
      </c>
      <c r="G2195" s="1" t="s">
        <v>38</v>
      </c>
      <c r="H2195" s="1" t="s">
        <v>1187</v>
      </c>
      <c r="I2195" s="1" t="s">
        <v>39</v>
      </c>
      <c r="J2195" s="1" t="s">
        <v>40</v>
      </c>
      <c r="K2195" s="1" t="s">
        <v>41</v>
      </c>
      <c r="L2195" s="1"/>
    </row>
    <row r="2196" spans="1:12" s="32" customFormat="1" hidden="1" x14ac:dyDescent="0.3">
      <c r="A2196" s="37">
        <v>46119.644259259258</v>
      </c>
      <c r="B2196" s="1" t="s">
        <v>43</v>
      </c>
      <c r="C2196" s="1">
        <v>1131043888</v>
      </c>
      <c r="D2196" s="1"/>
      <c r="E2196" s="1">
        <v>1831</v>
      </c>
      <c r="F2196" s="1">
        <v>1830</v>
      </c>
      <c r="G2196" s="1" t="s">
        <v>38</v>
      </c>
      <c r="H2196" s="1" t="s">
        <v>1188</v>
      </c>
      <c r="I2196" s="1" t="s">
        <v>46</v>
      </c>
      <c r="J2196" s="1" t="s">
        <v>40</v>
      </c>
      <c r="K2196" s="1"/>
      <c r="L2196" s="1">
        <v>5</v>
      </c>
    </row>
    <row r="2197" spans="1:12" s="32" customFormat="1" hidden="1" x14ac:dyDescent="0.3">
      <c r="A2197" s="37">
        <v>46119.635358796295</v>
      </c>
      <c r="B2197" s="1">
        <v>45999211357</v>
      </c>
      <c r="C2197" s="1" t="s">
        <v>45</v>
      </c>
      <c r="D2197" s="1">
        <v>4431268225</v>
      </c>
      <c r="E2197" s="1">
        <v>1130</v>
      </c>
      <c r="F2197" s="1">
        <v>1045</v>
      </c>
      <c r="G2197" s="1" t="s">
        <v>38</v>
      </c>
      <c r="H2197" s="1" t="s">
        <v>1189</v>
      </c>
      <c r="I2197" s="1" t="s">
        <v>39</v>
      </c>
      <c r="J2197" s="1" t="s">
        <v>40</v>
      </c>
      <c r="K2197" s="1" t="s">
        <v>41</v>
      </c>
      <c r="L2197" s="1">
        <v>5</v>
      </c>
    </row>
    <row r="2198" spans="1:12" s="32" customFormat="1" hidden="1" x14ac:dyDescent="0.3">
      <c r="A2198" s="37">
        <v>46119.635081018518</v>
      </c>
      <c r="B2198" s="1">
        <v>45999211357</v>
      </c>
      <c r="C2198" s="1">
        <v>4431268225</v>
      </c>
      <c r="D2198" s="1">
        <v>4431268225</v>
      </c>
      <c r="E2198" s="1">
        <v>19</v>
      </c>
      <c r="F2198" s="1">
        <v>18</v>
      </c>
      <c r="G2198" s="1" t="s">
        <v>52</v>
      </c>
      <c r="H2198" s="1" t="s">
        <v>1190</v>
      </c>
      <c r="I2198" s="1" t="s">
        <v>39</v>
      </c>
      <c r="J2198" s="1" t="s">
        <v>53</v>
      </c>
      <c r="K2198" s="1"/>
      <c r="L2198" s="1"/>
    </row>
    <row r="2199" spans="1:12" s="32" customFormat="1" x14ac:dyDescent="0.3">
      <c r="A2199" s="37">
        <v>46119.631180555552</v>
      </c>
      <c r="B2199" s="1">
        <v>62994086124</v>
      </c>
      <c r="C2199" s="1" t="s">
        <v>37</v>
      </c>
      <c r="D2199" s="1">
        <v>4430265054</v>
      </c>
      <c r="E2199" s="1">
        <v>1275</v>
      </c>
      <c r="F2199" s="1">
        <v>1235</v>
      </c>
      <c r="G2199" s="1" t="s">
        <v>38</v>
      </c>
      <c r="H2199" s="1" t="s">
        <v>1191</v>
      </c>
      <c r="I2199" s="1" t="s">
        <v>39</v>
      </c>
      <c r="J2199" s="1" t="s">
        <v>40</v>
      </c>
      <c r="K2199" s="1" t="s">
        <v>41</v>
      </c>
      <c r="L2199" s="1">
        <v>5</v>
      </c>
    </row>
    <row r="2200" spans="1:12" s="32" customFormat="1" hidden="1" x14ac:dyDescent="0.3">
      <c r="A2200" s="37">
        <v>46119.630532407406</v>
      </c>
      <c r="B2200" s="1">
        <v>1131043888</v>
      </c>
      <c r="C2200" s="1" t="s">
        <v>43</v>
      </c>
      <c r="D2200" s="1">
        <v>4430265054</v>
      </c>
      <c r="E2200" s="1">
        <v>658</v>
      </c>
      <c r="F2200" s="1">
        <v>650</v>
      </c>
      <c r="G2200" s="1" t="s">
        <v>38</v>
      </c>
      <c r="H2200" s="1" t="s">
        <v>1192</v>
      </c>
      <c r="I2200" s="1" t="s">
        <v>39</v>
      </c>
      <c r="J2200" s="1" t="s">
        <v>40</v>
      </c>
      <c r="K2200" s="1" t="s">
        <v>41</v>
      </c>
      <c r="L2200" s="1"/>
    </row>
    <row r="2201" spans="1:12" s="32" customFormat="1" hidden="1" x14ac:dyDescent="0.3">
      <c r="A2201" s="37">
        <v>46119.630312499998</v>
      </c>
      <c r="B2201" s="1">
        <v>4330333542</v>
      </c>
      <c r="C2201" s="1" t="s">
        <v>45</v>
      </c>
      <c r="D2201" s="1">
        <v>4430265054</v>
      </c>
      <c r="E2201" s="1">
        <v>252</v>
      </c>
      <c r="F2201" s="1">
        <v>232</v>
      </c>
      <c r="G2201" s="1" t="s">
        <v>38</v>
      </c>
      <c r="H2201" s="1" t="s">
        <v>1193</v>
      </c>
      <c r="I2201" s="1" t="s">
        <v>39</v>
      </c>
      <c r="J2201" s="1" t="s">
        <v>40</v>
      </c>
      <c r="K2201" s="1" t="s">
        <v>41</v>
      </c>
      <c r="L2201" s="1">
        <v>5</v>
      </c>
    </row>
    <row r="2202" spans="1:12" s="32" customFormat="1" hidden="1" x14ac:dyDescent="0.3">
      <c r="A2202" s="37">
        <v>46119.629675925928</v>
      </c>
      <c r="B2202" s="1">
        <v>4430562296</v>
      </c>
      <c r="C2202" s="1" t="s">
        <v>44</v>
      </c>
      <c r="D2202" s="1">
        <v>4430265054</v>
      </c>
      <c r="E2202" s="1">
        <v>130</v>
      </c>
      <c r="F2202" s="1">
        <v>71</v>
      </c>
      <c r="G2202" s="1" t="s">
        <v>38</v>
      </c>
      <c r="H2202" s="1" t="s">
        <v>1194</v>
      </c>
      <c r="I2202" s="1" t="s">
        <v>39</v>
      </c>
      <c r="J2202" s="1" t="s">
        <v>40</v>
      </c>
      <c r="K2202" s="1" t="s">
        <v>41</v>
      </c>
      <c r="L2202" s="1"/>
    </row>
    <row r="2203" spans="1:12" s="32" customFormat="1" hidden="1" x14ac:dyDescent="0.3">
      <c r="A2203" s="37">
        <v>46119.625902777778</v>
      </c>
      <c r="B2203" s="1">
        <v>1131043888</v>
      </c>
      <c r="C2203" s="1" t="s">
        <v>43</v>
      </c>
      <c r="D2203" s="1">
        <v>4430265054</v>
      </c>
      <c r="E2203" s="1">
        <v>190</v>
      </c>
      <c r="F2203" s="1">
        <v>140</v>
      </c>
      <c r="G2203" s="1" t="s">
        <v>38</v>
      </c>
      <c r="H2203" s="1" t="s">
        <v>1195</v>
      </c>
      <c r="I2203" s="1" t="s">
        <v>39</v>
      </c>
      <c r="J2203" s="1" t="s">
        <v>40</v>
      </c>
      <c r="K2203" s="1" t="s">
        <v>41</v>
      </c>
      <c r="L2203" s="1"/>
    </row>
    <row r="2204" spans="1:12" s="32" customFormat="1" hidden="1" x14ac:dyDescent="0.3">
      <c r="A2204" s="37">
        <v>46119.624351851853</v>
      </c>
      <c r="B2204" s="1">
        <v>4432322192</v>
      </c>
      <c r="C2204" s="1">
        <v>4430265054</v>
      </c>
      <c r="D2204" s="1">
        <v>4430265054</v>
      </c>
      <c r="E2204" s="1">
        <v>9</v>
      </c>
      <c r="F2204" s="1">
        <v>8</v>
      </c>
      <c r="G2204" s="1" t="s">
        <v>52</v>
      </c>
      <c r="H2204" s="1" t="s">
        <v>1196</v>
      </c>
      <c r="I2204" s="1" t="s">
        <v>39</v>
      </c>
      <c r="J2204" s="1" t="s">
        <v>53</v>
      </c>
      <c r="K2204" s="1"/>
      <c r="L2204" s="1"/>
    </row>
    <row r="2205" spans="1:12" s="32" customFormat="1" hidden="1" x14ac:dyDescent="0.3">
      <c r="A2205" s="37">
        <v>46119.622719907406</v>
      </c>
      <c r="B2205" s="1" t="s">
        <v>48</v>
      </c>
      <c r="C2205" s="1">
        <v>77999250878</v>
      </c>
      <c r="D2205" s="1"/>
      <c r="E2205" s="1">
        <v>354</v>
      </c>
      <c r="F2205" s="1">
        <v>348</v>
      </c>
      <c r="G2205" s="1" t="s">
        <v>38</v>
      </c>
      <c r="H2205" s="1" t="s">
        <v>1197</v>
      </c>
      <c r="I2205" s="1" t="s">
        <v>46</v>
      </c>
      <c r="J2205" s="1" t="s">
        <v>40</v>
      </c>
      <c r="K2205" s="1"/>
      <c r="L2205" s="1"/>
    </row>
    <row r="2206" spans="1:12" s="32" customFormat="1" hidden="1" x14ac:dyDescent="0.3">
      <c r="A2206" s="37">
        <v>46119.622523148151</v>
      </c>
      <c r="B2206" s="1" t="s">
        <v>48</v>
      </c>
      <c r="C2206" s="1">
        <v>77999250878</v>
      </c>
      <c r="D2206" s="1"/>
      <c r="E2206" s="1">
        <v>33</v>
      </c>
      <c r="F2206" s="1">
        <v>27</v>
      </c>
      <c r="G2206" s="1" t="s">
        <v>38</v>
      </c>
      <c r="H2206" s="1" t="s">
        <v>1198</v>
      </c>
      <c r="I2206" s="1" t="s">
        <v>46</v>
      </c>
      <c r="J2206" s="1" t="s">
        <v>40</v>
      </c>
      <c r="K2206" s="1"/>
      <c r="L2206" s="1"/>
    </row>
    <row r="2207" spans="1:12" s="32" customFormat="1" hidden="1" x14ac:dyDescent="0.3">
      <c r="A2207" s="37">
        <v>46119.618564814817</v>
      </c>
      <c r="B2207" s="1">
        <v>4121418115</v>
      </c>
      <c r="C2207" s="1" t="s">
        <v>45</v>
      </c>
      <c r="D2207" s="1">
        <v>4531273162</v>
      </c>
      <c r="E2207" s="1">
        <v>47</v>
      </c>
      <c r="F2207" s="1">
        <v>13</v>
      </c>
      <c r="G2207" s="1" t="s">
        <v>38</v>
      </c>
      <c r="H2207" s="1" t="s">
        <v>1199</v>
      </c>
      <c r="I2207" s="1" t="s">
        <v>39</v>
      </c>
      <c r="J2207" s="1" t="s">
        <v>40</v>
      </c>
      <c r="K2207" s="1" t="s">
        <v>41</v>
      </c>
      <c r="L2207" s="1"/>
    </row>
    <row r="2208" spans="1:12" s="32" customFormat="1" hidden="1" x14ac:dyDescent="0.3">
      <c r="A2208" s="37">
        <v>46119.618067129632</v>
      </c>
      <c r="B2208" s="1">
        <v>77999250878</v>
      </c>
      <c r="C2208" s="1" t="s">
        <v>48</v>
      </c>
      <c r="D2208" s="1">
        <v>4430265054</v>
      </c>
      <c r="E2208" s="1">
        <v>343</v>
      </c>
      <c r="F2208" s="1">
        <v>343</v>
      </c>
      <c r="G2208" s="1" t="s">
        <v>38</v>
      </c>
      <c r="H2208" s="1" t="s">
        <v>1200</v>
      </c>
      <c r="I2208" s="1" t="s">
        <v>39</v>
      </c>
      <c r="J2208" s="1" t="s">
        <v>40</v>
      </c>
      <c r="K2208" s="1" t="s">
        <v>41</v>
      </c>
      <c r="L2208" s="1"/>
    </row>
    <row r="2209" spans="1:12" s="32" customFormat="1" hidden="1" x14ac:dyDescent="0.3">
      <c r="A2209" s="37">
        <v>46119.61755787037</v>
      </c>
      <c r="B2209" s="1">
        <v>77999250878</v>
      </c>
      <c r="C2209" s="1">
        <v>4430265054</v>
      </c>
      <c r="D2209" s="1">
        <v>4430265054</v>
      </c>
      <c r="E2209" s="1">
        <v>34</v>
      </c>
      <c r="F2209" s="1">
        <v>33</v>
      </c>
      <c r="G2209" s="1" t="s">
        <v>52</v>
      </c>
      <c r="H2209" s="1" t="s">
        <v>1201</v>
      </c>
      <c r="I2209" s="1" t="s">
        <v>39</v>
      </c>
      <c r="J2209" s="1" t="s">
        <v>53</v>
      </c>
      <c r="K2209" s="1" t="s">
        <v>41</v>
      </c>
      <c r="L2209" s="1"/>
    </row>
    <row r="2210" spans="1:12" s="32" customFormat="1" hidden="1" x14ac:dyDescent="0.3">
      <c r="A2210" s="37">
        <v>46119.613402777781</v>
      </c>
      <c r="B2210" s="1">
        <v>44999654761</v>
      </c>
      <c r="C2210" s="1" t="s">
        <v>43</v>
      </c>
      <c r="D2210" s="1">
        <v>4430265054</v>
      </c>
      <c r="E2210" s="1">
        <v>620</v>
      </c>
      <c r="F2210" s="1">
        <v>595</v>
      </c>
      <c r="G2210" s="1" t="s">
        <v>38</v>
      </c>
      <c r="H2210" s="1" t="s">
        <v>1202</v>
      </c>
      <c r="I2210" s="1" t="s">
        <v>39</v>
      </c>
      <c r="J2210" s="1" t="s">
        <v>40</v>
      </c>
      <c r="K2210" s="1" t="s">
        <v>41</v>
      </c>
      <c r="L2210" s="1">
        <v>5</v>
      </c>
    </row>
    <row r="2211" spans="1:12" s="32" customFormat="1" hidden="1" x14ac:dyDescent="0.3">
      <c r="A2211" s="37">
        <v>46119.612523148149</v>
      </c>
      <c r="B2211" s="1">
        <v>4330332823</v>
      </c>
      <c r="C2211" s="1" t="s">
        <v>42</v>
      </c>
      <c r="D2211" s="1">
        <v>4430265054</v>
      </c>
      <c r="E2211" s="1">
        <v>492</v>
      </c>
      <c r="F2211" s="1">
        <v>453</v>
      </c>
      <c r="G2211" s="1" t="s">
        <v>38</v>
      </c>
      <c r="H2211" s="1" t="s">
        <v>1203</v>
      </c>
      <c r="I2211" s="1" t="s">
        <v>39</v>
      </c>
      <c r="J2211" s="1" t="s">
        <v>40</v>
      </c>
      <c r="K2211" s="1" t="s">
        <v>41</v>
      </c>
      <c r="L2211" s="1"/>
    </row>
    <row r="2212" spans="1:12" s="32" customFormat="1" x14ac:dyDescent="0.3">
      <c r="A2212" s="37">
        <v>46119.606111111112</v>
      </c>
      <c r="B2212" s="1">
        <v>45999211357</v>
      </c>
      <c r="C2212" s="1" t="s">
        <v>37</v>
      </c>
      <c r="D2212" s="1">
        <v>4431268225</v>
      </c>
      <c r="E2212" s="1">
        <v>1014</v>
      </c>
      <c r="F2212" s="1">
        <v>915</v>
      </c>
      <c r="G2212" s="1" t="s">
        <v>38</v>
      </c>
      <c r="H2212" s="1" t="s">
        <v>1204</v>
      </c>
      <c r="I2212" s="1" t="s">
        <v>39</v>
      </c>
      <c r="J2212" s="1" t="s">
        <v>40</v>
      </c>
      <c r="K2212" s="1" t="s">
        <v>41</v>
      </c>
      <c r="L2212" s="1">
        <v>4</v>
      </c>
    </row>
    <row r="2213" spans="1:12" s="32" customFormat="1" hidden="1" x14ac:dyDescent="0.3">
      <c r="A2213" s="37">
        <v>46119.603877314818</v>
      </c>
      <c r="B2213" s="1">
        <v>62984961358</v>
      </c>
      <c r="C2213" s="1" t="s">
        <v>42</v>
      </c>
      <c r="D2213" s="1">
        <v>4430265054</v>
      </c>
      <c r="E2213" s="1">
        <v>542</v>
      </c>
      <c r="F2213" s="1">
        <v>501</v>
      </c>
      <c r="G2213" s="1" t="s">
        <v>38</v>
      </c>
      <c r="H2213" s="1" t="s">
        <v>1205</v>
      </c>
      <c r="I2213" s="1" t="s">
        <v>39</v>
      </c>
      <c r="J2213" s="1" t="s">
        <v>40</v>
      </c>
      <c r="K2213" s="1" t="s">
        <v>41</v>
      </c>
      <c r="L2213" s="1"/>
    </row>
    <row r="2214" spans="1:12" s="32" customFormat="1" hidden="1" x14ac:dyDescent="0.3">
      <c r="A2214" s="37">
        <v>46119.598344907405</v>
      </c>
      <c r="B2214" s="1">
        <v>44991388221</v>
      </c>
      <c r="C2214" s="1" t="s">
        <v>43</v>
      </c>
      <c r="D2214" s="1">
        <v>4430265054</v>
      </c>
      <c r="E2214" s="1">
        <v>225</v>
      </c>
      <c r="F2214" s="1">
        <v>193</v>
      </c>
      <c r="G2214" s="1" t="s">
        <v>38</v>
      </c>
      <c r="H2214" s="1" t="s">
        <v>1206</v>
      </c>
      <c r="I2214" s="1" t="s">
        <v>39</v>
      </c>
      <c r="J2214" s="1" t="s">
        <v>40</v>
      </c>
      <c r="K2214" s="1" t="s">
        <v>41</v>
      </c>
      <c r="L2214" s="1"/>
    </row>
    <row r="2215" spans="1:12" s="32" customFormat="1" hidden="1" x14ac:dyDescent="0.3">
      <c r="A2215" s="37">
        <v>46119.596770833334</v>
      </c>
      <c r="B2215" s="1">
        <v>4330333558</v>
      </c>
      <c r="C2215" s="1" t="s">
        <v>44</v>
      </c>
      <c r="D2215" s="1">
        <v>4430265054</v>
      </c>
      <c r="E2215" s="1">
        <v>588</v>
      </c>
      <c r="F2215" s="1">
        <v>445</v>
      </c>
      <c r="G2215" s="1" t="s">
        <v>38</v>
      </c>
      <c r="H2215" s="1" t="s">
        <v>1207</v>
      </c>
      <c r="I2215" s="1" t="s">
        <v>39</v>
      </c>
      <c r="J2215" s="1" t="s">
        <v>40</v>
      </c>
      <c r="K2215" s="1" t="s">
        <v>41</v>
      </c>
      <c r="L2215" s="1">
        <v>5</v>
      </c>
    </row>
    <row r="2216" spans="1:12" s="32" customFormat="1" hidden="1" x14ac:dyDescent="0.3">
      <c r="A2216" s="37">
        <v>46119.582557870373</v>
      </c>
      <c r="B2216" s="1">
        <v>44988255390</v>
      </c>
      <c r="C2216" s="1" t="s">
        <v>45</v>
      </c>
      <c r="D2216" s="1">
        <v>4430265054</v>
      </c>
      <c r="E2216" s="1">
        <v>1612</v>
      </c>
      <c r="F2216" s="1">
        <v>1520</v>
      </c>
      <c r="G2216" s="1" t="s">
        <v>38</v>
      </c>
      <c r="H2216" s="1" t="s">
        <v>1208</v>
      </c>
      <c r="I2216" s="1" t="s">
        <v>39</v>
      </c>
      <c r="J2216" s="1" t="s">
        <v>40</v>
      </c>
      <c r="K2216" s="1" t="s">
        <v>41</v>
      </c>
      <c r="L2216" s="1"/>
    </row>
    <row r="2217" spans="1:12" s="32" customFormat="1" hidden="1" x14ac:dyDescent="0.3">
      <c r="A2217" s="37">
        <v>46119.580509259256</v>
      </c>
      <c r="B2217" s="1">
        <v>44932149286</v>
      </c>
      <c r="C2217" s="1">
        <v>4430265054</v>
      </c>
      <c r="D2217" s="1">
        <v>4430265054</v>
      </c>
      <c r="E2217" s="1">
        <v>6</v>
      </c>
      <c r="F2217" s="1">
        <v>5</v>
      </c>
      <c r="G2217" s="1" t="s">
        <v>52</v>
      </c>
      <c r="H2217" s="1" t="s">
        <v>1209</v>
      </c>
      <c r="I2217" s="1" t="s">
        <v>39</v>
      </c>
      <c r="J2217" s="1" t="s">
        <v>53</v>
      </c>
      <c r="K2217" s="1"/>
      <c r="L2217" s="1"/>
    </row>
    <row r="2218" spans="1:12" s="32" customFormat="1" hidden="1" x14ac:dyDescent="0.3">
      <c r="A2218" s="37">
        <v>46119.579039351855</v>
      </c>
      <c r="B2218" s="1">
        <v>44988255390</v>
      </c>
      <c r="C2218" s="1" t="s">
        <v>44</v>
      </c>
      <c r="D2218" s="1">
        <v>4430265054</v>
      </c>
      <c r="E2218" s="1">
        <v>286</v>
      </c>
      <c r="F2218" s="1">
        <v>47</v>
      </c>
      <c r="G2218" s="1" t="s">
        <v>38</v>
      </c>
      <c r="H2218" s="1" t="s">
        <v>1210</v>
      </c>
      <c r="I2218" s="1" t="s">
        <v>39</v>
      </c>
      <c r="J2218" s="1" t="s">
        <v>40</v>
      </c>
      <c r="K2218" s="1" t="s">
        <v>41</v>
      </c>
      <c r="L2218" s="1"/>
    </row>
    <row r="2219" spans="1:12" s="32" customFormat="1" x14ac:dyDescent="0.3">
      <c r="A2219" s="37">
        <v>46119.578009259261</v>
      </c>
      <c r="B2219" s="1">
        <v>41996175686</v>
      </c>
      <c r="C2219" s="1" t="s">
        <v>37</v>
      </c>
      <c r="D2219" s="1">
        <v>4430265054</v>
      </c>
      <c r="E2219" s="1">
        <v>747</v>
      </c>
      <c r="F2219" s="1">
        <v>546</v>
      </c>
      <c r="G2219" s="1" t="s">
        <v>38</v>
      </c>
      <c r="H2219" s="1" t="s">
        <v>1211</v>
      </c>
      <c r="I2219" s="1" t="s">
        <v>39</v>
      </c>
      <c r="J2219" s="1" t="s">
        <v>40</v>
      </c>
      <c r="K2219" s="1" t="s">
        <v>41</v>
      </c>
      <c r="L2219" s="1">
        <v>5</v>
      </c>
    </row>
    <row r="2220" spans="1:12" s="32" customFormat="1" hidden="1" x14ac:dyDescent="0.3">
      <c r="A2220" s="37">
        <v>46119.565983796296</v>
      </c>
      <c r="B2220" s="1">
        <v>44999654761</v>
      </c>
      <c r="C2220" s="1" t="s">
        <v>45</v>
      </c>
      <c r="D2220" s="1">
        <v>4430265054</v>
      </c>
      <c r="E2220" s="1">
        <v>766</v>
      </c>
      <c r="F2220" s="1">
        <v>707</v>
      </c>
      <c r="G2220" s="1" t="s">
        <v>38</v>
      </c>
      <c r="H2220" s="1" t="s">
        <v>1212</v>
      </c>
      <c r="I2220" s="1" t="s">
        <v>39</v>
      </c>
      <c r="J2220" s="1" t="s">
        <v>40</v>
      </c>
      <c r="K2220" s="1" t="s">
        <v>41</v>
      </c>
      <c r="L2220" s="1"/>
    </row>
    <row r="2221" spans="1:12" s="32" customFormat="1" hidden="1" x14ac:dyDescent="0.3">
      <c r="A2221" s="37">
        <v>46119.553900462961</v>
      </c>
      <c r="B2221" s="1">
        <v>4533011420</v>
      </c>
      <c r="C2221" s="1">
        <v>4531273151</v>
      </c>
      <c r="D2221" s="1">
        <v>4531273151</v>
      </c>
      <c r="E2221" s="1">
        <v>28</v>
      </c>
      <c r="F2221" s="1">
        <v>28</v>
      </c>
      <c r="G2221" s="1" t="s">
        <v>52</v>
      </c>
      <c r="H2221" s="1" t="s">
        <v>1213</v>
      </c>
      <c r="I2221" s="1" t="s">
        <v>39</v>
      </c>
      <c r="J2221" s="1" t="s">
        <v>53</v>
      </c>
      <c r="K2221" s="1"/>
      <c r="L2221" s="1"/>
    </row>
    <row r="2222" spans="1:12" s="32" customFormat="1" hidden="1" x14ac:dyDescent="0.3">
      <c r="A2222" s="37">
        <v>46119.551423611112</v>
      </c>
      <c r="B2222" s="1">
        <v>4121410323</v>
      </c>
      <c r="C2222" s="1">
        <v>4531273152</v>
      </c>
      <c r="D2222" s="1">
        <v>4531273152</v>
      </c>
      <c r="E2222" s="1">
        <v>28</v>
      </c>
      <c r="F2222" s="1">
        <v>28</v>
      </c>
      <c r="G2222" s="1" t="s">
        <v>52</v>
      </c>
      <c r="H2222" s="1" t="s">
        <v>1214</v>
      </c>
      <c r="I2222" s="1" t="s">
        <v>39</v>
      </c>
      <c r="J2222" s="1" t="s">
        <v>53</v>
      </c>
      <c r="K2222" s="1"/>
      <c r="L2222" s="1"/>
    </row>
    <row r="2223" spans="1:12" s="32" customFormat="1" hidden="1" x14ac:dyDescent="0.3">
      <c r="A2223" s="37">
        <v>46119.537731481483</v>
      </c>
      <c r="B2223" s="1">
        <v>4121410323</v>
      </c>
      <c r="C2223" s="1">
        <v>4531273161</v>
      </c>
      <c r="D2223" s="1">
        <v>4531273161</v>
      </c>
      <c r="E2223" s="1">
        <v>29</v>
      </c>
      <c r="F2223" s="1">
        <v>29</v>
      </c>
      <c r="G2223" s="1" t="s">
        <v>52</v>
      </c>
      <c r="H2223" s="1" t="s">
        <v>1215</v>
      </c>
      <c r="I2223" s="1" t="s">
        <v>39</v>
      </c>
      <c r="J2223" s="1" t="s">
        <v>53</v>
      </c>
      <c r="K2223" s="1"/>
      <c r="L2223" s="1"/>
    </row>
    <row r="2224" spans="1:12" s="32" customFormat="1" hidden="1" x14ac:dyDescent="0.3">
      <c r="A2224" s="37">
        <v>46119.516192129631</v>
      </c>
      <c r="B2224" s="1">
        <v>4121410323</v>
      </c>
      <c r="C2224" s="1">
        <v>4531273156</v>
      </c>
      <c r="D2224" s="1">
        <v>4531273156</v>
      </c>
      <c r="E2224" s="1">
        <v>29</v>
      </c>
      <c r="F2224" s="1">
        <v>28</v>
      </c>
      <c r="G2224" s="1" t="s">
        <v>52</v>
      </c>
      <c r="H2224" s="1" t="s">
        <v>1216</v>
      </c>
      <c r="I2224" s="1" t="s">
        <v>39</v>
      </c>
      <c r="J2224" s="1" t="s">
        <v>53</v>
      </c>
      <c r="K2224" s="1"/>
      <c r="L2224" s="1"/>
    </row>
    <row r="2225" spans="1:12" s="32" customFormat="1" hidden="1" x14ac:dyDescent="0.3">
      <c r="A2225" s="37">
        <v>46119.493379629632</v>
      </c>
      <c r="B2225" s="1">
        <v>44937562600</v>
      </c>
      <c r="C2225" s="1" t="s">
        <v>42</v>
      </c>
      <c r="D2225" s="1">
        <v>4430265054</v>
      </c>
      <c r="E2225" s="1">
        <v>366</v>
      </c>
      <c r="F2225" s="1">
        <v>314</v>
      </c>
      <c r="G2225" s="1" t="s">
        <v>38</v>
      </c>
      <c r="H2225" s="1" t="s">
        <v>1217</v>
      </c>
      <c r="I2225" s="1" t="s">
        <v>39</v>
      </c>
      <c r="J2225" s="1" t="s">
        <v>40</v>
      </c>
      <c r="K2225" s="1" t="s">
        <v>41</v>
      </c>
      <c r="L2225" s="1"/>
    </row>
    <row r="2226" spans="1:12" s="32" customFormat="1" hidden="1" x14ac:dyDescent="0.3">
      <c r="A2226" s="37">
        <v>46119.487511574072</v>
      </c>
      <c r="B2226" s="1">
        <v>4533011420</v>
      </c>
      <c r="C2226" s="1">
        <v>4531273163</v>
      </c>
      <c r="D2226" s="1">
        <v>4531273163</v>
      </c>
      <c r="E2226" s="1">
        <v>47</v>
      </c>
      <c r="F2226" s="1">
        <v>46</v>
      </c>
      <c r="G2226" s="1" t="s">
        <v>52</v>
      </c>
      <c r="H2226" s="1" t="s">
        <v>1218</v>
      </c>
      <c r="I2226" s="1" t="s">
        <v>39</v>
      </c>
      <c r="J2226" s="1" t="s">
        <v>53</v>
      </c>
      <c r="K2226" s="1" t="s">
        <v>41</v>
      </c>
      <c r="L2226" s="1"/>
    </row>
    <row r="2227" spans="1:12" s="32" customFormat="1" hidden="1" x14ac:dyDescent="0.3">
      <c r="A2227" s="37">
        <v>46119.487430555557</v>
      </c>
      <c r="B2227" s="1">
        <v>4421032927</v>
      </c>
      <c r="C2227" s="1">
        <v>4430265054</v>
      </c>
      <c r="D2227" s="1">
        <v>4430265054</v>
      </c>
      <c r="E2227" s="1">
        <v>3</v>
      </c>
      <c r="F2227" s="1">
        <v>2</v>
      </c>
      <c r="G2227" s="1" t="s">
        <v>52</v>
      </c>
      <c r="H2227" s="1" t="s">
        <v>1219</v>
      </c>
      <c r="I2227" s="1" t="s">
        <v>39</v>
      </c>
      <c r="J2227" s="1" t="s">
        <v>53</v>
      </c>
      <c r="K2227" s="1"/>
      <c r="L2227" s="1"/>
    </row>
    <row r="2228" spans="1:12" s="32" customFormat="1" hidden="1" x14ac:dyDescent="0.3">
      <c r="A2228" s="37">
        <v>46119.483680555553</v>
      </c>
      <c r="B2228" s="1">
        <v>44997735525</v>
      </c>
      <c r="C2228" s="1" t="s">
        <v>43</v>
      </c>
      <c r="D2228" s="1">
        <v>4430265054</v>
      </c>
      <c r="E2228" s="1">
        <v>851</v>
      </c>
      <c r="F2228" s="1">
        <v>793</v>
      </c>
      <c r="G2228" s="1" t="s">
        <v>38</v>
      </c>
      <c r="H2228" s="1" t="s">
        <v>1220</v>
      </c>
      <c r="I2228" s="1" t="s">
        <v>39</v>
      </c>
      <c r="J2228" s="1" t="s">
        <v>40</v>
      </c>
      <c r="K2228" s="1" t="s">
        <v>41</v>
      </c>
      <c r="L2228" s="1">
        <v>5</v>
      </c>
    </row>
    <row r="2229" spans="1:12" s="32" customFormat="1" hidden="1" x14ac:dyDescent="0.3">
      <c r="A2229" s="37">
        <v>46119.479456018518</v>
      </c>
      <c r="B2229" s="1">
        <v>4432520627</v>
      </c>
      <c r="C2229" s="1" t="s">
        <v>42</v>
      </c>
      <c r="D2229" s="1">
        <v>4430265054</v>
      </c>
      <c r="E2229" s="1">
        <v>286</v>
      </c>
      <c r="F2229" s="1">
        <v>242</v>
      </c>
      <c r="G2229" s="1" t="s">
        <v>38</v>
      </c>
      <c r="H2229" s="1" t="s">
        <v>1221</v>
      </c>
      <c r="I2229" s="1" t="s">
        <v>39</v>
      </c>
      <c r="J2229" s="1" t="s">
        <v>40</v>
      </c>
      <c r="K2229" s="1" t="s">
        <v>41</v>
      </c>
      <c r="L2229" s="1">
        <v>5</v>
      </c>
    </row>
    <row r="2230" spans="1:12" s="32" customFormat="1" hidden="1" x14ac:dyDescent="0.3">
      <c r="A2230" s="37">
        <v>46119.47457175926</v>
      </c>
      <c r="B2230" s="1">
        <v>44998142739</v>
      </c>
      <c r="C2230" s="1" t="s">
        <v>48</v>
      </c>
      <c r="D2230" s="1">
        <v>4430265054</v>
      </c>
      <c r="E2230" s="1">
        <v>288</v>
      </c>
      <c r="F2230" s="1">
        <v>103</v>
      </c>
      <c r="G2230" s="1" t="s">
        <v>38</v>
      </c>
      <c r="H2230" s="1" t="s">
        <v>1222</v>
      </c>
      <c r="I2230" s="1" t="s">
        <v>39</v>
      </c>
      <c r="J2230" s="1" t="s">
        <v>40</v>
      </c>
      <c r="K2230" s="1" t="s">
        <v>41</v>
      </c>
      <c r="L2230" s="1"/>
    </row>
    <row r="2231" spans="1:12" s="32" customFormat="1" hidden="1" x14ac:dyDescent="0.3">
      <c r="A2231" s="37">
        <v>46119.474108796298</v>
      </c>
      <c r="B2231" s="1">
        <v>1131043888</v>
      </c>
      <c r="C2231" s="1" t="s">
        <v>44</v>
      </c>
      <c r="D2231" s="1">
        <v>4430265054</v>
      </c>
      <c r="E2231" s="1">
        <v>298</v>
      </c>
      <c r="F2231" s="1">
        <v>75</v>
      </c>
      <c r="G2231" s="1" t="s">
        <v>38</v>
      </c>
      <c r="H2231" s="1" t="s">
        <v>1223</v>
      </c>
      <c r="I2231" s="1" t="s">
        <v>39</v>
      </c>
      <c r="J2231" s="1" t="s">
        <v>40</v>
      </c>
      <c r="K2231" s="1" t="s">
        <v>41</v>
      </c>
      <c r="L2231" s="1"/>
    </row>
    <row r="2232" spans="1:12" s="32" customFormat="1" hidden="1" x14ac:dyDescent="0.3">
      <c r="A2232" s="37">
        <v>46119.47383101852</v>
      </c>
      <c r="B2232" s="1">
        <v>1131043888</v>
      </c>
      <c r="C2232" s="1">
        <v>4430265054</v>
      </c>
      <c r="D2232" s="1">
        <v>4430265054</v>
      </c>
      <c r="E2232" s="1">
        <v>19</v>
      </c>
      <c r="F2232" s="1">
        <v>18</v>
      </c>
      <c r="G2232" s="1" t="s">
        <v>52</v>
      </c>
      <c r="H2232" s="1" t="s">
        <v>1224</v>
      </c>
      <c r="I2232" s="1" t="s">
        <v>39</v>
      </c>
      <c r="J2232" s="1" t="s">
        <v>53</v>
      </c>
      <c r="K2232" s="1"/>
      <c r="L2232" s="1"/>
    </row>
    <row r="2233" spans="1:12" s="32" customFormat="1" hidden="1" x14ac:dyDescent="0.3">
      <c r="A2233" s="37">
        <v>46119.461238425924</v>
      </c>
      <c r="B2233" s="1" t="s">
        <v>37</v>
      </c>
      <c r="C2233" s="1">
        <v>13997709868</v>
      </c>
      <c r="D2233" s="1"/>
      <c r="E2233" s="1">
        <v>4169</v>
      </c>
      <c r="F2233" s="1">
        <v>4163</v>
      </c>
      <c r="G2233" s="1" t="s">
        <v>38</v>
      </c>
      <c r="H2233" s="1" t="s">
        <v>1225</v>
      </c>
      <c r="I2233" s="1" t="s">
        <v>46</v>
      </c>
      <c r="J2233" s="1" t="s">
        <v>40</v>
      </c>
      <c r="K2233" s="1"/>
      <c r="L2233" s="1"/>
    </row>
    <row r="2234" spans="1:12" s="32" customFormat="1" hidden="1" x14ac:dyDescent="0.3">
      <c r="A2234" s="37">
        <v>46119.460289351853</v>
      </c>
      <c r="B2234" s="1" t="s">
        <v>37</v>
      </c>
      <c r="C2234" s="1">
        <v>13997709868</v>
      </c>
      <c r="D2234" s="1"/>
      <c r="E2234" s="1">
        <v>17</v>
      </c>
      <c r="F2234" s="1">
        <v>11</v>
      </c>
      <c r="G2234" s="1" t="s">
        <v>38</v>
      </c>
      <c r="H2234" s="1" t="s">
        <v>1226</v>
      </c>
      <c r="I2234" s="1" t="s">
        <v>46</v>
      </c>
      <c r="J2234" s="1" t="s">
        <v>40</v>
      </c>
      <c r="K2234" s="1"/>
      <c r="L2234" s="1"/>
    </row>
    <row r="2235" spans="1:12" s="32" customFormat="1" hidden="1" x14ac:dyDescent="0.3">
      <c r="A2235" s="37">
        <v>46119.459502314814</v>
      </c>
      <c r="B2235" s="1" t="s">
        <v>37</v>
      </c>
      <c r="C2235" s="1">
        <v>13997709868</v>
      </c>
      <c r="D2235" s="1"/>
      <c r="E2235" s="1">
        <v>37</v>
      </c>
      <c r="F2235" s="1">
        <v>32</v>
      </c>
      <c r="G2235" s="1" t="s">
        <v>38</v>
      </c>
      <c r="H2235" s="1" t="s">
        <v>1227</v>
      </c>
      <c r="I2235" s="1" t="s">
        <v>46</v>
      </c>
      <c r="J2235" s="1" t="s">
        <v>40</v>
      </c>
      <c r="K2235" s="1"/>
      <c r="L2235" s="1">
        <v>5</v>
      </c>
    </row>
    <row r="2236" spans="1:12" s="32" customFormat="1" hidden="1" x14ac:dyDescent="0.3">
      <c r="A2236" s="37">
        <v>46119.458194444444</v>
      </c>
      <c r="B2236" s="1" t="s">
        <v>50</v>
      </c>
      <c r="C2236" s="1" t="s">
        <v>57</v>
      </c>
      <c r="D2236" s="1"/>
      <c r="E2236" s="1">
        <v>458</v>
      </c>
      <c r="F2236" s="1">
        <v>455</v>
      </c>
      <c r="G2236" s="1" t="s">
        <v>38</v>
      </c>
      <c r="H2236" s="1" t="s">
        <v>1228</v>
      </c>
      <c r="I2236" s="1" t="s">
        <v>51</v>
      </c>
      <c r="J2236" s="1" t="s">
        <v>55</v>
      </c>
      <c r="K2236" s="1"/>
      <c r="L2236" s="1"/>
    </row>
    <row r="2237" spans="1:12" s="32" customFormat="1" hidden="1" x14ac:dyDescent="0.3">
      <c r="A2237" s="37">
        <v>46119.455717592595</v>
      </c>
      <c r="B2237" s="1">
        <v>62994086124</v>
      </c>
      <c r="C2237" s="1" t="s">
        <v>43</v>
      </c>
      <c r="D2237" s="1">
        <v>4430265054</v>
      </c>
      <c r="E2237" s="1">
        <v>529</v>
      </c>
      <c r="F2237" s="1">
        <v>471</v>
      </c>
      <c r="G2237" s="1" t="s">
        <v>38</v>
      </c>
      <c r="H2237" s="1" t="s">
        <v>1229</v>
      </c>
      <c r="I2237" s="1" t="s">
        <v>39</v>
      </c>
      <c r="J2237" s="1" t="s">
        <v>40</v>
      </c>
      <c r="K2237" s="1" t="s">
        <v>41</v>
      </c>
      <c r="L2237" s="1"/>
    </row>
    <row r="2238" spans="1:12" s="32" customFormat="1" hidden="1" x14ac:dyDescent="0.3">
      <c r="A2238" s="37">
        <v>46119.451967592591</v>
      </c>
      <c r="B2238" s="1">
        <v>93991495484</v>
      </c>
      <c r="C2238" s="1" t="s">
        <v>43</v>
      </c>
      <c r="D2238" s="1">
        <v>4430265054</v>
      </c>
      <c r="E2238" s="1">
        <v>271</v>
      </c>
      <c r="F2238" s="1">
        <v>211</v>
      </c>
      <c r="G2238" s="1" t="s">
        <v>38</v>
      </c>
      <c r="H2238" s="1" t="s">
        <v>1230</v>
      </c>
      <c r="I2238" s="1" t="s">
        <v>39</v>
      </c>
      <c r="J2238" s="1" t="s">
        <v>40</v>
      </c>
      <c r="K2238" s="1" t="s">
        <v>41</v>
      </c>
      <c r="L2238" s="1"/>
    </row>
    <row r="2239" spans="1:12" s="32" customFormat="1" hidden="1" x14ac:dyDescent="0.3">
      <c r="A2239" s="37">
        <v>46119.451620370368</v>
      </c>
      <c r="B2239" s="1">
        <v>93991495484</v>
      </c>
      <c r="C2239" s="1" t="s">
        <v>44</v>
      </c>
      <c r="D2239" s="1">
        <v>4430265054</v>
      </c>
      <c r="E2239" s="1">
        <v>197</v>
      </c>
      <c r="F2239" s="1">
        <v>44</v>
      </c>
      <c r="G2239" s="1" t="s">
        <v>38</v>
      </c>
      <c r="H2239" s="1" t="s">
        <v>1231</v>
      </c>
      <c r="I2239" s="1" t="s">
        <v>39</v>
      </c>
      <c r="J2239" s="1" t="s">
        <v>40</v>
      </c>
      <c r="K2239" s="1" t="s">
        <v>41</v>
      </c>
      <c r="L2239" s="1"/>
    </row>
    <row r="2240" spans="1:12" s="32" customFormat="1" hidden="1" x14ac:dyDescent="0.3">
      <c r="A2240" s="37">
        <v>46119.447071759256</v>
      </c>
      <c r="B2240" s="1">
        <v>4130760170</v>
      </c>
      <c r="C2240" s="1" t="s">
        <v>45</v>
      </c>
      <c r="D2240" s="1">
        <v>4430265054</v>
      </c>
      <c r="E2240" s="1">
        <v>2529</v>
      </c>
      <c r="F2240" s="1">
        <v>2451</v>
      </c>
      <c r="G2240" s="1" t="s">
        <v>38</v>
      </c>
      <c r="H2240" s="1" t="s">
        <v>1232</v>
      </c>
      <c r="I2240" s="1" t="s">
        <v>39</v>
      </c>
      <c r="J2240" s="1" t="s">
        <v>40</v>
      </c>
      <c r="K2240" s="1" t="s">
        <v>41</v>
      </c>
      <c r="L2240" s="1">
        <v>5</v>
      </c>
    </row>
    <row r="2241" spans="1:12" s="32" customFormat="1" hidden="1" x14ac:dyDescent="0.3">
      <c r="A2241" s="37">
        <v>46119.438645833332</v>
      </c>
      <c r="B2241" s="1" t="s">
        <v>37</v>
      </c>
      <c r="C2241" s="1">
        <v>13997709868</v>
      </c>
      <c r="D2241" s="1"/>
      <c r="E2241" s="1">
        <v>1787</v>
      </c>
      <c r="F2241" s="1">
        <v>1769</v>
      </c>
      <c r="G2241" s="1" t="s">
        <v>38</v>
      </c>
      <c r="H2241" s="1" t="s">
        <v>1233</v>
      </c>
      <c r="I2241" s="1" t="s">
        <v>46</v>
      </c>
      <c r="J2241" s="1" t="s">
        <v>40</v>
      </c>
      <c r="K2241" s="1"/>
      <c r="L2241" s="1"/>
    </row>
    <row r="2242" spans="1:12" s="32" customFormat="1" hidden="1" x14ac:dyDescent="0.3">
      <c r="A2242" s="37">
        <v>46119.438506944447</v>
      </c>
      <c r="B2242" s="1" t="s">
        <v>37</v>
      </c>
      <c r="C2242" s="1">
        <v>13997709868</v>
      </c>
      <c r="D2242" s="1"/>
      <c r="E2242" s="1">
        <v>30</v>
      </c>
      <c r="F2242" s="1">
        <v>25</v>
      </c>
      <c r="G2242" s="1" t="s">
        <v>38</v>
      </c>
      <c r="H2242" s="1" t="s">
        <v>1234</v>
      </c>
      <c r="I2242" s="1" t="s">
        <v>46</v>
      </c>
      <c r="J2242" s="1" t="s">
        <v>40</v>
      </c>
      <c r="K2242" s="1"/>
      <c r="L2242" s="1"/>
    </row>
    <row r="2243" spans="1:12" s="32" customFormat="1" hidden="1" x14ac:dyDescent="0.3">
      <c r="A2243" s="37">
        <v>46119.436782407407</v>
      </c>
      <c r="B2243" s="1">
        <v>91985176746</v>
      </c>
      <c r="C2243" s="1" t="s">
        <v>44</v>
      </c>
      <c r="D2243" s="1">
        <v>4430265054</v>
      </c>
      <c r="E2243" s="1">
        <v>1161</v>
      </c>
      <c r="F2243" s="1">
        <v>1064</v>
      </c>
      <c r="G2243" s="1" t="s">
        <v>38</v>
      </c>
      <c r="H2243" s="1" t="s">
        <v>1235</v>
      </c>
      <c r="I2243" s="1" t="s">
        <v>39</v>
      </c>
      <c r="J2243" s="1" t="s">
        <v>40</v>
      </c>
      <c r="K2243" s="1" t="s">
        <v>41</v>
      </c>
      <c r="L2243" s="1">
        <v>5</v>
      </c>
    </row>
    <row r="2244" spans="1:12" s="32" customFormat="1" hidden="1" x14ac:dyDescent="0.3">
      <c r="A2244" s="37">
        <v>46119.43545138889</v>
      </c>
      <c r="B2244" s="1" t="s">
        <v>43</v>
      </c>
      <c r="C2244" s="1">
        <v>4130775695</v>
      </c>
      <c r="D2244" s="1"/>
      <c r="E2244" s="1">
        <v>230</v>
      </c>
      <c r="F2244" s="1">
        <v>222</v>
      </c>
      <c r="G2244" s="1" t="s">
        <v>38</v>
      </c>
      <c r="H2244" s="1" t="s">
        <v>1236</v>
      </c>
      <c r="I2244" s="1" t="s">
        <v>46</v>
      </c>
      <c r="J2244" s="1" t="s">
        <v>40</v>
      </c>
      <c r="K2244" s="1"/>
      <c r="L2244" s="1"/>
    </row>
    <row r="2245" spans="1:12" s="32" customFormat="1" hidden="1" x14ac:dyDescent="0.3">
      <c r="A2245" s="37">
        <v>46119.434108796297</v>
      </c>
      <c r="B2245" s="1">
        <v>1732146970</v>
      </c>
      <c r="C2245" s="1" t="s">
        <v>45</v>
      </c>
      <c r="D2245" s="1">
        <v>4431268225</v>
      </c>
      <c r="E2245" s="1">
        <v>706</v>
      </c>
      <c r="F2245" s="1">
        <v>576</v>
      </c>
      <c r="G2245" s="1" t="s">
        <v>38</v>
      </c>
      <c r="H2245" s="1" t="s">
        <v>1237</v>
      </c>
      <c r="I2245" s="1" t="s">
        <v>39</v>
      </c>
      <c r="J2245" s="1" t="s">
        <v>40</v>
      </c>
      <c r="K2245" s="1" t="s">
        <v>41</v>
      </c>
      <c r="L2245" s="1"/>
    </row>
    <row r="2246" spans="1:12" s="32" customFormat="1" hidden="1" x14ac:dyDescent="0.3">
      <c r="A2246" s="37">
        <v>46119.425416666665</v>
      </c>
      <c r="B2246" s="1" t="s">
        <v>43</v>
      </c>
      <c r="C2246" s="1">
        <v>4430141092</v>
      </c>
      <c r="D2246" s="1"/>
      <c r="E2246" s="1">
        <v>216</v>
      </c>
      <c r="F2246" s="1">
        <v>211</v>
      </c>
      <c r="G2246" s="1" t="s">
        <v>38</v>
      </c>
      <c r="H2246" s="1" t="s">
        <v>1238</v>
      </c>
      <c r="I2246" s="1" t="s">
        <v>46</v>
      </c>
      <c r="J2246" s="1" t="s">
        <v>40</v>
      </c>
      <c r="K2246" s="1"/>
      <c r="L2246" s="1">
        <v>5</v>
      </c>
    </row>
    <row r="2247" spans="1:12" s="32" customFormat="1" hidden="1" x14ac:dyDescent="0.3">
      <c r="A2247" s="37">
        <v>46119.425046296295</v>
      </c>
      <c r="B2247" s="1" t="s">
        <v>43</v>
      </c>
      <c r="C2247" s="1">
        <v>4430141092</v>
      </c>
      <c r="D2247" s="1"/>
      <c r="E2247" s="1">
        <v>24</v>
      </c>
      <c r="F2247" s="1">
        <v>16</v>
      </c>
      <c r="G2247" s="1" t="s">
        <v>38</v>
      </c>
      <c r="H2247" s="1" t="s">
        <v>1239</v>
      </c>
      <c r="I2247" s="1" t="s">
        <v>46</v>
      </c>
      <c r="J2247" s="1" t="s">
        <v>40</v>
      </c>
      <c r="K2247" s="1"/>
      <c r="L2247" s="1"/>
    </row>
    <row r="2248" spans="1:12" s="32" customFormat="1" hidden="1" x14ac:dyDescent="0.3">
      <c r="A2248" s="37">
        <v>46119.424907407411</v>
      </c>
      <c r="B2248" s="1" t="s">
        <v>43</v>
      </c>
      <c r="C2248" s="1">
        <v>4430141092</v>
      </c>
      <c r="D2248" s="1"/>
      <c r="E2248" s="1">
        <v>25</v>
      </c>
      <c r="F2248" s="1">
        <v>25</v>
      </c>
      <c r="G2248" s="1" t="s">
        <v>38</v>
      </c>
      <c r="H2248" s="1" t="s">
        <v>1240</v>
      </c>
      <c r="I2248" s="1" t="s">
        <v>46</v>
      </c>
      <c r="J2248" s="1" t="s">
        <v>40</v>
      </c>
      <c r="K2248" s="1"/>
      <c r="L2248" s="1"/>
    </row>
    <row r="2249" spans="1:12" s="32" customFormat="1" hidden="1" x14ac:dyDescent="0.3">
      <c r="A2249" s="37">
        <v>46119.423622685186</v>
      </c>
      <c r="B2249" s="1">
        <v>83988398480</v>
      </c>
      <c r="C2249" s="1" t="s">
        <v>44</v>
      </c>
      <c r="D2249" s="1">
        <v>4430265054</v>
      </c>
      <c r="E2249" s="1">
        <v>1088</v>
      </c>
      <c r="F2249" s="1">
        <v>960</v>
      </c>
      <c r="G2249" s="1" t="s">
        <v>38</v>
      </c>
      <c r="H2249" s="1" t="s">
        <v>1241</v>
      </c>
      <c r="I2249" s="1" t="s">
        <v>39</v>
      </c>
      <c r="J2249" s="1" t="s">
        <v>40</v>
      </c>
      <c r="K2249" s="1" t="s">
        <v>41</v>
      </c>
      <c r="L2249" s="1"/>
    </row>
    <row r="2250" spans="1:12" s="32" customFormat="1" hidden="1" x14ac:dyDescent="0.3">
      <c r="A2250" s="37">
        <v>46119.408391203702</v>
      </c>
      <c r="B2250" s="1" t="s">
        <v>43</v>
      </c>
      <c r="C2250" s="1">
        <v>93984112869</v>
      </c>
      <c r="D2250" s="1"/>
      <c r="E2250" s="1">
        <v>8</v>
      </c>
      <c r="F2250" s="1">
        <v>0</v>
      </c>
      <c r="G2250" s="1" t="s">
        <v>47</v>
      </c>
      <c r="H2250" s="1" t="s">
        <v>1242</v>
      </c>
      <c r="I2250" s="1" t="s">
        <v>46</v>
      </c>
      <c r="J2250" s="1" t="s">
        <v>40</v>
      </c>
      <c r="K2250" s="1"/>
      <c r="L2250" s="1"/>
    </row>
    <row r="2251" spans="1:12" s="32" customFormat="1" hidden="1" x14ac:dyDescent="0.3">
      <c r="A2251" s="37">
        <v>46119.406307870369</v>
      </c>
      <c r="B2251" s="1">
        <v>4433543396</v>
      </c>
      <c r="C2251" s="1" t="s">
        <v>45</v>
      </c>
      <c r="D2251" s="1">
        <v>4430265054</v>
      </c>
      <c r="E2251" s="1">
        <v>625</v>
      </c>
      <c r="F2251" s="1">
        <v>554</v>
      </c>
      <c r="G2251" s="1" t="s">
        <v>38</v>
      </c>
      <c r="H2251" s="1" t="s">
        <v>1243</v>
      </c>
      <c r="I2251" s="1" t="s">
        <v>39</v>
      </c>
      <c r="J2251" s="1" t="s">
        <v>40</v>
      </c>
      <c r="K2251" s="1" t="s">
        <v>41</v>
      </c>
      <c r="L2251" s="1">
        <v>5</v>
      </c>
    </row>
    <row r="2252" spans="1:12" s="32" customFormat="1" hidden="1" x14ac:dyDescent="0.3">
      <c r="A2252" s="37">
        <v>46119.40042824074</v>
      </c>
      <c r="B2252" s="1">
        <v>4432520627</v>
      </c>
      <c r="C2252" s="1">
        <v>4430265054</v>
      </c>
      <c r="D2252" s="1">
        <v>4430265054</v>
      </c>
      <c r="E2252" s="1">
        <v>89</v>
      </c>
      <c r="F2252" s="1">
        <v>89</v>
      </c>
      <c r="G2252" s="1" t="s">
        <v>52</v>
      </c>
      <c r="H2252" s="1" t="s">
        <v>1244</v>
      </c>
      <c r="I2252" s="1" t="s">
        <v>39</v>
      </c>
      <c r="J2252" s="1" t="s">
        <v>53</v>
      </c>
      <c r="K2252" s="1" t="s">
        <v>41</v>
      </c>
      <c r="L2252" s="1"/>
    </row>
    <row r="2253" spans="1:12" s="32" customFormat="1" hidden="1" x14ac:dyDescent="0.3">
      <c r="A2253" s="37">
        <v>46119.400034722225</v>
      </c>
      <c r="B2253" s="1">
        <v>1128897100</v>
      </c>
      <c r="C2253" s="1" t="s">
        <v>48</v>
      </c>
      <c r="D2253" s="1">
        <v>4430265054</v>
      </c>
      <c r="E2253" s="1">
        <v>425</v>
      </c>
      <c r="F2253" s="1">
        <v>324</v>
      </c>
      <c r="G2253" s="1" t="s">
        <v>38</v>
      </c>
      <c r="H2253" s="1" t="s">
        <v>1245</v>
      </c>
      <c r="I2253" s="1" t="s">
        <v>39</v>
      </c>
      <c r="J2253" s="1" t="s">
        <v>40</v>
      </c>
      <c r="K2253" s="1" t="s">
        <v>41</v>
      </c>
      <c r="L2253" s="1"/>
    </row>
    <row r="2254" spans="1:12" s="32" customFormat="1" hidden="1" x14ac:dyDescent="0.3">
      <c r="A2254" s="37">
        <v>46119.394189814811</v>
      </c>
      <c r="B2254" s="1">
        <v>4430317020</v>
      </c>
      <c r="C2254" s="1" t="s">
        <v>42</v>
      </c>
      <c r="D2254" s="1">
        <v>4430265054</v>
      </c>
      <c r="E2254" s="1">
        <v>363</v>
      </c>
      <c r="F2254" s="1">
        <v>303</v>
      </c>
      <c r="G2254" s="1" t="s">
        <v>38</v>
      </c>
      <c r="H2254" s="1" t="s">
        <v>1246</v>
      </c>
      <c r="I2254" s="1" t="s">
        <v>39</v>
      </c>
      <c r="J2254" s="1" t="s">
        <v>40</v>
      </c>
      <c r="K2254" s="1" t="s">
        <v>41</v>
      </c>
      <c r="L2254" s="1"/>
    </row>
    <row r="2255" spans="1:12" s="32" customFormat="1" hidden="1" x14ac:dyDescent="0.3">
      <c r="A2255" s="37">
        <v>46119.384351851855</v>
      </c>
      <c r="B2255" s="1">
        <v>93984112869</v>
      </c>
      <c r="C2255" s="1" t="s">
        <v>43</v>
      </c>
      <c r="D2255" s="1">
        <v>4431268225</v>
      </c>
      <c r="E2255" s="1">
        <v>2103</v>
      </c>
      <c r="F2255" s="1">
        <v>1986</v>
      </c>
      <c r="G2255" s="1" t="s">
        <v>38</v>
      </c>
      <c r="H2255" s="1" t="s">
        <v>1247</v>
      </c>
      <c r="I2255" s="1" t="s">
        <v>39</v>
      </c>
      <c r="J2255" s="1" t="s">
        <v>40</v>
      </c>
      <c r="K2255" s="1" t="s">
        <v>41</v>
      </c>
      <c r="L2255" s="1"/>
    </row>
    <row r="2256" spans="1:12" s="32" customFormat="1" hidden="1" x14ac:dyDescent="0.3">
      <c r="A2256" s="37">
        <v>46119.3828125</v>
      </c>
      <c r="B2256" s="1">
        <v>4330261969</v>
      </c>
      <c r="C2256" s="1" t="s">
        <v>37</v>
      </c>
      <c r="D2256" s="1">
        <v>4430265054</v>
      </c>
      <c r="E2256" s="1">
        <v>345</v>
      </c>
      <c r="F2256" s="1">
        <v>294</v>
      </c>
      <c r="G2256" s="1" t="s">
        <v>38</v>
      </c>
      <c r="H2256" s="1" t="s">
        <v>1248</v>
      </c>
      <c r="I2256" s="1" t="s">
        <v>39</v>
      </c>
      <c r="J2256" s="1" t="s">
        <v>40</v>
      </c>
      <c r="K2256" s="1" t="s">
        <v>41</v>
      </c>
      <c r="L2256" s="1"/>
    </row>
    <row r="2257" spans="1:12" s="32" customFormat="1" hidden="1" x14ac:dyDescent="0.3">
      <c r="A2257" s="37">
        <v>46119.377523148149</v>
      </c>
      <c r="B2257" s="1">
        <v>44988255390</v>
      </c>
      <c r="C2257" s="1" t="s">
        <v>45</v>
      </c>
      <c r="D2257" s="1">
        <v>4430265054</v>
      </c>
      <c r="E2257" s="1">
        <v>1843</v>
      </c>
      <c r="F2257" s="1">
        <v>1809</v>
      </c>
      <c r="G2257" s="1" t="s">
        <v>38</v>
      </c>
      <c r="H2257" s="1" t="s">
        <v>1249</v>
      </c>
      <c r="I2257" s="1" t="s">
        <v>39</v>
      </c>
      <c r="J2257" s="1" t="s">
        <v>40</v>
      </c>
      <c r="K2257" s="1" t="s">
        <v>41</v>
      </c>
      <c r="L2257" s="1"/>
    </row>
    <row r="2258" spans="1:12" s="32" customFormat="1" hidden="1" x14ac:dyDescent="0.3">
      <c r="A2258" s="37">
        <v>46119.375706018516</v>
      </c>
      <c r="B2258" s="1" t="s">
        <v>37</v>
      </c>
      <c r="C2258" s="1">
        <v>24993107305</v>
      </c>
      <c r="D2258" s="1"/>
      <c r="E2258" s="1">
        <v>47</v>
      </c>
      <c r="F2258" s="1">
        <v>27</v>
      </c>
      <c r="G2258" s="1" t="s">
        <v>38</v>
      </c>
      <c r="H2258" s="1" t="s">
        <v>1250</v>
      </c>
      <c r="I2258" s="1" t="s">
        <v>46</v>
      </c>
      <c r="J2258" s="1" t="s">
        <v>40</v>
      </c>
      <c r="K2258" s="1"/>
      <c r="L2258" s="1"/>
    </row>
    <row r="2259" spans="1:12" s="32" customFormat="1" hidden="1" x14ac:dyDescent="0.3">
      <c r="A2259" s="37">
        <v>46119.373680555553</v>
      </c>
      <c r="B2259" s="1">
        <v>44998142739</v>
      </c>
      <c r="C2259" s="1" t="s">
        <v>43</v>
      </c>
      <c r="D2259" s="1">
        <v>4430265054</v>
      </c>
      <c r="E2259" s="1">
        <v>976</v>
      </c>
      <c r="F2259" s="1">
        <v>935</v>
      </c>
      <c r="G2259" s="1" t="s">
        <v>38</v>
      </c>
      <c r="H2259" s="1" t="s">
        <v>1251</v>
      </c>
      <c r="I2259" s="1" t="s">
        <v>39</v>
      </c>
      <c r="J2259" s="1" t="s">
        <v>40</v>
      </c>
      <c r="K2259" s="1" t="s">
        <v>41</v>
      </c>
      <c r="L2259" s="1"/>
    </row>
    <row r="2260" spans="1:12" s="32" customFormat="1" hidden="1" x14ac:dyDescent="0.3">
      <c r="A2260" s="37">
        <v>46119.372997685183</v>
      </c>
      <c r="B2260" s="1">
        <v>44937562600</v>
      </c>
      <c r="C2260" s="1" t="s">
        <v>42</v>
      </c>
      <c r="D2260" s="1">
        <v>4430265054</v>
      </c>
      <c r="E2260" s="1">
        <v>400</v>
      </c>
      <c r="F2260" s="1">
        <v>321</v>
      </c>
      <c r="G2260" s="1" t="s">
        <v>38</v>
      </c>
      <c r="H2260" s="1" t="s">
        <v>1252</v>
      </c>
      <c r="I2260" s="1" t="s">
        <v>39</v>
      </c>
      <c r="J2260" s="1" t="s">
        <v>40</v>
      </c>
      <c r="K2260" s="1" t="s">
        <v>41</v>
      </c>
      <c r="L2260" s="1"/>
    </row>
    <row r="2261" spans="1:12" s="32" customFormat="1" hidden="1" x14ac:dyDescent="0.3">
      <c r="A2261" s="37">
        <v>46119.370740740742</v>
      </c>
      <c r="B2261" s="1">
        <v>4430289386</v>
      </c>
      <c r="C2261" s="1">
        <v>4430265054</v>
      </c>
      <c r="D2261" s="1">
        <v>4430265054</v>
      </c>
      <c r="E2261" s="1">
        <v>184</v>
      </c>
      <c r="F2261" s="1">
        <v>183</v>
      </c>
      <c r="G2261" s="1" t="s">
        <v>52</v>
      </c>
      <c r="H2261" s="1" t="s">
        <v>1253</v>
      </c>
      <c r="I2261" s="1" t="s">
        <v>39</v>
      </c>
      <c r="J2261" s="1" t="s">
        <v>53</v>
      </c>
      <c r="K2261" s="1" t="s">
        <v>41</v>
      </c>
      <c r="L2261" s="1"/>
    </row>
    <row r="2262" spans="1:12" s="32" customFormat="1" hidden="1" x14ac:dyDescent="0.3">
      <c r="A2262" s="37">
        <v>46119.365960648145</v>
      </c>
      <c r="B2262" s="1">
        <v>4334728840</v>
      </c>
      <c r="C2262" s="1" t="s">
        <v>45</v>
      </c>
      <c r="D2262" s="1">
        <v>4430265054</v>
      </c>
      <c r="E2262" s="1">
        <v>849</v>
      </c>
      <c r="F2262" s="1">
        <v>773</v>
      </c>
      <c r="G2262" s="1" t="s">
        <v>38</v>
      </c>
      <c r="H2262" s="1" t="s">
        <v>1254</v>
      </c>
      <c r="I2262" s="1" t="s">
        <v>39</v>
      </c>
      <c r="J2262" s="1" t="s">
        <v>40</v>
      </c>
      <c r="K2262" s="1" t="s">
        <v>41</v>
      </c>
      <c r="L2262" s="1">
        <v>5</v>
      </c>
    </row>
    <row r="2263" spans="1:12" s="32" customFormat="1" hidden="1" x14ac:dyDescent="0.3">
      <c r="A2263" s="37">
        <v>46119.364942129629</v>
      </c>
      <c r="B2263" s="1" t="s">
        <v>43</v>
      </c>
      <c r="C2263" s="1">
        <v>4130760170</v>
      </c>
      <c r="D2263" s="1"/>
      <c r="E2263" s="1">
        <v>38</v>
      </c>
      <c r="F2263" s="1">
        <v>0</v>
      </c>
      <c r="G2263" s="1" t="s">
        <v>47</v>
      </c>
      <c r="H2263" s="1" t="s">
        <v>1255</v>
      </c>
      <c r="I2263" s="1" t="s">
        <v>46</v>
      </c>
      <c r="J2263" s="1" t="s">
        <v>40</v>
      </c>
      <c r="K2263" s="1"/>
      <c r="L2263" s="1"/>
    </row>
    <row r="2264" spans="1:12" s="32" customFormat="1" hidden="1" x14ac:dyDescent="0.3">
      <c r="A2264" s="37">
        <v>46119.360578703701</v>
      </c>
      <c r="B2264" s="1">
        <v>44988255390</v>
      </c>
      <c r="C2264" s="1" t="s">
        <v>45</v>
      </c>
      <c r="D2264" s="1">
        <v>4430265054</v>
      </c>
      <c r="E2264" s="1">
        <v>225</v>
      </c>
      <c r="F2264" s="1">
        <v>188</v>
      </c>
      <c r="G2264" s="1" t="s">
        <v>38</v>
      </c>
      <c r="H2264" s="1" t="s">
        <v>1256</v>
      </c>
      <c r="I2264" s="1" t="s">
        <v>39</v>
      </c>
      <c r="J2264" s="1" t="s">
        <v>40</v>
      </c>
      <c r="K2264" s="1" t="s">
        <v>41</v>
      </c>
      <c r="L2264" s="1"/>
    </row>
    <row r="2265" spans="1:12" s="32" customFormat="1" hidden="1" x14ac:dyDescent="0.3">
      <c r="A2265" s="37">
        <v>46119.359664351854</v>
      </c>
      <c r="B2265" s="1">
        <v>4430152533</v>
      </c>
      <c r="C2265" s="1" t="s">
        <v>42</v>
      </c>
      <c r="D2265" s="1">
        <v>4430265054</v>
      </c>
      <c r="E2265" s="1">
        <v>929</v>
      </c>
      <c r="F2265" s="1">
        <v>900</v>
      </c>
      <c r="G2265" s="1" t="s">
        <v>38</v>
      </c>
      <c r="H2265" s="1" t="s">
        <v>1257</v>
      </c>
      <c r="I2265" s="1" t="s">
        <v>39</v>
      </c>
      <c r="J2265" s="1" t="s">
        <v>40</v>
      </c>
      <c r="K2265" s="1" t="s">
        <v>41</v>
      </c>
      <c r="L2265" s="1"/>
    </row>
    <row r="2266" spans="1:12" s="32" customFormat="1" hidden="1" x14ac:dyDescent="0.3">
      <c r="A2266" s="37">
        <v>46119.357800925929</v>
      </c>
      <c r="B2266" s="1">
        <v>44998032021</v>
      </c>
      <c r="C2266" s="1" t="s">
        <v>43</v>
      </c>
      <c r="D2266" s="1">
        <v>4430265054</v>
      </c>
      <c r="E2266" s="1">
        <v>578</v>
      </c>
      <c r="F2266" s="1">
        <v>542</v>
      </c>
      <c r="G2266" s="1" t="s">
        <v>38</v>
      </c>
      <c r="H2266" s="1" t="s">
        <v>1258</v>
      </c>
      <c r="I2266" s="1" t="s">
        <v>39</v>
      </c>
      <c r="J2266" s="1" t="s">
        <v>40</v>
      </c>
      <c r="K2266" s="1" t="s">
        <v>41</v>
      </c>
      <c r="L2266" s="1"/>
    </row>
    <row r="2267" spans="1:12" s="32" customFormat="1" hidden="1" x14ac:dyDescent="0.3">
      <c r="A2267" s="37">
        <v>46119.356909722221</v>
      </c>
      <c r="B2267" s="1">
        <v>4430141092</v>
      </c>
      <c r="C2267" s="1" t="s">
        <v>45</v>
      </c>
      <c r="D2267" s="1">
        <v>4430265054</v>
      </c>
      <c r="E2267" s="1">
        <v>292</v>
      </c>
      <c r="F2267" s="1">
        <v>236</v>
      </c>
      <c r="G2267" s="1" t="s">
        <v>38</v>
      </c>
      <c r="H2267" s="1" t="s">
        <v>1259</v>
      </c>
      <c r="I2267" s="1" t="s">
        <v>39</v>
      </c>
      <c r="J2267" s="1" t="s">
        <v>40</v>
      </c>
      <c r="K2267" s="1" t="s">
        <v>41</v>
      </c>
      <c r="L2267" s="1"/>
    </row>
    <row r="2268" spans="1:12" s="32" customFormat="1" hidden="1" x14ac:dyDescent="0.3">
      <c r="A2268" s="37">
        <v>46119.354247685187</v>
      </c>
      <c r="B2268" s="1">
        <v>44988067937</v>
      </c>
      <c r="C2268" s="1" t="s">
        <v>37</v>
      </c>
      <c r="D2268" s="1">
        <v>4430265054</v>
      </c>
      <c r="E2268" s="1">
        <v>948</v>
      </c>
      <c r="F2268" s="1">
        <v>826</v>
      </c>
      <c r="G2268" s="1" t="s">
        <v>38</v>
      </c>
      <c r="H2268" s="1" t="s">
        <v>1260</v>
      </c>
      <c r="I2268" s="1" t="s">
        <v>39</v>
      </c>
      <c r="J2268" s="1" t="s">
        <v>40</v>
      </c>
      <c r="K2268" s="1" t="s">
        <v>41</v>
      </c>
      <c r="L2268" s="1"/>
    </row>
    <row r="2269" spans="1:12" s="32" customFormat="1" hidden="1" x14ac:dyDescent="0.3">
      <c r="A2269" s="37">
        <v>46119.351724537039</v>
      </c>
      <c r="B2269" s="1">
        <v>4430141533</v>
      </c>
      <c r="C2269" s="1">
        <v>4430265054</v>
      </c>
      <c r="D2269" s="1">
        <v>4430265054</v>
      </c>
      <c r="E2269" s="1">
        <v>15</v>
      </c>
      <c r="F2269" s="1">
        <v>14</v>
      </c>
      <c r="G2269" s="1" t="s">
        <v>52</v>
      </c>
      <c r="H2269" s="1" t="s">
        <v>1261</v>
      </c>
      <c r="I2269" s="1" t="s">
        <v>39</v>
      </c>
      <c r="J2269" s="1" t="s">
        <v>53</v>
      </c>
      <c r="K2269" s="1"/>
      <c r="L2269" s="1"/>
    </row>
    <row r="2270" spans="1:12" s="32" customFormat="1" hidden="1" x14ac:dyDescent="0.3">
      <c r="A2270" s="37">
        <v>46119.343865740739</v>
      </c>
      <c r="B2270" s="1">
        <v>4430459032</v>
      </c>
      <c r="C2270" s="1">
        <v>4430265054</v>
      </c>
      <c r="D2270" s="1">
        <v>4430265054</v>
      </c>
      <c r="E2270" s="1">
        <v>2</v>
      </c>
      <c r="F2270" s="1">
        <v>1</v>
      </c>
      <c r="G2270" s="1" t="s">
        <v>52</v>
      </c>
      <c r="H2270" s="1" t="s">
        <v>1262</v>
      </c>
      <c r="I2270" s="1" t="s">
        <v>39</v>
      </c>
      <c r="J2270" s="1" t="s">
        <v>53</v>
      </c>
      <c r="K2270" s="1"/>
      <c r="L2270" s="1"/>
    </row>
    <row r="2271" spans="1:12" s="32" customFormat="1" hidden="1" x14ac:dyDescent="0.3">
      <c r="A2271" s="37">
        <v>46119.337916666664</v>
      </c>
      <c r="B2271" s="1">
        <v>4430141092</v>
      </c>
      <c r="C2271" s="1">
        <v>4430265054</v>
      </c>
      <c r="D2271" s="1">
        <v>4430265054</v>
      </c>
      <c r="E2271" s="1">
        <v>12</v>
      </c>
      <c r="F2271" s="1">
        <v>11</v>
      </c>
      <c r="G2271" s="1" t="s">
        <v>52</v>
      </c>
      <c r="H2271" s="1" t="s">
        <v>1263</v>
      </c>
      <c r="I2271" s="1" t="s">
        <v>39</v>
      </c>
      <c r="J2271" s="1" t="s">
        <v>53</v>
      </c>
      <c r="K2271" s="1"/>
      <c r="L2271" s="1"/>
    </row>
    <row r="2272" spans="1:12" s="32" customFormat="1" hidden="1" x14ac:dyDescent="0.3">
      <c r="A2272" s="37">
        <v>46118.734803240739</v>
      </c>
      <c r="B2272" s="1" t="s">
        <v>37</v>
      </c>
      <c r="C2272" s="1">
        <v>24993107305</v>
      </c>
      <c r="D2272" s="1"/>
      <c r="E2272" s="1">
        <v>47</v>
      </c>
      <c r="F2272" s="1">
        <v>28</v>
      </c>
      <c r="G2272" s="1" t="s">
        <v>38</v>
      </c>
      <c r="H2272" s="1" t="s">
        <v>1264</v>
      </c>
      <c r="I2272" s="1" t="s">
        <v>46</v>
      </c>
      <c r="J2272" s="1" t="s">
        <v>40</v>
      </c>
      <c r="K2272" s="1"/>
      <c r="L2272" s="1"/>
    </row>
    <row r="2273" spans="1:12" s="32" customFormat="1" hidden="1" x14ac:dyDescent="0.3">
      <c r="A2273" s="37">
        <v>46118.720497685186</v>
      </c>
      <c r="B2273" s="1" t="s">
        <v>37</v>
      </c>
      <c r="C2273" s="1">
        <v>24993107305</v>
      </c>
      <c r="D2273" s="1"/>
      <c r="E2273" s="1">
        <v>460</v>
      </c>
      <c r="F2273" s="1">
        <v>432</v>
      </c>
      <c r="G2273" s="1" t="s">
        <v>38</v>
      </c>
      <c r="H2273" s="1" t="s">
        <v>1265</v>
      </c>
      <c r="I2273" s="1" t="s">
        <v>46</v>
      </c>
      <c r="J2273" s="1" t="s">
        <v>40</v>
      </c>
      <c r="K2273" s="1"/>
      <c r="L2273" s="1"/>
    </row>
    <row r="2274" spans="1:12" s="32" customFormat="1" hidden="1" x14ac:dyDescent="0.3">
      <c r="A2274" s="37">
        <v>46118.718124999999</v>
      </c>
      <c r="B2274" s="1" t="s">
        <v>37</v>
      </c>
      <c r="C2274" s="1">
        <v>24993107305</v>
      </c>
      <c r="D2274" s="1"/>
      <c r="E2274" s="1">
        <v>19</v>
      </c>
      <c r="F2274" s="1">
        <v>0</v>
      </c>
      <c r="G2274" s="1" t="s">
        <v>47</v>
      </c>
      <c r="H2274" s="1" t="s">
        <v>1266</v>
      </c>
      <c r="I2274" s="1" t="s">
        <v>46</v>
      </c>
      <c r="J2274" s="1" t="s">
        <v>40</v>
      </c>
      <c r="K2274" s="1"/>
      <c r="L2274" s="1"/>
    </row>
    <row r="2275" spans="1:12" s="32" customFormat="1" hidden="1" x14ac:dyDescent="0.3">
      <c r="A2275" s="37">
        <v>46118.716689814813</v>
      </c>
      <c r="B2275" s="1">
        <v>44999497001</v>
      </c>
      <c r="C2275" s="1" t="s">
        <v>43</v>
      </c>
      <c r="D2275" s="1">
        <v>4430265054</v>
      </c>
      <c r="E2275" s="1">
        <v>550</v>
      </c>
      <c r="F2275" s="1">
        <v>441</v>
      </c>
      <c r="G2275" s="1" t="s">
        <v>38</v>
      </c>
      <c r="H2275" s="1" t="s">
        <v>1267</v>
      </c>
      <c r="I2275" s="1" t="s">
        <v>39</v>
      </c>
      <c r="J2275" s="1" t="s">
        <v>40</v>
      </c>
      <c r="K2275" s="1" t="s">
        <v>41</v>
      </c>
      <c r="L2275" s="1"/>
    </row>
    <row r="2276" spans="1:12" s="32" customFormat="1" hidden="1" x14ac:dyDescent="0.3">
      <c r="A2276" s="37">
        <v>46118.715636574074</v>
      </c>
      <c r="B2276" s="1" t="s">
        <v>50</v>
      </c>
      <c r="C2276" s="1">
        <v>4530390051</v>
      </c>
      <c r="D2276" s="1"/>
      <c r="E2276" s="1">
        <v>276</v>
      </c>
      <c r="F2276" s="1">
        <v>272</v>
      </c>
      <c r="G2276" s="1" t="s">
        <v>38</v>
      </c>
      <c r="H2276" s="1" t="s">
        <v>1268</v>
      </c>
      <c r="I2276" s="1" t="s">
        <v>46</v>
      </c>
      <c r="J2276" s="1" t="s">
        <v>55</v>
      </c>
      <c r="K2276" s="1"/>
      <c r="L2276" s="1"/>
    </row>
    <row r="2277" spans="1:12" s="32" customFormat="1" hidden="1" x14ac:dyDescent="0.3">
      <c r="A2277" s="37">
        <v>46118.714930555558</v>
      </c>
      <c r="B2277" s="1" t="s">
        <v>37</v>
      </c>
      <c r="C2277" s="1">
        <v>24993107305</v>
      </c>
      <c r="D2277" s="1"/>
      <c r="E2277" s="1">
        <v>47</v>
      </c>
      <c r="F2277" s="1">
        <v>28</v>
      </c>
      <c r="G2277" s="1" t="s">
        <v>38</v>
      </c>
      <c r="H2277" s="1" t="s">
        <v>1269</v>
      </c>
      <c r="I2277" s="1" t="s">
        <v>46</v>
      </c>
      <c r="J2277" s="1" t="s">
        <v>40</v>
      </c>
      <c r="K2277" s="1"/>
      <c r="L2277" s="1"/>
    </row>
    <row r="2278" spans="1:12" s="32" customFormat="1" hidden="1" x14ac:dyDescent="0.3">
      <c r="A2278" s="37">
        <v>46118.714490740742</v>
      </c>
      <c r="B2278" s="1" t="s">
        <v>37</v>
      </c>
      <c r="C2278" s="1">
        <v>24993107305</v>
      </c>
      <c r="D2278" s="1"/>
      <c r="E2278" s="1">
        <v>48</v>
      </c>
      <c r="F2278" s="1">
        <v>28</v>
      </c>
      <c r="G2278" s="1" t="s">
        <v>38</v>
      </c>
      <c r="H2278" s="1" t="s">
        <v>1270</v>
      </c>
      <c r="I2278" s="1" t="s">
        <v>46</v>
      </c>
      <c r="J2278" s="1" t="s">
        <v>40</v>
      </c>
      <c r="K2278" s="1"/>
      <c r="L2278" s="1"/>
    </row>
    <row r="2279" spans="1:12" s="32" customFormat="1" hidden="1" x14ac:dyDescent="0.3">
      <c r="A2279" s="37">
        <v>46118.709328703706</v>
      </c>
      <c r="B2279" s="1">
        <v>1732146970</v>
      </c>
      <c r="C2279" s="1" t="s">
        <v>45</v>
      </c>
      <c r="D2279" s="1">
        <v>4431268225</v>
      </c>
      <c r="E2279" s="1">
        <v>562</v>
      </c>
      <c r="F2279" s="1">
        <v>455</v>
      </c>
      <c r="G2279" s="1" t="s">
        <v>38</v>
      </c>
      <c r="H2279" s="1" t="s">
        <v>1271</v>
      </c>
      <c r="I2279" s="1" t="s">
        <v>39</v>
      </c>
      <c r="J2279" s="1" t="s">
        <v>40</v>
      </c>
      <c r="K2279" s="1" t="s">
        <v>41</v>
      </c>
      <c r="L2279" s="1"/>
    </row>
    <row r="2280" spans="1:12" s="32" customFormat="1" hidden="1" x14ac:dyDescent="0.3">
      <c r="A2280" s="37">
        <v>46118.709236111114</v>
      </c>
      <c r="B2280" s="1" t="s">
        <v>37</v>
      </c>
      <c r="C2280" s="1">
        <v>24999187017</v>
      </c>
      <c r="D2280" s="1"/>
      <c r="E2280" s="1">
        <v>4</v>
      </c>
      <c r="F2280" s="1">
        <v>0</v>
      </c>
      <c r="G2280" s="1" t="s">
        <v>47</v>
      </c>
      <c r="H2280" s="1" t="s">
        <v>1272</v>
      </c>
      <c r="I2280" s="1" t="s">
        <v>46</v>
      </c>
      <c r="J2280" s="1" t="s">
        <v>40</v>
      </c>
      <c r="K2280" s="1"/>
      <c r="L2280" s="1"/>
    </row>
    <row r="2281" spans="1:12" s="32" customFormat="1" hidden="1" x14ac:dyDescent="0.3">
      <c r="A2281" s="37">
        <v>46118.7034375</v>
      </c>
      <c r="B2281" s="1" t="s">
        <v>37</v>
      </c>
      <c r="C2281" s="1">
        <v>24999187017</v>
      </c>
      <c r="D2281" s="1"/>
      <c r="E2281" s="1">
        <v>4</v>
      </c>
      <c r="F2281" s="1">
        <v>0</v>
      </c>
      <c r="G2281" s="1" t="s">
        <v>47</v>
      </c>
      <c r="H2281" s="1" t="s">
        <v>1273</v>
      </c>
      <c r="I2281" s="1" t="s">
        <v>46</v>
      </c>
      <c r="J2281" s="1" t="s">
        <v>40</v>
      </c>
      <c r="K2281" s="1"/>
      <c r="L2281" s="1"/>
    </row>
    <row r="2282" spans="1:12" s="32" customFormat="1" hidden="1" x14ac:dyDescent="0.3">
      <c r="A2282" s="37">
        <v>46118.703333333331</v>
      </c>
      <c r="B2282" s="1" t="s">
        <v>37</v>
      </c>
      <c r="C2282" s="1">
        <v>24999187017</v>
      </c>
      <c r="D2282" s="1"/>
      <c r="E2282" s="1">
        <v>7</v>
      </c>
      <c r="F2282" s="1">
        <v>0</v>
      </c>
      <c r="G2282" s="1" t="s">
        <v>47</v>
      </c>
      <c r="H2282" s="1" t="s">
        <v>1274</v>
      </c>
      <c r="I2282" s="1" t="s">
        <v>46</v>
      </c>
      <c r="J2282" s="1" t="s">
        <v>40</v>
      </c>
      <c r="K2282" s="1"/>
      <c r="L2282" s="1"/>
    </row>
    <row r="2283" spans="1:12" s="32" customFormat="1" hidden="1" x14ac:dyDescent="0.3">
      <c r="A2283" s="37">
        <v>46118.702847222223</v>
      </c>
      <c r="B2283" s="1">
        <v>44991484476</v>
      </c>
      <c r="C2283" s="1">
        <v>4430265054</v>
      </c>
      <c r="D2283" s="1">
        <v>4430265054</v>
      </c>
      <c r="E2283" s="1">
        <v>63</v>
      </c>
      <c r="F2283" s="1">
        <v>63</v>
      </c>
      <c r="G2283" s="1" t="s">
        <v>52</v>
      </c>
      <c r="H2283" s="1" t="s">
        <v>1275</v>
      </c>
      <c r="I2283" s="1" t="s">
        <v>39</v>
      </c>
      <c r="J2283" s="1" t="s">
        <v>53</v>
      </c>
      <c r="K2283" s="1" t="s">
        <v>41</v>
      </c>
      <c r="L2283" s="1"/>
    </row>
    <row r="2284" spans="1:12" s="32" customFormat="1" hidden="1" x14ac:dyDescent="0.3">
      <c r="A2284" s="37">
        <v>46118.702384259261</v>
      </c>
      <c r="B2284" s="1" t="s">
        <v>37</v>
      </c>
      <c r="C2284" s="1">
        <v>13997709868</v>
      </c>
      <c r="D2284" s="1"/>
      <c r="E2284" s="1">
        <v>9</v>
      </c>
      <c r="F2284" s="1">
        <v>0</v>
      </c>
      <c r="G2284" s="1" t="s">
        <v>47</v>
      </c>
      <c r="H2284" s="1" t="s">
        <v>1276</v>
      </c>
      <c r="I2284" s="1" t="s">
        <v>46</v>
      </c>
      <c r="J2284" s="1" t="s">
        <v>40</v>
      </c>
      <c r="K2284" s="1"/>
      <c r="L2284" s="1"/>
    </row>
    <row r="2285" spans="1:12" s="32" customFormat="1" hidden="1" x14ac:dyDescent="0.3">
      <c r="A2285" s="37">
        <v>46118.702199074076</v>
      </c>
      <c r="B2285" s="1" t="s">
        <v>37</v>
      </c>
      <c r="C2285" s="1">
        <v>11997709868</v>
      </c>
      <c r="D2285" s="1"/>
      <c r="E2285" s="1">
        <v>9</v>
      </c>
      <c r="F2285" s="1">
        <v>0</v>
      </c>
      <c r="G2285" s="1" t="s">
        <v>47</v>
      </c>
      <c r="H2285" s="1" t="s">
        <v>1277</v>
      </c>
      <c r="I2285" s="1" t="s">
        <v>46</v>
      </c>
      <c r="J2285" s="1" t="s">
        <v>40</v>
      </c>
      <c r="K2285" s="1"/>
      <c r="L2285" s="1"/>
    </row>
    <row r="2286" spans="1:12" s="32" customFormat="1" hidden="1" x14ac:dyDescent="0.3">
      <c r="A2286" s="37">
        <v>46118.698692129627</v>
      </c>
      <c r="B2286" s="1">
        <v>44988255390</v>
      </c>
      <c r="C2286" s="1" t="s">
        <v>43</v>
      </c>
      <c r="D2286" s="1">
        <v>4430265054</v>
      </c>
      <c r="E2286" s="1">
        <v>440</v>
      </c>
      <c r="F2286" s="1">
        <v>308</v>
      </c>
      <c r="G2286" s="1" t="s">
        <v>38</v>
      </c>
      <c r="H2286" s="1" t="s">
        <v>1278</v>
      </c>
      <c r="I2286" s="1" t="s">
        <v>39</v>
      </c>
      <c r="J2286" s="1" t="s">
        <v>40</v>
      </c>
      <c r="K2286" s="1" t="s">
        <v>41</v>
      </c>
      <c r="L2286" s="1"/>
    </row>
    <row r="2287" spans="1:12" s="32" customFormat="1" hidden="1" x14ac:dyDescent="0.3">
      <c r="A2287" s="37">
        <v>46118.696631944447</v>
      </c>
      <c r="B2287" s="1">
        <v>19998793706</v>
      </c>
      <c r="C2287" s="1" t="s">
        <v>44</v>
      </c>
      <c r="D2287" s="1">
        <v>4430265054</v>
      </c>
      <c r="E2287" s="1">
        <v>1107</v>
      </c>
      <c r="F2287" s="1">
        <v>962</v>
      </c>
      <c r="G2287" s="1" t="s">
        <v>38</v>
      </c>
      <c r="H2287" s="1" t="s">
        <v>1279</v>
      </c>
      <c r="I2287" s="1" t="s">
        <v>39</v>
      </c>
      <c r="J2287" s="1" t="s">
        <v>40</v>
      </c>
      <c r="K2287" s="1" t="s">
        <v>41</v>
      </c>
      <c r="L2287" s="1">
        <v>5</v>
      </c>
    </row>
    <row r="2288" spans="1:12" s="32" customFormat="1" hidden="1" x14ac:dyDescent="0.3">
      <c r="A2288" s="37">
        <v>46118.688206018516</v>
      </c>
      <c r="B2288" s="1">
        <v>4334232912</v>
      </c>
      <c r="C2288" s="1" t="s">
        <v>45</v>
      </c>
      <c r="D2288" s="1">
        <v>4430265054</v>
      </c>
      <c r="E2288" s="1">
        <v>714</v>
      </c>
      <c r="F2288" s="1">
        <v>632</v>
      </c>
      <c r="G2288" s="1" t="s">
        <v>38</v>
      </c>
      <c r="H2288" s="1" t="s">
        <v>1280</v>
      </c>
      <c r="I2288" s="1" t="s">
        <v>39</v>
      </c>
      <c r="J2288" s="1" t="s">
        <v>40</v>
      </c>
      <c r="K2288" s="1" t="s">
        <v>41</v>
      </c>
      <c r="L2288" s="1">
        <v>5</v>
      </c>
    </row>
    <row r="2289" spans="1:13" s="32" customFormat="1" hidden="1" x14ac:dyDescent="0.3">
      <c r="A2289" s="37">
        <v>46118.680972222224</v>
      </c>
      <c r="B2289" s="1">
        <v>1131515685</v>
      </c>
      <c r="C2289" s="1" t="s">
        <v>45</v>
      </c>
      <c r="D2289" s="1">
        <v>4430265054</v>
      </c>
      <c r="E2289" s="1">
        <v>288</v>
      </c>
      <c r="F2289" s="1">
        <v>221</v>
      </c>
      <c r="G2289" s="1" t="s">
        <v>38</v>
      </c>
      <c r="H2289" s="1" t="s">
        <v>1281</v>
      </c>
      <c r="I2289" s="1" t="s">
        <v>39</v>
      </c>
      <c r="J2289" s="1" t="s">
        <v>40</v>
      </c>
      <c r="K2289" s="1" t="s">
        <v>41</v>
      </c>
      <c r="L2289" s="38">
        <v>5</v>
      </c>
      <c r="M2289" s="34" t="s">
        <v>2716</v>
      </c>
    </row>
    <row r="2290" spans="1:13" s="32" customFormat="1" hidden="1" x14ac:dyDescent="0.3">
      <c r="A2290" s="37">
        <v>46118.677881944444</v>
      </c>
      <c r="B2290" s="1">
        <v>1639391799</v>
      </c>
      <c r="C2290" s="1" t="s">
        <v>37</v>
      </c>
      <c r="D2290" s="1">
        <v>4430265054</v>
      </c>
      <c r="E2290" s="1">
        <v>1147</v>
      </c>
      <c r="F2290" s="1">
        <v>976</v>
      </c>
      <c r="G2290" s="1" t="s">
        <v>38</v>
      </c>
      <c r="H2290" s="1" t="s">
        <v>1282</v>
      </c>
      <c r="I2290" s="1" t="s">
        <v>39</v>
      </c>
      <c r="J2290" s="1" t="s">
        <v>40</v>
      </c>
      <c r="K2290" s="1" t="s">
        <v>41</v>
      </c>
      <c r="L2290" s="1"/>
    </row>
    <row r="2291" spans="1:13" s="32" customFormat="1" hidden="1" x14ac:dyDescent="0.3">
      <c r="A2291" s="37">
        <v>46118.676620370374</v>
      </c>
      <c r="B2291" s="1" t="s">
        <v>48</v>
      </c>
      <c r="C2291" s="1">
        <v>44999717086</v>
      </c>
      <c r="D2291" s="1"/>
      <c r="E2291" s="1">
        <v>985</v>
      </c>
      <c r="F2291" s="1">
        <v>971</v>
      </c>
      <c r="G2291" s="1" t="s">
        <v>38</v>
      </c>
      <c r="H2291" s="1" t="s">
        <v>1283</v>
      </c>
      <c r="I2291" s="1" t="s">
        <v>46</v>
      </c>
      <c r="J2291" s="1" t="s">
        <v>40</v>
      </c>
      <c r="K2291" s="1"/>
      <c r="L2291" s="1"/>
    </row>
    <row r="2292" spans="1:13" s="32" customFormat="1" hidden="1" x14ac:dyDescent="0.3">
      <c r="A2292" s="37">
        <v>46118.676423611112</v>
      </c>
      <c r="B2292" s="1" t="s">
        <v>45</v>
      </c>
      <c r="C2292" s="1">
        <v>44999622090</v>
      </c>
      <c r="D2292" s="1"/>
      <c r="E2292" s="1">
        <v>245</v>
      </c>
      <c r="F2292" s="1">
        <v>234</v>
      </c>
      <c r="G2292" s="1" t="s">
        <v>38</v>
      </c>
      <c r="H2292" s="1" t="s">
        <v>1284</v>
      </c>
      <c r="I2292" s="1" t="s">
        <v>46</v>
      </c>
      <c r="J2292" s="1" t="s">
        <v>40</v>
      </c>
      <c r="K2292" s="1"/>
      <c r="L2292" s="1"/>
    </row>
    <row r="2293" spans="1:13" s="32" customFormat="1" hidden="1" x14ac:dyDescent="0.3">
      <c r="A2293" s="37">
        <v>46118.676365740743</v>
      </c>
      <c r="B2293" s="1" t="s">
        <v>45</v>
      </c>
      <c r="C2293" s="1">
        <v>44999622090</v>
      </c>
      <c r="D2293" s="1"/>
      <c r="E2293" s="1">
        <v>25</v>
      </c>
      <c r="F2293" s="1">
        <v>25</v>
      </c>
      <c r="G2293" s="1" t="s">
        <v>38</v>
      </c>
      <c r="H2293" s="1" t="s">
        <v>1285</v>
      </c>
      <c r="I2293" s="1" t="s">
        <v>46</v>
      </c>
      <c r="J2293" s="1" t="s">
        <v>40</v>
      </c>
      <c r="K2293" s="1"/>
      <c r="L2293" s="1"/>
    </row>
    <row r="2294" spans="1:13" s="32" customFormat="1" hidden="1" x14ac:dyDescent="0.3">
      <c r="A2294" s="37">
        <v>46118.671354166669</v>
      </c>
      <c r="B2294" s="1">
        <v>4430141092</v>
      </c>
      <c r="C2294" s="1" t="s">
        <v>44</v>
      </c>
      <c r="D2294" s="1">
        <v>4430265054</v>
      </c>
      <c r="E2294" s="1">
        <v>79</v>
      </c>
      <c r="F2294" s="1">
        <v>54</v>
      </c>
      <c r="G2294" s="1" t="s">
        <v>38</v>
      </c>
      <c r="H2294" s="1" t="s">
        <v>1286</v>
      </c>
      <c r="I2294" s="1" t="s">
        <v>39</v>
      </c>
      <c r="J2294" s="1" t="s">
        <v>40</v>
      </c>
      <c r="K2294" s="1" t="s">
        <v>41</v>
      </c>
      <c r="L2294" s="1"/>
    </row>
    <row r="2295" spans="1:13" s="32" customFormat="1" hidden="1" x14ac:dyDescent="0.3">
      <c r="A2295" s="37">
        <v>46118.670925925922</v>
      </c>
      <c r="B2295" s="1">
        <v>44997571961</v>
      </c>
      <c r="C2295" s="1" t="s">
        <v>43</v>
      </c>
      <c r="D2295" s="1">
        <v>4430265054</v>
      </c>
      <c r="E2295" s="1">
        <v>1365</v>
      </c>
      <c r="F2295" s="1">
        <v>1309</v>
      </c>
      <c r="G2295" s="1" t="s">
        <v>38</v>
      </c>
      <c r="H2295" s="1" t="s">
        <v>1287</v>
      </c>
      <c r="I2295" s="1" t="s">
        <v>39</v>
      </c>
      <c r="J2295" s="1" t="s">
        <v>40</v>
      </c>
      <c r="K2295" s="1" t="s">
        <v>41</v>
      </c>
      <c r="L2295" s="1"/>
    </row>
    <row r="2296" spans="1:13" s="32" customFormat="1" hidden="1" x14ac:dyDescent="0.3">
      <c r="A2296" s="37">
        <v>46118.669849537036</v>
      </c>
      <c r="B2296" s="1">
        <v>44999717086</v>
      </c>
      <c r="C2296" s="1" t="s">
        <v>44</v>
      </c>
      <c r="D2296" s="1">
        <v>4430265054</v>
      </c>
      <c r="E2296" s="1">
        <v>106</v>
      </c>
      <c r="F2296" s="1">
        <v>29</v>
      </c>
      <c r="G2296" s="1" t="s">
        <v>38</v>
      </c>
      <c r="H2296" s="1" t="s">
        <v>1288</v>
      </c>
      <c r="I2296" s="1" t="s">
        <v>39</v>
      </c>
      <c r="J2296" s="1" t="s">
        <v>40</v>
      </c>
      <c r="K2296" s="1" t="s">
        <v>41</v>
      </c>
      <c r="L2296" s="1"/>
    </row>
    <row r="2297" spans="1:13" s="32" customFormat="1" hidden="1" x14ac:dyDescent="0.3">
      <c r="A2297" s="37">
        <v>46118.668090277781</v>
      </c>
      <c r="B2297" s="1">
        <v>44999688098</v>
      </c>
      <c r="C2297" s="1" t="s">
        <v>43</v>
      </c>
      <c r="D2297" s="1">
        <v>4430265054</v>
      </c>
      <c r="E2297" s="1">
        <v>173</v>
      </c>
      <c r="F2297" s="1">
        <v>116</v>
      </c>
      <c r="G2297" s="1" t="s">
        <v>38</v>
      </c>
      <c r="H2297" s="1" t="s">
        <v>1289</v>
      </c>
      <c r="I2297" s="1" t="s">
        <v>39</v>
      </c>
      <c r="J2297" s="1" t="s">
        <v>40</v>
      </c>
      <c r="K2297" s="1" t="s">
        <v>41</v>
      </c>
      <c r="L2297" s="1"/>
    </row>
    <row r="2298" spans="1:13" s="32" customFormat="1" hidden="1" x14ac:dyDescent="0.3">
      <c r="A2298" s="37">
        <v>46118.666076388887</v>
      </c>
      <c r="B2298" s="1">
        <v>44997571961</v>
      </c>
      <c r="C2298" s="1" t="s">
        <v>37</v>
      </c>
      <c r="D2298" s="1">
        <v>4430265054</v>
      </c>
      <c r="E2298" s="1">
        <v>299</v>
      </c>
      <c r="F2298" s="1">
        <v>236</v>
      </c>
      <c r="G2298" s="1" t="s">
        <v>38</v>
      </c>
      <c r="H2298" s="1" t="s">
        <v>1290</v>
      </c>
      <c r="I2298" s="1" t="s">
        <v>39</v>
      </c>
      <c r="J2298" s="1" t="s">
        <v>40</v>
      </c>
      <c r="K2298" s="1" t="s">
        <v>41</v>
      </c>
      <c r="L2298" s="1"/>
    </row>
    <row r="2299" spans="1:13" s="32" customFormat="1" hidden="1" x14ac:dyDescent="0.3">
      <c r="A2299" s="37">
        <v>46118.664895833332</v>
      </c>
      <c r="B2299" s="1">
        <v>4432226677</v>
      </c>
      <c r="C2299" s="1" t="s">
        <v>45</v>
      </c>
      <c r="D2299" s="1">
        <v>4430265054</v>
      </c>
      <c r="E2299" s="1">
        <v>611</v>
      </c>
      <c r="F2299" s="1">
        <v>533</v>
      </c>
      <c r="G2299" s="1" t="s">
        <v>38</v>
      </c>
      <c r="H2299" s="1" t="s">
        <v>1291</v>
      </c>
      <c r="I2299" s="1" t="s">
        <v>39</v>
      </c>
      <c r="J2299" s="1" t="s">
        <v>40</v>
      </c>
      <c r="K2299" s="1" t="s">
        <v>41</v>
      </c>
      <c r="L2299" s="1"/>
    </row>
    <row r="2300" spans="1:13" s="32" customFormat="1" hidden="1" x14ac:dyDescent="0.3">
      <c r="A2300" s="37">
        <v>46118.662442129629</v>
      </c>
      <c r="B2300" s="1">
        <v>6234347959</v>
      </c>
      <c r="C2300" s="1" t="s">
        <v>43</v>
      </c>
      <c r="D2300" s="1">
        <v>4430265054</v>
      </c>
      <c r="E2300" s="1">
        <v>485</v>
      </c>
      <c r="F2300" s="1">
        <v>433</v>
      </c>
      <c r="G2300" s="1" t="s">
        <v>38</v>
      </c>
      <c r="H2300" s="1" t="s">
        <v>1292</v>
      </c>
      <c r="I2300" s="1" t="s">
        <v>39</v>
      </c>
      <c r="J2300" s="1" t="s">
        <v>40</v>
      </c>
      <c r="K2300" s="1" t="s">
        <v>41</v>
      </c>
      <c r="L2300" s="1"/>
    </row>
    <row r="2301" spans="1:13" s="32" customFormat="1" hidden="1" x14ac:dyDescent="0.3">
      <c r="A2301" s="37">
        <v>46118.662175925929</v>
      </c>
      <c r="B2301" s="1">
        <v>44997400641</v>
      </c>
      <c r="C2301" s="1" t="s">
        <v>48</v>
      </c>
      <c r="D2301" s="1">
        <v>4430265054</v>
      </c>
      <c r="E2301" s="1">
        <v>1231</v>
      </c>
      <c r="F2301" s="1">
        <v>1170</v>
      </c>
      <c r="G2301" s="1" t="s">
        <v>38</v>
      </c>
      <c r="H2301" s="1" t="s">
        <v>1293</v>
      </c>
      <c r="I2301" s="1" t="s">
        <v>39</v>
      </c>
      <c r="J2301" s="1" t="s">
        <v>40</v>
      </c>
      <c r="K2301" s="1" t="s">
        <v>41</v>
      </c>
      <c r="L2301" s="1"/>
    </row>
    <row r="2302" spans="1:13" s="32" customFormat="1" hidden="1" x14ac:dyDescent="0.3">
      <c r="A2302" s="37">
        <v>46118.658090277779</v>
      </c>
      <c r="B2302" s="1">
        <v>6234347959</v>
      </c>
      <c r="C2302" s="1">
        <v>4430265054</v>
      </c>
      <c r="D2302" s="1">
        <v>4430265054</v>
      </c>
      <c r="E2302" s="1">
        <v>99</v>
      </c>
      <c r="F2302" s="1">
        <v>98</v>
      </c>
      <c r="G2302" s="1" t="s">
        <v>52</v>
      </c>
      <c r="H2302" s="1" t="s">
        <v>1294</v>
      </c>
      <c r="I2302" s="1" t="s">
        <v>39</v>
      </c>
      <c r="J2302" s="1" t="s">
        <v>53</v>
      </c>
      <c r="K2302" s="1" t="s">
        <v>41</v>
      </c>
      <c r="L2302" s="1"/>
    </row>
    <row r="2303" spans="1:13" s="32" customFormat="1" hidden="1" x14ac:dyDescent="0.3">
      <c r="A2303" s="37">
        <v>46118.641539351855</v>
      </c>
      <c r="B2303" s="1">
        <v>44991113954</v>
      </c>
      <c r="C2303" s="1" t="s">
        <v>37</v>
      </c>
      <c r="D2303" s="1">
        <v>4430265054</v>
      </c>
      <c r="E2303" s="1">
        <v>413</v>
      </c>
      <c r="F2303" s="1">
        <v>332</v>
      </c>
      <c r="G2303" s="1" t="s">
        <v>38</v>
      </c>
      <c r="H2303" s="1" t="s">
        <v>1295</v>
      </c>
      <c r="I2303" s="1" t="s">
        <v>39</v>
      </c>
      <c r="J2303" s="1" t="s">
        <v>40</v>
      </c>
      <c r="K2303" s="1" t="s">
        <v>41</v>
      </c>
      <c r="L2303" s="1"/>
    </row>
    <row r="2304" spans="1:13" s="32" customFormat="1" hidden="1" x14ac:dyDescent="0.3">
      <c r="A2304" s="37">
        <v>46118.633506944447</v>
      </c>
      <c r="B2304" s="1">
        <v>44999622090</v>
      </c>
      <c r="C2304" s="1" t="s">
        <v>45</v>
      </c>
      <c r="D2304" s="1">
        <v>4430265054</v>
      </c>
      <c r="E2304" s="1">
        <v>1623</v>
      </c>
      <c r="F2304" s="1">
        <v>1590</v>
      </c>
      <c r="G2304" s="1" t="s">
        <v>38</v>
      </c>
      <c r="H2304" s="1" t="s">
        <v>1296</v>
      </c>
      <c r="I2304" s="1" t="s">
        <v>39</v>
      </c>
      <c r="J2304" s="1" t="s">
        <v>40</v>
      </c>
      <c r="K2304" s="1" t="s">
        <v>41</v>
      </c>
      <c r="L2304" s="1"/>
    </row>
    <row r="2305" spans="1:12" s="32" customFormat="1" hidden="1" x14ac:dyDescent="0.3">
      <c r="A2305" s="37">
        <v>46118.631249999999</v>
      </c>
      <c r="B2305" s="1" t="s">
        <v>45</v>
      </c>
      <c r="C2305" s="1">
        <v>44991388221</v>
      </c>
      <c r="D2305" s="1"/>
      <c r="E2305" s="1">
        <v>47</v>
      </c>
      <c r="F2305" s="1">
        <v>36</v>
      </c>
      <c r="G2305" s="1" t="s">
        <v>38</v>
      </c>
      <c r="H2305" s="1" t="s">
        <v>1297</v>
      </c>
      <c r="I2305" s="1" t="s">
        <v>46</v>
      </c>
      <c r="J2305" s="1" t="s">
        <v>40</v>
      </c>
      <c r="K2305" s="1"/>
      <c r="L2305" s="1"/>
    </row>
    <row r="2306" spans="1:12" s="32" customFormat="1" hidden="1" x14ac:dyDescent="0.3">
      <c r="A2306" s="37">
        <v>46118.629074074073</v>
      </c>
      <c r="B2306" s="1" t="s">
        <v>45</v>
      </c>
      <c r="C2306" s="1">
        <v>4430451163</v>
      </c>
      <c r="D2306" s="1"/>
      <c r="E2306" s="1">
        <v>170</v>
      </c>
      <c r="F2306" s="1">
        <v>166</v>
      </c>
      <c r="G2306" s="1" t="s">
        <v>38</v>
      </c>
      <c r="H2306" s="1" t="s">
        <v>1298</v>
      </c>
      <c r="I2306" s="1" t="s">
        <v>46</v>
      </c>
      <c r="J2306" s="1" t="s">
        <v>40</v>
      </c>
      <c r="K2306" s="1"/>
      <c r="L2306" s="1"/>
    </row>
    <row r="2307" spans="1:12" s="32" customFormat="1" hidden="1" x14ac:dyDescent="0.3">
      <c r="A2307" s="37">
        <v>46118.628993055558</v>
      </c>
      <c r="B2307" s="1" t="s">
        <v>45</v>
      </c>
      <c r="C2307" s="1">
        <v>4430451163</v>
      </c>
      <c r="D2307" s="1"/>
      <c r="E2307" s="1">
        <v>25</v>
      </c>
      <c r="F2307" s="1">
        <v>25</v>
      </c>
      <c r="G2307" s="1" t="s">
        <v>38</v>
      </c>
      <c r="H2307" s="1" t="s">
        <v>1299</v>
      </c>
      <c r="I2307" s="1" t="s">
        <v>46</v>
      </c>
      <c r="J2307" s="1" t="s">
        <v>40</v>
      </c>
      <c r="K2307" s="1"/>
      <c r="L2307" s="1"/>
    </row>
    <row r="2308" spans="1:12" s="32" customFormat="1" hidden="1" x14ac:dyDescent="0.3">
      <c r="A2308" s="37">
        <v>46118.624166666668</v>
      </c>
      <c r="B2308" s="1">
        <v>4430451163</v>
      </c>
      <c r="C2308" s="1" t="s">
        <v>45</v>
      </c>
      <c r="D2308" s="1">
        <v>4430265054</v>
      </c>
      <c r="E2308" s="1">
        <v>377</v>
      </c>
      <c r="F2308" s="1">
        <v>318</v>
      </c>
      <c r="G2308" s="1" t="s">
        <v>38</v>
      </c>
      <c r="H2308" s="1" t="s">
        <v>1300</v>
      </c>
      <c r="I2308" s="1" t="s">
        <v>39</v>
      </c>
      <c r="J2308" s="1" t="s">
        <v>40</v>
      </c>
      <c r="K2308" s="1" t="s">
        <v>41</v>
      </c>
      <c r="L2308" s="1"/>
    </row>
    <row r="2309" spans="1:12" s="32" customFormat="1" hidden="1" x14ac:dyDescent="0.3">
      <c r="A2309" s="37">
        <v>46118.622800925928</v>
      </c>
      <c r="B2309" s="1">
        <v>4430284942</v>
      </c>
      <c r="C2309" s="1" t="s">
        <v>37</v>
      </c>
      <c r="D2309" s="1">
        <v>4430265054</v>
      </c>
      <c r="E2309" s="1">
        <v>215</v>
      </c>
      <c r="F2309" s="1">
        <v>175</v>
      </c>
      <c r="G2309" s="1" t="s">
        <v>38</v>
      </c>
      <c r="H2309" s="1" t="s">
        <v>1301</v>
      </c>
      <c r="I2309" s="1" t="s">
        <v>39</v>
      </c>
      <c r="J2309" s="1" t="s">
        <v>40</v>
      </c>
      <c r="K2309" s="1" t="s">
        <v>41</v>
      </c>
      <c r="L2309" s="1"/>
    </row>
    <row r="2310" spans="1:12" s="32" customFormat="1" hidden="1" x14ac:dyDescent="0.3">
      <c r="A2310" s="37">
        <v>46118.621377314812</v>
      </c>
      <c r="B2310" s="1">
        <v>4430141092</v>
      </c>
      <c r="C2310" s="1" t="s">
        <v>43</v>
      </c>
      <c r="D2310" s="1">
        <v>4430265054</v>
      </c>
      <c r="E2310" s="1">
        <v>581</v>
      </c>
      <c r="F2310" s="1">
        <v>529</v>
      </c>
      <c r="G2310" s="1" t="s">
        <v>38</v>
      </c>
      <c r="H2310" s="1" t="s">
        <v>1302</v>
      </c>
      <c r="I2310" s="1" t="s">
        <v>39</v>
      </c>
      <c r="J2310" s="1" t="s">
        <v>40</v>
      </c>
      <c r="K2310" s="1" t="s">
        <v>41</v>
      </c>
      <c r="L2310" s="1"/>
    </row>
    <row r="2311" spans="1:12" s="32" customFormat="1" hidden="1" x14ac:dyDescent="0.3">
      <c r="A2311" s="37">
        <v>46118.61546296296</v>
      </c>
      <c r="B2311" s="1" t="s">
        <v>54</v>
      </c>
      <c r="C2311" s="1">
        <v>4430289496</v>
      </c>
      <c r="D2311" s="1"/>
      <c r="E2311" s="1">
        <v>67</v>
      </c>
      <c r="F2311" s="1">
        <v>62</v>
      </c>
      <c r="G2311" s="1" t="s">
        <v>38</v>
      </c>
      <c r="H2311" s="1" t="s">
        <v>1303</v>
      </c>
      <c r="I2311" s="1" t="s">
        <v>46</v>
      </c>
      <c r="J2311" s="1" t="s">
        <v>55</v>
      </c>
      <c r="K2311" s="1"/>
      <c r="L2311" s="1"/>
    </row>
    <row r="2312" spans="1:12" s="32" customFormat="1" hidden="1" x14ac:dyDescent="0.3">
      <c r="A2312" s="37">
        <v>46118.612905092596</v>
      </c>
      <c r="B2312" s="1" t="s">
        <v>54</v>
      </c>
      <c r="C2312" s="1">
        <v>4430289496</v>
      </c>
      <c r="D2312" s="1"/>
      <c r="E2312" s="1">
        <v>25</v>
      </c>
      <c r="F2312" s="1">
        <v>25</v>
      </c>
      <c r="G2312" s="1" t="s">
        <v>38</v>
      </c>
      <c r="H2312" s="1" t="s">
        <v>1304</v>
      </c>
      <c r="I2312" s="1" t="s">
        <v>46</v>
      </c>
      <c r="J2312" s="1" t="s">
        <v>55</v>
      </c>
      <c r="K2312" s="1"/>
      <c r="L2312" s="1"/>
    </row>
    <row r="2313" spans="1:12" s="32" customFormat="1" hidden="1" x14ac:dyDescent="0.3">
      <c r="A2313" s="37">
        <v>46118.611724537041</v>
      </c>
      <c r="B2313" s="1">
        <v>1131043888</v>
      </c>
      <c r="C2313" s="1" t="s">
        <v>48</v>
      </c>
      <c r="D2313" s="1">
        <v>4430265054</v>
      </c>
      <c r="E2313" s="1">
        <v>289</v>
      </c>
      <c r="F2313" s="1">
        <v>190</v>
      </c>
      <c r="G2313" s="1" t="s">
        <v>38</v>
      </c>
      <c r="H2313" s="1" t="s">
        <v>1305</v>
      </c>
      <c r="I2313" s="1" t="s">
        <v>39</v>
      </c>
      <c r="J2313" s="1" t="s">
        <v>40</v>
      </c>
      <c r="K2313" s="1" t="s">
        <v>41</v>
      </c>
      <c r="L2313" s="1"/>
    </row>
    <row r="2314" spans="1:12" s="32" customFormat="1" hidden="1" x14ac:dyDescent="0.3">
      <c r="A2314" s="37">
        <v>46118.611712962964</v>
      </c>
      <c r="B2314" s="1">
        <v>1131043888</v>
      </c>
      <c r="C2314" s="1" t="s">
        <v>37</v>
      </c>
      <c r="D2314" s="1">
        <v>4430265054</v>
      </c>
      <c r="E2314" s="1">
        <v>754</v>
      </c>
      <c r="F2314" s="1">
        <v>594</v>
      </c>
      <c r="G2314" s="1" t="s">
        <v>38</v>
      </c>
      <c r="H2314" s="1" t="s">
        <v>1306</v>
      </c>
      <c r="I2314" s="1" t="s">
        <v>39</v>
      </c>
      <c r="J2314" s="1" t="s">
        <v>40</v>
      </c>
      <c r="K2314" s="1" t="s">
        <v>41</v>
      </c>
      <c r="L2314" s="1"/>
    </row>
    <row r="2315" spans="1:12" s="32" customFormat="1" hidden="1" x14ac:dyDescent="0.3">
      <c r="A2315" s="37">
        <v>46118.608518518522</v>
      </c>
      <c r="B2315" s="1">
        <v>4130760170</v>
      </c>
      <c r="C2315" s="1" t="s">
        <v>43</v>
      </c>
      <c r="D2315" s="1">
        <v>4430265054</v>
      </c>
      <c r="E2315" s="1">
        <v>649</v>
      </c>
      <c r="F2315" s="1">
        <v>598</v>
      </c>
      <c r="G2315" s="1" t="s">
        <v>38</v>
      </c>
      <c r="H2315" s="1" t="s">
        <v>1307</v>
      </c>
      <c r="I2315" s="1" t="s">
        <v>39</v>
      </c>
      <c r="J2315" s="1" t="s">
        <v>40</v>
      </c>
      <c r="K2315" s="1" t="s">
        <v>41</v>
      </c>
      <c r="L2315" s="1"/>
    </row>
    <row r="2316" spans="1:12" s="32" customFormat="1" hidden="1" x14ac:dyDescent="0.3">
      <c r="A2316" s="37">
        <v>46118.606770833336</v>
      </c>
      <c r="B2316" s="1" t="s">
        <v>43</v>
      </c>
      <c r="C2316" s="1">
        <v>34999919573</v>
      </c>
      <c r="D2316" s="1"/>
      <c r="E2316" s="1">
        <v>77</v>
      </c>
      <c r="F2316" s="1">
        <v>71</v>
      </c>
      <c r="G2316" s="1" t="s">
        <v>38</v>
      </c>
      <c r="H2316" s="1" t="s">
        <v>1308</v>
      </c>
      <c r="I2316" s="1" t="s">
        <v>46</v>
      </c>
      <c r="J2316" s="1" t="s">
        <v>40</v>
      </c>
      <c r="K2316" s="1"/>
      <c r="L2316" s="1"/>
    </row>
    <row r="2317" spans="1:12" s="32" customFormat="1" hidden="1" x14ac:dyDescent="0.3">
      <c r="A2317" s="37">
        <v>46118.606145833335</v>
      </c>
      <c r="B2317" s="1">
        <v>44997687156</v>
      </c>
      <c r="C2317" s="1" t="s">
        <v>48</v>
      </c>
      <c r="D2317" s="1">
        <v>4430265054</v>
      </c>
      <c r="E2317" s="1">
        <v>358</v>
      </c>
      <c r="F2317" s="1">
        <v>358</v>
      </c>
      <c r="G2317" s="1" t="s">
        <v>38</v>
      </c>
      <c r="H2317" s="1" t="s">
        <v>1309</v>
      </c>
      <c r="I2317" s="1" t="s">
        <v>39</v>
      </c>
      <c r="J2317" s="1" t="s">
        <v>40</v>
      </c>
      <c r="K2317" s="1" t="s">
        <v>41</v>
      </c>
      <c r="L2317" s="1"/>
    </row>
    <row r="2318" spans="1:12" s="32" customFormat="1" hidden="1" x14ac:dyDescent="0.3">
      <c r="A2318" s="37">
        <v>46118.60460648148</v>
      </c>
      <c r="B2318" s="1" t="s">
        <v>43</v>
      </c>
      <c r="C2318" s="1">
        <v>34999919573</v>
      </c>
      <c r="D2318" s="1"/>
      <c r="E2318" s="1">
        <v>67</v>
      </c>
      <c r="F2318" s="1">
        <v>34</v>
      </c>
      <c r="G2318" s="1" t="s">
        <v>38</v>
      </c>
      <c r="H2318" s="1" t="s">
        <v>1310</v>
      </c>
      <c r="I2318" s="1" t="s">
        <v>46</v>
      </c>
      <c r="J2318" s="1" t="s">
        <v>40</v>
      </c>
      <c r="K2318" s="1"/>
      <c r="L2318" s="1"/>
    </row>
    <row r="2319" spans="1:12" s="32" customFormat="1" hidden="1" x14ac:dyDescent="0.3">
      <c r="A2319" s="37">
        <v>46118.604409722226</v>
      </c>
      <c r="B2319" s="1">
        <v>4330261969</v>
      </c>
      <c r="C2319" s="1" t="s">
        <v>45</v>
      </c>
      <c r="D2319" s="1">
        <v>4430265054</v>
      </c>
      <c r="E2319" s="1">
        <v>539</v>
      </c>
      <c r="F2319" s="1">
        <v>346</v>
      </c>
      <c r="G2319" s="1" t="s">
        <v>38</v>
      </c>
      <c r="H2319" s="1" t="s">
        <v>1311</v>
      </c>
      <c r="I2319" s="1" t="s">
        <v>39</v>
      </c>
      <c r="J2319" s="1" t="s">
        <v>40</v>
      </c>
      <c r="K2319" s="1" t="s">
        <v>41</v>
      </c>
      <c r="L2319" s="1"/>
    </row>
    <row r="2320" spans="1:12" s="32" customFormat="1" x14ac:dyDescent="0.3">
      <c r="A2320" s="37">
        <v>46118.597187500003</v>
      </c>
      <c r="B2320" s="1">
        <v>44991126458</v>
      </c>
      <c r="C2320" s="1" t="s">
        <v>37</v>
      </c>
      <c r="D2320" s="1">
        <v>4430265054</v>
      </c>
      <c r="E2320" s="1">
        <v>215</v>
      </c>
      <c r="F2320" s="1">
        <v>195</v>
      </c>
      <c r="G2320" s="1" t="s">
        <v>38</v>
      </c>
      <c r="H2320" s="1" t="s">
        <v>1312</v>
      </c>
      <c r="I2320" s="1" t="s">
        <v>39</v>
      </c>
      <c r="J2320" s="1" t="s">
        <v>40</v>
      </c>
      <c r="K2320" s="1" t="s">
        <v>41</v>
      </c>
      <c r="L2320" s="1">
        <v>5</v>
      </c>
    </row>
    <row r="2321" spans="1:12" s="32" customFormat="1" hidden="1" x14ac:dyDescent="0.3">
      <c r="A2321" s="37">
        <v>46118.589745370373</v>
      </c>
      <c r="B2321" s="1">
        <v>44999717086</v>
      </c>
      <c r="C2321" s="1" t="s">
        <v>48</v>
      </c>
      <c r="D2321" s="1">
        <v>4430265054</v>
      </c>
      <c r="E2321" s="1">
        <v>631</v>
      </c>
      <c r="F2321" s="1">
        <v>597</v>
      </c>
      <c r="G2321" s="1" t="s">
        <v>38</v>
      </c>
      <c r="H2321" s="1" t="s">
        <v>1313</v>
      </c>
      <c r="I2321" s="1" t="s">
        <v>39</v>
      </c>
      <c r="J2321" s="1" t="s">
        <v>40</v>
      </c>
      <c r="K2321" s="1" t="s">
        <v>41</v>
      </c>
      <c r="L2321" s="1"/>
    </row>
    <row r="2322" spans="1:12" s="32" customFormat="1" hidden="1" x14ac:dyDescent="0.3">
      <c r="A2322" s="37">
        <v>46118.589537037034</v>
      </c>
      <c r="B2322" s="1">
        <v>1732146970</v>
      </c>
      <c r="C2322" s="1" t="s">
        <v>44</v>
      </c>
      <c r="D2322" s="1">
        <v>4431268225</v>
      </c>
      <c r="E2322" s="1">
        <v>1488</v>
      </c>
      <c r="F2322" s="1">
        <v>1269</v>
      </c>
      <c r="G2322" s="1" t="s">
        <v>38</v>
      </c>
      <c r="H2322" s="1" t="s">
        <v>1314</v>
      </c>
      <c r="I2322" s="1" t="s">
        <v>39</v>
      </c>
      <c r="J2322" s="1" t="s">
        <v>40</v>
      </c>
      <c r="K2322" s="1" t="s">
        <v>41</v>
      </c>
      <c r="L2322" s="1"/>
    </row>
    <row r="2323" spans="1:12" s="32" customFormat="1" hidden="1" x14ac:dyDescent="0.3">
      <c r="A2323" s="37">
        <v>46118.589062500003</v>
      </c>
      <c r="B2323" s="1">
        <v>93991495484</v>
      </c>
      <c r="C2323" s="1" t="s">
        <v>45</v>
      </c>
      <c r="D2323" s="1">
        <v>4430265054</v>
      </c>
      <c r="E2323" s="1">
        <v>1012</v>
      </c>
      <c r="F2323" s="1">
        <v>956</v>
      </c>
      <c r="G2323" s="1" t="s">
        <v>38</v>
      </c>
      <c r="H2323" s="1" t="s">
        <v>1315</v>
      </c>
      <c r="I2323" s="1" t="s">
        <v>39</v>
      </c>
      <c r="J2323" s="1" t="s">
        <v>40</v>
      </c>
      <c r="K2323" s="1" t="s">
        <v>41</v>
      </c>
      <c r="L2323" s="1">
        <v>5</v>
      </c>
    </row>
    <row r="2324" spans="1:12" s="32" customFormat="1" hidden="1" x14ac:dyDescent="0.3">
      <c r="A2324" s="37">
        <v>46118.587418981479</v>
      </c>
      <c r="B2324" s="1">
        <v>4433015977</v>
      </c>
      <c r="C2324" s="1">
        <v>4430265054</v>
      </c>
      <c r="D2324" s="1">
        <v>4430265054</v>
      </c>
      <c r="E2324" s="1">
        <v>3</v>
      </c>
      <c r="F2324" s="1">
        <v>3</v>
      </c>
      <c r="G2324" s="1" t="s">
        <v>52</v>
      </c>
      <c r="H2324" s="1" t="s">
        <v>1316</v>
      </c>
      <c r="I2324" s="1" t="s">
        <v>39</v>
      </c>
      <c r="J2324" s="1" t="s">
        <v>53</v>
      </c>
      <c r="K2324" s="1"/>
      <c r="L2324" s="1"/>
    </row>
    <row r="2325" spans="1:12" s="32" customFormat="1" hidden="1" x14ac:dyDescent="0.3">
      <c r="A2325" s="37">
        <v>46118.585439814815</v>
      </c>
      <c r="B2325" s="1" t="s">
        <v>43</v>
      </c>
      <c r="C2325" s="1">
        <v>34999919573</v>
      </c>
      <c r="D2325" s="1"/>
      <c r="E2325" s="1">
        <v>1388</v>
      </c>
      <c r="F2325" s="1">
        <v>1379</v>
      </c>
      <c r="G2325" s="1" t="s">
        <v>38</v>
      </c>
      <c r="H2325" s="1" t="s">
        <v>1317</v>
      </c>
      <c r="I2325" s="1" t="s">
        <v>46</v>
      </c>
      <c r="J2325" s="1" t="s">
        <v>40</v>
      </c>
      <c r="K2325" s="1"/>
      <c r="L2325" s="1"/>
    </row>
    <row r="2326" spans="1:12" s="32" customFormat="1" hidden="1" x14ac:dyDescent="0.3">
      <c r="A2326" s="37">
        <v>46118.584456018521</v>
      </c>
      <c r="B2326" s="1" t="s">
        <v>43</v>
      </c>
      <c r="C2326" s="1">
        <v>34999919573</v>
      </c>
      <c r="D2326" s="1"/>
      <c r="E2326" s="1">
        <v>1</v>
      </c>
      <c r="F2326" s="1">
        <v>0</v>
      </c>
      <c r="G2326" s="1" t="s">
        <v>47</v>
      </c>
      <c r="H2326" s="1" t="s">
        <v>1318</v>
      </c>
      <c r="I2326" s="1" t="s">
        <v>46</v>
      </c>
      <c r="J2326" s="1" t="s">
        <v>40</v>
      </c>
      <c r="K2326" s="1"/>
      <c r="L2326" s="1"/>
    </row>
    <row r="2327" spans="1:12" s="32" customFormat="1" hidden="1" x14ac:dyDescent="0.3">
      <c r="A2327" s="37">
        <v>46118.584317129629</v>
      </c>
      <c r="B2327" s="1" t="s">
        <v>43</v>
      </c>
      <c r="C2327" s="1">
        <v>34999919573</v>
      </c>
      <c r="D2327" s="1"/>
      <c r="E2327" s="1">
        <v>2</v>
      </c>
      <c r="F2327" s="1">
        <v>0</v>
      </c>
      <c r="G2327" s="1" t="s">
        <v>47</v>
      </c>
      <c r="H2327" s="1" t="s">
        <v>1319</v>
      </c>
      <c r="I2327" s="1" t="s">
        <v>46</v>
      </c>
      <c r="J2327" s="1" t="s">
        <v>40</v>
      </c>
      <c r="K2327" s="1"/>
      <c r="L2327" s="1"/>
    </row>
    <row r="2328" spans="1:12" s="32" customFormat="1" hidden="1" x14ac:dyDescent="0.3">
      <c r="A2328" s="37">
        <v>46118.578310185185</v>
      </c>
      <c r="B2328" s="1">
        <v>4435228300</v>
      </c>
      <c r="C2328" s="1" t="s">
        <v>45</v>
      </c>
      <c r="D2328" s="1">
        <v>4430265054</v>
      </c>
      <c r="E2328" s="1">
        <v>402</v>
      </c>
      <c r="F2328" s="1">
        <v>333</v>
      </c>
      <c r="G2328" s="1" t="s">
        <v>38</v>
      </c>
      <c r="H2328" s="1" t="s">
        <v>1320</v>
      </c>
      <c r="I2328" s="1" t="s">
        <v>39</v>
      </c>
      <c r="J2328" s="1" t="s">
        <v>40</v>
      </c>
      <c r="K2328" s="1" t="s">
        <v>41</v>
      </c>
      <c r="L2328" s="1"/>
    </row>
    <row r="2329" spans="1:12" s="32" customFormat="1" hidden="1" x14ac:dyDescent="0.3">
      <c r="A2329" s="37">
        <v>46118.574907407405</v>
      </c>
      <c r="B2329" s="1">
        <v>4430282545</v>
      </c>
      <c r="C2329" s="1" t="s">
        <v>44</v>
      </c>
      <c r="D2329" s="1">
        <v>4430265054</v>
      </c>
      <c r="E2329" s="1">
        <v>1065</v>
      </c>
      <c r="F2329" s="1">
        <v>978</v>
      </c>
      <c r="G2329" s="1" t="s">
        <v>38</v>
      </c>
      <c r="H2329" s="1" t="s">
        <v>1321</v>
      </c>
      <c r="I2329" s="1" t="s">
        <v>39</v>
      </c>
      <c r="J2329" s="1" t="s">
        <v>40</v>
      </c>
      <c r="K2329" s="1" t="s">
        <v>41</v>
      </c>
      <c r="L2329" s="1">
        <v>5</v>
      </c>
    </row>
    <row r="2330" spans="1:12" s="32" customFormat="1" hidden="1" x14ac:dyDescent="0.3">
      <c r="A2330" s="37">
        <v>46118.573831018519</v>
      </c>
      <c r="B2330" s="1">
        <v>93991495484</v>
      </c>
      <c r="C2330" s="1" t="s">
        <v>45</v>
      </c>
      <c r="D2330" s="1">
        <v>4430265054</v>
      </c>
      <c r="E2330" s="1">
        <v>386</v>
      </c>
      <c r="F2330" s="1">
        <v>297</v>
      </c>
      <c r="G2330" s="1" t="s">
        <v>38</v>
      </c>
      <c r="H2330" s="1" t="s">
        <v>1322</v>
      </c>
      <c r="I2330" s="1" t="s">
        <v>39</v>
      </c>
      <c r="J2330" s="1" t="s">
        <v>40</v>
      </c>
      <c r="K2330" s="1" t="s">
        <v>41</v>
      </c>
      <c r="L2330" s="1">
        <v>5</v>
      </c>
    </row>
    <row r="2331" spans="1:12" s="32" customFormat="1" x14ac:dyDescent="0.3">
      <c r="A2331" s="37">
        <v>46118.570520833331</v>
      </c>
      <c r="B2331" s="1">
        <v>44997650834</v>
      </c>
      <c r="C2331" s="1" t="s">
        <v>37</v>
      </c>
      <c r="D2331" s="1">
        <v>4430265054</v>
      </c>
      <c r="E2331" s="1">
        <v>1582</v>
      </c>
      <c r="F2331" s="1">
        <v>1461</v>
      </c>
      <c r="G2331" s="1" t="s">
        <v>38</v>
      </c>
      <c r="H2331" s="1" t="s">
        <v>1323</v>
      </c>
      <c r="I2331" s="1" t="s">
        <v>39</v>
      </c>
      <c r="J2331" s="1" t="s">
        <v>40</v>
      </c>
      <c r="K2331" s="1" t="s">
        <v>41</v>
      </c>
      <c r="L2331" s="1">
        <v>5</v>
      </c>
    </row>
    <row r="2332" spans="1:12" s="32" customFormat="1" hidden="1" x14ac:dyDescent="0.3">
      <c r="A2332" s="37">
        <v>46118.569305555553</v>
      </c>
      <c r="B2332" s="1">
        <v>4435228300</v>
      </c>
      <c r="C2332" s="1">
        <v>4430265054</v>
      </c>
      <c r="D2332" s="1">
        <v>4430265054</v>
      </c>
      <c r="E2332" s="1">
        <v>37</v>
      </c>
      <c r="F2332" s="1">
        <v>36</v>
      </c>
      <c r="G2332" s="1" t="s">
        <v>52</v>
      </c>
      <c r="H2332" s="1" t="s">
        <v>1324</v>
      </c>
      <c r="I2332" s="1" t="s">
        <v>39</v>
      </c>
      <c r="J2332" s="1" t="s">
        <v>53</v>
      </c>
      <c r="K2332" s="1" t="s">
        <v>41</v>
      </c>
      <c r="L2332" s="1"/>
    </row>
    <row r="2333" spans="1:12" s="32" customFormat="1" hidden="1" x14ac:dyDescent="0.3">
      <c r="A2333" s="37">
        <v>46118.566828703704</v>
      </c>
      <c r="B2333" s="1" t="s">
        <v>45</v>
      </c>
      <c r="C2333" s="1">
        <v>44991388221</v>
      </c>
      <c r="D2333" s="1"/>
      <c r="E2333" s="1">
        <v>36</v>
      </c>
      <c r="F2333" s="1">
        <v>0</v>
      </c>
      <c r="G2333" s="1" t="s">
        <v>47</v>
      </c>
      <c r="H2333" s="1" t="s">
        <v>1325</v>
      </c>
      <c r="I2333" s="1" t="s">
        <v>46</v>
      </c>
      <c r="J2333" s="1" t="s">
        <v>40</v>
      </c>
      <c r="K2333" s="1"/>
      <c r="L2333" s="1"/>
    </row>
    <row r="2334" spans="1:12" s="32" customFormat="1" hidden="1" x14ac:dyDescent="0.3">
      <c r="A2334" s="37">
        <v>46118.563391203701</v>
      </c>
      <c r="B2334" s="1">
        <v>4130775695</v>
      </c>
      <c r="C2334" s="1" t="s">
        <v>43</v>
      </c>
      <c r="D2334" s="1">
        <v>4430265054</v>
      </c>
      <c r="E2334" s="1">
        <v>999</v>
      </c>
      <c r="F2334" s="1">
        <v>956</v>
      </c>
      <c r="G2334" s="1" t="s">
        <v>38</v>
      </c>
      <c r="H2334" s="1" t="s">
        <v>1326</v>
      </c>
      <c r="I2334" s="1" t="s">
        <v>39</v>
      </c>
      <c r="J2334" s="1" t="s">
        <v>40</v>
      </c>
      <c r="K2334" s="1" t="s">
        <v>41</v>
      </c>
      <c r="L2334" s="1"/>
    </row>
    <row r="2335" spans="1:12" s="32" customFormat="1" hidden="1" x14ac:dyDescent="0.3">
      <c r="A2335" s="37">
        <v>46118.563067129631</v>
      </c>
      <c r="B2335" s="1">
        <v>43991364602</v>
      </c>
      <c r="C2335" s="1" t="s">
        <v>45</v>
      </c>
      <c r="D2335" s="1">
        <v>4430265054</v>
      </c>
      <c r="E2335" s="1">
        <v>215</v>
      </c>
      <c r="F2335" s="1">
        <v>102</v>
      </c>
      <c r="G2335" s="1" t="s">
        <v>38</v>
      </c>
      <c r="H2335" s="1" t="s">
        <v>1327</v>
      </c>
      <c r="I2335" s="1" t="s">
        <v>39</v>
      </c>
      <c r="J2335" s="1" t="s">
        <v>40</v>
      </c>
      <c r="K2335" s="1" t="s">
        <v>41</v>
      </c>
      <c r="L2335" s="1"/>
    </row>
    <row r="2336" spans="1:12" s="32" customFormat="1" hidden="1" x14ac:dyDescent="0.3">
      <c r="A2336" s="37">
        <v>46118.561747685184</v>
      </c>
      <c r="B2336" s="1" t="s">
        <v>45</v>
      </c>
      <c r="C2336" s="1">
        <v>44991388221</v>
      </c>
      <c r="D2336" s="1"/>
      <c r="E2336" s="1">
        <v>67</v>
      </c>
      <c r="F2336" s="1">
        <v>30</v>
      </c>
      <c r="G2336" s="1" t="s">
        <v>38</v>
      </c>
      <c r="H2336" s="1" t="s">
        <v>1328</v>
      </c>
      <c r="I2336" s="1" t="s">
        <v>46</v>
      </c>
      <c r="J2336" s="1" t="s">
        <v>40</v>
      </c>
      <c r="K2336" s="1"/>
      <c r="L2336" s="1"/>
    </row>
    <row r="2337" spans="1:12" s="32" customFormat="1" hidden="1" x14ac:dyDescent="0.3">
      <c r="A2337" s="37">
        <v>46118.561631944445</v>
      </c>
      <c r="B2337" s="1" t="s">
        <v>45</v>
      </c>
      <c r="C2337" s="1">
        <v>44991388221</v>
      </c>
      <c r="D2337" s="1"/>
      <c r="E2337" s="1">
        <v>25</v>
      </c>
      <c r="F2337" s="1">
        <v>25</v>
      </c>
      <c r="G2337" s="1" t="s">
        <v>38</v>
      </c>
      <c r="H2337" s="1" t="s">
        <v>1329</v>
      </c>
      <c r="I2337" s="1" t="s">
        <v>46</v>
      </c>
      <c r="J2337" s="1" t="s">
        <v>40</v>
      </c>
      <c r="K2337" s="1"/>
      <c r="L2337" s="1"/>
    </row>
    <row r="2338" spans="1:12" s="32" customFormat="1" hidden="1" x14ac:dyDescent="0.3">
      <c r="A2338" s="37">
        <v>46118.49832175926</v>
      </c>
      <c r="B2338" s="1" t="s">
        <v>57</v>
      </c>
      <c r="C2338" s="1">
        <v>31984965995</v>
      </c>
      <c r="D2338" s="1"/>
      <c r="E2338" s="1">
        <v>26</v>
      </c>
      <c r="F2338" s="1">
        <v>12</v>
      </c>
      <c r="G2338" s="1" t="s">
        <v>38</v>
      </c>
      <c r="H2338" s="1" t="s">
        <v>1330</v>
      </c>
      <c r="I2338" s="1" t="s">
        <v>46</v>
      </c>
      <c r="J2338" s="1" t="s">
        <v>55</v>
      </c>
      <c r="K2338" s="1"/>
      <c r="L2338" s="1"/>
    </row>
    <row r="2339" spans="1:12" s="32" customFormat="1" hidden="1" x14ac:dyDescent="0.3">
      <c r="A2339" s="37">
        <v>46118.495937500003</v>
      </c>
      <c r="B2339" s="1" t="s">
        <v>44</v>
      </c>
      <c r="C2339" s="1">
        <v>44999676986</v>
      </c>
      <c r="D2339" s="1"/>
      <c r="E2339" s="1">
        <v>41</v>
      </c>
      <c r="F2339" s="1">
        <v>36</v>
      </c>
      <c r="G2339" s="1" t="s">
        <v>38</v>
      </c>
      <c r="H2339" s="1" t="s">
        <v>1331</v>
      </c>
      <c r="I2339" s="1" t="s">
        <v>46</v>
      </c>
      <c r="J2339" s="1" t="s">
        <v>40</v>
      </c>
      <c r="K2339" s="1"/>
      <c r="L2339" s="1"/>
    </row>
    <row r="2340" spans="1:12" s="32" customFormat="1" hidden="1" x14ac:dyDescent="0.3">
      <c r="A2340" s="37">
        <v>46118.495474537034</v>
      </c>
      <c r="B2340" s="1" t="s">
        <v>44</v>
      </c>
      <c r="C2340" s="1">
        <v>44999676986</v>
      </c>
      <c r="D2340" s="1"/>
      <c r="E2340" s="1">
        <v>65</v>
      </c>
      <c r="F2340" s="1">
        <v>29</v>
      </c>
      <c r="G2340" s="1" t="s">
        <v>38</v>
      </c>
      <c r="H2340" s="1" t="s">
        <v>1332</v>
      </c>
      <c r="I2340" s="1" t="s">
        <v>46</v>
      </c>
      <c r="J2340" s="1" t="s">
        <v>40</v>
      </c>
      <c r="K2340" s="1"/>
      <c r="L2340" s="1"/>
    </row>
    <row r="2341" spans="1:12" s="32" customFormat="1" hidden="1" x14ac:dyDescent="0.3">
      <c r="A2341" s="37">
        <v>46118.495370370372</v>
      </c>
      <c r="B2341" s="1" t="s">
        <v>44</v>
      </c>
      <c r="C2341" s="1">
        <v>44999676986</v>
      </c>
      <c r="D2341" s="1"/>
      <c r="E2341" s="1">
        <v>25</v>
      </c>
      <c r="F2341" s="1">
        <v>25</v>
      </c>
      <c r="G2341" s="1" t="s">
        <v>38</v>
      </c>
      <c r="H2341" s="1" t="s">
        <v>1333</v>
      </c>
      <c r="I2341" s="1" t="s">
        <v>46</v>
      </c>
      <c r="J2341" s="1" t="s">
        <v>40</v>
      </c>
      <c r="K2341" s="1"/>
      <c r="L2341" s="1"/>
    </row>
    <row r="2342" spans="1:12" s="32" customFormat="1" hidden="1" x14ac:dyDescent="0.3">
      <c r="A2342" s="37">
        <v>46118.494699074072</v>
      </c>
      <c r="B2342" s="1" t="s">
        <v>48</v>
      </c>
      <c r="C2342" s="1">
        <v>44998761561</v>
      </c>
      <c r="D2342" s="1"/>
      <c r="E2342" s="1">
        <v>15</v>
      </c>
      <c r="F2342" s="1">
        <v>0</v>
      </c>
      <c r="G2342" s="1" t="s">
        <v>47</v>
      </c>
      <c r="H2342" s="1" t="s">
        <v>1334</v>
      </c>
      <c r="I2342" s="1" t="s">
        <v>46</v>
      </c>
      <c r="J2342" s="1" t="s">
        <v>40</v>
      </c>
      <c r="K2342" s="1"/>
      <c r="L2342" s="1"/>
    </row>
    <row r="2343" spans="1:12" s="32" customFormat="1" hidden="1" x14ac:dyDescent="0.3">
      <c r="A2343" s="37">
        <v>46118.491655092592</v>
      </c>
      <c r="B2343" s="1" t="s">
        <v>57</v>
      </c>
      <c r="C2343" s="1">
        <v>91984737664</v>
      </c>
      <c r="D2343" s="1"/>
      <c r="E2343" s="1">
        <v>13</v>
      </c>
      <c r="F2343" s="1">
        <v>0</v>
      </c>
      <c r="G2343" s="1" t="s">
        <v>47</v>
      </c>
      <c r="H2343" s="1" t="s">
        <v>1335</v>
      </c>
      <c r="I2343" s="1" t="s">
        <v>46</v>
      </c>
      <c r="J2343" s="1" t="s">
        <v>55</v>
      </c>
      <c r="K2343" s="1"/>
      <c r="L2343" s="1"/>
    </row>
    <row r="2344" spans="1:12" s="32" customFormat="1" hidden="1" x14ac:dyDescent="0.3">
      <c r="A2344" s="37">
        <v>46118.490486111114</v>
      </c>
      <c r="B2344" s="1" t="s">
        <v>57</v>
      </c>
      <c r="C2344" s="1">
        <v>91984737664</v>
      </c>
      <c r="D2344" s="1"/>
      <c r="E2344" s="1">
        <v>2</v>
      </c>
      <c r="F2344" s="1">
        <v>0</v>
      </c>
      <c r="G2344" s="1" t="s">
        <v>47</v>
      </c>
      <c r="H2344" s="1" t="s">
        <v>1336</v>
      </c>
      <c r="I2344" s="1" t="s">
        <v>46</v>
      </c>
      <c r="J2344" s="1" t="s">
        <v>55</v>
      </c>
      <c r="K2344" s="1"/>
      <c r="L2344" s="1"/>
    </row>
    <row r="2345" spans="1:12" s="32" customFormat="1" hidden="1" x14ac:dyDescent="0.3">
      <c r="A2345" s="37">
        <v>46118.486493055556</v>
      </c>
      <c r="B2345" s="1">
        <v>44991388221</v>
      </c>
      <c r="C2345" s="1" t="s">
        <v>45</v>
      </c>
      <c r="D2345" s="1">
        <v>4430265054</v>
      </c>
      <c r="E2345" s="1">
        <v>1130</v>
      </c>
      <c r="F2345" s="1">
        <v>1049</v>
      </c>
      <c r="G2345" s="1" t="s">
        <v>38</v>
      </c>
      <c r="H2345" s="1" t="s">
        <v>1337</v>
      </c>
      <c r="I2345" s="1" t="s">
        <v>39</v>
      </c>
      <c r="J2345" s="1" t="s">
        <v>40</v>
      </c>
      <c r="K2345" s="1" t="s">
        <v>41</v>
      </c>
      <c r="L2345" s="1"/>
    </row>
    <row r="2346" spans="1:12" s="32" customFormat="1" hidden="1" x14ac:dyDescent="0.3">
      <c r="A2346" s="37">
        <v>46118.486354166664</v>
      </c>
      <c r="B2346" s="1">
        <v>44991484476</v>
      </c>
      <c r="C2346" s="1" t="s">
        <v>43</v>
      </c>
      <c r="D2346" s="1">
        <v>4430265054</v>
      </c>
      <c r="E2346" s="1">
        <v>411</v>
      </c>
      <c r="F2346" s="1">
        <v>347</v>
      </c>
      <c r="G2346" s="1" t="s">
        <v>38</v>
      </c>
      <c r="H2346" s="1" t="s">
        <v>1338</v>
      </c>
      <c r="I2346" s="1" t="s">
        <v>39</v>
      </c>
      <c r="J2346" s="1" t="s">
        <v>40</v>
      </c>
      <c r="K2346" s="1" t="s">
        <v>41</v>
      </c>
      <c r="L2346" s="1">
        <v>5</v>
      </c>
    </row>
    <row r="2347" spans="1:12" s="32" customFormat="1" hidden="1" x14ac:dyDescent="0.3">
      <c r="A2347" s="37">
        <v>46118.485520833332</v>
      </c>
      <c r="B2347" s="1" t="s">
        <v>45</v>
      </c>
      <c r="C2347" s="1">
        <v>44997561804</v>
      </c>
      <c r="D2347" s="1"/>
      <c r="E2347" s="1">
        <v>79</v>
      </c>
      <c r="F2347" s="1">
        <v>77</v>
      </c>
      <c r="G2347" s="1" t="s">
        <v>38</v>
      </c>
      <c r="H2347" s="1" t="s">
        <v>1339</v>
      </c>
      <c r="I2347" s="1" t="s">
        <v>46</v>
      </c>
      <c r="J2347" s="1" t="s">
        <v>40</v>
      </c>
      <c r="K2347" s="1"/>
      <c r="L2347" s="1"/>
    </row>
    <row r="2348" spans="1:12" s="32" customFormat="1" hidden="1" x14ac:dyDescent="0.3">
      <c r="A2348" s="37">
        <v>46118.485358796293</v>
      </c>
      <c r="B2348" s="1" t="s">
        <v>45</v>
      </c>
      <c r="C2348" s="1">
        <v>44998782223</v>
      </c>
      <c r="D2348" s="1"/>
      <c r="E2348" s="1">
        <v>3</v>
      </c>
      <c r="F2348" s="1">
        <v>0</v>
      </c>
      <c r="G2348" s="1" t="s">
        <v>47</v>
      </c>
      <c r="H2348" s="1" t="s">
        <v>1340</v>
      </c>
      <c r="I2348" s="1" t="s">
        <v>46</v>
      </c>
      <c r="J2348" s="1" t="s">
        <v>40</v>
      </c>
      <c r="K2348" s="1"/>
      <c r="L2348" s="1"/>
    </row>
    <row r="2349" spans="1:12" s="32" customFormat="1" hidden="1" x14ac:dyDescent="0.3">
      <c r="A2349" s="37">
        <v>46118.485254629632</v>
      </c>
      <c r="B2349" s="1" t="s">
        <v>45</v>
      </c>
      <c r="C2349" s="1">
        <v>44998782223</v>
      </c>
      <c r="D2349" s="1"/>
      <c r="E2349" s="1">
        <v>25</v>
      </c>
      <c r="F2349" s="1">
        <v>25</v>
      </c>
      <c r="G2349" s="1" t="s">
        <v>38</v>
      </c>
      <c r="H2349" s="1" t="s">
        <v>1341</v>
      </c>
      <c r="I2349" s="1" t="s">
        <v>46</v>
      </c>
      <c r="J2349" s="1" t="s">
        <v>40</v>
      </c>
      <c r="K2349" s="1"/>
      <c r="L2349" s="1"/>
    </row>
    <row r="2350" spans="1:12" s="32" customFormat="1" x14ac:dyDescent="0.3">
      <c r="A2350" s="37">
        <v>46118.481469907405</v>
      </c>
      <c r="B2350" s="1">
        <v>1732146970</v>
      </c>
      <c r="C2350" s="1" t="s">
        <v>37</v>
      </c>
      <c r="D2350" s="1">
        <v>4431268225</v>
      </c>
      <c r="E2350" s="1">
        <v>466</v>
      </c>
      <c r="F2350" s="1">
        <v>420</v>
      </c>
      <c r="G2350" s="1" t="s">
        <v>38</v>
      </c>
      <c r="H2350" s="1" t="s">
        <v>1342</v>
      </c>
      <c r="I2350" s="1" t="s">
        <v>39</v>
      </c>
      <c r="J2350" s="1" t="s">
        <v>40</v>
      </c>
      <c r="K2350" s="1" t="s">
        <v>41</v>
      </c>
      <c r="L2350" s="1">
        <v>5</v>
      </c>
    </row>
    <row r="2351" spans="1:12" s="32" customFormat="1" hidden="1" x14ac:dyDescent="0.3">
      <c r="A2351" s="37">
        <v>46118.475555555553</v>
      </c>
      <c r="B2351" s="1">
        <v>44999676986</v>
      </c>
      <c r="C2351" s="1" t="s">
        <v>44</v>
      </c>
      <c r="D2351" s="1">
        <v>4430265054</v>
      </c>
      <c r="E2351" s="1">
        <v>532</v>
      </c>
      <c r="F2351" s="1">
        <v>497</v>
      </c>
      <c r="G2351" s="1" t="s">
        <v>38</v>
      </c>
      <c r="H2351" s="1" t="s">
        <v>1343</v>
      </c>
      <c r="I2351" s="1" t="s">
        <v>39</v>
      </c>
      <c r="J2351" s="1" t="s">
        <v>40</v>
      </c>
      <c r="K2351" s="1" t="s">
        <v>41</v>
      </c>
      <c r="L2351" s="1"/>
    </row>
    <row r="2352" spans="1:12" s="32" customFormat="1" hidden="1" x14ac:dyDescent="0.3">
      <c r="A2352" s="37">
        <v>46118.474108796298</v>
      </c>
      <c r="B2352" s="1">
        <v>43999965552</v>
      </c>
      <c r="C2352" s="1" t="s">
        <v>43</v>
      </c>
      <c r="D2352" s="1">
        <v>4430265054</v>
      </c>
      <c r="E2352" s="1">
        <v>694</v>
      </c>
      <c r="F2352" s="1">
        <v>617</v>
      </c>
      <c r="G2352" s="1" t="s">
        <v>38</v>
      </c>
      <c r="H2352" s="1" t="s">
        <v>1344</v>
      </c>
      <c r="I2352" s="1" t="s">
        <v>39</v>
      </c>
      <c r="J2352" s="1" t="s">
        <v>40</v>
      </c>
      <c r="K2352" s="1" t="s">
        <v>41</v>
      </c>
      <c r="L2352" s="1"/>
    </row>
    <row r="2353" spans="1:12" s="32" customFormat="1" hidden="1" x14ac:dyDescent="0.3">
      <c r="A2353" s="37">
        <v>46118.468773148146</v>
      </c>
      <c r="B2353" s="1">
        <v>4432226677</v>
      </c>
      <c r="C2353" s="1">
        <v>4430265054</v>
      </c>
      <c r="D2353" s="1">
        <v>4430265054</v>
      </c>
      <c r="E2353" s="1">
        <v>83</v>
      </c>
      <c r="F2353" s="1">
        <v>83</v>
      </c>
      <c r="G2353" s="1" t="s">
        <v>52</v>
      </c>
      <c r="H2353" s="1" t="s">
        <v>1345</v>
      </c>
      <c r="I2353" s="1" t="s">
        <v>39</v>
      </c>
      <c r="J2353" s="1" t="s">
        <v>53</v>
      </c>
      <c r="K2353" s="1" t="s">
        <v>41</v>
      </c>
      <c r="L2353" s="1"/>
    </row>
    <row r="2354" spans="1:12" s="32" customFormat="1" hidden="1" x14ac:dyDescent="0.3">
      <c r="A2354" s="37">
        <v>46118.46837962963</v>
      </c>
      <c r="B2354" s="1">
        <v>44998782223</v>
      </c>
      <c r="C2354" s="1" t="s">
        <v>45</v>
      </c>
      <c r="D2354" s="1">
        <v>4430265054</v>
      </c>
      <c r="E2354" s="1">
        <v>772</v>
      </c>
      <c r="F2354" s="1">
        <v>730</v>
      </c>
      <c r="G2354" s="1" t="s">
        <v>38</v>
      </c>
      <c r="H2354" s="1" t="s">
        <v>1346</v>
      </c>
      <c r="I2354" s="1" t="s">
        <v>39</v>
      </c>
      <c r="J2354" s="1" t="s">
        <v>40</v>
      </c>
      <c r="K2354" s="1" t="s">
        <v>41</v>
      </c>
      <c r="L2354" s="1"/>
    </row>
    <row r="2355" spans="1:12" s="32" customFormat="1" hidden="1" x14ac:dyDescent="0.3">
      <c r="A2355" s="37">
        <v>46118.465833333335</v>
      </c>
      <c r="B2355" s="1">
        <v>4130760170</v>
      </c>
      <c r="C2355" s="1" t="s">
        <v>37</v>
      </c>
      <c r="D2355" s="1">
        <v>4430265054</v>
      </c>
      <c r="E2355" s="1">
        <v>1075</v>
      </c>
      <c r="F2355" s="1">
        <v>981</v>
      </c>
      <c r="G2355" s="1" t="s">
        <v>38</v>
      </c>
      <c r="H2355" s="1" t="s">
        <v>1347</v>
      </c>
      <c r="I2355" s="1" t="s">
        <v>39</v>
      </c>
      <c r="J2355" s="1" t="s">
        <v>40</v>
      </c>
      <c r="K2355" s="1" t="s">
        <v>41</v>
      </c>
      <c r="L2355" s="1"/>
    </row>
    <row r="2356" spans="1:12" s="32" customFormat="1" hidden="1" x14ac:dyDescent="0.3">
      <c r="A2356" s="37">
        <v>46118.464606481481</v>
      </c>
      <c r="B2356" s="1">
        <v>4334232912</v>
      </c>
      <c r="C2356" s="1" t="s">
        <v>43</v>
      </c>
      <c r="D2356" s="1">
        <v>4430265054</v>
      </c>
      <c r="E2356" s="1">
        <v>504</v>
      </c>
      <c r="F2356" s="1">
        <v>335</v>
      </c>
      <c r="G2356" s="1" t="s">
        <v>38</v>
      </c>
      <c r="H2356" s="1" t="s">
        <v>1348</v>
      </c>
      <c r="I2356" s="1" t="s">
        <v>39</v>
      </c>
      <c r="J2356" s="1" t="s">
        <v>40</v>
      </c>
      <c r="K2356" s="1" t="s">
        <v>41</v>
      </c>
      <c r="L2356" s="1"/>
    </row>
    <row r="2357" spans="1:12" s="32" customFormat="1" hidden="1" x14ac:dyDescent="0.3">
      <c r="A2357" s="37">
        <v>46118.463136574072</v>
      </c>
      <c r="B2357" s="1" t="s">
        <v>57</v>
      </c>
      <c r="C2357" s="1">
        <v>91984737664</v>
      </c>
      <c r="D2357" s="1"/>
      <c r="E2357" s="1">
        <v>2310</v>
      </c>
      <c r="F2357" s="1">
        <v>2298</v>
      </c>
      <c r="G2357" s="1" t="s">
        <v>38</v>
      </c>
      <c r="H2357" s="1" t="s">
        <v>1349</v>
      </c>
      <c r="I2357" s="1" t="s">
        <v>46</v>
      </c>
      <c r="J2357" s="1" t="s">
        <v>55</v>
      </c>
      <c r="K2357" s="1"/>
      <c r="L2357" s="1"/>
    </row>
    <row r="2358" spans="1:12" s="32" customFormat="1" hidden="1" x14ac:dyDescent="0.3">
      <c r="A2358" s="37">
        <v>46118.46266203704</v>
      </c>
      <c r="B2358" s="1" t="s">
        <v>48</v>
      </c>
      <c r="C2358" s="1">
        <v>4436291629</v>
      </c>
      <c r="D2358" s="1"/>
      <c r="E2358" s="1">
        <v>166</v>
      </c>
      <c r="F2358" s="1">
        <v>150</v>
      </c>
      <c r="G2358" s="1" t="s">
        <v>38</v>
      </c>
      <c r="H2358" s="1" t="s">
        <v>1350</v>
      </c>
      <c r="I2358" s="1" t="s">
        <v>46</v>
      </c>
      <c r="J2358" s="1" t="s">
        <v>40</v>
      </c>
      <c r="K2358" s="1"/>
      <c r="L2358" s="1"/>
    </row>
    <row r="2359" spans="1:12" s="32" customFormat="1" hidden="1" x14ac:dyDescent="0.3">
      <c r="A2359" s="37">
        <v>46118.457453703704</v>
      </c>
      <c r="B2359" s="1">
        <v>44997561804</v>
      </c>
      <c r="C2359" s="1" t="s">
        <v>45</v>
      </c>
      <c r="D2359" s="1">
        <v>4430265054</v>
      </c>
      <c r="E2359" s="1">
        <v>718</v>
      </c>
      <c r="F2359" s="1">
        <v>646</v>
      </c>
      <c r="G2359" s="1" t="s">
        <v>38</v>
      </c>
      <c r="H2359" s="1" t="s">
        <v>1351</v>
      </c>
      <c r="I2359" s="1" t="s">
        <v>39</v>
      </c>
      <c r="J2359" s="1" t="s">
        <v>40</v>
      </c>
      <c r="K2359" s="1" t="s">
        <v>41</v>
      </c>
      <c r="L2359" s="1"/>
    </row>
    <row r="2360" spans="1:12" s="32" customFormat="1" hidden="1" x14ac:dyDescent="0.3">
      <c r="A2360" s="37">
        <v>46118.457395833335</v>
      </c>
      <c r="B2360" s="1" t="s">
        <v>48</v>
      </c>
      <c r="C2360" s="1">
        <v>4436291629</v>
      </c>
      <c r="D2360" s="1"/>
      <c r="E2360" s="1">
        <v>24</v>
      </c>
      <c r="F2360" s="1">
        <v>8</v>
      </c>
      <c r="G2360" s="1" t="s">
        <v>38</v>
      </c>
      <c r="H2360" s="1" t="s">
        <v>1352</v>
      </c>
      <c r="I2360" s="1" t="s">
        <v>46</v>
      </c>
      <c r="J2360" s="1" t="s">
        <v>40</v>
      </c>
      <c r="K2360" s="1"/>
      <c r="L2360" s="1"/>
    </row>
    <row r="2361" spans="1:12" s="32" customFormat="1" hidden="1" x14ac:dyDescent="0.3">
      <c r="A2361" s="37">
        <v>46118.457337962966</v>
      </c>
      <c r="B2361" s="1" t="s">
        <v>48</v>
      </c>
      <c r="C2361" s="1">
        <v>4436291629</v>
      </c>
      <c r="D2361" s="1"/>
      <c r="E2361" s="1">
        <v>25</v>
      </c>
      <c r="F2361" s="1">
        <v>24</v>
      </c>
      <c r="G2361" s="1" t="s">
        <v>38</v>
      </c>
      <c r="H2361" s="1" t="s">
        <v>1353</v>
      </c>
      <c r="I2361" s="1" t="s">
        <v>46</v>
      </c>
      <c r="J2361" s="1" t="s">
        <v>40</v>
      </c>
      <c r="K2361" s="1"/>
      <c r="L2361" s="1"/>
    </row>
    <row r="2362" spans="1:12" s="32" customFormat="1" hidden="1" x14ac:dyDescent="0.3">
      <c r="A2362" s="37">
        <v>46118.452361111114</v>
      </c>
      <c r="B2362" s="1">
        <v>91981481202</v>
      </c>
      <c r="C2362" s="1" t="s">
        <v>43</v>
      </c>
      <c r="D2362" s="1">
        <v>4430265054</v>
      </c>
      <c r="E2362" s="1">
        <v>653</v>
      </c>
      <c r="F2362" s="1">
        <v>626</v>
      </c>
      <c r="G2362" s="1" t="s">
        <v>38</v>
      </c>
      <c r="H2362" s="1" t="s">
        <v>1354</v>
      </c>
      <c r="I2362" s="1" t="s">
        <v>39</v>
      </c>
      <c r="J2362" s="1" t="s">
        <v>40</v>
      </c>
      <c r="K2362" s="1" t="s">
        <v>41</v>
      </c>
      <c r="L2362" s="1">
        <v>5</v>
      </c>
    </row>
    <row r="2363" spans="1:12" s="32" customFormat="1" hidden="1" x14ac:dyDescent="0.3">
      <c r="A2363" s="37">
        <v>46118.446053240739</v>
      </c>
      <c r="B2363" s="1">
        <v>4130760170</v>
      </c>
      <c r="C2363" s="1" t="s">
        <v>45</v>
      </c>
      <c r="D2363" s="1">
        <v>4430265054</v>
      </c>
      <c r="E2363" s="1">
        <v>311</v>
      </c>
      <c r="F2363" s="1">
        <v>271</v>
      </c>
      <c r="G2363" s="1" t="s">
        <v>38</v>
      </c>
      <c r="H2363" s="1" t="s">
        <v>1355</v>
      </c>
      <c r="I2363" s="1" t="s">
        <v>39</v>
      </c>
      <c r="J2363" s="1" t="s">
        <v>40</v>
      </c>
      <c r="K2363" s="1" t="s">
        <v>41</v>
      </c>
      <c r="L2363" s="1">
        <v>5</v>
      </c>
    </row>
    <row r="2364" spans="1:12" s="32" customFormat="1" hidden="1" x14ac:dyDescent="0.3">
      <c r="A2364" s="37">
        <v>46118.441944444443</v>
      </c>
      <c r="B2364" s="1">
        <v>4432321428</v>
      </c>
      <c r="C2364" s="1" t="s">
        <v>37</v>
      </c>
      <c r="D2364" s="1">
        <v>4430265054</v>
      </c>
      <c r="E2364" s="1">
        <v>800</v>
      </c>
      <c r="F2364" s="1">
        <v>702</v>
      </c>
      <c r="G2364" s="1" t="s">
        <v>38</v>
      </c>
      <c r="H2364" s="1" t="s">
        <v>1356</v>
      </c>
      <c r="I2364" s="1" t="s">
        <v>39</v>
      </c>
      <c r="J2364" s="1" t="s">
        <v>40</v>
      </c>
      <c r="K2364" s="1" t="s">
        <v>41</v>
      </c>
      <c r="L2364" s="1"/>
    </row>
    <row r="2365" spans="1:12" s="32" customFormat="1" hidden="1" x14ac:dyDescent="0.3">
      <c r="A2365" s="37">
        <v>46118.441793981481</v>
      </c>
      <c r="B2365" s="1">
        <v>44999449519</v>
      </c>
      <c r="C2365" s="1" t="s">
        <v>44</v>
      </c>
      <c r="D2365" s="1">
        <v>4430265054</v>
      </c>
      <c r="E2365" s="1">
        <v>131</v>
      </c>
      <c r="F2365" s="1">
        <v>108</v>
      </c>
      <c r="G2365" s="1" t="s">
        <v>38</v>
      </c>
      <c r="H2365" s="1" t="s">
        <v>1357</v>
      </c>
      <c r="I2365" s="1" t="s">
        <v>39</v>
      </c>
      <c r="J2365" s="1" t="s">
        <v>40</v>
      </c>
      <c r="K2365" s="1" t="s">
        <v>41</v>
      </c>
      <c r="L2365" s="1">
        <v>5</v>
      </c>
    </row>
    <row r="2366" spans="1:12" s="32" customFormat="1" hidden="1" x14ac:dyDescent="0.3">
      <c r="A2366" s="37">
        <v>46118.439976851849</v>
      </c>
      <c r="B2366" s="1">
        <v>4432226677</v>
      </c>
      <c r="C2366" s="1">
        <v>4430265054</v>
      </c>
      <c r="D2366" s="1">
        <v>4430265054</v>
      </c>
      <c r="E2366" s="1">
        <v>40</v>
      </c>
      <c r="F2366" s="1">
        <v>40</v>
      </c>
      <c r="G2366" s="1" t="s">
        <v>52</v>
      </c>
      <c r="H2366" s="1" t="s">
        <v>1358</v>
      </c>
      <c r="I2366" s="1" t="s">
        <v>39</v>
      </c>
      <c r="J2366" s="1" t="s">
        <v>53</v>
      </c>
      <c r="K2366" s="1" t="s">
        <v>41</v>
      </c>
      <c r="L2366" s="1"/>
    </row>
    <row r="2367" spans="1:12" s="32" customFormat="1" hidden="1" x14ac:dyDescent="0.3">
      <c r="A2367" s="37">
        <v>46118.439629629633</v>
      </c>
      <c r="B2367" s="1" t="s">
        <v>45</v>
      </c>
      <c r="C2367" s="1">
        <v>93984112869</v>
      </c>
      <c r="D2367" s="1"/>
      <c r="E2367" s="1">
        <v>77</v>
      </c>
      <c r="F2367" s="1">
        <v>69</v>
      </c>
      <c r="G2367" s="1" t="s">
        <v>38</v>
      </c>
      <c r="H2367" s="1" t="s">
        <v>1359</v>
      </c>
      <c r="I2367" s="1" t="s">
        <v>46</v>
      </c>
      <c r="J2367" s="1" t="s">
        <v>40</v>
      </c>
      <c r="K2367" s="1"/>
      <c r="L2367" s="1"/>
    </row>
    <row r="2368" spans="1:12" s="32" customFormat="1" hidden="1" x14ac:dyDescent="0.3">
      <c r="A2368" s="37">
        <v>46118.437245370369</v>
      </c>
      <c r="B2368" s="1">
        <v>62996869933</v>
      </c>
      <c r="C2368" s="1" t="s">
        <v>43</v>
      </c>
      <c r="D2368" s="1">
        <v>4430265054</v>
      </c>
      <c r="E2368" s="1">
        <v>271</v>
      </c>
      <c r="F2368" s="1">
        <v>112</v>
      </c>
      <c r="G2368" s="1" t="s">
        <v>38</v>
      </c>
      <c r="H2368" s="1" t="s">
        <v>1360</v>
      </c>
      <c r="I2368" s="1" t="s">
        <v>39</v>
      </c>
      <c r="J2368" s="1" t="s">
        <v>40</v>
      </c>
      <c r="K2368" s="1" t="s">
        <v>41</v>
      </c>
      <c r="L2368" s="1"/>
    </row>
    <row r="2369" spans="1:12" s="32" customFormat="1" hidden="1" x14ac:dyDescent="0.3">
      <c r="A2369" s="37">
        <v>46118.43476851852</v>
      </c>
      <c r="B2369" s="1" t="s">
        <v>50</v>
      </c>
      <c r="C2369" s="1" t="s">
        <v>57</v>
      </c>
      <c r="D2369" s="1"/>
      <c r="E2369" s="1">
        <v>10</v>
      </c>
      <c r="F2369" s="1">
        <v>8</v>
      </c>
      <c r="G2369" s="1" t="s">
        <v>38</v>
      </c>
      <c r="H2369" s="1" t="s">
        <v>1361</v>
      </c>
      <c r="I2369" s="1" t="s">
        <v>51</v>
      </c>
      <c r="J2369" s="1" t="s">
        <v>55</v>
      </c>
      <c r="K2369" s="1"/>
      <c r="L2369" s="1"/>
    </row>
    <row r="2370" spans="1:12" s="32" customFormat="1" hidden="1" x14ac:dyDescent="0.3">
      <c r="A2370" s="37">
        <v>46118.434710648151</v>
      </c>
      <c r="B2370" s="1">
        <v>4334226481</v>
      </c>
      <c r="C2370" s="1" t="s">
        <v>57</v>
      </c>
      <c r="D2370" s="1">
        <v>4430265054</v>
      </c>
      <c r="E2370" s="1">
        <v>1259</v>
      </c>
      <c r="F2370" s="1">
        <v>1243</v>
      </c>
      <c r="G2370" s="1" t="s">
        <v>38</v>
      </c>
      <c r="H2370" s="1" t="s">
        <v>1362</v>
      </c>
      <c r="I2370" s="1" t="s">
        <v>39</v>
      </c>
      <c r="J2370" s="1" t="s">
        <v>55</v>
      </c>
      <c r="K2370" s="1" t="s">
        <v>49</v>
      </c>
      <c r="L2370" s="1"/>
    </row>
    <row r="2371" spans="1:12" s="32" customFormat="1" hidden="1" x14ac:dyDescent="0.3">
      <c r="A2371" s="37">
        <v>46118.432569444441</v>
      </c>
      <c r="B2371" s="1">
        <v>4334226481</v>
      </c>
      <c r="C2371" s="1" t="s">
        <v>54</v>
      </c>
      <c r="D2371" s="1">
        <v>4430265054</v>
      </c>
      <c r="E2371" s="1">
        <v>161</v>
      </c>
      <c r="F2371" s="1">
        <v>151</v>
      </c>
      <c r="G2371" s="1" t="s">
        <v>38</v>
      </c>
      <c r="H2371" s="1" t="s">
        <v>1363</v>
      </c>
      <c r="I2371" s="1" t="s">
        <v>39</v>
      </c>
      <c r="J2371" s="1" t="s">
        <v>55</v>
      </c>
      <c r="K2371" s="1" t="s">
        <v>49</v>
      </c>
      <c r="L2371" s="1"/>
    </row>
    <row r="2372" spans="1:12" s="32" customFormat="1" hidden="1" x14ac:dyDescent="0.3">
      <c r="A2372" s="37">
        <v>46118.431122685186</v>
      </c>
      <c r="B2372" s="1">
        <v>91981481202</v>
      </c>
      <c r="C2372" s="1">
        <v>4430265054</v>
      </c>
      <c r="D2372" s="1">
        <v>4430265054</v>
      </c>
      <c r="E2372" s="1">
        <v>4</v>
      </c>
      <c r="F2372" s="1">
        <v>4</v>
      </c>
      <c r="G2372" s="1" t="s">
        <v>52</v>
      </c>
      <c r="H2372" s="1" t="s">
        <v>1364</v>
      </c>
      <c r="I2372" s="1" t="s">
        <v>39</v>
      </c>
      <c r="J2372" s="1" t="s">
        <v>53</v>
      </c>
      <c r="K2372" s="1"/>
      <c r="L2372" s="1"/>
    </row>
    <row r="2373" spans="1:12" s="32" customFormat="1" hidden="1" x14ac:dyDescent="0.3">
      <c r="A2373" s="37">
        <v>46118.429965277777</v>
      </c>
      <c r="B2373" s="1">
        <v>93984112869</v>
      </c>
      <c r="C2373" s="1" t="s">
        <v>37</v>
      </c>
      <c r="D2373" s="1">
        <v>4431268225</v>
      </c>
      <c r="E2373" s="1">
        <v>166</v>
      </c>
      <c r="F2373" s="1">
        <v>126</v>
      </c>
      <c r="G2373" s="1" t="s">
        <v>38</v>
      </c>
      <c r="H2373" s="1" t="s">
        <v>1365</v>
      </c>
      <c r="I2373" s="1" t="s">
        <v>39</v>
      </c>
      <c r="J2373" s="1" t="s">
        <v>40</v>
      </c>
      <c r="K2373" s="1" t="s">
        <v>41</v>
      </c>
      <c r="L2373" s="1"/>
    </row>
    <row r="2374" spans="1:12" s="32" customFormat="1" hidden="1" x14ac:dyDescent="0.3">
      <c r="A2374" s="37">
        <v>46118.428784722222</v>
      </c>
      <c r="B2374" s="1">
        <v>4334232912</v>
      </c>
      <c r="C2374" s="1" t="s">
        <v>43</v>
      </c>
      <c r="D2374" s="1">
        <v>4430265054</v>
      </c>
      <c r="E2374" s="1">
        <v>270</v>
      </c>
      <c r="F2374" s="1">
        <v>213</v>
      </c>
      <c r="G2374" s="1" t="s">
        <v>38</v>
      </c>
      <c r="H2374" s="1" t="s">
        <v>1366</v>
      </c>
      <c r="I2374" s="1" t="s">
        <v>39</v>
      </c>
      <c r="J2374" s="1" t="s">
        <v>40</v>
      </c>
      <c r="K2374" s="1" t="s">
        <v>41</v>
      </c>
      <c r="L2374" s="1"/>
    </row>
    <row r="2375" spans="1:12" s="32" customFormat="1" hidden="1" x14ac:dyDescent="0.3">
      <c r="A2375" s="37">
        <v>46118.420578703706</v>
      </c>
      <c r="B2375" s="1">
        <v>43988030048</v>
      </c>
      <c r="C2375" s="1" t="s">
        <v>45</v>
      </c>
      <c r="D2375" s="1">
        <v>4430265054</v>
      </c>
      <c r="E2375" s="1">
        <v>1633</v>
      </c>
      <c r="F2375" s="1">
        <v>1524</v>
      </c>
      <c r="G2375" s="1" t="s">
        <v>38</v>
      </c>
      <c r="H2375" s="1" t="s">
        <v>1367</v>
      </c>
      <c r="I2375" s="1" t="s">
        <v>39</v>
      </c>
      <c r="J2375" s="1" t="s">
        <v>40</v>
      </c>
      <c r="K2375" s="1" t="s">
        <v>41</v>
      </c>
      <c r="L2375" s="1"/>
    </row>
    <row r="2376" spans="1:12" s="32" customFormat="1" hidden="1" x14ac:dyDescent="0.3">
      <c r="A2376" s="37">
        <v>46118.405740740738</v>
      </c>
      <c r="B2376" s="1">
        <v>4430191928</v>
      </c>
      <c r="C2376" s="1" t="s">
        <v>48</v>
      </c>
      <c r="D2376" s="1">
        <v>4430265054</v>
      </c>
      <c r="E2376" s="1">
        <v>398</v>
      </c>
      <c r="F2376" s="1">
        <v>354</v>
      </c>
      <c r="G2376" s="1" t="s">
        <v>38</v>
      </c>
      <c r="H2376" s="1" t="s">
        <v>1368</v>
      </c>
      <c r="I2376" s="1" t="s">
        <v>39</v>
      </c>
      <c r="J2376" s="1" t="s">
        <v>40</v>
      </c>
      <c r="K2376" s="1" t="s">
        <v>41</v>
      </c>
      <c r="L2376" s="1"/>
    </row>
    <row r="2377" spans="1:12" s="32" customFormat="1" hidden="1" x14ac:dyDescent="0.3">
      <c r="A2377" s="37">
        <v>46118.402418981481</v>
      </c>
      <c r="B2377" s="1" t="s">
        <v>48</v>
      </c>
      <c r="C2377" s="1">
        <v>44998761561</v>
      </c>
      <c r="D2377" s="1"/>
      <c r="E2377" s="1">
        <v>219</v>
      </c>
      <c r="F2377" s="1">
        <v>210</v>
      </c>
      <c r="G2377" s="1" t="s">
        <v>38</v>
      </c>
      <c r="H2377" s="1" t="s">
        <v>1369</v>
      </c>
      <c r="I2377" s="1" t="s">
        <v>46</v>
      </c>
      <c r="J2377" s="1" t="s">
        <v>40</v>
      </c>
      <c r="K2377" s="1"/>
      <c r="L2377" s="1"/>
    </row>
    <row r="2378" spans="1:12" s="32" customFormat="1" hidden="1" x14ac:dyDescent="0.3">
      <c r="A2378" s="37">
        <v>46118.399259259262</v>
      </c>
      <c r="B2378" s="1">
        <v>44998761561</v>
      </c>
      <c r="C2378" s="1" t="s">
        <v>43</v>
      </c>
      <c r="D2378" s="1">
        <v>4430265054</v>
      </c>
      <c r="E2378" s="1">
        <v>108</v>
      </c>
      <c r="F2378" s="1">
        <v>67</v>
      </c>
      <c r="G2378" s="1" t="s">
        <v>38</v>
      </c>
      <c r="H2378" s="1" t="s">
        <v>1370</v>
      </c>
      <c r="I2378" s="1" t="s">
        <v>39</v>
      </c>
      <c r="J2378" s="1" t="s">
        <v>40</v>
      </c>
      <c r="K2378" s="1" t="s">
        <v>41</v>
      </c>
      <c r="L2378" s="1"/>
    </row>
    <row r="2379" spans="1:12" s="32" customFormat="1" hidden="1" x14ac:dyDescent="0.3">
      <c r="A2379" s="37">
        <v>46118.397337962961</v>
      </c>
      <c r="B2379" s="1">
        <v>4330333542</v>
      </c>
      <c r="C2379" s="1" t="s">
        <v>44</v>
      </c>
      <c r="D2379" s="1">
        <v>4430265054</v>
      </c>
      <c r="E2379" s="1">
        <v>578</v>
      </c>
      <c r="F2379" s="1">
        <v>453</v>
      </c>
      <c r="G2379" s="1" t="s">
        <v>38</v>
      </c>
      <c r="H2379" s="1" t="s">
        <v>1371</v>
      </c>
      <c r="I2379" s="1" t="s">
        <v>39</v>
      </c>
      <c r="J2379" s="1" t="s">
        <v>40</v>
      </c>
      <c r="K2379" s="1" t="s">
        <v>41</v>
      </c>
      <c r="L2379" s="1">
        <v>5</v>
      </c>
    </row>
    <row r="2380" spans="1:12" s="32" customFormat="1" hidden="1" x14ac:dyDescent="0.3">
      <c r="A2380" s="37">
        <v>46118.394629629627</v>
      </c>
      <c r="B2380" s="1">
        <v>44991668902</v>
      </c>
      <c r="C2380" s="1" t="s">
        <v>45</v>
      </c>
      <c r="D2380" s="1">
        <v>4430265054</v>
      </c>
      <c r="E2380" s="1">
        <v>1648</v>
      </c>
      <c r="F2380" s="1">
        <v>1624</v>
      </c>
      <c r="G2380" s="1" t="s">
        <v>38</v>
      </c>
      <c r="H2380" s="1" t="s">
        <v>1372</v>
      </c>
      <c r="I2380" s="1" t="s">
        <v>39</v>
      </c>
      <c r="J2380" s="1" t="s">
        <v>40</v>
      </c>
      <c r="K2380" s="1" t="s">
        <v>41</v>
      </c>
      <c r="L2380" s="1"/>
    </row>
    <row r="2381" spans="1:12" s="32" customFormat="1" hidden="1" x14ac:dyDescent="0.3">
      <c r="A2381" s="37">
        <v>46118.388310185182</v>
      </c>
      <c r="B2381" s="1">
        <v>41995061279</v>
      </c>
      <c r="C2381" s="1">
        <v>4430265054</v>
      </c>
      <c r="D2381" s="1">
        <v>4430265054</v>
      </c>
      <c r="E2381" s="1">
        <v>247</v>
      </c>
      <c r="F2381" s="1">
        <v>246</v>
      </c>
      <c r="G2381" s="1" t="s">
        <v>52</v>
      </c>
      <c r="H2381" s="1" t="s">
        <v>1373</v>
      </c>
      <c r="I2381" s="1" t="s">
        <v>39</v>
      </c>
      <c r="J2381" s="1" t="s">
        <v>53</v>
      </c>
      <c r="K2381" s="1" t="s">
        <v>41</v>
      </c>
      <c r="L2381" s="1"/>
    </row>
    <row r="2382" spans="1:12" s="32" customFormat="1" hidden="1" x14ac:dyDescent="0.3">
      <c r="A2382" s="37">
        <v>46118.38685185185</v>
      </c>
      <c r="B2382" s="1">
        <v>44999449519</v>
      </c>
      <c r="C2382" s="1" t="s">
        <v>44</v>
      </c>
      <c r="D2382" s="1">
        <v>4430265054</v>
      </c>
      <c r="E2382" s="1">
        <v>910</v>
      </c>
      <c r="F2382" s="1">
        <v>749</v>
      </c>
      <c r="G2382" s="1" t="s">
        <v>38</v>
      </c>
      <c r="H2382" s="1" t="s">
        <v>1374</v>
      </c>
      <c r="I2382" s="1" t="s">
        <v>39</v>
      </c>
      <c r="J2382" s="1" t="s">
        <v>40</v>
      </c>
      <c r="K2382" s="1" t="s">
        <v>41</v>
      </c>
      <c r="L2382" s="1">
        <v>5</v>
      </c>
    </row>
    <row r="2383" spans="1:12" s="32" customFormat="1" x14ac:dyDescent="0.3">
      <c r="A2383" s="37">
        <v>46118.386574074073</v>
      </c>
      <c r="B2383" s="1">
        <v>6230863134</v>
      </c>
      <c r="C2383" s="1" t="s">
        <v>37</v>
      </c>
      <c r="D2383" s="1">
        <v>4430265054</v>
      </c>
      <c r="E2383" s="1">
        <v>3173</v>
      </c>
      <c r="F2383" s="1">
        <v>3058</v>
      </c>
      <c r="G2383" s="1" t="s">
        <v>38</v>
      </c>
      <c r="H2383" s="1" t="s">
        <v>1375</v>
      </c>
      <c r="I2383" s="1" t="s">
        <v>39</v>
      </c>
      <c r="J2383" s="1" t="s">
        <v>40</v>
      </c>
      <c r="K2383" s="1" t="s">
        <v>41</v>
      </c>
      <c r="L2383" s="1">
        <v>5</v>
      </c>
    </row>
    <row r="2384" spans="1:12" s="32" customFormat="1" hidden="1" x14ac:dyDescent="0.3">
      <c r="A2384" s="37">
        <v>46118.38621527778</v>
      </c>
      <c r="B2384" s="1">
        <v>43991519887</v>
      </c>
      <c r="C2384" s="1" t="s">
        <v>44</v>
      </c>
      <c r="D2384" s="1">
        <v>4430265054</v>
      </c>
      <c r="E2384" s="1">
        <v>193</v>
      </c>
      <c r="F2384" s="1">
        <v>170</v>
      </c>
      <c r="G2384" s="1" t="s">
        <v>38</v>
      </c>
      <c r="H2384" s="1" t="s">
        <v>1376</v>
      </c>
      <c r="I2384" s="1" t="s">
        <v>39</v>
      </c>
      <c r="J2384" s="1" t="s">
        <v>40</v>
      </c>
      <c r="K2384" s="1" t="s">
        <v>41</v>
      </c>
      <c r="L2384" s="1"/>
    </row>
    <row r="2385" spans="1:12" s="32" customFormat="1" hidden="1" x14ac:dyDescent="0.3">
      <c r="A2385" s="37">
        <v>46118.384722222225</v>
      </c>
      <c r="B2385" s="1">
        <v>4436291629</v>
      </c>
      <c r="C2385" s="1" t="s">
        <v>37</v>
      </c>
      <c r="D2385" s="1">
        <v>4430265054</v>
      </c>
      <c r="E2385" s="1">
        <v>210</v>
      </c>
      <c r="F2385" s="1">
        <v>71</v>
      </c>
      <c r="G2385" s="1" t="s">
        <v>38</v>
      </c>
      <c r="H2385" s="1" t="s">
        <v>1377</v>
      </c>
      <c r="I2385" s="1" t="s">
        <v>39</v>
      </c>
      <c r="J2385" s="1" t="s">
        <v>40</v>
      </c>
      <c r="K2385" s="1" t="s">
        <v>41</v>
      </c>
      <c r="L2385" s="1"/>
    </row>
    <row r="2386" spans="1:12" s="32" customFormat="1" hidden="1" x14ac:dyDescent="0.3">
      <c r="A2386" s="37">
        <v>46118.382824074077</v>
      </c>
      <c r="B2386" s="1">
        <v>6434534421</v>
      </c>
      <c r="C2386" s="1" t="s">
        <v>54</v>
      </c>
      <c r="D2386" s="1">
        <v>4430265054</v>
      </c>
      <c r="E2386" s="1">
        <v>94</v>
      </c>
      <c r="F2386" s="1">
        <v>74</v>
      </c>
      <c r="G2386" s="1" t="s">
        <v>38</v>
      </c>
      <c r="H2386" s="1" t="s">
        <v>1378</v>
      </c>
      <c r="I2386" s="1" t="s">
        <v>39</v>
      </c>
      <c r="J2386" s="1" t="s">
        <v>55</v>
      </c>
      <c r="K2386" s="1" t="s">
        <v>49</v>
      </c>
      <c r="L2386" s="1"/>
    </row>
    <row r="2387" spans="1:12" s="32" customFormat="1" hidden="1" x14ac:dyDescent="0.3">
      <c r="A2387" s="37">
        <v>46118.381956018522</v>
      </c>
      <c r="B2387" s="1">
        <v>4432226677</v>
      </c>
      <c r="C2387" s="1" t="s">
        <v>43</v>
      </c>
      <c r="D2387" s="1">
        <v>4430265054</v>
      </c>
      <c r="E2387" s="1">
        <v>934</v>
      </c>
      <c r="F2387" s="1">
        <v>877</v>
      </c>
      <c r="G2387" s="1" t="s">
        <v>38</v>
      </c>
      <c r="H2387" s="1" t="s">
        <v>1379</v>
      </c>
      <c r="I2387" s="1" t="s">
        <v>39</v>
      </c>
      <c r="J2387" s="1" t="s">
        <v>40</v>
      </c>
      <c r="K2387" s="1" t="s">
        <v>41</v>
      </c>
      <c r="L2387" s="1"/>
    </row>
    <row r="2388" spans="1:12" s="32" customFormat="1" hidden="1" x14ac:dyDescent="0.3">
      <c r="A2388" s="37">
        <v>46118.379212962966</v>
      </c>
      <c r="B2388" s="1">
        <v>4430141092</v>
      </c>
      <c r="C2388" s="1">
        <v>4430265054</v>
      </c>
      <c r="D2388" s="1">
        <v>4430265054</v>
      </c>
      <c r="E2388" s="1">
        <v>13</v>
      </c>
      <c r="F2388" s="1">
        <v>12</v>
      </c>
      <c r="G2388" s="1" t="s">
        <v>52</v>
      </c>
      <c r="H2388" s="1" t="s">
        <v>1380</v>
      </c>
      <c r="I2388" s="1" t="s">
        <v>39</v>
      </c>
      <c r="J2388" s="1" t="s">
        <v>53</v>
      </c>
      <c r="K2388" s="1"/>
      <c r="L2388" s="1"/>
    </row>
    <row r="2389" spans="1:12" s="32" customFormat="1" hidden="1" x14ac:dyDescent="0.3">
      <c r="A2389" s="37">
        <v>46118.377766203703</v>
      </c>
      <c r="B2389" s="1">
        <v>4130775695</v>
      </c>
      <c r="C2389" s="1" t="s">
        <v>45</v>
      </c>
      <c r="D2389" s="1">
        <v>4430265054</v>
      </c>
      <c r="E2389" s="1">
        <v>1233</v>
      </c>
      <c r="F2389" s="1">
        <v>1192</v>
      </c>
      <c r="G2389" s="1" t="s">
        <v>38</v>
      </c>
      <c r="H2389" s="1" t="s">
        <v>1381</v>
      </c>
      <c r="I2389" s="1" t="s">
        <v>39</v>
      </c>
      <c r="J2389" s="1" t="s">
        <v>40</v>
      </c>
      <c r="K2389" s="1" t="s">
        <v>41</v>
      </c>
      <c r="L2389" s="1">
        <v>5</v>
      </c>
    </row>
    <row r="2390" spans="1:12" s="32" customFormat="1" hidden="1" x14ac:dyDescent="0.3">
      <c r="A2390" s="37">
        <v>46118.376504629632</v>
      </c>
      <c r="B2390" s="1">
        <v>44999647912</v>
      </c>
      <c r="C2390" s="1" t="s">
        <v>43</v>
      </c>
      <c r="D2390" s="1">
        <v>4430265054</v>
      </c>
      <c r="E2390" s="1">
        <v>151</v>
      </c>
      <c r="F2390" s="1">
        <v>130</v>
      </c>
      <c r="G2390" s="1" t="s">
        <v>38</v>
      </c>
      <c r="H2390" s="1" t="s">
        <v>1382</v>
      </c>
      <c r="I2390" s="1" t="s">
        <v>39</v>
      </c>
      <c r="J2390" s="1" t="s">
        <v>40</v>
      </c>
      <c r="K2390" s="1" t="s">
        <v>41</v>
      </c>
      <c r="L2390" s="1"/>
    </row>
    <row r="2391" spans="1:12" s="32" customFormat="1" hidden="1" x14ac:dyDescent="0.3">
      <c r="A2391" s="37">
        <v>46118.371493055558</v>
      </c>
      <c r="B2391" s="1">
        <v>44999449519</v>
      </c>
      <c r="C2391" s="1" t="s">
        <v>44</v>
      </c>
      <c r="D2391" s="1">
        <v>4430265054</v>
      </c>
      <c r="E2391" s="1">
        <v>480</v>
      </c>
      <c r="F2391" s="1">
        <v>420</v>
      </c>
      <c r="G2391" s="1" t="s">
        <v>38</v>
      </c>
      <c r="H2391" s="1" t="s">
        <v>1383</v>
      </c>
      <c r="I2391" s="1" t="s">
        <v>39</v>
      </c>
      <c r="J2391" s="1" t="s">
        <v>40</v>
      </c>
      <c r="K2391" s="1" t="s">
        <v>41</v>
      </c>
      <c r="L2391" s="1"/>
    </row>
    <row r="2392" spans="1:12" s="32" customFormat="1" x14ac:dyDescent="0.3">
      <c r="A2392" s="37">
        <v>46118.367847222224</v>
      </c>
      <c r="B2392" s="1">
        <v>6434530674</v>
      </c>
      <c r="C2392" s="1" t="s">
        <v>37</v>
      </c>
      <c r="D2392" s="1">
        <v>4430265054</v>
      </c>
      <c r="E2392" s="1">
        <v>1258</v>
      </c>
      <c r="F2392" s="1">
        <v>1159</v>
      </c>
      <c r="G2392" s="1" t="s">
        <v>38</v>
      </c>
      <c r="H2392" s="1" t="s">
        <v>1384</v>
      </c>
      <c r="I2392" s="1" t="s">
        <v>39</v>
      </c>
      <c r="J2392" s="1" t="s">
        <v>40</v>
      </c>
      <c r="K2392" s="1" t="s">
        <v>41</v>
      </c>
      <c r="L2392" s="1">
        <v>5</v>
      </c>
    </row>
    <row r="2393" spans="1:12" s="32" customFormat="1" hidden="1" x14ac:dyDescent="0.3">
      <c r="A2393" s="37">
        <v>46118.365046296298</v>
      </c>
      <c r="B2393" s="1">
        <v>67992613909</v>
      </c>
      <c r="C2393" s="1" t="s">
        <v>45</v>
      </c>
      <c r="D2393" s="1">
        <v>4430265054</v>
      </c>
      <c r="E2393" s="1">
        <v>1142</v>
      </c>
      <c r="F2393" s="1">
        <v>1085</v>
      </c>
      <c r="G2393" s="1" t="s">
        <v>38</v>
      </c>
      <c r="H2393" s="1" t="s">
        <v>1385</v>
      </c>
      <c r="I2393" s="1" t="s">
        <v>39</v>
      </c>
      <c r="J2393" s="1" t="s">
        <v>40</v>
      </c>
      <c r="K2393" s="1" t="s">
        <v>41</v>
      </c>
      <c r="L2393" s="1"/>
    </row>
    <row r="2394" spans="1:12" s="32" customFormat="1" hidden="1" x14ac:dyDescent="0.3">
      <c r="A2394" s="37">
        <v>46116.476736111108</v>
      </c>
      <c r="B2394" s="1">
        <v>44991814587</v>
      </c>
      <c r="C2394" s="1">
        <v>4430265054</v>
      </c>
      <c r="D2394" s="1">
        <v>4430265054</v>
      </c>
      <c r="E2394" s="1">
        <v>29</v>
      </c>
      <c r="F2394" s="1">
        <v>28</v>
      </c>
      <c r="G2394" s="1" t="s">
        <v>52</v>
      </c>
      <c r="H2394" s="1" t="s">
        <v>1386</v>
      </c>
      <c r="I2394" s="1" t="s">
        <v>39</v>
      </c>
      <c r="J2394" s="1" t="s">
        <v>53</v>
      </c>
      <c r="K2394" s="1"/>
      <c r="L2394" s="1"/>
    </row>
    <row r="2395" spans="1:12" s="32" customFormat="1" hidden="1" x14ac:dyDescent="0.3">
      <c r="A2395" s="37">
        <v>46114.729004629633</v>
      </c>
      <c r="B2395" s="1">
        <v>4430346845</v>
      </c>
      <c r="C2395" s="1" t="s">
        <v>45</v>
      </c>
      <c r="D2395" s="1">
        <v>4430265054</v>
      </c>
      <c r="E2395" s="1">
        <v>309</v>
      </c>
      <c r="F2395" s="1">
        <v>256</v>
      </c>
      <c r="G2395" s="1" t="s">
        <v>38</v>
      </c>
      <c r="H2395" s="1" t="s">
        <v>1387</v>
      </c>
      <c r="I2395" s="1" t="s">
        <v>39</v>
      </c>
      <c r="J2395" s="1" t="s">
        <v>40</v>
      </c>
      <c r="K2395" s="1" t="s">
        <v>41</v>
      </c>
      <c r="L2395" s="1">
        <v>5</v>
      </c>
    </row>
    <row r="2396" spans="1:12" s="32" customFormat="1" hidden="1" x14ac:dyDescent="0.3">
      <c r="A2396" s="37">
        <v>46114.728101851855</v>
      </c>
      <c r="B2396" s="1">
        <v>44932221641</v>
      </c>
      <c r="C2396" s="1">
        <v>4430265054</v>
      </c>
      <c r="D2396" s="1">
        <v>4430265054</v>
      </c>
      <c r="E2396" s="1">
        <v>4</v>
      </c>
      <c r="F2396" s="1">
        <v>4</v>
      </c>
      <c r="G2396" s="1" t="s">
        <v>52</v>
      </c>
      <c r="H2396" s="1" t="s">
        <v>1388</v>
      </c>
      <c r="I2396" s="1" t="s">
        <v>39</v>
      </c>
      <c r="J2396" s="1" t="s">
        <v>53</v>
      </c>
      <c r="K2396" s="1"/>
      <c r="L2396" s="1"/>
    </row>
    <row r="2397" spans="1:12" s="32" customFormat="1" hidden="1" x14ac:dyDescent="0.3">
      <c r="A2397" s="37">
        <v>46114.723124999997</v>
      </c>
      <c r="B2397" s="1">
        <v>44999387742</v>
      </c>
      <c r="C2397" s="1" t="s">
        <v>43</v>
      </c>
      <c r="D2397" s="1">
        <v>4430265054</v>
      </c>
      <c r="E2397" s="1">
        <v>308</v>
      </c>
      <c r="F2397" s="1">
        <v>222</v>
      </c>
      <c r="G2397" s="1" t="s">
        <v>38</v>
      </c>
      <c r="H2397" s="1" t="s">
        <v>1389</v>
      </c>
      <c r="I2397" s="1" t="s">
        <v>39</v>
      </c>
      <c r="J2397" s="1" t="s">
        <v>40</v>
      </c>
      <c r="K2397" s="1" t="s">
        <v>41</v>
      </c>
      <c r="L2397" s="1"/>
    </row>
    <row r="2398" spans="1:12" s="32" customFormat="1" hidden="1" x14ac:dyDescent="0.3">
      <c r="A2398" s="37">
        <v>46114.721261574072</v>
      </c>
      <c r="B2398" s="1" t="s">
        <v>44</v>
      </c>
      <c r="C2398" s="1">
        <v>4330333542</v>
      </c>
      <c r="D2398" s="1"/>
      <c r="E2398" s="1">
        <v>111</v>
      </c>
      <c r="F2398" s="1">
        <v>100</v>
      </c>
      <c r="G2398" s="1" t="s">
        <v>38</v>
      </c>
      <c r="H2398" s="1" t="s">
        <v>1390</v>
      </c>
      <c r="I2398" s="1" t="s">
        <v>46</v>
      </c>
      <c r="J2398" s="1" t="s">
        <v>40</v>
      </c>
      <c r="K2398" s="1"/>
      <c r="L2398" s="1"/>
    </row>
    <row r="2399" spans="1:12" s="32" customFormat="1" hidden="1" x14ac:dyDescent="0.3">
      <c r="A2399" s="37">
        <v>46114.717743055553</v>
      </c>
      <c r="B2399" s="1">
        <v>4432269849</v>
      </c>
      <c r="C2399" s="1" t="s">
        <v>37</v>
      </c>
      <c r="D2399" s="1">
        <v>4430265054</v>
      </c>
      <c r="E2399" s="1">
        <v>1114</v>
      </c>
      <c r="F2399" s="1">
        <v>1066</v>
      </c>
      <c r="G2399" s="1" t="s">
        <v>38</v>
      </c>
      <c r="H2399" s="1" t="s">
        <v>1391</v>
      </c>
      <c r="I2399" s="1" t="s">
        <v>39</v>
      </c>
      <c r="J2399" s="1" t="s">
        <v>40</v>
      </c>
      <c r="K2399" s="1" t="s">
        <v>41</v>
      </c>
      <c r="L2399" s="1"/>
    </row>
    <row r="2400" spans="1:12" s="32" customFormat="1" hidden="1" x14ac:dyDescent="0.3">
      <c r="A2400" s="37">
        <v>46114.715833333335</v>
      </c>
      <c r="B2400" s="1">
        <v>4121410323</v>
      </c>
      <c r="C2400" s="1">
        <v>4531273161</v>
      </c>
      <c r="D2400" s="1">
        <v>4531273161</v>
      </c>
      <c r="E2400" s="1">
        <v>9</v>
      </c>
      <c r="F2400" s="1">
        <v>9</v>
      </c>
      <c r="G2400" s="1" t="s">
        <v>52</v>
      </c>
      <c r="H2400" s="1" t="s">
        <v>1392</v>
      </c>
      <c r="I2400" s="1" t="s">
        <v>39</v>
      </c>
      <c r="J2400" s="1" t="s">
        <v>53</v>
      </c>
      <c r="K2400" s="1"/>
      <c r="L2400" s="1"/>
    </row>
    <row r="2401" spans="1:12" s="32" customFormat="1" hidden="1" x14ac:dyDescent="0.3">
      <c r="A2401" s="37">
        <v>46114.711597222224</v>
      </c>
      <c r="B2401" s="1">
        <v>91981481202</v>
      </c>
      <c r="C2401" s="1" t="s">
        <v>43</v>
      </c>
      <c r="D2401" s="1">
        <v>4430265054</v>
      </c>
      <c r="E2401" s="1">
        <v>326</v>
      </c>
      <c r="F2401" s="1">
        <v>260</v>
      </c>
      <c r="G2401" s="1" t="s">
        <v>38</v>
      </c>
      <c r="H2401" s="1" t="s">
        <v>1393</v>
      </c>
      <c r="I2401" s="1" t="s">
        <v>39</v>
      </c>
      <c r="J2401" s="1" t="s">
        <v>40</v>
      </c>
      <c r="K2401" s="1" t="s">
        <v>41</v>
      </c>
      <c r="L2401" s="1"/>
    </row>
    <row r="2402" spans="1:12" s="32" customFormat="1" hidden="1" x14ac:dyDescent="0.3">
      <c r="A2402" s="37">
        <v>46114.702928240738</v>
      </c>
      <c r="B2402" s="1">
        <v>44998802935</v>
      </c>
      <c r="C2402" s="1" t="s">
        <v>42</v>
      </c>
      <c r="D2402" s="1">
        <v>4431268225</v>
      </c>
      <c r="E2402" s="1">
        <v>273</v>
      </c>
      <c r="F2402" s="1">
        <v>221</v>
      </c>
      <c r="G2402" s="1" t="s">
        <v>38</v>
      </c>
      <c r="H2402" s="1" t="s">
        <v>1394</v>
      </c>
      <c r="I2402" s="1" t="s">
        <v>39</v>
      </c>
      <c r="J2402" s="1" t="s">
        <v>40</v>
      </c>
      <c r="K2402" s="1" t="s">
        <v>41</v>
      </c>
      <c r="L2402" s="1"/>
    </row>
    <row r="2403" spans="1:12" s="32" customFormat="1" hidden="1" x14ac:dyDescent="0.3">
      <c r="A2403" s="37">
        <v>46114.7028125</v>
      </c>
      <c r="B2403" s="1">
        <v>4121410323</v>
      </c>
      <c r="C2403" s="1">
        <v>4531273159</v>
      </c>
      <c r="D2403" s="1">
        <v>4531273159</v>
      </c>
      <c r="E2403" s="1">
        <v>47</v>
      </c>
      <c r="F2403" s="1">
        <v>47</v>
      </c>
      <c r="G2403" s="1" t="s">
        <v>52</v>
      </c>
      <c r="H2403" s="1" t="s">
        <v>1395</v>
      </c>
      <c r="I2403" s="1" t="s">
        <v>39</v>
      </c>
      <c r="J2403" s="1" t="s">
        <v>53</v>
      </c>
      <c r="K2403" s="1" t="s">
        <v>41</v>
      </c>
      <c r="L2403" s="1"/>
    </row>
    <row r="2404" spans="1:12" s="32" customFormat="1" hidden="1" x14ac:dyDescent="0.3">
      <c r="A2404" s="37">
        <v>46114.700277777774</v>
      </c>
      <c r="B2404" s="1">
        <v>44998802935</v>
      </c>
      <c r="C2404" s="1" t="s">
        <v>42</v>
      </c>
      <c r="D2404" s="1">
        <v>4431268225</v>
      </c>
      <c r="E2404" s="1">
        <v>170</v>
      </c>
      <c r="F2404" s="1">
        <v>119</v>
      </c>
      <c r="G2404" s="1" t="s">
        <v>38</v>
      </c>
      <c r="H2404" s="1" t="s">
        <v>1396</v>
      </c>
      <c r="I2404" s="1" t="s">
        <v>39</v>
      </c>
      <c r="J2404" s="1" t="s">
        <v>40</v>
      </c>
      <c r="K2404" s="1" t="s">
        <v>41</v>
      </c>
      <c r="L2404" s="1"/>
    </row>
    <row r="2405" spans="1:12" s="32" customFormat="1" hidden="1" x14ac:dyDescent="0.3">
      <c r="A2405" s="37">
        <v>46114.69903935185</v>
      </c>
      <c r="B2405" s="1">
        <v>4421032923</v>
      </c>
      <c r="C2405" s="1">
        <v>4430265054</v>
      </c>
      <c r="D2405" s="1">
        <v>4430265054</v>
      </c>
      <c r="E2405" s="1">
        <v>3</v>
      </c>
      <c r="F2405" s="1">
        <v>3</v>
      </c>
      <c r="G2405" s="1" t="s">
        <v>52</v>
      </c>
      <c r="H2405" s="1" t="s">
        <v>1397</v>
      </c>
      <c r="I2405" s="1" t="s">
        <v>39</v>
      </c>
      <c r="J2405" s="1" t="s">
        <v>53</v>
      </c>
      <c r="K2405" s="1"/>
      <c r="L2405" s="1"/>
    </row>
    <row r="2406" spans="1:12" s="32" customFormat="1" hidden="1" x14ac:dyDescent="0.3">
      <c r="A2406" s="37">
        <v>46114.698136574072</v>
      </c>
      <c r="B2406" s="1">
        <v>44998802935</v>
      </c>
      <c r="C2406" s="1">
        <v>4431268225</v>
      </c>
      <c r="D2406" s="1">
        <v>4431268225</v>
      </c>
      <c r="E2406" s="1">
        <v>163</v>
      </c>
      <c r="F2406" s="1">
        <v>162</v>
      </c>
      <c r="G2406" s="1" t="s">
        <v>52</v>
      </c>
      <c r="H2406" s="1" t="s">
        <v>1398</v>
      </c>
      <c r="I2406" s="1" t="s">
        <v>39</v>
      </c>
      <c r="J2406" s="1" t="s">
        <v>53</v>
      </c>
      <c r="K2406" s="1" t="s">
        <v>41</v>
      </c>
      <c r="L2406" s="1"/>
    </row>
    <row r="2407" spans="1:12" s="32" customFormat="1" hidden="1" x14ac:dyDescent="0.3">
      <c r="A2407" s="37">
        <v>46114.691030092596</v>
      </c>
      <c r="B2407" s="1">
        <v>4121418115</v>
      </c>
      <c r="C2407" s="1">
        <v>4531273158</v>
      </c>
      <c r="D2407" s="1">
        <v>4531273158</v>
      </c>
      <c r="E2407" s="1">
        <v>47</v>
      </c>
      <c r="F2407" s="1">
        <v>46</v>
      </c>
      <c r="G2407" s="1" t="s">
        <v>52</v>
      </c>
      <c r="H2407" s="1" t="s">
        <v>1399</v>
      </c>
      <c r="I2407" s="1" t="s">
        <v>39</v>
      </c>
      <c r="J2407" s="1" t="s">
        <v>53</v>
      </c>
      <c r="K2407" s="1" t="s">
        <v>41</v>
      </c>
      <c r="L2407" s="1"/>
    </row>
    <row r="2408" spans="1:12" s="32" customFormat="1" hidden="1" x14ac:dyDescent="0.3">
      <c r="A2408" s="37">
        <v>46114.690972222219</v>
      </c>
      <c r="B2408" s="1" t="s">
        <v>37</v>
      </c>
      <c r="C2408" s="1">
        <v>44998437682</v>
      </c>
      <c r="D2408" s="1"/>
      <c r="E2408" s="1">
        <v>157</v>
      </c>
      <c r="F2408" s="1">
        <v>148</v>
      </c>
      <c r="G2408" s="1" t="s">
        <v>38</v>
      </c>
      <c r="H2408" s="1" t="s">
        <v>1400</v>
      </c>
      <c r="I2408" s="1" t="s">
        <v>46</v>
      </c>
      <c r="J2408" s="1" t="s">
        <v>40</v>
      </c>
      <c r="K2408" s="1"/>
      <c r="L2408" s="1"/>
    </row>
    <row r="2409" spans="1:12" s="32" customFormat="1" hidden="1" x14ac:dyDescent="0.3">
      <c r="A2409" s="37">
        <v>46114.69054398148</v>
      </c>
      <c r="B2409" s="1" t="s">
        <v>37</v>
      </c>
      <c r="C2409" s="1">
        <v>44998437682</v>
      </c>
      <c r="D2409" s="1"/>
      <c r="E2409" s="1">
        <v>34</v>
      </c>
      <c r="F2409" s="1">
        <v>0</v>
      </c>
      <c r="G2409" s="1" t="s">
        <v>47</v>
      </c>
      <c r="H2409" s="1" t="s">
        <v>1401</v>
      </c>
      <c r="I2409" s="1" t="s">
        <v>46</v>
      </c>
      <c r="J2409" s="1" t="s">
        <v>40</v>
      </c>
      <c r="K2409" s="1"/>
      <c r="L2409" s="1"/>
    </row>
    <row r="2410" spans="1:12" s="32" customFormat="1" hidden="1" x14ac:dyDescent="0.3">
      <c r="A2410" s="37">
        <v>46114.690439814818</v>
      </c>
      <c r="B2410" s="1" t="s">
        <v>37</v>
      </c>
      <c r="C2410" s="1">
        <v>44998437682</v>
      </c>
      <c r="D2410" s="1"/>
      <c r="E2410" s="1">
        <v>25</v>
      </c>
      <c r="F2410" s="1">
        <v>25</v>
      </c>
      <c r="G2410" s="1" t="s">
        <v>38</v>
      </c>
      <c r="H2410" s="1" t="s">
        <v>1402</v>
      </c>
      <c r="I2410" s="1" t="s">
        <v>46</v>
      </c>
      <c r="J2410" s="1" t="s">
        <v>40</v>
      </c>
      <c r="K2410" s="1"/>
      <c r="L2410" s="1"/>
    </row>
    <row r="2411" spans="1:12" s="32" customFormat="1" x14ac:dyDescent="0.3">
      <c r="A2411" s="37">
        <v>46114.676365740743</v>
      </c>
      <c r="B2411" s="1">
        <v>44998437682</v>
      </c>
      <c r="C2411" s="1" t="s">
        <v>37</v>
      </c>
      <c r="D2411" s="1">
        <v>4430265054</v>
      </c>
      <c r="E2411" s="1">
        <v>640</v>
      </c>
      <c r="F2411" s="1">
        <v>509</v>
      </c>
      <c r="G2411" s="1" t="s">
        <v>38</v>
      </c>
      <c r="H2411" s="1" t="s">
        <v>1403</v>
      </c>
      <c r="I2411" s="1" t="s">
        <v>39</v>
      </c>
      <c r="J2411" s="1" t="s">
        <v>40</v>
      </c>
      <c r="K2411" s="1" t="s">
        <v>41</v>
      </c>
      <c r="L2411" s="1">
        <v>5</v>
      </c>
    </row>
    <row r="2412" spans="1:12" s="32" customFormat="1" hidden="1" x14ac:dyDescent="0.3">
      <c r="A2412" s="37">
        <v>46114.664479166669</v>
      </c>
      <c r="B2412" s="1">
        <v>44999449519</v>
      </c>
      <c r="C2412" s="1" t="s">
        <v>44</v>
      </c>
      <c r="D2412" s="1">
        <v>4430265054</v>
      </c>
      <c r="E2412" s="1">
        <v>235</v>
      </c>
      <c r="F2412" s="1">
        <v>157</v>
      </c>
      <c r="G2412" s="1" t="s">
        <v>38</v>
      </c>
      <c r="H2412" s="1" t="s">
        <v>1404</v>
      </c>
      <c r="I2412" s="1" t="s">
        <v>39</v>
      </c>
      <c r="J2412" s="1" t="s">
        <v>40</v>
      </c>
      <c r="K2412" s="1" t="s">
        <v>41</v>
      </c>
      <c r="L2412" s="1">
        <v>5</v>
      </c>
    </row>
    <row r="2413" spans="1:12" s="32" customFormat="1" hidden="1" x14ac:dyDescent="0.3">
      <c r="A2413" s="37">
        <v>46114.661168981482</v>
      </c>
      <c r="B2413" s="1">
        <v>44999449519</v>
      </c>
      <c r="C2413" s="1" t="s">
        <v>43</v>
      </c>
      <c r="D2413" s="1">
        <v>4430265054</v>
      </c>
      <c r="E2413" s="1">
        <v>240</v>
      </c>
      <c r="F2413" s="1">
        <v>221</v>
      </c>
      <c r="G2413" s="1" t="s">
        <v>38</v>
      </c>
      <c r="H2413" s="1" t="s">
        <v>1405</v>
      </c>
      <c r="I2413" s="1" t="s">
        <v>39</v>
      </c>
      <c r="J2413" s="1" t="s">
        <v>40</v>
      </c>
      <c r="K2413" s="1" t="s">
        <v>41</v>
      </c>
      <c r="L2413" s="1">
        <v>5</v>
      </c>
    </row>
    <row r="2414" spans="1:12" s="32" customFormat="1" hidden="1" x14ac:dyDescent="0.3">
      <c r="A2414" s="37">
        <v>46114.659837962965</v>
      </c>
      <c r="B2414" s="1" t="s">
        <v>54</v>
      </c>
      <c r="C2414" s="1">
        <v>4436293259</v>
      </c>
      <c r="D2414" s="1"/>
      <c r="E2414" s="1">
        <v>49</v>
      </c>
      <c r="F2414" s="1">
        <v>44</v>
      </c>
      <c r="G2414" s="1" t="s">
        <v>38</v>
      </c>
      <c r="H2414" s="1" t="s">
        <v>1406</v>
      </c>
      <c r="I2414" s="1" t="s">
        <v>46</v>
      </c>
      <c r="J2414" s="1" t="s">
        <v>55</v>
      </c>
      <c r="K2414" s="1"/>
      <c r="L2414" s="1"/>
    </row>
    <row r="2415" spans="1:12" s="32" customFormat="1" x14ac:dyDescent="0.3">
      <c r="A2415" s="37">
        <v>46114.659803240742</v>
      </c>
      <c r="B2415" s="1">
        <v>44997561804</v>
      </c>
      <c r="C2415" s="1" t="s">
        <v>37</v>
      </c>
      <c r="D2415" s="1">
        <v>4430265054</v>
      </c>
      <c r="E2415" s="1">
        <v>788</v>
      </c>
      <c r="F2415" s="1">
        <v>706</v>
      </c>
      <c r="G2415" s="1" t="s">
        <v>38</v>
      </c>
      <c r="H2415" s="1" t="s">
        <v>1407</v>
      </c>
      <c r="I2415" s="1" t="s">
        <v>39</v>
      </c>
      <c r="J2415" s="1" t="s">
        <v>40</v>
      </c>
      <c r="K2415" s="1" t="s">
        <v>41</v>
      </c>
      <c r="L2415" s="1">
        <v>5</v>
      </c>
    </row>
    <row r="2416" spans="1:12" s="32" customFormat="1" hidden="1" x14ac:dyDescent="0.3">
      <c r="A2416" s="37">
        <v>46114.659768518519</v>
      </c>
      <c r="B2416" s="1" t="s">
        <v>54</v>
      </c>
      <c r="C2416" s="1">
        <v>4436293259</v>
      </c>
      <c r="D2416" s="1"/>
      <c r="E2416" s="1">
        <v>1</v>
      </c>
      <c r="F2416" s="1">
        <v>0</v>
      </c>
      <c r="G2416" s="1" t="s">
        <v>47</v>
      </c>
      <c r="H2416" s="1" t="s">
        <v>1408</v>
      </c>
      <c r="I2416" s="1" t="s">
        <v>46</v>
      </c>
      <c r="J2416" s="1" t="s">
        <v>55</v>
      </c>
      <c r="K2416" s="1"/>
      <c r="L2416" s="1"/>
    </row>
    <row r="2417" spans="1:13" s="32" customFormat="1" hidden="1" x14ac:dyDescent="0.3">
      <c r="A2417" s="37">
        <v>46114.659641203703</v>
      </c>
      <c r="B2417" s="1" t="s">
        <v>54</v>
      </c>
      <c r="C2417" s="1">
        <v>4436293259</v>
      </c>
      <c r="D2417" s="1"/>
      <c r="E2417" s="1">
        <v>7</v>
      </c>
      <c r="F2417" s="1">
        <v>6</v>
      </c>
      <c r="G2417" s="1" t="s">
        <v>38</v>
      </c>
      <c r="H2417" s="1" t="s">
        <v>1409</v>
      </c>
      <c r="I2417" s="1" t="s">
        <v>46</v>
      </c>
      <c r="J2417" s="1" t="s">
        <v>55</v>
      </c>
      <c r="K2417" s="1"/>
      <c r="L2417" s="1"/>
    </row>
    <row r="2418" spans="1:13" s="32" customFormat="1" hidden="1" x14ac:dyDescent="0.3">
      <c r="A2418" s="37">
        <v>46114.656643518516</v>
      </c>
      <c r="B2418" s="1">
        <v>4430459032</v>
      </c>
      <c r="C2418" s="1" t="s">
        <v>48</v>
      </c>
      <c r="D2418" s="1">
        <v>4430265054</v>
      </c>
      <c r="E2418" s="1">
        <v>494</v>
      </c>
      <c r="F2418" s="1">
        <v>494</v>
      </c>
      <c r="G2418" s="1" t="s">
        <v>38</v>
      </c>
      <c r="H2418" s="1" t="s">
        <v>1410</v>
      </c>
      <c r="I2418" s="1" t="s">
        <v>39</v>
      </c>
      <c r="J2418" s="1" t="s">
        <v>40</v>
      </c>
      <c r="K2418" s="1" t="s">
        <v>41</v>
      </c>
      <c r="L2418" s="1"/>
    </row>
    <row r="2419" spans="1:13" s="32" customFormat="1" hidden="1" x14ac:dyDescent="0.3">
      <c r="A2419" s="37">
        <v>46114.651979166665</v>
      </c>
      <c r="B2419" s="1" t="s">
        <v>44</v>
      </c>
      <c r="C2419" s="1">
        <v>4331724400</v>
      </c>
      <c r="D2419" s="1"/>
      <c r="E2419" s="1">
        <v>336</v>
      </c>
      <c r="F2419" s="1">
        <v>322</v>
      </c>
      <c r="G2419" s="1" t="s">
        <v>38</v>
      </c>
      <c r="H2419" s="1" t="s">
        <v>1411</v>
      </c>
      <c r="I2419" s="1" t="s">
        <v>46</v>
      </c>
      <c r="J2419" s="1" t="s">
        <v>40</v>
      </c>
      <c r="K2419" s="1"/>
      <c r="L2419" s="1"/>
    </row>
    <row r="2420" spans="1:13" s="32" customFormat="1" hidden="1" x14ac:dyDescent="0.3">
      <c r="A2420" s="37">
        <v>46114.651643518519</v>
      </c>
      <c r="B2420" s="1">
        <v>44997561804</v>
      </c>
      <c r="C2420" s="1" t="s">
        <v>43</v>
      </c>
      <c r="D2420" s="1">
        <v>4430265054</v>
      </c>
      <c r="E2420" s="1">
        <v>153</v>
      </c>
      <c r="F2420" s="1">
        <v>116</v>
      </c>
      <c r="G2420" s="1" t="s">
        <v>38</v>
      </c>
      <c r="H2420" s="1" t="s">
        <v>1412</v>
      </c>
      <c r="I2420" s="1" t="s">
        <v>39</v>
      </c>
      <c r="J2420" s="1" t="s">
        <v>40</v>
      </c>
      <c r="K2420" s="1" t="s">
        <v>41</v>
      </c>
      <c r="L2420" s="1"/>
    </row>
    <row r="2421" spans="1:13" s="32" customFormat="1" hidden="1" x14ac:dyDescent="0.3">
      <c r="A2421" s="37">
        <v>46114.647141203706</v>
      </c>
      <c r="B2421" s="1">
        <v>4430318514</v>
      </c>
      <c r="C2421" s="1" t="s">
        <v>48</v>
      </c>
      <c r="D2421" s="1">
        <v>4430265054</v>
      </c>
      <c r="E2421" s="1">
        <v>399</v>
      </c>
      <c r="F2421" s="1">
        <v>399</v>
      </c>
      <c r="G2421" s="1" t="s">
        <v>38</v>
      </c>
      <c r="H2421" s="1" t="s">
        <v>1413</v>
      </c>
      <c r="I2421" s="1" t="s">
        <v>39</v>
      </c>
      <c r="J2421" s="1" t="s">
        <v>40</v>
      </c>
      <c r="K2421" s="1" t="s">
        <v>41</v>
      </c>
      <c r="L2421" s="1"/>
    </row>
    <row r="2422" spans="1:13" s="32" customFormat="1" hidden="1" x14ac:dyDescent="0.3">
      <c r="A2422" s="37">
        <v>46114.645821759259</v>
      </c>
      <c r="B2422" s="1">
        <v>4431268225</v>
      </c>
      <c r="C2422" s="1">
        <v>4430265054</v>
      </c>
      <c r="D2422" s="1">
        <v>4430265054</v>
      </c>
      <c r="E2422" s="1">
        <v>3</v>
      </c>
      <c r="F2422" s="1">
        <v>3</v>
      </c>
      <c r="G2422" s="1" t="s">
        <v>52</v>
      </c>
      <c r="H2422" s="1" t="s">
        <v>1414</v>
      </c>
      <c r="I2422" s="1" t="s">
        <v>39</v>
      </c>
      <c r="J2422" s="1" t="s">
        <v>53</v>
      </c>
      <c r="K2422" s="1"/>
      <c r="L2422" s="1"/>
    </row>
    <row r="2423" spans="1:13" s="32" customFormat="1" hidden="1" x14ac:dyDescent="0.3">
      <c r="A2423" s="37">
        <v>46114.645821759259</v>
      </c>
      <c r="B2423" s="1" t="s">
        <v>50</v>
      </c>
      <c r="C2423" s="1">
        <v>4430265054</v>
      </c>
      <c r="D2423" s="1"/>
      <c r="E2423" s="1">
        <v>3</v>
      </c>
      <c r="F2423" s="1">
        <v>3</v>
      </c>
      <c r="G2423" s="1" t="s">
        <v>38</v>
      </c>
      <c r="H2423" s="1" t="s">
        <v>1415</v>
      </c>
      <c r="I2423" s="1" t="s">
        <v>46</v>
      </c>
      <c r="J2423" s="1" t="s">
        <v>55</v>
      </c>
      <c r="K2423" s="1"/>
      <c r="L2423" s="1"/>
    </row>
    <row r="2424" spans="1:13" s="32" customFormat="1" hidden="1" x14ac:dyDescent="0.3">
      <c r="A2424" s="37">
        <v>46114.645694444444</v>
      </c>
      <c r="B2424" s="1" t="s">
        <v>50</v>
      </c>
      <c r="C2424" s="1">
        <v>44999543035</v>
      </c>
      <c r="D2424" s="1"/>
      <c r="E2424" s="1">
        <v>4</v>
      </c>
      <c r="F2424" s="1">
        <v>0</v>
      </c>
      <c r="G2424" s="1" t="s">
        <v>47</v>
      </c>
      <c r="H2424" s="1" t="s">
        <v>1416</v>
      </c>
      <c r="I2424" s="1" t="s">
        <v>46</v>
      </c>
      <c r="J2424" s="1" t="s">
        <v>55</v>
      </c>
      <c r="K2424" s="1"/>
      <c r="L2424" s="1"/>
    </row>
    <row r="2425" spans="1:13" s="32" customFormat="1" hidden="1" x14ac:dyDescent="0.3">
      <c r="A2425" s="37">
        <v>46114.642500000002</v>
      </c>
      <c r="B2425" s="1" t="s">
        <v>44</v>
      </c>
      <c r="C2425" s="1">
        <v>4331724400</v>
      </c>
      <c r="D2425" s="1"/>
      <c r="E2425" s="1">
        <v>139</v>
      </c>
      <c r="F2425" s="1">
        <v>76</v>
      </c>
      <c r="G2425" s="1" t="s">
        <v>38</v>
      </c>
      <c r="H2425" s="1" t="s">
        <v>1417</v>
      </c>
      <c r="I2425" s="1" t="s">
        <v>46</v>
      </c>
      <c r="J2425" s="1" t="s">
        <v>40</v>
      </c>
      <c r="K2425" s="1"/>
      <c r="L2425" s="1"/>
    </row>
    <row r="2426" spans="1:13" s="32" customFormat="1" hidden="1" x14ac:dyDescent="0.3">
      <c r="A2426" s="37">
        <v>46114.641412037039</v>
      </c>
      <c r="B2426" s="1">
        <v>44999976008</v>
      </c>
      <c r="C2426" s="1" t="s">
        <v>42</v>
      </c>
      <c r="D2426" s="1">
        <v>4430265054</v>
      </c>
      <c r="E2426" s="1">
        <v>794</v>
      </c>
      <c r="F2426" s="1">
        <v>701</v>
      </c>
      <c r="G2426" s="1" t="s">
        <v>38</v>
      </c>
      <c r="H2426" s="1" t="s">
        <v>1418</v>
      </c>
      <c r="I2426" s="1" t="s">
        <v>39</v>
      </c>
      <c r="J2426" s="1" t="s">
        <v>40</v>
      </c>
      <c r="K2426" s="1" t="s">
        <v>41</v>
      </c>
      <c r="L2426" s="1">
        <v>5</v>
      </c>
    </row>
    <row r="2427" spans="1:13" s="32" customFormat="1" hidden="1" x14ac:dyDescent="0.3">
      <c r="A2427" s="37">
        <v>46114.639965277776</v>
      </c>
      <c r="B2427" s="1">
        <v>4430459032</v>
      </c>
      <c r="C2427" s="1" t="s">
        <v>37</v>
      </c>
      <c r="D2427" s="1">
        <v>4430265054</v>
      </c>
      <c r="E2427" s="1">
        <v>823</v>
      </c>
      <c r="F2427" s="1">
        <v>714</v>
      </c>
      <c r="G2427" s="1" t="s">
        <v>38</v>
      </c>
      <c r="H2427" s="1" t="s">
        <v>1419</v>
      </c>
      <c r="I2427" s="1" t="s">
        <v>39</v>
      </c>
      <c r="J2427" s="1" t="s">
        <v>40</v>
      </c>
      <c r="K2427" s="1" t="s">
        <v>41</v>
      </c>
      <c r="L2427" s="1"/>
    </row>
    <row r="2428" spans="1:13" s="32" customFormat="1" x14ac:dyDescent="0.3">
      <c r="A2428" s="37">
        <v>46114.634363425925</v>
      </c>
      <c r="B2428" s="1">
        <v>44988067937</v>
      </c>
      <c r="C2428" s="1" t="s">
        <v>37</v>
      </c>
      <c r="D2428" s="1">
        <v>4430265054</v>
      </c>
      <c r="E2428" s="1">
        <v>310</v>
      </c>
      <c r="F2428" s="1">
        <v>178</v>
      </c>
      <c r="G2428" s="1" t="s">
        <v>38</v>
      </c>
      <c r="H2428" s="1" t="s">
        <v>1420</v>
      </c>
      <c r="I2428" s="1" t="s">
        <v>39</v>
      </c>
      <c r="J2428" s="1" t="s">
        <v>40</v>
      </c>
      <c r="K2428" s="1" t="s">
        <v>41</v>
      </c>
      <c r="L2428" s="1">
        <v>5</v>
      </c>
    </row>
    <row r="2429" spans="1:13" s="32" customFormat="1" hidden="1" x14ac:dyDescent="0.3">
      <c r="A2429" s="37">
        <v>46114.627847222226</v>
      </c>
      <c r="B2429" s="1">
        <v>44997650834</v>
      </c>
      <c r="C2429" s="1" t="s">
        <v>43</v>
      </c>
      <c r="D2429" s="1">
        <v>4430265054</v>
      </c>
      <c r="E2429" s="1">
        <v>388</v>
      </c>
      <c r="F2429" s="1">
        <v>363</v>
      </c>
      <c r="G2429" s="1" t="s">
        <v>38</v>
      </c>
      <c r="H2429" s="1" t="s">
        <v>1421</v>
      </c>
      <c r="I2429" s="1" t="s">
        <v>39</v>
      </c>
      <c r="J2429" s="1" t="s">
        <v>40</v>
      </c>
      <c r="K2429" s="1" t="s">
        <v>41</v>
      </c>
      <c r="L2429" s="38">
        <v>5</v>
      </c>
      <c r="M2429" s="34" t="s">
        <v>2717</v>
      </c>
    </row>
    <row r="2430" spans="1:13" s="32" customFormat="1" hidden="1" x14ac:dyDescent="0.3">
      <c r="A2430" s="37">
        <v>46114.626689814817</v>
      </c>
      <c r="B2430" s="1">
        <v>4331724400</v>
      </c>
      <c r="C2430" s="1" t="s">
        <v>44</v>
      </c>
      <c r="D2430" s="1">
        <v>4430265054</v>
      </c>
      <c r="E2430" s="1">
        <v>385</v>
      </c>
      <c r="F2430" s="1">
        <v>322</v>
      </c>
      <c r="G2430" s="1" t="s">
        <v>38</v>
      </c>
      <c r="H2430" s="1" t="s">
        <v>1422</v>
      </c>
      <c r="I2430" s="1" t="s">
        <v>39</v>
      </c>
      <c r="J2430" s="1" t="s">
        <v>40</v>
      </c>
      <c r="K2430" s="1" t="s">
        <v>41</v>
      </c>
      <c r="L2430" s="1"/>
    </row>
    <row r="2431" spans="1:13" s="32" customFormat="1" hidden="1" x14ac:dyDescent="0.3">
      <c r="A2431" s="37">
        <v>46114.625868055555</v>
      </c>
      <c r="B2431" s="1">
        <v>4331724400</v>
      </c>
      <c r="C2431" s="1">
        <v>4430265054</v>
      </c>
      <c r="D2431" s="1">
        <v>4430265054</v>
      </c>
      <c r="E2431" s="1">
        <v>31</v>
      </c>
      <c r="F2431" s="1">
        <v>31</v>
      </c>
      <c r="G2431" s="1" t="s">
        <v>52</v>
      </c>
      <c r="H2431" s="1" t="s">
        <v>1423</v>
      </c>
      <c r="I2431" s="1" t="s">
        <v>39</v>
      </c>
      <c r="J2431" s="1" t="s">
        <v>53</v>
      </c>
      <c r="K2431" s="1" t="s">
        <v>41</v>
      </c>
      <c r="L2431" s="1"/>
    </row>
    <row r="2432" spans="1:13" s="32" customFormat="1" hidden="1" x14ac:dyDescent="0.3">
      <c r="A2432" s="37">
        <v>46114.624259259261</v>
      </c>
      <c r="B2432" s="1">
        <v>44991668902</v>
      </c>
      <c r="C2432" s="1" t="s">
        <v>42</v>
      </c>
      <c r="D2432" s="1">
        <v>4430265054</v>
      </c>
      <c r="E2432" s="1">
        <v>647</v>
      </c>
      <c r="F2432" s="1">
        <v>612</v>
      </c>
      <c r="G2432" s="1" t="s">
        <v>38</v>
      </c>
      <c r="H2432" s="1" t="s">
        <v>1424</v>
      </c>
      <c r="I2432" s="1" t="s">
        <v>39</v>
      </c>
      <c r="J2432" s="1" t="s">
        <v>40</v>
      </c>
      <c r="K2432" s="1" t="s">
        <v>41</v>
      </c>
      <c r="L2432" s="1"/>
    </row>
    <row r="2433" spans="1:12" s="32" customFormat="1" x14ac:dyDescent="0.3">
      <c r="A2433" s="37">
        <v>46114.623194444444</v>
      </c>
      <c r="B2433" s="1">
        <v>44999211093</v>
      </c>
      <c r="C2433" s="1" t="s">
        <v>37</v>
      </c>
      <c r="D2433" s="1">
        <v>4430265054</v>
      </c>
      <c r="E2433" s="1">
        <v>605</v>
      </c>
      <c r="F2433" s="1">
        <v>562</v>
      </c>
      <c r="G2433" s="1" t="s">
        <v>38</v>
      </c>
      <c r="H2433" s="1" t="s">
        <v>1425</v>
      </c>
      <c r="I2433" s="1" t="s">
        <v>39</v>
      </c>
      <c r="J2433" s="1" t="s">
        <v>40</v>
      </c>
      <c r="K2433" s="1" t="s">
        <v>41</v>
      </c>
      <c r="L2433" s="1">
        <v>5</v>
      </c>
    </row>
    <row r="2434" spans="1:12" s="32" customFormat="1" hidden="1" x14ac:dyDescent="0.3">
      <c r="A2434" s="37">
        <v>46114.61645833333</v>
      </c>
      <c r="B2434" s="1">
        <v>4430562296</v>
      </c>
      <c r="C2434" s="1" t="s">
        <v>45</v>
      </c>
      <c r="D2434" s="1">
        <v>4430265054</v>
      </c>
      <c r="E2434" s="1">
        <v>3686</v>
      </c>
      <c r="F2434" s="1">
        <v>3650</v>
      </c>
      <c r="G2434" s="1" t="s">
        <v>38</v>
      </c>
      <c r="H2434" s="1" t="s">
        <v>1426</v>
      </c>
      <c r="I2434" s="1" t="s">
        <v>39</v>
      </c>
      <c r="J2434" s="1" t="s">
        <v>40</v>
      </c>
      <c r="K2434" s="1" t="s">
        <v>41</v>
      </c>
      <c r="L2434" s="1"/>
    </row>
    <row r="2435" spans="1:12" s="32" customFormat="1" hidden="1" x14ac:dyDescent="0.3">
      <c r="A2435" s="37">
        <v>46114.616296296299</v>
      </c>
      <c r="B2435" s="1" t="s">
        <v>42</v>
      </c>
      <c r="C2435" s="1">
        <v>11990144272</v>
      </c>
      <c r="D2435" s="1"/>
      <c r="E2435" s="1">
        <v>197</v>
      </c>
      <c r="F2435" s="1">
        <v>186</v>
      </c>
      <c r="G2435" s="1" t="s">
        <v>38</v>
      </c>
      <c r="H2435" s="1" t="s">
        <v>1427</v>
      </c>
      <c r="I2435" s="1" t="s">
        <v>46</v>
      </c>
      <c r="J2435" s="1" t="s">
        <v>40</v>
      </c>
      <c r="K2435" s="1"/>
      <c r="L2435" s="1"/>
    </row>
    <row r="2436" spans="1:12" s="32" customFormat="1" hidden="1" x14ac:dyDescent="0.3">
      <c r="A2436" s="37">
        <v>46114.615613425929</v>
      </c>
      <c r="B2436" s="1" t="s">
        <v>43</v>
      </c>
      <c r="C2436" s="1">
        <v>4433016054</v>
      </c>
      <c r="D2436" s="1"/>
      <c r="E2436" s="1">
        <v>34</v>
      </c>
      <c r="F2436" s="1">
        <v>29</v>
      </c>
      <c r="G2436" s="1" t="s">
        <v>38</v>
      </c>
      <c r="H2436" s="1" t="s">
        <v>1428</v>
      </c>
      <c r="I2436" s="1" t="s">
        <v>46</v>
      </c>
      <c r="J2436" s="1" t="s">
        <v>40</v>
      </c>
      <c r="K2436" s="1"/>
      <c r="L2436" s="1"/>
    </row>
    <row r="2437" spans="1:12" s="32" customFormat="1" hidden="1" x14ac:dyDescent="0.3">
      <c r="A2437" s="37">
        <v>46114.615555555552</v>
      </c>
      <c r="B2437" s="1" t="s">
        <v>43</v>
      </c>
      <c r="C2437" s="1">
        <v>4433016054</v>
      </c>
      <c r="D2437" s="1"/>
      <c r="E2437" s="1">
        <v>25</v>
      </c>
      <c r="F2437" s="1">
        <v>25</v>
      </c>
      <c r="G2437" s="1" t="s">
        <v>38</v>
      </c>
      <c r="H2437" s="1" t="s">
        <v>1429</v>
      </c>
      <c r="I2437" s="1" t="s">
        <v>46</v>
      </c>
      <c r="J2437" s="1" t="s">
        <v>40</v>
      </c>
      <c r="K2437" s="1"/>
      <c r="L2437" s="1"/>
    </row>
    <row r="2438" spans="1:12" s="32" customFormat="1" hidden="1" x14ac:dyDescent="0.3">
      <c r="A2438" s="37">
        <v>46114.614131944443</v>
      </c>
      <c r="B2438" s="1">
        <v>35998295948</v>
      </c>
      <c r="C2438" s="1" t="s">
        <v>43</v>
      </c>
      <c r="D2438" s="1">
        <v>4430265054</v>
      </c>
      <c r="E2438" s="1">
        <v>548</v>
      </c>
      <c r="F2438" s="1">
        <v>342</v>
      </c>
      <c r="G2438" s="1" t="s">
        <v>38</v>
      </c>
      <c r="H2438" s="1" t="s">
        <v>1430</v>
      </c>
      <c r="I2438" s="1" t="s">
        <v>39</v>
      </c>
      <c r="J2438" s="1" t="s">
        <v>40</v>
      </c>
      <c r="K2438" s="1" t="s">
        <v>41</v>
      </c>
      <c r="L2438" s="1"/>
    </row>
    <row r="2439" spans="1:12" s="32" customFormat="1" hidden="1" x14ac:dyDescent="0.3">
      <c r="A2439" s="37">
        <v>46114.606898148151</v>
      </c>
      <c r="B2439" s="1" t="s">
        <v>48</v>
      </c>
      <c r="C2439" s="1">
        <v>4334232912</v>
      </c>
      <c r="D2439" s="1"/>
      <c r="E2439" s="1">
        <v>845</v>
      </c>
      <c r="F2439" s="1">
        <v>837</v>
      </c>
      <c r="G2439" s="1" t="s">
        <v>38</v>
      </c>
      <c r="H2439" s="1" t="s">
        <v>1431</v>
      </c>
      <c r="I2439" s="1" t="s">
        <v>46</v>
      </c>
      <c r="J2439" s="1" t="s">
        <v>40</v>
      </c>
      <c r="K2439" s="1"/>
      <c r="L2439" s="1"/>
    </row>
    <row r="2440" spans="1:12" s="32" customFormat="1" hidden="1" x14ac:dyDescent="0.3">
      <c r="A2440" s="37">
        <v>46114.60670138889</v>
      </c>
      <c r="B2440" s="1" t="s">
        <v>48</v>
      </c>
      <c r="C2440" s="1">
        <v>4334232912</v>
      </c>
      <c r="D2440" s="1"/>
      <c r="E2440" s="1">
        <v>11</v>
      </c>
      <c r="F2440" s="1">
        <v>6</v>
      </c>
      <c r="G2440" s="1" t="s">
        <v>38</v>
      </c>
      <c r="H2440" s="1" t="s">
        <v>1432</v>
      </c>
      <c r="I2440" s="1" t="s">
        <v>46</v>
      </c>
      <c r="J2440" s="1" t="s">
        <v>40</v>
      </c>
      <c r="K2440" s="1"/>
      <c r="L2440" s="1"/>
    </row>
    <row r="2441" spans="1:12" s="32" customFormat="1" hidden="1" x14ac:dyDescent="0.3">
      <c r="A2441" s="37">
        <v>46114.60664351852</v>
      </c>
      <c r="B2441" s="1" t="s">
        <v>48</v>
      </c>
      <c r="C2441" s="1">
        <v>43991762957</v>
      </c>
      <c r="D2441" s="1"/>
      <c r="E2441" s="1">
        <v>2</v>
      </c>
      <c r="F2441" s="1">
        <v>0</v>
      </c>
      <c r="G2441" s="1" t="s">
        <v>47</v>
      </c>
      <c r="H2441" s="1" t="s">
        <v>1433</v>
      </c>
      <c r="I2441" s="1" t="s">
        <v>46</v>
      </c>
      <c r="J2441" s="1" t="s">
        <v>40</v>
      </c>
      <c r="K2441" s="1"/>
      <c r="L2441" s="1"/>
    </row>
    <row r="2442" spans="1:12" s="32" customFormat="1" hidden="1" x14ac:dyDescent="0.3">
      <c r="A2442" s="37">
        <v>46114.606608796297</v>
      </c>
      <c r="B2442" s="1" t="s">
        <v>48</v>
      </c>
      <c r="C2442" s="1">
        <v>43991762957</v>
      </c>
      <c r="D2442" s="1"/>
      <c r="E2442" s="1">
        <v>1</v>
      </c>
      <c r="F2442" s="1">
        <v>0</v>
      </c>
      <c r="G2442" s="1" t="s">
        <v>47</v>
      </c>
      <c r="H2442" s="1" t="s">
        <v>1434</v>
      </c>
      <c r="I2442" s="1" t="s">
        <v>46</v>
      </c>
      <c r="J2442" s="1" t="s">
        <v>40</v>
      </c>
      <c r="K2442" s="1"/>
      <c r="L2442" s="1"/>
    </row>
    <row r="2443" spans="1:12" s="32" customFormat="1" hidden="1" x14ac:dyDescent="0.3">
      <c r="A2443" s="37">
        <v>46114.606296296297</v>
      </c>
      <c r="B2443" s="1" t="s">
        <v>48</v>
      </c>
      <c r="C2443" s="1">
        <v>4334232912</v>
      </c>
      <c r="D2443" s="1"/>
      <c r="E2443" s="1">
        <v>21</v>
      </c>
      <c r="F2443" s="1">
        <v>3</v>
      </c>
      <c r="G2443" s="1" t="s">
        <v>38</v>
      </c>
      <c r="H2443" s="1" t="s">
        <v>1435</v>
      </c>
      <c r="I2443" s="1" t="s">
        <v>46</v>
      </c>
      <c r="J2443" s="1" t="s">
        <v>40</v>
      </c>
      <c r="K2443" s="1"/>
      <c r="L2443" s="1"/>
    </row>
    <row r="2444" spans="1:12" s="32" customFormat="1" hidden="1" x14ac:dyDescent="0.3">
      <c r="A2444" s="37">
        <v>46114.604953703703</v>
      </c>
      <c r="B2444" s="1">
        <v>4430562296</v>
      </c>
      <c r="C2444" s="1" t="s">
        <v>44</v>
      </c>
      <c r="D2444" s="1">
        <v>4430265054</v>
      </c>
      <c r="E2444" s="1">
        <v>177</v>
      </c>
      <c r="F2444" s="1">
        <v>98</v>
      </c>
      <c r="G2444" s="1" t="s">
        <v>38</v>
      </c>
      <c r="H2444" s="1" t="s">
        <v>1436</v>
      </c>
      <c r="I2444" s="1" t="s">
        <v>39</v>
      </c>
      <c r="J2444" s="1" t="s">
        <v>40</v>
      </c>
      <c r="K2444" s="1" t="s">
        <v>41</v>
      </c>
      <c r="L2444" s="1"/>
    </row>
    <row r="2445" spans="1:12" s="32" customFormat="1" hidden="1" x14ac:dyDescent="0.3">
      <c r="A2445" s="37">
        <v>46114.603958333333</v>
      </c>
      <c r="B2445" s="1">
        <v>44998860140</v>
      </c>
      <c r="C2445" s="1" t="s">
        <v>43</v>
      </c>
      <c r="D2445" s="1">
        <v>4430265054</v>
      </c>
      <c r="E2445" s="1">
        <v>518</v>
      </c>
      <c r="F2445" s="1">
        <v>432</v>
      </c>
      <c r="G2445" s="1" t="s">
        <v>38</v>
      </c>
      <c r="H2445" s="1" t="s">
        <v>1437</v>
      </c>
      <c r="I2445" s="1" t="s">
        <v>39</v>
      </c>
      <c r="J2445" s="1" t="s">
        <v>40</v>
      </c>
      <c r="K2445" s="1" t="s">
        <v>41</v>
      </c>
      <c r="L2445" s="1"/>
    </row>
    <row r="2446" spans="1:12" s="32" customFormat="1" hidden="1" x14ac:dyDescent="0.3">
      <c r="A2446" s="37">
        <v>46114.60255787037</v>
      </c>
      <c r="B2446" s="1">
        <v>4436249360</v>
      </c>
      <c r="C2446" s="1" t="s">
        <v>45</v>
      </c>
      <c r="D2446" s="1">
        <v>4430265054</v>
      </c>
      <c r="E2446" s="1">
        <v>139</v>
      </c>
      <c r="F2446" s="1">
        <v>63</v>
      </c>
      <c r="G2446" s="1" t="s">
        <v>38</v>
      </c>
      <c r="H2446" s="1" t="s">
        <v>1438</v>
      </c>
      <c r="I2446" s="1" t="s">
        <v>39</v>
      </c>
      <c r="J2446" s="1" t="s">
        <v>40</v>
      </c>
      <c r="K2446" s="1" t="s">
        <v>41</v>
      </c>
      <c r="L2446" s="1"/>
    </row>
    <row r="2447" spans="1:12" s="32" customFormat="1" hidden="1" x14ac:dyDescent="0.3">
      <c r="A2447" s="37">
        <v>46114.598391203705</v>
      </c>
      <c r="B2447" s="1">
        <v>18996339700</v>
      </c>
      <c r="C2447" s="1" t="s">
        <v>43</v>
      </c>
      <c r="D2447" s="1">
        <v>4430265054</v>
      </c>
      <c r="E2447" s="1">
        <v>200</v>
      </c>
      <c r="F2447" s="1">
        <v>168</v>
      </c>
      <c r="G2447" s="1" t="s">
        <v>38</v>
      </c>
      <c r="H2447" s="1" t="s">
        <v>1439</v>
      </c>
      <c r="I2447" s="1" t="s">
        <v>39</v>
      </c>
      <c r="J2447" s="1" t="s">
        <v>40</v>
      </c>
      <c r="K2447" s="1" t="s">
        <v>41</v>
      </c>
      <c r="L2447" s="1">
        <v>5</v>
      </c>
    </row>
    <row r="2448" spans="1:12" s="32" customFormat="1" x14ac:dyDescent="0.3">
      <c r="A2448" s="37">
        <v>46114.595960648148</v>
      </c>
      <c r="B2448" s="1">
        <v>6434534421</v>
      </c>
      <c r="C2448" s="1" t="s">
        <v>37</v>
      </c>
      <c r="D2448" s="1">
        <v>4430265054</v>
      </c>
      <c r="E2448" s="1">
        <v>560</v>
      </c>
      <c r="F2448" s="1">
        <v>511</v>
      </c>
      <c r="G2448" s="1" t="s">
        <v>38</v>
      </c>
      <c r="H2448" s="1" t="s">
        <v>1440</v>
      </c>
      <c r="I2448" s="1" t="s">
        <v>39</v>
      </c>
      <c r="J2448" s="1" t="s">
        <v>40</v>
      </c>
      <c r="K2448" s="1" t="s">
        <v>41</v>
      </c>
      <c r="L2448" s="1">
        <v>5</v>
      </c>
    </row>
    <row r="2449" spans="1:12" s="32" customFormat="1" hidden="1" x14ac:dyDescent="0.3">
      <c r="A2449" s="37">
        <v>46114.592175925929</v>
      </c>
      <c r="B2449" s="1">
        <v>12996381077</v>
      </c>
      <c r="C2449" s="1" t="s">
        <v>44</v>
      </c>
      <c r="D2449" s="1">
        <v>4430265054</v>
      </c>
      <c r="E2449" s="1">
        <v>641</v>
      </c>
      <c r="F2449" s="1">
        <v>528</v>
      </c>
      <c r="G2449" s="1" t="s">
        <v>38</v>
      </c>
      <c r="H2449" s="1" t="s">
        <v>1441</v>
      </c>
      <c r="I2449" s="1" t="s">
        <v>39</v>
      </c>
      <c r="J2449" s="1" t="s">
        <v>40</v>
      </c>
      <c r="K2449" s="1" t="s">
        <v>41</v>
      </c>
      <c r="L2449" s="1">
        <v>5</v>
      </c>
    </row>
    <row r="2450" spans="1:12" s="32" customFormat="1" hidden="1" x14ac:dyDescent="0.3">
      <c r="A2450" s="37">
        <v>46114.589872685188</v>
      </c>
      <c r="B2450" s="1">
        <v>12996381077</v>
      </c>
      <c r="C2450" s="1">
        <v>4430265054</v>
      </c>
      <c r="D2450" s="1">
        <v>4430265054</v>
      </c>
      <c r="E2450" s="1">
        <v>31</v>
      </c>
      <c r="F2450" s="1">
        <v>31</v>
      </c>
      <c r="G2450" s="1" t="s">
        <v>52</v>
      </c>
      <c r="H2450" s="1" t="s">
        <v>1442</v>
      </c>
      <c r="I2450" s="1" t="s">
        <v>39</v>
      </c>
      <c r="J2450" s="1" t="s">
        <v>53</v>
      </c>
      <c r="K2450" s="1" t="s">
        <v>41</v>
      </c>
      <c r="L2450" s="1"/>
    </row>
    <row r="2451" spans="1:12" s="32" customFormat="1" hidden="1" x14ac:dyDescent="0.3">
      <c r="A2451" s="37">
        <v>46114.584756944445</v>
      </c>
      <c r="B2451" s="1">
        <v>44999676986</v>
      </c>
      <c r="C2451" s="1" t="s">
        <v>44</v>
      </c>
      <c r="D2451" s="1">
        <v>4430265054</v>
      </c>
      <c r="E2451" s="1">
        <v>376</v>
      </c>
      <c r="F2451" s="1">
        <v>260</v>
      </c>
      <c r="G2451" s="1" t="s">
        <v>38</v>
      </c>
      <c r="H2451" s="1" t="s">
        <v>1443</v>
      </c>
      <c r="I2451" s="1" t="s">
        <v>39</v>
      </c>
      <c r="J2451" s="1" t="s">
        <v>40</v>
      </c>
      <c r="K2451" s="1" t="s">
        <v>41</v>
      </c>
      <c r="L2451" s="1"/>
    </row>
    <row r="2452" spans="1:12" s="32" customFormat="1" hidden="1" x14ac:dyDescent="0.3">
      <c r="A2452" s="37">
        <v>46114.584699074076</v>
      </c>
      <c r="B2452" s="1">
        <v>43991762957</v>
      </c>
      <c r="C2452" s="1" t="s">
        <v>43</v>
      </c>
      <c r="D2452" s="1">
        <v>4430265054</v>
      </c>
      <c r="E2452" s="1">
        <v>221</v>
      </c>
      <c r="F2452" s="1">
        <v>139</v>
      </c>
      <c r="G2452" s="1" t="s">
        <v>38</v>
      </c>
      <c r="H2452" s="1" t="s">
        <v>1444</v>
      </c>
      <c r="I2452" s="1" t="s">
        <v>39</v>
      </c>
      <c r="J2452" s="1" t="s">
        <v>40</v>
      </c>
      <c r="K2452" s="1" t="s">
        <v>41</v>
      </c>
      <c r="L2452" s="1">
        <v>5</v>
      </c>
    </row>
    <row r="2453" spans="1:12" s="32" customFormat="1" hidden="1" x14ac:dyDescent="0.3">
      <c r="A2453" s="37">
        <v>46114.582025462965</v>
      </c>
      <c r="B2453" s="1">
        <v>4433231037</v>
      </c>
      <c r="C2453" s="1" t="s">
        <v>45</v>
      </c>
      <c r="D2453" s="1">
        <v>4430265054</v>
      </c>
      <c r="E2453" s="1">
        <v>1443</v>
      </c>
      <c r="F2453" s="1">
        <v>1370</v>
      </c>
      <c r="G2453" s="1" t="s">
        <v>38</v>
      </c>
      <c r="H2453" s="1" t="s">
        <v>1445</v>
      </c>
      <c r="I2453" s="1" t="s">
        <v>39</v>
      </c>
      <c r="J2453" s="1" t="s">
        <v>40</v>
      </c>
      <c r="K2453" s="1" t="s">
        <v>41</v>
      </c>
      <c r="L2453" s="1"/>
    </row>
    <row r="2454" spans="1:12" s="32" customFormat="1" hidden="1" x14ac:dyDescent="0.3">
      <c r="A2454" s="37">
        <v>46114.579895833333</v>
      </c>
      <c r="B2454" s="1">
        <v>11990144272</v>
      </c>
      <c r="C2454" s="1" t="s">
        <v>42</v>
      </c>
      <c r="D2454" s="1">
        <v>4431268225</v>
      </c>
      <c r="E2454" s="1">
        <v>2498</v>
      </c>
      <c r="F2454" s="1">
        <v>2450</v>
      </c>
      <c r="G2454" s="1" t="s">
        <v>38</v>
      </c>
      <c r="H2454" s="1" t="s">
        <v>1446</v>
      </c>
      <c r="I2454" s="1" t="s">
        <v>39</v>
      </c>
      <c r="J2454" s="1" t="s">
        <v>40</v>
      </c>
      <c r="K2454" s="1" t="s">
        <v>41</v>
      </c>
      <c r="L2454" s="1">
        <v>5</v>
      </c>
    </row>
    <row r="2455" spans="1:12" s="32" customFormat="1" hidden="1" x14ac:dyDescent="0.3">
      <c r="A2455" s="37">
        <v>46114.576296296298</v>
      </c>
      <c r="B2455" s="1" t="s">
        <v>37</v>
      </c>
      <c r="C2455" s="1">
        <v>44991098997</v>
      </c>
      <c r="D2455" s="1"/>
      <c r="E2455" s="1">
        <v>12</v>
      </c>
      <c r="F2455" s="1">
        <v>0</v>
      </c>
      <c r="G2455" s="1" t="s">
        <v>47</v>
      </c>
      <c r="H2455" s="1" t="s">
        <v>1447</v>
      </c>
      <c r="I2455" s="1" t="s">
        <v>46</v>
      </c>
      <c r="J2455" s="1" t="s">
        <v>40</v>
      </c>
      <c r="K2455" s="1"/>
      <c r="L2455" s="1"/>
    </row>
    <row r="2456" spans="1:12" s="32" customFormat="1" hidden="1" x14ac:dyDescent="0.3">
      <c r="A2456" s="37">
        <v>46114.576192129629</v>
      </c>
      <c r="B2456" s="1" t="s">
        <v>37</v>
      </c>
      <c r="C2456" s="1">
        <v>44991098997</v>
      </c>
      <c r="D2456" s="1"/>
      <c r="E2456" s="1">
        <v>25</v>
      </c>
      <c r="F2456" s="1">
        <v>25</v>
      </c>
      <c r="G2456" s="1" t="s">
        <v>38</v>
      </c>
      <c r="H2456" s="1" t="s">
        <v>1448</v>
      </c>
      <c r="I2456" s="1" t="s">
        <v>46</v>
      </c>
      <c r="J2456" s="1" t="s">
        <v>40</v>
      </c>
      <c r="K2456" s="1"/>
      <c r="L2456" s="1"/>
    </row>
    <row r="2457" spans="1:12" s="32" customFormat="1" hidden="1" x14ac:dyDescent="0.3">
      <c r="A2457" s="37">
        <v>46114.575613425928</v>
      </c>
      <c r="B2457" s="1" t="s">
        <v>37</v>
      </c>
      <c r="C2457" s="1">
        <v>4434231715</v>
      </c>
      <c r="D2457" s="1"/>
      <c r="E2457" s="1">
        <v>2</v>
      </c>
      <c r="F2457" s="1">
        <v>0</v>
      </c>
      <c r="G2457" s="1" t="s">
        <v>47</v>
      </c>
      <c r="H2457" s="1" t="s">
        <v>1449</v>
      </c>
      <c r="I2457" s="1" t="s">
        <v>46</v>
      </c>
      <c r="J2457" s="1" t="s">
        <v>40</v>
      </c>
      <c r="K2457" s="1"/>
      <c r="L2457" s="1"/>
    </row>
    <row r="2458" spans="1:12" s="32" customFormat="1" hidden="1" x14ac:dyDescent="0.3">
      <c r="A2458" s="37">
        <v>46114.575486111113</v>
      </c>
      <c r="B2458" s="1" t="s">
        <v>37</v>
      </c>
      <c r="C2458" s="1">
        <v>4430451715</v>
      </c>
      <c r="D2458" s="1"/>
      <c r="E2458" s="1">
        <v>6</v>
      </c>
      <c r="F2458" s="1">
        <v>0</v>
      </c>
      <c r="G2458" s="1" t="s">
        <v>47</v>
      </c>
      <c r="H2458" s="1" t="s">
        <v>1450</v>
      </c>
      <c r="I2458" s="1" t="s">
        <v>46</v>
      </c>
      <c r="J2458" s="1" t="s">
        <v>40</v>
      </c>
      <c r="K2458" s="1"/>
      <c r="L2458" s="1"/>
    </row>
    <row r="2459" spans="1:12" s="32" customFormat="1" hidden="1" x14ac:dyDescent="0.3">
      <c r="A2459" s="37">
        <v>46114.575428240743</v>
      </c>
      <c r="B2459" s="1" t="s">
        <v>37</v>
      </c>
      <c r="C2459" s="1">
        <v>4430451715</v>
      </c>
      <c r="D2459" s="1"/>
      <c r="E2459" s="1">
        <v>25</v>
      </c>
      <c r="F2459" s="1">
        <v>24</v>
      </c>
      <c r="G2459" s="1" t="s">
        <v>38</v>
      </c>
      <c r="H2459" s="1" t="s">
        <v>1451</v>
      </c>
      <c r="I2459" s="1" t="s">
        <v>46</v>
      </c>
      <c r="J2459" s="1" t="s">
        <v>40</v>
      </c>
      <c r="K2459" s="1"/>
      <c r="L2459" s="1"/>
    </row>
    <row r="2460" spans="1:12" s="32" customFormat="1" hidden="1" x14ac:dyDescent="0.3">
      <c r="A2460" s="37">
        <v>46114.555497685185</v>
      </c>
      <c r="B2460" s="1">
        <v>4432641415</v>
      </c>
      <c r="C2460" s="1">
        <v>4430265054</v>
      </c>
      <c r="D2460" s="1">
        <v>4430265054</v>
      </c>
      <c r="E2460" s="1">
        <v>29</v>
      </c>
      <c r="F2460" s="1">
        <v>28</v>
      </c>
      <c r="G2460" s="1" t="s">
        <v>52</v>
      </c>
      <c r="H2460" s="1" t="s">
        <v>1452</v>
      </c>
      <c r="I2460" s="1" t="s">
        <v>39</v>
      </c>
      <c r="J2460" s="1" t="s">
        <v>53</v>
      </c>
      <c r="K2460" s="1"/>
      <c r="L2460" s="1"/>
    </row>
    <row r="2461" spans="1:12" s="32" customFormat="1" hidden="1" x14ac:dyDescent="0.3">
      <c r="A2461" s="37">
        <v>46114.516388888886</v>
      </c>
      <c r="B2461" s="1">
        <v>4121418115</v>
      </c>
      <c r="C2461" s="1">
        <v>4531273163</v>
      </c>
      <c r="D2461" s="1">
        <v>4531273163</v>
      </c>
      <c r="E2461" s="1">
        <v>29</v>
      </c>
      <c r="F2461" s="1">
        <v>28</v>
      </c>
      <c r="G2461" s="1" t="s">
        <v>52</v>
      </c>
      <c r="H2461" s="1" t="s">
        <v>1453</v>
      </c>
      <c r="I2461" s="1" t="s">
        <v>39</v>
      </c>
      <c r="J2461" s="1" t="s">
        <v>53</v>
      </c>
      <c r="K2461" s="1"/>
      <c r="L2461" s="1"/>
    </row>
    <row r="2462" spans="1:12" s="32" customFormat="1" hidden="1" x14ac:dyDescent="0.3">
      <c r="A2462" s="37">
        <v>46114.508344907408</v>
      </c>
      <c r="B2462" s="1">
        <v>4121413772</v>
      </c>
      <c r="C2462" s="1">
        <v>4531273162</v>
      </c>
      <c r="D2462" s="1">
        <v>4531273162</v>
      </c>
      <c r="E2462" s="1">
        <v>29</v>
      </c>
      <c r="F2462" s="1">
        <v>29</v>
      </c>
      <c r="G2462" s="1" t="s">
        <v>52</v>
      </c>
      <c r="H2462" s="1" t="s">
        <v>1454</v>
      </c>
      <c r="I2462" s="1" t="s">
        <v>39</v>
      </c>
      <c r="J2462" s="1" t="s">
        <v>53</v>
      </c>
      <c r="K2462" s="1"/>
      <c r="L2462" s="1"/>
    </row>
    <row r="2463" spans="1:12" s="32" customFormat="1" hidden="1" x14ac:dyDescent="0.3">
      <c r="A2463" s="37">
        <v>46114.492268518516</v>
      </c>
      <c r="B2463" s="1">
        <v>4121410323</v>
      </c>
      <c r="C2463" s="1">
        <v>4531273152</v>
      </c>
      <c r="D2463" s="1">
        <v>4531273152</v>
      </c>
      <c r="E2463" s="1">
        <v>47</v>
      </c>
      <c r="F2463" s="1">
        <v>46</v>
      </c>
      <c r="G2463" s="1" t="s">
        <v>52</v>
      </c>
      <c r="H2463" s="1" t="s">
        <v>1455</v>
      </c>
      <c r="I2463" s="1" t="s">
        <v>39</v>
      </c>
      <c r="J2463" s="1" t="s">
        <v>53</v>
      </c>
      <c r="K2463" s="1" t="s">
        <v>41</v>
      </c>
      <c r="L2463" s="1"/>
    </row>
    <row r="2464" spans="1:12" s="32" customFormat="1" hidden="1" x14ac:dyDescent="0.3">
      <c r="A2464" s="37">
        <v>46114.490289351852</v>
      </c>
      <c r="B2464" s="1">
        <v>44999676986</v>
      </c>
      <c r="C2464" s="1" t="s">
        <v>45</v>
      </c>
      <c r="D2464" s="1">
        <v>4430265054</v>
      </c>
      <c r="E2464" s="1">
        <v>239</v>
      </c>
      <c r="F2464" s="1">
        <v>173</v>
      </c>
      <c r="G2464" s="1" t="s">
        <v>38</v>
      </c>
      <c r="H2464" s="1" t="s">
        <v>1456</v>
      </c>
      <c r="I2464" s="1" t="s">
        <v>39</v>
      </c>
      <c r="J2464" s="1" t="s">
        <v>40</v>
      </c>
      <c r="K2464" s="1" t="s">
        <v>41</v>
      </c>
      <c r="L2464" s="1"/>
    </row>
    <row r="2465" spans="1:12" s="32" customFormat="1" hidden="1" x14ac:dyDescent="0.3">
      <c r="A2465" s="37">
        <v>46114.481435185182</v>
      </c>
      <c r="B2465" s="1">
        <v>4430318514</v>
      </c>
      <c r="C2465" s="1" t="s">
        <v>45</v>
      </c>
      <c r="D2465" s="1">
        <v>4430265054</v>
      </c>
      <c r="E2465" s="1">
        <v>108</v>
      </c>
      <c r="F2465" s="1">
        <v>10</v>
      </c>
      <c r="G2465" s="1" t="s">
        <v>38</v>
      </c>
      <c r="H2465" s="1" t="s">
        <v>1457</v>
      </c>
      <c r="I2465" s="1" t="s">
        <v>39</v>
      </c>
      <c r="J2465" s="1" t="s">
        <v>40</v>
      </c>
      <c r="K2465" s="1" t="s">
        <v>41</v>
      </c>
      <c r="L2465" s="1"/>
    </row>
    <row r="2466" spans="1:12" s="32" customFormat="1" hidden="1" x14ac:dyDescent="0.3">
      <c r="A2466" s="37">
        <v>46114.471967592595</v>
      </c>
      <c r="B2466" s="1">
        <v>44991484476</v>
      </c>
      <c r="C2466" s="1" t="s">
        <v>45</v>
      </c>
      <c r="D2466" s="1">
        <v>4430265054</v>
      </c>
      <c r="E2466" s="1">
        <v>309</v>
      </c>
      <c r="F2466" s="1">
        <v>229</v>
      </c>
      <c r="G2466" s="1" t="s">
        <v>38</v>
      </c>
      <c r="H2466" s="1" t="s">
        <v>1458</v>
      </c>
      <c r="I2466" s="1" t="s">
        <v>39</v>
      </c>
      <c r="J2466" s="1" t="s">
        <v>40</v>
      </c>
      <c r="K2466" s="1" t="s">
        <v>41</v>
      </c>
      <c r="L2466" s="1">
        <v>5</v>
      </c>
    </row>
    <row r="2467" spans="1:12" s="32" customFormat="1" hidden="1" x14ac:dyDescent="0.3">
      <c r="A2467" s="37">
        <v>46114.465138888889</v>
      </c>
      <c r="B2467" s="1" t="s">
        <v>50</v>
      </c>
      <c r="C2467" s="1">
        <v>4430232404</v>
      </c>
      <c r="D2467" s="1"/>
      <c r="E2467" s="1">
        <v>26</v>
      </c>
      <c r="F2467" s="1">
        <v>12</v>
      </c>
      <c r="G2467" s="1" t="s">
        <v>38</v>
      </c>
      <c r="H2467" s="1" t="s">
        <v>1459</v>
      </c>
      <c r="I2467" s="1" t="s">
        <v>46</v>
      </c>
      <c r="J2467" s="1" t="s">
        <v>55</v>
      </c>
      <c r="K2467" s="1"/>
      <c r="L2467" s="1"/>
    </row>
    <row r="2468" spans="1:12" s="32" customFormat="1" hidden="1" x14ac:dyDescent="0.3">
      <c r="A2468" s="37">
        <v>46114.464687500003</v>
      </c>
      <c r="B2468" s="1" t="s">
        <v>50</v>
      </c>
      <c r="C2468" s="1">
        <v>4430235054</v>
      </c>
      <c r="D2468" s="1"/>
      <c r="E2468" s="1">
        <v>1</v>
      </c>
      <c r="F2468" s="1">
        <v>0</v>
      </c>
      <c r="G2468" s="1" t="s">
        <v>47</v>
      </c>
      <c r="H2468" s="1" t="s">
        <v>1460</v>
      </c>
      <c r="I2468" s="1" t="s">
        <v>46</v>
      </c>
      <c r="J2468" s="1" t="s">
        <v>55</v>
      </c>
      <c r="K2468" s="1"/>
      <c r="L2468" s="1"/>
    </row>
    <row r="2469" spans="1:12" s="32" customFormat="1" hidden="1" x14ac:dyDescent="0.3">
      <c r="A2469" s="37">
        <v>46114.461701388886</v>
      </c>
      <c r="B2469" s="1">
        <v>11934552189</v>
      </c>
      <c r="C2469" s="1" t="s">
        <v>45</v>
      </c>
      <c r="D2469" s="1">
        <v>4430265054</v>
      </c>
      <c r="E2469" s="1">
        <v>551</v>
      </c>
      <c r="F2469" s="1">
        <v>468</v>
      </c>
      <c r="G2469" s="1" t="s">
        <v>38</v>
      </c>
      <c r="H2469" s="1" t="s">
        <v>1461</v>
      </c>
      <c r="I2469" s="1" t="s">
        <v>39</v>
      </c>
      <c r="J2469" s="1" t="s">
        <v>40</v>
      </c>
      <c r="K2469" s="1" t="s">
        <v>41</v>
      </c>
      <c r="L2469" s="1"/>
    </row>
    <row r="2470" spans="1:12" s="32" customFormat="1" hidden="1" x14ac:dyDescent="0.3">
      <c r="A2470" s="37">
        <v>46114.459027777775</v>
      </c>
      <c r="B2470" s="1">
        <v>11934552189</v>
      </c>
      <c r="C2470" s="1">
        <v>4430265054</v>
      </c>
      <c r="D2470" s="1">
        <v>4430265054</v>
      </c>
      <c r="E2470" s="1">
        <v>17</v>
      </c>
      <c r="F2470" s="1">
        <v>17</v>
      </c>
      <c r="G2470" s="1" t="s">
        <v>52</v>
      </c>
      <c r="H2470" s="1" t="s">
        <v>1462</v>
      </c>
      <c r="I2470" s="1" t="s">
        <v>39</v>
      </c>
      <c r="J2470" s="1" t="s">
        <v>53</v>
      </c>
      <c r="K2470" s="1"/>
      <c r="L2470" s="1"/>
    </row>
    <row r="2471" spans="1:12" s="32" customFormat="1" hidden="1" x14ac:dyDescent="0.3">
      <c r="A2471" s="37">
        <v>46114.458564814813</v>
      </c>
      <c r="B2471" s="1">
        <v>44999670264</v>
      </c>
      <c r="C2471" s="1" t="s">
        <v>43</v>
      </c>
      <c r="D2471" s="1">
        <v>4430265054</v>
      </c>
      <c r="E2471" s="1">
        <v>395</v>
      </c>
      <c r="F2471" s="1">
        <v>310</v>
      </c>
      <c r="G2471" s="1" t="s">
        <v>38</v>
      </c>
      <c r="H2471" s="1" t="s">
        <v>1463</v>
      </c>
      <c r="I2471" s="1" t="s">
        <v>39</v>
      </c>
      <c r="J2471" s="1" t="s">
        <v>40</v>
      </c>
      <c r="K2471" s="1" t="s">
        <v>41</v>
      </c>
      <c r="L2471" s="1">
        <v>5</v>
      </c>
    </row>
    <row r="2472" spans="1:12" s="32" customFormat="1" hidden="1" x14ac:dyDescent="0.3">
      <c r="A2472" s="37">
        <v>46114.455937500003</v>
      </c>
      <c r="B2472" s="1">
        <v>44999497001</v>
      </c>
      <c r="C2472" s="1" t="s">
        <v>42</v>
      </c>
      <c r="D2472" s="1">
        <v>4430265054</v>
      </c>
      <c r="E2472" s="1">
        <v>1792</v>
      </c>
      <c r="F2472" s="1">
        <v>1733</v>
      </c>
      <c r="G2472" s="1" t="s">
        <v>38</v>
      </c>
      <c r="H2472" s="1" t="s">
        <v>1464</v>
      </c>
      <c r="I2472" s="1" t="s">
        <v>39</v>
      </c>
      <c r="J2472" s="1" t="s">
        <v>40</v>
      </c>
      <c r="K2472" s="1" t="s">
        <v>41</v>
      </c>
      <c r="L2472" s="1"/>
    </row>
    <row r="2473" spans="1:12" s="32" customFormat="1" hidden="1" x14ac:dyDescent="0.3">
      <c r="A2473" s="37">
        <v>46114.442418981482</v>
      </c>
      <c r="B2473" s="1">
        <v>4433016050</v>
      </c>
      <c r="C2473" s="1" t="s">
        <v>43</v>
      </c>
      <c r="D2473" s="1">
        <v>4430265054</v>
      </c>
      <c r="E2473" s="1">
        <v>316</v>
      </c>
      <c r="F2473" s="1">
        <v>196</v>
      </c>
      <c r="G2473" s="1" t="s">
        <v>38</v>
      </c>
      <c r="H2473" s="1" t="s">
        <v>1465</v>
      </c>
      <c r="I2473" s="1" t="s">
        <v>39</v>
      </c>
      <c r="J2473" s="1" t="s">
        <v>40</v>
      </c>
      <c r="K2473" s="1" t="s">
        <v>41</v>
      </c>
      <c r="L2473" s="1"/>
    </row>
    <row r="2474" spans="1:12" s="32" customFormat="1" hidden="1" x14ac:dyDescent="0.3">
      <c r="A2474" s="37">
        <v>46114.439930555556</v>
      </c>
      <c r="B2474" s="1">
        <v>44997187778</v>
      </c>
      <c r="C2474" s="1">
        <v>4430265054</v>
      </c>
      <c r="D2474" s="1">
        <v>4430265054</v>
      </c>
      <c r="E2474" s="1">
        <v>6</v>
      </c>
      <c r="F2474" s="1">
        <v>6</v>
      </c>
      <c r="G2474" s="1" t="s">
        <v>52</v>
      </c>
      <c r="H2474" s="1" t="s">
        <v>1466</v>
      </c>
      <c r="I2474" s="1" t="s">
        <v>39</v>
      </c>
      <c r="J2474" s="1" t="s">
        <v>53</v>
      </c>
      <c r="K2474" s="1"/>
      <c r="L2474" s="1"/>
    </row>
    <row r="2475" spans="1:12" s="32" customFormat="1" hidden="1" x14ac:dyDescent="0.3">
      <c r="A2475" s="37">
        <v>46114.436979166669</v>
      </c>
      <c r="B2475" s="1">
        <v>44984580001</v>
      </c>
      <c r="C2475" s="1" t="s">
        <v>45</v>
      </c>
      <c r="D2475" s="1">
        <v>4430265054</v>
      </c>
      <c r="E2475" s="1">
        <v>683</v>
      </c>
      <c r="F2475" s="1">
        <v>657</v>
      </c>
      <c r="G2475" s="1" t="s">
        <v>38</v>
      </c>
      <c r="H2475" s="1" t="s">
        <v>1467</v>
      </c>
      <c r="I2475" s="1" t="s">
        <v>39</v>
      </c>
      <c r="J2475" s="1" t="s">
        <v>40</v>
      </c>
      <c r="K2475" s="1" t="s">
        <v>41</v>
      </c>
      <c r="L2475" s="1">
        <v>5</v>
      </c>
    </row>
    <row r="2476" spans="1:12" s="32" customFormat="1" hidden="1" x14ac:dyDescent="0.3">
      <c r="A2476" s="37">
        <v>46114.436944444446</v>
      </c>
      <c r="B2476" s="1">
        <v>4430562296</v>
      </c>
      <c r="C2476" s="1" t="s">
        <v>43</v>
      </c>
      <c r="D2476" s="1">
        <v>4430265054</v>
      </c>
      <c r="E2476" s="1">
        <v>325</v>
      </c>
      <c r="F2476" s="1">
        <v>265</v>
      </c>
      <c r="G2476" s="1" t="s">
        <v>38</v>
      </c>
      <c r="H2476" s="1" t="s">
        <v>1468</v>
      </c>
      <c r="I2476" s="1" t="s">
        <v>39</v>
      </c>
      <c r="J2476" s="1" t="s">
        <v>40</v>
      </c>
      <c r="K2476" s="1" t="s">
        <v>41</v>
      </c>
      <c r="L2476" s="1"/>
    </row>
    <row r="2477" spans="1:12" s="32" customFormat="1" hidden="1" x14ac:dyDescent="0.3">
      <c r="A2477" s="37">
        <v>46114.430787037039</v>
      </c>
      <c r="B2477" s="1" t="s">
        <v>48</v>
      </c>
      <c r="C2477" s="1">
        <v>99985198624</v>
      </c>
      <c r="D2477" s="1"/>
      <c r="E2477" s="1">
        <v>42</v>
      </c>
      <c r="F2477" s="1">
        <v>29</v>
      </c>
      <c r="G2477" s="1" t="s">
        <v>38</v>
      </c>
      <c r="H2477" s="1" t="s">
        <v>1469</v>
      </c>
      <c r="I2477" s="1" t="s">
        <v>46</v>
      </c>
      <c r="J2477" s="1" t="s">
        <v>40</v>
      </c>
      <c r="K2477" s="1"/>
      <c r="L2477" s="1"/>
    </row>
    <row r="2478" spans="1:12" s="32" customFormat="1" hidden="1" x14ac:dyDescent="0.3">
      <c r="A2478" s="37">
        <v>46114.428888888891</v>
      </c>
      <c r="B2478" s="1">
        <v>44991381017</v>
      </c>
      <c r="C2478" s="1" t="s">
        <v>42</v>
      </c>
      <c r="D2478" s="1">
        <v>4430265054</v>
      </c>
      <c r="E2478" s="1">
        <v>632</v>
      </c>
      <c r="F2478" s="1">
        <v>591</v>
      </c>
      <c r="G2478" s="1" t="s">
        <v>38</v>
      </c>
      <c r="H2478" s="1" t="s">
        <v>1470</v>
      </c>
      <c r="I2478" s="1" t="s">
        <v>39</v>
      </c>
      <c r="J2478" s="1" t="s">
        <v>40</v>
      </c>
      <c r="K2478" s="1" t="s">
        <v>41</v>
      </c>
      <c r="L2478" s="1"/>
    </row>
    <row r="2479" spans="1:12" s="32" customFormat="1" hidden="1" x14ac:dyDescent="0.3">
      <c r="A2479" s="37">
        <v>46114.427025462966</v>
      </c>
      <c r="B2479" s="1">
        <v>44997235101</v>
      </c>
      <c r="C2479" s="1" t="s">
        <v>45</v>
      </c>
      <c r="D2479" s="1">
        <v>4430265054</v>
      </c>
      <c r="E2479" s="1">
        <v>263</v>
      </c>
      <c r="F2479" s="1">
        <v>235</v>
      </c>
      <c r="G2479" s="1" t="s">
        <v>38</v>
      </c>
      <c r="H2479" s="1" t="s">
        <v>1471</v>
      </c>
      <c r="I2479" s="1" t="s">
        <v>39</v>
      </c>
      <c r="J2479" s="1" t="s">
        <v>40</v>
      </c>
      <c r="K2479" s="1" t="s">
        <v>41</v>
      </c>
      <c r="L2479" s="1">
        <v>5</v>
      </c>
    </row>
    <row r="2480" spans="1:12" s="32" customFormat="1" hidden="1" x14ac:dyDescent="0.3">
      <c r="A2480" s="37">
        <v>46114.42460648148</v>
      </c>
      <c r="B2480" s="1" t="s">
        <v>48</v>
      </c>
      <c r="C2480" s="1">
        <v>99985198624</v>
      </c>
      <c r="D2480" s="1"/>
      <c r="E2480" s="1">
        <v>43</v>
      </c>
      <c r="F2480" s="1">
        <v>30</v>
      </c>
      <c r="G2480" s="1" t="s">
        <v>38</v>
      </c>
      <c r="H2480" s="1" t="s">
        <v>1472</v>
      </c>
      <c r="I2480" s="1" t="s">
        <v>46</v>
      </c>
      <c r="J2480" s="1" t="s">
        <v>40</v>
      </c>
      <c r="K2480" s="1"/>
      <c r="L2480" s="1"/>
    </row>
    <row r="2481" spans="1:12" s="32" customFormat="1" hidden="1" x14ac:dyDescent="0.3">
      <c r="A2481" s="37">
        <v>46114.422719907408</v>
      </c>
      <c r="B2481" s="1" t="s">
        <v>48</v>
      </c>
      <c r="C2481" s="1">
        <v>99999022979</v>
      </c>
      <c r="D2481" s="1"/>
      <c r="E2481" s="1">
        <v>70</v>
      </c>
      <c r="F2481" s="1">
        <v>30</v>
      </c>
      <c r="G2481" s="1" t="s">
        <v>38</v>
      </c>
      <c r="H2481" s="1" t="s">
        <v>1473</v>
      </c>
      <c r="I2481" s="1" t="s">
        <v>46</v>
      </c>
      <c r="J2481" s="1" t="s">
        <v>40</v>
      </c>
      <c r="K2481" s="1"/>
      <c r="L2481" s="1"/>
    </row>
    <row r="2482" spans="1:12" s="32" customFormat="1" hidden="1" x14ac:dyDescent="0.3">
      <c r="A2482" s="37">
        <v>46114.417708333334</v>
      </c>
      <c r="B2482" s="1">
        <v>4430191928</v>
      </c>
      <c r="C2482" s="1" t="s">
        <v>43</v>
      </c>
      <c r="D2482" s="1">
        <v>4430265054</v>
      </c>
      <c r="E2482" s="1">
        <v>158</v>
      </c>
      <c r="F2482" s="1">
        <v>46</v>
      </c>
      <c r="G2482" s="1" t="s">
        <v>38</v>
      </c>
      <c r="H2482" s="1" t="s">
        <v>1474</v>
      </c>
      <c r="I2482" s="1" t="s">
        <v>39</v>
      </c>
      <c r="J2482" s="1" t="s">
        <v>40</v>
      </c>
      <c r="K2482" s="1" t="s">
        <v>41</v>
      </c>
      <c r="L2482" s="1"/>
    </row>
    <row r="2483" spans="1:12" s="32" customFormat="1" hidden="1" x14ac:dyDescent="0.3">
      <c r="A2483" s="37">
        <v>46114.417407407411</v>
      </c>
      <c r="B2483" s="1">
        <v>4330333542</v>
      </c>
      <c r="C2483" s="1" t="s">
        <v>44</v>
      </c>
      <c r="D2483" s="1">
        <v>4430265054</v>
      </c>
      <c r="E2483" s="1">
        <v>422</v>
      </c>
      <c r="F2483" s="1">
        <v>306</v>
      </c>
      <c r="G2483" s="1" t="s">
        <v>38</v>
      </c>
      <c r="H2483" s="1" t="s">
        <v>1475</v>
      </c>
      <c r="I2483" s="1" t="s">
        <v>39</v>
      </c>
      <c r="J2483" s="1" t="s">
        <v>40</v>
      </c>
      <c r="K2483" s="1" t="s">
        <v>41</v>
      </c>
      <c r="L2483" s="1"/>
    </row>
    <row r="2484" spans="1:12" s="32" customFormat="1" hidden="1" x14ac:dyDescent="0.3">
      <c r="A2484" s="37">
        <v>46114.403379629628</v>
      </c>
      <c r="B2484" s="1" t="s">
        <v>43</v>
      </c>
      <c r="C2484" s="1">
        <v>4432325260</v>
      </c>
      <c r="D2484" s="1"/>
      <c r="E2484" s="1">
        <v>179</v>
      </c>
      <c r="F2484" s="1">
        <v>169</v>
      </c>
      <c r="G2484" s="1" t="s">
        <v>38</v>
      </c>
      <c r="H2484" s="1" t="s">
        <v>1476</v>
      </c>
      <c r="I2484" s="1" t="s">
        <v>46</v>
      </c>
      <c r="J2484" s="1" t="s">
        <v>40</v>
      </c>
      <c r="K2484" s="1"/>
      <c r="L2484" s="1"/>
    </row>
    <row r="2485" spans="1:12" s="32" customFormat="1" hidden="1" x14ac:dyDescent="0.3">
      <c r="A2485" s="37">
        <v>46114.399317129632</v>
      </c>
      <c r="B2485" s="1">
        <v>44984241715</v>
      </c>
      <c r="C2485" s="1" t="s">
        <v>37</v>
      </c>
      <c r="D2485" s="1">
        <v>4430265054</v>
      </c>
      <c r="E2485" s="1">
        <v>295</v>
      </c>
      <c r="F2485" s="1">
        <v>175</v>
      </c>
      <c r="G2485" s="1" t="s">
        <v>38</v>
      </c>
      <c r="H2485" s="1" t="s">
        <v>1477</v>
      </c>
      <c r="I2485" s="1" t="s">
        <v>39</v>
      </c>
      <c r="J2485" s="1" t="s">
        <v>40</v>
      </c>
      <c r="K2485" s="1" t="s">
        <v>41</v>
      </c>
      <c r="L2485" s="1"/>
    </row>
    <row r="2486" spans="1:12" s="32" customFormat="1" hidden="1" x14ac:dyDescent="0.3">
      <c r="A2486" s="37">
        <v>46114.395856481482</v>
      </c>
      <c r="B2486" s="1">
        <v>44991041123</v>
      </c>
      <c r="C2486" s="1" t="s">
        <v>45</v>
      </c>
      <c r="D2486" s="1">
        <v>4430265054</v>
      </c>
      <c r="E2486" s="1">
        <v>480</v>
      </c>
      <c r="F2486" s="1">
        <v>438</v>
      </c>
      <c r="G2486" s="1" t="s">
        <v>38</v>
      </c>
      <c r="H2486" s="1" t="s">
        <v>1478</v>
      </c>
      <c r="I2486" s="1" t="s">
        <v>39</v>
      </c>
      <c r="J2486" s="1" t="s">
        <v>40</v>
      </c>
      <c r="K2486" s="1" t="s">
        <v>41</v>
      </c>
      <c r="L2486" s="1">
        <v>5</v>
      </c>
    </row>
    <row r="2487" spans="1:12" s="32" customFormat="1" x14ac:dyDescent="0.3">
      <c r="A2487" s="37">
        <v>46114.393460648149</v>
      </c>
      <c r="B2487" s="1">
        <v>44991234625</v>
      </c>
      <c r="C2487" s="1" t="s">
        <v>37</v>
      </c>
      <c r="D2487" s="1">
        <v>4430265054</v>
      </c>
      <c r="E2487" s="1">
        <v>163</v>
      </c>
      <c r="F2487" s="1">
        <v>97</v>
      </c>
      <c r="G2487" s="1" t="s">
        <v>38</v>
      </c>
      <c r="H2487" s="1" t="s">
        <v>1479</v>
      </c>
      <c r="I2487" s="1" t="s">
        <v>39</v>
      </c>
      <c r="J2487" s="1" t="s">
        <v>40</v>
      </c>
      <c r="K2487" s="1" t="s">
        <v>41</v>
      </c>
      <c r="L2487" s="1">
        <v>5</v>
      </c>
    </row>
    <row r="2488" spans="1:12" s="32" customFormat="1" hidden="1" x14ac:dyDescent="0.3">
      <c r="A2488" s="37">
        <v>46114.389907407407</v>
      </c>
      <c r="B2488" s="1">
        <v>44991484476</v>
      </c>
      <c r="C2488" s="1" t="s">
        <v>42</v>
      </c>
      <c r="D2488" s="1">
        <v>4430265054</v>
      </c>
      <c r="E2488" s="1">
        <v>267</v>
      </c>
      <c r="F2488" s="1">
        <v>243</v>
      </c>
      <c r="G2488" s="1" t="s">
        <v>38</v>
      </c>
      <c r="H2488" s="1" t="s">
        <v>1480</v>
      </c>
      <c r="I2488" s="1" t="s">
        <v>39</v>
      </c>
      <c r="J2488" s="1" t="s">
        <v>40</v>
      </c>
      <c r="K2488" s="1" t="s">
        <v>41</v>
      </c>
      <c r="L2488" s="1"/>
    </row>
    <row r="2489" spans="1:12" s="32" customFormat="1" hidden="1" x14ac:dyDescent="0.3">
      <c r="A2489" s="37">
        <v>46114.377060185187</v>
      </c>
      <c r="B2489" s="1">
        <v>4430288517</v>
      </c>
      <c r="C2489" s="1" t="s">
        <v>45</v>
      </c>
      <c r="D2489" s="1">
        <v>4430265054</v>
      </c>
      <c r="E2489" s="1">
        <v>91</v>
      </c>
      <c r="F2489" s="1">
        <v>11</v>
      </c>
      <c r="G2489" s="1" t="s">
        <v>38</v>
      </c>
      <c r="H2489" s="1" t="s">
        <v>1481</v>
      </c>
      <c r="I2489" s="1" t="s">
        <v>39</v>
      </c>
      <c r="J2489" s="1" t="s">
        <v>40</v>
      </c>
      <c r="K2489" s="1" t="s">
        <v>41</v>
      </c>
      <c r="L2489" s="1"/>
    </row>
    <row r="2490" spans="1:12" s="32" customFormat="1" x14ac:dyDescent="0.3">
      <c r="A2490" s="37">
        <v>46113.740844907406</v>
      </c>
      <c r="B2490" s="1">
        <v>44999449519</v>
      </c>
      <c r="C2490" s="1" t="s">
        <v>37</v>
      </c>
      <c r="D2490" s="1">
        <v>4430265054</v>
      </c>
      <c r="E2490" s="1">
        <v>807</v>
      </c>
      <c r="F2490" s="1">
        <v>656</v>
      </c>
      <c r="G2490" s="1" t="s">
        <v>38</v>
      </c>
      <c r="H2490" s="1" t="s">
        <v>1482</v>
      </c>
      <c r="I2490" s="1" t="s">
        <v>39</v>
      </c>
      <c r="J2490" s="1" t="s">
        <v>40</v>
      </c>
      <c r="K2490" s="1" t="s">
        <v>41</v>
      </c>
      <c r="L2490" s="1">
        <v>5</v>
      </c>
    </row>
    <row r="2491" spans="1:12" s="32" customFormat="1" hidden="1" x14ac:dyDescent="0.3">
      <c r="A2491" s="37">
        <v>46113.72892361111</v>
      </c>
      <c r="B2491" s="1">
        <v>67992169496</v>
      </c>
      <c r="C2491" s="1" t="s">
        <v>43</v>
      </c>
      <c r="D2491" s="1">
        <v>4430265054</v>
      </c>
      <c r="E2491" s="1">
        <v>295</v>
      </c>
      <c r="F2491" s="1">
        <v>259</v>
      </c>
      <c r="G2491" s="1" t="s">
        <v>38</v>
      </c>
      <c r="H2491" s="1" t="s">
        <v>1483</v>
      </c>
      <c r="I2491" s="1" t="s">
        <v>39</v>
      </c>
      <c r="J2491" s="1" t="s">
        <v>40</v>
      </c>
      <c r="K2491" s="1" t="s">
        <v>41</v>
      </c>
      <c r="L2491" s="1"/>
    </row>
    <row r="2492" spans="1:12" s="32" customFormat="1" hidden="1" x14ac:dyDescent="0.3">
      <c r="A2492" s="37">
        <v>46113.724386574075</v>
      </c>
      <c r="B2492" s="1">
        <v>4432641415</v>
      </c>
      <c r="C2492" s="1" t="s">
        <v>37</v>
      </c>
      <c r="D2492" s="1">
        <v>4430265054</v>
      </c>
      <c r="E2492" s="1">
        <v>866</v>
      </c>
      <c r="F2492" s="1">
        <v>764</v>
      </c>
      <c r="G2492" s="1" t="s">
        <v>38</v>
      </c>
      <c r="H2492" s="1" t="s">
        <v>1484</v>
      </c>
      <c r="I2492" s="1" t="s">
        <v>39</v>
      </c>
      <c r="J2492" s="1" t="s">
        <v>40</v>
      </c>
      <c r="K2492" s="1" t="s">
        <v>41</v>
      </c>
      <c r="L2492" s="1"/>
    </row>
    <row r="2493" spans="1:12" s="32" customFormat="1" hidden="1" x14ac:dyDescent="0.3">
      <c r="A2493" s="37">
        <v>46113.718171296299</v>
      </c>
      <c r="B2493" s="1">
        <v>44997134514</v>
      </c>
      <c r="C2493" s="1" t="s">
        <v>42</v>
      </c>
      <c r="D2493" s="1">
        <v>4430265054</v>
      </c>
      <c r="E2493" s="1">
        <v>1558</v>
      </c>
      <c r="F2493" s="1">
        <v>1521</v>
      </c>
      <c r="G2493" s="1" t="s">
        <v>38</v>
      </c>
      <c r="H2493" s="1" t="s">
        <v>1485</v>
      </c>
      <c r="I2493" s="1" t="s">
        <v>39</v>
      </c>
      <c r="J2493" s="1" t="s">
        <v>40</v>
      </c>
      <c r="K2493" s="1" t="s">
        <v>41</v>
      </c>
      <c r="L2493" s="1"/>
    </row>
    <row r="2494" spans="1:12" s="32" customFormat="1" hidden="1" x14ac:dyDescent="0.3">
      <c r="A2494" s="37">
        <v>46113.718090277776</v>
      </c>
      <c r="B2494" s="1">
        <v>44991814587</v>
      </c>
      <c r="C2494" s="1" t="s">
        <v>43</v>
      </c>
      <c r="D2494" s="1">
        <v>4430265054</v>
      </c>
      <c r="E2494" s="1">
        <v>304</v>
      </c>
      <c r="F2494" s="1">
        <v>267</v>
      </c>
      <c r="G2494" s="1" t="s">
        <v>38</v>
      </c>
      <c r="H2494" s="1" t="s">
        <v>1486</v>
      </c>
      <c r="I2494" s="1" t="s">
        <v>39</v>
      </c>
      <c r="J2494" s="1" t="s">
        <v>40</v>
      </c>
      <c r="K2494" s="1" t="s">
        <v>41</v>
      </c>
      <c r="L2494" s="1"/>
    </row>
    <row r="2495" spans="1:12" s="32" customFormat="1" hidden="1" x14ac:dyDescent="0.3">
      <c r="A2495" s="37">
        <v>46113.717719907407</v>
      </c>
      <c r="B2495" s="1">
        <v>35998295948</v>
      </c>
      <c r="C2495" s="1" t="s">
        <v>44</v>
      </c>
      <c r="D2495" s="1">
        <v>4430265054</v>
      </c>
      <c r="E2495" s="1">
        <v>358</v>
      </c>
      <c r="F2495" s="1">
        <v>231</v>
      </c>
      <c r="G2495" s="1" t="s">
        <v>38</v>
      </c>
      <c r="H2495" s="1" t="s">
        <v>1487</v>
      </c>
      <c r="I2495" s="1" t="s">
        <v>39</v>
      </c>
      <c r="J2495" s="1" t="s">
        <v>40</v>
      </c>
      <c r="K2495" s="1" t="s">
        <v>41</v>
      </c>
      <c r="L2495" s="1"/>
    </row>
    <row r="2496" spans="1:12" s="32" customFormat="1" hidden="1" x14ac:dyDescent="0.3">
      <c r="A2496" s="37">
        <v>46113.715601851851</v>
      </c>
      <c r="B2496" s="1" t="s">
        <v>45</v>
      </c>
      <c r="C2496" s="1">
        <v>11941045323</v>
      </c>
      <c r="D2496" s="1"/>
      <c r="E2496" s="1">
        <v>1220</v>
      </c>
      <c r="F2496" s="1">
        <v>1209</v>
      </c>
      <c r="G2496" s="1" t="s">
        <v>38</v>
      </c>
      <c r="H2496" s="1" t="s">
        <v>1488</v>
      </c>
      <c r="I2496" s="1" t="s">
        <v>46</v>
      </c>
      <c r="J2496" s="1" t="s">
        <v>40</v>
      </c>
      <c r="K2496" s="1"/>
      <c r="L2496" s="1"/>
    </row>
    <row r="2497" spans="1:12" s="32" customFormat="1" hidden="1" x14ac:dyDescent="0.3">
      <c r="A2497" s="37">
        <v>46113.714791666665</v>
      </c>
      <c r="B2497" s="1">
        <v>35998295948</v>
      </c>
      <c r="C2497" s="1" t="s">
        <v>44</v>
      </c>
      <c r="D2497" s="1">
        <v>4430265054</v>
      </c>
      <c r="E2497" s="1">
        <v>245</v>
      </c>
      <c r="F2497" s="1">
        <v>27</v>
      </c>
      <c r="G2497" s="1" t="s">
        <v>38</v>
      </c>
      <c r="H2497" s="1" t="s">
        <v>1489</v>
      </c>
      <c r="I2497" s="1" t="s">
        <v>39</v>
      </c>
      <c r="J2497" s="1" t="s">
        <v>40</v>
      </c>
      <c r="K2497" s="1" t="s">
        <v>41</v>
      </c>
      <c r="L2497" s="1"/>
    </row>
    <row r="2498" spans="1:12" s="32" customFormat="1" hidden="1" x14ac:dyDescent="0.3">
      <c r="A2498" s="37">
        <v>46113.703043981484</v>
      </c>
      <c r="B2498" s="1" t="s">
        <v>37</v>
      </c>
      <c r="C2498" s="1">
        <v>24999187017</v>
      </c>
      <c r="D2498" s="1"/>
      <c r="E2498" s="1">
        <v>2</v>
      </c>
      <c r="F2498" s="1">
        <v>0</v>
      </c>
      <c r="G2498" s="1" t="s">
        <v>47</v>
      </c>
      <c r="H2498" s="1" t="s">
        <v>1490</v>
      </c>
      <c r="I2498" s="1" t="s">
        <v>46</v>
      </c>
      <c r="J2498" s="1" t="s">
        <v>40</v>
      </c>
      <c r="K2498" s="1"/>
      <c r="L2498" s="1"/>
    </row>
    <row r="2499" spans="1:12" s="32" customFormat="1" hidden="1" x14ac:dyDescent="0.3">
      <c r="A2499" s="37">
        <v>46113.702928240738</v>
      </c>
      <c r="B2499" s="1" t="s">
        <v>37</v>
      </c>
      <c r="C2499" s="1">
        <v>24999187017</v>
      </c>
      <c r="D2499" s="1"/>
      <c r="E2499" s="1">
        <v>9</v>
      </c>
      <c r="F2499" s="1">
        <v>0</v>
      </c>
      <c r="G2499" s="1" t="s">
        <v>47</v>
      </c>
      <c r="H2499" s="1" t="s">
        <v>1491</v>
      </c>
      <c r="I2499" s="1" t="s">
        <v>46</v>
      </c>
      <c r="J2499" s="1" t="s">
        <v>40</v>
      </c>
      <c r="K2499" s="1"/>
      <c r="L2499" s="1"/>
    </row>
    <row r="2500" spans="1:12" s="32" customFormat="1" hidden="1" x14ac:dyDescent="0.3">
      <c r="A2500" s="37">
        <v>46113.701817129629</v>
      </c>
      <c r="B2500" s="1" t="s">
        <v>43</v>
      </c>
      <c r="C2500" s="1">
        <v>11973545510</v>
      </c>
      <c r="D2500" s="1"/>
      <c r="E2500" s="1">
        <v>37</v>
      </c>
      <c r="F2500" s="1">
        <v>0</v>
      </c>
      <c r="G2500" s="1" t="s">
        <v>47</v>
      </c>
      <c r="H2500" s="1" t="s">
        <v>1492</v>
      </c>
      <c r="I2500" s="1" t="s">
        <v>46</v>
      </c>
      <c r="J2500" s="1" t="s">
        <v>40</v>
      </c>
      <c r="K2500" s="1"/>
      <c r="L2500" s="1"/>
    </row>
    <row r="2501" spans="1:12" s="32" customFormat="1" hidden="1" x14ac:dyDescent="0.3">
      <c r="A2501" s="37">
        <v>46113.699467592596</v>
      </c>
      <c r="B2501" s="1" t="s">
        <v>54</v>
      </c>
      <c r="C2501" s="1">
        <v>62985833199</v>
      </c>
      <c r="D2501" s="1"/>
      <c r="E2501" s="1">
        <v>39</v>
      </c>
      <c r="F2501" s="1">
        <v>2</v>
      </c>
      <c r="G2501" s="1" t="s">
        <v>38</v>
      </c>
      <c r="H2501" s="1" t="s">
        <v>1493</v>
      </c>
      <c r="I2501" s="1" t="s">
        <v>46</v>
      </c>
      <c r="J2501" s="1" t="s">
        <v>55</v>
      </c>
      <c r="K2501" s="1"/>
      <c r="L2501" s="1"/>
    </row>
    <row r="2502" spans="1:12" s="32" customFormat="1" hidden="1" x14ac:dyDescent="0.3">
      <c r="A2502" s="37">
        <v>46113.698553240742</v>
      </c>
      <c r="B2502" s="1">
        <v>35998295948</v>
      </c>
      <c r="C2502" s="1" t="s">
        <v>42</v>
      </c>
      <c r="D2502" s="1">
        <v>4430265054</v>
      </c>
      <c r="E2502" s="1">
        <v>325</v>
      </c>
      <c r="F2502" s="1">
        <v>79</v>
      </c>
      <c r="G2502" s="1" t="s">
        <v>38</v>
      </c>
      <c r="H2502" s="1" t="s">
        <v>1494</v>
      </c>
      <c r="I2502" s="1" t="s">
        <v>39</v>
      </c>
      <c r="J2502" s="1" t="s">
        <v>40</v>
      </c>
      <c r="K2502" s="1" t="s">
        <v>41</v>
      </c>
      <c r="L2502" s="1"/>
    </row>
    <row r="2503" spans="1:12" s="32" customFormat="1" hidden="1" x14ac:dyDescent="0.3">
      <c r="A2503" s="37">
        <v>46113.698460648149</v>
      </c>
      <c r="B2503" s="1" t="s">
        <v>54</v>
      </c>
      <c r="C2503" s="1">
        <v>63992111748</v>
      </c>
      <c r="D2503" s="1"/>
      <c r="E2503" s="1">
        <v>6</v>
      </c>
      <c r="F2503" s="1">
        <v>0</v>
      </c>
      <c r="G2503" s="1" t="s">
        <v>47</v>
      </c>
      <c r="H2503" s="1" t="s">
        <v>1495</v>
      </c>
      <c r="I2503" s="1" t="s">
        <v>46</v>
      </c>
      <c r="J2503" s="1" t="s">
        <v>55</v>
      </c>
      <c r="K2503" s="1"/>
      <c r="L2503" s="1"/>
    </row>
    <row r="2504" spans="1:12" s="32" customFormat="1" hidden="1" x14ac:dyDescent="0.3">
      <c r="A2504" s="37">
        <v>46113.697997685187</v>
      </c>
      <c r="B2504" s="1">
        <v>4121418115</v>
      </c>
      <c r="C2504" s="1">
        <v>4531273152</v>
      </c>
      <c r="D2504" s="1">
        <v>4531273152</v>
      </c>
      <c r="E2504" s="1">
        <v>46</v>
      </c>
      <c r="F2504" s="1">
        <v>46</v>
      </c>
      <c r="G2504" s="1" t="s">
        <v>52</v>
      </c>
      <c r="H2504" s="1" t="s">
        <v>1496</v>
      </c>
      <c r="I2504" s="1" t="s">
        <v>39</v>
      </c>
      <c r="J2504" s="1" t="s">
        <v>53</v>
      </c>
      <c r="K2504" s="1" t="s">
        <v>41</v>
      </c>
      <c r="L2504" s="1"/>
    </row>
    <row r="2505" spans="1:12" s="32" customFormat="1" hidden="1" x14ac:dyDescent="0.3">
      <c r="A2505" s="37">
        <v>46113.69736111111</v>
      </c>
      <c r="B2505" s="1" t="s">
        <v>54</v>
      </c>
      <c r="C2505" s="1">
        <v>62981434145</v>
      </c>
      <c r="D2505" s="1"/>
      <c r="E2505" s="1">
        <v>26</v>
      </c>
      <c r="F2505" s="1">
        <v>4</v>
      </c>
      <c r="G2505" s="1" t="s">
        <v>38</v>
      </c>
      <c r="H2505" s="1" t="s">
        <v>1497</v>
      </c>
      <c r="I2505" s="1" t="s">
        <v>46</v>
      </c>
      <c r="J2505" s="1" t="s">
        <v>55</v>
      </c>
      <c r="K2505" s="1"/>
      <c r="L2505" s="1"/>
    </row>
    <row r="2506" spans="1:12" s="32" customFormat="1" hidden="1" x14ac:dyDescent="0.3">
      <c r="A2506" s="37">
        <v>46113.696122685185</v>
      </c>
      <c r="B2506" s="1" t="s">
        <v>54</v>
      </c>
      <c r="C2506" s="1">
        <v>34997981733</v>
      </c>
      <c r="D2506" s="1"/>
      <c r="E2506" s="1">
        <v>9</v>
      </c>
      <c r="F2506" s="1">
        <v>0</v>
      </c>
      <c r="G2506" s="1" t="s">
        <v>47</v>
      </c>
      <c r="H2506" s="1" t="s">
        <v>1498</v>
      </c>
      <c r="I2506" s="1" t="s">
        <v>46</v>
      </c>
      <c r="J2506" s="1" t="s">
        <v>55</v>
      </c>
      <c r="K2506" s="1"/>
      <c r="L2506" s="1"/>
    </row>
    <row r="2507" spans="1:12" s="32" customFormat="1" hidden="1" x14ac:dyDescent="0.3">
      <c r="A2507" s="37">
        <v>46113.694444444445</v>
      </c>
      <c r="B2507" s="1" t="s">
        <v>54</v>
      </c>
      <c r="C2507" s="1">
        <v>51991958856</v>
      </c>
      <c r="D2507" s="1"/>
      <c r="E2507" s="1">
        <v>8</v>
      </c>
      <c r="F2507" s="1">
        <v>0</v>
      </c>
      <c r="G2507" s="1" t="s">
        <v>47</v>
      </c>
      <c r="H2507" s="1" t="s">
        <v>1499</v>
      </c>
      <c r="I2507" s="1" t="s">
        <v>46</v>
      </c>
      <c r="J2507" s="1" t="s">
        <v>55</v>
      </c>
      <c r="K2507" s="1"/>
      <c r="L2507" s="1"/>
    </row>
    <row r="2508" spans="1:12" s="32" customFormat="1" hidden="1" x14ac:dyDescent="0.3">
      <c r="A2508" s="37">
        <v>46113.691238425927</v>
      </c>
      <c r="B2508" s="1">
        <v>6434534421</v>
      </c>
      <c r="C2508" s="1" t="s">
        <v>42</v>
      </c>
      <c r="D2508" s="1">
        <v>4430265054</v>
      </c>
      <c r="E2508" s="1">
        <v>215</v>
      </c>
      <c r="F2508" s="1">
        <v>136</v>
      </c>
      <c r="G2508" s="1" t="s">
        <v>38</v>
      </c>
      <c r="H2508" s="1" t="s">
        <v>1500</v>
      </c>
      <c r="I2508" s="1" t="s">
        <v>39</v>
      </c>
      <c r="J2508" s="1" t="s">
        <v>40</v>
      </c>
      <c r="K2508" s="1" t="s">
        <v>41</v>
      </c>
      <c r="L2508" s="1">
        <v>5</v>
      </c>
    </row>
    <row r="2509" spans="1:12" s="32" customFormat="1" hidden="1" x14ac:dyDescent="0.3">
      <c r="A2509" s="37">
        <v>46113.686192129629</v>
      </c>
      <c r="B2509" s="1" t="s">
        <v>54</v>
      </c>
      <c r="C2509" s="1">
        <v>31985626909</v>
      </c>
      <c r="D2509" s="1"/>
      <c r="E2509" s="1">
        <v>23</v>
      </c>
      <c r="F2509" s="1">
        <v>8</v>
      </c>
      <c r="G2509" s="1" t="s">
        <v>38</v>
      </c>
      <c r="H2509" s="1" t="s">
        <v>1501</v>
      </c>
      <c r="I2509" s="1" t="s">
        <v>46</v>
      </c>
      <c r="J2509" s="1" t="s">
        <v>55</v>
      </c>
      <c r="K2509" s="1"/>
      <c r="L2509" s="1"/>
    </row>
    <row r="2510" spans="1:12" s="32" customFormat="1" hidden="1" x14ac:dyDescent="0.3">
      <c r="A2510" s="37">
        <v>46113.680752314816</v>
      </c>
      <c r="B2510" s="1" t="s">
        <v>54</v>
      </c>
      <c r="C2510" s="1">
        <v>82991044092</v>
      </c>
      <c r="D2510" s="1"/>
      <c r="E2510" s="1">
        <v>41</v>
      </c>
      <c r="F2510" s="1">
        <v>4</v>
      </c>
      <c r="G2510" s="1" t="s">
        <v>38</v>
      </c>
      <c r="H2510" s="1" t="s">
        <v>1502</v>
      </c>
      <c r="I2510" s="1" t="s">
        <v>46</v>
      </c>
      <c r="J2510" s="1" t="s">
        <v>55</v>
      </c>
      <c r="K2510" s="1"/>
      <c r="L2510" s="1"/>
    </row>
    <row r="2511" spans="1:12" s="32" customFormat="1" hidden="1" x14ac:dyDescent="0.3">
      <c r="A2511" s="37">
        <v>46113.680034722223</v>
      </c>
      <c r="B2511" s="1" t="s">
        <v>54</v>
      </c>
      <c r="C2511" s="1">
        <v>11988847129</v>
      </c>
      <c r="D2511" s="1"/>
      <c r="E2511" s="1">
        <v>32</v>
      </c>
      <c r="F2511" s="1">
        <v>0</v>
      </c>
      <c r="G2511" s="1" t="s">
        <v>47</v>
      </c>
      <c r="H2511" s="1" t="s">
        <v>1503</v>
      </c>
      <c r="I2511" s="1" t="s">
        <v>46</v>
      </c>
      <c r="J2511" s="1" t="s">
        <v>55</v>
      </c>
      <c r="K2511" s="1"/>
      <c r="L2511" s="1"/>
    </row>
    <row r="2512" spans="1:12" s="32" customFormat="1" hidden="1" x14ac:dyDescent="0.3">
      <c r="A2512" s="37">
        <v>46113.678043981483</v>
      </c>
      <c r="B2512" s="1" t="s">
        <v>43</v>
      </c>
      <c r="C2512" s="1">
        <v>4432325260</v>
      </c>
      <c r="D2512" s="1"/>
      <c r="E2512" s="1">
        <v>245</v>
      </c>
      <c r="F2512" s="1">
        <v>230</v>
      </c>
      <c r="G2512" s="1" t="s">
        <v>38</v>
      </c>
      <c r="H2512" s="1" t="s">
        <v>1504</v>
      </c>
      <c r="I2512" s="1" t="s">
        <v>46</v>
      </c>
      <c r="J2512" s="1" t="s">
        <v>40</v>
      </c>
      <c r="K2512" s="1"/>
      <c r="L2512" s="1"/>
    </row>
    <row r="2513" spans="1:12" s="32" customFormat="1" hidden="1" x14ac:dyDescent="0.3">
      <c r="A2513" s="37">
        <v>46113.67765046296</v>
      </c>
      <c r="B2513" s="1">
        <v>4121410323</v>
      </c>
      <c r="C2513" s="1">
        <v>4531273162</v>
      </c>
      <c r="D2513" s="1">
        <v>4531273162</v>
      </c>
      <c r="E2513" s="1">
        <v>47</v>
      </c>
      <c r="F2513" s="1">
        <v>46</v>
      </c>
      <c r="G2513" s="1" t="s">
        <v>52</v>
      </c>
      <c r="H2513" s="1" t="s">
        <v>1505</v>
      </c>
      <c r="I2513" s="1" t="s">
        <v>39</v>
      </c>
      <c r="J2513" s="1" t="s">
        <v>53</v>
      </c>
      <c r="K2513" s="1" t="s">
        <v>41</v>
      </c>
      <c r="L2513" s="1"/>
    </row>
    <row r="2514" spans="1:12" s="32" customFormat="1" hidden="1" x14ac:dyDescent="0.3">
      <c r="A2514" s="37">
        <v>46113.676192129627</v>
      </c>
      <c r="B2514" s="1" t="s">
        <v>48</v>
      </c>
      <c r="C2514" s="1">
        <v>42998373210</v>
      </c>
      <c r="D2514" s="1"/>
      <c r="E2514" s="1">
        <v>10</v>
      </c>
      <c r="F2514" s="1">
        <v>0</v>
      </c>
      <c r="G2514" s="1" t="s">
        <v>47</v>
      </c>
      <c r="H2514" s="1" t="s">
        <v>1506</v>
      </c>
      <c r="I2514" s="1" t="s">
        <v>46</v>
      </c>
      <c r="J2514" s="1" t="s">
        <v>40</v>
      </c>
      <c r="K2514" s="1"/>
      <c r="L2514" s="1"/>
    </row>
    <row r="2515" spans="1:12" s="32" customFormat="1" hidden="1" x14ac:dyDescent="0.3">
      <c r="A2515" s="37">
        <v>46113.67560185185</v>
      </c>
      <c r="B2515" s="1" t="s">
        <v>48</v>
      </c>
      <c r="C2515" s="1">
        <v>42998373210</v>
      </c>
      <c r="D2515" s="1"/>
      <c r="E2515" s="1">
        <v>56</v>
      </c>
      <c r="F2515" s="1">
        <v>29</v>
      </c>
      <c r="G2515" s="1" t="s">
        <v>38</v>
      </c>
      <c r="H2515" s="1" t="s">
        <v>1507</v>
      </c>
      <c r="I2515" s="1" t="s">
        <v>46</v>
      </c>
      <c r="J2515" s="1" t="s">
        <v>40</v>
      </c>
      <c r="K2515" s="1"/>
      <c r="L2515" s="1"/>
    </row>
    <row r="2516" spans="1:12" s="32" customFormat="1" hidden="1" x14ac:dyDescent="0.3">
      <c r="A2516" s="37">
        <v>46113.674826388888</v>
      </c>
      <c r="B2516" s="1" t="s">
        <v>48</v>
      </c>
      <c r="C2516" s="1">
        <v>42998373210</v>
      </c>
      <c r="D2516" s="1"/>
      <c r="E2516" s="1">
        <v>26</v>
      </c>
      <c r="F2516" s="1">
        <v>0</v>
      </c>
      <c r="G2516" s="1" t="s">
        <v>47</v>
      </c>
      <c r="H2516" s="1" t="s">
        <v>1508</v>
      </c>
      <c r="I2516" s="1" t="s">
        <v>46</v>
      </c>
      <c r="J2516" s="1" t="s">
        <v>40</v>
      </c>
      <c r="K2516" s="1"/>
      <c r="L2516" s="1"/>
    </row>
    <row r="2517" spans="1:12" s="32" customFormat="1" hidden="1" x14ac:dyDescent="0.3">
      <c r="A2517" s="37">
        <v>46113.674502314818</v>
      </c>
      <c r="B2517" s="1" t="s">
        <v>48</v>
      </c>
      <c r="C2517" s="1">
        <v>42998373210</v>
      </c>
      <c r="D2517" s="1"/>
      <c r="E2517" s="1">
        <v>26</v>
      </c>
      <c r="F2517" s="1">
        <v>0</v>
      </c>
      <c r="G2517" s="1" t="s">
        <v>47</v>
      </c>
      <c r="H2517" s="1" t="s">
        <v>1509</v>
      </c>
      <c r="I2517" s="1" t="s">
        <v>46</v>
      </c>
      <c r="J2517" s="1" t="s">
        <v>40</v>
      </c>
      <c r="K2517" s="1"/>
      <c r="L2517" s="1"/>
    </row>
    <row r="2518" spans="1:12" s="32" customFormat="1" hidden="1" x14ac:dyDescent="0.3">
      <c r="A2518" s="37">
        <v>46113.671759259261</v>
      </c>
      <c r="B2518" s="1" t="s">
        <v>48</v>
      </c>
      <c r="C2518" s="1">
        <v>42998373210</v>
      </c>
      <c r="D2518" s="1"/>
      <c r="E2518" s="1">
        <v>229</v>
      </c>
      <c r="F2518" s="1">
        <v>200</v>
      </c>
      <c r="G2518" s="1" t="s">
        <v>38</v>
      </c>
      <c r="H2518" s="1" t="s">
        <v>1510</v>
      </c>
      <c r="I2518" s="1" t="s">
        <v>46</v>
      </c>
      <c r="J2518" s="1" t="s">
        <v>40</v>
      </c>
      <c r="K2518" s="1"/>
      <c r="L2518" s="1"/>
    </row>
    <row r="2519" spans="1:12" s="32" customFormat="1" hidden="1" x14ac:dyDescent="0.3">
      <c r="A2519" s="37">
        <v>46113.670798611114</v>
      </c>
      <c r="B2519" s="1" t="s">
        <v>48</v>
      </c>
      <c r="C2519" s="1">
        <v>42998373210</v>
      </c>
      <c r="D2519" s="1"/>
      <c r="E2519" s="1">
        <v>31</v>
      </c>
      <c r="F2519" s="1">
        <v>3</v>
      </c>
      <c r="G2519" s="1" t="s">
        <v>38</v>
      </c>
      <c r="H2519" s="1" t="s">
        <v>1511</v>
      </c>
      <c r="I2519" s="1" t="s">
        <v>46</v>
      </c>
      <c r="J2519" s="1" t="s">
        <v>40</v>
      </c>
      <c r="K2519" s="1"/>
      <c r="L2519" s="1"/>
    </row>
    <row r="2520" spans="1:12" s="32" customFormat="1" hidden="1" x14ac:dyDescent="0.3">
      <c r="A2520" s="37">
        <v>46113.66914351852</v>
      </c>
      <c r="B2520" s="1" t="s">
        <v>57</v>
      </c>
      <c r="C2520" s="1">
        <v>91981481202</v>
      </c>
      <c r="D2520" s="1"/>
      <c r="E2520" s="1">
        <v>26</v>
      </c>
      <c r="F2520" s="1">
        <v>4</v>
      </c>
      <c r="G2520" s="1" t="s">
        <v>38</v>
      </c>
      <c r="H2520" s="1" t="s">
        <v>1512</v>
      </c>
      <c r="I2520" s="1" t="s">
        <v>46</v>
      </c>
      <c r="J2520" s="1" t="s">
        <v>55</v>
      </c>
      <c r="K2520" s="1"/>
      <c r="L2520" s="1"/>
    </row>
    <row r="2521" spans="1:12" s="32" customFormat="1" hidden="1" x14ac:dyDescent="0.3">
      <c r="A2521" s="37">
        <v>46113.668842592589</v>
      </c>
      <c r="B2521" s="1" t="s">
        <v>57</v>
      </c>
      <c r="C2521" s="1">
        <v>91980500055</v>
      </c>
      <c r="D2521" s="1"/>
      <c r="E2521" s="1">
        <v>9</v>
      </c>
      <c r="F2521" s="1">
        <v>0</v>
      </c>
      <c r="G2521" s="1" t="s">
        <v>47</v>
      </c>
      <c r="H2521" s="1" t="s">
        <v>1513</v>
      </c>
      <c r="I2521" s="1" t="s">
        <v>46</v>
      </c>
      <c r="J2521" s="1" t="s">
        <v>55</v>
      </c>
      <c r="K2521" s="1"/>
      <c r="L2521" s="1"/>
    </row>
    <row r="2522" spans="1:12" s="32" customFormat="1" hidden="1" x14ac:dyDescent="0.3">
      <c r="A2522" s="37">
        <v>46113.66741898148</v>
      </c>
      <c r="B2522" s="1" t="s">
        <v>45</v>
      </c>
      <c r="C2522" s="1">
        <v>11941045323</v>
      </c>
      <c r="D2522" s="1"/>
      <c r="E2522" s="1">
        <v>1150</v>
      </c>
      <c r="F2522" s="1">
        <v>1139</v>
      </c>
      <c r="G2522" s="1" t="s">
        <v>38</v>
      </c>
      <c r="H2522" s="1" t="s">
        <v>1514</v>
      </c>
      <c r="I2522" s="1" t="s">
        <v>46</v>
      </c>
      <c r="J2522" s="1" t="s">
        <v>40</v>
      </c>
      <c r="K2522" s="1"/>
      <c r="L2522" s="1"/>
    </row>
    <row r="2523" spans="1:12" s="32" customFormat="1" hidden="1" x14ac:dyDescent="0.3">
      <c r="A2523" s="37">
        <v>46113.66673611111</v>
      </c>
      <c r="B2523" s="1" t="s">
        <v>45</v>
      </c>
      <c r="C2523" s="1">
        <v>11941045323</v>
      </c>
      <c r="D2523" s="1"/>
      <c r="E2523" s="1">
        <v>35</v>
      </c>
      <c r="F2523" s="1">
        <v>0</v>
      </c>
      <c r="G2523" s="1" t="s">
        <v>47</v>
      </c>
      <c r="H2523" s="1" t="s">
        <v>1515</v>
      </c>
      <c r="I2523" s="1" t="s">
        <v>46</v>
      </c>
      <c r="J2523" s="1" t="s">
        <v>40</v>
      </c>
      <c r="K2523" s="1"/>
      <c r="L2523" s="1"/>
    </row>
    <row r="2524" spans="1:12" s="32" customFormat="1" hidden="1" x14ac:dyDescent="0.3">
      <c r="A2524" s="37">
        <v>46113.666307870371</v>
      </c>
      <c r="B2524" s="1" t="s">
        <v>43</v>
      </c>
      <c r="C2524" s="1">
        <v>4432325260</v>
      </c>
      <c r="D2524" s="1"/>
      <c r="E2524" s="1">
        <v>84</v>
      </c>
      <c r="F2524" s="1">
        <v>74</v>
      </c>
      <c r="G2524" s="1" t="s">
        <v>38</v>
      </c>
      <c r="H2524" s="1" t="s">
        <v>1516</v>
      </c>
      <c r="I2524" s="1" t="s">
        <v>46</v>
      </c>
      <c r="J2524" s="1" t="s">
        <v>40</v>
      </c>
      <c r="K2524" s="1"/>
      <c r="L2524" s="1"/>
    </row>
    <row r="2525" spans="1:12" s="32" customFormat="1" hidden="1" x14ac:dyDescent="0.3">
      <c r="A2525" s="37">
        <v>46113.666180555556</v>
      </c>
      <c r="B2525" s="1" t="s">
        <v>43</v>
      </c>
      <c r="C2525" s="1">
        <v>4432325260</v>
      </c>
      <c r="D2525" s="1"/>
      <c r="E2525" s="1">
        <v>25</v>
      </c>
      <c r="F2525" s="1">
        <v>25</v>
      </c>
      <c r="G2525" s="1" t="s">
        <v>38</v>
      </c>
      <c r="H2525" s="1" t="s">
        <v>1517</v>
      </c>
      <c r="I2525" s="1" t="s">
        <v>46</v>
      </c>
      <c r="J2525" s="1" t="s">
        <v>40</v>
      </c>
      <c r="K2525" s="1"/>
      <c r="L2525" s="1"/>
    </row>
    <row r="2526" spans="1:12" s="32" customFormat="1" hidden="1" x14ac:dyDescent="0.3">
      <c r="A2526" s="37">
        <v>46113.66609953704</v>
      </c>
      <c r="B2526" s="1" t="s">
        <v>45</v>
      </c>
      <c r="C2526" s="1">
        <v>11941045323</v>
      </c>
      <c r="D2526" s="1"/>
      <c r="E2526" s="1">
        <v>36</v>
      </c>
      <c r="F2526" s="1">
        <v>0</v>
      </c>
      <c r="G2526" s="1" t="s">
        <v>47</v>
      </c>
      <c r="H2526" s="1" t="s">
        <v>1518</v>
      </c>
      <c r="I2526" s="1" t="s">
        <v>46</v>
      </c>
      <c r="J2526" s="1" t="s">
        <v>40</v>
      </c>
      <c r="K2526" s="1"/>
      <c r="L2526" s="1"/>
    </row>
    <row r="2527" spans="1:12" s="32" customFormat="1" hidden="1" x14ac:dyDescent="0.3">
      <c r="A2527" s="37">
        <v>46113.66306712963</v>
      </c>
      <c r="B2527" s="1">
        <v>44988255390</v>
      </c>
      <c r="C2527" s="1" t="s">
        <v>37</v>
      </c>
      <c r="D2527" s="1">
        <v>4430265054</v>
      </c>
      <c r="E2527" s="1">
        <v>752</v>
      </c>
      <c r="F2527" s="1">
        <v>698</v>
      </c>
      <c r="G2527" s="1" t="s">
        <v>38</v>
      </c>
      <c r="H2527" s="1" t="s">
        <v>1519</v>
      </c>
      <c r="I2527" s="1" t="s">
        <v>39</v>
      </c>
      <c r="J2527" s="1" t="s">
        <v>40</v>
      </c>
      <c r="K2527" s="1" t="s">
        <v>41</v>
      </c>
      <c r="L2527" s="1"/>
    </row>
    <row r="2528" spans="1:12" s="32" customFormat="1" hidden="1" x14ac:dyDescent="0.3">
      <c r="A2528" s="37">
        <v>46113.66034722222</v>
      </c>
      <c r="B2528" s="1" t="s">
        <v>45</v>
      </c>
      <c r="C2528" s="1">
        <v>11941045323</v>
      </c>
      <c r="D2528" s="1"/>
      <c r="E2528" s="1">
        <v>523</v>
      </c>
      <c r="F2528" s="1">
        <v>499</v>
      </c>
      <c r="G2528" s="1" t="s">
        <v>38</v>
      </c>
      <c r="H2528" s="1" t="s">
        <v>1520</v>
      </c>
      <c r="I2528" s="1" t="s">
        <v>46</v>
      </c>
      <c r="J2528" s="1" t="s">
        <v>40</v>
      </c>
      <c r="K2528" s="1"/>
      <c r="L2528" s="1"/>
    </row>
    <row r="2529" spans="1:12" s="32" customFormat="1" hidden="1" x14ac:dyDescent="0.3">
      <c r="A2529" s="37">
        <v>46113.659421296295</v>
      </c>
      <c r="B2529" s="1" t="s">
        <v>45</v>
      </c>
      <c r="C2529" s="1">
        <v>11941045323</v>
      </c>
      <c r="D2529" s="1"/>
      <c r="E2529" s="1">
        <v>32</v>
      </c>
      <c r="F2529" s="1">
        <v>0</v>
      </c>
      <c r="G2529" s="1" t="s">
        <v>47</v>
      </c>
      <c r="H2529" s="1" t="s">
        <v>1521</v>
      </c>
      <c r="I2529" s="1" t="s">
        <v>46</v>
      </c>
      <c r="J2529" s="1" t="s">
        <v>40</v>
      </c>
      <c r="K2529" s="1"/>
      <c r="L2529" s="1"/>
    </row>
    <row r="2530" spans="1:12" s="32" customFormat="1" hidden="1" x14ac:dyDescent="0.3">
      <c r="A2530" s="37">
        <v>46113.658773148149</v>
      </c>
      <c r="B2530" s="1" t="s">
        <v>45</v>
      </c>
      <c r="C2530" s="1">
        <v>11941045323</v>
      </c>
      <c r="D2530" s="1"/>
      <c r="E2530" s="1">
        <v>41</v>
      </c>
      <c r="F2530" s="1">
        <v>0</v>
      </c>
      <c r="G2530" s="1" t="s">
        <v>47</v>
      </c>
      <c r="H2530" s="1" t="s">
        <v>1522</v>
      </c>
      <c r="I2530" s="1" t="s">
        <v>46</v>
      </c>
      <c r="J2530" s="1" t="s">
        <v>40</v>
      </c>
      <c r="K2530" s="1"/>
      <c r="L2530" s="1"/>
    </row>
    <row r="2531" spans="1:12" s="32" customFormat="1" hidden="1" x14ac:dyDescent="0.3">
      <c r="A2531" s="37">
        <v>46113.657013888886</v>
      </c>
      <c r="B2531" s="1">
        <v>4432325260</v>
      </c>
      <c r="C2531" s="1" t="s">
        <v>43</v>
      </c>
      <c r="D2531" s="1">
        <v>4430265054</v>
      </c>
      <c r="E2531" s="1">
        <v>584</v>
      </c>
      <c r="F2531" s="1">
        <v>486</v>
      </c>
      <c r="G2531" s="1" t="s">
        <v>38</v>
      </c>
      <c r="H2531" s="1" t="s">
        <v>1523</v>
      </c>
      <c r="I2531" s="1" t="s">
        <v>39</v>
      </c>
      <c r="J2531" s="1" t="s">
        <v>40</v>
      </c>
      <c r="K2531" s="1" t="s">
        <v>41</v>
      </c>
      <c r="L2531" s="1"/>
    </row>
    <row r="2532" spans="1:12" s="32" customFormat="1" hidden="1" x14ac:dyDescent="0.3">
      <c r="A2532" s="37">
        <v>46113.654143518521</v>
      </c>
      <c r="B2532" s="1">
        <v>91981481202</v>
      </c>
      <c r="C2532" s="1" t="s">
        <v>44</v>
      </c>
      <c r="D2532" s="1">
        <v>4430265054</v>
      </c>
      <c r="E2532" s="1">
        <v>544</v>
      </c>
      <c r="F2532" s="1">
        <v>517</v>
      </c>
      <c r="G2532" s="1" t="s">
        <v>38</v>
      </c>
      <c r="H2532" s="1" t="s">
        <v>1524</v>
      </c>
      <c r="I2532" s="1" t="s">
        <v>39</v>
      </c>
      <c r="J2532" s="1" t="s">
        <v>40</v>
      </c>
      <c r="K2532" s="1" t="s">
        <v>41</v>
      </c>
      <c r="L2532" s="1"/>
    </row>
    <row r="2533" spans="1:12" s="32" customFormat="1" hidden="1" x14ac:dyDescent="0.3">
      <c r="A2533" s="37">
        <v>46113.65152777778</v>
      </c>
      <c r="B2533" s="1">
        <v>44998032021</v>
      </c>
      <c r="C2533" s="1" t="s">
        <v>42</v>
      </c>
      <c r="D2533" s="1">
        <v>4430265054</v>
      </c>
      <c r="E2533" s="1">
        <v>270</v>
      </c>
      <c r="F2533" s="1">
        <v>188</v>
      </c>
      <c r="G2533" s="1" t="s">
        <v>38</v>
      </c>
      <c r="H2533" s="1" t="s">
        <v>1525</v>
      </c>
      <c r="I2533" s="1" t="s">
        <v>39</v>
      </c>
      <c r="J2533" s="1" t="s">
        <v>40</v>
      </c>
      <c r="K2533" s="1" t="s">
        <v>41</v>
      </c>
      <c r="L2533" s="1"/>
    </row>
    <row r="2534" spans="1:12" s="32" customFormat="1" hidden="1" x14ac:dyDescent="0.3">
      <c r="A2534" s="37">
        <v>46113.6484375</v>
      </c>
      <c r="B2534" s="1">
        <v>44991814587</v>
      </c>
      <c r="C2534" s="1" t="s">
        <v>43</v>
      </c>
      <c r="D2534" s="1">
        <v>4430265054</v>
      </c>
      <c r="E2534" s="1">
        <v>569</v>
      </c>
      <c r="F2534" s="1">
        <v>382</v>
      </c>
      <c r="G2534" s="1" t="s">
        <v>38</v>
      </c>
      <c r="H2534" s="1" t="s">
        <v>1526</v>
      </c>
      <c r="I2534" s="1" t="s">
        <v>39</v>
      </c>
      <c r="J2534" s="1" t="s">
        <v>40</v>
      </c>
      <c r="K2534" s="1" t="s">
        <v>41</v>
      </c>
      <c r="L2534" s="1"/>
    </row>
    <row r="2535" spans="1:12" s="32" customFormat="1" hidden="1" x14ac:dyDescent="0.3">
      <c r="A2535" s="37">
        <v>46113.645231481481</v>
      </c>
      <c r="B2535" s="1">
        <v>35998295948</v>
      </c>
      <c r="C2535" s="1" t="s">
        <v>45</v>
      </c>
      <c r="D2535" s="1">
        <v>4430265054</v>
      </c>
      <c r="E2535" s="1">
        <v>409</v>
      </c>
      <c r="F2535" s="1">
        <v>354</v>
      </c>
      <c r="G2535" s="1" t="s">
        <v>38</v>
      </c>
      <c r="H2535" s="1" t="s">
        <v>1527</v>
      </c>
      <c r="I2535" s="1" t="s">
        <v>39</v>
      </c>
      <c r="J2535" s="1" t="s">
        <v>40</v>
      </c>
      <c r="K2535" s="1" t="s">
        <v>41</v>
      </c>
      <c r="L2535" s="1"/>
    </row>
    <row r="2536" spans="1:12" s="32" customFormat="1" hidden="1" x14ac:dyDescent="0.3">
      <c r="A2536" s="37">
        <v>46113.640104166669</v>
      </c>
      <c r="B2536" s="1">
        <v>12991948973</v>
      </c>
      <c r="C2536" s="1">
        <v>4430265054</v>
      </c>
      <c r="D2536" s="1">
        <v>4430265054</v>
      </c>
      <c r="E2536" s="1">
        <v>11</v>
      </c>
      <c r="F2536" s="1">
        <v>10</v>
      </c>
      <c r="G2536" s="1" t="s">
        <v>52</v>
      </c>
      <c r="H2536" s="1" t="s">
        <v>1528</v>
      </c>
      <c r="I2536" s="1" t="s">
        <v>39</v>
      </c>
      <c r="J2536" s="1" t="s">
        <v>53</v>
      </c>
      <c r="K2536" s="1"/>
      <c r="L2536" s="1"/>
    </row>
    <row r="2537" spans="1:12" s="32" customFormat="1" x14ac:dyDescent="0.3">
      <c r="A2537" s="37">
        <v>46113.639814814815</v>
      </c>
      <c r="B2537" s="1">
        <v>44998761561</v>
      </c>
      <c r="C2537" s="1" t="s">
        <v>37</v>
      </c>
      <c r="D2537" s="1">
        <v>4430265054</v>
      </c>
      <c r="E2537" s="1">
        <v>1317</v>
      </c>
      <c r="F2537" s="1">
        <v>1242</v>
      </c>
      <c r="G2537" s="1" t="s">
        <v>38</v>
      </c>
      <c r="H2537" s="1" t="s">
        <v>1529</v>
      </c>
      <c r="I2537" s="1" t="s">
        <v>39</v>
      </c>
      <c r="J2537" s="1" t="s">
        <v>40</v>
      </c>
      <c r="K2537" s="1" t="s">
        <v>41</v>
      </c>
      <c r="L2537" s="1">
        <v>5</v>
      </c>
    </row>
    <row r="2538" spans="1:12" s="32" customFormat="1" hidden="1" x14ac:dyDescent="0.3">
      <c r="A2538" s="37">
        <v>46113.637048611112</v>
      </c>
      <c r="B2538" s="1">
        <v>6234347959</v>
      </c>
      <c r="C2538" s="1" t="s">
        <v>48</v>
      </c>
      <c r="D2538" s="1">
        <v>4430265054</v>
      </c>
      <c r="E2538" s="1">
        <v>405</v>
      </c>
      <c r="F2538" s="1">
        <v>404</v>
      </c>
      <c r="G2538" s="1" t="s">
        <v>38</v>
      </c>
      <c r="H2538" s="1" t="s">
        <v>1530</v>
      </c>
      <c r="I2538" s="1" t="s">
        <v>39</v>
      </c>
      <c r="J2538" s="1" t="s">
        <v>40</v>
      </c>
      <c r="K2538" s="1" t="s">
        <v>41</v>
      </c>
      <c r="L2538" s="1"/>
    </row>
    <row r="2539" spans="1:12" s="32" customFormat="1" hidden="1" x14ac:dyDescent="0.3">
      <c r="A2539" s="37">
        <v>46113.636655092596</v>
      </c>
      <c r="B2539" s="1">
        <v>41999195082</v>
      </c>
      <c r="C2539" s="1" t="s">
        <v>43</v>
      </c>
      <c r="D2539" s="1">
        <v>4430265054</v>
      </c>
      <c r="E2539" s="1">
        <v>742</v>
      </c>
      <c r="F2539" s="1">
        <v>686</v>
      </c>
      <c r="G2539" s="1" t="s">
        <v>38</v>
      </c>
      <c r="H2539" s="1" t="s">
        <v>1531</v>
      </c>
      <c r="I2539" s="1" t="s">
        <v>39</v>
      </c>
      <c r="J2539" s="1" t="s">
        <v>40</v>
      </c>
      <c r="K2539" s="1" t="s">
        <v>41</v>
      </c>
      <c r="L2539" s="1"/>
    </row>
    <row r="2540" spans="1:12" s="32" customFormat="1" hidden="1" x14ac:dyDescent="0.3">
      <c r="A2540" s="37">
        <v>46113.632662037038</v>
      </c>
      <c r="B2540" s="1">
        <v>4430152533</v>
      </c>
      <c r="C2540" s="1" t="s">
        <v>45</v>
      </c>
      <c r="D2540" s="1">
        <v>4430265054</v>
      </c>
      <c r="E2540" s="1">
        <v>450</v>
      </c>
      <c r="F2540" s="1">
        <v>432</v>
      </c>
      <c r="G2540" s="1" t="s">
        <v>38</v>
      </c>
      <c r="H2540" s="1" t="s">
        <v>1532</v>
      </c>
      <c r="I2540" s="1" t="s">
        <v>39</v>
      </c>
      <c r="J2540" s="1" t="s">
        <v>40</v>
      </c>
      <c r="K2540" s="1" t="s">
        <v>41</v>
      </c>
      <c r="L2540" s="1"/>
    </row>
    <row r="2541" spans="1:12" s="32" customFormat="1" hidden="1" x14ac:dyDescent="0.3">
      <c r="A2541" s="37">
        <v>46113.632384259261</v>
      </c>
      <c r="B2541" s="1">
        <v>4430141533</v>
      </c>
      <c r="C2541" s="1">
        <v>4430265054</v>
      </c>
      <c r="D2541" s="1">
        <v>4430265054</v>
      </c>
      <c r="E2541" s="1">
        <v>14</v>
      </c>
      <c r="F2541" s="1">
        <v>13</v>
      </c>
      <c r="G2541" s="1" t="s">
        <v>52</v>
      </c>
      <c r="H2541" s="1" t="s">
        <v>1533</v>
      </c>
      <c r="I2541" s="1" t="s">
        <v>39</v>
      </c>
      <c r="J2541" s="1" t="s">
        <v>53</v>
      </c>
      <c r="K2541" s="1"/>
      <c r="L2541" s="1"/>
    </row>
    <row r="2542" spans="1:12" s="32" customFormat="1" hidden="1" x14ac:dyDescent="0.3">
      <c r="A2542" s="37">
        <v>46113.627835648149</v>
      </c>
      <c r="B2542" s="1">
        <v>44999646909</v>
      </c>
      <c r="C2542" s="1" t="s">
        <v>43</v>
      </c>
      <c r="D2542" s="1">
        <v>4430265054</v>
      </c>
      <c r="E2542" s="1">
        <v>188</v>
      </c>
      <c r="F2542" s="1">
        <v>163</v>
      </c>
      <c r="G2542" s="1" t="s">
        <v>38</v>
      </c>
      <c r="H2542" s="1" t="s">
        <v>1534</v>
      </c>
      <c r="I2542" s="1" t="s">
        <v>39</v>
      </c>
      <c r="J2542" s="1" t="s">
        <v>40</v>
      </c>
      <c r="K2542" s="1" t="s">
        <v>41</v>
      </c>
      <c r="L2542" s="1"/>
    </row>
    <row r="2543" spans="1:12" s="32" customFormat="1" hidden="1" x14ac:dyDescent="0.3">
      <c r="A2543" s="37">
        <v>46113.627604166664</v>
      </c>
      <c r="B2543" s="1" t="s">
        <v>45</v>
      </c>
      <c r="C2543" s="1">
        <v>4532541802</v>
      </c>
      <c r="D2543" s="1"/>
      <c r="E2543" s="1">
        <v>444</v>
      </c>
      <c r="F2543" s="1">
        <v>443</v>
      </c>
      <c r="G2543" s="1" t="s">
        <v>38</v>
      </c>
      <c r="H2543" s="1" t="s">
        <v>1535</v>
      </c>
      <c r="I2543" s="1" t="s">
        <v>46</v>
      </c>
      <c r="J2543" s="1" t="s">
        <v>40</v>
      </c>
      <c r="K2543" s="1"/>
      <c r="L2543" s="1">
        <v>5</v>
      </c>
    </row>
    <row r="2544" spans="1:12" s="32" customFormat="1" hidden="1" x14ac:dyDescent="0.3">
      <c r="A2544" s="37">
        <v>46113.62327546296</v>
      </c>
      <c r="B2544" s="1">
        <v>41997840159</v>
      </c>
      <c r="C2544" s="1" t="s">
        <v>42</v>
      </c>
      <c r="D2544" s="1">
        <v>4430265054</v>
      </c>
      <c r="E2544" s="1">
        <v>1660</v>
      </c>
      <c r="F2544" s="1">
        <v>1591</v>
      </c>
      <c r="G2544" s="1" t="s">
        <v>38</v>
      </c>
      <c r="H2544" s="1" t="s">
        <v>1536</v>
      </c>
      <c r="I2544" s="1" t="s">
        <v>39</v>
      </c>
      <c r="J2544" s="1" t="s">
        <v>40</v>
      </c>
      <c r="K2544" s="1" t="s">
        <v>41</v>
      </c>
      <c r="L2544" s="1"/>
    </row>
    <row r="2545" spans="1:12" s="32" customFormat="1" hidden="1" x14ac:dyDescent="0.3">
      <c r="A2545" s="37">
        <v>46113.620798611111</v>
      </c>
      <c r="B2545" s="1">
        <v>4121418115</v>
      </c>
      <c r="C2545" s="1">
        <v>4531273161</v>
      </c>
      <c r="D2545" s="1">
        <v>4531273161</v>
      </c>
      <c r="E2545" s="1">
        <v>47</v>
      </c>
      <c r="F2545" s="1">
        <v>46</v>
      </c>
      <c r="G2545" s="1" t="s">
        <v>52</v>
      </c>
      <c r="H2545" s="1" t="s">
        <v>1537</v>
      </c>
      <c r="I2545" s="1" t="s">
        <v>39</v>
      </c>
      <c r="J2545" s="1" t="s">
        <v>53</v>
      </c>
      <c r="K2545" s="1" t="s">
        <v>41</v>
      </c>
      <c r="L2545" s="1"/>
    </row>
    <row r="2546" spans="1:12" s="32" customFormat="1" hidden="1" x14ac:dyDescent="0.3">
      <c r="A2546" s="37">
        <v>46113.620057870372</v>
      </c>
      <c r="B2546" s="1">
        <v>4432325260</v>
      </c>
      <c r="C2546" s="1" t="s">
        <v>37</v>
      </c>
      <c r="D2546" s="1">
        <v>4430265054</v>
      </c>
      <c r="E2546" s="1">
        <v>1313</v>
      </c>
      <c r="F2546" s="1">
        <v>1274</v>
      </c>
      <c r="G2546" s="1" t="s">
        <v>38</v>
      </c>
      <c r="H2546" s="1" t="s">
        <v>1538</v>
      </c>
      <c r="I2546" s="1" t="s">
        <v>39</v>
      </c>
      <c r="J2546" s="1" t="s">
        <v>40</v>
      </c>
      <c r="K2546" s="1" t="s">
        <v>41</v>
      </c>
      <c r="L2546" s="1"/>
    </row>
    <row r="2547" spans="1:12" s="32" customFormat="1" hidden="1" x14ac:dyDescent="0.3">
      <c r="A2547" s="37">
        <v>46113.618946759256</v>
      </c>
      <c r="B2547" s="1" t="s">
        <v>37</v>
      </c>
      <c r="C2547" s="1">
        <v>4432325260</v>
      </c>
      <c r="D2547" s="1"/>
      <c r="E2547" s="1">
        <v>1</v>
      </c>
      <c r="F2547" s="1">
        <v>0</v>
      </c>
      <c r="G2547" s="1" t="s">
        <v>47</v>
      </c>
      <c r="H2547" s="1" t="s">
        <v>1539</v>
      </c>
      <c r="I2547" s="1" t="s">
        <v>46</v>
      </c>
      <c r="J2547" s="1" t="s">
        <v>40</v>
      </c>
      <c r="K2547" s="1"/>
      <c r="L2547" s="1"/>
    </row>
    <row r="2548" spans="1:12" s="32" customFormat="1" hidden="1" x14ac:dyDescent="0.3">
      <c r="A2548" s="37">
        <v>46113.618738425925</v>
      </c>
      <c r="B2548" s="1" t="s">
        <v>37</v>
      </c>
      <c r="C2548" s="1">
        <v>4432325260</v>
      </c>
      <c r="D2548" s="1"/>
      <c r="E2548" s="1">
        <v>1</v>
      </c>
      <c r="F2548" s="1">
        <v>0</v>
      </c>
      <c r="G2548" s="1" t="s">
        <v>47</v>
      </c>
      <c r="H2548" s="1" t="s">
        <v>1540</v>
      </c>
      <c r="I2548" s="1" t="s">
        <v>46</v>
      </c>
      <c r="J2548" s="1" t="s">
        <v>40</v>
      </c>
      <c r="K2548" s="1"/>
      <c r="L2548" s="1"/>
    </row>
    <row r="2549" spans="1:12" s="32" customFormat="1" hidden="1" x14ac:dyDescent="0.3">
      <c r="A2549" s="37">
        <v>46113.618634259263</v>
      </c>
      <c r="B2549" s="1" t="s">
        <v>37</v>
      </c>
      <c r="C2549" s="1">
        <v>4432325260</v>
      </c>
      <c r="D2549" s="1"/>
      <c r="E2549" s="1">
        <v>25</v>
      </c>
      <c r="F2549" s="1">
        <v>25</v>
      </c>
      <c r="G2549" s="1" t="s">
        <v>38</v>
      </c>
      <c r="H2549" s="1" t="s">
        <v>1541</v>
      </c>
      <c r="I2549" s="1" t="s">
        <v>46</v>
      </c>
      <c r="J2549" s="1" t="s">
        <v>40</v>
      </c>
      <c r="K2549" s="1"/>
      <c r="L2549" s="1"/>
    </row>
    <row r="2550" spans="1:12" s="32" customFormat="1" hidden="1" x14ac:dyDescent="0.3">
      <c r="A2550" s="37">
        <v>46113.617685185185</v>
      </c>
      <c r="B2550" s="1" t="s">
        <v>43</v>
      </c>
      <c r="C2550" s="1">
        <v>6434530674</v>
      </c>
      <c r="D2550" s="1"/>
      <c r="E2550" s="1">
        <v>583</v>
      </c>
      <c r="F2550" s="1">
        <v>577</v>
      </c>
      <c r="G2550" s="1" t="s">
        <v>38</v>
      </c>
      <c r="H2550" s="1" t="s">
        <v>1542</v>
      </c>
      <c r="I2550" s="1" t="s">
        <v>46</v>
      </c>
      <c r="J2550" s="1" t="s">
        <v>40</v>
      </c>
      <c r="K2550" s="1"/>
      <c r="L2550" s="1">
        <v>4</v>
      </c>
    </row>
    <row r="2551" spans="1:12" s="32" customFormat="1" hidden="1" x14ac:dyDescent="0.3">
      <c r="A2551" s="37">
        <v>46113.617488425924</v>
      </c>
      <c r="B2551" s="1" t="s">
        <v>43</v>
      </c>
      <c r="C2551" s="1">
        <v>6434530674</v>
      </c>
      <c r="D2551" s="1"/>
      <c r="E2551" s="1">
        <v>2</v>
      </c>
      <c r="F2551" s="1">
        <v>0</v>
      </c>
      <c r="G2551" s="1" t="s">
        <v>47</v>
      </c>
      <c r="H2551" s="1" t="s">
        <v>1543</v>
      </c>
      <c r="I2551" s="1" t="s">
        <v>46</v>
      </c>
      <c r="J2551" s="1" t="s">
        <v>40</v>
      </c>
      <c r="K2551" s="1"/>
      <c r="L2551" s="1"/>
    </row>
    <row r="2552" spans="1:12" s="32" customFormat="1" hidden="1" x14ac:dyDescent="0.3">
      <c r="A2552" s="37">
        <v>46113.617418981485</v>
      </c>
      <c r="B2552" s="1" t="s">
        <v>43</v>
      </c>
      <c r="C2552" s="1">
        <v>6434530674</v>
      </c>
      <c r="D2552" s="1"/>
      <c r="E2552" s="1">
        <v>2</v>
      </c>
      <c r="F2552" s="1">
        <v>0</v>
      </c>
      <c r="G2552" s="1" t="s">
        <v>47</v>
      </c>
      <c r="H2552" s="1" t="s">
        <v>1544</v>
      </c>
      <c r="I2552" s="1" t="s">
        <v>46</v>
      </c>
      <c r="J2552" s="1" t="s">
        <v>40</v>
      </c>
      <c r="K2552" s="1"/>
      <c r="L2552" s="1"/>
    </row>
    <row r="2553" spans="1:12" s="32" customFormat="1" hidden="1" x14ac:dyDescent="0.3">
      <c r="A2553" s="37">
        <v>46113.617106481484</v>
      </c>
      <c r="B2553" s="1" t="s">
        <v>43</v>
      </c>
      <c r="C2553" s="1">
        <v>6434530674</v>
      </c>
      <c r="D2553" s="1"/>
      <c r="E2553" s="1">
        <v>43</v>
      </c>
      <c r="F2553" s="1">
        <v>37</v>
      </c>
      <c r="G2553" s="1" t="s">
        <v>38</v>
      </c>
      <c r="H2553" s="1" t="s">
        <v>1545</v>
      </c>
      <c r="I2553" s="1" t="s">
        <v>46</v>
      </c>
      <c r="J2553" s="1" t="s">
        <v>40</v>
      </c>
      <c r="K2553" s="1"/>
      <c r="L2553" s="1"/>
    </row>
    <row r="2554" spans="1:12" s="32" customFormat="1" hidden="1" x14ac:dyDescent="0.3">
      <c r="A2554" s="37">
        <v>46113.616365740738</v>
      </c>
      <c r="B2554" s="1">
        <v>12991948973</v>
      </c>
      <c r="C2554" s="1" t="s">
        <v>42</v>
      </c>
      <c r="D2554" s="1">
        <v>4430265054</v>
      </c>
      <c r="E2554" s="1">
        <v>597</v>
      </c>
      <c r="F2554" s="1">
        <v>569</v>
      </c>
      <c r="G2554" s="1" t="s">
        <v>38</v>
      </c>
      <c r="H2554" s="1" t="s">
        <v>1546</v>
      </c>
      <c r="I2554" s="1" t="s">
        <v>39</v>
      </c>
      <c r="J2554" s="1" t="s">
        <v>40</v>
      </c>
      <c r="K2554" s="1" t="s">
        <v>41</v>
      </c>
      <c r="L2554" s="1"/>
    </row>
    <row r="2555" spans="1:12" s="32" customFormat="1" hidden="1" x14ac:dyDescent="0.3">
      <c r="A2555" s="37">
        <v>46113.616319444445</v>
      </c>
      <c r="B2555" s="1">
        <v>1733237431</v>
      </c>
      <c r="C2555" s="1" t="s">
        <v>44</v>
      </c>
      <c r="D2555" s="1">
        <v>4430265054</v>
      </c>
      <c r="E2555" s="1">
        <v>1174</v>
      </c>
      <c r="F2555" s="1">
        <v>1024</v>
      </c>
      <c r="G2555" s="1" t="s">
        <v>38</v>
      </c>
      <c r="H2555" s="1" t="s">
        <v>1547</v>
      </c>
      <c r="I2555" s="1" t="s">
        <v>39</v>
      </c>
      <c r="J2555" s="1" t="s">
        <v>40</v>
      </c>
      <c r="K2555" s="1" t="s">
        <v>41</v>
      </c>
      <c r="L2555" s="1">
        <v>5</v>
      </c>
    </row>
    <row r="2556" spans="1:12" s="32" customFormat="1" hidden="1" x14ac:dyDescent="0.3">
      <c r="A2556" s="37">
        <v>46113.616018518522</v>
      </c>
      <c r="B2556" s="1">
        <v>6434530674</v>
      </c>
      <c r="C2556" s="1" t="s">
        <v>43</v>
      </c>
      <c r="D2556" s="1">
        <v>4430265054</v>
      </c>
      <c r="E2556" s="1">
        <v>68</v>
      </c>
      <c r="F2556" s="1">
        <v>16</v>
      </c>
      <c r="G2556" s="1" t="s">
        <v>38</v>
      </c>
      <c r="H2556" s="1" t="s">
        <v>1548</v>
      </c>
      <c r="I2556" s="1" t="s">
        <v>39</v>
      </c>
      <c r="J2556" s="1" t="s">
        <v>40</v>
      </c>
      <c r="K2556" s="1" t="s">
        <v>41</v>
      </c>
      <c r="L2556" s="1"/>
    </row>
    <row r="2557" spans="1:12" s="32" customFormat="1" hidden="1" x14ac:dyDescent="0.3">
      <c r="A2557" s="37">
        <v>46113.615057870367</v>
      </c>
      <c r="B2557" s="1">
        <v>6434538540</v>
      </c>
      <c r="C2557" s="1" t="s">
        <v>43</v>
      </c>
      <c r="D2557" s="1">
        <v>4430265054</v>
      </c>
      <c r="E2557" s="1">
        <v>59</v>
      </c>
      <c r="F2557" s="1">
        <v>23</v>
      </c>
      <c r="G2557" s="1" t="s">
        <v>38</v>
      </c>
      <c r="H2557" s="1" t="s">
        <v>1549</v>
      </c>
      <c r="I2557" s="1" t="s">
        <v>39</v>
      </c>
      <c r="J2557" s="1" t="s">
        <v>40</v>
      </c>
      <c r="K2557" s="1" t="s">
        <v>41</v>
      </c>
      <c r="L2557" s="1"/>
    </row>
    <row r="2558" spans="1:12" s="32" customFormat="1" hidden="1" x14ac:dyDescent="0.3">
      <c r="A2558" s="37">
        <v>46113.61378472222</v>
      </c>
      <c r="B2558" s="1">
        <v>12991948973</v>
      </c>
      <c r="C2558" s="1" t="s">
        <v>43</v>
      </c>
      <c r="D2558" s="1">
        <v>4430265054</v>
      </c>
      <c r="E2558" s="1">
        <v>54</v>
      </c>
      <c r="F2558" s="1">
        <v>19</v>
      </c>
      <c r="G2558" s="1" t="s">
        <v>38</v>
      </c>
      <c r="H2558" s="1" t="s">
        <v>1550</v>
      </c>
      <c r="I2558" s="1" t="s">
        <v>39</v>
      </c>
      <c r="J2558" s="1" t="s">
        <v>40</v>
      </c>
      <c r="K2558" s="1" t="s">
        <v>41</v>
      </c>
      <c r="L2558" s="1"/>
    </row>
    <row r="2559" spans="1:12" s="32" customFormat="1" hidden="1" x14ac:dyDescent="0.3">
      <c r="A2559" s="37">
        <v>46113.613159722219</v>
      </c>
      <c r="B2559" s="1" t="s">
        <v>43</v>
      </c>
      <c r="C2559" s="1">
        <v>43991762957</v>
      </c>
      <c r="D2559" s="1"/>
      <c r="E2559" s="1">
        <v>21</v>
      </c>
      <c r="F2559" s="1">
        <v>0</v>
      </c>
      <c r="G2559" s="1" t="s">
        <v>47</v>
      </c>
      <c r="H2559" s="1" t="s">
        <v>1551</v>
      </c>
      <c r="I2559" s="1" t="s">
        <v>46</v>
      </c>
      <c r="J2559" s="1" t="s">
        <v>40</v>
      </c>
      <c r="K2559" s="1"/>
      <c r="L2559" s="1"/>
    </row>
    <row r="2560" spans="1:12" s="32" customFormat="1" hidden="1" x14ac:dyDescent="0.3">
      <c r="A2560" s="37">
        <v>46113.613043981481</v>
      </c>
      <c r="B2560" s="1" t="s">
        <v>43</v>
      </c>
      <c r="C2560" s="1">
        <v>43991762957</v>
      </c>
      <c r="D2560" s="1"/>
      <c r="E2560" s="1">
        <v>8</v>
      </c>
      <c r="F2560" s="1">
        <v>0</v>
      </c>
      <c r="G2560" s="1" t="s">
        <v>47</v>
      </c>
      <c r="H2560" s="1" t="s">
        <v>1552</v>
      </c>
      <c r="I2560" s="1" t="s">
        <v>46</v>
      </c>
      <c r="J2560" s="1" t="s">
        <v>40</v>
      </c>
      <c r="K2560" s="1"/>
      <c r="L2560" s="1"/>
    </row>
    <row r="2561" spans="1:12" s="32" customFormat="1" hidden="1" x14ac:dyDescent="0.3">
      <c r="A2561" s="37">
        <v>46113.611435185187</v>
      </c>
      <c r="B2561" s="1">
        <v>4430317020</v>
      </c>
      <c r="C2561" s="1">
        <v>4430265054</v>
      </c>
      <c r="D2561" s="1">
        <v>4430265054</v>
      </c>
      <c r="E2561" s="1">
        <v>5</v>
      </c>
      <c r="F2561" s="1">
        <v>4</v>
      </c>
      <c r="G2561" s="1" t="s">
        <v>52</v>
      </c>
      <c r="H2561" s="1" t="s">
        <v>1553</v>
      </c>
      <c r="I2561" s="1" t="s">
        <v>39</v>
      </c>
      <c r="J2561" s="1" t="s">
        <v>53</v>
      </c>
      <c r="K2561" s="1"/>
      <c r="L2561" s="1"/>
    </row>
    <row r="2562" spans="1:12" s="32" customFormat="1" hidden="1" x14ac:dyDescent="0.3">
      <c r="A2562" s="37">
        <v>46113.61105324074</v>
      </c>
      <c r="B2562" s="1">
        <v>4532541802</v>
      </c>
      <c r="C2562" s="1" t="s">
        <v>42</v>
      </c>
      <c r="D2562" s="1">
        <v>4430265054</v>
      </c>
      <c r="E2562" s="1">
        <v>330</v>
      </c>
      <c r="F2562" s="1">
        <v>117</v>
      </c>
      <c r="G2562" s="1" t="s">
        <v>38</v>
      </c>
      <c r="H2562" s="1" t="s">
        <v>1554</v>
      </c>
      <c r="I2562" s="1" t="s">
        <v>39</v>
      </c>
      <c r="J2562" s="1" t="s">
        <v>40</v>
      </c>
      <c r="K2562" s="1" t="s">
        <v>41</v>
      </c>
      <c r="L2562" s="1"/>
    </row>
    <row r="2563" spans="1:12" s="32" customFormat="1" hidden="1" x14ac:dyDescent="0.3">
      <c r="A2563" s="37">
        <v>46113.6090625</v>
      </c>
      <c r="B2563" s="1" t="s">
        <v>43</v>
      </c>
      <c r="C2563" s="1">
        <v>43991762957</v>
      </c>
      <c r="D2563" s="1"/>
      <c r="E2563" s="1">
        <v>31</v>
      </c>
      <c r="F2563" s="1">
        <v>0</v>
      </c>
      <c r="G2563" s="1" t="s">
        <v>47</v>
      </c>
      <c r="H2563" s="1" t="s">
        <v>1555</v>
      </c>
      <c r="I2563" s="1" t="s">
        <v>46</v>
      </c>
      <c r="J2563" s="1" t="s">
        <v>40</v>
      </c>
      <c r="K2563" s="1"/>
      <c r="L2563" s="1"/>
    </row>
    <row r="2564" spans="1:12" s="32" customFormat="1" hidden="1" x14ac:dyDescent="0.3">
      <c r="A2564" s="37">
        <v>46113.60837962963</v>
      </c>
      <c r="B2564" s="1">
        <v>93991495484</v>
      </c>
      <c r="C2564" s="1" t="s">
        <v>44</v>
      </c>
      <c r="D2564" s="1">
        <v>4430265054</v>
      </c>
      <c r="E2564" s="1">
        <v>698</v>
      </c>
      <c r="F2564" s="1">
        <v>581</v>
      </c>
      <c r="G2564" s="1" t="s">
        <v>38</v>
      </c>
      <c r="H2564" s="1" t="s">
        <v>1556</v>
      </c>
      <c r="I2564" s="1" t="s">
        <v>39</v>
      </c>
      <c r="J2564" s="1" t="s">
        <v>40</v>
      </c>
      <c r="K2564" s="1" t="s">
        <v>41</v>
      </c>
      <c r="L2564" s="1">
        <v>5</v>
      </c>
    </row>
    <row r="2565" spans="1:12" s="32" customFormat="1" hidden="1" x14ac:dyDescent="0.3">
      <c r="A2565" s="37">
        <v>46113.607986111114</v>
      </c>
      <c r="B2565" s="1">
        <v>11990144272</v>
      </c>
      <c r="C2565" s="1" t="s">
        <v>45</v>
      </c>
      <c r="D2565" s="1">
        <v>4431268225</v>
      </c>
      <c r="E2565" s="1">
        <v>1482</v>
      </c>
      <c r="F2565" s="1">
        <v>1462</v>
      </c>
      <c r="G2565" s="1" t="s">
        <v>38</v>
      </c>
      <c r="H2565" s="1" t="s">
        <v>1557</v>
      </c>
      <c r="I2565" s="1" t="s">
        <v>39</v>
      </c>
      <c r="J2565" s="1" t="s">
        <v>40</v>
      </c>
      <c r="K2565" s="1" t="s">
        <v>41</v>
      </c>
      <c r="L2565" s="1">
        <v>5</v>
      </c>
    </row>
    <row r="2566" spans="1:12" s="32" customFormat="1" hidden="1" x14ac:dyDescent="0.3">
      <c r="A2566" s="37">
        <v>46113.604375000003</v>
      </c>
      <c r="B2566" s="1">
        <v>4432524636</v>
      </c>
      <c r="C2566" s="1" t="s">
        <v>42</v>
      </c>
      <c r="D2566" s="1">
        <v>4430265054</v>
      </c>
      <c r="E2566" s="1">
        <v>629</v>
      </c>
      <c r="F2566" s="1">
        <v>592</v>
      </c>
      <c r="G2566" s="1" t="s">
        <v>38</v>
      </c>
      <c r="H2566" s="1" t="s">
        <v>1558</v>
      </c>
      <c r="I2566" s="1" t="s">
        <v>39</v>
      </c>
      <c r="J2566" s="1" t="s">
        <v>40</v>
      </c>
      <c r="K2566" s="1" t="s">
        <v>41</v>
      </c>
      <c r="L2566" s="1">
        <v>5</v>
      </c>
    </row>
    <row r="2567" spans="1:12" s="32" customFormat="1" hidden="1" x14ac:dyDescent="0.3">
      <c r="A2567" s="37">
        <v>46113.596087962964</v>
      </c>
      <c r="B2567" s="1">
        <v>43991762957</v>
      </c>
      <c r="C2567" s="1" t="s">
        <v>43</v>
      </c>
      <c r="D2567" s="1">
        <v>4430265054</v>
      </c>
      <c r="E2567" s="1">
        <v>706</v>
      </c>
      <c r="F2567" s="1">
        <v>628</v>
      </c>
      <c r="G2567" s="1" t="s">
        <v>38</v>
      </c>
      <c r="H2567" s="1" t="s">
        <v>1559</v>
      </c>
      <c r="I2567" s="1" t="s">
        <v>39</v>
      </c>
      <c r="J2567" s="1" t="s">
        <v>40</v>
      </c>
      <c r="K2567" s="1" t="s">
        <v>41</v>
      </c>
      <c r="L2567" s="1"/>
    </row>
    <row r="2568" spans="1:12" s="32" customFormat="1" hidden="1" x14ac:dyDescent="0.3">
      <c r="A2568" s="37">
        <v>46113.595509259256</v>
      </c>
      <c r="B2568" s="1">
        <v>44999195785</v>
      </c>
      <c r="C2568" s="1" t="s">
        <v>42</v>
      </c>
      <c r="D2568" s="1">
        <v>4430265054</v>
      </c>
      <c r="E2568" s="1">
        <v>251</v>
      </c>
      <c r="F2568" s="1">
        <v>204</v>
      </c>
      <c r="G2568" s="1" t="s">
        <v>38</v>
      </c>
      <c r="H2568" s="1" t="s">
        <v>1560</v>
      </c>
      <c r="I2568" s="1" t="s">
        <v>39</v>
      </c>
      <c r="J2568" s="1" t="s">
        <v>40</v>
      </c>
      <c r="K2568" s="1" t="s">
        <v>41</v>
      </c>
      <c r="L2568" s="1"/>
    </row>
    <row r="2569" spans="1:12" s="32" customFormat="1" hidden="1" x14ac:dyDescent="0.3">
      <c r="A2569" s="37">
        <v>46113.595393518517</v>
      </c>
      <c r="B2569" s="1">
        <v>44999451200</v>
      </c>
      <c r="C2569" s="1" t="s">
        <v>54</v>
      </c>
      <c r="D2569" s="1">
        <v>4430265054</v>
      </c>
      <c r="E2569" s="1">
        <v>226</v>
      </c>
      <c r="F2569" s="1">
        <v>207</v>
      </c>
      <c r="G2569" s="1" t="s">
        <v>38</v>
      </c>
      <c r="H2569" s="1" t="s">
        <v>1561</v>
      </c>
      <c r="I2569" s="1" t="s">
        <v>39</v>
      </c>
      <c r="J2569" s="1" t="s">
        <v>55</v>
      </c>
      <c r="K2569" s="1" t="s">
        <v>49</v>
      </c>
      <c r="L2569" s="1"/>
    </row>
    <row r="2570" spans="1:12" s="32" customFormat="1" hidden="1" x14ac:dyDescent="0.3">
      <c r="A2570" s="37">
        <v>46113.595150462963</v>
      </c>
      <c r="B2570" s="1">
        <v>44999451200</v>
      </c>
      <c r="C2570" s="1">
        <v>4430265054</v>
      </c>
      <c r="D2570" s="1">
        <v>4430265054</v>
      </c>
      <c r="E2570" s="1">
        <v>2</v>
      </c>
      <c r="F2570" s="1">
        <v>2</v>
      </c>
      <c r="G2570" s="1" t="s">
        <v>52</v>
      </c>
      <c r="H2570" s="1" t="s">
        <v>1562</v>
      </c>
      <c r="I2570" s="1" t="s">
        <v>39</v>
      </c>
      <c r="J2570" s="1" t="s">
        <v>53</v>
      </c>
      <c r="K2570" s="1"/>
      <c r="L2570" s="1"/>
    </row>
    <row r="2571" spans="1:12" s="32" customFormat="1" hidden="1" x14ac:dyDescent="0.3">
      <c r="A2571" s="37">
        <v>46113.593078703707</v>
      </c>
      <c r="B2571" s="1">
        <v>4121418115</v>
      </c>
      <c r="C2571" s="1">
        <v>4531273151</v>
      </c>
      <c r="D2571" s="1">
        <v>4531273151</v>
      </c>
      <c r="E2571" s="1">
        <v>48</v>
      </c>
      <c r="F2571" s="1">
        <v>48</v>
      </c>
      <c r="G2571" s="1" t="s">
        <v>52</v>
      </c>
      <c r="H2571" s="1" t="s">
        <v>1563</v>
      </c>
      <c r="I2571" s="1" t="s">
        <v>39</v>
      </c>
      <c r="J2571" s="1" t="s">
        <v>53</v>
      </c>
      <c r="K2571" s="1" t="s">
        <v>41</v>
      </c>
      <c r="L2571" s="1"/>
    </row>
    <row r="2572" spans="1:12" s="32" customFormat="1" hidden="1" x14ac:dyDescent="0.3">
      <c r="A2572" s="37">
        <v>46113.59175925926</v>
      </c>
      <c r="B2572" s="1" t="s">
        <v>50</v>
      </c>
      <c r="C2572" s="1" t="s">
        <v>57</v>
      </c>
      <c r="D2572" s="1"/>
      <c r="E2572" s="1">
        <v>349</v>
      </c>
      <c r="F2572" s="1">
        <v>341</v>
      </c>
      <c r="G2572" s="1" t="s">
        <v>38</v>
      </c>
      <c r="H2572" s="1" t="s">
        <v>1564</v>
      </c>
      <c r="I2572" s="1" t="s">
        <v>51</v>
      </c>
      <c r="J2572" s="1" t="s">
        <v>55</v>
      </c>
      <c r="K2572" s="1"/>
      <c r="L2572" s="1"/>
    </row>
    <row r="2573" spans="1:12" s="32" customFormat="1" hidden="1" x14ac:dyDescent="0.3">
      <c r="A2573" s="37">
        <v>46113.587291666663</v>
      </c>
      <c r="B2573" s="1" t="s">
        <v>48</v>
      </c>
      <c r="C2573" s="1">
        <v>4430293755</v>
      </c>
      <c r="D2573" s="1"/>
      <c r="E2573" s="1">
        <v>151</v>
      </c>
      <c r="F2573" s="1">
        <v>126</v>
      </c>
      <c r="G2573" s="1" t="s">
        <v>38</v>
      </c>
      <c r="H2573" s="1" t="s">
        <v>1565</v>
      </c>
      <c r="I2573" s="1" t="s">
        <v>46</v>
      </c>
      <c r="J2573" s="1" t="s">
        <v>40</v>
      </c>
      <c r="K2573" s="1"/>
      <c r="L2573" s="1"/>
    </row>
    <row r="2574" spans="1:12" s="32" customFormat="1" hidden="1" x14ac:dyDescent="0.3">
      <c r="A2574" s="37">
        <v>46113.587256944447</v>
      </c>
      <c r="B2574" s="1" t="s">
        <v>48</v>
      </c>
      <c r="C2574" s="1">
        <v>4430293755</v>
      </c>
      <c r="D2574" s="1"/>
      <c r="E2574" s="1">
        <v>26</v>
      </c>
      <c r="F2574" s="1">
        <v>25</v>
      </c>
      <c r="G2574" s="1" t="s">
        <v>38</v>
      </c>
      <c r="H2574" s="1" t="s">
        <v>1566</v>
      </c>
      <c r="I2574" s="1" t="s">
        <v>46</v>
      </c>
      <c r="J2574" s="1" t="s">
        <v>40</v>
      </c>
      <c r="K2574" s="1"/>
      <c r="L2574" s="1"/>
    </row>
    <row r="2575" spans="1:12" s="32" customFormat="1" hidden="1" x14ac:dyDescent="0.3">
      <c r="A2575" s="37">
        <v>46113.587199074071</v>
      </c>
      <c r="B2575" s="1">
        <v>4432325260</v>
      </c>
      <c r="C2575" s="1" t="s">
        <v>37</v>
      </c>
      <c r="D2575" s="1">
        <v>4430265054</v>
      </c>
      <c r="E2575" s="1">
        <v>2701</v>
      </c>
      <c r="F2575" s="1">
        <v>2567</v>
      </c>
      <c r="G2575" s="1" t="s">
        <v>38</v>
      </c>
      <c r="H2575" s="1" t="s">
        <v>1567</v>
      </c>
      <c r="I2575" s="1" t="s">
        <v>39</v>
      </c>
      <c r="J2575" s="1" t="s">
        <v>40</v>
      </c>
      <c r="K2575" s="1" t="s">
        <v>41</v>
      </c>
      <c r="L2575" s="1"/>
    </row>
    <row r="2576" spans="1:12" s="32" customFormat="1" hidden="1" x14ac:dyDescent="0.3">
      <c r="A2576" s="37">
        <v>46113.584143518521</v>
      </c>
      <c r="B2576" s="1" t="s">
        <v>48</v>
      </c>
      <c r="C2576" s="1">
        <v>4430315826</v>
      </c>
      <c r="D2576" s="1"/>
      <c r="E2576" s="1">
        <v>127</v>
      </c>
      <c r="F2576" s="1">
        <v>115</v>
      </c>
      <c r="G2576" s="1" t="s">
        <v>38</v>
      </c>
      <c r="H2576" s="1" t="s">
        <v>1568</v>
      </c>
      <c r="I2576" s="1" t="s">
        <v>46</v>
      </c>
      <c r="J2576" s="1" t="s">
        <v>40</v>
      </c>
      <c r="K2576" s="1"/>
      <c r="L2576" s="1"/>
    </row>
    <row r="2577" spans="1:12" s="32" customFormat="1" hidden="1" x14ac:dyDescent="0.3">
      <c r="A2577" s="37">
        <v>46113.577685185184</v>
      </c>
      <c r="B2577" s="1" t="s">
        <v>48</v>
      </c>
      <c r="C2577" s="1">
        <v>4435293520</v>
      </c>
      <c r="D2577" s="1"/>
      <c r="E2577" s="1">
        <v>188</v>
      </c>
      <c r="F2577" s="1">
        <v>179</v>
      </c>
      <c r="G2577" s="1" t="s">
        <v>38</v>
      </c>
      <c r="H2577" s="1" t="s">
        <v>1569</v>
      </c>
      <c r="I2577" s="1" t="s">
        <v>46</v>
      </c>
      <c r="J2577" s="1" t="s">
        <v>40</v>
      </c>
      <c r="K2577" s="1"/>
      <c r="L2577" s="1"/>
    </row>
    <row r="2578" spans="1:12" s="32" customFormat="1" hidden="1" x14ac:dyDescent="0.3">
      <c r="A2578" s="37">
        <v>46113.577638888892</v>
      </c>
      <c r="B2578" s="1" t="s">
        <v>48</v>
      </c>
      <c r="C2578" s="1">
        <v>4435293520</v>
      </c>
      <c r="D2578" s="1"/>
      <c r="E2578" s="1">
        <v>25</v>
      </c>
      <c r="F2578" s="1">
        <v>24</v>
      </c>
      <c r="G2578" s="1" t="s">
        <v>38</v>
      </c>
      <c r="H2578" s="1" t="s">
        <v>1570</v>
      </c>
      <c r="I2578" s="1" t="s">
        <v>46</v>
      </c>
      <c r="J2578" s="1" t="s">
        <v>40</v>
      </c>
      <c r="K2578" s="1"/>
      <c r="L2578" s="1"/>
    </row>
    <row r="2579" spans="1:12" s="32" customFormat="1" hidden="1" x14ac:dyDescent="0.3">
      <c r="A2579" s="37">
        <v>46113.575601851851</v>
      </c>
      <c r="B2579" s="1">
        <v>44999195785</v>
      </c>
      <c r="C2579" s="1" t="s">
        <v>43</v>
      </c>
      <c r="D2579" s="1">
        <v>4430265054</v>
      </c>
      <c r="E2579" s="1">
        <v>1283</v>
      </c>
      <c r="F2579" s="1">
        <v>1261</v>
      </c>
      <c r="G2579" s="1" t="s">
        <v>38</v>
      </c>
      <c r="H2579" s="1" t="s">
        <v>1571</v>
      </c>
      <c r="I2579" s="1" t="s">
        <v>39</v>
      </c>
      <c r="J2579" s="1" t="s">
        <v>40</v>
      </c>
      <c r="K2579" s="1" t="s">
        <v>41</v>
      </c>
      <c r="L2579" s="1">
        <v>5</v>
      </c>
    </row>
    <row r="2580" spans="1:12" s="32" customFormat="1" x14ac:dyDescent="0.3">
      <c r="A2580" s="37">
        <v>46113.573993055557</v>
      </c>
      <c r="B2580" s="1">
        <v>42998221810</v>
      </c>
      <c r="C2580" s="1" t="s">
        <v>37</v>
      </c>
      <c r="D2580" s="1">
        <v>4430265054</v>
      </c>
      <c r="E2580" s="1">
        <v>791</v>
      </c>
      <c r="F2580" s="1">
        <v>747</v>
      </c>
      <c r="G2580" s="1" t="s">
        <v>38</v>
      </c>
      <c r="H2580" s="1" t="s">
        <v>1572</v>
      </c>
      <c r="I2580" s="1" t="s">
        <v>39</v>
      </c>
      <c r="J2580" s="1" t="s">
        <v>40</v>
      </c>
      <c r="K2580" s="1" t="s">
        <v>41</v>
      </c>
      <c r="L2580" s="1">
        <v>4</v>
      </c>
    </row>
    <row r="2581" spans="1:12" s="32" customFormat="1" hidden="1" x14ac:dyDescent="0.3">
      <c r="A2581" s="37">
        <v>46113.572326388887</v>
      </c>
      <c r="B2581" s="1">
        <v>4121418115</v>
      </c>
      <c r="C2581" s="1">
        <v>4531273163</v>
      </c>
      <c r="D2581" s="1">
        <v>4531273163</v>
      </c>
      <c r="E2581" s="1">
        <v>46</v>
      </c>
      <c r="F2581" s="1">
        <v>46</v>
      </c>
      <c r="G2581" s="1" t="s">
        <v>52</v>
      </c>
      <c r="H2581" s="1" t="s">
        <v>1573</v>
      </c>
      <c r="I2581" s="1" t="s">
        <v>39</v>
      </c>
      <c r="J2581" s="1" t="s">
        <v>53</v>
      </c>
      <c r="K2581" s="1" t="s">
        <v>41</v>
      </c>
      <c r="L2581" s="1"/>
    </row>
    <row r="2582" spans="1:12" s="32" customFormat="1" hidden="1" x14ac:dyDescent="0.3">
      <c r="A2582" s="37">
        <v>46113.572326388887</v>
      </c>
      <c r="B2582" s="1">
        <v>4121413772</v>
      </c>
      <c r="C2582" s="1">
        <v>4531273158</v>
      </c>
      <c r="D2582" s="1">
        <v>4531273158</v>
      </c>
      <c r="E2582" s="1">
        <v>52</v>
      </c>
      <c r="F2582" s="1">
        <v>51</v>
      </c>
      <c r="G2582" s="1" t="s">
        <v>52</v>
      </c>
      <c r="H2582" s="1" t="s">
        <v>1574</v>
      </c>
      <c r="I2582" s="1" t="s">
        <v>39</v>
      </c>
      <c r="J2582" s="1" t="s">
        <v>53</v>
      </c>
      <c r="K2582" s="1" t="s">
        <v>41</v>
      </c>
      <c r="L2582" s="1"/>
    </row>
    <row r="2583" spans="1:12" s="32" customFormat="1" hidden="1" x14ac:dyDescent="0.3">
      <c r="A2583" s="37">
        <v>46113.570706018516</v>
      </c>
      <c r="B2583" s="1">
        <v>44997650834</v>
      </c>
      <c r="C2583" s="1" t="s">
        <v>44</v>
      </c>
      <c r="D2583" s="1">
        <v>4430265054</v>
      </c>
      <c r="E2583" s="1">
        <v>877</v>
      </c>
      <c r="F2583" s="1">
        <v>797</v>
      </c>
      <c r="G2583" s="1" t="s">
        <v>38</v>
      </c>
      <c r="H2583" s="1" t="s">
        <v>1575</v>
      </c>
      <c r="I2583" s="1" t="s">
        <v>39</v>
      </c>
      <c r="J2583" s="1" t="s">
        <v>40</v>
      </c>
      <c r="K2583" s="1" t="s">
        <v>41</v>
      </c>
      <c r="L2583" s="1">
        <v>5</v>
      </c>
    </row>
    <row r="2584" spans="1:12" s="32" customFormat="1" hidden="1" x14ac:dyDescent="0.3">
      <c r="A2584" s="37">
        <v>46113.569340277776</v>
      </c>
      <c r="B2584" s="1">
        <v>4430318515</v>
      </c>
      <c r="C2584" s="1" t="s">
        <v>42</v>
      </c>
      <c r="D2584" s="1">
        <v>4430265054</v>
      </c>
      <c r="E2584" s="1">
        <v>718</v>
      </c>
      <c r="F2584" s="1">
        <v>610</v>
      </c>
      <c r="G2584" s="1" t="s">
        <v>38</v>
      </c>
      <c r="H2584" s="1" t="s">
        <v>1576</v>
      </c>
      <c r="I2584" s="1" t="s">
        <v>39</v>
      </c>
      <c r="J2584" s="1" t="s">
        <v>40</v>
      </c>
      <c r="K2584" s="1" t="s">
        <v>41</v>
      </c>
      <c r="L2584" s="1"/>
    </row>
    <row r="2585" spans="1:12" s="32" customFormat="1" hidden="1" x14ac:dyDescent="0.3">
      <c r="A2585" s="37">
        <v>46113.568032407406</v>
      </c>
      <c r="B2585" s="1" t="s">
        <v>45</v>
      </c>
      <c r="C2585" s="1">
        <v>4532541802</v>
      </c>
      <c r="D2585" s="1"/>
      <c r="E2585" s="1">
        <v>1132</v>
      </c>
      <c r="F2585" s="1">
        <v>1131</v>
      </c>
      <c r="G2585" s="1" t="s">
        <v>38</v>
      </c>
      <c r="H2585" s="1" t="s">
        <v>1577</v>
      </c>
      <c r="I2585" s="1" t="s">
        <v>46</v>
      </c>
      <c r="J2585" s="1" t="s">
        <v>40</v>
      </c>
      <c r="K2585" s="1"/>
      <c r="L2585" s="1">
        <v>5</v>
      </c>
    </row>
    <row r="2586" spans="1:12" s="32" customFormat="1" hidden="1" x14ac:dyDescent="0.3">
      <c r="A2586" s="37">
        <v>46113.567881944444</v>
      </c>
      <c r="B2586" s="1" t="s">
        <v>48</v>
      </c>
      <c r="C2586" s="1">
        <v>4436721260</v>
      </c>
      <c r="D2586" s="1"/>
      <c r="E2586" s="1">
        <v>433</v>
      </c>
      <c r="F2586" s="1">
        <v>427</v>
      </c>
      <c r="G2586" s="1" t="s">
        <v>38</v>
      </c>
      <c r="H2586" s="1" t="s">
        <v>1578</v>
      </c>
      <c r="I2586" s="1" t="s">
        <v>46</v>
      </c>
      <c r="J2586" s="1" t="s">
        <v>40</v>
      </c>
      <c r="K2586" s="1"/>
      <c r="L2586" s="1"/>
    </row>
    <row r="2587" spans="1:12" s="32" customFormat="1" hidden="1" x14ac:dyDescent="0.3">
      <c r="A2587" s="37">
        <v>46113.567418981482</v>
      </c>
      <c r="B2587" s="1" t="s">
        <v>45</v>
      </c>
      <c r="C2587" s="1">
        <v>4532541802</v>
      </c>
      <c r="D2587" s="1"/>
      <c r="E2587" s="1">
        <v>60</v>
      </c>
      <c r="F2587" s="1">
        <v>59</v>
      </c>
      <c r="G2587" s="1" t="s">
        <v>38</v>
      </c>
      <c r="H2587" s="1" t="s">
        <v>1579</v>
      </c>
      <c r="I2587" s="1" t="s">
        <v>46</v>
      </c>
      <c r="J2587" s="1" t="s">
        <v>40</v>
      </c>
      <c r="K2587" s="1"/>
      <c r="L2587" s="1"/>
    </row>
    <row r="2588" spans="1:12" s="32" customFormat="1" x14ac:dyDescent="0.3">
      <c r="A2588" s="37">
        <v>46113.563831018517</v>
      </c>
      <c r="B2588" s="1">
        <v>4334226481</v>
      </c>
      <c r="C2588" s="1" t="s">
        <v>37</v>
      </c>
      <c r="D2588" s="1">
        <v>4430265054</v>
      </c>
      <c r="E2588" s="1">
        <v>441</v>
      </c>
      <c r="F2588" s="1">
        <v>248</v>
      </c>
      <c r="G2588" s="1" t="s">
        <v>38</v>
      </c>
      <c r="H2588" s="1" t="s">
        <v>1580</v>
      </c>
      <c r="I2588" s="1" t="s">
        <v>39</v>
      </c>
      <c r="J2588" s="1" t="s">
        <v>40</v>
      </c>
      <c r="K2588" s="1" t="s">
        <v>41</v>
      </c>
      <c r="L2588" s="1">
        <v>5</v>
      </c>
    </row>
    <row r="2589" spans="1:12" s="32" customFormat="1" hidden="1" x14ac:dyDescent="0.3">
      <c r="A2589" s="37">
        <v>46113.560196759259</v>
      </c>
      <c r="B2589" s="1">
        <v>4430318516</v>
      </c>
      <c r="C2589" s="1">
        <v>4430265054</v>
      </c>
      <c r="D2589" s="1">
        <v>4430265054</v>
      </c>
      <c r="E2589" s="1">
        <v>17</v>
      </c>
      <c r="F2589" s="1">
        <v>16</v>
      </c>
      <c r="G2589" s="1" t="s">
        <v>52</v>
      </c>
      <c r="H2589" s="1" t="s">
        <v>1581</v>
      </c>
      <c r="I2589" s="1" t="s">
        <v>39</v>
      </c>
      <c r="J2589" s="1" t="s">
        <v>53</v>
      </c>
      <c r="K2589" s="1"/>
      <c r="L2589" s="1"/>
    </row>
    <row r="2590" spans="1:12" s="32" customFormat="1" hidden="1" x14ac:dyDescent="0.3">
      <c r="A2590" s="37">
        <v>46113.548275462963</v>
      </c>
      <c r="B2590" s="1">
        <v>4121418115</v>
      </c>
      <c r="C2590" s="1">
        <v>4531273155</v>
      </c>
      <c r="D2590" s="1">
        <v>4531273155</v>
      </c>
      <c r="E2590" s="1">
        <v>28</v>
      </c>
      <c r="F2590" s="1">
        <v>28</v>
      </c>
      <c r="G2590" s="1" t="s">
        <v>52</v>
      </c>
      <c r="H2590" s="1" t="s">
        <v>1582</v>
      </c>
      <c r="I2590" s="1" t="s">
        <v>39</v>
      </c>
      <c r="J2590" s="1" t="s">
        <v>53</v>
      </c>
      <c r="K2590" s="1"/>
      <c r="L2590" s="1"/>
    </row>
    <row r="2591" spans="1:12" s="32" customFormat="1" hidden="1" x14ac:dyDescent="0.3">
      <c r="A2591" s="37">
        <v>46113.519699074073</v>
      </c>
      <c r="B2591" s="1">
        <v>4121418115</v>
      </c>
      <c r="C2591" s="1">
        <v>4531273156</v>
      </c>
      <c r="D2591" s="1">
        <v>4531273156</v>
      </c>
      <c r="E2591" s="1">
        <v>29</v>
      </c>
      <c r="F2591" s="1">
        <v>28</v>
      </c>
      <c r="G2591" s="1" t="s">
        <v>52</v>
      </c>
      <c r="H2591" s="1" t="s">
        <v>1583</v>
      </c>
      <c r="I2591" s="1" t="s">
        <v>39</v>
      </c>
      <c r="J2591" s="1" t="s">
        <v>53</v>
      </c>
      <c r="K2591" s="1"/>
      <c r="L2591" s="1"/>
    </row>
    <row r="2592" spans="1:12" s="32" customFormat="1" hidden="1" x14ac:dyDescent="0.3">
      <c r="A2592" s="37">
        <v>46113.485671296294</v>
      </c>
      <c r="B2592" s="1" t="s">
        <v>54</v>
      </c>
      <c r="C2592" s="1">
        <v>48991393715</v>
      </c>
      <c r="D2592" s="1"/>
      <c r="E2592" s="1">
        <v>11</v>
      </c>
      <c r="F2592" s="1">
        <v>0</v>
      </c>
      <c r="G2592" s="1" t="s">
        <v>47</v>
      </c>
      <c r="H2592" s="1" t="s">
        <v>1584</v>
      </c>
      <c r="I2592" s="1" t="s">
        <v>46</v>
      </c>
      <c r="J2592" s="1" t="s">
        <v>55</v>
      </c>
      <c r="K2592" s="1"/>
      <c r="L2592" s="1"/>
    </row>
    <row r="2593" spans="1:12" s="32" customFormat="1" hidden="1" x14ac:dyDescent="0.3">
      <c r="A2593" s="37">
        <v>46113.478472222225</v>
      </c>
      <c r="B2593" s="1" t="s">
        <v>45</v>
      </c>
      <c r="C2593" s="1">
        <v>44988255390</v>
      </c>
      <c r="D2593" s="1"/>
      <c r="E2593" s="1">
        <v>1743</v>
      </c>
      <c r="F2593" s="1">
        <v>1735</v>
      </c>
      <c r="G2593" s="1" t="s">
        <v>38</v>
      </c>
      <c r="H2593" s="1" t="s">
        <v>1585</v>
      </c>
      <c r="I2593" s="1" t="s">
        <v>46</v>
      </c>
      <c r="J2593" s="1" t="s">
        <v>40</v>
      </c>
      <c r="K2593" s="1"/>
      <c r="L2593" s="1"/>
    </row>
    <row r="2594" spans="1:12" s="32" customFormat="1" hidden="1" x14ac:dyDescent="0.3">
      <c r="A2594" s="37">
        <v>46113.47556712963</v>
      </c>
      <c r="B2594" s="1" t="s">
        <v>45</v>
      </c>
      <c r="C2594" s="1">
        <v>44988255390</v>
      </c>
      <c r="D2594" s="1"/>
      <c r="E2594" s="1">
        <v>68</v>
      </c>
      <c r="F2594" s="1">
        <v>33</v>
      </c>
      <c r="G2594" s="1" t="s">
        <v>38</v>
      </c>
      <c r="H2594" s="1" t="s">
        <v>1586</v>
      </c>
      <c r="I2594" s="1" t="s">
        <v>46</v>
      </c>
      <c r="J2594" s="1" t="s">
        <v>40</v>
      </c>
      <c r="K2594" s="1"/>
      <c r="L2594" s="1"/>
    </row>
    <row r="2595" spans="1:12" s="32" customFormat="1" hidden="1" x14ac:dyDescent="0.3">
      <c r="A2595" s="37">
        <v>46113.475127314814</v>
      </c>
      <c r="B2595" s="1" t="s">
        <v>45</v>
      </c>
      <c r="C2595" s="1">
        <v>44988255390</v>
      </c>
      <c r="D2595" s="1"/>
      <c r="E2595" s="1">
        <v>64</v>
      </c>
      <c r="F2595" s="1">
        <v>55</v>
      </c>
      <c r="G2595" s="1" t="s">
        <v>38</v>
      </c>
      <c r="H2595" s="1" t="s">
        <v>1587</v>
      </c>
      <c r="I2595" s="1" t="s">
        <v>46</v>
      </c>
      <c r="J2595" s="1" t="s">
        <v>40</v>
      </c>
      <c r="K2595" s="1"/>
      <c r="L2595" s="1"/>
    </row>
    <row r="2596" spans="1:12" s="32" customFormat="1" hidden="1" x14ac:dyDescent="0.3">
      <c r="A2596" s="37">
        <v>46113.475046296298</v>
      </c>
      <c r="B2596" s="1" t="s">
        <v>45</v>
      </c>
      <c r="C2596" s="1">
        <v>44988255390</v>
      </c>
      <c r="D2596" s="1"/>
      <c r="E2596" s="1">
        <v>3</v>
      </c>
      <c r="F2596" s="1">
        <v>0</v>
      </c>
      <c r="G2596" s="1" t="s">
        <v>47</v>
      </c>
      <c r="H2596" s="1" t="s">
        <v>1588</v>
      </c>
      <c r="I2596" s="1" t="s">
        <v>46</v>
      </c>
      <c r="J2596" s="1" t="s">
        <v>40</v>
      </c>
      <c r="K2596" s="1"/>
      <c r="L2596" s="1"/>
    </row>
    <row r="2597" spans="1:12" s="32" customFormat="1" hidden="1" x14ac:dyDescent="0.3">
      <c r="A2597" s="37">
        <v>46113.474074074074</v>
      </c>
      <c r="B2597" s="1">
        <v>81988293889</v>
      </c>
      <c r="C2597" s="1" t="s">
        <v>42</v>
      </c>
      <c r="D2597" s="1">
        <v>4431268225</v>
      </c>
      <c r="E2597" s="1">
        <v>924</v>
      </c>
      <c r="F2597" s="1">
        <v>781</v>
      </c>
      <c r="G2597" s="1" t="s">
        <v>38</v>
      </c>
      <c r="H2597" s="1" t="s">
        <v>1589</v>
      </c>
      <c r="I2597" s="1" t="s">
        <v>39</v>
      </c>
      <c r="J2597" s="1" t="s">
        <v>40</v>
      </c>
      <c r="K2597" s="1" t="s">
        <v>41</v>
      </c>
      <c r="L2597" s="1"/>
    </row>
    <row r="2598" spans="1:12" s="32" customFormat="1" hidden="1" x14ac:dyDescent="0.3">
      <c r="A2598" s="37">
        <v>46113.469687500001</v>
      </c>
      <c r="B2598" s="1">
        <v>77999014770</v>
      </c>
      <c r="C2598" s="1" t="s">
        <v>44</v>
      </c>
      <c r="D2598" s="1">
        <v>4430265054</v>
      </c>
      <c r="E2598" s="1">
        <v>238</v>
      </c>
      <c r="F2598" s="1">
        <v>111</v>
      </c>
      <c r="G2598" s="1" t="s">
        <v>38</v>
      </c>
      <c r="H2598" s="1" t="s">
        <v>1590</v>
      </c>
      <c r="I2598" s="1" t="s">
        <v>39</v>
      </c>
      <c r="J2598" s="1" t="s">
        <v>40</v>
      </c>
      <c r="K2598" s="1" t="s">
        <v>41</v>
      </c>
      <c r="L2598" s="1"/>
    </row>
    <row r="2599" spans="1:12" s="32" customFormat="1" hidden="1" x14ac:dyDescent="0.3">
      <c r="A2599" s="37">
        <v>46113.468113425923</v>
      </c>
      <c r="B2599" s="1">
        <v>1128787060</v>
      </c>
      <c r="C2599" s="1" t="s">
        <v>42</v>
      </c>
      <c r="D2599" s="1">
        <v>4430265054</v>
      </c>
      <c r="E2599" s="1">
        <v>356</v>
      </c>
      <c r="F2599" s="1">
        <v>320</v>
      </c>
      <c r="G2599" s="1" t="s">
        <v>38</v>
      </c>
      <c r="H2599" s="1" t="s">
        <v>1591</v>
      </c>
      <c r="I2599" s="1" t="s">
        <v>39</v>
      </c>
      <c r="J2599" s="1" t="s">
        <v>40</v>
      </c>
      <c r="K2599" s="1" t="s">
        <v>41</v>
      </c>
      <c r="L2599" s="1"/>
    </row>
    <row r="2600" spans="1:12" s="32" customFormat="1" hidden="1" x14ac:dyDescent="0.3">
      <c r="A2600" s="37">
        <v>46113.463599537034</v>
      </c>
      <c r="B2600" s="1">
        <v>44991098997</v>
      </c>
      <c r="C2600" s="1" t="s">
        <v>37</v>
      </c>
      <c r="D2600" s="1">
        <v>4430265054</v>
      </c>
      <c r="E2600" s="1">
        <v>894</v>
      </c>
      <c r="F2600" s="1">
        <v>832</v>
      </c>
      <c r="G2600" s="1" t="s">
        <v>38</v>
      </c>
      <c r="H2600" s="1" t="s">
        <v>1592</v>
      </c>
      <c r="I2600" s="1" t="s">
        <v>39</v>
      </c>
      <c r="J2600" s="1" t="s">
        <v>40</v>
      </c>
      <c r="K2600" s="1" t="s">
        <v>41</v>
      </c>
      <c r="L2600" s="1"/>
    </row>
    <row r="2601" spans="1:12" s="32" customFormat="1" hidden="1" x14ac:dyDescent="0.3">
      <c r="A2601" s="37">
        <v>46113.462997685187</v>
      </c>
      <c r="B2601" s="1">
        <v>44998761561</v>
      </c>
      <c r="C2601" s="1" t="s">
        <v>48</v>
      </c>
      <c r="D2601" s="1">
        <v>4431268225</v>
      </c>
      <c r="E2601" s="1">
        <v>136</v>
      </c>
      <c r="F2601" s="1">
        <v>99</v>
      </c>
      <c r="G2601" s="1" t="s">
        <v>38</v>
      </c>
      <c r="H2601" s="1" t="s">
        <v>1593</v>
      </c>
      <c r="I2601" s="1" t="s">
        <v>39</v>
      </c>
      <c r="J2601" s="1" t="s">
        <v>40</v>
      </c>
      <c r="K2601" s="1" t="s">
        <v>41</v>
      </c>
      <c r="L2601" s="1"/>
    </row>
    <row r="2602" spans="1:12" s="32" customFormat="1" hidden="1" x14ac:dyDescent="0.3">
      <c r="A2602" s="37">
        <v>46113.458969907406</v>
      </c>
      <c r="B2602" s="1">
        <v>4121413772</v>
      </c>
      <c r="C2602" s="1" t="s">
        <v>45</v>
      </c>
      <c r="D2602" s="1">
        <v>4531273159</v>
      </c>
      <c r="E2602" s="1">
        <v>46</v>
      </c>
      <c r="F2602" s="1">
        <v>7</v>
      </c>
      <c r="G2602" s="1" t="s">
        <v>38</v>
      </c>
      <c r="H2602" s="1" t="s">
        <v>1594</v>
      </c>
      <c r="I2602" s="1" t="s">
        <v>39</v>
      </c>
      <c r="J2602" s="1" t="s">
        <v>40</v>
      </c>
      <c r="K2602" s="1" t="s">
        <v>41</v>
      </c>
      <c r="L2602" s="1"/>
    </row>
    <row r="2603" spans="1:12" s="32" customFormat="1" hidden="1" x14ac:dyDescent="0.3">
      <c r="A2603" s="37">
        <v>46113.453715277778</v>
      </c>
      <c r="B2603" s="1">
        <v>44997311122</v>
      </c>
      <c r="C2603" s="1" t="s">
        <v>44</v>
      </c>
      <c r="D2603" s="1">
        <v>4430265054</v>
      </c>
      <c r="E2603" s="1">
        <v>541</v>
      </c>
      <c r="F2603" s="1">
        <v>506</v>
      </c>
      <c r="G2603" s="1" t="s">
        <v>38</v>
      </c>
      <c r="H2603" s="1" t="s">
        <v>1595</v>
      </c>
      <c r="I2603" s="1" t="s">
        <v>39</v>
      </c>
      <c r="J2603" s="1" t="s">
        <v>40</v>
      </c>
      <c r="K2603" s="1" t="s">
        <v>41</v>
      </c>
      <c r="L2603" s="1"/>
    </row>
    <row r="2604" spans="1:12" s="32" customFormat="1" hidden="1" x14ac:dyDescent="0.3">
      <c r="A2604" s="37">
        <v>46113.452245370368</v>
      </c>
      <c r="B2604" s="1" t="s">
        <v>48</v>
      </c>
      <c r="C2604" s="1">
        <v>44998761561</v>
      </c>
      <c r="D2604" s="1"/>
      <c r="E2604" s="1">
        <v>185</v>
      </c>
      <c r="F2604" s="1">
        <v>176</v>
      </c>
      <c r="G2604" s="1" t="s">
        <v>38</v>
      </c>
      <c r="H2604" s="1" t="s">
        <v>1596</v>
      </c>
      <c r="I2604" s="1" t="s">
        <v>46</v>
      </c>
      <c r="J2604" s="1" t="s">
        <v>40</v>
      </c>
      <c r="K2604" s="1"/>
      <c r="L2604" s="1"/>
    </row>
    <row r="2605" spans="1:12" s="32" customFormat="1" hidden="1" x14ac:dyDescent="0.3">
      <c r="A2605" s="37">
        <v>46113.452037037037</v>
      </c>
      <c r="B2605" s="1" t="s">
        <v>48</v>
      </c>
      <c r="C2605" s="1">
        <v>44998761561</v>
      </c>
      <c r="D2605" s="1"/>
      <c r="E2605" s="1">
        <v>16</v>
      </c>
      <c r="F2605" s="1">
        <v>0</v>
      </c>
      <c r="G2605" s="1" t="s">
        <v>47</v>
      </c>
      <c r="H2605" s="1" t="s">
        <v>1597</v>
      </c>
      <c r="I2605" s="1" t="s">
        <v>46</v>
      </c>
      <c r="J2605" s="1" t="s">
        <v>40</v>
      </c>
      <c r="K2605" s="1"/>
      <c r="L2605" s="1"/>
    </row>
    <row r="2606" spans="1:12" s="32" customFormat="1" hidden="1" x14ac:dyDescent="0.3">
      <c r="A2606" s="37">
        <v>46113.450729166667</v>
      </c>
      <c r="B2606" s="1">
        <v>91981481202</v>
      </c>
      <c r="C2606" s="1" t="s">
        <v>43</v>
      </c>
      <c r="D2606" s="1">
        <v>4430265054</v>
      </c>
      <c r="E2606" s="1">
        <v>380</v>
      </c>
      <c r="F2606" s="1">
        <v>295</v>
      </c>
      <c r="G2606" s="1" t="s">
        <v>38</v>
      </c>
      <c r="H2606" s="1" t="s">
        <v>1598</v>
      </c>
      <c r="I2606" s="1" t="s">
        <v>39</v>
      </c>
      <c r="J2606" s="1" t="s">
        <v>40</v>
      </c>
      <c r="K2606" s="1" t="s">
        <v>41</v>
      </c>
      <c r="L2606" s="1">
        <v>5</v>
      </c>
    </row>
    <row r="2607" spans="1:12" s="32" customFormat="1" hidden="1" x14ac:dyDescent="0.3">
      <c r="A2607" s="37">
        <v>46113.448472222219</v>
      </c>
      <c r="B2607" s="1" t="s">
        <v>48</v>
      </c>
      <c r="C2607" s="1">
        <v>4435293520</v>
      </c>
      <c r="D2607" s="1"/>
      <c r="E2607" s="1">
        <v>39</v>
      </c>
      <c r="F2607" s="1">
        <v>30</v>
      </c>
      <c r="G2607" s="1" t="s">
        <v>38</v>
      </c>
      <c r="H2607" s="1" t="s">
        <v>1599</v>
      </c>
      <c r="I2607" s="1" t="s">
        <v>46</v>
      </c>
      <c r="J2607" s="1" t="s">
        <v>40</v>
      </c>
      <c r="K2607" s="1"/>
      <c r="L2607" s="1"/>
    </row>
    <row r="2608" spans="1:12" s="32" customFormat="1" hidden="1" x14ac:dyDescent="0.3">
      <c r="A2608" s="37">
        <v>46113.448229166665</v>
      </c>
      <c r="B2608" s="1" t="s">
        <v>48</v>
      </c>
      <c r="C2608" s="1">
        <v>4435293520</v>
      </c>
      <c r="D2608" s="1"/>
      <c r="E2608" s="1">
        <v>25</v>
      </c>
      <c r="F2608" s="1">
        <v>25</v>
      </c>
      <c r="G2608" s="1" t="s">
        <v>38</v>
      </c>
      <c r="H2608" s="1" t="s">
        <v>1600</v>
      </c>
      <c r="I2608" s="1" t="s">
        <v>46</v>
      </c>
      <c r="J2608" s="1" t="s">
        <v>40</v>
      </c>
      <c r="K2608" s="1"/>
      <c r="L2608" s="1"/>
    </row>
    <row r="2609" spans="1:12" s="32" customFormat="1" hidden="1" x14ac:dyDescent="0.3">
      <c r="A2609" s="37">
        <v>46113.442465277774</v>
      </c>
      <c r="B2609" s="1">
        <v>2222100098</v>
      </c>
      <c r="C2609" s="1" t="s">
        <v>37</v>
      </c>
      <c r="D2609" s="1">
        <v>4430265054</v>
      </c>
      <c r="E2609" s="1">
        <v>385</v>
      </c>
      <c r="F2609" s="1">
        <v>289</v>
      </c>
      <c r="G2609" s="1" t="s">
        <v>38</v>
      </c>
      <c r="H2609" s="1" t="s">
        <v>1601</v>
      </c>
      <c r="I2609" s="1" t="s">
        <v>39</v>
      </c>
      <c r="J2609" s="1" t="s">
        <v>40</v>
      </c>
      <c r="K2609" s="1" t="s">
        <v>41</v>
      </c>
      <c r="L2609" s="1"/>
    </row>
    <row r="2610" spans="1:12" s="32" customFormat="1" hidden="1" x14ac:dyDescent="0.3">
      <c r="A2610" s="37">
        <v>46113.440613425926</v>
      </c>
      <c r="B2610" s="1">
        <v>1128897100</v>
      </c>
      <c r="C2610" s="1" t="s">
        <v>43</v>
      </c>
      <c r="D2610" s="1">
        <v>4430265054</v>
      </c>
      <c r="E2610" s="1">
        <v>68</v>
      </c>
      <c r="F2610" s="1">
        <v>31</v>
      </c>
      <c r="G2610" s="1" t="s">
        <v>38</v>
      </c>
      <c r="H2610" s="1" t="s">
        <v>1602</v>
      </c>
      <c r="I2610" s="1" t="s">
        <v>39</v>
      </c>
      <c r="J2610" s="1" t="s">
        <v>40</v>
      </c>
      <c r="K2610" s="1" t="s">
        <v>41</v>
      </c>
      <c r="L2610" s="1"/>
    </row>
    <row r="2611" spans="1:12" s="32" customFormat="1" hidden="1" x14ac:dyDescent="0.3">
      <c r="A2611" s="37">
        <v>46113.440034722225</v>
      </c>
      <c r="B2611" s="1">
        <v>44991098997</v>
      </c>
      <c r="C2611" s="1" t="s">
        <v>45</v>
      </c>
      <c r="D2611" s="1">
        <v>4430265054</v>
      </c>
      <c r="E2611" s="1">
        <v>588</v>
      </c>
      <c r="F2611" s="1">
        <v>529</v>
      </c>
      <c r="G2611" s="1" t="s">
        <v>38</v>
      </c>
      <c r="H2611" s="1" t="s">
        <v>1603</v>
      </c>
      <c r="I2611" s="1" t="s">
        <v>39</v>
      </c>
      <c r="J2611" s="1" t="s">
        <v>40</v>
      </c>
      <c r="K2611" s="1" t="s">
        <v>41</v>
      </c>
      <c r="L2611" s="1"/>
    </row>
    <row r="2612" spans="1:12" s="32" customFormat="1" x14ac:dyDescent="0.3">
      <c r="A2612" s="37">
        <v>46113.439074074071</v>
      </c>
      <c r="B2612" s="1">
        <v>4334728840</v>
      </c>
      <c r="C2612" s="1" t="s">
        <v>37</v>
      </c>
      <c r="D2612" s="1">
        <v>4430265054</v>
      </c>
      <c r="E2612" s="1">
        <v>263</v>
      </c>
      <c r="F2612" s="1">
        <v>247</v>
      </c>
      <c r="G2612" s="1" t="s">
        <v>38</v>
      </c>
      <c r="H2612" s="1" t="s">
        <v>1604</v>
      </c>
      <c r="I2612" s="1" t="s">
        <v>39</v>
      </c>
      <c r="J2612" s="1" t="s">
        <v>40</v>
      </c>
      <c r="K2612" s="1" t="s">
        <v>41</v>
      </c>
      <c r="L2612" s="1">
        <v>5</v>
      </c>
    </row>
    <row r="2613" spans="1:12" s="32" customFormat="1" hidden="1" x14ac:dyDescent="0.3">
      <c r="A2613" s="37">
        <v>46113.436319444445</v>
      </c>
      <c r="B2613" s="1">
        <v>44999387742</v>
      </c>
      <c r="C2613" s="1" t="s">
        <v>44</v>
      </c>
      <c r="D2613" s="1">
        <v>4430265054</v>
      </c>
      <c r="E2613" s="1">
        <v>1055</v>
      </c>
      <c r="F2613" s="1">
        <v>980</v>
      </c>
      <c r="G2613" s="1" t="s">
        <v>38</v>
      </c>
      <c r="H2613" s="1" t="s">
        <v>1605</v>
      </c>
      <c r="I2613" s="1" t="s">
        <v>39</v>
      </c>
      <c r="J2613" s="1" t="s">
        <v>40</v>
      </c>
      <c r="K2613" s="1" t="s">
        <v>41</v>
      </c>
      <c r="L2613" s="1"/>
    </row>
    <row r="2614" spans="1:12" s="32" customFormat="1" hidden="1" x14ac:dyDescent="0.3">
      <c r="A2614" s="37">
        <v>46113.436018518521</v>
      </c>
      <c r="B2614" s="1" t="s">
        <v>45</v>
      </c>
      <c r="C2614" s="1">
        <v>4432322192</v>
      </c>
      <c r="D2614" s="1"/>
      <c r="E2614" s="1">
        <v>146</v>
      </c>
      <c r="F2614" s="1">
        <v>142</v>
      </c>
      <c r="G2614" s="1" t="s">
        <v>38</v>
      </c>
      <c r="H2614" s="1" t="s">
        <v>1606</v>
      </c>
      <c r="I2614" s="1" t="s">
        <v>46</v>
      </c>
      <c r="J2614" s="1" t="s">
        <v>40</v>
      </c>
      <c r="K2614" s="1"/>
      <c r="L2614" s="1"/>
    </row>
    <row r="2615" spans="1:12" s="32" customFormat="1" hidden="1" x14ac:dyDescent="0.3">
      <c r="A2615" s="37">
        <v>46113.435925925929</v>
      </c>
      <c r="B2615" s="1" t="s">
        <v>45</v>
      </c>
      <c r="C2615" s="1">
        <v>4432322192</v>
      </c>
      <c r="D2615" s="1"/>
      <c r="E2615" s="1">
        <v>25</v>
      </c>
      <c r="F2615" s="1">
        <v>25</v>
      </c>
      <c r="G2615" s="1" t="s">
        <v>38</v>
      </c>
      <c r="H2615" s="1" t="s">
        <v>1607</v>
      </c>
      <c r="I2615" s="1" t="s">
        <v>46</v>
      </c>
      <c r="J2615" s="1" t="s">
        <v>40</v>
      </c>
      <c r="K2615" s="1"/>
      <c r="L2615" s="1"/>
    </row>
    <row r="2616" spans="1:12" s="32" customFormat="1" hidden="1" x14ac:dyDescent="0.3">
      <c r="A2616" s="37">
        <v>46113.435196759259</v>
      </c>
      <c r="B2616" s="1">
        <v>4432322192</v>
      </c>
      <c r="C2616" s="1" t="s">
        <v>45</v>
      </c>
      <c r="D2616" s="1">
        <v>4430265054</v>
      </c>
      <c r="E2616" s="1">
        <v>58</v>
      </c>
      <c r="F2616" s="1">
        <v>35</v>
      </c>
      <c r="G2616" s="1" t="s">
        <v>38</v>
      </c>
      <c r="H2616" s="1" t="s">
        <v>1608</v>
      </c>
      <c r="I2616" s="1" t="s">
        <v>39</v>
      </c>
      <c r="J2616" s="1" t="s">
        <v>40</v>
      </c>
      <c r="K2616" s="1" t="s">
        <v>41</v>
      </c>
      <c r="L2616" s="1"/>
    </row>
    <row r="2617" spans="1:12" s="32" customFormat="1" hidden="1" x14ac:dyDescent="0.3">
      <c r="A2617" s="37">
        <v>46113.434641203705</v>
      </c>
      <c r="B2617" s="1">
        <v>1128897100</v>
      </c>
      <c r="C2617" s="1">
        <v>4430265054</v>
      </c>
      <c r="D2617" s="1">
        <v>4430265054</v>
      </c>
      <c r="E2617" s="1">
        <v>20</v>
      </c>
      <c r="F2617" s="1">
        <v>19</v>
      </c>
      <c r="G2617" s="1" t="s">
        <v>52</v>
      </c>
      <c r="H2617" s="1" t="s">
        <v>1609</v>
      </c>
      <c r="I2617" s="1" t="s">
        <v>39</v>
      </c>
      <c r="J2617" s="1" t="s">
        <v>53</v>
      </c>
      <c r="K2617" s="1"/>
      <c r="L2617" s="1"/>
    </row>
    <row r="2618" spans="1:12" s="32" customFormat="1" hidden="1" x14ac:dyDescent="0.3">
      <c r="A2618" s="37">
        <v>46113.433807870373</v>
      </c>
      <c r="B2618" s="1">
        <v>4431337559</v>
      </c>
      <c r="C2618" s="1" t="s">
        <v>42</v>
      </c>
      <c r="D2618" s="1">
        <v>4430265054</v>
      </c>
      <c r="E2618" s="1">
        <v>964</v>
      </c>
      <c r="F2618" s="1">
        <v>946</v>
      </c>
      <c r="G2618" s="1" t="s">
        <v>38</v>
      </c>
      <c r="H2618" s="1" t="s">
        <v>1610</v>
      </c>
      <c r="I2618" s="1" t="s">
        <v>39</v>
      </c>
      <c r="J2618" s="1" t="s">
        <v>40</v>
      </c>
      <c r="K2618" s="1" t="s">
        <v>41</v>
      </c>
      <c r="L2618" s="1"/>
    </row>
    <row r="2619" spans="1:12" s="32" customFormat="1" hidden="1" x14ac:dyDescent="0.3">
      <c r="A2619" s="37">
        <v>46113.43246527778</v>
      </c>
      <c r="B2619" s="1" t="s">
        <v>48</v>
      </c>
      <c r="C2619" s="1">
        <v>4433016050</v>
      </c>
      <c r="D2619" s="1"/>
      <c r="E2619" s="1">
        <v>607</v>
      </c>
      <c r="F2619" s="1">
        <v>607</v>
      </c>
      <c r="G2619" s="1" t="s">
        <v>38</v>
      </c>
      <c r="H2619" s="1" t="s">
        <v>1611</v>
      </c>
      <c r="I2619" s="1" t="s">
        <v>46</v>
      </c>
      <c r="J2619" s="1" t="s">
        <v>40</v>
      </c>
      <c r="K2619" s="1"/>
      <c r="L2619" s="1"/>
    </row>
    <row r="2620" spans="1:12" s="32" customFormat="1" hidden="1" x14ac:dyDescent="0.3">
      <c r="A2620" s="37">
        <v>46113.430659722224</v>
      </c>
      <c r="B2620" s="1">
        <v>44999195785</v>
      </c>
      <c r="C2620" s="1">
        <v>4430265054</v>
      </c>
      <c r="D2620" s="1">
        <v>4430265054</v>
      </c>
      <c r="E2620" s="1">
        <v>109</v>
      </c>
      <c r="F2620" s="1">
        <v>109</v>
      </c>
      <c r="G2620" s="1" t="s">
        <v>52</v>
      </c>
      <c r="H2620" s="1" t="s">
        <v>1612</v>
      </c>
      <c r="I2620" s="1" t="s">
        <v>39</v>
      </c>
      <c r="J2620" s="1" t="s">
        <v>53</v>
      </c>
      <c r="K2620" s="1" t="s">
        <v>41</v>
      </c>
      <c r="L2620" s="1"/>
    </row>
    <row r="2621" spans="1:12" s="32" customFormat="1" hidden="1" x14ac:dyDescent="0.3">
      <c r="A2621" s="37">
        <v>46113.429918981485</v>
      </c>
      <c r="B2621" s="1" t="s">
        <v>42</v>
      </c>
      <c r="C2621" s="1">
        <v>44988303530</v>
      </c>
      <c r="D2621" s="1"/>
      <c r="E2621" s="1">
        <v>181</v>
      </c>
      <c r="F2621" s="1">
        <v>175</v>
      </c>
      <c r="G2621" s="1" t="s">
        <v>38</v>
      </c>
      <c r="H2621" s="1" t="s">
        <v>1613</v>
      </c>
      <c r="I2621" s="1" t="s">
        <v>46</v>
      </c>
      <c r="J2621" s="1" t="s">
        <v>40</v>
      </c>
      <c r="K2621" s="1"/>
      <c r="L2621" s="1"/>
    </row>
    <row r="2622" spans="1:12" s="32" customFormat="1" hidden="1" x14ac:dyDescent="0.3">
      <c r="A2622" s="37">
        <v>46113.429305555554</v>
      </c>
      <c r="B2622" s="1" t="s">
        <v>42</v>
      </c>
      <c r="C2622" s="1">
        <v>44988303530</v>
      </c>
      <c r="D2622" s="1"/>
      <c r="E2622" s="1">
        <v>47</v>
      </c>
      <c r="F2622" s="1">
        <v>40</v>
      </c>
      <c r="G2622" s="1" t="s">
        <v>38</v>
      </c>
      <c r="H2622" s="1" t="s">
        <v>1614</v>
      </c>
      <c r="I2622" s="1" t="s">
        <v>46</v>
      </c>
      <c r="J2622" s="1" t="s">
        <v>40</v>
      </c>
      <c r="K2622" s="1"/>
      <c r="L2622" s="1"/>
    </row>
    <row r="2623" spans="1:12" s="32" customFormat="1" hidden="1" x14ac:dyDescent="0.3">
      <c r="A2623" s="37">
        <v>46113.429108796299</v>
      </c>
      <c r="B2623" s="1" t="s">
        <v>42</v>
      </c>
      <c r="C2623" s="1">
        <v>44988303530</v>
      </c>
      <c r="D2623" s="1"/>
      <c r="E2623" s="1">
        <v>14</v>
      </c>
      <c r="F2623" s="1">
        <v>0</v>
      </c>
      <c r="G2623" s="1" t="s">
        <v>47</v>
      </c>
      <c r="H2623" s="1" t="s">
        <v>1615</v>
      </c>
      <c r="I2623" s="1" t="s">
        <v>46</v>
      </c>
      <c r="J2623" s="1" t="s">
        <v>40</v>
      </c>
      <c r="K2623" s="1"/>
      <c r="L2623" s="1"/>
    </row>
    <row r="2624" spans="1:12" s="32" customFormat="1" hidden="1" x14ac:dyDescent="0.3">
      <c r="A2624" s="37">
        <v>46113.428923611114</v>
      </c>
      <c r="B2624" s="1" t="s">
        <v>42</v>
      </c>
      <c r="C2624" s="1">
        <v>44988303530</v>
      </c>
      <c r="D2624" s="1"/>
      <c r="E2624" s="1">
        <v>2</v>
      </c>
      <c r="F2624" s="1">
        <v>0</v>
      </c>
      <c r="G2624" s="1" t="s">
        <v>47</v>
      </c>
      <c r="H2624" s="1" t="s">
        <v>1616</v>
      </c>
      <c r="I2624" s="1" t="s">
        <v>46</v>
      </c>
      <c r="J2624" s="1" t="s">
        <v>40</v>
      </c>
      <c r="K2624" s="1"/>
      <c r="L2624" s="1"/>
    </row>
    <row r="2625" spans="1:13" s="32" customFormat="1" hidden="1" x14ac:dyDescent="0.3">
      <c r="A2625" s="37">
        <v>46113.422754629632</v>
      </c>
      <c r="B2625" s="1">
        <v>44997311122</v>
      </c>
      <c r="C2625" s="1" t="s">
        <v>43</v>
      </c>
      <c r="D2625" s="1">
        <v>4430265054</v>
      </c>
      <c r="E2625" s="1">
        <v>279</v>
      </c>
      <c r="F2625" s="1">
        <v>170</v>
      </c>
      <c r="G2625" s="1" t="s">
        <v>38</v>
      </c>
      <c r="H2625" s="1" t="s">
        <v>1617</v>
      </c>
      <c r="I2625" s="1" t="s">
        <v>39</v>
      </c>
      <c r="J2625" s="1" t="s">
        <v>40</v>
      </c>
      <c r="K2625" s="1" t="s">
        <v>41</v>
      </c>
      <c r="L2625" s="1">
        <v>5</v>
      </c>
    </row>
    <row r="2626" spans="1:13" s="32" customFormat="1" hidden="1" x14ac:dyDescent="0.3">
      <c r="A2626" s="37">
        <v>46113.422395833331</v>
      </c>
      <c r="B2626" s="1" t="s">
        <v>48</v>
      </c>
      <c r="C2626" s="1">
        <v>44997760728</v>
      </c>
      <c r="D2626" s="1"/>
      <c r="E2626" s="1">
        <v>801</v>
      </c>
      <c r="F2626" s="1">
        <v>790</v>
      </c>
      <c r="G2626" s="1" t="s">
        <v>38</v>
      </c>
      <c r="H2626" s="1" t="s">
        <v>1618</v>
      </c>
      <c r="I2626" s="1" t="s">
        <v>46</v>
      </c>
      <c r="J2626" s="1" t="s">
        <v>40</v>
      </c>
      <c r="K2626" s="1"/>
      <c r="L2626" s="1"/>
    </row>
    <row r="2627" spans="1:13" s="32" customFormat="1" hidden="1" x14ac:dyDescent="0.3">
      <c r="A2627" s="37">
        <v>46113.422326388885</v>
      </c>
      <c r="B2627" s="1">
        <v>44997710633</v>
      </c>
      <c r="C2627" s="1" t="s">
        <v>37</v>
      </c>
      <c r="D2627" s="1">
        <v>4430265054</v>
      </c>
      <c r="E2627" s="1">
        <v>584</v>
      </c>
      <c r="F2627" s="1">
        <v>449</v>
      </c>
      <c r="G2627" s="1" t="s">
        <v>38</v>
      </c>
      <c r="H2627" s="1" t="s">
        <v>1619</v>
      </c>
      <c r="I2627" s="1" t="s">
        <v>39</v>
      </c>
      <c r="J2627" s="1" t="s">
        <v>40</v>
      </c>
      <c r="K2627" s="1" t="s">
        <v>41</v>
      </c>
      <c r="L2627" s="1"/>
    </row>
    <row r="2628" spans="1:13" s="32" customFormat="1" hidden="1" x14ac:dyDescent="0.3">
      <c r="A2628" s="37">
        <v>46113.422037037039</v>
      </c>
      <c r="B2628" s="1" t="s">
        <v>48</v>
      </c>
      <c r="C2628" s="1">
        <v>44997760728</v>
      </c>
      <c r="D2628" s="1"/>
      <c r="E2628" s="1">
        <v>26</v>
      </c>
      <c r="F2628" s="1">
        <v>0</v>
      </c>
      <c r="G2628" s="1" t="s">
        <v>47</v>
      </c>
      <c r="H2628" s="1" t="s">
        <v>1620</v>
      </c>
      <c r="I2628" s="1" t="s">
        <v>46</v>
      </c>
      <c r="J2628" s="1" t="s">
        <v>40</v>
      </c>
      <c r="K2628" s="1"/>
      <c r="L2628" s="1"/>
    </row>
    <row r="2629" spans="1:13" s="32" customFormat="1" hidden="1" x14ac:dyDescent="0.3">
      <c r="A2629" s="37">
        <v>46113.420358796298</v>
      </c>
      <c r="B2629" s="1" t="s">
        <v>48</v>
      </c>
      <c r="C2629" s="1">
        <v>4433016050</v>
      </c>
      <c r="D2629" s="1"/>
      <c r="E2629" s="1">
        <v>155</v>
      </c>
      <c r="F2629" s="1">
        <v>154</v>
      </c>
      <c r="G2629" s="1" t="s">
        <v>38</v>
      </c>
      <c r="H2629" s="1" t="s">
        <v>1621</v>
      </c>
      <c r="I2629" s="1" t="s">
        <v>46</v>
      </c>
      <c r="J2629" s="1" t="s">
        <v>40</v>
      </c>
      <c r="K2629" s="1"/>
      <c r="L2629" s="1"/>
    </row>
    <row r="2630" spans="1:13" s="32" customFormat="1" hidden="1" x14ac:dyDescent="0.3">
      <c r="A2630" s="37">
        <v>46113.419942129629</v>
      </c>
      <c r="B2630" s="1" t="s">
        <v>48</v>
      </c>
      <c r="C2630" s="1">
        <v>4430254650</v>
      </c>
      <c r="D2630" s="1"/>
      <c r="E2630" s="1">
        <v>57</v>
      </c>
      <c r="F2630" s="1">
        <v>56</v>
      </c>
      <c r="G2630" s="1" t="s">
        <v>38</v>
      </c>
      <c r="H2630" s="1" t="s">
        <v>1622</v>
      </c>
      <c r="I2630" s="1" t="s">
        <v>46</v>
      </c>
      <c r="J2630" s="1" t="s">
        <v>40</v>
      </c>
      <c r="K2630" s="1"/>
      <c r="L2630" s="1"/>
    </row>
    <row r="2631" spans="1:13" s="32" customFormat="1" hidden="1" x14ac:dyDescent="0.3">
      <c r="A2631" s="37">
        <v>46113.419178240743</v>
      </c>
      <c r="B2631" s="1">
        <v>73982188717</v>
      </c>
      <c r="C2631" s="1" t="s">
        <v>44</v>
      </c>
      <c r="D2631" s="1">
        <v>4430265054</v>
      </c>
      <c r="E2631" s="1">
        <v>220</v>
      </c>
      <c r="F2631" s="1">
        <v>154</v>
      </c>
      <c r="G2631" s="1" t="s">
        <v>38</v>
      </c>
      <c r="H2631" s="1" t="s">
        <v>1623</v>
      </c>
      <c r="I2631" s="1" t="s">
        <v>39</v>
      </c>
      <c r="J2631" s="1" t="s">
        <v>40</v>
      </c>
      <c r="K2631" s="1" t="s">
        <v>41</v>
      </c>
      <c r="L2631" s="1"/>
    </row>
    <row r="2632" spans="1:13" s="32" customFormat="1" hidden="1" x14ac:dyDescent="0.3">
      <c r="A2632" s="37">
        <v>46113.418807870374</v>
      </c>
      <c r="B2632" s="1">
        <v>44998849102</v>
      </c>
      <c r="C2632" s="1" t="s">
        <v>45</v>
      </c>
      <c r="D2632" s="1">
        <v>4431268225</v>
      </c>
      <c r="E2632" s="1">
        <v>319</v>
      </c>
      <c r="F2632" s="1">
        <v>239</v>
      </c>
      <c r="G2632" s="1" t="s">
        <v>38</v>
      </c>
      <c r="H2632" s="1" t="s">
        <v>1624</v>
      </c>
      <c r="I2632" s="1" t="s">
        <v>39</v>
      </c>
      <c r="J2632" s="1" t="s">
        <v>40</v>
      </c>
      <c r="K2632" s="1" t="s">
        <v>41</v>
      </c>
      <c r="L2632" s="1">
        <v>5</v>
      </c>
    </row>
    <row r="2633" spans="1:13" s="32" customFormat="1" hidden="1" x14ac:dyDescent="0.3">
      <c r="A2633" s="37">
        <v>46113.417256944442</v>
      </c>
      <c r="B2633" s="1" t="s">
        <v>43</v>
      </c>
      <c r="C2633" s="1">
        <v>44999844110</v>
      </c>
      <c r="D2633" s="1"/>
      <c r="E2633" s="1">
        <v>62</v>
      </c>
      <c r="F2633" s="1">
        <v>31</v>
      </c>
      <c r="G2633" s="1" t="s">
        <v>38</v>
      </c>
      <c r="H2633" s="1" t="s">
        <v>1625</v>
      </c>
      <c r="I2633" s="1" t="s">
        <v>46</v>
      </c>
      <c r="J2633" s="1" t="s">
        <v>40</v>
      </c>
      <c r="K2633" s="1"/>
      <c r="L2633" s="1"/>
    </row>
    <row r="2634" spans="1:13" s="32" customFormat="1" hidden="1" x14ac:dyDescent="0.3">
      <c r="A2634" s="37">
        <v>46113.417175925926</v>
      </c>
      <c r="B2634" s="1" t="s">
        <v>43</v>
      </c>
      <c r="C2634" s="1">
        <v>44999844110</v>
      </c>
      <c r="D2634" s="1"/>
      <c r="E2634" s="1">
        <v>25</v>
      </c>
      <c r="F2634" s="1">
        <v>25</v>
      </c>
      <c r="G2634" s="1" t="s">
        <v>38</v>
      </c>
      <c r="H2634" s="1" t="s">
        <v>1626</v>
      </c>
      <c r="I2634" s="1" t="s">
        <v>46</v>
      </c>
      <c r="J2634" s="1" t="s">
        <v>40</v>
      </c>
      <c r="K2634" s="1"/>
      <c r="L2634" s="1"/>
    </row>
    <row r="2635" spans="1:13" s="32" customFormat="1" hidden="1" x14ac:dyDescent="0.3">
      <c r="A2635" s="37">
        <v>46113.41646990741</v>
      </c>
      <c r="B2635" s="1">
        <v>4433016050</v>
      </c>
      <c r="C2635" s="1" t="s">
        <v>45</v>
      </c>
      <c r="D2635" s="1">
        <v>4430265054</v>
      </c>
      <c r="E2635" s="1">
        <v>177</v>
      </c>
      <c r="F2635" s="1">
        <v>32</v>
      </c>
      <c r="G2635" s="1" t="s">
        <v>38</v>
      </c>
      <c r="H2635" s="1" t="s">
        <v>1627</v>
      </c>
      <c r="I2635" s="1" t="s">
        <v>39</v>
      </c>
      <c r="J2635" s="1" t="s">
        <v>40</v>
      </c>
      <c r="K2635" s="1" t="s">
        <v>41</v>
      </c>
      <c r="L2635" s="1"/>
    </row>
    <row r="2636" spans="1:13" s="32" customFormat="1" hidden="1" x14ac:dyDescent="0.3">
      <c r="A2636" s="37">
        <v>46113.416018518517</v>
      </c>
      <c r="B2636" s="1">
        <v>44991814587</v>
      </c>
      <c r="C2636" s="1" t="s">
        <v>43</v>
      </c>
      <c r="D2636" s="1">
        <v>4430265054</v>
      </c>
      <c r="E2636" s="1">
        <v>583</v>
      </c>
      <c r="F2636" s="1">
        <v>424</v>
      </c>
      <c r="G2636" s="1" t="s">
        <v>38</v>
      </c>
      <c r="H2636" s="1" t="s">
        <v>1628</v>
      </c>
      <c r="I2636" s="1" t="s">
        <v>39</v>
      </c>
      <c r="J2636" s="1" t="s">
        <v>40</v>
      </c>
      <c r="K2636" s="1" t="s">
        <v>41</v>
      </c>
      <c r="L2636" s="1"/>
    </row>
    <row r="2637" spans="1:13" s="32" customFormat="1" hidden="1" x14ac:dyDescent="0.3">
      <c r="A2637" s="37">
        <v>46113.411527777775</v>
      </c>
      <c r="B2637" s="1" t="s">
        <v>43</v>
      </c>
      <c r="C2637" s="1">
        <v>11973545510</v>
      </c>
      <c r="D2637" s="1"/>
      <c r="E2637" s="1">
        <v>40</v>
      </c>
      <c r="F2637" s="1">
        <v>25</v>
      </c>
      <c r="G2637" s="1" t="s">
        <v>38</v>
      </c>
      <c r="H2637" s="1" t="s">
        <v>1629</v>
      </c>
      <c r="I2637" s="1" t="s">
        <v>46</v>
      </c>
      <c r="J2637" s="1" t="s">
        <v>40</v>
      </c>
      <c r="K2637" s="1"/>
      <c r="L2637" s="1"/>
    </row>
    <row r="2638" spans="1:13" s="32" customFormat="1" x14ac:dyDescent="0.3">
      <c r="A2638" s="37">
        <v>46113.410775462966</v>
      </c>
      <c r="B2638" s="1">
        <v>4432206400</v>
      </c>
      <c r="C2638" s="1" t="s">
        <v>37</v>
      </c>
      <c r="D2638" s="1">
        <v>4430265054</v>
      </c>
      <c r="E2638" s="1">
        <v>379</v>
      </c>
      <c r="F2638" s="1">
        <v>362</v>
      </c>
      <c r="G2638" s="1" t="s">
        <v>38</v>
      </c>
      <c r="H2638" s="1" t="s">
        <v>1630</v>
      </c>
      <c r="I2638" s="1" t="s">
        <v>39</v>
      </c>
      <c r="J2638" s="1" t="s">
        <v>40</v>
      </c>
      <c r="K2638" s="1" t="s">
        <v>41</v>
      </c>
      <c r="L2638" s="1">
        <v>5</v>
      </c>
    </row>
    <row r="2639" spans="1:13" s="32" customFormat="1" hidden="1" x14ac:dyDescent="0.3">
      <c r="A2639" s="37">
        <v>46113.41002314815</v>
      </c>
      <c r="B2639" s="1" t="s">
        <v>48</v>
      </c>
      <c r="C2639" s="1">
        <v>4435221208</v>
      </c>
      <c r="D2639" s="1"/>
      <c r="E2639" s="1">
        <v>561</v>
      </c>
      <c r="F2639" s="1">
        <v>546</v>
      </c>
      <c r="G2639" s="1" t="s">
        <v>38</v>
      </c>
      <c r="H2639" s="1" t="s">
        <v>1631</v>
      </c>
      <c r="I2639" s="1" t="s">
        <v>46</v>
      </c>
      <c r="J2639" s="1" t="s">
        <v>40</v>
      </c>
      <c r="K2639" s="1"/>
      <c r="L2639" s="1"/>
      <c r="M2639" s="34"/>
    </row>
    <row r="2640" spans="1:13" s="32" customFormat="1" hidden="1" x14ac:dyDescent="0.3">
      <c r="A2640" s="37">
        <v>46113.409895833334</v>
      </c>
      <c r="B2640" s="1">
        <v>44988303530</v>
      </c>
      <c r="C2640" s="1" t="s">
        <v>42</v>
      </c>
      <c r="D2640" s="1">
        <v>4430265054</v>
      </c>
      <c r="E2640" s="1">
        <v>958</v>
      </c>
      <c r="F2640" s="1">
        <v>902</v>
      </c>
      <c r="G2640" s="1" t="s">
        <v>38</v>
      </c>
      <c r="H2640" s="1" t="s">
        <v>1632</v>
      </c>
      <c r="I2640" s="1" t="s">
        <v>39</v>
      </c>
      <c r="J2640" s="1" t="s">
        <v>40</v>
      </c>
      <c r="K2640" s="1" t="s">
        <v>41</v>
      </c>
      <c r="L2640" s="1"/>
    </row>
    <row r="2641" spans="1:12" s="32" customFormat="1" hidden="1" x14ac:dyDescent="0.3">
      <c r="A2641" s="37">
        <v>46113.403136574074</v>
      </c>
      <c r="B2641" s="1">
        <v>44999387742</v>
      </c>
      <c r="C2641" s="1">
        <v>4430265054</v>
      </c>
      <c r="D2641" s="1">
        <v>4430265054</v>
      </c>
      <c r="E2641" s="1">
        <v>26</v>
      </c>
      <c r="F2641" s="1">
        <v>25</v>
      </c>
      <c r="G2641" s="1" t="s">
        <v>52</v>
      </c>
      <c r="H2641" s="1" t="s">
        <v>1633</v>
      </c>
      <c r="I2641" s="1" t="s">
        <v>39</v>
      </c>
      <c r="J2641" s="1" t="s">
        <v>53</v>
      </c>
      <c r="K2641" s="1"/>
      <c r="L2641" s="1"/>
    </row>
    <row r="2642" spans="1:12" s="32" customFormat="1" hidden="1" x14ac:dyDescent="0.3">
      <c r="A2642" s="37">
        <v>46113.403067129628</v>
      </c>
      <c r="B2642" s="1" t="s">
        <v>48</v>
      </c>
      <c r="C2642" s="1">
        <v>4430282545</v>
      </c>
      <c r="D2642" s="1"/>
      <c r="E2642" s="1">
        <v>336</v>
      </c>
      <c r="F2642" s="1">
        <v>318</v>
      </c>
      <c r="G2642" s="1" t="s">
        <v>38</v>
      </c>
      <c r="H2642" s="1" t="s">
        <v>1634</v>
      </c>
      <c r="I2642" s="1" t="s">
        <v>46</v>
      </c>
      <c r="J2642" s="1" t="s">
        <v>40</v>
      </c>
      <c r="K2642" s="1"/>
      <c r="L2642" s="1"/>
    </row>
    <row r="2643" spans="1:12" s="32" customFormat="1" hidden="1" x14ac:dyDescent="0.3">
      <c r="A2643" s="37">
        <v>46113.400069444448</v>
      </c>
      <c r="B2643" s="1">
        <v>11973545510</v>
      </c>
      <c r="C2643" s="1" t="s">
        <v>43</v>
      </c>
      <c r="D2643" s="1">
        <v>4430265054</v>
      </c>
      <c r="E2643" s="1">
        <v>1017</v>
      </c>
      <c r="F2643" s="1">
        <v>895</v>
      </c>
      <c r="G2643" s="1" t="s">
        <v>38</v>
      </c>
      <c r="H2643" s="1" t="s">
        <v>1635</v>
      </c>
      <c r="I2643" s="1" t="s">
        <v>39</v>
      </c>
      <c r="J2643" s="1" t="s">
        <v>40</v>
      </c>
      <c r="K2643" s="1" t="s">
        <v>41</v>
      </c>
      <c r="L2643" s="1"/>
    </row>
    <row r="2644" spans="1:12" s="32" customFormat="1" hidden="1" x14ac:dyDescent="0.3">
      <c r="A2644" s="37">
        <v>46113.395185185182</v>
      </c>
      <c r="B2644" s="1" t="s">
        <v>48</v>
      </c>
      <c r="C2644" s="1">
        <v>4432321324</v>
      </c>
      <c r="D2644" s="1"/>
      <c r="E2644" s="1">
        <v>304</v>
      </c>
      <c r="F2644" s="1">
        <v>295</v>
      </c>
      <c r="G2644" s="1" t="s">
        <v>38</v>
      </c>
      <c r="H2644" s="1" t="s">
        <v>1636</v>
      </c>
      <c r="I2644" s="1" t="s">
        <v>46</v>
      </c>
      <c r="J2644" s="1" t="s">
        <v>40</v>
      </c>
      <c r="K2644" s="1"/>
      <c r="L2644" s="1"/>
    </row>
    <row r="2645" spans="1:12" s="32" customFormat="1" x14ac:dyDescent="0.3">
      <c r="A2645" s="37">
        <v>46113.392071759263</v>
      </c>
      <c r="B2645" s="1">
        <v>44991126458</v>
      </c>
      <c r="C2645" s="1" t="s">
        <v>37</v>
      </c>
      <c r="D2645" s="1">
        <v>4430265054</v>
      </c>
      <c r="E2645" s="1">
        <v>389</v>
      </c>
      <c r="F2645" s="1">
        <v>363</v>
      </c>
      <c r="G2645" s="1" t="s">
        <v>38</v>
      </c>
      <c r="H2645" s="1" t="s">
        <v>1637</v>
      </c>
      <c r="I2645" s="1" t="s">
        <v>39</v>
      </c>
      <c r="J2645" s="1" t="s">
        <v>40</v>
      </c>
      <c r="K2645" s="1" t="s">
        <v>41</v>
      </c>
      <c r="L2645" s="1">
        <v>5</v>
      </c>
    </row>
    <row r="2646" spans="1:12" s="32" customFormat="1" hidden="1" x14ac:dyDescent="0.3">
      <c r="A2646" s="37">
        <v>46113.389641203707</v>
      </c>
      <c r="B2646" s="1" t="s">
        <v>48</v>
      </c>
      <c r="C2646" s="1">
        <v>4436293259</v>
      </c>
      <c r="D2646" s="1"/>
      <c r="E2646" s="1">
        <v>285</v>
      </c>
      <c r="F2646" s="1">
        <v>279</v>
      </c>
      <c r="G2646" s="1" t="s">
        <v>38</v>
      </c>
      <c r="H2646" s="1" t="s">
        <v>1638</v>
      </c>
      <c r="I2646" s="1" t="s">
        <v>46</v>
      </c>
      <c r="J2646" s="1" t="s">
        <v>40</v>
      </c>
      <c r="K2646" s="1"/>
      <c r="L2646" s="1"/>
    </row>
    <row r="2647" spans="1:12" s="32" customFormat="1" hidden="1" x14ac:dyDescent="0.3">
      <c r="A2647" s="37">
        <v>46113.38957175926</v>
      </c>
      <c r="B2647" s="1" t="s">
        <v>48</v>
      </c>
      <c r="C2647" s="1">
        <v>4436293259</v>
      </c>
      <c r="D2647" s="1"/>
      <c r="E2647" s="1">
        <v>1</v>
      </c>
      <c r="F2647" s="1">
        <v>0</v>
      </c>
      <c r="G2647" s="1" t="s">
        <v>47</v>
      </c>
      <c r="H2647" s="1" t="s">
        <v>1639</v>
      </c>
      <c r="I2647" s="1" t="s">
        <v>46</v>
      </c>
      <c r="J2647" s="1" t="s">
        <v>40</v>
      </c>
      <c r="K2647" s="1"/>
      <c r="L2647" s="1"/>
    </row>
    <row r="2648" spans="1:12" s="32" customFormat="1" hidden="1" x14ac:dyDescent="0.3">
      <c r="A2648" s="37">
        <v>46113.383692129632</v>
      </c>
      <c r="B2648" s="1">
        <v>4430289386</v>
      </c>
      <c r="C2648" s="1" t="s">
        <v>43</v>
      </c>
      <c r="D2648" s="1">
        <v>4430265054</v>
      </c>
      <c r="E2648" s="1">
        <v>521</v>
      </c>
      <c r="F2648" s="1">
        <v>465</v>
      </c>
      <c r="G2648" s="1" t="s">
        <v>38</v>
      </c>
      <c r="H2648" s="1" t="s">
        <v>1640</v>
      </c>
      <c r="I2648" s="1" t="s">
        <v>39</v>
      </c>
      <c r="J2648" s="1" t="s">
        <v>40</v>
      </c>
      <c r="K2648" s="1" t="s">
        <v>41</v>
      </c>
      <c r="L2648" s="1"/>
    </row>
    <row r="2649" spans="1:12" s="32" customFormat="1" hidden="1" x14ac:dyDescent="0.3">
      <c r="A2649" s="37">
        <v>46113.377951388888</v>
      </c>
      <c r="B2649" s="1">
        <v>4532541802</v>
      </c>
      <c r="C2649" s="1" t="s">
        <v>45</v>
      </c>
      <c r="D2649" s="1">
        <v>4430265054</v>
      </c>
      <c r="E2649" s="1">
        <v>1643</v>
      </c>
      <c r="F2649" s="1">
        <v>1605</v>
      </c>
      <c r="G2649" s="1" t="s">
        <v>38</v>
      </c>
      <c r="H2649" s="1" t="s">
        <v>1641</v>
      </c>
      <c r="I2649" s="1" t="s">
        <v>39</v>
      </c>
      <c r="J2649" s="1" t="s">
        <v>40</v>
      </c>
      <c r="K2649" s="1" t="s">
        <v>41</v>
      </c>
      <c r="L2649" s="1">
        <v>5</v>
      </c>
    </row>
    <row r="2650" spans="1:12" s="32" customFormat="1" hidden="1" x14ac:dyDescent="0.3">
      <c r="A2650" s="37">
        <v>46113.377430555556</v>
      </c>
      <c r="B2650" s="1" t="s">
        <v>48</v>
      </c>
      <c r="C2650" s="1">
        <v>4430152023</v>
      </c>
      <c r="D2650" s="1"/>
      <c r="E2650" s="1">
        <v>365</v>
      </c>
      <c r="F2650" s="1">
        <v>350</v>
      </c>
      <c r="G2650" s="1" t="s">
        <v>38</v>
      </c>
      <c r="H2650" s="1" t="s">
        <v>1642</v>
      </c>
      <c r="I2650" s="1" t="s">
        <v>46</v>
      </c>
      <c r="J2650" s="1" t="s">
        <v>40</v>
      </c>
      <c r="K2650" s="1"/>
      <c r="L2650" s="1"/>
    </row>
    <row r="2651" spans="1:12" s="32" customFormat="1" hidden="1" x14ac:dyDescent="0.3">
      <c r="A2651" s="37">
        <v>46113.376909722225</v>
      </c>
      <c r="B2651" s="1">
        <v>43988030048</v>
      </c>
      <c r="C2651" s="1" t="s">
        <v>44</v>
      </c>
      <c r="D2651" s="1">
        <v>4430265054</v>
      </c>
      <c r="E2651" s="1">
        <v>258</v>
      </c>
      <c r="F2651" s="1">
        <v>219</v>
      </c>
      <c r="G2651" s="1" t="s">
        <v>38</v>
      </c>
      <c r="H2651" s="1" t="s">
        <v>1643</v>
      </c>
      <c r="I2651" s="1" t="s">
        <v>39</v>
      </c>
      <c r="J2651" s="1" t="s">
        <v>40</v>
      </c>
      <c r="K2651" s="1" t="s">
        <v>41</v>
      </c>
      <c r="L2651" s="1"/>
    </row>
    <row r="2652" spans="1:12" s="32" customFormat="1" hidden="1" x14ac:dyDescent="0.3">
      <c r="A2652" s="37">
        <v>46113.376898148148</v>
      </c>
      <c r="B2652" s="1" t="s">
        <v>48</v>
      </c>
      <c r="C2652" s="1">
        <v>4436293259</v>
      </c>
      <c r="D2652" s="1"/>
      <c r="E2652" s="1">
        <v>13</v>
      </c>
      <c r="F2652" s="1">
        <v>0</v>
      </c>
      <c r="G2652" s="1" t="s">
        <v>47</v>
      </c>
      <c r="H2652" s="1" t="s">
        <v>1644</v>
      </c>
      <c r="I2652" s="1" t="s">
        <v>46</v>
      </c>
      <c r="J2652" s="1" t="s">
        <v>40</v>
      </c>
      <c r="K2652" s="1"/>
      <c r="L2652" s="1"/>
    </row>
    <row r="2653" spans="1:12" s="32" customFormat="1" hidden="1" x14ac:dyDescent="0.3">
      <c r="A2653" s="37">
        <v>46113.376550925925</v>
      </c>
      <c r="B2653" s="1" t="s">
        <v>48</v>
      </c>
      <c r="C2653" s="1">
        <v>4436293259</v>
      </c>
      <c r="D2653" s="1"/>
      <c r="E2653" s="1">
        <v>16</v>
      </c>
      <c r="F2653" s="1">
        <v>0</v>
      </c>
      <c r="G2653" s="1" t="s">
        <v>47</v>
      </c>
      <c r="H2653" s="1" t="s">
        <v>1645</v>
      </c>
      <c r="I2653" s="1" t="s">
        <v>46</v>
      </c>
      <c r="J2653" s="1" t="s">
        <v>40</v>
      </c>
      <c r="K2653" s="1"/>
      <c r="L2653" s="1"/>
    </row>
    <row r="2654" spans="1:12" s="32" customFormat="1" hidden="1" x14ac:dyDescent="0.3">
      <c r="A2654" s="37">
        <v>46113.376493055555</v>
      </c>
      <c r="B2654" s="1" t="s">
        <v>48</v>
      </c>
      <c r="C2654" s="1">
        <v>4436293259</v>
      </c>
      <c r="D2654" s="1"/>
      <c r="E2654" s="1">
        <v>25</v>
      </c>
      <c r="F2654" s="1">
        <v>25</v>
      </c>
      <c r="G2654" s="1" t="s">
        <v>38</v>
      </c>
      <c r="H2654" s="1" t="s">
        <v>1646</v>
      </c>
      <c r="I2654" s="1" t="s">
        <v>46</v>
      </c>
      <c r="J2654" s="1" t="s">
        <v>40</v>
      </c>
      <c r="K2654" s="1"/>
      <c r="L2654" s="1"/>
    </row>
    <row r="2655" spans="1:12" s="32" customFormat="1" hidden="1" x14ac:dyDescent="0.3">
      <c r="A2655" s="37">
        <v>46113.360833333332</v>
      </c>
      <c r="B2655" s="1" t="s">
        <v>48</v>
      </c>
      <c r="C2655" s="1">
        <v>4430561673</v>
      </c>
      <c r="D2655" s="1"/>
      <c r="E2655" s="1">
        <v>519</v>
      </c>
      <c r="F2655" s="1">
        <v>501</v>
      </c>
      <c r="G2655" s="1" t="s">
        <v>38</v>
      </c>
      <c r="H2655" s="1" t="s">
        <v>1647</v>
      </c>
      <c r="I2655" s="1" t="s">
        <v>46</v>
      </c>
      <c r="J2655" s="1" t="s">
        <v>40</v>
      </c>
      <c r="K2655" s="1"/>
      <c r="L2655" s="1"/>
    </row>
    <row r="2656" spans="1:12" s="32" customFormat="1" hidden="1" x14ac:dyDescent="0.3">
      <c r="A2656" s="37">
        <v>46113.360752314817</v>
      </c>
      <c r="B2656" s="1" t="s">
        <v>48</v>
      </c>
      <c r="C2656" s="1">
        <v>4430561673</v>
      </c>
      <c r="D2656" s="1"/>
      <c r="E2656" s="1">
        <v>26</v>
      </c>
      <c r="F2656" s="1">
        <v>25</v>
      </c>
      <c r="G2656" s="1" t="s">
        <v>38</v>
      </c>
      <c r="H2656" s="1" t="s">
        <v>1648</v>
      </c>
      <c r="I2656" s="1" t="s">
        <v>46</v>
      </c>
      <c r="J2656" s="1" t="s">
        <v>40</v>
      </c>
      <c r="K2656" s="1"/>
      <c r="L2656" s="1"/>
    </row>
    <row r="2657" spans="1:12" s="32" customFormat="1" hidden="1" x14ac:dyDescent="0.3">
      <c r="A2657" s="37">
        <v>46113.359594907408</v>
      </c>
      <c r="B2657" s="1" t="s">
        <v>48</v>
      </c>
      <c r="C2657" s="1">
        <v>4430254650</v>
      </c>
      <c r="D2657" s="1"/>
      <c r="E2657" s="1">
        <v>59</v>
      </c>
      <c r="F2657" s="1">
        <v>58</v>
      </c>
      <c r="G2657" s="1" t="s">
        <v>38</v>
      </c>
      <c r="H2657" s="1" t="s">
        <v>1649</v>
      </c>
      <c r="I2657" s="1" t="s">
        <v>46</v>
      </c>
      <c r="J2657" s="1" t="s">
        <v>40</v>
      </c>
      <c r="K2657" s="1"/>
      <c r="L2657" s="1"/>
    </row>
    <row r="2658" spans="1:12" s="32" customFormat="1" hidden="1" x14ac:dyDescent="0.3">
      <c r="A2658" s="37">
        <v>46113.35832175926</v>
      </c>
      <c r="B2658" s="1">
        <v>3432424736</v>
      </c>
      <c r="C2658" s="1" t="s">
        <v>42</v>
      </c>
      <c r="D2658" s="1">
        <v>4430265054</v>
      </c>
      <c r="E2658" s="1">
        <v>287</v>
      </c>
      <c r="F2658" s="1">
        <v>184</v>
      </c>
      <c r="G2658" s="1" t="s">
        <v>38</v>
      </c>
      <c r="H2658" s="1" t="s">
        <v>1650</v>
      </c>
      <c r="I2658" s="1" t="s">
        <v>39</v>
      </c>
      <c r="J2658" s="1" t="s">
        <v>40</v>
      </c>
      <c r="K2658" s="1" t="s">
        <v>41</v>
      </c>
      <c r="L2658" s="1"/>
    </row>
  </sheetData>
  <autoFilter ref="A1:L2658" xr:uid="{1925E673-B92D-4842-81BB-10C01394CAF3}">
    <filterColumn colId="2">
      <filters>
        <filter val="PSYSTEM_1002"/>
      </filters>
    </filterColumn>
    <filterColumn colId="4">
      <customFilters>
        <customFilter operator="greaterThan" val="100"/>
      </customFilters>
    </filterColumn>
    <filterColumn colId="11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5FC9-C2BF-45CD-BF29-6A9507C8C123}">
  <dimension ref="A1:E116"/>
  <sheetViews>
    <sheetView zoomScale="71" zoomScaleNormal="85" workbookViewId="0">
      <pane ySplit="1" topLeftCell="A2" activePane="bottomLeft" state="frozen"/>
      <selection pane="bottomLeft" activeCell="D2" sqref="D2:D71"/>
    </sheetView>
  </sheetViews>
  <sheetFormatPr defaultRowHeight="14.4" x14ac:dyDescent="0.3"/>
  <cols>
    <col min="1" max="1" width="16.88671875" style="32" bestFit="1" customWidth="1"/>
    <col min="2" max="2" width="14.109375" style="32" bestFit="1" customWidth="1"/>
    <col min="3" max="4" width="15.5546875" style="32" bestFit="1" customWidth="1"/>
    <col min="5" max="5" width="17" style="32" bestFit="1" customWidth="1"/>
    <col min="6" max="16384" width="8.88671875" style="32"/>
  </cols>
  <sheetData>
    <row r="1" spans="1:5" x14ac:dyDescent="0.3">
      <c r="A1" s="29" t="s">
        <v>20</v>
      </c>
      <c r="B1" s="29" t="s">
        <v>19</v>
      </c>
      <c r="C1" s="29" t="s">
        <v>21</v>
      </c>
      <c r="D1" s="29" t="s">
        <v>32</v>
      </c>
      <c r="E1" s="29" t="s">
        <v>2718</v>
      </c>
    </row>
    <row r="2" spans="1:5" x14ac:dyDescent="0.3">
      <c r="A2" s="1">
        <v>5</v>
      </c>
      <c r="B2" s="1">
        <v>5</v>
      </c>
      <c r="C2" s="1">
        <v>5</v>
      </c>
      <c r="D2" s="1">
        <v>5</v>
      </c>
      <c r="E2" s="32">
        <v>5</v>
      </c>
    </row>
    <row r="3" spans="1:5" x14ac:dyDescent="0.3">
      <c r="A3" s="1">
        <v>5</v>
      </c>
      <c r="B3" s="1">
        <v>5</v>
      </c>
      <c r="C3" s="1">
        <v>5</v>
      </c>
      <c r="D3" s="1">
        <v>5</v>
      </c>
      <c r="E3" s="32">
        <v>5</v>
      </c>
    </row>
    <row r="4" spans="1:5" x14ac:dyDescent="0.3">
      <c r="A4" s="1">
        <v>5</v>
      </c>
      <c r="B4" s="1">
        <v>5</v>
      </c>
      <c r="C4" s="1">
        <v>5</v>
      </c>
      <c r="D4" s="1">
        <v>5</v>
      </c>
      <c r="E4" s="32">
        <v>5</v>
      </c>
    </row>
    <row r="5" spans="1:5" x14ac:dyDescent="0.3">
      <c r="A5" s="1">
        <v>5</v>
      </c>
      <c r="B5" s="1">
        <v>5</v>
      </c>
      <c r="C5" s="1">
        <v>5</v>
      </c>
      <c r="D5" s="1">
        <v>5</v>
      </c>
      <c r="E5" s="32">
        <v>5</v>
      </c>
    </row>
    <row r="6" spans="1:5" x14ac:dyDescent="0.3">
      <c r="A6" s="1">
        <v>5</v>
      </c>
      <c r="B6" s="1">
        <v>5</v>
      </c>
      <c r="C6" s="1">
        <v>5</v>
      </c>
      <c r="D6" s="1">
        <v>5</v>
      </c>
      <c r="E6" s="32">
        <v>5</v>
      </c>
    </row>
    <row r="7" spans="1:5" x14ac:dyDescent="0.3">
      <c r="A7" s="1">
        <v>5</v>
      </c>
      <c r="B7" s="1">
        <v>5</v>
      </c>
      <c r="C7" s="1">
        <v>5</v>
      </c>
      <c r="D7" s="1">
        <v>5</v>
      </c>
      <c r="E7" s="32">
        <v>5</v>
      </c>
    </row>
    <row r="8" spans="1:5" x14ac:dyDescent="0.3">
      <c r="A8" s="1">
        <v>5</v>
      </c>
      <c r="B8" s="1">
        <v>5</v>
      </c>
      <c r="C8" s="1">
        <v>5</v>
      </c>
      <c r="D8" s="1">
        <v>5</v>
      </c>
      <c r="E8" s="32">
        <v>5</v>
      </c>
    </row>
    <row r="9" spans="1:5" x14ac:dyDescent="0.3">
      <c r="A9" s="1">
        <v>5</v>
      </c>
      <c r="B9" s="1">
        <v>5</v>
      </c>
      <c r="C9" s="1">
        <v>5</v>
      </c>
      <c r="D9" s="1">
        <v>5</v>
      </c>
      <c r="E9" s="32">
        <v>5</v>
      </c>
    </row>
    <row r="10" spans="1:5" x14ac:dyDescent="0.3">
      <c r="A10" s="1">
        <v>5</v>
      </c>
      <c r="B10" s="1">
        <v>5</v>
      </c>
      <c r="C10" s="1">
        <v>5</v>
      </c>
      <c r="D10" s="1">
        <v>5</v>
      </c>
      <c r="E10" s="32">
        <v>5</v>
      </c>
    </row>
    <row r="11" spans="1:5" x14ac:dyDescent="0.3">
      <c r="A11" s="1">
        <v>5</v>
      </c>
      <c r="B11" s="1">
        <v>5</v>
      </c>
      <c r="C11" s="1">
        <v>4</v>
      </c>
      <c r="D11" s="1">
        <v>5</v>
      </c>
      <c r="E11" s="32">
        <v>5</v>
      </c>
    </row>
    <row r="12" spans="1:5" x14ac:dyDescent="0.3">
      <c r="A12" s="1">
        <v>5</v>
      </c>
      <c r="B12" s="1">
        <v>5</v>
      </c>
      <c r="C12" s="1">
        <v>5</v>
      </c>
      <c r="D12" s="1">
        <v>5</v>
      </c>
      <c r="E12" s="32">
        <v>5</v>
      </c>
    </row>
    <row r="13" spans="1:5" x14ac:dyDescent="0.3">
      <c r="A13" s="1">
        <v>5</v>
      </c>
      <c r="B13" s="1">
        <v>5</v>
      </c>
      <c r="C13" s="1">
        <v>5</v>
      </c>
      <c r="D13" s="1">
        <v>5</v>
      </c>
      <c r="E13" s="1"/>
    </row>
    <row r="14" spans="1:5" x14ac:dyDescent="0.3">
      <c r="A14" s="1">
        <v>5</v>
      </c>
      <c r="B14" s="1">
        <v>5</v>
      </c>
      <c r="C14" s="1">
        <v>5</v>
      </c>
      <c r="D14" s="1">
        <v>5</v>
      </c>
      <c r="E14" s="1"/>
    </row>
    <row r="15" spans="1:5" x14ac:dyDescent="0.3">
      <c r="A15" s="1">
        <v>5</v>
      </c>
      <c r="B15" s="1">
        <v>5</v>
      </c>
      <c r="C15" s="1">
        <v>5</v>
      </c>
      <c r="D15" s="1">
        <v>5</v>
      </c>
      <c r="E15" s="1"/>
    </row>
    <row r="16" spans="1:5" x14ac:dyDescent="0.3">
      <c r="A16" s="1">
        <v>5</v>
      </c>
      <c r="B16" s="1">
        <v>5</v>
      </c>
      <c r="C16" s="1">
        <v>5</v>
      </c>
      <c r="D16" s="1">
        <v>5</v>
      </c>
      <c r="E16" s="1"/>
    </row>
    <row r="17" spans="1:5" x14ac:dyDescent="0.3">
      <c r="A17" s="1">
        <v>5</v>
      </c>
      <c r="B17" s="1">
        <v>5</v>
      </c>
      <c r="C17" s="1">
        <v>5</v>
      </c>
      <c r="D17" s="1">
        <v>5</v>
      </c>
      <c r="E17" s="1"/>
    </row>
    <row r="18" spans="1:5" x14ac:dyDescent="0.3">
      <c r="A18" s="1">
        <v>5</v>
      </c>
      <c r="B18" s="1">
        <v>5</v>
      </c>
      <c r="C18" s="1">
        <v>5</v>
      </c>
      <c r="D18" s="1">
        <v>5</v>
      </c>
      <c r="E18" s="1"/>
    </row>
    <row r="19" spans="1:5" x14ac:dyDescent="0.3">
      <c r="A19" s="1">
        <v>5</v>
      </c>
      <c r="B19" s="1">
        <v>5</v>
      </c>
      <c r="C19" s="1">
        <v>5</v>
      </c>
      <c r="D19" s="1">
        <v>5</v>
      </c>
      <c r="E19" s="1"/>
    </row>
    <row r="20" spans="1:5" x14ac:dyDescent="0.3">
      <c r="A20" s="1">
        <v>5</v>
      </c>
      <c r="B20" s="1">
        <v>5</v>
      </c>
      <c r="C20" s="1">
        <v>5</v>
      </c>
      <c r="D20" s="1">
        <v>4</v>
      </c>
      <c r="E20" s="1"/>
    </row>
    <row r="21" spans="1:5" x14ac:dyDescent="0.3">
      <c r="A21" s="1">
        <v>5</v>
      </c>
      <c r="B21" s="1">
        <v>5</v>
      </c>
      <c r="C21" s="1">
        <v>5</v>
      </c>
      <c r="D21" s="1">
        <v>5</v>
      </c>
      <c r="E21" s="1"/>
    </row>
    <row r="22" spans="1:5" x14ac:dyDescent="0.3">
      <c r="A22" s="1">
        <v>5</v>
      </c>
      <c r="B22" s="1">
        <v>5</v>
      </c>
      <c r="C22" s="1">
        <v>5</v>
      </c>
      <c r="D22" s="1">
        <v>5</v>
      </c>
      <c r="E22" s="1"/>
    </row>
    <row r="23" spans="1:5" x14ac:dyDescent="0.3">
      <c r="A23" s="1">
        <v>5</v>
      </c>
      <c r="B23" s="1">
        <v>5</v>
      </c>
      <c r="C23" s="1">
        <v>5</v>
      </c>
      <c r="D23" s="1">
        <v>5</v>
      </c>
      <c r="E23" s="1"/>
    </row>
    <row r="24" spans="1:5" x14ac:dyDescent="0.3">
      <c r="A24" s="1">
        <v>5</v>
      </c>
      <c r="B24" s="1">
        <v>5</v>
      </c>
      <c r="C24" s="1">
        <v>5</v>
      </c>
      <c r="D24" s="1">
        <v>5</v>
      </c>
    </row>
    <row r="25" spans="1:5" x14ac:dyDescent="0.3">
      <c r="A25" s="1">
        <v>5</v>
      </c>
      <c r="B25" s="1">
        <v>5</v>
      </c>
      <c r="C25" s="1">
        <v>5</v>
      </c>
      <c r="D25" s="1">
        <v>5</v>
      </c>
    </row>
    <row r="26" spans="1:5" x14ac:dyDescent="0.3">
      <c r="A26" s="1">
        <v>5</v>
      </c>
      <c r="B26" s="1">
        <v>5</v>
      </c>
      <c r="C26" s="1">
        <v>5</v>
      </c>
      <c r="D26" s="1">
        <v>5</v>
      </c>
    </row>
    <row r="27" spans="1:5" x14ac:dyDescent="0.3">
      <c r="A27" s="1">
        <v>5</v>
      </c>
      <c r="B27" s="1">
        <v>5</v>
      </c>
      <c r="C27" s="1">
        <v>5</v>
      </c>
      <c r="D27" s="1">
        <v>5</v>
      </c>
    </row>
    <row r="28" spans="1:5" x14ac:dyDescent="0.3">
      <c r="A28" s="1">
        <v>5</v>
      </c>
      <c r="B28" s="1">
        <v>5</v>
      </c>
      <c r="C28" s="1">
        <v>5</v>
      </c>
      <c r="D28" s="1">
        <v>5</v>
      </c>
    </row>
    <row r="29" spans="1:5" x14ac:dyDescent="0.3">
      <c r="A29" s="1">
        <v>4</v>
      </c>
      <c r="B29" s="1">
        <v>5</v>
      </c>
      <c r="C29" s="1">
        <v>3</v>
      </c>
      <c r="D29" s="1">
        <v>5</v>
      </c>
    </row>
    <row r="30" spans="1:5" x14ac:dyDescent="0.3">
      <c r="A30" s="1">
        <v>5</v>
      </c>
      <c r="B30" s="1">
        <v>5</v>
      </c>
      <c r="C30" s="1">
        <v>5</v>
      </c>
      <c r="D30" s="1">
        <v>5</v>
      </c>
    </row>
    <row r="31" spans="1:5" x14ac:dyDescent="0.3">
      <c r="A31" s="1">
        <v>5</v>
      </c>
      <c r="B31" s="1">
        <v>5</v>
      </c>
      <c r="C31" s="1">
        <v>5</v>
      </c>
      <c r="D31" s="1">
        <v>5</v>
      </c>
    </row>
    <row r="32" spans="1:5" x14ac:dyDescent="0.3">
      <c r="A32" s="1">
        <v>5</v>
      </c>
      <c r="B32" s="1">
        <v>5</v>
      </c>
      <c r="C32" s="1">
        <v>4</v>
      </c>
      <c r="D32" s="1">
        <v>5</v>
      </c>
    </row>
    <row r="33" spans="1:4" x14ac:dyDescent="0.3">
      <c r="A33" s="1">
        <v>5</v>
      </c>
      <c r="B33" s="1">
        <v>5</v>
      </c>
      <c r="C33" s="1">
        <v>5</v>
      </c>
      <c r="D33" s="1">
        <v>5</v>
      </c>
    </row>
    <row r="34" spans="1:4" x14ac:dyDescent="0.3">
      <c r="A34" s="1">
        <v>5</v>
      </c>
      <c r="B34" s="1">
        <v>5</v>
      </c>
      <c r="C34" s="1">
        <v>5</v>
      </c>
      <c r="D34" s="1">
        <v>5</v>
      </c>
    </row>
    <row r="35" spans="1:4" x14ac:dyDescent="0.3">
      <c r="A35" s="1">
        <v>5</v>
      </c>
      <c r="B35" s="1">
        <v>5</v>
      </c>
      <c r="C35" s="1">
        <v>5</v>
      </c>
      <c r="D35" s="1">
        <v>5</v>
      </c>
    </row>
    <row r="36" spans="1:4" x14ac:dyDescent="0.3">
      <c r="A36" s="1">
        <v>5</v>
      </c>
      <c r="B36" s="1">
        <v>5</v>
      </c>
      <c r="C36" s="1">
        <v>5</v>
      </c>
      <c r="D36" s="1">
        <v>5</v>
      </c>
    </row>
    <row r="37" spans="1:4" x14ac:dyDescent="0.3">
      <c r="A37" s="1">
        <v>5</v>
      </c>
      <c r="B37" s="1">
        <v>5</v>
      </c>
      <c r="C37" s="1">
        <v>5</v>
      </c>
      <c r="D37" s="1">
        <v>5</v>
      </c>
    </row>
    <row r="38" spans="1:4" x14ac:dyDescent="0.3">
      <c r="A38" s="1">
        <v>5</v>
      </c>
      <c r="B38" s="1">
        <v>5</v>
      </c>
      <c r="C38" s="1">
        <v>5</v>
      </c>
      <c r="D38" s="1">
        <v>5</v>
      </c>
    </row>
    <row r="39" spans="1:4" x14ac:dyDescent="0.3">
      <c r="A39" s="1">
        <v>5</v>
      </c>
      <c r="B39" s="1">
        <v>5</v>
      </c>
      <c r="C39" s="1">
        <v>5</v>
      </c>
      <c r="D39" s="1">
        <v>5</v>
      </c>
    </row>
    <row r="40" spans="1:4" x14ac:dyDescent="0.3">
      <c r="A40" s="1">
        <v>5</v>
      </c>
      <c r="B40" s="1">
        <v>5</v>
      </c>
      <c r="C40" s="1">
        <v>5</v>
      </c>
      <c r="D40" s="1">
        <v>5</v>
      </c>
    </row>
    <row r="41" spans="1:4" x14ac:dyDescent="0.3">
      <c r="A41" s="1">
        <v>5</v>
      </c>
      <c r="B41" s="1">
        <v>5</v>
      </c>
      <c r="C41" s="1">
        <v>5</v>
      </c>
      <c r="D41" s="1">
        <v>5</v>
      </c>
    </row>
    <row r="42" spans="1:4" x14ac:dyDescent="0.3">
      <c r="A42" s="1">
        <v>5</v>
      </c>
      <c r="B42" s="1">
        <v>5</v>
      </c>
      <c r="C42" s="1">
        <v>5</v>
      </c>
      <c r="D42" s="1">
        <v>5</v>
      </c>
    </row>
    <row r="43" spans="1:4" x14ac:dyDescent="0.3">
      <c r="A43" s="1">
        <v>5</v>
      </c>
      <c r="B43" s="1">
        <v>5</v>
      </c>
      <c r="C43" s="1">
        <v>5</v>
      </c>
      <c r="D43" s="1">
        <v>5</v>
      </c>
    </row>
    <row r="44" spans="1:4" x14ac:dyDescent="0.3">
      <c r="A44" s="1">
        <v>5</v>
      </c>
      <c r="B44" s="1">
        <v>5</v>
      </c>
      <c r="C44" s="1">
        <v>5</v>
      </c>
      <c r="D44" s="1">
        <v>5</v>
      </c>
    </row>
    <row r="45" spans="1:4" x14ac:dyDescent="0.3">
      <c r="A45" s="1">
        <v>5</v>
      </c>
      <c r="B45" s="1">
        <v>5</v>
      </c>
      <c r="C45" s="1">
        <v>5</v>
      </c>
      <c r="D45" s="1">
        <v>5</v>
      </c>
    </row>
    <row r="46" spans="1:4" x14ac:dyDescent="0.3">
      <c r="A46" s="1">
        <v>5</v>
      </c>
      <c r="B46" s="1">
        <v>5</v>
      </c>
      <c r="C46" s="1">
        <v>5</v>
      </c>
      <c r="D46" s="1">
        <v>5</v>
      </c>
    </row>
    <row r="47" spans="1:4" x14ac:dyDescent="0.3">
      <c r="A47" s="1">
        <v>5</v>
      </c>
      <c r="B47" s="1">
        <v>5</v>
      </c>
      <c r="C47" s="1">
        <v>5</v>
      </c>
      <c r="D47" s="1">
        <v>5</v>
      </c>
    </row>
    <row r="48" spans="1:4" x14ac:dyDescent="0.3">
      <c r="A48" s="1">
        <v>5</v>
      </c>
      <c r="B48" s="1">
        <v>5</v>
      </c>
      <c r="C48" s="1">
        <v>5</v>
      </c>
      <c r="D48" s="1">
        <v>5</v>
      </c>
    </row>
    <row r="49" spans="1:4" x14ac:dyDescent="0.3">
      <c r="A49" s="1">
        <v>5</v>
      </c>
      <c r="B49" s="1">
        <v>5</v>
      </c>
      <c r="C49" s="1">
        <v>5</v>
      </c>
      <c r="D49" s="1">
        <v>5</v>
      </c>
    </row>
    <row r="50" spans="1:4" x14ac:dyDescent="0.3">
      <c r="A50" s="1">
        <v>5</v>
      </c>
      <c r="B50" s="1">
        <v>5</v>
      </c>
      <c r="C50" s="1">
        <v>5</v>
      </c>
      <c r="D50" s="1">
        <v>5</v>
      </c>
    </row>
    <row r="51" spans="1:4" x14ac:dyDescent="0.3">
      <c r="A51" s="1">
        <v>5</v>
      </c>
      <c r="B51" s="1">
        <v>5</v>
      </c>
      <c r="C51" s="1">
        <v>5</v>
      </c>
      <c r="D51" s="1">
        <v>5</v>
      </c>
    </row>
    <row r="52" spans="1:4" x14ac:dyDescent="0.3">
      <c r="A52" s="1">
        <v>5</v>
      </c>
      <c r="B52" s="1">
        <v>5</v>
      </c>
      <c r="C52" s="1">
        <v>5</v>
      </c>
      <c r="D52" s="32">
        <v>5</v>
      </c>
    </row>
    <row r="53" spans="1:4" x14ac:dyDescent="0.3">
      <c r="A53" s="1">
        <v>5</v>
      </c>
      <c r="B53" s="1">
        <v>5</v>
      </c>
      <c r="C53" s="1">
        <v>5</v>
      </c>
      <c r="D53" s="32">
        <v>5</v>
      </c>
    </row>
    <row r="54" spans="1:4" x14ac:dyDescent="0.3">
      <c r="A54" s="1">
        <v>5</v>
      </c>
      <c r="B54" s="1">
        <v>5</v>
      </c>
      <c r="C54" s="1">
        <v>5</v>
      </c>
      <c r="D54" s="32">
        <v>5</v>
      </c>
    </row>
    <row r="55" spans="1:4" x14ac:dyDescent="0.3">
      <c r="A55" s="1">
        <v>5</v>
      </c>
      <c r="B55" s="1">
        <v>5</v>
      </c>
      <c r="C55" s="1">
        <v>5</v>
      </c>
      <c r="D55" s="32">
        <v>5</v>
      </c>
    </row>
    <row r="56" spans="1:4" x14ac:dyDescent="0.3">
      <c r="A56" s="1">
        <v>5</v>
      </c>
      <c r="B56" s="1">
        <v>5</v>
      </c>
      <c r="C56" s="1">
        <v>5</v>
      </c>
      <c r="D56" s="32">
        <v>5</v>
      </c>
    </row>
    <row r="57" spans="1:4" x14ac:dyDescent="0.3">
      <c r="A57" s="1">
        <v>5</v>
      </c>
      <c r="B57" s="1">
        <v>5</v>
      </c>
      <c r="C57" s="1">
        <v>5</v>
      </c>
      <c r="D57" s="32">
        <v>5</v>
      </c>
    </row>
    <row r="58" spans="1:4" x14ac:dyDescent="0.3">
      <c r="A58" s="1">
        <v>5</v>
      </c>
      <c r="B58" s="1">
        <v>5</v>
      </c>
      <c r="C58" s="1">
        <v>5</v>
      </c>
      <c r="D58" s="32">
        <v>5</v>
      </c>
    </row>
    <row r="59" spans="1:4" x14ac:dyDescent="0.3">
      <c r="A59" s="1">
        <v>5</v>
      </c>
      <c r="B59" s="1">
        <v>5</v>
      </c>
      <c r="C59" s="1">
        <v>5</v>
      </c>
      <c r="D59" s="32">
        <v>5</v>
      </c>
    </row>
    <row r="60" spans="1:4" x14ac:dyDescent="0.3">
      <c r="A60" s="1">
        <v>5</v>
      </c>
      <c r="B60" s="1">
        <v>5</v>
      </c>
      <c r="C60" s="1">
        <v>5</v>
      </c>
      <c r="D60" s="32">
        <v>5</v>
      </c>
    </row>
    <row r="61" spans="1:4" x14ac:dyDescent="0.3">
      <c r="A61" s="1">
        <v>5</v>
      </c>
      <c r="B61" s="1">
        <v>5</v>
      </c>
      <c r="C61" s="1">
        <v>5</v>
      </c>
      <c r="D61" s="32">
        <v>5</v>
      </c>
    </row>
    <row r="62" spans="1:4" x14ac:dyDescent="0.3">
      <c r="A62" s="1">
        <v>5</v>
      </c>
      <c r="B62" s="1">
        <v>5</v>
      </c>
      <c r="C62" s="1">
        <v>5</v>
      </c>
      <c r="D62" s="32">
        <v>5</v>
      </c>
    </row>
    <row r="63" spans="1:4" x14ac:dyDescent="0.3">
      <c r="A63" s="1">
        <v>5</v>
      </c>
      <c r="B63" s="1">
        <v>5</v>
      </c>
      <c r="C63" s="1">
        <v>5</v>
      </c>
      <c r="D63" s="32">
        <v>5</v>
      </c>
    </row>
    <row r="64" spans="1:4" x14ac:dyDescent="0.3">
      <c r="A64" s="1">
        <v>5</v>
      </c>
      <c r="B64" s="1">
        <v>4</v>
      </c>
      <c r="C64" s="1">
        <v>5</v>
      </c>
      <c r="D64" s="32">
        <v>5</v>
      </c>
    </row>
    <row r="65" spans="1:4" x14ac:dyDescent="0.3">
      <c r="A65" s="1">
        <v>5</v>
      </c>
      <c r="B65" s="1">
        <v>5</v>
      </c>
      <c r="C65" s="1">
        <v>5</v>
      </c>
      <c r="D65" s="32">
        <v>5</v>
      </c>
    </row>
    <row r="66" spans="1:4" x14ac:dyDescent="0.3">
      <c r="A66" s="1">
        <v>5</v>
      </c>
      <c r="B66" s="1">
        <v>5</v>
      </c>
      <c r="C66" s="1">
        <v>5</v>
      </c>
      <c r="D66" s="32">
        <v>5</v>
      </c>
    </row>
    <row r="67" spans="1:4" x14ac:dyDescent="0.3">
      <c r="A67" s="1">
        <v>5</v>
      </c>
      <c r="B67" s="1">
        <v>5</v>
      </c>
      <c r="C67" s="1">
        <v>5</v>
      </c>
      <c r="D67" s="32">
        <v>5</v>
      </c>
    </row>
    <row r="68" spans="1:4" x14ac:dyDescent="0.3">
      <c r="A68" s="1">
        <v>5</v>
      </c>
      <c r="B68" s="1">
        <v>5</v>
      </c>
      <c r="C68" s="1">
        <v>5</v>
      </c>
      <c r="D68" s="32">
        <v>5</v>
      </c>
    </row>
    <row r="69" spans="1:4" x14ac:dyDescent="0.3">
      <c r="A69" s="1">
        <v>5</v>
      </c>
      <c r="B69" s="1">
        <v>5</v>
      </c>
      <c r="C69" s="1">
        <v>5</v>
      </c>
      <c r="D69" s="32">
        <v>5</v>
      </c>
    </row>
    <row r="70" spans="1:4" x14ac:dyDescent="0.3">
      <c r="A70" s="1">
        <v>5</v>
      </c>
      <c r="B70" s="1">
        <v>5</v>
      </c>
      <c r="C70" s="1">
        <v>5</v>
      </c>
      <c r="D70" s="32">
        <v>4.5</v>
      </c>
    </row>
    <row r="71" spans="1:4" x14ac:dyDescent="0.3">
      <c r="A71" s="1">
        <v>5</v>
      </c>
      <c r="B71" s="1">
        <v>5</v>
      </c>
      <c r="C71" s="1">
        <v>4</v>
      </c>
      <c r="D71" s="32">
        <v>4</v>
      </c>
    </row>
    <row r="72" spans="1:4" x14ac:dyDescent="0.3">
      <c r="A72" s="1">
        <v>5</v>
      </c>
      <c r="B72" s="1">
        <v>5</v>
      </c>
      <c r="C72" s="1">
        <v>5</v>
      </c>
    </row>
    <row r="73" spans="1:4" x14ac:dyDescent="0.3">
      <c r="A73" s="1">
        <v>5</v>
      </c>
      <c r="B73" s="1">
        <v>5</v>
      </c>
      <c r="C73" s="1">
        <v>5</v>
      </c>
    </row>
    <row r="74" spans="1:4" x14ac:dyDescent="0.3">
      <c r="A74" s="1">
        <v>5</v>
      </c>
      <c r="B74" s="1">
        <v>5</v>
      </c>
      <c r="C74" s="1">
        <v>5</v>
      </c>
    </row>
    <row r="75" spans="1:4" x14ac:dyDescent="0.3">
      <c r="A75" s="1">
        <v>5</v>
      </c>
      <c r="B75" s="1">
        <v>5</v>
      </c>
      <c r="C75" s="1">
        <v>5</v>
      </c>
    </row>
    <row r="76" spans="1:4" x14ac:dyDescent="0.3">
      <c r="A76" s="1">
        <v>5</v>
      </c>
      <c r="B76" s="1">
        <v>5</v>
      </c>
      <c r="C76" s="1">
        <v>5</v>
      </c>
    </row>
    <row r="77" spans="1:4" x14ac:dyDescent="0.3">
      <c r="A77" s="1">
        <v>5</v>
      </c>
      <c r="B77" s="1">
        <v>5</v>
      </c>
      <c r="C77" s="1">
        <v>5</v>
      </c>
    </row>
    <row r="78" spans="1:4" x14ac:dyDescent="0.3">
      <c r="A78" s="1">
        <v>5</v>
      </c>
      <c r="B78" s="1">
        <v>5</v>
      </c>
      <c r="C78" s="1">
        <v>5</v>
      </c>
    </row>
    <row r="79" spans="1:4" x14ac:dyDescent="0.3">
      <c r="A79" s="1">
        <v>5</v>
      </c>
      <c r="B79" s="1">
        <v>5</v>
      </c>
      <c r="C79" s="1">
        <v>5</v>
      </c>
    </row>
    <row r="80" spans="1:4" x14ac:dyDescent="0.3">
      <c r="A80" s="1">
        <v>5</v>
      </c>
      <c r="B80" s="1">
        <v>4</v>
      </c>
      <c r="C80" s="1">
        <v>5</v>
      </c>
    </row>
    <row r="81" spans="1:3" x14ac:dyDescent="0.3">
      <c r="A81" s="1">
        <v>5</v>
      </c>
      <c r="B81" s="1">
        <v>5</v>
      </c>
      <c r="C81" s="1">
        <v>5</v>
      </c>
    </row>
    <row r="82" spans="1:3" x14ac:dyDescent="0.3">
      <c r="A82" s="1">
        <v>5</v>
      </c>
      <c r="B82" s="1">
        <v>5</v>
      </c>
      <c r="C82" s="1">
        <v>5</v>
      </c>
    </row>
    <row r="83" spans="1:3" x14ac:dyDescent="0.3">
      <c r="A83" s="1">
        <v>5</v>
      </c>
      <c r="B83" s="1">
        <v>5</v>
      </c>
      <c r="C83" s="1">
        <v>5</v>
      </c>
    </row>
    <row r="84" spans="1:3" x14ac:dyDescent="0.3">
      <c r="A84" s="1">
        <v>5</v>
      </c>
      <c r="B84" s="1">
        <v>5</v>
      </c>
      <c r="C84" s="1">
        <v>5</v>
      </c>
    </row>
    <row r="85" spans="1:3" x14ac:dyDescent="0.3">
      <c r="A85" s="1">
        <v>5</v>
      </c>
      <c r="B85" s="1">
        <v>5</v>
      </c>
      <c r="C85" s="1">
        <v>5</v>
      </c>
    </row>
    <row r="86" spans="1:3" x14ac:dyDescent="0.3">
      <c r="A86" s="1">
        <v>5</v>
      </c>
      <c r="B86" s="1">
        <v>5</v>
      </c>
      <c r="C86" s="1">
        <v>5</v>
      </c>
    </row>
    <row r="87" spans="1:3" x14ac:dyDescent="0.3">
      <c r="A87" s="1">
        <v>5</v>
      </c>
      <c r="B87" s="1">
        <v>5</v>
      </c>
      <c r="C87" s="38">
        <v>5</v>
      </c>
    </row>
    <row r="88" spans="1:3" x14ac:dyDescent="0.3">
      <c r="A88" s="38">
        <v>5</v>
      </c>
      <c r="B88" s="1">
        <v>5</v>
      </c>
      <c r="C88" s="1">
        <v>5</v>
      </c>
    </row>
    <row r="89" spans="1:3" x14ac:dyDescent="0.3">
      <c r="A89" s="1">
        <v>5</v>
      </c>
      <c r="B89" s="1">
        <v>5</v>
      </c>
      <c r="C89" s="1">
        <v>5</v>
      </c>
    </row>
    <row r="90" spans="1:3" x14ac:dyDescent="0.3">
      <c r="A90" s="1">
        <v>5</v>
      </c>
      <c r="B90" s="1">
        <v>5</v>
      </c>
      <c r="C90" s="1">
        <v>5</v>
      </c>
    </row>
    <row r="91" spans="1:3" x14ac:dyDescent="0.3">
      <c r="A91" s="1">
        <v>5</v>
      </c>
      <c r="B91" s="1">
        <v>5</v>
      </c>
      <c r="C91" s="1">
        <v>5</v>
      </c>
    </row>
    <row r="92" spans="1:3" x14ac:dyDescent="0.3">
      <c r="A92" s="1">
        <v>5</v>
      </c>
      <c r="B92" s="1">
        <v>5</v>
      </c>
      <c r="C92" s="1">
        <v>5</v>
      </c>
    </row>
    <row r="93" spans="1:3" x14ac:dyDescent="0.3">
      <c r="A93" s="1">
        <v>5</v>
      </c>
      <c r="B93" s="1">
        <v>5</v>
      </c>
      <c r="C93" s="1">
        <v>5</v>
      </c>
    </row>
    <row r="94" spans="1:3" x14ac:dyDescent="0.3">
      <c r="A94" s="1">
        <v>5</v>
      </c>
      <c r="B94" s="1">
        <v>5</v>
      </c>
      <c r="C94" s="32">
        <v>5</v>
      </c>
    </row>
    <row r="95" spans="1:3" x14ac:dyDescent="0.3">
      <c r="A95" s="1">
        <v>5</v>
      </c>
      <c r="B95" s="1">
        <v>4</v>
      </c>
      <c r="C95" s="32">
        <v>5</v>
      </c>
    </row>
    <row r="96" spans="1:3" x14ac:dyDescent="0.3">
      <c r="A96" s="1">
        <v>5</v>
      </c>
      <c r="B96" s="1">
        <v>5</v>
      </c>
      <c r="C96" s="32">
        <v>5</v>
      </c>
    </row>
    <row r="97" spans="1:3" x14ac:dyDescent="0.3">
      <c r="A97" s="1">
        <v>5</v>
      </c>
      <c r="B97" s="1">
        <v>5</v>
      </c>
      <c r="C97" s="32">
        <v>5</v>
      </c>
    </row>
    <row r="98" spans="1:3" x14ac:dyDescent="0.3">
      <c r="A98" s="1">
        <v>5</v>
      </c>
      <c r="B98" s="1">
        <v>5</v>
      </c>
      <c r="C98" s="32">
        <v>5</v>
      </c>
    </row>
    <row r="99" spans="1:3" x14ac:dyDescent="0.3">
      <c r="A99" s="1">
        <v>5</v>
      </c>
      <c r="B99" s="1">
        <v>5</v>
      </c>
      <c r="C99" s="32">
        <v>5</v>
      </c>
    </row>
    <row r="100" spans="1:3" x14ac:dyDescent="0.3">
      <c r="A100" s="1">
        <v>5</v>
      </c>
      <c r="B100" s="32">
        <v>5</v>
      </c>
      <c r="C100" s="32">
        <v>5</v>
      </c>
    </row>
    <row r="101" spans="1:3" x14ac:dyDescent="0.3">
      <c r="A101" s="32">
        <v>5</v>
      </c>
      <c r="B101" s="32">
        <v>5</v>
      </c>
      <c r="C101" s="32">
        <v>5</v>
      </c>
    </row>
    <row r="102" spans="1:3" x14ac:dyDescent="0.3">
      <c r="A102" s="32">
        <v>5</v>
      </c>
      <c r="B102" s="32">
        <v>5</v>
      </c>
      <c r="C102" s="32">
        <v>5</v>
      </c>
    </row>
    <row r="103" spans="1:3" x14ac:dyDescent="0.3">
      <c r="A103" s="32">
        <v>5</v>
      </c>
      <c r="B103" s="32">
        <v>5</v>
      </c>
      <c r="C103" s="32">
        <v>5</v>
      </c>
    </row>
    <row r="104" spans="1:3" x14ac:dyDescent="0.3">
      <c r="A104" s="32">
        <v>5</v>
      </c>
      <c r="B104" s="32">
        <v>5</v>
      </c>
      <c r="C104" s="32">
        <v>5</v>
      </c>
    </row>
    <row r="105" spans="1:3" x14ac:dyDescent="0.3">
      <c r="A105" s="32">
        <v>5</v>
      </c>
      <c r="B105" s="32">
        <v>5</v>
      </c>
      <c r="C105" s="32">
        <v>5</v>
      </c>
    </row>
    <row r="106" spans="1:3" x14ac:dyDescent="0.3">
      <c r="A106" s="32">
        <v>5</v>
      </c>
      <c r="B106" s="32">
        <v>5</v>
      </c>
      <c r="C106" s="32">
        <v>5</v>
      </c>
    </row>
    <row r="107" spans="1:3" x14ac:dyDescent="0.3">
      <c r="A107" s="32">
        <v>5</v>
      </c>
      <c r="B107" s="32">
        <v>5</v>
      </c>
      <c r="C107" s="32">
        <v>5</v>
      </c>
    </row>
    <row r="108" spans="1:3" x14ac:dyDescent="0.3">
      <c r="A108" s="32">
        <v>5</v>
      </c>
      <c r="B108" s="32">
        <v>5</v>
      </c>
      <c r="C108" s="32">
        <v>5</v>
      </c>
    </row>
    <row r="109" spans="1:3" x14ac:dyDescent="0.3">
      <c r="A109" s="32">
        <v>5</v>
      </c>
      <c r="B109" s="32">
        <v>5</v>
      </c>
      <c r="C109" s="32">
        <v>5</v>
      </c>
    </row>
    <row r="110" spans="1:3" x14ac:dyDescent="0.3">
      <c r="B110" s="32">
        <v>5</v>
      </c>
      <c r="C110" s="32">
        <v>5</v>
      </c>
    </row>
    <row r="111" spans="1:3" x14ac:dyDescent="0.3">
      <c r="B111" s="32">
        <v>5</v>
      </c>
    </row>
    <row r="112" spans="1:3" x14ac:dyDescent="0.3">
      <c r="B112" s="32">
        <v>5</v>
      </c>
    </row>
    <row r="113" spans="2:2" x14ac:dyDescent="0.3">
      <c r="B113" s="32">
        <v>5</v>
      </c>
    </row>
    <row r="114" spans="2:2" x14ac:dyDescent="0.3">
      <c r="B114" s="32">
        <v>5</v>
      </c>
    </row>
    <row r="115" spans="2:2" x14ac:dyDescent="0.3">
      <c r="B115" s="32">
        <v>4.5</v>
      </c>
    </row>
    <row r="116" spans="2:2" x14ac:dyDescent="0.3">
      <c r="B116" s="32">
        <v>4.5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AE7FF-DBE8-4933-83A4-3D94860404F9}">
  <dimension ref="A1:I24"/>
  <sheetViews>
    <sheetView zoomScale="66" zoomScaleNormal="80" workbookViewId="0">
      <selection activeCell="C15" sqref="C15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374</v>
      </c>
      <c r="C2" s="20">
        <f>B15+C15</f>
        <v>108</v>
      </c>
      <c r="D2" s="21">
        <f>C2/B2</f>
        <v>0.28877005347593582</v>
      </c>
      <c r="E2" s="26">
        <f>AVERAGE('Notas Abr'!$A$2:$A$200)</f>
        <v>4.9907407407407405</v>
      </c>
      <c r="F2" s="26"/>
      <c r="G2" s="30">
        <f>E2-F2</f>
        <v>4.9907407407407405</v>
      </c>
      <c r="H2" s="1"/>
      <c r="I2" s="35">
        <f>G2*C2</f>
        <v>539</v>
      </c>
    </row>
    <row r="3" spans="1:9" x14ac:dyDescent="0.3">
      <c r="A3" s="5" t="s">
        <v>19</v>
      </c>
      <c r="B3" s="6">
        <f>D16+E16+F16</f>
        <v>348</v>
      </c>
      <c r="C3" s="6">
        <f>B16+C16</f>
        <v>115</v>
      </c>
      <c r="D3" s="33">
        <f>C3/B3</f>
        <v>0.33045977011494254</v>
      </c>
      <c r="E3" s="8">
        <f>AVERAGE('Notas Abr'!$B$2:$B$200)</f>
        <v>4.965217391304348</v>
      </c>
      <c r="F3" s="8"/>
      <c r="G3" s="31">
        <f t="shared" ref="G3:G6" si="0">E3-F3</f>
        <v>4.965217391304348</v>
      </c>
      <c r="H3" s="1"/>
      <c r="I3" s="23">
        <f>G3*C3</f>
        <v>571</v>
      </c>
    </row>
    <row r="4" spans="1:9" x14ac:dyDescent="0.3">
      <c r="A4" s="19" t="s">
        <v>21</v>
      </c>
      <c r="B4" s="20">
        <f t="shared" ref="B4:B6" si="1">D17+E17+F17</f>
        <v>346</v>
      </c>
      <c r="C4" s="20">
        <f>B17+C17</f>
        <v>109</v>
      </c>
      <c r="D4" s="21">
        <f>C4/B4</f>
        <v>0.31502890173410403</v>
      </c>
      <c r="E4" s="26">
        <f>AVERAGE('Notas Abr'!$C$2:$C$200)</f>
        <v>4.9541284403669721</v>
      </c>
      <c r="F4" s="26"/>
      <c r="G4" s="30">
        <f t="shared" si="0"/>
        <v>4.9541284403669721</v>
      </c>
      <c r="H4" s="1"/>
      <c r="I4" s="35">
        <f t="shared" ref="I4:I6" si="2">G4*C4</f>
        <v>540</v>
      </c>
    </row>
    <row r="5" spans="1:9" x14ac:dyDescent="0.3">
      <c r="A5" s="5" t="s">
        <v>32</v>
      </c>
      <c r="B5" s="6">
        <f t="shared" si="1"/>
        <v>317</v>
      </c>
      <c r="C5" s="6">
        <f>B18+C18</f>
        <v>70</v>
      </c>
      <c r="D5" s="33">
        <f>C5/B5</f>
        <v>0.22082018927444794</v>
      </c>
      <c r="E5" s="8">
        <f>AVERAGE('Notas Abr'!$D$2:$D$200)</f>
        <v>4.9642857142857144</v>
      </c>
      <c r="F5" s="8"/>
      <c r="G5" s="31">
        <f t="shared" si="0"/>
        <v>4.9642857142857144</v>
      </c>
      <c r="H5" s="1"/>
      <c r="I5" s="35">
        <f t="shared" si="2"/>
        <v>347.5</v>
      </c>
    </row>
    <row r="6" spans="1:9" x14ac:dyDescent="0.3">
      <c r="A6" s="19" t="s">
        <v>2718</v>
      </c>
      <c r="B6" s="20">
        <f t="shared" si="1"/>
        <v>34</v>
      </c>
      <c r="C6" s="20">
        <f>B19+C19</f>
        <v>11</v>
      </c>
      <c r="D6" s="21">
        <f>C6/B6</f>
        <v>0.3235294117647059</v>
      </c>
      <c r="E6" s="26">
        <f>AVERAGE('Notas Abr'!$E$2:$E$200)</f>
        <v>5</v>
      </c>
      <c r="F6" s="26"/>
      <c r="G6" s="30">
        <f t="shared" si="0"/>
        <v>5</v>
      </c>
      <c r="H6" s="1"/>
      <c r="I6" s="35">
        <f t="shared" si="2"/>
        <v>55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5"/>
    </row>
    <row r="8" spans="1:9" x14ac:dyDescent="0.3">
      <c r="A8" s="1"/>
      <c r="B8" s="1"/>
      <c r="C8" s="1"/>
      <c r="D8" s="9"/>
      <c r="E8" s="1"/>
      <c r="F8" s="27"/>
      <c r="G8" s="13"/>
      <c r="H8" s="1"/>
      <c r="I8" s="1"/>
    </row>
    <row r="9" spans="1:9" x14ac:dyDescent="0.3">
      <c r="A9" s="14" t="s">
        <v>16</v>
      </c>
      <c r="B9" s="14">
        <f>SUM(B2:B7)</f>
        <v>1419</v>
      </c>
      <c r="C9" s="14">
        <f>SUM(C2:C7)</f>
        <v>413</v>
      </c>
      <c r="D9" s="15">
        <f>C9/B9</f>
        <v>0.29105003523608175</v>
      </c>
      <c r="E9" s="16">
        <f>AVERAGE(E2:E7)</f>
        <v>4.9748744573395545</v>
      </c>
      <c r="F9" s="16"/>
      <c r="G9" s="17">
        <f>E9-F9</f>
        <v>4.9748744573395545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COUNTIFS(Abr!$B$2:$B$3000,"PSYSTEM_1005",Abr!$E$2:$E$3000,"&gt;100",Abr!$L$2:$L$3000,"&gt;0")</f>
        <v>17</v>
      </c>
      <c r="C15" s="1">
        <f>COUNTIFS(Abr!$C$2:$C$4000,"PSYSTEM_1005",Abr!$E$2:$E$4000,"&gt;100",Abr!$L$2:$L$4000,"&gt;0")+G15</f>
        <v>91</v>
      </c>
      <c r="D15" s="1">
        <f>COUNTIFS(Abr!$B$2:$B$4000,"PSYSTEM_1005",Abr!$E$2:$E$4000,"&gt;100")</f>
        <v>66</v>
      </c>
      <c r="E15" s="1">
        <f>COUNTIFS(Abr!$C$2:$C$4000,"PSYSTEM_1005",Abr!$E$2:$E$4000,"&gt;100")</f>
        <v>236</v>
      </c>
      <c r="F15" s="1">
        <v>72</v>
      </c>
      <c r="G15" s="32">
        <v>9</v>
      </c>
    </row>
    <row r="16" spans="1:9" x14ac:dyDescent="0.3">
      <c r="A16" s="5" t="s">
        <v>19</v>
      </c>
      <c r="B16" s="1">
        <f>COUNTIFS(Abr!$B$2:$B$3000,"PSYSTEM_1002",Abr!$E$2:$E$3000,"&gt;100",Abr!$L$2:$L$3000,"&gt;0")</f>
        <v>9</v>
      </c>
      <c r="C16" s="1">
        <f>COUNTIFS(Abr!$C$2:$C$4000,"PSYSTEM_1002",Abr!$E$2:$E$4000,"&gt;100",Abr!$L$2:$L$4000,"&gt;0")+G16</f>
        <v>106</v>
      </c>
      <c r="D16" s="1">
        <f>COUNTIFS(Abr!$B$2:$B$4000,"PSYSTEM_1002",Abr!$E$2:$E$4000,"&gt;100")</f>
        <v>53</v>
      </c>
      <c r="E16" s="1">
        <f>COUNTIFS(Abr!$C$2:$C$4000,"PSYSTEM_1002",Abr!$E$2:$E$4000,"&gt;100")</f>
        <v>198</v>
      </c>
      <c r="F16" s="32">
        <v>97</v>
      </c>
      <c r="G16" s="32">
        <v>17</v>
      </c>
    </row>
    <row r="17" spans="1:9" x14ac:dyDescent="0.3">
      <c r="A17" s="19" t="s">
        <v>21</v>
      </c>
      <c r="B17" s="1">
        <f>COUNTIFS(Abr!$B$2:$B$3000,"PSYSTEM_1004",Abr!$E$2:$E$3000,"&gt;100",Abr!$L$2:$L$3000,"&gt;0")</f>
        <v>10</v>
      </c>
      <c r="C17" s="1">
        <f>COUNTIFS(Abr!$C$2:$C$4000,"PSYSTEM_1004",Abr!$E$2:$E$4000,"&gt;100",Abr!$L$2:$L$4000,"&gt;0")+G17</f>
        <v>99</v>
      </c>
      <c r="D17" s="1">
        <f>COUNTIFS(Abr!$B$2:$B$4000,"PSYSTEM_1004",Abr!$E$2:$E$4000,"&gt;100")</f>
        <v>44</v>
      </c>
      <c r="E17" s="1">
        <f>COUNTIFS(Abr!$C$2:$C$4000,"PSYSTEM_1004",Abr!$E$2:$E$4000,"&gt;100")</f>
        <v>229</v>
      </c>
      <c r="F17" s="1">
        <v>73</v>
      </c>
      <c r="G17" s="32">
        <v>17</v>
      </c>
    </row>
    <row r="18" spans="1:9" x14ac:dyDescent="0.3">
      <c r="A18" s="5" t="s">
        <v>32</v>
      </c>
      <c r="B18" s="1">
        <f>COUNTIFS(Abr!$B$2:$B$3000,"PSYSTEM_1013",Abr!$E$2:$E$3000,"&gt;100",Abr!$L$2:$L$3000,"&gt;0")</f>
        <v>2</v>
      </c>
      <c r="C18" s="1">
        <f>COUNTIFS(Abr!$C$2:$C$4000,"PSYSTEM_1013",Abr!$E$2:$E$4000,"&gt;100",Abr!$L$2:$L$4000,"&gt;0")+G18</f>
        <v>68</v>
      </c>
      <c r="D18" s="1">
        <f>COUNTIFS(Abr!$B$2:$B$4000,"PSYSTEM_1013",Abr!$E$2:$E$4000,"&gt;100")</f>
        <v>18</v>
      </c>
      <c r="E18" s="1">
        <f>COUNTIFS(Abr!$C$2:$C$4000,"PSYSTEM_1013",Abr!$E$2:$E$4000,"&gt;100")</f>
        <v>167</v>
      </c>
      <c r="F18" s="1">
        <v>132</v>
      </c>
      <c r="G18" s="1">
        <v>20</v>
      </c>
      <c r="H18" s="1"/>
      <c r="I18" s="1"/>
    </row>
    <row r="19" spans="1:9" x14ac:dyDescent="0.3">
      <c r="A19" s="19" t="s">
        <v>2718</v>
      </c>
      <c r="B19" s="1">
        <f>COUNTIFS(Abr!$B$2:$B$3000,"PSYSTEM_1003",Abr!$E$2:$E$3000,"&gt;100",Abr!$L$2:$L$3000,"&gt;0")</f>
        <v>0</v>
      </c>
      <c r="C19" s="1">
        <f>COUNTIFS(Abr!$C$2:$C$4000,"PSYSTEM_1003",Abr!$E$2:$E$4000,"&gt;100",Abr!$L$2:$L$4000,"&gt;0")+G19</f>
        <v>11</v>
      </c>
      <c r="D19" s="1">
        <f>COUNTIFS(Abr!$B$2:$B$4000,"PSYSTEM_1003",Abr!$E$2:$E$4000,"&gt;100")</f>
        <v>0</v>
      </c>
      <c r="E19" s="1">
        <f>COUNTIFS(Abr!$C$2:$C$4000,"PSYSTEM_1003",Abr!$E$2:$E$4000,"&gt;100")</f>
        <v>0</v>
      </c>
      <c r="F19" s="1">
        <v>34</v>
      </c>
      <c r="G19" s="1">
        <v>11</v>
      </c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678C-0164-4351-85D0-2C961208C5AC}">
  <sheetPr filterMode="1"/>
  <dimension ref="A1:M2686"/>
  <sheetViews>
    <sheetView zoomScale="87" workbookViewId="0">
      <selection activeCell="L162" sqref="L162:L2504"/>
    </sheetView>
  </sheetViews>
  <sheetFormatPr defaultColWidth="8.88671875" defaultRowHeight="14.4" x14ac:dyDescent="0.3"/>
  <cols>
    <col min="1" max="1" width="23.109375" style="32" customWidth="1"/>
    <col min="2" max="2" width="18.44140625" style="32" bestFit="1" customWidth="1"/>
    <col min="3" max="3" width="13.44140625" style="32" bestFit="1" customWidth="1"/>
    <col min="4" max="4" width="11" style="32" bestFit="1" customWidth="1"/>
    <col min="5" max="5" width="14" style="32" bestFit="1" customWidth="1"/>
    <col min="6" max="6" width="9.6640625" style="32" bestFit="1" customWidth="1"/>
    <col min="7" max="7" width="12.109375" style="32" bestFit="1" customWidth="1"/>
    <col min="8" max="8" width="25.33203125" style="32" bestFit="1" customWidth="1"/>
    <col min="9" max="9" width="14.5546875" style="32" bestFit="1" customWidth="1"/>
    <col min="10" max="10" width="26.109375" style="32" bestFit="1" customWidth="1"/>
    <col min="11" max="11" width="19.5546875" style="32" bestFit="1" customWidth="1"/>
    <col min="12" max="12" width="9.6640625" style="32" bestFit="1" customWidth="1"/>
    <col min="13" max="13" width="40.109375" style="34" customWidth="1"/>
    <col min="14" max="16384" width="8.88671875" style="32"/>
  </cols>
  <sheetData>
    <row r="1" spans="1:12" x14ac:dyDescent="0.3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</row>
    <row r="2" spans="1:12" hidden="1" x14ac:dyDescent="0.3">
      <c r="A2" s="39">
        <v>46172.51090277778</v>
      </c>
      <c r="B2" s="32">
        <v>44997134514</v>
      </c>
      <c r="C2" s="32">
        <v>4430265054</v>
      </c>
      <c r="D2" s="32">
        <v>4430265054</v>
      </c>
      <c r="E2" s="32">
        <v>19</v>
      </c>
      <c r="F2" s="32">
        <v>18</v>
      </c>
      <c r="G2" s="32" t="s">
        <v>52</v>
      </c>
      <c r="H2" s="32" t="s">
        <v>2719</v>
      </c>
      <c r="I2" s="32" t="s">
        <v>39</v>
      </c>
      <c r="J2" s="32" t="s">
        <v>53</v>
      </c>
    </row>
    <row r="3" spans="1:12" hidden="1" x14ac:dyDescent="0.3">
      <c r="A3" s="39">
        <v>46172.381018518521</v>
      </c>
      <c r="B3" s="32">
        <v>1438160351</v>
      </c>
      <c r="C3" s="32">
        <v>4430265054</v>
      </c>
      <c r="D3" s="32">
        <v>4430265054</v>
      </c>
      <c r="E3" s="32">
        <v>9</v>
      </c>
      <c r="F3" s="32">
        <v>8</v>
      </c>
      <c r="G3" s="32" t="s">
        <v>52</v>
      </c>
      <c r="H3" s="32" t="s">
        <v>2720</v>
      </c>
      <c r="I3" s="32" t="s">
        <v>39</v>
      </c>
      <c r="J3" s="32" t="s">
        <v>53</v>
      </c>
    </row>
    <row r="4" spans="1:12" hidden="1" x14ac:dyDescent="0.3">
      <c r="A4" s="39">
        <v>46171.742511574077</v>
      </c>
      <c r="B4" s="32">
        <v>44988067937</v>
      </c>
      <c r="C4" s="32" t="s">
        <v>37</v>
      </c>
      <c r="D4" s="32">
        <v>4430265054</v>
      </c>
      <c r="E4" s="32">
        <v>410</v>
      </c>
      <c r="F4" s="32">
        <v>370</v>
      </c>
      <c r="G4" s="32" t="s">
        <v>38</v>
      </c>
      <c r="H4" s="32" t="s">
        <v>2721</v>
      </c>
      <c r="I4" s="32" t="s">
        <v>39</v>
      </c>
      <c r="J4" s="32" t="s">
        <v>40</v>
      </c>
      <c r="K4" s="32" t="s">
        <v>41</v>
      </c>
    </row>
    <row r="5" spans="1:12" hidden="1" x14ac:dyDescent="0.3">
      <c r="A5" s="39">
        <v>46171.731053240743</v>
      </c>
      <c r="B5" s="32">
        <v>44997426611</v>
      </c>
      <c r="C5" s="32" t="s">
        <v>48</v>
      </c>
      <c r="D5" s="32">
        <v>4430265054</v>
      </c>
      <c r="E5" s="32">
        <v>333</v>
      </c>
      <c r="F5" s="32">
        <v>332</v>
      </c>
      <c r="G5" s="32" t="s">
        <v>38</v>
      </c>
      <c r="H5" s="32" t="s">
        <v>2722</v>
      </c>
      <c r="I5" s="32" t="s">
        <v>39</v>
      </c>
      <c r="J5" s="32" t="s">
        <v>40</v>
      </c>
      <c r="K5" s="32" t="s">
        <v>41</v>
      </c>
    </row>
    <row r="6" spans="1:12" hidden="1" x14ac:dyDescent="0.3">
      <c r="A6" s="39">
        <v>46171.719675925924</v>
      </c>
      <c r="B6" s="32">
        <v>44988255390</v>
      </c>
      <c r="C6" s="32" t="s">
        <v>43</v>
      </c>
      <c r="D6" s="32">
        <v>4430265054</v>
      </c>
      <c r="E6" s="32">
        <v>714</v>
      </c>
      <c r="F6" s="32">
        <v>578</v>
      </c>
      <c r="G6" s="32" t="s">
        <v>38</v>
      </c>
      <c r="H6" s="32" t="s">
        <v>2723</v>
      </c>
      <c r="I6" s="32" t="s">
        <v>39</v>
      </c>
      <c r="J6" s="32" t="s">
        <v>40</v>
      </c>
      <c r="K6" s="32" t="s">
        <v>41</v>
      </c>
    </row>
    <row r="7" spans="1:12" hidden="1" x14ac:dyDescent="0.3">
      <c r="A7" s="39">
        <v>46171.70653935185</v>
      </c>
      <c r="B7" s="32">
        <v>4430315826</v>
      </c>
      <c r="C7" s="32">
        <v>4430265054</v>
      </c>
      <c r="D7" s="32">
        <v>4430265054</v>
      </c>
      <c r="E7" s="32">
        <v>45</v>
      </c>
      <c r="F7" s="32">
        <v>45</v>
      </c>
      <c r="G7" s="32" t="s">
        <v>52</v>
      </c>
      <c r="H7" s="32" t="s">
        <v>2724</v>
      </c>
      <c r="I7" s="32" t="s">
        <v>39</v>
      </c>
      <c r="J7" s="32" t="s">
        <v>53</v>
      </c>
      <c r="K7" s="32" t="s">
        <v>41</v>
      </c>
    </row>
    <row r="8" spans="1:12" hidden="1" x14ac:dyDescent="0.3">
      <c r="A8" s="39">
        <v>46171.700312499997</v>
      </c>
      <c r="B8" s="32">
        <v>44999647912</v>
      </c>
      <c r="C8" s="32" t="s">
        <v>37</v>
      </c>
      <c r="D8" s="32">
        <v>4430265054</v>
      </c>
      <c r="E8" s="32">
        <v>1213</v>
      </c>
      <c r="F8" s="32">
        <v>1190</v>
      </c>
      <c r="G8" s="32" t="s">
        <v>38</v>
      </c>
      <c r="H8" s="32" t="s">
        <v>2725</v>
      </c>
      <c r="I8" s="32" t="s">
        <v>39</v>
      </c>
      <c r="J8" s="32" t="s">
        <v>40</v>
      </c>
      <c r="K8" s="32" t="s">
        <v>41</v>
      </c>
    </row>
    <row r="9" spans="1:12" hidden="1" x14ac:dyDescent="0.3">
      <c r="A9" s="39">
        <v>46171.687523148146</v>
      </c>
      <c r="B9" s="32">
        <v>44999647912</v>
      </c>
      <c r="C9" s="32" t="s">
        <v>45</v>
      </c>
      <c r="D9" s="32">
        <v>4430265054</v>
      </c>
      <c r="E9" s="32">
        <v>295</v>
      </c>
      <c r="F9" s="32">
        <v>247</v>
      </c>
      <c r="G9" s="32" t="s">
        <v>38</v>
      </c>
      <c r="H9" s="32" t="s">
        <v>2726</v>
      </c>
      <c r="I9" s="32" t="s">
        <v>39</v>
      </c>
      <c r="J9" s="32" t="s">
        <v>40</v>
      </c>
      <c r="K9" s="32" t="s">
        <v>41</v>
      </c>
    </row>
    <row r="10" spans="1:12" hidden="1" x14ac:dyDescent="0.3">
      <c r="A10" s="39">
        <v>46171.686180555553</v>
      </c>
      <c r="B10" s="32">
        <v>4430317020</v>
      </c>
      <c r="C10" s="32">
        <v>4430265054</v>
      </c>
      <c r="D10" s="32">
        <v>4430265054</v>
      </c>
      <c r="E10" s="32">
        <v>84</v>
      </c>
      <c r="F10" s="32">
        <v>83</v>
      </c>
      <c r="G10" s="32" t="s">
        <v>52</v>
      </c>
      <c r="H10" s="32" t="s">
        <v>2727</v>
      </c>
      <c r="I10" s="32" t="s">
        <v>39</v>
      </c>
      <c r="J10" s="32" t="s">
        <v>53</v>
      </c>
      <c r="K10" s="32" t="s">
        <v>41</v>
      </c>
    </row>
    <row r="11" spans="1:12" hidden="1" x14ac:dyDescent="0.3">
      <c r="A11" s="39">
        <v>46171.680891203701</v>
      </c>
      <c r="B11" s="32">
        <v>1123291051</v>
      </c>
      <c r="C11" s="32" t="s">
        <v>44</v>
      </c>
      <c r="D11" s="32">
        <v>4430265054</v>
      </c>
      <c r="E11" s="32">
        <v>192</v>
      </c>
      <c r="F11" s="32">
        <v>155</v>
      </c>
      <c r="G11" s="32" t="s">
        <v>38</v>
      </c>
      <c r="H11" s="32" t="s">
        <v>2728</v>
      </c>
      <c r="I11" s="32" t="s">
        <v>39</v>
      </c>
      <c r="J11" s="32" t="s">
        <v>40</v>
      </c>
      <c r="K11" s="32" t="s">
        <v>41</v>
      </c>
    </row>
    <row r="12" spans="1:12" hidden="1" x14ac:dyDescent="0.3">
      <c r="A12" s="39">
        <v>46171.680555555555</v>
      </c>
      <c r="B12" s="32">
        <v>44937753453</v>
      </c>
      <c r="C12" s="32">
        <v>4430265054</v>
      </c>
      <c r="D12" s="32">
        <v>4430265054</v>
      </c>
      <c r="E12" s="32">
        <v>6</v>
      </c>
      <c r="F12" s="32">
        <v>5</v>
      </c>
      <c r="G12" s="32" t="s">
        <v>52</v>
      </c>
      <c r="H12" s="32" t="s">
        <v>2729</v>
      </c>
      <c r="I12" s="32" t="s">
        <v>39</v>
      </c>
      <c r="J12" s="32" t="s">
        <v>53</v>
      </c>
    </row>
    <row r="13" spans="1:12" hidden="1" x14ac:dyDescent="0.3">
      <c r="A13" s="39">
        <v>46171.676423611112</v>
      </c>
      <c r="B13" s="32">
        <v>1144273633</v>
      </c>
      <c r="C13" s="32">
        <v>4430265054</v>
      </c>
      <c r="D13" s="32">
        <v>4430265054</v>
      </c>
      <c r="E13" s="32">
        <v>10</v>
      </c>
      <c r="F13" s="32">
        <v>10</v>
      </c>
      <c r="G13" s="32" t="s">
        <v>52</v>
      </c>
      <c r="H13" s="32" t="s">
        <v>2730</v>
      </c>
      <c r="I13" s="32" t="s">
        <v>39</v>
      </c>
      <c r="J13" s="32" t="s">
        <v>53</v>
      </c>
    </row>
    <row r="14" spans="1:12" hidden="1" x14ac:dyDescent="0.3">
      <c r="A14" s="39">
        <v>46171.67564814815</v>
      </c>
      <c r="B14" s="32">
        <v>4430317020</v>
      </c>
      <c r="C14" s="32" t="s">
        <v>37</v>
      </c>
      <c r="D14" s="32">
        <v>4430265054</v>
      </c>
      <c r="E14" s="32">
        <v>649</v>
      </c>
      <c r="F14" s="32">
        <v>609</v>
      </c>
      <c r="G14" s="32" t="s">
        <v>38</v>
      </c>
      <c r="H14" s="32" t="s">
        <v>2731</v>
      </c>
      <c r="I14" s="32" t="s">
        <v>39</v>
      </c>
      <c r="J14" s="32" t="s">
        <v>40</v>
      </c>
      <c r="K14" s="32" t="s">
        <v>41</v>
      </c>
      <c r="L14" s="32">
        <v>5</v>
      </c>
    </row>
    <row r="15" spans="1:12" hidden="1" x14ac:dyDescent="0.3">
      <c r="A15" s="39">
        <v>46171.671759259261</v>
      </c>
      <c r="B15" s="32">
        <v>44999827582</v>
      </c>
      <c r="C15" s="32" t="s">
        <v>45</v>
      </c>
      <c r="D15" s="32">
        <v>4430265054</v>
      </c>
      <c r="E15" s="32">
        <v>815</v>
      </c>
      <c r="F15" s="32">
        <v>705</v>
      </c>
      <c r="G15" s="32" t="s">
        <v>38</v>
      </c>
      <c r="H15" s="32" t="s">
        <v>2732</v>
      </c>
      <c r="I15" s="32" t="s">
        <v>39</v>
      </c>
      <c r="J15" s="32" t="s">
        <v>40</v>
      </c>
      <c r="K15" s="32" t="s">
        <v>41</v>
      </c>
      <c r="L15" s="32">
        <v>5</v>
      </c>
    </row>
    <row r="16" spans="1:12" hidden="1" x14ac:dyDescent="0.3">
      <c r="A16" s="39">
        <v>46171.629953703705</v>
      </c>
      <c r="B16" s="32" t="s">
        <v>45</v>
      </c>
      <c r="C16" s="32">
        <v>44991395073</v>
      </c>
      <c r="E16" s="32">
        <v>850</v>
      </c>
      <c r="F16" s="32">
        <v>839</v>
      </c>
      <c r="G16" s="32" t="s">
        <v>38</v>
      </c>
      <c r="H16" s="32" t="s">
        <v>2733</v>
      </c>
      <c r="I16" s="32" t="s">
        <v>46</v>
      </c>
      <c r="J16" s="32" t="s">
        <v>40</v>
      </c>
      <c r="L16" s="32">
        <v>5</v>
      </c>
    </row>
    <row r="17" spans="1:12" hidden="1" x14ac:dyDescent="0.3">
      <c r="A17" s="39">
        <v>46171.62976851852</v>
      </c>
      <c r="B17" s="32" t="s">
        <v>45</v>
      </c>
      <c r="C17" s="32">
        <v>44991395073</v>
      </c>
      <c r="E17" s="32">
        <v>5</v>
      </c>
      <c r="F17" s="32">
        <v>0</v>
      </c>
      <c r="G17" s="32" t="s">
        <v>47</v>
      </c>
      <c r="H17" s="32" t="s">
        <v>2734</v>
      </c>
      <c r="I17" s="32" t="s">
        <v>46</v>
      </c>
      <c r="J17" s="32" t="s">
        <v>40</v>
      </c>
    </row>
    <row r="18" spans="1:12" hidden="1" x14ac:dyDescent="0.3">
      <c r="A18" s="39">
        <v>46171.624444444446</v>
      </c>
      <c r="B18" s="32">
        <v>6234347959</v>
      </c>
      <c r="C18" s="32" t="s">
        <v>43</v>
      </c>
      <c r="D18" s="32">
        <v>4430265054</v>
      </c>
      <c r="E18" s="32">
        <v>1259</v>
      </c>
      <c r="F18" s="32">
        <v>1232</v>
      </c>
      <c r="G18" s="32" t="s">
        <v>38</v>
      </c>
      <c r="H18" s="32" t="s">
        <v>2735</v>
      </c>
      <c r="I18" s="32" t="s">
        <v>39</v>
      </c>
      <c r="J18" s="32" t="s">
        <v>40</v>
      </c>
      <c r="K18" s="32" t="s">
        <v>41</v>
      </c>
      <c r="L18" s="32">
        <v>5</v>
      </c>
    </row>
    <row r="19" spans="1:12" hidden="1" x14ac:dyDescent="0.3">
      <c r="A19" s="39">
        <v>46171.598773148151</v>
      </c>
      <c r="B19" s="32" t="s">
        <v>37</v>
      </c>
      <c r="C19" s="32">
        <v>44991354005</v>
      </c>
      <c r="E19" s="32">
        <v>123</v>
      </c>
      <c r="F19" s="32">
        <v>116</v>
      </c>
      <c r="G19" s="32" t="s">
        <v>38</v>
      </c>
      <c r="H19" s="32" t="s">
        <v>2736</v>
      </c>
      <c r="I19" s="32" t="s">
        <v>46</v>
      </c>
      <c r="J19" s="32" t="s">
        <v>40</v>
      </c>
    </row>
    <row r="20" spans="1:12" hidden="1" x14ac:dyDescent="0.3">
      <c r="A20" s="39">
        <v>46171.597592592596</v>
      </c>
      <c r="B20" s="32" t="s">
        <v>37</v>
      </c>
      <c r="C20" s="32">
        <v>4433321380</v>
      </c>
      <c r="E20" s="32">
        <v>5</v>
      </c>
      <c r="F20" s="32">
        <v>0</v>
      </c>
      <c r="G20" s="32" t="s">
        <v>47</v>
      </c>
      <c r="H20" s="32" t="s">
        <v>2737</v>
      </c>
      <c r="I20" s="32" t="s">
        <v>46</v>
      </c>
      <c r="J20" s="32" t="s">
        <v>40</v>
      </c>
    </row>
    <row r="21" spans="1:12" hidden="1" x14ac:dyDescent="0.3">
      <c r="A21" s="39">
        <v>46171.592743055553</v>
      </c>
      <c r="B21" s="32">
        <v>44991395073</v>
      </c>
      <c r="C21" s="32" t="s">
        <v>45</v>
      </c>
      <c r="D21" s="32">
        <v>4430265054</v>
      </c>
      <c r="E21" s="32">
        <v>2805</v>
      </c>
      <c r="F21" s="32">
        <v>2786</v>
      </c>
      <c r="G21" s="32" t="s">
        <v>38</v>
      </c>
      <c r="H21" s="32" t="s">
        <v>2738</v>
      </c>
      <c r="I21" s="32" t="s">
        <v>39</v>
      </c>
      <c r="J21" s="32" t="s">
        <v>40</v>
      </c>
      <c r="K21" s="32" t="s">
        <v>41</v>
      </c>
      <c r="L21" s="32">
        <v>5</v>
      </c>
    </row>
    <row r="22" spans="1:12" hidden="1" x14ac:dyDescent="0.3">
      <c r="A22" s="39">
        <v>46171.587453703702</v>
      </c>
      <c r="B22" s="32" t="s">
        <v>45</v>
      </c>
      <c r="C22" s="32">
        <v>6436221416</v>
      </c>
      <c r="E22" s="32">
        <v>51</v>
      </c>
      <c r="F22" s="32">
        <v>19</v>
      </c>
      <c r="G22" s="32" t="s">
        <v>38</v>
      </c>
      <c r="H22" s="32" t="s">
        <v>2739</v>
      </c>
      <c r="I22" s="32" t="s">
        <v>46</v>
      </c>
      <c r="J22" s="32" t="s">
        <v>40</v>
      </c>
    </row>
    <row r="23" spans="1:12" hidden="1" x14ac:dyDescent="0.3">
      <c r="A23" s="39">
        <v>46171.582037037035</v>
      </c>
      <c r="B23" s="32" t="s">
        <v>37</v>
      </c>
      <c r="C23" s="32">
        <v>44999657967</v>
      </c>
      <c r="E23" s="32">
        <v>314</v>
      </c>
      <c r="F23" s="32">
        <v>294</v>
      </c>
      <c r="G23" s="32" t="s">
        <v>38</v>
      </c>
      <c r="H23" s="32" t="s">
        <v>2740</v>
      </c>
      <c r="I23" s="32" t="s">
        <v>46</v>
      </c>
      <c r="J23" s="32" t="s">
        <v>40</v>
      </c>
    </row>
    <row r="24" spans="1:12" hidden="1" x14ac:dyDescent="0.3">
      <c r="A24" s="39">
        <v>46171.577372685184</v>
      </c>
      <c r="B24" s="32">
        <v>43998036566</v>
      </c>
      <c r="C24" s="32" t="s">
        <v>43</v>
      </c>
      <c r="D24" s="32">
        <v>4430265054</v>
      </c>
      <c r="E24" s="32">
        <v>635</v>
      </c>
      <c r="F24" s="32">
        <v>583</v>
      </c>
      <c r="G24" s="32" t="s">
        <v>38</v>
      </c>
      <c r="H24" s="32" t="s">
        <v>2741</v>
      </c>
      <c r="I24" s="32" t="s">
        <v>39</v>
      </c>
      <c r="J24" s="32" t="s">
        <v>40</v>
      </c>
      <c r="K24" s="32" t="s">
        <v>41</v>
      </c>
      <c r="L24" s="32">
        <v>5</v>
      </c>
    </row>
    <row r="25" spans="1:12" hidden="1" x14ac:dyDescent="0.3">
      <c r="A25" s="39">
        <v>46171.575729166667</v>
      </c>
      <c r="B25" s="32" t="s">
        <v>45</v>
      </c>
      <c r="C25" s="32">
        <v>6436221416</v>
      </c>
      <c r="E25" s="32">
        <v>59</v>
      </c>
      <c r="F25" s="32">
        <v>42</v>
      </c>
      <c r="G25" s="32" t="s">
        <v>38</v>
      </c>
      <c r="H25" s="32" t="s">
        <v>2742</v>
      </c>
      <c r="I25" s="32" t="s">
        <v>46</v>
      </c>
      <c r="J25" s="32" t="s">
        <v>40</v>
      </c>
    </row>
    <row r="26" spans="1:12" hidden="1" x14ac:dyDescent="0.3">
      <c r="A26" s="39">
        <v>46171.571006944447</v>
      </c>
      <c r="B26" s="32">
        <v>44988067937</v>
      </c>
      <c r="C26" s="32" t="s">
        <v>44</v>
      </c>
      <c r="D26" s="32">
        <v>4430265054</v>
      </c>
      <c r="E26" s="32">
        <v>539</v>
      </c>
      <c r="F26" s="32">
        <v>424</v>
      </c>
      <c r="G26" s="32" t="s">
        <v>38</v>
      </c>
      <c r="H26" s="32" t="s">
        <v>2743</v>
      </c>
      <c r="I26" s="32" t="s">
        <v>39</v>
      </c>
      <c r="J26" s="32" t="s">
        <v>40</v>
      </c>
      <c r="K26" s="32" t="s">
        <v>41</v>
      </c>
    </row>
    <row r="27" spans="1:12" hidden="1" x14ac:dyDescent="0.3">
      <c r="A27" s="39">
        <v>46171.564641203702</v>
      </c>
      <c r="B27" s="32">
        <v>93991495484</v>
      </c>
      <c r="C27" s="32" t="s">
        <v>37</v>
      </c>
      <c r="D27" s="32">
        <v>4430265054</v>
      </c>
      <c r="E27" s="32">
        <v>638</v>
      </c>
      <c r="F27" s="32">
        <v>599</v>
      </c>
      <c r="G27" s="32" t="s">
        <v>38</v>
      </c>
      <c r="H27" s="32" t="s">
        <v>2744</v>
      </c>
      <c r="I27" s="32" t="s">
        <v>39</v>
      </c>
      <c r="J27" s="32" t="s">
        <v>40</v>
      </c>
      <c r="K27" s="32" t="s">
        <v>41</v>
      </c>
      <c r="L27" s="32">
        <v>5</v>
      </c>
    </row>
    <row r="28" spans="1:12" hidden="1" x14ac:dyDescent="0.3">
      <c r="A28" s="39">
        <v>46171.498541666668</v>
      </c>
      <c r="B28" s="32">
        <v>1438780460</v>
      </c>
      <c r="C28" s="32">
        <v>4430265054</v>
      </c>
      <c r="D28" s="32">
        <v>4430265054</v>
      </c>
      <c r="E28" s="32">
        <v>47</v>
      </c>
      <c r="F28" s="32">
        <v>46</v>
      </c>
      <c r="G28" s="32" t="s">
        <v>52</v>
      </c>
      <c r="H28" s="32" t="s">
        <v>2745</v>
      </c>
      <c r="I28" s="32" t="s">
        <v>39</v>
      </c>
      <c r="J28" s="32" t="s">
        <v>53</v>
      </c>
      <c r="K28" s="32" t="s">
        <v>41</v>
      </c>
    </row>
    <row r="29" spans="1:12" hidden="1" x14ac:dyDescent="0.3">
      <c r="A29" s="39">
        <v>46171.494826388887</v>
      </c>
      <c r="B29" s="32">
        <v>44999240941</v>
      </c>
      <c r="C29" s="32">
        <v>4430265054</v>
      </c>
      <c r="D29" s="32">
        <v>4430265054</v>
      </c>
      <c r="E29" s="32">
        <v>5</v>
      </c>
      <c r="F29" s="32">
        <v>5</v>
      </c>
      <c r="G29" s="32" t="s">
        <v>52</v>
      </c>
      <c r="H29" s="32" t="s">
        <v>2746</v>
      </c>
      <c r="I29" s="32" t="s">
        <v>39</v>
      </c>
      <c r="J29" s="32" t="s">
        <v>53</v>
      </c>
    </row>
    <row r="30" spans="1:12" hidden="1" x14ac:dyDescent="0.3">
      <c r="A30" s="39">
        <v>46171.492534722223</v>
      </c>
      <c r="B30" s="32">
        <v>93991495484</v>
      </c>
      <c r="C30" s="32">
        <v>4430265054</v>
      </c>
      <c r="D30" s="32">
        <v>4430265054</v>
      </c>
      <c r="E30" s="32">
        <v>48</v>
      </c>
      <c r="F30" s="32">
        <v>48</v>
      </c>
      <c r="G30" s="32" t="s">
        <v>52</v>
      </c>
      <c r="H30" s="32" t="s">
        <v>2747</v>
      </c>
      <c r="I30" s="32" t="s">
        <v>39</v>
      </c>
      <c r="J30" s="32" t="s">
        <v>53</v>
      </c>
      <c r="K30" s="32" t="s">
        <v>41</v>
      </c>
    </row>
    <row r="31" spans="1:12" hidden="1" x14ac:dyDescent="0.3">
      <c r="A31" s="39">
        <v>46171.49019675926</v>
      </c>
      <c r="B31" s="32">
        <v>93991495484</v>
      </c>
      <c r="C31" s="32">
        <v>4430265054</v>
      </c>
      <c r="D31" s="32">
        <v>4430265054</v>
      </c>
      <c r="E31" s="32">
        <v>85</v>
      </c>
      <c r="F31" s="32">
        <v>84</v>
      </c>
      <c r="G31" s="32" t="s">
        <v>52</v>
      </c>
      <c r="H31" s="32" t="s">
        <v>2748</v>
      </c>
      <c r="I31" s="32" t="s">
        <v>39</v>
      </c>
      <c r="J31" s="32" t="s">
        <v>53</v>
      </c>
      <c r="K31" s="32" t="s">
        <v>41</v>
      </c>
    </row>
    <row r="32" spans="1:12" hidden="1" x14ac:dyDescent="0.3">
      <c r="A32" s="39">
        <v>46171.483831018515</v>
      </c>
      <c r="B32" s="32" t="s">
        <v>37</v>
      </c>
      <c r="C32" s="32">
        <v>44999657967</v>
      </c>
      <c r="E32" s="32">
        <v>34</v>
      </c>
      <c r="F32" s="32">
        <v>28</v>
      </c>
      <c r="G32" s="32" t="s">
        <v>38</v>
      </c>
      <c r="H32" s="32" t="s">
        <v>2749</v>
      </c>
      <c r="I32" s="32" t="s">
        <v>46</v>
      </c>
      <c r="J32" s="32" t="s">
        <v>40</v>
      </c>
    </row>
    <row r="33" spans="1:12" hidden="1" x14ac:dyDescent="0.3">
      <c r="A33" s="39">
        <v>46171.482951388891</v>
      </c>
      <c r="B33" s="32" t="s">
        <v>57</v>
      </c>
      <c r="C33" s="32" t="s">
        <v>50</v>
      </c>
      <c r="E33" s="32">
        <v>90</v>
      </c>
      <c r="F33" s="32">
        <v>81</v>
      </c>
      <c r="G33" s="32" t="s">
        <v>38</v>
      </c>
      <c r="H33" s="32" t="s">
        <v>2750</v>
      </c>
      <c r="I33" s="32" t="s">
        <v>51</v>
      </c>
      <c r="J33" s="32" t="s">
        <v>55</v>
      </c>
    </row>
    <row r="34" spans="1:12" hidden="1" x14ac:dyDescent="0.3">
      <c r="A34" s="39">
        <v>46171.470752314817</v>
      </c>
      <c r="B34" s="32" t="s">
        <v>45</v>
      </c>
      <c r="C34" s="32">
        <v>4330333542</v>
      </c>
      <c r="E34" s="32">
        <v>112</v>
      </c>
      <c r="F34" s="32">
        <v>99</v>
      </c>
      <c r="G34" s="32" t="s">
        <v>38</v>
      </c>
      <c r="H34" s="32" t="s">
        <v>2751</v>
      </c>
      <c r="I34" s="32" t="s">
        <v>46</v>
      </c>
      <c r="J34" s="32" t="s">
        <v>40</v>
      </c>
    </row>
    <row r="35" spans="1:12" hidden="1" x14ac:dyDescent="0.3">
      <c r="A35" s="39">
        <v>46171.470266203702</v>
      </c>
      <c r="B35" s="32" t="s">
        <v>50</v>
      </c>
      <c r="C35" s="32" t="s">
        <v>57</v>
      </c>
      <c r="E35" s="32">
        <v>331</v>
      </c>
      <c r="F35" s="32">
        <v>330</v>
      </c>
      <c r="G35" s="32" t="s">
        <v>38</v>
      </c>
      <c r="H35" s="32" t="s">
        <v>2752</v>
      </c>
      <c r="I35" s="32" t="s">
        <v>51</v>
      </c>
      <c r="J35" s="32" t="s">
        <v>55</v>
      </c>
    </row>
    <row r="36" spans="1:12" hidden="1" x14ac:dyDescent="0.3">
      <c r="A36" s="39">
        <v>46171.469988425924</v>
      </c>
      <c r="B36" s="32" t="s">
        <v>50</v>
      </c>
      <c r="C36" s="32" t="s">
        <v>57</v>
      </c>
      <c r="E36" s="32">
        <v>9</v>
      </c>
      <c r="F36" s="32">
        <v>7</v>
      </c>
      <c r="G36" s="32" t="s">
        <v>38</v>
      </c>
      <c r="H36" s="32" t="s">
        <v>2753</v>
      </c>
      <c r="I36" s="32" t="s">
        <v>51</v>
      </c>
      <c r="J36" s="32" t="s">
        <v>55</v>
      </c>
    </row>
    <row r="37" spans="1:12" hidden="1" x14ac:dyDescent="0.3">
      <c r="A37" s="39">
        <v>46171.469340277778</v>
      </c>
      <c r="B37" s="32" t="s">
        <v>57</v>
      </c>
      <c r="C37" s="32" t="s">
        <v>50</v>
      </c>
      <c r="E37" s="32">
        <v>51</v>
      </c>
      <c r="F37" s="32">
        <v>43</v>
      </c>
      <c r="G37" s="32" t="s">
        <v>38</v>
      </c>
      <c r="H37" s="32" t="s">
        <v>2754</v>
      </c>
      <c r="I37" s="32" t="s">
        <v>51</v>
      </c>
      <c r="J37" s="32" t="s">
        <v>55</v>
      </c>
    </row>
    <row r="38" spans="1:12" hidden="1" x14ac:dyDescent="0.3">
      <c r="A38" s="39">
        <v>46171.468900462962</v>
      </c>
      <c r="B38" s="32" t="s">
        <v>50</v>
      </c>
      <c r="C38" s="32" t="s">
        <v>57</v>
      </c>
      <c r="E38" s="32">
        <v>30</v>
      </c>
      <c r="F38" s="32">
        <v>24</v>
      </c>
      <c r="G38" s="32" t="s">
        <v>38</v>
      </c>
      <c r="H38" s="32" t="s">
        <v>2755</v>
      </c>
      <c r="I38" s="32" t="s">
        <v>51</v>
      </c>
      <c r="J38" s="32" t="s">
        <v>55</v>
      </c>
    </row>
    <row r="39" spans="1:12" hidden="1" x14ac:dyDescent="0.3">
      <c r="A39" s="39">
        <v>46171.46570601852</v>
      </c>
      <c r="B39" s="32">
        <v>44999670264</v>
      </c>
      <c r="C39" s="32" t="s">
        <v>45</v>
      </c>
      <c r="D39" s="32">
        <v>4430265054</v>
      </c>
      <c r="E39" s="32">
        <v>307</v>
      </c>
      <c r="F39" s="32">
        <v>235</v>
      </c>
      <c r="G39" s="32" t="s">
        <v>38</v>
      </c>
      <c r="H39" s="32" t="s">
        <v>2756</v>
      </c>
      <c r="I39" s="32" t="s">
        <v>39</v>
      </c>
      <c r="J39" s="32" t="s">
        <v>40</v>
      </c>
      <c r="K39" s="32" t="s">
        <v>41</v>
      </c>
      <c r="L39" s="32">
        <v>5</v>
      </c>
    </row>
    <row r="40" spans="1:12" hidden="1" x14ac:dyDescent="0.3">
      <c r="A40" s="39">
        <v>46171.465636574074</v>
      </c>
      <c r="B40" s="32">
        <v>44997687156</v>
      </c>
      <c r="C40" s="32" t="s">
        <v>43</v>
      </c>
      <c r="D40" s="32">
        <v>4430265054</v>
      </c>
      <c r="E40" s="32">
        <v>569</v>
      </c>
      <c r="F40" s="32">
        <v>452</v>
      </c>
      <c r="G40" s="32" t="s">
        <v>38</v>
      </c>
      <c r="H40" s="32" t="s">
        <v>2757</v>
      </c>
      <c r="I40" s="32" t="s">
        <v>39</v>
      </c>
      <c r="J40" s="32" t="s">
        <v>40</v>
      </c>
      <c r="K40" s="32" t="s">
        <v>41</v>
      </c>
    </row>
    <row r="41" spans="1:12" hidden="1" x14ac:dyDescent="0.3">
      <c r="A41" s="39">
        <v>46171.461504629631</v>
      </c>
      <c r="B41" s="32">
        <v>83988398480</v>
      </c>
      <c r="C41" s="32" t="s">
        <v>43</v>
      </c>
      <c r="D41" s="32">
        <v>4430265054</v>
      </c>
      <c r="E41" s="32">
        <v>114</v>
      </c>
      <c r="F41" s="32">
        <v>65</v>
      </c>
      <c r="G41" s="32" t="s">
        <v>38</v>
      </c>
      <c r="H41" s="32" t="s">
        <v>2758</v>
      </c>
      <c r="I41" s="32" t="s">
        <v>39</v>
      </c>
      <c r="J41" s="32" t="s">
        <v>40</v>
      </c>
      <c r="K41" s="32" t="s">
        <v>41</v>
      </c>
    </row>
    <row r="42" spans="1:12" hidden="1" x14ac:dyDescent="0.3">
      <c r="A42" s="39">
        <v>46171.457407407404</v>
      </c>
      <c r="B42" s="32" t="s">
        <v>37</v>
      </c>
      <c r="C42" s="32">
        <v>44991349500</v>
      </c>
      <c r="E42" s="32">
        <v>437</v>
      </c>
      <c r="F42" s="32">
        <v>425</v>
      </c>
      <c r="G42" s="32" t="s">
        <v>38</v>
      </c>
      <c r="H42" s="32" t="s">
        <v>2759</v>
      </c>
      <c r="I42" s="32" t="s">
        <v>46</v>
      </c>
      <c r="J42" s="32" t="s">
        <v>40</v>
      </c>
    </row>
    <row r="43" spans="1:12" hidden="1" x14ac:dyDescent="0.3">
      <c r="A43" s="39">
        <v>46171.445104166669</v>
      </c>
      <c r="B43" s="32" t="s">
        <v>45</v>
      </c>
      <c r="C43" s="32">
        <v>1131043888</v>
      </c>
      <c r="E43" s="32">
        <v>718</v>
      </c>
      <c r="F43" s="32">
        <v>716</v>
      </c>
      <c r="G43" s="32" t="s">
        <v>38</v>
      </c>
      <c r="H43" s="32" t="s">
        <v>2760</v>
      </c>
      <c r="I43" s="32" t="s">
        <v>46</v>
      </c>
      <c r="J43" s="32" t="s">
        <v>40</v>
      </c>
    </row>
    <row r="44" spans="1:12" hidden="1" x14ac:dyDescent="0.3">
      <c r="A44" s="39">
        <v>46171.44027777778</v>
      </c>
      <c r="B44" s="32">
        <v>4433543396</v>
      </c>
      <c r="C44" s="32" t="s">
        <v>44</v>
      </c>
      <c r="D44" s="32">
        <v>4430265054</v>
      </c>
      <c r="E44" s="32">
        <v>386</v>
      </c>
      <c r="F44" s="32">
        <v>328</v>
      </c>
      <c r="G44" s="32" t="s">
        <v>38</v>
      </c>
      <c r="H44" s="32" t="s">
        <v>2761</v>
      </c>
      <c r="I44" s="32" t="s">
        <v>39</v>
      </c>
      <c r="J44" s="32" t="s">
        <v>40</v>
      </c>
      <c r="K44" s="32" t="s">
        <v>41</v>
      </c>
    </row>
    <row r="45" spans="1:12" hidden="1" x14ac:dyDescent="0.3">
      <c r="A45" s="39">
        <v>46171.435173611113</v>
      </c>
      <c r="B45" s="32">
        <v>44988572570</v>
      </c>
      <c r="C45" s="32" t="s">
        <v>37</v>
      </c>
      <c r="D45" s="32">
        <v>4430265054</v>
      </c>
      <c r="E45" s="32">
        <v>886</v>
      </c>
      <c r="F45" s="32">
        <v>784</v>
      </c>
      <c r="G45" s="32" t="s">
        <v>38</v>
      </c>
      <c r="H45" s="32" t="s">
        <v>2762</v>
      </c>
      <c r="I45" s="32" t="s">
        <v>39</v>
      </c>
      <c r="J45" s="32" t="s">
        <v>40</v>
      </c>
      <c r="K45" s="32" t="s">
        <v>41</v>
      </c>
    </row>
    <row r="46" spans="1:12" hidden="1" x14ac:dyDescent="0.3">
      <c r="A46" s="39">
        <v>46171.428715277776</v>
      </c>
      <c r="B46" s="32">
        <v>4533011420</v>
      </c>
      <c r="C46" s="32">
        <v>4531273163</v>
      </c>
      <c r="D46" s="32">
        <v>4531273163</v>
      </c>
      <c r="E46" s="32">
        <v>47</v>
      </c>
      <c r="F46" s="32">
        <v>46</v>
      </c>
      <c r="G46" s="32" t="s">
        <v>52</v>
      </c>
      <c r="H46" s="32" t="s">
        <v>2763</v>
      </c>
      <c r="I46" s="32" t="s">
        <v>39</v>
      </c>
      <c r="J46" s="32" t="s">
        <v>53</v>
      </c>
      <c r="K46" s="32" t="s">
        <v>41</v>
      </c>
    </row>
    <row r="47" spans="1:12" hidden="1" x14ac:dyDescent="0.3">
      <c r="A47" s="39">
        <v>46171.41951388889</v>
      </c>
      <c r="B47" s="32">
        <v>83988398480</v>
      </c>
      <c r="C47" s="32" t="s">
        <v>37</v>
      </c>
      <c r="D47" s="32">
        <v>4430265054</v>
      </c>
      <c r="E47" s="32">
        <v>1096</v>
      </c>
      <c r="F47" s="32">
        <v>1082</v>
      </c>
      <c r="G47" s="32" t="s">
        <v>38</v>
      </c>
      <c r="H47" s="32" t="s">
        <v>2764</v>
      </c>
      <c r="I47" s="32" t="s">
        <v>39</v>
      </c>
      <c r="J47" s="32" t="s">
        <v>40</v>
      </c>
      <c r="K47" s="32" t="s">
        <v>41</v>
      </c>
    </row>
    <row r="48" spans="1:12" hidden="1" x14ac:dyDescent="0.3">
      <c r="A48" s="39">
        <v>46171.405138888891</v>
      </c>
      <c r="B48" s="32">
        <v>43998036566</v>
      </c>
      <c r="C48" s="32" t="s">
        <v>44</v>
      </c>
      <c r="D48" s="32">
        <v>4430265054</v>
      </c>
      <c r="E48" s="32">
        <v>105</v>
      </c>
      <c r="F48" s="32">
        <v>61</v>
      </c>
      <c r="G48" s="32" t="s">
        <v>38</v>
      </c>
      <c r="H48" s="32" t="s">
        <v>2765</v>
      </c>
      <c r="I48" s="32" t="s">
        <v>39</v>
      </c>
      <c r="J48" s="32" t="s">
        <v>40</v>
      </c>
      <c r="K48" s="32" t="s">
        <v>41</v>
      </c>
    </row>
    <row r="49" spans="1:12" hidden="1" x14ac:dyDescent="0.3">
      <c r="A49" s="39">
        <v>46171.400416666664</v>
      </c>
      <c r="B49" s="32">
        <v>44999009971</v>
      </c>
      <c r="C49" s="32" t="s">
        <v>45</v>
      </c>
      <c r="D49" s="32">
        <v>4430265054</v>
      </c>
      <c r="E49" s="32">
        <v>582</v>
      </c>
      <c r="F49" s="32">
        <v>539</v>
      </c>
      <c r="G49" s="32" t="s">
        <v>38</v>
      </c>
      <c r="H49" s="32" t="s">
        <v>2766</v>
      </c>
      <c r="I49" s="32" t="s">
        <v>39</v>
      </c>
      <c r="J49" s="32" t="s">
        <v>40</v>
      </c>
      <c r="K49" s="32" t="s">
        <v>41</v>
      </c>
      <c r="L49" s="32">
        <v>5</v>
      </c>
    </row>
    <row r="50" spans="1:12" hidden="1" x14ac:dyDescent="0.3">
      <c r="A50" s="39">
        <v>46171.396284722221</v>
      </c>
      <c r="B50" s="32">
        <v>4430284942</v>
      </c>
      <c r="C50" s="32" t="s">
        <v>43</v>
      </c>
      <c r="D50" s="32">
        <v>4430265054</v>
      </c>
      <c r="E50" s="32">
        <v>197</v>
      </c>
      <c r="F50" s="32">
        <v>161</v>
      </c>
      <c r="G50" s="32" t="s">
        <v>38</v>
      </c>
      <c r="H50" s="32" t="s">
        <v>2767</v>
      </c>
      <c r="I50" s="32" t="s">
        <v>39</v>
      </c>
      <c r="J50" s="32" t="s">
        <v>40</v>
      </c>
      <c r="K50" s="32" t="s">
        <v>41</v>
      </c>
    </row>
    <row r="51" spans="1:12" hidden="1" x14ac:dyDescent="0.3">
      <c r="A51" s="39">
        <v>46171.384108796294</v>
      </c>
      <c r="B51" s="32">
        <v>44999657967</v>
      </c>
      <c r="C51" s="32" t="s">
        <v>37</v>
      </c>
      <c r="D51" s="32">
        <v>4430265054</v>
      </c>
      <c r="E51" s="32">
        <v>1708</v>
      </c>
      <c r="F51" s="32">
        <v>1677</v>
      </c>
      <c r="G51" s="32" t="s">
        <v>38</v>
      </c>
      <c r="H51" s="32" t="s">
        <v>2768</v>
      </c>
      <c r="I51" s="32" t="s">
        <v>39</v>
      </c>
      <c r="J51" s="32" t="s">
        <v>40</v>
      </c>
      <c r="K51" s="32" t="s">
        <v>41</v>
      </c>
    </row>
    <row r="52" spans="1:12" hidden="1" x14ac:dyDescent="0.3">
      <c r="A52" s="39">
        <v>46171.377812500003</v>
      </c>
      <c r="B52" s="32">
        <v>4433016100</v>
      </c>
      <c r="C52" s="32" t="s">
        <v>45</v>
      </c>
      <c r="D52" s="32">
        <v>4430265054</v>
      </c>
      <c r="E52" s="32">
        <v>252</v>
      </c>
      <c r="F52" s="32">
        <v>210</v>
      </c>
      <c r="G52" s="32" t="s">
        <v>38</v>
      </c>
      <c r="H52" s="32" t="s">
        <v>2769</v>
      </c>
      <c r="I52" s="32" t="s">
        <v>39</v>
      </c>
      <c r="J52" s="32" t="s">
        <v>40</v>
      </c>
      <c r="K52" s="32" t="s">
        <v>41</v>
      </c>
      <c r="L52" s="32">
        <v>5</v>
      </c>
    </row>
    <row r="53" spans="1:12" hidden="1" x14ac:dyDescent="0.3">
      <c r="A53" s="39">
        <v>46171.369687500002</v>
      </c>
      <c r="B53" s="32">
        <v>44997650834</v>
      </c>
      <c r="C53" s="32" t="s">
        <v>45</v>
      </c>
      <c r="D53" s="32">
        <v>4430265054</v>
      </c>
      <c r="E53" s="32">
        <v>328</v>
      </c>
      <c r="F53" s="32">
        <v>263</v>
      </c>
      <c r="G53" s="32" t="s">
        <v>38</v>
      </c>
      <c r="H53" s="32" t="s">
        <v>2770</v>
      </c>
      <c r="I53" s="32" t="s">
        <v>39</v>
      </c>
      <c r="J53" s="32" t="s">
        <v>40</v>
      </c>
      <c r="K53" s="32" t="s">
        <v>41</v>
      </c>
      <c r="L53" s="32">
        <v>5</v>
      </c>
    </row>
    <row r="54" spans="1:12" hidden="1" x14ac:dyDescent="0.3">
      <c r="A54" s="39">
        <v>46170.83184027778</v>
      </c>
      <c r="B54" s="32">
        <v>44991814587</v>
      </c>
      <c r="C54" s="32">
        <v>4430265054</v>
      </c>
      <c r="D54" s="32">
        <v>4430265054</v>
      </c>
      <c r="E54" s="32">
        <v>3</v>
      </c>
      <c r="F54" s="32">
        <v>3</v>
      </c>
      <c r="G54" s="32" t="s">
        <v>52</v>
      </c>
      <c r="H54" s="32" t="s">
        <v>2771</v>
      </c>
      <c r="I54" s="32" t="s">
        <v>39</v>
      </c>
      <c r="J54" s="32" t="s">
        <v>53</v>
      </c>
    </row>
    <row r="55" spans="1:12" hidden="1" x14ac:dyDescent="0.3">
      <c r="A55" s="39">
        <v>46170.725914351853</v>
      </c>
      <c r="B55" s="32" t="s">
        <v>37</v>
      </c>
      <c r="C55" s="32">
        <v>47991636470</v>
      </c>
      <c r="E55" s="32">
        <v>329</v>
      </c>
      <c r="F55" s="32">
        <v>320</v>
      </c>
      <c r="G55" s="32" t="s">
        <v>38</v>
      </c>
      <c r="H55" s="32" t="s">
        <v>2772</v>
      </c>
      <c r="I55" s="32" t="s">
        <v>46</v>
      </c>
      <c r="J55" s="32" t="s">
        <v>40</v>
      </c>
      <c r="L55" s="32">
        <v>5</v>
      </c>
    </row>
    <row r="56" spans="1:12" hidden="1" x14ac:dyDescent="0.3">
      <c r="A56" s="39">
        <v>46170.713518518518</v>
      </c>
      <c r="B56" s="32" t="s">
        <v>50</v>
      </c>
      <c r="C56" s="32" t="s">
        <v>57</v>
      </c>
      <c r="E56" s="32">
        <v>215</v>
      </c>
      <c r="F56" s="32">
        <v>210</v>
      </c>
      <c r="G56" s="32" t="s">
        <v>38</v>
      </c>
      <c r="H56" s="32" t="s">
        <v>2773</v>
      </c>
      <c r="I56" s="32" t="s">
        <v>51</v>
      </c>
      <c r="J56" s="32" t="s">
        <v>55</v>
      </c>
    </row>
    <row r="57" spans="1:12" hidden="1" x14ac:dyDescent="0.3">
      <c r="A57" s="39">
        <v>46170.707511574074</v>
      </c>
      <c r="B57" s="32">
        <v>44997650834</v>
      </c>
      <c r="C57" s="32" t="s">
        <v>45</v>
      </c>
      <c r="D57" s="32">
        <v>4430265054</v>
      </c>
      <c r="E57" s="32">
        <v>77</v>
      </c>
      <c r="F57" s="32">
        <v>12</v>
      </c>
      <c r="G57" s="32" t="s">
        <v>38</v>
      </c>
      <c r="H57" s="32" t="s">
        <v>2774</v>
      </c>
      <c r="I57" s="32" t="s">
        <v>39</v>
      </c>
      <c r="J57" s="32" t="s">
        <v>40</v>
      </c>
      <c r="K57" s="32" t="s">
        <v>41</v>
      </c>
    </row>
    <row r="58" spans="1:12" hidden="1" x14ac:dyDescent="0.3">
      <c r="A58" s="39">
        <v>46170.702719907407</v>
      </c>
      <c r="B58" s="32">
        <v>1128897100</v>
      </c>
      <c r="C58" s="32">
        <v>4430265054</v>
      </c>
      <c r="D58" s="32">
        <v>4430265054</v>
      </c>
      <c r="E58" s="32">
        <v>8</v>
      </c>
      <c r="F58" s="32">
        <v>7</v>
      </c>
      <c r="G58" s="32" t="s">
        <v>52</v>
      </c>
      <c r="H58" s="32" t="s">
        <v>2775</v>
      </c>
      <c r="I58" s="32" t="s">
        <v>39</v>
      </c>
      <c r="J58" s="32" t="s">
        <v>53</v>
      </c>
    </row>
    <row r="59" spans="1:12" hidden="1" x14ac:dyDescent="0.3">
      <c r="A59" s="39">
        <v>46170.694699074076</v>
      </c>
      <c r="B59" s="32">
        <v>11964449514</v>
      </c>
      <c r="C59" s="32" t="s">
        <v>48</v>
      </c>
      <c r="D59" s="32">
        <v>4431268225</v>
      </c>
      <c r="E59" s="32">
        <v>174</v>
      </c>
      <c r="F59" s="32">
        <v>174</v>
      </c>
      <c r="G59" s="32" t="s">
        <v>38</v>
      </c>
      <c r="H59" s="32" t="s">
        <v>2776</v>
      </c>
      <c r="I59" s="32" t="s">
        <v>39</v>
      </c>
      <c r="J59" s="32" t="s">
        <v>40</v>
      </c>
      <c r="K59" s="32" t="s">
        <v>41</v>
      </c>
    </row>
    <row r="60" spans="1:12" hidden="1" x14ac:dyDescent="0.3">
      <c r="A60" s="39">
        <v>46170.692523148151</v>
      </c>
      <c r="B60" s="32">
        <v>47991636470</v>
      </c>
      <c r="C60" s="32" t="s">
        <v>37</v>
      </c>
      <c r="D60" s="32">
        <v>4431268225</v>
      </c>
      <c r="E60" s="32">
        <v>2698</v>
      </c>
      <c r="F60" s="32">
        <v>2631</v>
      </c>
      <c r="G60" s="32" t="s">
        <v>38</v>
      </c>
      <c r="H60" s="32" t="s">
        <v>2777</v>
      </c>
      <c r="I60" s="32" t="s">
        <v>39</v>
      </c>
      <c r="J60" s="32" t="s">
        <v>40</v>
      </c>
      <c r="K60" s="32" t="s">
        <v>41</v>
      </c>
    </row>
    <row r="61" spans="1:12" hidden="1" x14ac:dyDescent="0.3">
      <c r="A61" s="39">
        <v>46170.68273148148</v>
      </c>
      <c r="B61" s="32" t="s">
        <v>48</v>
      </c>
      <c r="C61" s="32">
        <v>44998620323</v>
      </c>
      <c r="E61" s="32">
        <v>55</v>
      </c>
      <c r="F61" s="32">
        <v>46</v>
      </c>
      <c r="G61" s="32" t="s">
        <v>38</v>
      </c>
      <c r="H61" s="32" t="s">
        <v>2778</v>
      </c>
      <c r="I61" s="32" t="s">
        <v>46</v>
      </c>
      <c r="J61" s="32" t="s">
        <v>40</v>
      </c>
    </row>
    <row r="62" spans="1:12" hidden="1" x14ac:dyDescent="0.3">
      <c r="A62" s="39">
        <v>46170.682650462964</v>
      </c>
      <c r="B62" s="32" t="s">
        <v>48</v>
      </c>
      <c r="C62" s="32">
        <v>44998620323</v>
      </c>
      <c r="E62" s="32">
        <v>2</v>
      </c>
      <c r="F62" s="32">
        <v>0</v>
      </c>
      <c r="G62" s="32" t="s">
        <v>47</v>
      </c>
      <c r="H62" s="32" t="s">
        <v>2779</v>
      </c>
      <c r="I62" s="32" t="s">
        <v>46</v>
      </c>
      <c r="J62" s="32" t="s">
        <v>40</v>
      </c>
    </row>
    <row r="63" spans="1:12" hidden="1" x14ac:dyDescent="0.3">
      <c r="A63" s="39">
        <v>46170.679108796299</v>
      </c>
      <c r="B63" s="32">
        <v>44999917849</v>
      </c>
      <c r="C63" s="32" t="s">
        <v>45</v>
      </c>
      <c r="D63" s="32">
        <v>4430265054</v>
      </c>
      <c r="E63" s="32">
        <v>2527</v>
      </c>
      <c r="F63" s="32">
        <v>2488</v>
      </c>
      <c r="G63" s="32" t="s">
        <v>38</v>
      </c>
      <c r="H63" s="32" t="s">
        <v>2780</v>
      </c>
      <c r="I63" s="32" t="s">
        <v>39</v>
      </c>
      <c r="J63" s="32" t="s">
        <v>40</v>
      </c>
      <c r="K63" s="32" t="s">
        <v>41</v>
      </c>
      <c r="L63" s="32">
        <v>5</v>
      </c>
    </row>
    <row r="64" spans="1:12" hidden="1" x14ac:dyDescent="0.3">
      <c r="A64" s="39">
        <v>46170.670856481483</v>
      </c>
      <c r="B64" s="32" t="s">
        <v>45</v>
      </c>
      <c r="C64" s="32">
        <v>41997840159</v>
      </c>
      <c r="E64" s="32">
        <v>157</v>
      </c>
      <c r="F64" s="32">
        <v>128</v>
      </c>
      <c r="G64" s="32" t="s">
        <v>38</v>
      </c>
      <c r="H64" s="32" t="s">
        <v>2781</v>
      </c>
      <c r="I64" s="32" t="s">
        <v>46</v>
      </c>
      <c r="J64" s="32" t="s">
        <v>40</v>
      </c>
    </row>
    <row r="65" spans="1:12" hidden="1" x14ac:dyDescent="0.3">
      <c r="A65" s="39">
        <v>46170.67082175926</v>
      </c>
      <c r="B65" s="32">
        <v>1128897100</v>
      </c>
      <c r="C65" s="32" t="s">
        <v>48</v>
      </c>
      <c r="D65" s="32">
        <v>4430265054</v>
      </c>
      <c r="E65" s="32">
        <v>530</v>
      </c>
      <c r="F65" s="32">
        <v>458</v>
      </c>
      <c r="G65" s="32" t="s">
        <v>38</v>
      </c>
      <c r="H65" s="32" t="s">
        <v>2782</v>
      </c>
      <c r="I65" s="32" t="s">
        <v>39</v>
      </c>
      <c r="J65" s="32" t="s">
        <v>40</v>
      </c>
      <c r="K65" s="32" t="s">
        <v>41</v>
      </c>
    </row>
    <row r="66" spans="1:12" hidden="1" x14ac:dyDescent="0.3">
      <c r="A66" s="39">
        <v>46170.656458333331</v>
      </c>
      <c r="B66" s="32" t="s">
        <v>48</v>
      </c>
      <c r="C66" s="32">
        <v>1131043888</v>
      </c>
      <c r="E66" s="32">
        <v>62</v>
      </c>
      <c r="F66" s="32">
        <v>61</v>
      </c>
      <c r="G66" s="32" t="s">
        <v>38</v>
      </c>
      <c r="H66" s="32" t="s">
        <v>2783</v>
      </c>
      <c r="I66" s="32" t="s">
        <v>46</v>
      </c>
      <c r="J66" s="32" t="s">
        <v>40</v>
      </c>
    </row>
    <row r="67" spans="1:12" hidden="1" x14ac:dyDescent="0.3">
      <c r="A67" s="39">
        <v>46170.650717592594</v>
      </c>
      <c r="B67" s="32">
        <v>44988255390</v>
      </c>
      <c r="C67" s="32" t="s">
        <v>37</v>
      </c>
      <c r="D67" s="32">
        <v>4430265054</v>
      </c>
      <c r="E67" s="32">
        <v>449</v>
      </c>
      <c r="F67" s="32">
        <v>375</v>
      </c>
      <c r="G67" s="32" t="s">
        <v>38</v>
      </c>
      <c r="H67" s="32" t="s">
        <v>2784</v>
      </c>
      <c r="I67" s="32" t="s">
        <v>39</v>
      </c>
      <c r="J67" s="32" t="s">
        <v>40</v>
      </c>
      <c r="K67" s="32" t="s">
        <v>41</v>
      </c>
      <c r="L67" s="32">
        <v>5</v>
      </c>
    </row>
    <row r="68" spans="1:12" hidden="1" x14ac:dyDescent="0.3">
      <c r="A68" s="39">
        <v>46170.649988425925</v>
      </c>
      <c r="B68" s="32">
        <v>11965990735</v>
      </c>
      <c r="C68" s="32">
        <v>4430265054</v>
      </c>
      <c r="D68" s="32">
        <v>4430265054</v>
      </c>
      <c r="E68" s="32">
        <v>20</v>
      </c>
      <c r="F68" s="32">
        <v>20</v>
      </c>
      <c r="G68" s="32" t="s">
        <v>52</v>
      </c>
      <c r="H68" s="32" t="s">
        <v>2785</v>
      </c>
      <c r="I68" s="32" t="s">
        <v>39</v>
      </c>
      <c r="J68" s="32" t="s">
        <v>53</v>
      </c>
    </row>
    <row r="69" spans="1:12" hidden="1" x14ac:dyDescent="0.3">
      <c r="A69" s="39">
        <v>46170.637777777774</v>
      </c>
      <c r="B69" s="32">
        <v>1131043888</v>
      </c>
      <c r="C69" s="32" t="s">
        <v>45</v>
      </c>
      <c r="D69" s="32">
        <v>4430265054</v>
      </c>
      <c r="E69" s="32">
        <v>1015</v>
      </c>
      <c r="F69" s="32">
        <v>1001</v>
      </c>
      <c r="G69" s="32" t="s">
        <v>38</v>
      </c>
      <c r="H69" s="32" t="s">
        <v>2786</v>
      </c>
      <c r="I69" s="32" t="s">
        <v>39</v>
      </c>
      <c r="J69" s="32" t="s">
        <v>40</v>
      </c>
      <c r="K69" s="32" t="s">
        <v>41</v>
      </c>
    </row>
    <row r="70" spans="1:12" hidden="1" x14ac:dyDescent="0.3">
      <c r="A70" s="39">
        <v>46170.637523148151</v>
      </c>
      <c r="B70" s="32">
        <v>1131043888</v>
      </c>
      <c r="C70" s="32">
        <v>4430265054</v>
      </c>
      <c r="D70" s="32">
        <v>4430265054</v>
      </c>
      <c r="E70" s="32">
        <v>12</v>
      </c>
      <c r="F70" s="32">
        <v>11</v>
      </c>
      <c r="G70" s="32" t="s">
        <v>52</v>
      </c>
      <c r="H70" s="32" t="s">
        <v>2787</v>
      </c>
      <c r="I70" s="32" t="s">
        <v>39</v>
      </c>
      <c r="J70" s="32" t="s">
        <v>53</v>
      </c>
    </row>
    <row r="71" spans="1:12" hidden="1" x14ac:dyDescent="0.3">
      <c r="A71" s="39">
        <v>46170.613749999997</v>
      </c>
      <c r="B71" s="32">
        <v>44988091045</v>
      </c>
      <c r="C71" s="32">
        <v>4430265054</v>
      </c>
      <c r="D71" s="32">
        <v>4430265054</v>
      </c>
      <c r="E71" s="32">
        <v>7</v>
      </c>
      <c r="F71" s="32">
        <v>7</v>
      </c>
      <c r="G71" s="32" t="s">
        <v>52</v>
      </c>
      <c r="H71" s="32" t="s">
        <v>2788</v>
      </c>
      <c r="I71" s="32" t="s">
        <v>39</v>
      </c>
      <c r="J71" s="32" t="s">
        <v>53</v>
      </c>
    </row>
    <row r="72" spans="1:12" hidden="1" x14ac:dyDescent="0.3">
      <c r="A72" s="39">
        <v>46170.613020833334</v>
      </c>
      <c r="B72" s="32">
        <v>4430459001</v>
      </c>
      <c r="C72" s="32" t="s">
        <v>37</v>
      </c>
      <c r="D72" s="32">
        <v>4430265054</v>
      </c>
      <c r="E72" s="32">
        <v>692</v>
      </c>
      <c r="F72" s="32">
        <v>611</v>
      </c>
      <c r="G72" s="32" t="s">
        <v>38</v>
      </c>
      <c r="H72" s="32" t="s">
        <v>2789</v>
      </c>
      <c r="I72" s="32" t="s">
        <v>39</v>
      </c>
      <c r="J72" s="32" t="s">
        <v>40</v>
      </c>
      <c r="K72" s="32" t="s">
        <v>41</v>
      </c>
      <c r="L72" s="32">
        <v>4</v>
      </c>
    </row>
    <row r="73" spans="1:12" hidden="1" x14ac:dyDescent="0.3">
      <c r="A73" s="39">
        <v>46170.60833333333</v>
      </c>
      <c r="B73" s="32">
        <v>44997710633</v>
      </c>
      <c r="C73" s="32" t="s">
        <v>44</v>
      </c>
      <c r="D73" s="32">
        <v>4430265054</v>
      </c>
      <c r="E73" s="32">
        <v>1035</v>
      </c>
      <c r="F73" s="32">
        <v>959</v>
      </c>
      <c r="G73" s="32" t="s">
        <v>38</v>
      </c>
      <c r="H73" s="32" t="s">
        <v>2790</v>
      </c>
      <c r="I73" s="32" t="s">
        <v>39</v>
      </c>
      <c r="J73" s="32" t="s">
        <v>40</v>
      </c>
      <c r="K73" s="32" t="s">
        <v>41</v>
      </c>
    </row>
    <row r="74" spans="1:12" hidden="1" x14ac:dyDescent="0.3">
      <c r="A74" s="39">
        <v>46170.606261574074</v>
      </c>
      <c r="B74" s="32">
        <v>44991486467</v>
      </c>
      <c r="C74" s="32" t="s">
        <v>43</v>
      </c>
      <c r="D74" s="32">
        <v>4430265054</v>
      </c>
      <c r="E74" s="32">
        <v>475</v>
      </c>
      <c r="F74" s="32">
        <v>379</v>
      </c>
      <c r="G74" s="32" t="s">
        <v>38</v>
      </c>
      <c r="H74" s="32" t="s">
        <v>2791</v>
      </c>
      <c r="I74" s="32" t="s">
        <v>39</v>
      </c>
      <c r="J74" s="32" t="s">
        <v>40</v>
      </c>
      <c r="K74" s="32" t="s">
        <v>41</v>
      </c>
    </row>
    <row r="75" spans="1:12" hidden="1" x14ac:dyDescent="0.3">
      <c r="A75" s="39">
        <v>46170.604780092595</v>
      </c>
      <c r="B75" s="32">
        <v>41997840159</v>
      </c>
      <c r="C75" s="32" t="s">
        <v>45</v>
      </c>
      <c r="D75" s="32">
        <v>4431268225</v>
      </c>
      <c r="E75" s="32">
        <v>1425</v>
      </c>
      <c r="F75" s="32">
        <v>1397</v>
      </c>
      <c r="G75" s="32" t="s">
        <v>38</v>
      </c>
      <c r="H75" s="32" t="s">
        <v>2792</v>
      </c>
      <c r="I75" s="32" t="s">
        <v>39</v>
      </c>
      <c r="J75" s="32" t="s">
        <v>40</v>
      </c>
      <c r="K75" s="32" t="s">
        <v>41</v>
      </c>
      <c r="L75" s="32">
        <v>5</v>
      </c>
    </row>
    <row r="76" spans="1:12" hidden="1" x14ac:dyDescent="0.3">
      <c r="A76" s="39">
        <v>46170.603715277779</v>
      </c>
      <c r="B76" s="32" t="s">
        <v>37</v>
      </c>
      <c r="C76" s="32">
        <v>44997710633</v>
      </c>
      <c r="E76" s="32">
        <v>20</v>
      </c>
      <c r="F76" s="32">
        <v>0</v>
      </c>
      <c r="G76" s="32" t="s">
        <v>47</v>
      </c>
      <c r="H76" s="32" t="s">
        <v>2793</v>
      </c>
      <c r="I76" s="32" t="s">
        <v>46</v>
      </c>
      <c r="J76" s="32" t="s">
        <v>40</v>
      </c>
    </row>
    <row r="77" spans="1:12" hidden="1" x14ac:dyDescent="0.3">
      <c r="A77" s="39">
        <v>46170.595497685186</v>
      </c>
      <c r="B77" s="32">
        <v>44997710633</v>
      </c>
      <c r="C77" s="32" t="s">
        <v>37</v>
      </c>
      <c r="D77" s="32">
        <v>4430265054</v>
      </c>
      <c r="E77" s="32">
        <v>473</v>
      </c>
      <c r="F77" s="32">
        <v>399</v>
      </c>
      <c r="G77" s="32" t="s">
        <v>38</v>
      </c>
      <c r="H77" s="32" t="s">
        <v>2794</v>
      </c>
      <c r="I77" s="32" t="s">
        <v>39</v>
      </c>
      <c r="J77" s="32" t="s">
        <v>40</v>
      </c>
      <c r="K77" s="32" t="s">
        <v>41</v>
      </c>
    </row>
    <row r="78" spans="1:12" hidden="1" x14ac:dyDescent="0.3">
      <c r="A78" s="39">
        <v>46170.594652777778</v>
      </c>
      <c r="B78" s="32">
        <v>44997710633</v>
      </c>
      <c r="C78" s="32" t="s">
        <v>45</v>
      </c>
      <c r="D78" s="32">
        <v>4430265054</v>
      </c>
      <c r="E78" s="32">
        <v>63</v>
      </c>
      <c r="F78" s="32">
        <v>2</v>
      </c>
      <c r="G78" s="32" t="s">
        <v>38</v>
      </c>
      <c r="H78" s="32" t="s">
        <v>2795</v>
      </c>
      <c r="I78" s="32" t="s">
        <v>39</v>
      </c>
      <c r="J78" s="32" t="s">
        <v>40</v>
      </c>
      <c r="K78" s="32" t="s">
        <v>41</v>
      </c>
    </row>
    <row r="79" spans="1:12" hidden="1" x14ac:dyDescent="0.3">
      <c r="A79" s="39">
        <v>46170.591689814813</v>
      </c>
      <c r="B79" s="32">
        <v>44997254007</v>
      </c>
      <c r="C79" s="32">
        <v>4430265054</v>
      </c>
      <c r="D79" s="32">
        <v>4430265054</v>
      </c>
      <c r="E79" s="32">
        <v>7</v>
      </c>
      <c r="F79" s="32">
        <v>7</v>
      </c>
      <c r="G79" s="32" t="s">
        <v>52</v>
      </c>
      <c r="H79" s="32" t="s">
        <v>2796</v>
      </c>
      <c r="I79" s="32" t="s">
        <v>39</v>
      </c>
      <c r="J79" s="32" t="s">
        <v>53</v>
      </c>
    </row>
    <row r="80" spans="1:12" hidden="1" x14ac:dyDescent="0.3">
      <c r="A80" s="39">
        <v>46170.588645833333</v>
      </c>
      <c r="B80" s="32">
        <v>11965990735</v>
      </c>
      <c r="C80" s="32" t="s">
        <v>43</v>
      </c>
      <c r="D80" s="32">
        <v>4430265054</v>
      </c>
      <c r="E80" s="32">
        <v>298</v>
      </c>
      <c r="F80" s="32">
        <v>269</v>
      </c>
      <c r="G80" s="32" t="s">
        <v>38</v>
      </c>
      <c r="H80" s="32" t="s">
        <v>2797</v>
      </c>
      <c r="I80" s="32" t="s">
        <v>39</v>
      </c>
      <c r="J80" s="32" t="s">
        <v>40</v>
      </c>
      <c r="K80" s="32" t="s">
        <v>41</v>
      </c>
    </row>
    <row r="81" spans="1:12" hidden="1" x14ac:dyDescent="0.3">
      <c r="A81" s="39">
        <v>46170.587268518517</v>
      </c>
      <c r="B81" s="32">
        <v>4121413772</v>
      </c>
      <c r="C81" s="32">
        <v>4531273172</v>
      </c>
      <c r="D81" s="32">
        <v>4531273172</v>
      </c>
      <c r="E81" s="32">
        <v>47</v>
      </c>
      <c r="F81" s="32">
        <v>46</v>
      </c>
      <c r="G81" s="32" t="s">
        <v>52</v>
      </c>
      <c r="H81" s="32" t="s">
        <v>2798</v>
      </c>
      <c r="I81" s="32" t="s">
        <v>39</v>
      </c>
      <c r="J81" s="32" t="s">
        <v>53</v>
      </c>
      <c r="K81" s="32" t="s">
        <v>41</v>
      </c>
    </row>
    <row r="82" spans="1:12" hidden="1" x14ac:dyDescent="0.3">
      <c r="A82" s="39">
        <v>46170.584594907406</v>
      </c>
      <c r="B82" s="32">
        <v>6434530674</v>
      </c>
      <c r="C82" s="32" t="s">
        <v>45</v>
      </c>
      <c r="D82" s="32">
        <v>4430265054</v>
      </c>
      <c r="E82" s="32">
        <v>326</v>
      </c>
      <c r="F82" s="32">
        <v>295</v>
      </c>
      <c r="G82" s="32" t="s">
        <v>38</v>
      </c>
      <c r="H82" s="32" t="s">
        <v>2799</v>
      </c>
      <c r="I82" s="32" t="s">
        <v>39</v>
      </c>
      <c r="J82" s="32" t="s">
        <v>40</v>
      </c>
      <c r="K82" s="32" t="s">
        <v>41</v>
      </c>
      <c r="L82" s="32">
        <v>5</v>
      </c>
    </row>
    <row r="83" spans="1:12" hidden="1" x14ac:dyDescent="0.3">
      <c r="A83" s="39">
        <v>46170.584444444445</v>
      </c>
      <c r="B83" s="32">
        <v>6234347959</v>
      </c>
      <c r="C83" s="32" t="s">
        <v>44</v>
      </c>
      <c r="D83" s="32">
        <v>4430265054</v>
      </c>
      <c r="E83" s="32">
        <v>368</v>
      </c>
      <c r="F83" s="32">
        <v>308</v>
      </c>
      <c r="G83" s="32" t="s">
        <v>38</v>
      </c>
      <c r="H83" s="32" t="s">
        <v>2800</v>
      </c>
      <c r="I83" s="32" t="s">
        <v>39</v>
      </c>
      <c r="J83" s="32" t="s">
        <v>40</v>
      </c>
      <c r="K83" s="32" t="s">
        <v>41</v>
      </c>
    </row>
    <row r="84" spans="1:12" hidden="1" x14ac:dyDescent="0.3">
      <c r="A84" s="39">
        <v>46170.574699074074</v>
      </c>
      <c r="B84" s="32">
        <v>44997079838</v>
      </c>
      <c r="C84" s="32" t="s">
        <v>37</v>
      </c>
      <c r="D84" s="32">
        <v>4430265054</v>
      </c>
      <c r="E84" s="32">
        <v>1099</v>
      </c>
      <c r="F84" s="32">
        <v>995</v>
      </c>
      <c r="G84" s="32" t="s">
        <v>38</v>
      </c>
      <c r="H84" s="32" t="s">
        <v>2801</v>
      </c>
      <c r="I84" s="32" t="s">
        <v>39</v>
      </c>
      <c r="J84" s="32" t="s">
        <v>40</v>
      </c>
      <c r="K84" s="32" t="s">
        <v>41</v>
      </c>
      <c r="L84" s="32">
        <v>5</v>
      </c>
    </row>
    <row r="85" spans="1:12" hidden="1" x14ac:dyDescent="0.3">
      <c r="A85" s="39">
        <v>46170.570208333331</v>
      </c>
      <c r="B85" s="32">
        <v>11965990735</v>
      </c>
      <c r="C85" s="32" t="s">
        <v>43</v>
      </c>
      <c r="D85" s="32">
        <v>4430265054</v>
      </c>
      <c r="E85" s="32">
        <v>732</v>
      </c>
      <c r="F85" s="32">
        <v>678</v>
      </c>
      <c r="G85" s="32" t="s">
        <v>38</v>
      </c>
      <c r="H85" s="32" t="s">
        <v>2802</v>
      </c>
      <c r="I85" s="32" t="s">
        <v>39</v>
      </c>
      <c r="J85" s="32" t="s">
        <v>40</v>
      </c>
      <c r="K85" s="32" t="s">
        <v>41</v>
      </c>
    </row>
    <row r="86" spans="1:12" hidden="1" x14ac:dyDescent="0.3">
      <c r="A86" s="39">
        <v>46170.566666666666</v>
      </c>
      <c r="B86" s="32">
        <v>44997456641</v>
      </c>
      <c r="C86" s="32" t="s">
        <v>45</v>
      </c>
      <c r="D86" s="32">
        <v>4430265054</v>
      </c>
      <c r="E86" s="32">
        <v>604</v>
      </c>
      <c r="F86" s="32">
        <v>566</v>
      </c>
      <c r="G86" s="32" t="s">
        <v>38</v>
      </c>
      <c r="H86" s="32" t="s">
        <v>2803</v>
      </c>
      <c r="I86" s="32" t="s">
        <v>39</v>
      </c>
      <c r="J86" s="32" t="s">
        <v>40</v>
      </c>
      <c r="K86" s="32" t="s">
        <v>41</v>
      </c>
    </row>
    <row r="87" spans="1:12" hidden="1" x14ac:dyDescent="0.3">
      <c r="A87" s="39">
        <v>46170.563750000001</v>
      </c>
      <c r="B87" s="32">
        <v>47991636470</v>
      </c>
      <c r="C87" s="32" t="s">
        <v>44</v>
      </c>
      <c r="D87" s="32">
        <v>4431268225</v>
      </c>
      <c r="E87" s="32">
        <v>781</v>
      </c>
      <c r="F87" s="32">
        <v>639</v>
      </c>
      <c r="G87" s="32" t="s">
        <v>38</v>
      </c>
      <c r="H87" s="32" t="s">
        <v>2804</v>
      </c>
      <c r="I87" s="32" t="s">
        <v>39</v>
      </c>
      <c r="J87" s="32" t="s">
        <v>40</v>
      </c>
      <c r="K87" s="32" t="s">
        <v>41</v>
      </c>
    </row>
    <row r="88" spans="1:12" hidden="1" x14ac:dyDescent="0.3">
      <c r="A88" s="39">
        <v>46170.559224537035</v>
      </c>
      <c r="B88" s="32">
        <v>11965990735</v>
      </c>
      <c r="C88" s="32">
        <v>4430265054</v>
      </c>
      <c r="D88" s="32">
        <v>4430265054</v>
      </c>
      <c r="E88" s="32">
        <v>28</v>
      </c>
      <c r="F88" s="32">
        <v>28</v>
      </c>
      <c r="G88" s="32" t="s">
        <v>52</v>
      </c>
      <c r="H88" s="32" t="s">
        <v>2805</v>
      </c>
      <c r="I88" s="32" t="s">
        <v>39</v>
      </c>
      <c r="J88" s="32" t="s">
        <v>53</v>
      </c>
    </row>
    <row r="89" spans="1:12" hidden="1" x14ac:dyDescent="0.3">
      <c r="A89" s="39">
        <v>46170.552060185182</v>
      </c>
      <c r="B89" s="32">
        <v>4533011420</v>
      </c>
      <c r="C89" s="32">
        <v>4531273169</v>
      </c>
      <c r="D89" s="32">
        <v>4531273169</v>
      </c>
      <c r="E89" s="32">
        <v>29</v>
      </c>
      <c r="F89" s="32">
        <v>28</v>
      </c>
      <c r="G89" s="32" t="s">
        <v>52</v>
      </c>
      <c r="H89" s="32" t="s">
        <v>2806</v>
      </c>
      <c r="I89" s="32" t="s">
        <v>39</v>
      </c>
      <c r="J89" s="32" t="s">
        <v>53</v>
      </c>
    </row>
    <row r="90" spans="1:12" hidden="1" x14ac:dyDescent="0.3">
      <c r="A90" s="39">
        <v>46170.481469907405</v>
      </c>
      <c r="B90" s="32">
        <v>4121413772</v>
      </c>
      <c r="C90" s="32">
        <v>4531273163</v>
      </c>
      <c r="D90" s="32">
        <v>4531273163</v>
      </c>
      <c r="E90" s="32">
        <v>46</v>
      </c>
      <c r="F90" s="32">
        <v>46</v>
      </c>
      <c r="G90" s="32" t="s">
        <v>52</v>
      </c>
      <c r="H90" s="32" t="s">
        <v>2807</v>
      </c>
      <c r="I90" s="32" t="s">
        <v>39</v>
      </c>
      <c r="J90" s="32" t="s">
        <v>53</v>
      </c>
      <c r="K90" s="32" t="s">
        <v>41</v>
      </c>
    </row>
    <row r="91" spans="1:12" hidden="1" x14ac:dyDescent="0.3">
      <c r="A91" s="39">
        <v>46170.477442129632</v>
      </c>
      <c r="B91" s="32" t="s">
        <v>37</v>
      </c>
      <c r="C91" s="32">
        <v>11965990735</v>
      </c>
      <c r="E91" s="32">
        <v>420</v>
      </c>
      <c r="F91" s="32">
        <v>413</v>
      </c>
      <c r="G91" s="32" t="s">
        <v>38</v>
      </c>
      <c r="H91" s="32" t="s">
        <v>2808</v>
      </c>
      <c r="I91" s="32" t="s">
        <v>46</v>
      </c>
      <c r="J91" s="32" t="s">
        <v>40</v>
      </c>
      <c r="L91" s="32">
        <v>5</v>
      </c>
    </row>
    <row r="92" spans="1:12" hidden="1" x14ac:dyDescent="0.3">
      <c r="A92" s="39">
        <v>46170.47457175926</v>
      </c>
      <c r="B92" s="32" t="s">
        <v>37</v>
      </c>
      <c r="C92" s="32">
        <v>11965990735</v>
      </c>
      <c r="E92" s="32">
        <v>47</v>
      </c>
      <c r="F92" s="32">
        <v>30</v>
      </c>
      <c r="G92" s="32" t="s">
        <v>38</v>
      </c>
      <c r="H92" s="32" t="s">
        <v>2809</v>
      </c>
      <c r="I92" s="32" t="s">
        <v>46</v>
      </c>
      <c r="J92" s="32" t="s">
        <v>40</v>
      </c>
    </row>
    <row r="93" spans="1:12" hidden="1" x14ac:dyDescent="0.3">
      <c r="A93" s="39">
        <v>46170.470335648148</v>
      </c>
      <c r="B93" s="32">
        <v>11965990735</v>
      </c>
      <c r="C93" s="32" t="s">
        <v>37</v>
      </c>
      <c r="D93" s="32">
        <v>4430265054</v>
      </c>
      <c r="E93" s="32">
        <v>319</v>
      </c>
      <c r="F93" s="32">
        <v>208</v>
      </c>
      <c r="G93" s="32" t="s">
        <v>38</v>
      </c>
      <c r="H93" s="32" t="s">
        <v>2810</v>
      </c>
      <c r="I93" s="32" t="s">
        <v>39</v>
      </c>
      <c r="J93" s="32" t="s">
        <v>40</v>
      </c>
      <c r="K93" s="32" t="s">
        <v>41</v>
      </c>
    </row>
    <row r="94" spans="1:12" hidden="1" x14ac:dyDescent="0.3">
      <c r="A94" s="39">
        <v>46170.462731481479</v>
      </c>
      <c r="B94" s="32">
        <v>4330333542</v>
      </c>
      <c r="C94" s="32" t="s">
        <v>43</v>
      </c>
      <c r="D94" s="32">
        <v>4430265054</v>
      </c>
      <c r="E94" s="32">
        <v>187</v>
      </c>
      <c r="F94" s="32">
        <v>83</v>
      </c>
      <c r="G94" s="32" t="s">
        <v>38</v>
      </c>
      <c r="H94" s="32" t="s">
        <v>2811</v>
      </c>
      <c r="I94" s="32" t="s">
        <v>39</v>
      </c>
      <c r="J94" s="32" t="s">
        <v>40</v>
      </c>
      <c r="K94" s="32" t="s">
        <v>41</v>
      </c>
    </row>
    <row r="95" spans="1:12" hidden="1" x14ac:dyDescent="0.3">
      <c r="A95" s="39">
        <v>46170.460659722223</v>
      </c>
      <c r="B95" s="32" t="s">
        <v>45</v>
      </c>
      <c r="C95" s="32">
        <v>44998620323</v>
      </c>
      <c r="E95" s="32">
        <v>638</v>
      </c>
      <c r="F95" s="32">
        <v>608</v>
      </c>
      <c r="G95" s="32" t="s">
        <v>38</v>
      </c>
      <c r="H95" s="32" t="s">
        <v>2812</v>
      </c>
      <c r="I95" s="32" t="s">
        <v>46</v>
      </c>
      <c r="J95" s="32" t="s">
        <v>40</v>
      </c>
    </row>
    <row r="96" spans="1:12" hidden="1" x14ac:dyDescent="0.3">
      <c r="A96" s="39">
        <v>46170.458344907405</v>
      </c>
      <c r="B96" s="32" t="s">
        <v>45</v>
      </c>
      <c r="C96" s="32">
        <v>44998620323</v>
      </c>
      <c r="E96" s="32">
        <v>40</v>
      </c>
      <c r="F96" s="32">
        <v>0</v>
      </c>
      <c r="G96" s="32" t="s">
        <v>47</v>
      </c>
      <c r="H96" s="32" t="s">
        <v>2813</v>
      </c>
      <c r="I96" s="32" t="s">
        <v>46</v>
      </c>
      <c r="J96" s="32" t="s">
        <v>40</v>
      </c>
    </row>
    <row r="97" spans="1:12" hidden="1" x14ac:dyDescent="0.3">
      <c r="A97" s="39">
        <v>46170.457835648151</v>
      </c>
      <c r="B97" s="32" t="s">
        <v>45</v>
      </c>
      <c r="C97" s="32">
        <v>44998620323</v>
      </c>
      <c r="E97" s="32">
        <v>71</v>
      </c>
      <c r="F97" s="32">
        <v>34</v>
      </c>
      <c r="G97" s="32" t="s">
        <v>38</v>
      </c>
      <c r="H97" s="32" t="s">
        <v>2814</v>
      </c>
      <c r="I97" s="32" t="s">
        <v>46</v>
      </c>
      <c r="J97" s="32" t="s">
        <v>40</v>
      </c>
    </row>
    <row r="98" spans="1:12" hidden="1" x14ac:dyDescent="0.3">
      <c r="A98" s="39">
        <v>46170.456342592595</v>
      </c>
      <c r="B98" s="32">
        <v>44999412567</v>
      </c>
      <c r="C98" s="32" t="s">
        <v>44</v>
      </c>
      <c r="D98" s="32">
        <v>4430265054</v>
      </c>
      <c r="E98" s="32">
        <v>390</v>
      </c>
      <c r="F98" s="32">
        <v>349</v>
      </c>
      <c r="G98" s="32" t="s">
        <v>38</v>
      </c>
      <c r="H98" s="32" t="s">
        <v>2815</v>
      </c>
      <c r="I98" s="32" t="s">
        <v>39</v>
      </c>
      <c r="J98" s="32" t="s">
        <v>40</v>
      </c>
      <c r="K98" s="32" t="s">
        <v>41</v>
      </c>
      <c r="L98" s="32">
        <v>5</v>
      </c>
    </row>
    <row r="99" spans="1:12" hidden="1" x14ac:dyDescent="0.3">
      <c r="A99" s="39">
        <v>46170.454768518517</v>
      </c>
      <c r="B99" s="32">
        <v>44999412567</v>
      </c>
      <c r="C99" s="32" t="s">
        <v>43</v>
      </c>
      <c r="D99" s="32">
        <v>4430265054</v>
      </c>
      <c r="E99" s="32">
        <v>129</v>
      </c>
      <c r="F99" s="32">
        <v>28</v>
      </c>
      <c r="G99" s="32" t="s">
        <v>38</v>
      </c>
      <c r="H99" s="32" t="s">
        <v>2816</v>
      </c>
      <c r="I99" s="32" t="s">
        <v>39</v>
      </c>
      <c r="J99" s="32" t="s">
        <v>40</v>
      </c>
      <c r="K99" s="32" t="s">
        <v>41</v>
      </c>
    </row>
    <row r="100" spans="1:12" hidden="1" x14ac:dyDescent="0.3">
      <c r="A100" s="39">
        <v>46170.449699074074</v>
      </c>
      <c r="B100" s="32">
        <v>4433013750</v>
      </c>
      <c r="C100" s="32">
        <v>4430265054</v>
      </c>
      <c r="D100" s="32">
        <v>4430265054</v>
      </c>
      <c r="E100" s="32">
        <v>47</v>
      </c>
      <c r="F100" s="32">
        <v>46</v>
      </c>
      <c r="G100" s="32" t="s">
        <v>52</v>
      </c>
      <c r="H100" s="32" t="s">
        <v>2817</v>
      </c>
      <c r="I100" s="32" t="s">
        <v>39</v>
      </c>
      <c r="J100" s="32" t="s">
        <v>53</v>
      </c>
      <c r="K100" s="32" t="s">
        <v>41</v>
      </c>
    </row>
    <row r="101" spans="1:12" hidden="1" x14ac:dyDescent="0.3">
      <c r="A101" s="39">
        <v>46170.446921296294</v>
      </c>
      <c r="B101" s="32">
        <v>1639391799</v>
      </c>
      <c r="C101" s="32" t="s">
        <v>48</v>
      </c>
      <c r="D101" s="32">
        <v>4430265054</v>
      </c>
      <c r="E101" s="32">
        <v>370</v>
      </c>
      <c r="F101" s="32">
        <v>307</v>
      </c>
      <c r="G101" s="32" t="s">
        <v>38</v>
      </c>
      <c r="H101" s="32" t="s">
        <v>2818</v>
      </c>
      <c r="I101" s="32" t="s">
        <v>39</v>
      </c>
      <c r="J101" s="32" t="s">
        <v>40</v>
      </c>
      <c r="K101" s="32" t="s">
        <v>41</v>
      </c>
      <c r="L101" s="32">
        <v>5</v>
      </c>
    </row>
    <row r="102" spans="1:12" hidden="1" x14ac:dyDescent="0.3">
      <c r="A102" s="39">
        <v>46170.446689814817</v>
      </c>
      <c r="B102" s="32">
        <v>4430317020</v>
      </c>
      <c r="C102" s="32" t="s">
        <v>37</v>
      </c>
      <c r="D102" s="32">
        <v>4430265054</v>
      </c>
      <c r="E102" s="32">
        <v>1469</v>
      </c>
      <c r="F102" s="32">
        <v>1368</v>
      </c>
      <c r="G102" s="32" t="s">
        <v>38</v>
      </c>
      <c r="H102" s="32" t="s">
        <v>2819</v>
      </c>
      <c r="I102" s="32" t="s">
        <v>39</v>
      </c>
      <c r="J102" s="32" t="s">
        <v>40</v>
      </c>
      <c r="K102" s="32" t="s">
        <v>41</v>
      </c>
      <c r="L102" s="32">
        <v>5</v>
      </c>
    </row>
    <row r="103" spans="1:12" hidden="1" x14ac:dyDescent="0.3">
      <c r="A103" s="39">
        <v>46170.442106481481</v>
      </c>
      <c r="B103" s="32" t="s">
        <v>43</v>
      </c>
      <c r="C103" s="32">
        <v>4432524636</v>
      </c>
      <c r="E103" s="32">
        <v>87</v>
      </c>
      <c r="F103" s="32">
        <v>81</v>
      </c>
      <c r="G103" s="32" t="s">
        <v>38</v>
      </c>
      <c r="H103" s="32" t="s">
        <v>2820</v>
      </c>
      <c r="I103" s="32" t="s">
        <v>46</v>
      </c>
      <c r="J103" s="32" t="s">
        <v>40</v>
      </c>
    </row>
    <row r="104" spans="1:12" hidden="1" x14ac:dyDescent="0.3">
      <c r="A104" s="39">
        <v>46170.440706018519</v>
      </c>
      <c r="B104" s="32">
        <v>11965990735</v>
      </c>
      <c r="C104" s="32" t="s">
        <v>37</v>
      </c>
      <c r="D104" s="32">
        <v>4430265054</v>
      </c>
      <c r="E104" s="32">
        <v>286</v>
      </c>
      <c r="F104" s="32">
        <v>153</v>
      </c>
      <c r="G104" s="32" t="s">
        <v>38</v>
      </c>
      <c r="H104" s="32" t="s">
        <v>2821</v>
      </c>
      <c r="I104" s="32" t="s">
        <v>39</v>
      </c>
      <c r="J104" s="32" t="s">
        <v>40</v>
      </c>
      <c r="K104" s="32" t="s">
        <v>41</v>
      </c>
    </row>
    <row r="105" spans="1:12" hidden="1" x14ac:dyDescent="0.3">
      <c r="A105" s="39">
        <v>46170.429861111108</v>
      </c>
      <c r="B105" s="32">
        <v>11964449514</v>
      </c>
      <c r="C105" s="32" t="s">
        <v>45</v>
      </c>
      <c r="D105" s="32">
        <v>4431268225</v>
      </c>
      <c r="E105" s="32">
        <v>711</v>
      </c>
      <c r="F105" s="32">
        <v>664</v>
      </c>
      <c r="G105" s="32" t="s">
        <v>38</v>
      </c>
      <c r="H105" s="32" t="s">
        <v>2822</v>
      </c>
      <c r="I105" s="32" t="s">
        <v>39</v>
      </c>
      <c r="J105" s="32" t="s">
        <v>40</v>
      </c>
      <c r="K105" s="32" t="s">
        <v>41</v>
      </c>
      <c r="L105" s="32">
        <v>5</v>
      </c>
    </row>
    <row r="106" spans="1:12" hidden="1" x14ac:dyDescent="0.3">
      <c r="A106" s="39">
        <v>46170.428796296299</v>
      </c>
      <c r="B106" s="32" t="s">
        <v>43</v>
      </c>
      <c r="C106" s="32">
        <v>4432524636</v>
      </c>
      <c r="E106" s="32">
        <v>4</v>
      </c>
      <c r="F106" s="32">
        <v>0</v>
      </c>
      <c r="G106" s="32" t="s">
        <v>47</v>
      </c>
      <c r="H106" s="32" t="s">
        <v>2823</v>
      </c>
      <c r="I106" s="32" t="s">
        <v>46</v>
      </c>
      <c r="J106" s="32" t="s">
        <v>40</v>
      </c>
    </row>
    <row r="107" spans="1:12" hidden="1" x14ac:dyDescent="0.3">
      <c r="A107" s="39">
        <v>46170.426736111112</v>
      </c>
      <c r="B107" s="32" t="s">
        <v>48</v>
      </c>
      <c r="C107" s="32">
        <v>4431043888</v>
      </c>
      <c r="E107" s="32">
        <v>2</v>
      </c>
      <c r="F107" s="32">
        <v>0</v>
      </c>
      <c r="G107" s="32" t="s">
        <v>47</v>
      </c>
      <c r="H107" s="32" t="s">
        <v>2824</v>
      </c>
      <c r="I107" s="32" t="s">
        <v>46</v>
      </c>
      <c r="J107" s="32" t="s">
        <v>40</v>
      </c>
    </row>
    <row r="108" spans="1:12" hidden="1" x14ac:dyDescent="0.3">
      <c r="A108" s="39">
        <v>46170.423425925925</v>
      </c>
      <c r="B108" s="32">
        <v>4431337559</v>
      </c>
      <c r="C108" s="32" t="s">
        <v>37</v>
      </c>
      <c r="D108" s="32">
        <v>4430265054</v>
      </c>
      <c r="E108" s="32">
        <v>140</v>
      </c>
      <c r="F108" s="32">
        <v>95</v>
      </c>
      <c r="G108" s="32" t="s">
        <v>38</v>
      </c>
      <c r="H108" s="32" t="s">
        <v>2825</v>
      </c>
      <c r="I108" s="32" t="s">
        <v>39</v>
      </c>
      <c r="J108" s="32" t="s">
        <v>40</v>
      </c>
      <c r="K108" s="32" t="s">
        <v>41</v>
      </c>
    </row>
    <row r="109" spans="1:12" hidden="1" x14ac:dyDescent="0.3">
      <c r="A109" s="39">
        <v>46170.422337962962</v>
      </c>
      <c r="B109" s="32" t="s">
        <v>48</v>
      </c>
      <c r="C109" s="32">
        <v>44998267320</v>
      </c>
      <c r="E109" s="32">
        <v>9</v>
      </c>
      <c r="F109" s="32">
        <v>0</v>
      </c>
      <c r="G109" s="32" t="s">
        <v>47</v>
      </c>
      <c r="H109" s="32" t="s">
        <v>2826</v>
      </c>
      <c r="I109" s="32" t="s">
        <v>46</v>
      </c>
      <c r="J109" s="32" t="s">
        <v>40</v>
      </c>
    </row>
    <row r="110" spans="1:12" hidden="1" x14ac:dyDescent="0.3">
      <c r="A110" s="39">
        <v>46170.42224537037</v>
      </c>
      <c r="B110" s="32" t="s">
        <v>48</v>
      </c>
      <c r="C110" s="32">
        <v>4431043888</v>
      </c>
      <c r="E110" s="32">
        <v>4</v>
      </c>
      <c r="F110" s="32">
        <v>0</v>
      </c>
      <c r="G110" s="32" t="s">
        <v>47</v>
      </c>
      <c r="H110" s="32" t="s">
        <v>2827</v>
      </c>
      <c r="I110" s="32" t="s">
        <v>46</v>
      </c>
      <c r="J110" s="32" t="s">
        <v>40</v>
      </c>
    </row>
    <row r="111" spans="1:12" hidden="1" x14ac:dyDescent="0.3">
      <c r="A111" s="39">
        <v>46170.422129629631</v>
      </c>
      <c r="B111" s="32" t="s">
        <v>48</v>
      </c>
      <c r="C111" s="32">
        <v>4431043888</v>
      </c>
      <c r="E111" s="32">
        <v>1</v>
      </c>
      <c r="F111" s="32">
        <v>0</v>
      </c>
      <c r="G111" s="32" t="s">
        <v>47</v>
      </c>
      <c r="H111" s="32" t="s">
        <v>2828</v>
      </c>
      <c r="I111" s="32" t="s">
        <v>46</v>
      </c>
      <c r="J111" s="32" t="s">
        <v>40</v>
      </c>
    </row>
    <row r="112" spans="1:12" hidden="1" x14ac:dyDescent="0.3">
      <c r="A112" s="39">
        <v>46170.422071759262</v>
      </c>
      <c r="B112" s="32" t="s">
        <v>48</v>
      </c>
      <c r="C112" s="32">
        <v>4431043888</v>
      </c>
      <c r="E112" s="32">
        <v>2</v>
      </c>
      <c r="F112" s="32">
        <v>0</v>
      </c>
      <c r="G112" s="32" t="s">
        <v>47</v>
      </c>
      <c r="H112" s="32" t="s">
        <v>2829</v>
      </c>
      <c r="I112" s="32" t="s">
        <v>46</v>
      </c>
      <c r="J112" s="32" t="s">
        <v>40</v>
      </c>
    </row>
    <row r="113" spans="1:12" hidden="1" x14ac:dyDescent="0.3">
      <c r="A113" s="39">
        <v>46170.414421296293</v>
      </c>
      <c r="B113" s="32">
        <v>11965990735</v>
      </c>
      <c r="C113" s="32" t="s">
        <v>37</v>
      </c>
      <c r="D113" s="32">
        <v>4430265054</v>
      </c>
      <c r="E113" s="32">
        <v>745</v>
      </c>
      <c r="F113" s="32">
        <v>728</v>
      </c>
      <c r="G113" s="32" t="s">
        <v>38</v>
      </c>
      <c r="H113" s="32" t="s">
        <v>2830</v>
      </c>
      <c r="I113" s="32" t="s">
        <v>39</v>
      </c>
      <c r="J113" s="32" t="s">
        <v>40</v>
      </c>
      <c r="K113" s="32" t="s">
        <v>41</v>
      </c>
      <c r="L113" s="32">
        <v>5</v>
      </c>
    </row>
    <row r="114" spans="1:12" hidden="1" x14ac:dyDescent="0.3">
      <c r="A114" s="39">
        <v>46170.412372685183</v>
      </c>
      <c r="B114" s="32">
        <v>1131043888</v>
      </c>
      <c r="C114" s="32" t="s">
        <v>43</v>
      </c>
      <c r="D114" s="32">
        <v>4430265054</v>
      </c>
      <c r="E114" s="32">
        <v>1132</v>
      </c>
      <c r="F114" s="32">
        <v>1088</v>
      </c>
      <c r="G114" s="32" t="s">
        <v>38</v>
      </c>
      <c r="H114" s="32" t="s">
        <v>2831</v>
      </c>
      <c r="I114" s="32" t="s">
        <v>39</v>
      </c>
      <c r="J114" s="32" t="s">
        <v>40</v>
      </c>
      <c r="K114" s="32" t="s">
        <v>41</v>
      </c>
    </row>
    <row r="115" spans="1:12" hidden="1" x14ac:dyDescent="0.3">
      <c r="A115" s="39">
        <v>46170.405451388891</v>
      </c>
      <c r="B115" s="32">
        <v>41997840159</v>
      </c>
      <c r="C115" s="32" t="s">
        <v>45</v>
      </c>
      <c r="D115" s="32">
        <v>4431268225</v>
      </c>
      <c r="E115" s="32">
        <v>1152</v>
      </c>
      <c r="F115" s="32">
        <v>895</v>
      </c>
      <c r="G115" s="32" t="s">
        <v>38</v>
      </c>
      <c r="H115" s="32" t="s">
        <v>2832</v>
      </c>
      <c r="I115" s="32" t="s">
        <v>39</v>
      </c>
      <c r="J115" s="32" t="s">
        <v>40</v>
      </c>
      <c r="K115" s="32" t="s">
        <v>41</v>
      </c>
    </row>
    <row r="116" spans="1:12" hidden="1" x14ac:dyDescent="0.3">
      <c r="A116" s="39">
        <v>46170.388553240744</v>
      </c>
      <c r="B116" s="32">
        <v>44998849102</v>
      </c>
      <c r="C116" s="32" t="s">
        <v>43</v>
      </c>
      <c r="D116" s="32">
        <v>4430265054</v>
      </c>
      <c r="E116" s="32">
        <v>412</v>
      </c>
      <c r="F116" s="32">
        <v>293</v>
      </c>
      <c r="G116" s="32" t="s">
        <v>38</v>
      </c>
      <c r="H116" s="32" t="s">
        <v>2833</v>
      </c>
      <c r="I116" s="32" t="s">
        <v>39</v>
      </c>
      <c r="J116" s="32" t="s">
        <v>40</v>
      </c>
      <c r="K116" s="32" t="s">
        <v>41</v>
      </c>
    </row>
    <row r="117" spans="1:12" hidden="1" x14ac:dyDescent="0.3">
      <c r="A117" s="39">
        <v>46170.387245370373</v>
      </c>
      <c r="B117" s="32">
        <v>4430141533</v>
      </c>
      <c r="C117" s="32" t="s">
        <v>44</v>
      </c>
      <c r="D117" s="32">
        <v>4430265054</v>
      </c>
      <c r="E117" s="32">
        <v>293</v>
      </c>
      <c r="F117" s="32">
        <v>256</v>
      </c>
      <c r="G117" s="32" t="s">
        <v>38</v>
      </c>
      <c r="H117" s="32" t="s">
        <v>2834</v>
      </c>
      <c r="I117" s="32" t="s">
        <v>39</v>
      </c>
      <c r="J117" s="32" t="s">
        <v>40</v>
      </c>
      <c r="K117" s="32" t="s">
        <v>41</v>
      </c>
    </row>
    <row r="118" spans="1:12" hidden="1" x14ac:dyDescent="0.3">
      <c r="A118" s="39">
        <v>46170.384629629632</v>
      </c>
      <c r="B118" s="32">
        <v>4431337559</v>
      </c>
      <c r="C118" s="32" t="s">
        <v>43</v>
      </c>
      <c r="D118" s="32">
        <v>4430265054</v>
      </c>
      <c r="E118" s="32">
        <v>264</v>
      </c>
      <c r="F118" s="32">
        <v>238</v>
      </c>
      <c r="G118" s="32" t="s">
        <v>38</v>
      </c>
      <c r="H118" s="32" t="s">
        <v>2835</v>
      </c>
      <c r="I118" s="32" t="s">
        <v>39</v>
      </c>
      <c r="J118" s="32" t="s">
        <v>40</v>
      </c>
      <c r="K118" s="32" t="s">
        <v>41</v>
      </c>
    </row>
    <row r="119" spans="1:12" hidden="1" x14ac:dyDescent="0.3">
      <c r="A119" s="39">
        <v>46170.383657407408</v>
      </c>
      <c r="B119" s="32">
        <v>83988398480</v>
      </c>
      <c r="C119" s="32" t="s">
        <v>45</v>
      </c>
      <c r="D119" s="32">
        <v>4430265054</v>
      </c>
      <c r="E119" s="32">
        <v>581</v>
      </c>
      <c r="F119" s="32">
        <v>564</v>
      </c>
      <c r="G119" s="32" t="s">
        <v>38</v>
      </c>
      <c r="H119" s="32" t="s">
        <v>2836</v>
      </c>
      <c r="I119" s="32" t="s">
        <v>39</v>
      </c>
      <c r="J119" s="32" t="s">
        <v>40</v>
      </c>
      <c r="K119" s="32" t="s">
        <v>41</v>
      </c>
    </row>
    <row r="120" spans="1:12" hidden="1" x14ac:dyDescent="0.3">
      <c r="A120" s="39">
        <v>46170.379421296297</v>
      </c>
      <c r="B120" s="32" t="s">
        <v>48</v>
      </c>
      <c r="C120" s="32">
        <v>4430152533</v>
      </c>
      <c r="E120" s="32">
        <v>319</v>
      </c>
      <c r="F120" s="32">
        <v>306</v>
      </c>
      <c r="G120" s="32" t="s">
        <v>38</v>
      </c>
      <c r="H120" s="32" t="s">
        <v>2837</v>
      </c>
      <c r="I120" s="32" t="s">
        <v>46</v>
      </c>
      <c r="J120" s="32" t="s">
        <v>40</v>
      </c>
    </row>
    <row r="121" spans="1:12" hidden="1" x14ac:dyDescent="0.3">
      <c r="A121" s="39">
        <v>46170.37940972222</v>
      </c>
      <c r="B121" s="32">
        <v>4334234629</v>
      </c>
      <c r="C121" s="32" t="s">
        <v>43</v>
      </c>
      <c r="D121" s="32">
        <v>4430265054</v>
      </c>
      <c r="E121" s="32">
        <v>162</v>
      </c>
      <c r="F121" s="32">
        <v>121</v>
      </c>
      <c r="G121" s="32" t="s">
        <v>38</v>
      </c>
      <c r="H121" s="32" t="s">
        <v>2838</v>
      </c>
      <c r="I121" s="32" t="s">
        <v>39</v>
      </c>
      <c r="J121" s="32" t="s">
        <v>40</v>
      </c>
      <c r="K121" s="32" t="s">
        <v>41</v>
      </c>
    </row>
    <row r="122" spans="1:12" hidden="1" x14ac:dyDescent="0.3">
      <c r="A122" s="39">
        <v>46170.373194444444</v>
      </c>
      <c r="B122" s="32">
        <v>44997079838</v>
      </c>
      <c r="C122" s="32" t="s">
        <v>44</v>
      </c>
      <c r="D122" s="32">
        <v>4430265054</v>
      </c>
      <c r="E122" s="32">
        <v>640</v>
      </c>
      <c r="F122" s="32">
        <v>601</v>
      </c>
      <c r="G122" s="32" t="s">
        <v>38</v>
      </c>
      <c r="H122" s="32" t="s">
        <v>2839</v>
      </c>
      <c r="I122" s="32" t="s">
        <v>39</v>
      </c>
      <c r="J122" s="32" t="s">
        <v>40</v>
      </c>
      <c r="K122" s="32" t="s">
        <v>41</v>
      </c>
      <c r="L122" s="32">
        <v>5</v>
      </c>
    </row>
    <row r="123" spans="1:12" hidden="1" x14ac:dyDescent="0.3">
      <c r="A123" s="39">
        <v>46170.371157407404</v>
      </c>
      <c r="B123" s="32">
        <v>44998620323</v>
      </c>
      <c r="C123" s="32" t="s">
        <v>45</v>
      </c>
      <c r="D123" s="32">
        <v>4430265054</v>
      </c>
      <c r="E123" s="32">
        <v>966</v>
      </c>
      <c r="F123" s="32">
        <v>951</v>
      </c>
      <c r="G123" s="32" t="s">
        <v>38</v>
      </c>
      <c r="H123" s="32" t="s">
        <v>2840</v>
      </c>
      <c r="I123" s="32" t="s">
        <v>39</v>
      </c>
      <c r="J123" s="32" t="s">
        <v>40</v>
      </c>
      <c r="K123" s="32" t="s">
        <v>41</v>
      </c>
    </row>
    <row r="124" spans="1:12" hidden="1" x14ac:dyDescent="0.3">
      <c r="A124" s="39">
        <v>46170.361018518517</v>
      </c>
      <c r="B124" s="32">
        <v>44988255390</v>
      </c>
      <c r="C124" s="32" t="s">
        <v>45</v>
      </c>
      <c r="D124" s="32">
        <v>4430265054</v>
      </c>
      <c r="E124" s="32">
        <v>643</v>
      </c>
      <c r="F124" s="32">
        <v>601</v>
      </c>
      <c r="G124" s="32" t="s">
        <v>38</v>
      </c>
      <c r="H124" s="32" t="s">
        <v>2841</v>
      </c>
      <c r="I124" s="32" t="s">
        <v>39</v>
      </c>
      <c r="J124" s="32" t="s">
        <v>40</v>
      </c>
      <c r="K124" s="32" t="s">
        <v>41</v>
      </c>
    </row>
    <row r="125" spans="1:12" hidden="1" x14ac:dyDescent="0.3">
      <c r="A125" s="39">
        <v>46170.360694444447</v>
      </c>
      <c r="B125" s="32">
        <v>4334226481</v>
      </c>
      <c r="C125" s="32" t="s">
        <v>43</v>
      </c>
      <c r="D125" s="32">
        <v>4430265054</v>
      </c>
      <c r="E125" s="32">
        <v>78</v>
      </c>
      <c r="F125" s="32">
        <v>70</v>
      </c>
      <c r="G125" s="32" t="s">
        <v>38</v>
      </c>
      <c r="H125" s="32" t="s">
        <v>2842</v>
      </c>
      <c r="I125" s="32" t="s">
        <v>39</v>
      </c>
      <c r="J125" s="32" t="s">
        <v>40</v>
      </c>
      <c r="K125" s="32" t="s">
        <v>41</v>
      </c>
    </row>
    <row r="126" spans="1:12" hidden="1" x14ac:dyDescent="0.3">
      <c r="A126" s="39">
        <v>46170.360381944447</v>
      </c>
      <c r="B126" s="32">
        <v>44998620323</v>
      </c>
      <c r="C126" s="32" t="s">
        <v>44</v>
      </c>
      <c r="D126" s="32">
        <v>4430265054</v>
      </c>
      <c r="E126" s="32">
        <v>164</v>
      </c>
      <c r="F126" s="32">
        <v>145</v>
      </c>
      <c r="G126" s="32" t="s">
        <v>38</v>
      </c>
      <c r="H126" s="32" t="s">
        <v>2843</v>
      </c>
      <c r="I126" s="32" t="s">
        <v>39</v>
      </c>
      <c r="J126" s="32" t="s">
        <v>40</v>
      </c>
      <c r="K126" s="32" t="s">
        <v>41</v>
      </c>
    </row>
    <row r="127" spans="1:12" hidden="1" x14ac:dyDescent="0.3">
      <c r="A127" s="39">
        <v>46170.359814814816</v>
      </c>
      <c r="B127" s="32">
        <v>4440092826</v>
      </c>
      <c r="C127" s="32" t="s">
        <v>37</v>
      </c>
      <c r="D127" s="32">
        <v>4430265054</v>
      </c>
      <c r="E127" s="32">
        <v>4060</v>
      </c>
      <c r="F127" s="32">
        <v>4022</v>
      </c>
      <c r="G127" s="32" t="s">
        <v>38</v>
      </c>
      <c r="H127" s="32" t="s">
        <v>2844</v>
      </c>
      <c r="I127" s="32" t="s">
        <v>39</v>
      </c>
      <c r="J127" s="32" t="s">
        <v>40</v>
      </c>
      <c r="K127" s="32" t="s">
        <v>41</v>
      </c>
    </row>
    <row r="128" spans="1:12" hidden="1" x14ac:dyDescent="0.3">
      <c r="A128" s="39">
        <v>46170.358668981484</v>
      </c>
      <c r="B128" s="32">
        <v>83988398480</v>
      </c>
      <c r="C128" s="32" t="s">
        <v>45</v>
      </c>
      <c r="D128" s="32">
        <v>4430265054</v>
      </c>
      <c r="E128" s="32">
        <v>193</v>
      </c>
      <c r="F128" s="32">
        <v>181</v>
      </c>
      <c r="G128" s="32" t="s">
        <v>38</v>
      </c>
      <c r="H128" s="32" t="s">
        <v>2845</v>
      </c>
      <c r="I128" s="32" t="s">
        <v>39</v>
      </c>
      <c r="J128" s="32" t="s">
        <v>40</v>
      </c>
      <c r="K128" s="32" t="s">
        <v>41</v>
      </c>
    </row>
    <row r="129" spans="1:12" hidden="1" x14ac:dyDescent="0.3">
      <c r="A129" s="39">
        <v>46170.355532407404</v>
      </c>
      <c r="B129" s="32">
        <v>44999497001</v>
      </c>
      <c r="C129" s="32" t="s">
        <v>45</v>
      </c>
      <c r="D129" s="32">
        <v>4430265054</v>
      </c>
      <c r="E129" s="32">
        <v>200</v>
      </c>
      <c r="F129" s="32">
        <v>187</v>
      </c>
      <c r="G129" s="32" t="s">
        <v>38</v>
      </c>
      <c r="H129" s="32" t="s">
        <v>2846</v>
      </c>
      <c r="I129" s="32" t="s">
        <v>39</v>
      </c>
      <c r="J129" s="32" t="s">
        <v>40</v>
      </c>
      <c r="K129" s="32" t="s">
        <v>41</v>
      </c>
    </row>
    <row r="130" spans="1:12" hidden="1" x14ac:dyDescent="0.3">
      <c r="A130" s="39">
        <v>46170.350289351853</v>
      </c>
      <c r="B130" s="32" t="s">
        <v>50</v>
      </c>
      <c r="C130" s="32">
        <v>4430152023</v>
      </c>
      <c r="E130" s="32">
        <v>124</v>
      </c>
      <c r="F130" s="32">
        <v>112</v>
      </c>
      <c r="G130" s="32" t="s">
        <v>38</v>
      </c>
      <c r="H130" s="32" t="s">
        <v>2847</v>
      </c>
      <c r="I130" s="32" t="s">
        <v>46</v>
      </c>
      <c r="J130" s="32" t="s">
        <v>55</v>
      </c>
    </row>
    <row r="131" spans="1:12" hidden="1" x14ac:dyDescent="0.3">
      <c r="A131" s="39">
        <v>46170.336354166669</v>
      </c>
      <c r="B131" s="32">
        <v>1438160351</v>
      </c>
      <c r="C131" s="32">
        <v>4430265054</v>
      </c>
      <c r="D131" s="32">
        <v>4430265054</v>
      </c>
      <c r="E131" s="32">
        <v>8</v>
      </c>
      <c r="F131" s="32">
        <v>8</v>
      </c>
      <c r="G131" s="32" t="s">
        <v>52</v>
      </c>
      <c r="H131" s="32" t="s">
        <v>2848</v>
      </c>
      <c r="I131" s="32" t="s">
        <v>39</v>
      </c>
      <c r="J131" s="32" t="s">
        <v>53</v>
      </c>
    </row>
    <row r="132" spans="1:12" hidden="1" x14ac:dyDescent="0.3">
      <c r="A132" s="39">
        <v>46170.335289351853</v>
      </c>
      <c r="B132" s="32" t="s">
        <v>48</v>
      </c>
      <c r="C132" s="32">
        <v>4430152533</v>
      </c>
      <c r="E132" s="32">
        <v>175</v>
      </c>
      <c r="F132" s="32">
        <v>144</v>
      </c>
      <c r="G132" s="32" t="s">
        <v>38</v>
      </c>
      <c r="H132" s="32" t="s">
        <v>2849</v>
      </c>
      <c r="I132" s="32" t="s">
        <v>46</v>
      </c>
      <c r="J132" s="32" t="s">
        <v>40</v>
      </c>
    </row>
    <row r="133" spans="1:12" hidden="1" x14ac:dyDescent="0.3">
      <c r="A133" s="39">
        <v>46169.73033564815</v>
      </c>
      <c r="B133" s="32">
        <v>44999646909</v>
      </c>
      <c r="C133" s="32" t="s">
        <v>37</v>
      </c>
      <c r="D133" s="32">
        <v>4430265054</v>
      </c>
      <c r="E133" s="32">
        <v>1085</v>
      </c>
      <c r="F133" s="32">
        <v>905</v>
      </c>
      <c r="G133" s="32" t="s">
        <v>38</v>
      </c>
      <c r="H133" s="32" t="s">
        <v>2850</v>
      </c>
      <c r="I133" s="32" t="s">
        <v>39</v>
      </c>
      <c r="J133" s="32" t="s">
        <v>40</v>
      </c>
      <c r="K133" s="32" t="s">
        <v>41</v>
      </c>
      <c r="L133" s="32">
        <v>5</v>
      </c>
    </row>
    <row r="134" spans="1:12" hidden="1" x14ac:dyDescent="0.3">
      <c r="A134" s="39">
        <v>46169.728136574071</v>
      </c>
      <c r="B134" s="32">
        <v>4430141533</v>
      </c>
      <c r="C134" s="32" t="s">
        <v>48</v>
      </c>
      <c r="D134" s="32">
        <v>4430265054</v>
      </c>
      <c r="E134" s="32">
        <v>733</v>
      </c>
      <c r="F134" s="32">
        <v>732</v>
      </c>
      <c r="G134" s="32" t="s">
        <v>38</v>
      </c>
      <c r="H134" s="32" t="s">
        <v>2851</v>
      </c>
      <c r="I134" s="32" t="s">
        <v>39</v>
      </c>
      <c r="J134" s="32" t="s">
        <v>40</v>
      </c>
      <c r="K134" s="32" t="s">
        <v>41</v>
      </c>
    </row>
    <row r="135" spans="1:12" hidden="1" x14ac:dyDescent="0.3">
      <c r="A135" s="39">
        <v>46169.721724537034</v>
      </c>
      <c r="B135" s="32" t="s">
        <v>48</v>
      </c>
      <c r="C135" s="32">
        <v>4430152533</v>
      </c>
      <c r="E135" s="32">
        <v>260</v>
      </c>
      <c r="F135" s="32">
        <v>233</v>
      </c>
      <c r="G135" s="32" t="s">
        <v>38</v>
      </c>
      <c r="H135" s="32" t="s">
        <v>2852</v>
      </c>
      <c r="I135" s="32" t="s">
        <v>46</v>
      </c>
      <c r="J135" s="32" t="s">
        <v>40</v>
      </c>
    </row>
    <row r="136" spans="1:12" hidden="1" x14ac:dyDescent="0.3">
      <c r="A136" s="39">
        <v>46169.716724537036</v>
      </c>
      <c r="B136" s="32">
        <v>44999748684</v>
      </c>
      <c r="C136" s="32" t="s">
        <v>45</v>
      </c>
      <c r="D136" s="32">
        <v>4430265054</v>
      </c>
      <c r="E136" s="32">
        <v>259</v>
      </c>
      <c r="F136" s="32">
        <v>222</v>
      </c>
      <c r="G136" s="32" t="s">
        <v>38</v>
      </c>
      <c r="H136" s="32" t="s">
        <v>2853</v>
      </c>
      <c r="I136" s="32" t="s">
        <v>39</v>
      </c>
      <c r="J136" s="32" t="s">
        <v>40</v>
      </c>
      <c r="K136" s="32" t="s">
        <v>41</v>
      </c>
    </row>
    <row r="137" spans="1:12" hidden="1" x14ac:dyDescent="0.3">
      <c r="A137" s="39">
        <v>46169.715682870374</v>
      </c>
      <c r="B137" s="32" t="s">
        <v>50</v>
      </c>
      <c r="C137" s="32" t="s">
        <v>57</v>
      </c>
      <c r="E137" s="32">
        <v>150</v>
      </c>
      <c r="F137" s="32">
        <v>147</v>
      </c>
      <c r="G137" s="32" t="s">
        <v>38</v>
      </c>
      <c r="H137" s="32" t="s">
        <v>2854</v>
      </c>
      <c r="I137" s="32" t="s">
        <v>51</v>
      </c>
      <c r="J137" s="32" t="s">
        <v>55</v>
      </c>
    </row>
    <row r="138" spans="1:12" hidden="1" x14ac:dyDescent="0.3">
      <c r="A138" s="39">
        <v>46169.715555555558</v>
      </c>
      <c r="B138" s="32">
        <v>4430152533</v>
      </c>
      <c r="C138" s="32" t="s">
        <v>48</v>
      </c>
      <c r="D138" s="32">
        <v>4430265054</v>
      </c>
      <c r="E138" s="32">
        <v>128</v>
      </c>
      <c r="F138" s="32">
        <v>105</v>
      </c>
      <c r="G138" s="32" t="s">
        <v>38</v>
      </c>
      <c r="H138" s="32" t="s">
        <v>2855</v>
      </c>
      <c r="I138" s="32" t="s">
        <v>39</v>
      </c>
      <c r="J138" s="32" t="s">
        <v>40</v>
      </c>
      <c r="K138" s="32" t="s">
        <v>41</v>
      </c>
    </row>
    <row r="139" spans="1:12" hidden="1" x14ac:dyDescent="0.3">
      <c r="A139" s="39">
        <v>46169.715416666666</v>
      </c>
      <c r="B139" s="32">
        <v>4430141533</v>
      </c>
      <c r="C139" s="32">
        <v>4430265054</v>
      </c>
      <c r="D139" s="32">
        <v>4430265054</v>
      </c>
      <c r="E139" s="32">
        <v>3</v>
      </c>
      <c r="F139" s="32">
        <v>2</v>
      </c>
      <c r="G139" s="32" t="s">
        <v>52</v>
      </c>
      <c r="H139" s="32" t="s">
        <v>2856</v>
      </c>
      <c r="I139" s="32" t="s">
        <v>39</v>
      </c>
      <c r="J139" s="32" t="s">
        <v>53</v>
      </c>
    </row>
    <row r="140" spans="1:12" hidden="1" x14ac:dyDescent="0.3">
      <c r="A140" s="39">
        <v>46169.714988425927</v>
      </c>
      <c r="B140" s="32">
        <v>1131043888</v>
      </c>
      <c r="C140" s="32" t="s">
        <v>37</v>
      </c>
      <c r="D140" s="32">
        <v>4430265054</v>
      </c>
      <c r="E140" s="32">
        <v>1287</v>
      </c>
      <c r="F140" s="32">
        <v>1200</v>
      </c>
      <c r="G140" s="32" t="s">
        <v>38</v>
      </c>
      <c r="H140" s="32" t="s">
        <v>2857</v>
      </c>
      <c r="I140" s="32" t="s">
        <v>39</v>
      </c>
      <c r="J140" s="32" t="s">
        <v>40</v>
      </c>
      <c r="K140" s="32" t="s">
        <v>41</v>
      </c>
    </row>
    <row r="141" spans="1:12" hidden="1" x14ac:dyDescent="0.3">
      <c r="A141" s="39">
        <v>46169.70758101852</v>
      </c>
      <c r="B141" s="32" t="s">
        <v>48</v>
      </c>
      <c r="C141" s="32">
        <v>4430152533</v>
      </c>
      <c r="E141" s="32">
        <v>87</v>
      </c>
      <c r="F141" s="32">
        <v>59</v>
      </c>
      <c r="G141" s="32" t="s">
        <v>38</v>
      </c>
      <c r="H141" s="32" t="s">
        <v>2858</v>
      </c>
      <c r="I141" s="32" t="s">
        <v>46</v>
      </c>
      <c r="J141" s="32" t="s">
        <v>40</v>
      </c>
    </row>
    <row r="142" spans="1:12" hidden="1" x14ac:dyDescent="0.3">
      <c r="A142" s="39">
        <v>46169.699097222219</v>
      </c>
      <c r="B142" s="32" t="s">
        <v>48</v>
      </c>
      <c r="C142" s="32">
        <v>4430152533</v>
      </c>
      <c r="E142" s="32">
        <v>146</v>
      </c>
      <c r="F142" s="32">
        <v>122</v>
      </c>
      <c r="G142" s="32" t="s">
        <v>38</v>
      </c>
      <c r="H142" s="32" t="s">
        <v>2859</v>
      </c>
      <c r="I142" s="32" t="s">
        <v>46</v>
      </c>
      <c r="J142" s="32" t="s">
        <v>40</v>
      </c>
    </row>
    <row r="143" spans="1:12" hidden="1" x14ac:dyDescent="0.3">
      <c r="A143" s="39">
        <v>46169.689131944448</v>
      </c>
      <c r="B143" s="32">
        <v>4435226025</v>
      </c>
      <c r="C143" s="32" t="s">
        <v>43</v>
      </c>
      <c r="D143" s="32">
        <v>4430265054</v>
      </c>
      <c r="E143" s="32">
        <v>267</v>
      </c>
      <c r="F143" s="32">
        <v>248</v>
      </c>
      <c r="G143" s="32" t="s">
        <v>38</v>
      </c>
      <c r="H143" s="32" t="s">
        <v>2860</v>
      </c>
      <c r="I143" s="32" t="s">
        <v>39</v>
      </c>
      <c r="J143" s="32" t="s">
        <v>40</v>
      </c>
      <c r="K143" s="32" t="s">
        <v>41</v>
      </c>
    </row>
    <row r="144" spans="1:12" hidden="1" x14ac:dyDescent="0.3">
      <c r="A144" s="39">
        <v>46169.6872337963</v>
      </c>
      <c r="B144" s="32">
        <v>44991814587</v>
      </c>
      <c r="C144" s="32" t="s">
        <v>44</v>
      </c>
      <c r="D144" s="32">
        <v>4430265054</v>
      </c>
      <c r="E144" s="32">
        <v>4393</v>
      </c>
      <c r="F144" s="32">
        <v>4362</v>
      </c>
      <c r="G144" s="32" t="s">
        <v>38</v>
      </c>
      <c r="H144" s="32" t="s">
        <v>2861</v>
      </c>
      <c r="I144" s="32" t="s">
        <v>39</v>
      </c>
      <c r="J144" s="32" t="s">
        <v>40</v>
      </c>
      <c r="K144" s="32" t="s">
        <v>41</v>
      </c>
      <c r="L144" s="32">
        <v>5</v>
      </c>
    </row>
    <row r="145" spans="1:12" hidden="1" x14ac:dyDescent="0.3">
      <c r="A145" s="39">
        <v>46169.686990740738</v>
      </c>
      <c r="B145" s="32">
        <v>44991814587</v>
      </c>
      <c r="C145" s="32">
        <v>4430265054</v>
      </c>
      <c r="D145" s="32">
        <v>4430265054</v>
      </c>
      <c r="E145" s="32">
        <v>6</v>
      </c>
      <c r="F145" s="32">
        <v>5</v>
      </c>
      <c r="G145" s="32" t="s">
        <v>52</v>
      </c>
      <c r="H145" s="32" t="s">
        <v>2862</v>
      </c>
      <c r="I145" s="32" t="s">
        <v>39</v>
      </c>
      <c r="J145" s="32" t="s">
        <v>53</v>
      </c>
    </row>
    <row r="146" spans="1:12" hidden="1" x14ac:dyDescent="0.3">
      <c r="A146" s="39">
        <v>46169.684675925928</v>
      </c>
      <c r="B146" s="32">
        <v>4330333542</v>
      </c>
      <c r="C146" s="32" t="s">
        <v>37</v>
      </c>
      <c r="D146" s="32">
        <v>4430265054</v>
      </c>
      <c r="E146" s="32">
        <v>1334</v>
      </c>
      <c r="F146" s="32">
        <v>1269</v>
      </c>
      <c r="G146" s="32" t="s">
        <v>38</v>
      </c>
      <c r="H146" s="32" t="s">
        <v>2863</v>
      </c>
      <c r="I146" s="32" t="s">
        <v>39</v>
      </c>
      <c r="J146" s="32" t="s">
        <v>40</v>
      </c>
      <c r="K146" s="32" t="s">
        <v>41</v>
      </c>
    </row>
    <row r="147" spans="1:12" hidden="1" x14ac:dyDescent="0.3">
      <c r="A147" s="39">
        <v>46169.683206018519</v>
      </c>
      <c r="B147" s="32">
        <v>4432256273</v>
      </c>
      <c r="C147" s="32" t="s">
        <v>43</v>
      </c>
      <c r="D147" s="32">
        <v>4430265054</v>
      </c>
      <c r="E147" s="32">
        <v>359</v>
      </c>
      <c r="F147" s="32">
        <v>277</v>
      </c>
      <c r="G147" s="32" t="s">
        <v>38</v>
      </c>
      <c r="H147" s="32" t="s">
        <v>2864</v>
      </c>
      <c r="I147" s="32" t="s">
        <v>39</v>
      </c>
      <c r="J147" s="32" t="s">
        <v>40</v>
      </c>
      <c r="K147" s="32" t="s">
        <v>41</v>
      </c>
      <c r="L147" s="32">
        <v>5</v>
      </c>
    </row>
    <row r="148" spans="1:12" hidden="1" x14ac:dyDescent="0.3">
      <c r="A148" s="39">
        <v>46169.679513888892</v>
      </c>
      <c r="B148" s="32" t="s">
        <v>37</v>
      </c>
      <c r="C148" s="32">
        <v>1639391799</v>
      </c>
      <c r="E148" s="32">
        <v>260</v>
      </c>
      <c r="F148" s="32">
        <v>235</v>
      </c>
      <c r="G148" s="32" t="s">
        <v>38</v>
      </c>
      <c r="H148" s="32" t="s">
        <v>2865</v>
      </c>
      <c r="I148" s="32" t="s">
        <v>46</v>
      </c>
      <c r="J148" s="32" t="s">
        <v>40</v>
      </c>
      <c r="L148" s="32">
        <v>5</v>
      </c>
    </row>
    <row r="149" spans="1:12" hidden="1" x14ac:dyDescent="0.3">
      <c r="A149" s="39">
        <v>46169.670601851853</v>
      </c>
      <c r="B149" s="32">
        <v>6434534421</v>
      </c>
      <c r="C149" s="32" t="s">
        <v>45</v>
      </c>
      <c r="D149" s="32">
        <v>4430265054</v>
      </c>
      <c r="E149" s="32">
        <v>575</v>
      </c>
      <c r="F149" s="32">
        <v>516</v>
      </c>
      <c r="G149" s="32" t="s">
        <v>38</v>
      </c>
      <c r="H149" s="32" t="s">
        <v>2866</v>
      </c>
      <c r="I149" s="32" t="s">
        <v>39</v>
      </c>
      <c r="J149" s="32" t="s">
        <v>40</v>
      </c>
      <c r="K149" s="32" t="s">
        <v>41</v>
      </c>
      <c r="L149" s="32">
        <v>5</v>
      </c>
    </row>
    <row r="150" spans="1:12" hidden="1" x14ac:dyDescent="0.3">
      <c r="A150" s="39">
        <v>46169.668946759259</v>
      </c>
      <c r="B150" s="32" t="s">
        <v>48</v>
      </c>
      <c r="C150" s="32">
        <v>1732146970</v>
      </c>
      <c r="E150" s="32">
        <v>925</v>
      </c>
      <c r="F150" s="32">
        <v>923</v>
      </c>
      <c r="G150" s="32" t="s">
        <v>38</v>
      </c>
      <c r="H150" s="32" t="s">
        <v>2867</v>
      </c>
      <c r="I150" s="32" t="s">
        <v>46</v>
      </c>
      <c r="J150" s="32" t="s">
        <v>40</v>
      </c>
    </row>
    <row r="151" spans="1:12" hidden="1" x14ac:dyDescent="0.3">
      <c r="A151" s="39">
        <v>46169.668888888889</v>
      </c>
      <c r="B151" s="32" t="s">
        <v>48</v>
      </c>
      <c r="C151" s="32">
        <v>1732146970</v>
      </c>
      <c r="E151" s="32">
        <v>1</v>
      </c>
      <c r="F151" s="32">
        <v>0</v>
      </c>
      <c r="G151" s="32" t="s">
        <v>47</v>
      </c>
      <c r="H151" s="32" t="s">
        <v>2868</v>
      </c>
      <c r="I151" s="32" t="s">
        <v>46</v>
      </c>
      <c r="J151" s="32" t="s">
        <v>40</v>
      </c>
    </row>
    <row r="152" spans="1:12" hidden="1" x14ac:dyDescent="0.3">
      <c r="A152" s="39">
        <v>46169.668854166666</v>
      </c>
      <c r="B152" s="32" t="s">
        <v>48</v>
      </c>
      <c r="C152" s="32">
        <v>1732146970</v>
      </c>
      <c r="E152" s="32">
        <v>1</v>
      </c>
      <c r="F152" s="32">
        <v>0</v>
      </c>
      <c r="G152" s="32" t="s">
        <v>47</v>
      </c>
      <c r="H152" s="32" t="s">
        <v>2869</v>
      </c>
      <c r="I152" s="32" t="s">
        <v>46</v>
      </c>
      <c r="J152" s="32" t="s">
        <v>40</v>
      </c>
    </row>
    <row r="153" spans="1:12" hidden="1" x14ac:dyDescent="0.3">
      <c r="A153" s="39">
        <v>46169.663657407407</v>
      </c>
      <c r="B153" s="32">
        <v>1639391799</v>
      </c>
      <c r="C153" s="32" t="s">
        <v>43</v>
      </c>
      <c r="D153" s="32">
        <v>4430265054</v>
      </c>
      <c r="E153" s="32">
        <v>98</v>
      </c>
      <c r="F153" s="32">
        <v>59</v>
      </c>
      <c r="G153" s="32" t="s">
        <v>38</v>
      </c>
      <c r="H153" s="32" t="s">
        <v>2870</v>
      </c>
      <c r="I153" s="32" t="s">
        <v>39</v>
      </c>
      <c r="J153" s="32" t="s">
        <v>40</v>
      </c>
      <c r="K153" s="32" t="s">
        <v>41</v>
      </c>
    </row>
    <row r="154" spans="1:12" hidden="1" x14ac:dyDescent="0.3">
      <c r="A154" s="39">
        <v>46169.658738425926</v>
      </c>
      <c r="B154" s="32">
        <v>44998761561</v>
      </c>
      <c r="C154" s="32" t="s">
        <v>45</v>
      </c>
      <c r="D154" s="32">
        <v>4430265054</v>
      </c>
      <c r="E154" s="32">
        <v>362</v>
      </c>
      <c r="F154" s="32">
        <v>300</v>
      </c>
      <c r="G154" s="32" t="s">
        <v>38</v>
      </c>
      <c r="H154" s="32" t="s">
        <v>2871</v>
      </c>
      <c r="I154" s="32" t="s">
        <v>39</v>
      </c>
      <c r="J154" s="32" t="s">
        <v>40</v>
      </c>
      <c r="K154" s="32" t="s">
        <v>41</v>
      </c>
      <c r="L154" s="32">
        <v>5</v>
      </c>
    </row>
    <row r="155" spans="1:12" hidden="1" x14ac:dyDescent="0.3">
      <c r="A155" s="39">
        <v>46169.652638888889</v>
      </c>
      <c r="B155" s="32">
        <v>44999827582</v>
      </c>
      <c r="C155" s="32" t="s">
        <v>37</v>
      </c>
      <c r="D155" s="32">
        <v>4430265054</v>
      </c>
      <c r="E155" s="32">
        <v>1167</v>
      </c>
      <c r="F155" s="32">
        <v>1154</v>
      </c>
      <c r="G155" s="32" t="s">
        <v>38</v>
      </c>
      <c r="H155" s="32" t="s">
        <v>2872</v>
      </c>
      <c r="I155" s="32" t="s">
        <v>39</v>
      </c>
      <c r="J155" s="32" t="s">
        <v>40</v>
      </c>
      <c r="K155" s="32" t="s">
        <v>41</v>
      </c>
    </row>
    <row r="156" spans="1:12" hidden="1" x14ac:dyDescent="0.3">
      <c r="A156" s="39">
        <v>46169.650648148148</v>
      </c>
      <c r="B156" s="32">
        <v>44999822688</v>
      </c>
      <c r="C156" s="32" t="s">
        <v>44</v>
      </c>
      <c r="D156" s="32">
        <v>4430265054</v>
      </c>
      <c r="E156" s="32">
        <v>673</v>
      </c>
      <c r="F156" s="32">
        <v>589</v>
      </c>
      <c r="G156" s="32" t="s">
        <v>38</v>
      </c>
      <c r="H156" s="32" t="s">
        <v>2873</v>
      </c>
      <c r="I156" s="32" t="s">
        <v>39</v>
      </c>
      <c r="J156" s="32" t="s">
        <v>40</v>
      </c>
      <c r="K156" s="32" t="s">
        <v>41</v>
      </c>
      <c r="L156" s="32">
        <v>5</v>
      </c>
    </row>
    <row r="157" spans="1:12" hidden="1" x14ac:dyDescent="0.3">
      <c r="A157" s="39">
        <v>46169.643171296295</v>
      </c>
      <c r="B157" s="32">
        <v>44999420146</v>
      </c>
      <c r="C157" s="32" t="s">
        <v>44</v>
      </c>
      <c r="D157" s="32">
        <v>4430265054</v>
      </c>
      <c r="E157" s="32">
        <v>138</v>
      </c>
      <c r="F157" s="32">
        <v>101</v>
      </c>
      <c r="G157" s="32" t="s">
        <v>38</v>
      </c>
      <c r="H157" s="32" t="s">
        <v>2874</v>
      </c>
      <c r="I157" s="32" t="s">
        <v>39</v>
      </c>
      <c r="J157" s="32" t="s">
        <v>40</v>
      </c>
      <c r="K157" s="32" t="s">
        <v>41</v>
      </c>
      <c r="L157" s="32">
        <v>5</v>
      </c>
    </row>
    <row r="158" spans="1:12" hidden="1" x14ac:dyDescent="0.3">
      <c r="A158" s="39">
        <v>46169.626192129632</v>
      </c>
      <c r="B158" s="32">
        <v>1732146970</v>
      </c>
      <c r="C158" s="32" t="s">
        <v>37</v>
      </c>
      <c r="D158" s="32">
        <v>4431268225</v>
      </c>
      <c r="E158" s="32">
        <v>141</v>
      </c>
      <c r="F158" s="32">
        <v>113</v>
      </c>
      <c r="G158" s="32" t="s">
        <v>38</v>
      </c>
      <c r="H158" s="32" t="s">
        <v>2875</v>
      </c>
      <c r="I158" s="32" t="s">
        <v>39</v>
      </c>
      <c r="J158" s="32" t="s">
        <v>40</v>
      </c>
      <c r="K158" s="32" t="s">
        <v>41</v>
      </c>
    </row>
    <row r="159" spans="1:12" hidden="1" x14ac:dyDescent="0.3">
      <c r="A159" s="39">
        <v>46169.595312500001</v>
      </c>
      <c r="B159" s="32">
        <v>44999629349</v>
      </c>
      <c r="C159" s="32" t="s">
        <v>43</v>
      </c>
      <c r="D159" s="32">
        <v>4430265054</v>
      </c>
      <c r="E159" s="32">
        <v>619</v>
      </c>
      <c r="F159" s="32">
        <v>597</v>
      </c>
      <c r="G159" s="32" t="s">
        <v>38</v>
      </c>
      <c r="H159" s="32" t="s">
        <v>2876</v>
      </c>
      <c r="I159" s="32" t="s">
        <v>39</v>
      </c>
      <c r="J159" s="32" t="s">
        <v>40</v>
      </c>
      <c r="K159" s="32" t="s">
        <v>41</v>
      </c>
      <c r="L159" s="32">
        <v>5</v>
      </c>
    </row>
    <row r="160" spans="1:12" hidden="1" x14ac:dyDescent="0.3">
      <c r="A160" s="39">
        <v>46169.594988425924</v>
      </c>
      <c r="B160" s="32">
        <v>45998160883</v>
      </c>
      <c r="C160" s="32" t="s">
        <v>45</v>
      </c>
      <c r="D160" s="32">
        <v>4430265054</v>
      </c>
      <c r="E160" s="32">
        <v>3109</v>
      </c>
      <c r="F160" s="32">
        <v>3084</v>
      </c>
      <c r="G160" s="32" t="s">
        <v>38</v>
      </c>
      <c r="H160" s="32" t="s">
        <v>2877</v>
      </c>
      <c r="I160" s="32" t="s">
        <v>39</v>
      </c>
      <c r="J160" s="32" t="s">
        <v>40</v>
      </c>
      <c r="K160" s="32" t="s">
        <v>41</v>
      </c>
    </row>
    <row r="161" spans="1:12" hidden="1" x14ac:dyDescent="0.3">
      <c r="A161" s="39">
        <v>46169.593229166669</v>
      </c>
      <c r="B161" s="32">
        <v>1438780460</v>
      </c>
      <c r="C161" s="32">
        <v>4531273169</v>
      </c>
      <c r="D161" s="32">
        <v>4531273169</v>
      </c>
      <c r="E161" s="32">
        <v>5</v>
      </c>
      <c r="F161" s="32">
        <v>4</v>
      </c>
      <c r="G161" s="32" t="s">
        <v>52</v>
      </c>
      <c r="H161" s="32" t="s">
        <v>2878</v>
      </c>
      <c r="I161" s="32" t="s">
        <v>39</v>
      </c>
      <c r="J161" s="32" t="s">
        <v>53</v>
      </c>
    </row>
    <row r="162" spans="1:12" x14ac:dyDescent="0.3">
      <c r="A162" s="39">
        <v>46169.583090277774</v>
      </c>
      <c r="B162" s="32" t="s">
        <v>44</v>
      </c>
      <c r="C162" s="32">
        <v>44999420146</v>
      </c>
      <c r="E162" s="32">
        <v>1055</v>
      </c>
      <c r="F162" s="32">
        <v>1047</v>
      </c>
      <c r="G162" s="32" t="s">
        <v>38</v>
      </c>
      <c r="H162" s="32" t="s">
        <v>2879</v>
      </c>
      <c r="I162" s="32" t="s">
        <v>46</v>
      </c>
      <c r="J162" s="32" t="s">
        <v>40</v>
      </c>
      <c r="L162" s="32">
        <v>5</v>
      </c>
    </row>
    <row r="163" spans="1:12" hidden="1" x14ac:dyDescent="0.3">
      <c r="A163" s="39">
        <v>46169.582928240743</v>
      </c>
      <c r="B163" s="32" t="s">
        <v>44</v>
      </c>
      <c r="C163" s="32">
        <v>44999420146</v>
      </c>
      <c r="E163" s="32">
        <v>7</v>
      </c>
      <c r="F163" s="32">
        <v>0</v>
      </c>
      <c r="G163" s="32" t="s">
        <v>47</v>
      </c>
      <c r="H163" s="32" t="s">
        <v>2880</v>
      </c>
      <c r="I163" s="32" t="s">
        <v>46</v>
      </c>
      <c r="J163" s="32" t="s">
        <v>40</v>
      </c>
    </row>
    <row r="164" spans="1:12" hidden="1" x14ac:dyDescent="0.3">
      <c r="A164" s="39">
        <v>46169.582673611112</v>
      </c>
      <c r="B164" s="32">
        <v>4521017510</v>
      </c>
      <c r="C164" s="32">
        <v>4531273163</v>
      </c>
      <c r="D164" s="32">
        <v>4531273163</v>
      </c>
      <c r="E164" s="32">
        <v>47</v>
      </c>
      <c r="F164" s="32">
        <v>46</v>
      </c>
      <c r="G164" s="32" t="s">
        <v>52</v>
      </c>
      <c r="H164" s="32" t="s">
        <v>2881</v>
      </c>
      <c r="I164" s="32" t="s">
        <v>39</v>
      </c>
      <c r="J164" s="32" t="s">
        <v>53</v>
      </c>
      <c r="K164" s="32" t="s">
        <v>41</v>
      </c>
    </row>
    <row r="165" spans="1:12" hidden="1" x14ac:dyDescent="0.3">
      <c r="A165" s="39">
        <v>46169.574571759258</v>
      </c>
      <c r="B165" s="32">
        <v>44998761561</v>
      </c>
      <c r="C165" s="32" t="s">
        <v>45</v>
      </c>
      <c r="D165" s="32">
        <v>4430265054</v>
      </c>
      <c r="E165" s="32">
        <v>480</v>
      </c>
      <c r="F165" s="32">
        <v>428</v>
      </c>
      <c r="G165" s="32" t="s">
        <v>38</v>
      </c>
      <c r="H165" s="32" t="s">
        <v>2882</v>
      </c>
      <c r="I165" s="32" t="s">
        <v>39</v>
      </c>
      <c r="J165" s="32" t="s">
        <v>40</v>
      </c>
      <c r="K165" s="32" t="s">
        <v>41</v>
      </c>
      <c r="L165" s="32">
        <v>5</v>
      </c>
    </row>
    <row r="166" spans="1:12" hidden="1" x14ac:dyDescent="0.3">
      <c r="A166" s="39">
        <v>46169.57303240741</v>
      </c>
      <c r="B166" s="32" t="s">
        <v>48</v>
      </c>
      <c r="C166" s="32">
        <v>1732146970</v>
      </c>
      <c r="E166" s="32">
        <v>97</v>
      </c>
      <c r="F166" s="32">
        <v>95</v>
      </c>
      <c r="G166" s="32" t="s">
        <v>38</v>
      </c>
      <c r="H166" s="32" t="s">
        <v>2883</v>
      </c>
      <c r="I166" s="32" t="s">
        <v>46</v>
      </c>
      <c r="J166" s="32" t="s">
        <v>40</v>
      </c>
    </row>
    <row r="167" spans="1:12" hidden="1" x14ac:dyDescent="0.3">
      <c r="A167" s="39">
        <v>46169.570509259262</v>
      </c>
      <c r="B167" s="32">
        <v>44999451200</v>
      </c>
      <c r="C167" s="32" t="s">
        <v>45</v>
      </c>
      <c r="D167" s="32">
        <v>4430265054</v>
      </c>
      <c r="E167" s="32">
        <v>207</v>
      </c>
      <c r="F167" s="32">
        <v>171</v>
      </c>
      <c r="G167" s="32" t="s">
        <v>38</v>
      </c>
      <c r="H167" s="32" t="s">
        <v>2884</v>
      </c>
      <c r="I167" s="32" t="s">
        <v>39</v>
      </c>
      <c r="J167" s="32" t="s">
        <v>40</v>
      </c>
      <c r="K167" s="32" t="s">
        <v>41</v>
      </c>
    </row>
    <row r="168" spans="1:12" hidden="1" x14ac:dyDescent="0.3">
      <c r="A168" s="39">
        <v>46169.568206018521</v>
      </c>
      <c r="B168" s="32">
        <v>4521017510</v>
      </c>
      <c r="C168" s="32">
        <v>4531273161</v>
      </c>
      <c r="D168" s="32">
        <v>4531273161</v>
      </c>
      <c r="E168" s="32">
        <v>46</v>
      </c>
      <c r="F168" s="32">
        <v>46</v>
      </c>
      <c r="G168" s="32" t="s">
        <v>52</v>
      </c>
      <c r="H168" s="32" t="s">
        <v>2885</v>
      </c>
      <c r="I168" s="32" t="s">
        <v>39</v>
      </c>
      <c r="J168" s="32" t="s">
        <v>53</v>
      </c>
      <c r="K168" s="32" t="s">
        <v>41</v>
      </c>
    </row>
    <row r="169" spans="1:12" hidden="1" x14ac:dyDescent="0.3">
      <c r="A169" s="39">
        <v>46169.565462962964</v>
      </c>
      <c r="B169" s="32">
        <v>1639391799</v>
      </c>
      <c r="C169" s="32" t="s">
        <v>37</v>
      </c>
      <c r="D169" s="32">
        <v>4430265054</v>
      </c>
      <c r="E169" s="32">
        <v>2352</v>
      </c>
      <c r="F169" s="32">
        <v>2327</v>
      </c>
      <c r="G169" s="32" t="s">
        <v>38</v>
      </c>
      <c r="H169" s="32" t="s">
        <v>2886</v>
      </c>
      <c r="I169" s="32" t="s">
        <v>39</v>
      </c>
      <c r="J169" s="32" t="s">
        <v>40</v>
      </c>
      <c r="K169" s="32" t="s">
        <v>41</v>
      </c>
      <c r="L169" s="32">
        <v>5</v>
      </c>
    </row>
    <row r="170" spans="1:12" hidden="1" x14ac:dyDescent="0.3">
      <c r="A170" s="39">
        <v>46169.564305555556</v>
      </c>
      <c r="B170" s="32">
        <v>44999420146</v>
      </c>
      <c r="C170" s="32" t="s">
        <v>44</v>
      </c>
      <c r="D170" s="32">
        <v>4430265054</v>
      </c>
      <c r="E170" s="32">
        <v>1108</v>
      </c>
      <c r="F170" s="32">
        <v>1034</v>
      </c>
      <c r="G170" s="32" t="s">
        <v>38</v>
      </c>
      <c r="H170" s="32" t="s">
        <v>2887</v>
      </c>
      <c r="I170" s="32" t="s">
        <v>39</v>
      </c>
      <c r="J170" s="32" t="s">
        <v>40</v>
      </c>
      <c r="K170" s="32" t="s">
        <v>41</v>
      </c>
    </row>
    <row r="171" spans="1:12" hidden="1" x14ac:dyDescent="0.3">
      <c r="A171" s="39">
        <v>46169.560034722221</v>
      </c>
      <c r="B171" s="32">
        <v>1639391799</v>
      </c>
      <c r="C171" s="32">
        <v>4430265054</v>
      </c>
      <c r="D171" s="32">
        <v>4430265054</v>
      </c>
      <c r="E171" s="32">
        <v>15</v>
      </c>
      <c r="F171" s="32">
        <v>15</v>
      </c>
      <c r="G171" s="32" t="s">
        <v>52</v>
      </c>
      <c r="H171" s="32" t="s">
        <v>2888</v>
      </c>
      <c r="I171" s="32" t="s">
        <v>39</v>
      </c>
      <c r="J171" s="32" t="s">
        <v>53</v>
      </c>
    </row>
    <row r="172" spans="1:12" hidden="1" x14ac:dyDescent="0.3">
      <c r="A172" s="39">
        <v>46169.559849537036</v>
      </c>
      <c r="B172" s="32">
        <v>4433069060</v>
      </c>
      <c r="C172" s="32">
        <v>4430265054</v>
      </c>
      <c r="D172" s="32">
        <v>4430265054</v>
      </c>
      <c r="E172" s="32">
        <v>29</v>
      </c>
      <c r="F172" s="32">
        <v>28</v>
      </c>
      <c r="G172" s="32" t="s">
        <v>52</v>
      </c>
      <c r="H172" s="32" t="s">
        <v>2889</v>
      </c>
      <c r="I172" s="32" t="s">
        <v>39</v>
      </c>
      <c r="J172" s="32" t="s">
        <v>53</v>
      </c>
    </row>
    <row r="173" spans="1:12" hidden="1" x14ac:dyDescent="0.3">
      <c r="A173" s="39">
        <v>46169.558842592596</v>
      </c>
      <c r="B173" s="32">
        <v>44999420146</v>
      </c>
      <c r="C173" s="32">
        <v>4430265054</v>
      </c>
      <c r="D173" s="32">
        <v>4430265054</v>
      </c>
      <c r="E173" s="32">
        <v>18</v>
      </c>
      <c r="F173" s="32">
        <v>18</v>
      </c>
      <c r="G173" s="32" t="s">
        <v>52</v>
      </c>
      <c r="H173" s="32" t="s">
        <v>2890</v>
      </c>
      <c r="I173" s="32" t="s">
        <v>39</v>
      </c>
      <c r="J173" s="32" t="s">
        <v>53</v>
      </c>
    </row>
    <row r="174" spans="1:12" hidden="1" x14ac:dyDescent="0.3">
      <c r="A174" s="39">
        <v>46169.558344907404</v>
      </c>
      <c r="B174" s="32">
        <v>44999420146</v>
      </c>
      <c r="C174" s="32">
        <v>4430265054</v>
      </c>
      <c r="D174" s="32">
        <v>4430265054</v>
      </c>
      <c r="E174" s="32">
        <v>28</v>
      </c>
      <c r="F174" s="32">
        <v>28</v>
      </c>
      <c r="G174" s="32" t="s">
        <v>52</v>
      </c>
      <c r="H174" s="32" t="s">
        <v>2891</v>
      </c>
      <c r="I174" s="32" t="s">
        <v>39</v>
      </c>
      <c r="J174" s="32" t="s">
        <v>53</v>
      </c>
    </row>
    <row r="175" spans="1:12" hidden="1" x14ac:dyDescent="0.3">
      <c r="A175" s="39">
        <v>46169.484895833331</v>
      </c>
      <c r="B175" s="32">
        <v>4521017510</v>
      </c>
      <c r="C175" s="32">
        <v>4531273172</v>
      </c>
      <c r="D175" s="32">
        <v>4531273172</v>
      </c>
      <c r="E175" s="32">
        <v>47</v>
      </c>
      <c r="F175" s="32">
        <v>46</v>
      </c>
      <c r="G175" s="32" t="s">
        <v>52</v>
      </c>
      <c r="H175" s="32" t="s">
        <v>2892</v>
      </c>
      <c r="I175" s="32" t="s">
        <v>39</v>
      </c>
      <c r="J175" s="32" t="s">
        <v>53</v>
      </c>
      <c r="K175" s="32" t="s">
        <v>41</v>
      </c>
    </row>
    <row r="176" spans="1:12" hidden="1" x14ac:dyDescent="0.3">
      <c r="A176" s="39">
        <v>46169.482731481483</v>
      </c>
      <c r="B176" s="32" t="s">
        <v>45</v>
      </c>
      <c r="C176" s="32">
        <v>4432697000</v>
      </c>
      <c r="E176" s="32">
        <v>489</v>
      </c>
      <c r="F176" s="32">
        <v>460</v>
      </c>
      <c r="G176" s="32" t="s">
        <v>38</v>
      </c>
      <c r="H176" s="32" t="s">
        <v>2893</v>
      </c>
      <c r="I176" s="32" t="s">
        <v>46</v>
      </c>
      <c r="J176" s="32" t="s">
        <v>40</v>
      </c>
    </row>
    <row r="177" spans="1:12" hidden="1" x14ac:dyDescent="0.3">
      <c r="A177" s="39">
        <v>46169.468587962961</v>
      </c>
      <c r="B177" s="32">
        <v>4430450103</v>
      </c>
      <c r="C177" s="32" t="s">
        <v>37</v>
      </c>
      <c r="D177" s="32">
        <v>4430265054</v>
      </c>
      <c r="E177" s="32">
        <v>2938</v>
      </c>
      <c r="F177" s="32">
        <v>2868</v>
      </c>
      <c r="G177" s="32" t="s">
        <v>38</v>
      </c>
      <c r="H177" s="32" t="s">
        <v>2894</v>
      </c>
      <c r="I177" s="32" t="s">
        <v>39</v>
      </c>
      <c r="J177" s="32" t="s">
        <v>40</v>
      </c>
      <c r="K177" s="32" t="s">
        <v>41</v>
      </c>
      <c r="L177" s="32">
        <v>5</v>
      </c>
    </row>
    <row r="178" spans="1:12" hidden="1" x14ac:dyDescent="0.3">
      <c r="A178" s="39">
        <v>46169.453981481478</v>
      </c>
      <c r="B178" s="32">
        <v>62981535978</v>
      </c>
      <c r="C178" s="32" t="s">
        <v>43</v>
      </c>
      <c r="D178" s="32">
        <v>4430265054</v>
      </c>
      <c r="E178" s="32">
        <v>394</v>
      </c>
      <c r="F178" s="32">
        <v>282</v>
      </c>
      <c r="G178" s="32" t="s">
        <v>38</v>
      </c>
      <c r="H178" s="32" t="s">
        <v>2895</v>
      </c>
      <c r="I178" s="32" t="s">
        <v>39</v>
      </c>
      <c r="J178" s="32" t="s">
        <v>40</v>
      </c>
      <c r="K178" s="32" t="s">
        <v>41</v>
      </c>
      <c r="L178" s="32">
        <v>5</v>
      </c>
    </row>
    <row r="179" spans="1:12" hidden="1" x14ac:dyDescent="0.3">
      <c r="A179" s="39">
        <v>46169.45208333333</v>
      </c>
      <c r="B179" s="32">
        <v>44991354005</v>
      </c>
      <c r="C179" s="32" t="s">
        <v>45</v>
      </c>
      <c r="D179" s="32">
        <v>4430265054</v>
      </c>
      <c r="E179" s="32">
        <v>1217</v>
      </c>
      <c r="F179" s="32">
        <v>1178</v>
      </c>
      <c r="G179" s="32" t="s">
        <v>38</v>
      </c>
      <c r="H179" s="32" t="s">
        <v>2896</v>
      </c>
      <c r="I179" s="32" t="s">
        <v>39</v>
      </c>
      <c r="J179" s="32" t="s">
        <v>40</v>
      </c>
      <c r="K179" s="32" t="s">
        <v>41</v>
      </c>
    </row>
    <row r="180" spans="1:12" hidden="1" x14ac:dyDescent="0.3">
      <c r="A180" s="39">
        <v>46169.444976851853</v>
      </c>
      <c r="B180" s="32" t="s">
        <v>45</v>
      </c>
      <c r="C180" s="32">
        <v>4432323708</v>
      </c>
      <c r="E180" s="32">
        <v>3</v>
      </c>
      <c r="F180" s="32">
        <v>0</v>
      </c>
      <c r="G180" s="32" t="s">
        <v>47</v>
      </c>
      <c r="H180" s="32" t="s">
        <v>2897</v>
      </c>
      <c r="I180" s="32" t="s">
        <v>46</v>
      </c>
      <c r="J180" s="32" t="s">
        <v>40</v>
      </c>
    </row>
    <row r="181" spans="1:12" hidden="1" x14ac:dyDescent="0.3">
      <c r="A181" s="39">
        <v>46169.444039351853</v>
      </c>
      <c r="B181" s="32" t="s">
        <v>45</v>
      </c>
      <c r="C181" s="32">
        <v>4430153708</v>
      </c>
      <c r="E181" s="32">
        <v>78</v>
      </c>
      <c r="F181" s="32">
        <v>0</v>
      </c>
      <c r="G181" s="32" t="s">
        <v>47</v>
      </c>
      <c r="H181" s="32" t="s">
        <v>2898</v>
      </c>
      <c r="I181" s="32" t="s">
        <v>46</v>
      </c>
      <c r="J181" s="32" t="s">
        <v>40</v>
      </c>
    </row>
    <row r="182" spans="1:12" hidden="1" x14ac:dyDescent="0.3">
      <c r="A182" s="39">
        <v>46169.442858796298</v>
      </c>
      <c r="B182" s="32">
        <v>44998107650</v>
      </c>
      <c r="C182" s="32" t="s">
        <v>37</v>
      </c>
      <c r="D182" s="32">
        <v>4431268225</v>
      </c>
      <c r="E182" s="32">
        <v>848</v>
      </c>
      <c r="F182" s="32">
        <v>801</v>
      </c>
      <c r="G182" s="32" t="s">
        <v>38</v>
      </c>
      <c r="H182" s="32" t="s">
        <v>2899</v>
      </c>
      <c r="I182" s="32" t="s">
        <v>39</v>
      </c>
      <c r="J182" s="32" t="s">
        <v>40</v>
      </c>
      <c r="K182" s="32" t="s">
        <v>41</v>
      </c>
      <c r="L182" s="32">
        <v>5</v>
      </c>
    </row>
    <row r="183" spans="1:12" hidden="1" x14ac:dyDescent="0.3">
      <c r="A183" s="39">
        <v>46169.431701388887</v>
      </c>
      <c r="B183" s="32">
        <v>4330333542</v>
      </c>
      <c r="C183" s="32" t="s">
        <v>45</v>
      </c>
      <c r="D183" s="32">
        <v>4430265054</v>
      </c>
      <c r="E183" s="32">
        <v>394</v>
      </c>
      <c r="F183" s="32">
        <v>354</v>
      </c>
      <c r="G183" s="32" t="s">
        <v>38</v>
      </c>
      <c r="H183" s="32" t="s">
        <v>2900</v>
      </c>
      <c r="I183" s="32" t="s">
        <v>39</v>
      </c>
      <c r="J183" s="32" t="s">
        <v>40</v>
      </c>
      <c r="K183" s="32" t="s">
        <v>41</v>
      </c>
    </row>
    <row r="184" spans="1:12" hidden="1" x14ac:dyDescent="0.3">
      <c r="A184" s="39">
        <v>46169.431076388886</v>
      </c>
      <c r="B184" s="32">
        <v>81988293889</v>
      </c>
      <c r="C184" s="32" t="s">
        <v>43</v>
      </c>
      <c r="D184" s="32">
        <v>4431268225</v>
      </c>
      <c r="E184" s="32">
        <v>237</v>
      </c>
      <c r="F184" s="32">
        <v>202</v>
      </c>
      <c r="G184" s="32" t="s">
        <v>38</v>
      </c>
      <c r="H184" s="32" t="s">
        <v>2901</v>
      </c>
      <c r="I184" s="32" t="s">
        <v>39</v>
      </c>
      <c r="J184" s="32" t="s">
        <v>40</v>
      </c>
      <c r="K184" s="32" t="s">
        <v>41</v>
      </c>
    </row>
    <row r="185" spans="1:12" hidden="1" x14ac:dyDescent="0.3">
      <c r="A185" s="39">
        <v>46169.419803240744</v>
      </c>
      <c r="B185" s="32">
        <v>4434233230</v>
      </c>
      <c r="C185" s="32" t="s">
        <v>37</v>
      </c>
      <c r="D185" s="32">
        <v>4430265054</v>
      </c>
      <c r="E185" s="32">
        <v>577</v>
      </c>
      <c r="F185" s="32">
        <v>523</v>
      </c>
      <c r="G185" s="32" t="s">
        <v>38</v>
      </c>
      <c r="H185" s="32" t="s">
        <v>2902</v>
      </c>
      <c r="I185" s="32" t="s">
        <v>39</v>
      </c>
      <c r="J185" s="32" t="s">
        <v>40</v>
      </c>
      <c r="K185" s="32" t="s">
        <v>41</v>
      </c>
    </row>
    <row r="186" spans="1:12" hidden="1" x14ac:dyDescent="0.3">
      <c r="A186" s="39">
        <v>46169.416817129626</v>
      </c>
      <c r="B186" s="32" t="s">
        <v>50</v>
      </c>
      <c r="C186" s="32" t="s">
        <v>57</v>
      </c>
      <c r="E186" s="32">
        <v>382</v>
      </c>
      <c r="F186" s="32">
        <v>378</v>
      </c>
      <c r="G186" s="32" t="s">
        <v>38</v>
      </c>
      <c r="H186" s="32" t="s">
        <v>2903</v>
      </c>
      <c r="I186" s="32" t="s">
        <v>51</v>
      </c>
      <c r="J186" s="32" t="s">
        <v>55</v>
      </c>
    </row>
    <row r="187" spans="1:12" hidden="1" x14ac:dyDescent="0.3">
      <c r="A187" s="39">
        <v>46169.405011574076</v>
      </c>
      <c r="B187" s="32" t="s">
        <v>43</v>
      </c>
      <c r="C187" s="32">
        <v>4432520627</v>
      </c>
      <c r="E187" s="32">
        <v>757</v>
      </c>
      <c r="F187" s="32">
        <v>749</v>
      </c>
      <c r="G187" s="32" t="s">
        <v>38</v>
      </c>
      <c r="H187" s="32" t="s">
        <v>2904</v>
      </c>
      <c r="I187" s="32" t="s">
        <v>46</v>
      </c>
      <c r="J187" s="32" t="s">
        <v>40</v>
      </c>
    </row>
    <row r="188" spans="1:12" hidden="1" x14ac:dyDescent="0.3">
      <c r="A188" s="39">
        <v>46169.396608796298</v>
      </c>
      <c r="B188" s="32">
        <v>45999211357</v>
      </c>
      <c r="C188" s="32" t="s">
        <v>45</v>
      </c>
      <c r="D188" s="32">
        <v>4431268225</v>
      </c>
      <c r="E188" s="32">
        <v>913</v>
      </c>
      <c r="F188" s="32">
        <v>845</v>
      </c>
      <c r="G188" s="32" t="s">
        <v>38</v>
      </c>
      <c r="H188" s="32" t="s">
        <v>2905</v>
      </c>
      <c r="I188" s="32" t="s">
        <v>39</v>
      </c>
      <c r="J188" s="32" t="s">
        <v>40</v>
      </c>
      <c r="K188" s="32" t="s">
        <v>41</v>
      </c>
      <c r="L188" s="32">
        <v>4</v>
      </c>
    </row>
    <row r="189" spans="1:12" hidden="1" x14ac:dyDescent="0.3">
      <c r="A189" s="39">
        <v>46169.393865740742</v>
      </c>
      <c r="B189" s="32">
        <v>44999451200</v>
      </c>
      <c r="C189" s="32" t="s">
        <v>57</v>
      </c>
      <c r="D189" s="32">
        <v>4430265054</v>
      </c>
      <c r="E189" s="32">
        <v>104</v>
      </c>
      <c r="F189" s="32">
        <v>82</v>
      </c>
      <c r="G189" s="32" t="s">
        <v>38</v>
      </c>
      <c r="H189" s="32" t="s">
        <v>2906</v>
      </c>
      <c r="I189" s="32" t="s">
        <v>39</v>
      </c>
      <c r="J189" s="32" t="s">
        <v>55</v>
      </c>
      <c r="K189" s="32" t="s">
        <v>49</v>
      </c>
    </row>
    <row r="190" spans="1:12" hidden="1" x14ac:dyDescent="0.3">
      <c r="A190" s="39">
        <v>46169.392465277779</v>
      </c>
      <c r="B190" s="32" t="s">
        <v>37</v>
      </c>
      <c r="C190" s="32">
        <v>44998107650</v>
      </c>
      <c r="E190" s="32">
        <v>480</v>
      </c>
      <c r="F190" s="32">
        <v>470</v>
      </c>
      <c r="G190" s="32" t="s">
        <v>38</v>
      </c>
      <c r="H190" s="32" t="s">
        <v>2907</v>
      </c>
      <c r="I190" s="32" t="s">
        <v>46</v>
      </c>
      <c r="J190" s="32" t="s">
        <v>40</v>
      </c>
      <c r="L190" s="32">
        <v>5</v>
      </c>
    </row>
    <row r="191" spans="1:12" hidden="1" x14ac:dyDescent="0.3">
      <c r="A191" s="39">
        <v>46169.387939814813</v>
      </c>
      <c r="B191" s="32">
        <v>4430450103</v>
      </c>
      <c r="C191" s="32" t="s">
        <v>45</v>
      </c>
      <c r="D191" s="32">
        <v>4430265054</v>
      </c>
      <c r="E191" s="32">
        <v>824</v>
      </c>
      <c r="F191" s="32">
        <v>801</v>
      </c>
      <c r="G191" s="32" t="s">
        <v>38</v>
      </c>
      <c r="H191" s="32" t="s">
        <v>2908</v>
      </c>
      <c r="I191" s="32" t="s">
        <v>39</v>
      </c>
      <c r="J191" s="32" t="s">
        <v>40</v>
      </c>
      <c r="K191" s="32" t="s">
        <v>41</v>
      </c>
      <c r="L191" s="32">
        <v>5</v>
      </c>
    </row>
    <row r="192" spans="1:12" hidden="1" x14ac:dyDescent="0.3">
      <c r="A192" s="39">
        <v>46169.381296296298</v>
      </c>
      <c r="B192" s="32">
        <v>4130760170</v>
      </c>
      <c r="C192" s="32" t="s">
        <v>37</v>
      </c>
      <c r="D192" s="32">
        <v>4430265054</v>
      </c>
      <c r="E192" s="32">
        <v>179</v>
      </c>
      <c r="F192" s="32">
        <v>126</v>
      </c>
      <c r="G192" s="32" t="s">
        <v>38</v>
      </c>
      <c r="H192" s="32" t="s">
        <v>2909</v>
      </c>
      <c r="I192" s="32" t="s">
        <v>39</v>
      </c>
      <c r="J192" s="32" t="s">
        <v>40</v>
      </c>
      <c r="K192" s="32" t="s">
        <v>41</v>
      </c>
    </row>
    <row r="193" spans="1:12" hidden="1" x14ac:dyDescent="0.3">
      <c r="A193" s="39">
        <v>46169.371261574073</v>
      </c>
      <c r="B193" s="32" t="s">
        <v>48</v>
      </c>
      <c r="C193" s="32">
        <v>4435341422</v>
      </c>
      <c r="E193" s="32">
        <v>76</v>
      </c>
      <c r="F193" s="32">
        <v>60</v>
      </c>
      <c r="G193" s="32" t="s">
        <v>38</v>
      </c>
      <c r="H193" s="32" t="s">
        <v>2910</v>
      </c>
      <c r="I193" s="32" t="s">
        <v>46</v>
      </c>
      <c r="J193" s="32" t="s">
        <v>40</v>
      </c>
    </row>
    <row r="194" spans="1:12" hidden="1" x14ac:dyDescent="0.3">
      <c r="A194" s="39">
        <v>46169.3596412037</v>
      </c>
      <c r="B194" s="32">
        <v>44998761561</v>
      </c>
      <c r="C194" s="32" t="s">
        <v>44</v>
      </c>
      <c r="D194" s="32">
        <v>4430265054</v>
      </c>
      <c r="E194" s="32">
        <v>2754</v>
      </c>
      <c r="F194" s="32">
        <v>2634</v>
      </c>
      <c r="G194" s="32" t="s">
        <v>38</v>
      </c>
      <c r="H194" s="32" t="s">
        <v>2911</v>
      </c>
      <c r="I194" s="32" t="s">
        <v>39</v>
      </c>
      <c r="J194" s="32" t="s">
        <v>40</v>
      </c>
      <c r="K194" s="32" t="s">
        <v>41</v>
      </c>
      <c r="L194" s="32">
        <v>5</v>
      </c>
    </row>
    <row r="195" spans="1:12" hidden="1" x14ac:dyDescent="0.3">
      <c r="A195" s="39">
        <v>46169.357002314813</v>
      </c>
      <c r="B195" s="32" t="s">
        <v>48</v>
      </c>
      <c r="C195" s="32">
        <v>4435341422</v>
      </c>
      <c r="E195" s="32">
        <v>747</v>
      </c>
      <c r="F195" s="32">
        <v>736</v>
      </c>
      <c r="G195" s="32" t="s">
        <v>38</v>
      </c>
      <c r="H195" s="32" t="s">
        <v>2912</v>
      </c>
      <c r="I195" s="32" t="s">
        <v>46</v>
      </c>
      <c r="J195" s="32" t="s">
        <v>40</v>
      </c>
    </row>
    <row r="196" spans="1:12" hidden="1" x14ac:dyDescent="0.3">
      <c r="A196" s="39">
        <v>46169.354641203703</v>
      </c>
      <c r="B196" s="32">
        <v>44937562600</v>
      </c>
      <c r="C196" s="32" t="s">
        <v>45</v>
      </c>
      <c r="D196" s="32">
        <v>4430265054</v>
      </c>
      <c r="E196" s="32">
        <v>689</v>
      </c>
      <c r="F196" s="32">
        <v>652</v>
      </c>
      <c r="G196" s="32" t="s">
        <v>38</v>
      </c>
      <c r="H196" s="32" t="s">
        <v>2913</v>
      </c>
      <c r="I196" s="32" t="s">
        <v>39</v>
      </c>
      <c r="J196" s="32" t="s">
        <v>40</v>
      </c>
      <c r="K196" s="32" t="s">
        <v>41</v>
      </c>
      <c r="L196" s="32">
        <v>5</v>
      </c>
    </row>
    <row r="197" spans="1:12" hidden="1" x14ac:dyDescent="0.3">
      <c r="A197" s="39">
        <v>46169.34207175926</v>
      </c>
      <c r="B197" s="32" t="s">
        <v>37</v>
      </c>
      <c r="C197" s="32">
        <v>44999405889</v>
      </c>
      <c r="E197" s="32">
        <v>1508</v>
      </c>
      <c r="F197" s="32">
        <v>1493</v>
      </c>
      <c r="G197" s="32" t="s">
        <v>38</v>
      </c>
      <c r="H197" s="32" t="s">
        <v>2914</v>
      </c>
      <c r="I197" s="32" t="s">
        <v>46</v>
      </c>
      <c r="J197" s="32" t="s">
        <v>40</v>
      </c>
    </row>
    <row r="198" spans="1:12" hidden="1" x14ac:dyDescent="0.3">
      <c r="A198" s="39">
        <v>46169.341863425929</v>
      </c>
      <c r="B198" s="32" t="s">
        <v>37</v>
      </c>
      <c r="C198" s="32">
        <v>4430459032</v>
      </c>
      <c r="E198" s="32">
        <v>4</v>
      </c>
      <c r="F198" s="32">
        <v>0</v>
      </c>
      <c r="G198" s="32" t="s">
        <v>47</v>
      </c>
      <c r="H198" s="32" t="s">
        <v>2915</v>
      </c>
      <c r="I198" s="32" t="s">
        <v>46</v>
      </c>
      <c r="J198" s="32" t="s">
        <v>40</v>
      </c>
    </row>
    <row r="199" spans="1:12" hidden="1" x14ac:dyDescent="0.3">
      <c r="A199" s="39">
        <v>46169.341226851851</v>
      </c>
      <c r="B199" s="32" t="s">
        <v>37</v>
      </c>
      <c r="C199" s="32">
        <v>4430459032</v>
      </c>
      <c r="E199" s="32">
        <v>9</v>
      </c>
      <c r="F199" s="32">
        <v>0</v>
      </c>
      <c r="G199" s="32" t="s">
        <v>47</v>
      </c>
      <c r="H199" s="32" t="s">
        <v>2916</v>
      </c>
      <c r="I199" s="32" t="s">
        <v>46</v>
      </c>
      <c r="J199" s="32" t="s">
        <v>40</v>
      </c>
    </row>
    <row r="200" spans="1:12" hidden="1" x14ac:dyDescent="0.3">
      <c r="A200" s="39">
        <v>46169.337372685186</v>
      </c>
      <c r="B200" s="32">
        <v>1438160351</v>
      </c>
      <c r="C200" s="32">
        <v>4430265054</v>
      </c>
      <c r="D200" s="32">
        <v>4430265054</v>
      </c>
      <c r="E200" s="32">
        <v>9</v>
      </c>
      <c r="F200" s="32">
        <v>8</v>
      </c>
      <c r="G200" s="32" t="s">
        <v>52</v>
      </c>
      <c r="H200" s="32" t="s">
        <v>2917</v>
      </c>
      <c r="I200" s="32" t="s">
        <v>39</v>
      </c>
      <c r="J200" s="32" t="s">
        <v>53</v>
      </c>
    </row>
    <row r="201" spans="1:12" hidden="1" x14ac:dyDescent="0.3">
      <c r="A201" s="39">
        <v>46169.3362037037</v>
      </c>
      <c r="B201" s="32" t="s">
        <v>48</v>
      </c>
      <c r="C201" s="32">
        <v>4435341422</v>
      </c>
      <c r="E201" s="32">
        <v>109</v>
      </c>
      <c r="F201" s="32">
        <v>92</v>
      </c>
      <c r="G201" s="32" t="s">
        <v>38</v>
      </c>
      <c r="H201" s="32" t="s">
        <v>2918</v>
      </c>
      <c r="I201" s="32" t="s">
        <v>46</v>
      </c>
      <c r="J201" s="32" t="s">
        <v>40</v>
      </c>
    </row>
    <row r="202" spans="1:12" hidden="1" x14ac:dyDescent="0.3">
      <c r="A202" s="39">
        <v>46168.731111111112</v>
      </c>
      <c r="B202" s="32">
        <v>44999195785</v>
      </c>
      <c r="C202" s="32" t="s">
        <v>37</v>
      </c>
      <c r="D202" s="32">
        <v>4430265054</v>
      </c>
      <c r="E202" s="32">
        <v>353</v>
      </c>
      <c r="F202" s="32">
        <v>217</v>
      </c>
      <c r="G202" s="32" t="s">
        <v>38</v>
      </c>
      <c r="H202" s="32" t="s">
        <v>2919</v>
      </c>
      <c r="I202" s="32" t="s">
        <v>39</v>
      </c>
      <c r="J202" s="32" t="s">
        <v>40</v>
      </c>
      <c r="K202" s="32" t="s">
        <v>41</v>
      </c>
    </row>
    <row r="203" spans="1:12" hidden="1" x14ac:dyDescent="0.3">
      <c r="A203" s="39">
        <v>46168.722881944443</v>
      </c>
      <c r="B203" s="32">
        <v>44999632141</v>
      </c>
      <c r="C203" s="32" t="s">
        <v>45</v>
      </c>
      <c r="D203" s="32">
        <v>4430265054</v>
      </c>
      <c r="E203" s="32">
        <v>280</v>
      </c>
      <c r="F203" s="32">
        <v>214</v>
      </c>
      <c r="G203" s="32" t="s">
        <v>38</v>
      </c>
      <c r="H203" s="32" t="s">
        <v>2920</v>
      </c>
      <c r="I203" s="32" t="s">
        <v>39</v>
      </c>
      <c r="J203" s="32" t="s">
        <v>40</v>
      </c>
      <c r="K203" s="32" t="s">
        <v>41</v>
      </c>
    </row>
    <row r="204" spans="1:12" hidden="1" x14ac:dyDescent="0.3">
      <c r="A204" s="39">
        <v>46168.706423611111</v>
      </c>
      <c r="B204" s="32" t="s">
        <v>48</v>
      </c>
      <c r="C204" s="32">
        <v>4435341422</v>
      </c>
      <c r="E204" s="32">
        <v>261</v>
      </c>
      <c r="F204" s="32">
        <v>244</v>
      </c>
      <c r="G204" s="32" t="s">
        <v>38</v>
      </c>
      <c r="H204" s="32" t="s">
        <v>2921</v>
      </c>
      <c r="I204" s="32" t="s">
        <v>46</v>
      </c>
      <c r="J204" s="32" t="s">
        <v>40</v>
      </c>
    </row>
    <row r="205" spans="1:12" hidden="1" x14ac:dyDescent="0.3">
      <c r="A205" s="39">
        <v>46168.687627314815</v>
      </c>
      <c r="B205" s="32">
        <v>1128897100</v>
      </c>
      <c r="C205" s="32">
        <v>3000</v>
      </c>
      <c r="D205" s="32">
        <v>4430265054</v>
      </c>
      <c r="E205" s="32">
        <v>366</v>
      </c>
      <c r="F205" s="32">
        <v>350</v>
      </c>
      <c r="G205" s="32" t="s">
        <v>38</v>
      </c>
      <c r="H205" s="32" t="s">
        <v>2922</v>
      </c>
      <c r="I205" s="32" t="s">
        <v>39</v>
      </c>
      <c r="J205" s="32" t="s">
        <v>53</v>
      </c>
      <c r="K205" s="32" t="s">
        <v>41</v>
      </c>
    </row>
    <row r="206" spans="1:12" hidden="1" x14ac:dyDescent="0.3">
      <c r="A206" s="39">
        <v>46168.685972222222</v>
      </c>
      <c r="B206" s="32" t="s">
        <v>37</v>
      </c>
      <c r="C206" s="32">
        <v>44991357723</v>
      </c>
      <c r="E206" s="32">
        <v>1720</v>
      </c>
      <c r="F206" s="32">
        <v>1694</v>
      </c>
      <c r="G206" s="32" t="s">
        <v>38</v>
      </c>
      <c r="H206" s="32" t="s">
        <v>2923</v>
      </c>
      <c r="I206" s="32" t="s">
        <v>46</v>
      </c>
      <c r="J206" s="32" t="s">
        <v>40</v>
      </c>
    </row>
    <row r="207" spans="1:12" hidden="1" x14ac:dyDescent="0.3">
      <c r="A207" s="39">
        <v>46168.685624999998</v>
      </c>
      <c r="B207" s="32" t="s">
        <v>37</v>
      </c>
      <c r="C207" s="32">
        <v>44991357723</v>
      </c>
      <c r="E207" s="32">
        <v>26</v>
      </c>
      <c r="F207" s="32">
        <v>0</v>
      </c>
      <c r="G207" s="32" t="s">
        <v>47</v>
      </c>
      <c r="H207" s="32" t="s">
        <v>2924</v>
      </c>
      <c r="I207" s="32" t="s">
        <v>46</v>
      </c>
      <c r="J207" s="32" t="s">
        <v>40</v>
      </c>
    </row>
    <row r="208" spans="1:12" hidden="1" x14ac:dyDescent="0.3">
      <c r="A208" s="39">
        <v>46168.684282407405</v>
      </c>
      <c r="B208" s="32">
        <v>44999451200</v>
      </c>
      <c r="C208" s="32" t="s">
        <v>57</v>
      </c>
      <c r="D208" s="32">
        <v>4430265054</v>
      </c>
      <c r="E208" s="32">
        <v>430</v>
      </c>
      <c r="F208" s="32">
        <v>405</v>
      </c>
      <c r="G208" s="32" t="s">
        <v>38</v>
      </c>
      <c r="H208" s="32" t="s">
        <v>2925</v>
      </c>
      <c r="I208" s="32" t="s">
        <v>39</v>
      </c>
      <c r="J208" s="32" t="s">
        <v>55</v>
      </c>
      <c r="K208" s="32" t="s">
        <v>49</v>
      </c>
    </row>
    <row r="209" spans="1:12" hidden="1" x14ac:dyDescent="0.3">
      <c r="A209" s="39">
        <v>46168.676701388889</v>
      </c>
      <c r="B209" s="32" t="s">
        <v>37</v>
      </c>
      <c r="C209" s="32">
        <v>4434231198</v>
      </c>
      <c r="E209" s="32">
        <v>35</v>
      </c>
      <c r="F209" s="32">
        <v>0</v>
      </c>
      <c r="G209" s="32" t="s">
        <v>47</v>
      </c>
      <c r="H209" s="32" t="s">
        <v>2926</v>
      </c>
      <c r="I209" s="32" t="s">
        <v>46</v>
      </c>
      <c r="J209" s="32" t="s">
        <v>40</v>
      </c>
    </row>
    <row r="210" spans="1:12" hidden="1" x14ac:dyDescent="0.3">
      <c r="A210" s="39">
        <v>46168.676435185182</v>
      </c>
      <c r="B210" s="32" t="s">
        <v>37</v>
      </c>
      <c r="C210" s="32">
        <v>4434231198</v>
      </c>
      <c r="E210" s="32">
        <v>21</v>
      </c>
      <c r="F210" s="32">
        <v>0</v>
      </c>
      <c r="G210" s="32" t="s">
        <v>47</v>
      </c>
      <c r="H210" s="32" t="s">
        <v>2927</v>
      </c>
      <c r="I210" s="32" t="s">
        <v>46</v>
      </c>
      <c r="J210" s="32" t="s">
        <v>40</v>
      </c>
    </row>
    <row r="211" spans="1:12" hidden="1" x14ac:dyDescent="0.3">
      <c r="A211" s="39">
        <v>46168.67627314815</v>
      </c>
      <c r="B211" s="32">
        <v>1732146970</v>
      </c>
      <c r="C211" s="32" t="s">
        <v>45</v>
      </c>
      <c r="D211" s="32">
        <v>4431268225</v>
      </c>
      <c r="E211" s="32">
        <v>380</v>
      </c>
      <c r="F211" s="32">
        <v>358</v>
      </c>
      <c r="G211" s="32" t="s">
        <v>38</v>
      </c>
      <c r="H211" s="32" t="s">
        <v>2928</v>
      </c>
      <c r="I211" s="32" t="s">
        <v>39</v>
      </c>
      <c r="J211" s="32" t="s">
        <v>40</v>
      </c>
      <c r="K211" s="32" t="s">
        <v>41</v>
      </c>
    </row>
    <row r="212" spans="1:12" hidden="1" x14ac:dyDescent="0.3">
      <c r="A212" s="39">
        <v>46168.675995370373</v>
      </c>
      <c r="B212" s="32" t="s">
        <v>37</v>
      </c>
      <c r="C212" s="32">
        <v>4434231198</v>
      </c>
      <c r="E212" s="32">
        <v>0</v>
      </c>
      <c r="F212" s="32">
        <v>0</v>
      </c>
      <c r="G212" s="32" t="s">
        <v>47</v>
      </c>
      <c r="H212" s="32" t="s">
        <v>2929</v>
      </c>
      <c r="I212" s="32" t="s">
        <v>46</v>
      </c>
      <c r="J212" s="32" t="s">
        <v>40</v>
      </c>
    </row>
    <row r="213" spans="1:12" hidden="1" x14ac:dyDescent="0.3">
      <c r="A213" s="39">
        <v>46168.67287037037</v>
      </c>
      <c r="B213" s="32" t="s">
        <v>37</v>
      </c>
      <c r="C213" s="32">
        <v>4434231198</v>
      </c>
      <c r="E213" s="32">
        <v>0</v>
      </c>
      <c r="F213" s="32">
        <v>0</v>
      </c>
      <c r="G213" s="32" t="s">
        <v>47</v>
      </c>
      <c r="H213" s="32" t="s">
        <v>2930</v>
      </c>
      <c r="I213" s="32" t="s">
        <v>46</v>
      </c>
      <c r="J213" s="32" t="s">
        <v>40</v>
      </c>
    </row>
    <row r="214" spans="1:12" hidden="1" x14ac:dyDescent="0.3">
      <c r="A214" s="39">
        <v>46168.672835648147</v>
      </c>
      <c r="B214" s="32" t="s">
        <v>37</v>
      </c>
      <c r="C214" s="32">
        <v>4434231198</v>
      </c>
      <c r="E214" s="32">
        <v>0</v>
      </c>
      <c r="F214" s="32">
        <v>0</v>
      </c>
      <c r="G214" s="32" t="s">
        <v>47</v>
      </c>
      <c r="H214" s="32" t="s">
        <v>2931</v>
      </c>
      <c r="I214" s="32" t="s">
        <v>46</v>
      </c>
      <c r="J214" s="32" t="s">
        <v>40</v>
      </c>
    </row>
    <row r="215" spans="1:12" hidden="1" x14ac:dyDescent="0.3">
      <c r="A215" s="39">
        <v>46168.672731481478</v>
      </c>
      <c r="B215" s="32" t="s">
        <v>37</v>
      </c>
      <c r="C215" s="32">
        <v>4434231198</v>
      </c>
      <c r="E215" s="32">
        <v>0</v>
      </c>
      <c r="F215" s="32">
        <v>0</v>
      </c>
      <c r="G215" s="32" t="s">
        <v>47</v>
      </c>
      <c r="H215" s="32" t="s">
        <v>2932</v>
      </c>
      <c r="I215" s="32" t="s">
        <v>46</v>
      </c>
      <c r="J215" s="32" t="s">
        <v>40</v>
      </c>
    </row>
    <row r="216" spans="1:12" hidden="1" x14ac:dyDescent="0.3">
      <c r="A216" s="39">
        <v>46168.665937500002</v>
      </c>
      <c r="B216" s="32">
        <v>44998849102</v>
      </c>
      <c r="C216" s="32">
        <v>4430265054</v>
      </c>
      <c r="D216" s="32">
        <v>4430265054</v>
      </c>
      <c r="E216" s="32">
        <v>12</v>
      </c>
      <c r="F216" s="32">
        <v>11</v>
      </c>
      <c r="G216" s="32" t="s">
        <v>52</v>
      </c>
      <c r="H216" s="32" t="s">
        <v>2933</v>
      </c>
      <c r="I216" s="32" t="s">
        <v>39</v>
      </c>
      <c r="J216" s="32" t="s">
        <v>53</v>
      </c>
    </row>
    <row r="217" spans="1:12" hidden="1" x14ac:dyDescent="0.3">
      <c r="A217" s="39">
        <v>46168.663229166668</v>
      </c>
      <c r="B217" s="32" t="s">
        <v>43</v>
      </c>
      <c r="C217" s="32">
        <v>64992509181</v>
      </c>
      <c r="E217" s="32">
        <v>930</v>
      </c>
      <c r="F217" s="32">
        <v>918</v>
      </c>
      <c r="G217" s="32" t="s">
        <v>38</v>
      </c>
      <c r="H217" s="32" t="s">
        <v>2934</v>
      </c>
      <c r="I217" s="32" t="s">
        <v>46</v>
      </c>
      <c r="J217" s="32" t="s">
        <v>40</v>
      </c>
      <c r="L217" s="32">
        <v>4</v>
      </c>
    </row>
    <row r="218" spans="1:12" hidden="1" x14ac:dyDescent="0.3">
      <c r="A218" s="39">
        <v>46168.662129629629</v>
      </c>
      <c r="B218" s="32">
        <v>44999822688</v>
      </c>
      <c r="C218" s="32" t="s">
        <v>44</v>
      </c>
      <c r="D218" s="32">
        <v>4430265054</v>
      </c>
      <c r="E218" s="32">
        <v>217</v>
      </c>
      <c r="F218" s="32">
        <v>172</v>
      </c>
      <c r="G218" s="32" t="s">
        <v>38</v>
      </c>
      <c r="H218" s="32" t="s">
        <v>2935</v>
      </c>
      <c r="I218" s="32" t="s">
        <v>39</v>
      </c>
      <c r="J218" s="32" t="s">
        <v>40</v>
      </c>
      <c r="K218" s="32" t="s">
        <v>41</v>
      </c>
    </row>
    <row r="219" spans="1:12" hidden="1" x14ac:dyDescent="0.3">
      <c r="A219" s="39">
        <v>46168.659849537034</v>
      </c>
      <c r="B219" s="32" t="s">
        <v>37</v>
      </c>
      <c r="C219" s="32">
        <v>44999405889</v>
      </c>
      <c r="E219" s="32">
        <v>170</v>
      </c>
      <c r="F219" s="32">
        <v>162</v>
      </c>
      <c r="G219" s="32" t="s">
        <v>38</v>
      </c>
      <c r="H219" s="32" t="s">
        <v>2936</v>
      </c>
      <c r="I219" s="32" t="s">
        <v>46</v>
      </c>
      <c r="J219" s="32" t="s">
        <v>40</v>
      </c>
    </row>
    <row r="220" spans="1:12" hidden="1" x14ac:dyDescent="0.3">
      <c r="A220" s="39">
        <v>46168.658668981479</v>
      </c>
      <c r="B220" s="32" t="s">
        <v>37</v>
      </c>
      <c r="C220" s="32">
        <v>44991395073</v>
      </c>
      <c r="E220" s="32">
        <v>93</v>
      </c>
      <c r="F220" s="32">
        <v>83</v>
      </c>
      <c r="G220" s="32" t="s">
        <v>38</v>
      </c>
      <c r="H220" s="32" t="s">
        <v>2937</v>
      </c>
      <c r="I220" s="32" t="s">
        <v>46</v>
      </c>
      <c r="J220" s="32" t="s">
        <v>40</v>
      </c>
    </row>
    <row r="221" spans="1:12" hidden="1" x14ac:dyDescent="0.3">
      <c r="A221" s="39">
        <v>46168.657905092594</v>
      </c>
      <c r="B221" s="32" t="s">
        <v>37</v>
      </c>
      <c r="C221" s="32">
        <v>44999405889</v>
      </c>
      <c r="E221" s="32">
        <v>59</v>
      </c>
      <c r="F221" s="32">
        <v>25</v>
      </c>
      <c r="G221" s="32" t="s">
        <v>38</v>
      </c>
      <c r="H221" s="32" t="s">
        <v>2938</v>
      </c>
      <c r="I221" s="32" t="s">
        <v>46</v>
      </c>
      <c r="J221" s="32" t="s">
        <v>40</v>
      </c>
    </row>
    <row r="222" spans="1:12" hidden="1" x14ac:dyDescent="0.3">
      <c r="A222" s="39">
        <v>46168.657442129632</v>
      </c>
      <c r="B222" s="32" t="s">
        <v>37</v>
      </c>
      <c r="C222" s="32">
        <v>44999405889</v>
      </c>
      <c r="E222" s="32">
        <v>36</v>
      </c>
      <c r="F222" s="32">
        <v>0</v>
      </c>
      <c r="G222" s="32" t="s">
        <v>47</v>
      </c>
      <c r="H222" s="32" t="s">
        <v>2939</v>
      </c>
      <c r="I222" s="32" t="s">
        <v>46</v>
      </c>
      <c r="J222" s="32" t="s">
        <v>40</v>
      </c>
    </row>
    <row r="223" spans="1:12" hidden="1" x14ac:dyDescent="0.3">
      <c r="A223" s="39">
        <v>46168.656643518516</v>
      </c>
      <c r="B223" s="32" t="s">
        <v>37</v>
      </c>
      <c r="C223" s="32">
        <v>4430459032</v>
      </c>
      <c r="E223" s="32">
        <v>2</v>
      </c>
      <c r="F223" s="32">
        <v>0</v>
      </c>
      <c r="G223" s="32" t="s">
        <v>47</v>
      </c>
      <c r="H223" s="32" t="s">
        <v>2940</v>
      </c>
      <c r="I223" s="32" t="s">
        <v>46</v>
      </c>
      <c r="J223" s="32" t="s">
        <v>40</v>
      </c>
    </row>
    <row r="224" spans="1:12" hidden="1" x14ac:dyDescent="0.3">
      <c r="A224" s="39">
        <v>46168.656539351854</v>
      </c>
      <c r="B224" s="32" t="s">
        <v>37</v>
      </c>
      <c r="C224" s="32">
        <v>4430459032</v>
      </c>
      <c r="E224" s="32">
        <v>2</v>
      </c>
      <c r="F224" s="32">
        <v>0</v>
      </c>
      <c r="G224" s="32" t="s">
        <v>47</v>
      </c>
      <c r="H224" s="32" t="s">
        <v>2941</v>
      </c>
      <c r="I224" s="32" t="s">
        <v>46</v>
      </c>
      <c r="J224" s="32" t="s">
        <v>40</v>
      </c>
    </row>
    <row r="225" spans="1:11" hidden="1" x14ac:dyDescent="0.3">
      <c r="A225" s="39">
        <v>46168.656481481485</v>
      </c>
      <c r="B225" s="32" t="s">
        <v>37</v>
      </c>
      <c r="C225" s="32">
        <v>4430459032</v>
      </c>
      <c r="E225" s="32">
        <v>2</v>
      </c>
      <c r="F225" s="32">
        <v>0</v>
      </c>
      <c r="G225" s="32" t="s">
        <v>47</v>
      </c>
      <c r="H225" s="32" t="s">
        <v>2942</v>
      </c>
      <c r="I225" s="32" t="s">
        <v>46</v>
      </c>
      <c r="J225" s="32" t="s">
        <v>40</v>
      </c>
    </row>
    <row r="226" spans="1:11" hidden="1" x14ac:dyDescent="0.3">
      <c r="A226" s="39">
        <v>46168.656030092592</v>
      </c>
      <c r="B226" s="32" t="s">
        <v>37</v>
      </c>
      <c r="C226" s="32">
        <v>4430459032</v>
      </c>
      <c r="E226" s="32">
        <v>3</v>
      </c>
      <c r="F226" s="32">
        <v>0</v>
      </c>
      <c r="G226" s="32" t="s">
        <v>47</v>
      </c>
      <c r="H226" s="32" t="s">
        <v>2943</v>
      </c>
      <c r="I226" s="32" t="s">
        <v>46</v>
      </c>
      <c r="J226" s="32" t="s">
        <v>40</v>
      </c>
    </row>
    <row r="227" spans="1:11" hidden="1" x14ac:dyDescent="0.3">
      <c r="A227" s="39">
        <v>46168.6559837963</v>
      </c>
      <c r="B227" s="32" t="s">
        <v>37</v>
      </c>
      <c r="C227" s="32">
        <v>4430459032</v>
      </c>
      <c r="E227" s="32">
        <v>1</v>
      </c>
      <c r="F227" s="32">
        <v>0</v>
      </c>
      <c r="G227" s="32" t="s">
        <v>47</v>
      </c>
      <c r="H227" s="32" t="s">
        <v>2944</v>
      </c>
      <c r="I227" s="32" t="s">
        <v>46</v>
      </c>
      <c r="J227" s="32" t="s">
        <v>40</v>
      </c>
    </row>
    <row r="228" spans="1:11" hidden="1" x14ac:dyDescent="0.3">
      <c r="A228" s="39">
        <v>46168.655925925923</v>
      </c>
      <c r="B228" s="32" t="s">
        <v>37</v>
      </c>
      <c r="C228" s="32">
        <v>4430459032</v>
      </c>
      <c r="E228" s="32">
        <v>3</v>
      </c>
      <c r="F228" s="32">
        <v>0</v>
      </c>
      <c r="G228" s="32" t="s">
        <v>47</v>
      </c>
      <c r="H228" s="32" t="s">
        <v>2945</v>
      </c>
      <c r="I228" s="32" t="s">
        <v>46</v>
      </c>
      <c r="J228" s="32" t="s">
        <v>40</v>
      </c>
    </row>
    <row r="229" spans="1:11" hidden="1" x14ac:dyDescent="0.3">
      <c r="A229" s="39">
        <v>46168.655844907407</v>
      </c>
      <c r="B229" s="32" t="s">
        <v>37</v>
      </c>
      <c r="C229" s="32">
        <v>4430459032</v>
      </c>
      <c r="E229" s="32">
        <v>2</v>
      </c>
      <c r="F229" s="32">
        <v>0</v>
      </c>
      <c r="G229" s="32" t="s">
        <v>47</v>
      </c>
      <c r="H229" s="32" t="s">
        <v>2946</v>
      </c>
      <c r="I229" s="32" t="s">
        <v>46</v>
      </c>
      <c r="J229" s="32" t="s">
        <v>40</v>
      </c>
    </row>
    <row r="230" spans="1:11" hidden="1" x14ac:dyDescent="0.3">
      <c r="A230" s="39">
        <v>46168.655729166669</v>
      </c>
      <c r="B230" s="32" t="s">
        <v>37</v>
      </c>
      <c r="C230" s="32">
        <v>4430459032</v>
      </c>
      <c r="E230" s="32">
        <v>7</v>
      </c>
      <c r="F230" s="32">
        <v>0</v>
      </c>
      <c r="G230" s="32" t="s">
        <v>47</v>
      </c>
      <c r="H230" s="32" t="s">
        <v>2947</v>
      </c>
      <c r="I230" s="32" t="s">
        <v>46</v>
      </c>
      <c r="J230" s="32" t="s">
        <v>40</v>
      </c>
    </row>
    <row r="231" spans="1:11" hidden="1" x14ac:dyDescent="0.3">
      <c r="A231" s="39">
        <v>46168.655601851853</v>
      </c>
      <c r="B231" s="32" t="s">
        <v>37</v>
      </c>
      <c r="C231" s="32">
        <v>4430459032</v>
      </c>
      <c r="E231" s="32">
        <v>4</v>
      </c>
      <c r="F231" s="32">
        <v>0</v>
      </c>
      <c r="G231" s="32" t="s">
        <v>47</v>
      </c>
      <c r="H231" s="32" t="s">
        <v>2948</v>
      </c>
      <c r="I231" s="32" t="s">
        <v>46</v>
      </c>
      <c r="J231" s="32" t="s">
        <v>40</v>
      </c>
    </row>
    <row r="232" spans="1:11" hidden="1" x14ac:dyDescent="0.3">
      <c r="A232" s="39">
        <v>46168.655347222222</v>
      </c>
      <c r="B232" s="32" t="s">
        <v>37</v>
      </c>
      <c r="C232" s="32">
        <v>4430459032</v>
      </c>
      <c r="E232" s="32">
        <v>5</v>
      </c>
      <c r="F232" s="32">
        <v>0</v>
      </c>
      <c r="G232" s="32" t="s">
        <v>47</v>
      </c>
      <c r="H232" s="32" t="s">
        <v>2949</v>
      </c>
      <c r="I232" s="32" t="s">
        <v>46</v>
      </c>
      <c r="J232" s="32" t="s">
        <v>40</v>
      </c>
    </row>
    <row r="233" spans="1:11" hidden="1" x14ac:dyDescent="0.3">
      <c r="A233" s="39">
        <v>46168.655277777776</v>
      </c>
      <c r="B233" s="32" t="s">
        <v>37</v>
      </c>
      <c r="C233" s="32">
        <v>4430459032</v>
      </c>
      <c r="E233" s="32">
        <v>4</v>
      </c>
      <c r="F233" s="32">
        <v>0</v>
      </c>
      <c r="G233" s="32" t="s">
        <v>47</v>
      </c>
      <c r="H233" s="32" t="s">
        <v>2950</v>
      </c>
      <c r="I233" s="32" t="s">
        <v>46</v>
      </c>
      <c r="J233" s="32" t="s">
        <v>40</v>
      </c>
    </row>
    <row r="234" spans="1:11" hidden="1" x14ac:dyDescent="0.3">
      <c r="A234" s="39">
        <v>46168.652951388889</v>
      </c>
      <c r="B234" s="32" t="s">
        <v>44</v>
      </c>
      <c r="C234" s="32">
        <v>44999195785</v>
      </c>
      <c r="E234" s="32">
        <v>157</v>
      </c>
      <c r="F234" s="32">
        <v>151</v>
      </c>
      <c r="G234" s="32" t="s">
        <v>38</v>
      </c>
      <c r="H234" s="32" t="s">
        <v>2951</v>
      </c>
      <c r="I234" s="32" t="s">
        <v>46</v>
      </c>
      <c r="J234" s="32" t="s">
        <v>40</v>
      </c>
    </row>
    <row r="235" spans="1:11" hidden="1" x14ac:dyDescent="0.3">
      <c r="A235" s="39">
        <v>46168.652881944443</v>
      </c>
      <c r="B235" s="32" t="s">
        <v>44</v>
      </c>
      <c r="C235" s="32">
        <v>44999195785</v>
      </c>
      <c r="E235" s="32">
        <v>5</v>
      </c>
      <c r="F235" s="32">
        <v>0</v>
      </c>
      <c r="G235" s="32" t="s">
        <v>47</v>
      </c>
      <c r="H235" s="32" t="s">
        <v>2952</v>
      </c>
      <c r="I235" s="32" t="s">
        <v>46</v>
      </c>
      <c r="J235" s="32" t="s">
        <v>40</v>
      </c>
    </row>
    <row r="236" spans="1:11" hidden="1" x14ac:dyDescent="0.3">
      <c r="A236" s="39">
        <v>46168.638912037037</v>
      </c>
      <c r="B236" s="32">
        <v>4435235396</v>
      </c>
      <c r="C236" s="32" t="s">
        <v>43</v>
      </c>
      <c r="D236" s="32">
        <v>4430265054</v>
      </c>
      <c r="E236" s="32">
        <v>526</v>
      </c>
      <c r="F236" s="32">
        <v>472</v>
      </c>
      <c r="G236" s="32" t="s">
        <v>38</v>
      </c>
      <c r="H236" s="32" t="s">
        <v>2953</v>
      </c>
      <c r="I236" s="32" t="s">
        <v>39</v>
      </c>
      <c r="J236" s="32" t="s">
        <v>40</v>
      </c>
      <c r="K236" s="32" t="s">
        <v>41</v>
      </c>
    </row>
    <row r="237" spans="1:11" hidden="1" x14ac:dyDescent="0.3">
      <c r="A237" s="39">
        <v>46168.638344907406</v>
      </c>
      <c r="B237" s="32">
        <v>4430459032</v>
      </c>
      <c r="C237" s="32" t="s">
        <v>37</v>
      </c>
      <c r="D237" s="32">
        <v>4430265054</v>
      </c>
      <c r="E237" s="32">
        <v>1307</v>
      </c>
      <c r="F237" s="32">
        <v>1208</v>
      </c>
      <c r="G237" s="32" t="s">
        <v>38</v>
      </c>
      <c r="H237" s="32" t="s">
        <v>2954</v>
      </c>
      <c r="I237" s="32" t="s">
        <v>39</v>
      </c>
      <c r="J237" s="32" t="s">
        <v>40</v>
      </c>
      <c r="K237" s="32" t="s">
        <v>41</v>
      </c>
    </row>
    <row r="238" spans="1:11" hidden="1" x14ac:dyDescent="0.3">
      <c r="A238" s="39">
        <v>46168.637002314812</v>
      </c>
      <c r="B238" s="32" t="s">
        <v>43</v>
      </c>
      <c r="C238" s="32">
        <v>6434538540</v>
      </c>
      <c r="E238" s="32">
        <v>5</v>
      </c>
      <c r="F238" s="32">
        <v>0</v>
      </c>
      <c r="G238" s="32" t="s">
        <v>47</v>
      </c>
      <c r="H238" s="32" t="s">
        <v>2955</v>
      </c>
      <c r="I238" s="32" t="s">
        <v>46</v>
      </c>
      <c r="J238" s="32" t="s">
        <v>40</v>
      </c>
    </row>
    <row r="239" spans="1:11" hidden="1" x14ac:dyDescent="0.3">
      <c r="A239" s="39">
        <v>46168.63082175926</v>
      </c>
      <c r="B239" s="32">
        <v>44999195785</v>
      </c>
      <c r="C239" s="32" t="s">
        <v>44</v>
      </c>
      <c r="D239" s="32">
        <v>4430265054</v>
      </c>
      <c r="E239" s="32">
        <v>1199</v>
      </c>
      <c r="F239" s="32">
        <v>1139</v>
      </c>
      <c r="G239" s="32" t="s">
        <v>38</v>
      </c>
      <c r="H239" s="32" t="s">
        <v>2956</v>
      </c>
      <c r="I239" s="32" t="s">
        <v>39</v>
      </c>
      <c r="J239" s="32" t="s">
        <v>40</v>
      </c>
      <c r="K239" s="32" t="s">
        <v>41</v>
      </c>
    </row>
    <row r="240" spans="1:11" hidden="1" x14ac:dyDescent="0.3">
      <c r="A240" s="39">
        <v>46168.629745370374</v>
      </c>
      <c r="B240" s="32">
        <v>44997456641</v>
      </c>
      <c r="C240" s="32" t="s">
        <v>45</v>
      </c>
      <c r="D240" s="32">
        <v>4430265054</v>
      </c>
      <c r="E240" s="32">
        <v>794</v>
      </c>
      <c r="F240" s="32">
        <v>725</v>
      </c>
      <c r="G240" s="32" t="s">
        <v>38</v>
      </c>
      <c r="H240" s="32" t="s">
        <v>2957</v>
      </c>
      <c r="I240" s="32" t="s">
        <v>39</v>
      </c>
      <c r="J240" s="32" t="s">
        <v>40</v>
      </c>
      <c r="K240" s="32" t="s">
        <v>41</v>
      </c>
    </row>
    <row r="241" spans="1:12" hidden="1" x14ac:dyDescent="0.3">
      <c r="A241" s="39">
        <v>46168.611493055556</v>
      </c>
      <c r="B241" s="32" t="s">
        <v>45</v>
      </c>
      <c r="C241" s="32">
        <v>4532541802</v>
      </c>
      <c r="E241" s="32">
        <v>633</v>
      </c>
      <c r="F241" s="32">
        <v>632</v>
      </c>
      <c r="G241" s="32" t="s">
        <v>38</v>
      </c>
      <c r="H241" s="32" t="s">
        <v>2958</v>
      </c>
      <c r="I241" s="32" t="s">
        <v>46</v>
      </c>
      <c r="J241" s="32" t="s">
        <v>40</v>
      </c>
      <c r="L241" s="32">
        <v>5</v>
      </c>
    </row>
    <row r="242" spans="1:12" hidden="1" x14ac:dyDescent="0.3">
      <c r="A242" s="39">
        <v>46168.61010416667</v>
      </c>
      <c r="B242" s="32">
        <v>6234347959</v>
      </c>
      <c r="C242" s="32" t="s">
        <v>43</v>
      </c>
      <c r="D242" s="32">
        <v>4430265054</v>
      </c>
      <c r="E242" s="32">
        <v>355</v>
      </c>
      <c r="F242" s="32">
        <v>263</v>
      </c>
      <c r="G242" s="32" t="s">
        <v>38</v>
      </c>
      <c r="H242" s="32" t="s">
        <v>2959</v>
      </c>
      <c r="I242" s="32" t="s">
        <v>39</v>
      </c>
      <c r="J242" s="32" t="s">
        <v>40</v>
      </c>
      <c r="K242" s="32" t="s">
        <v>41</v>
      </c>
    </row>
    <row r="243" spans="1:12" hidden="1" x14ac:dyDescent="0.3">
      <c r="A243" s="39">
        <v>46168.610011574077</v>
      </c>
      <c r="B243" s="32" t="s">
        <v>45</v>
      </c>
      <c r="C243" s="32">
        <v>4532541802</v>
      </c>
      <c r="E243" s="32">
        <v>88</v>
      </c>
      <c r="F243" s="32">
        <v>87</v>
      </c>
      <c r="G243" s="32" t="s">
        <v>38</v>
      </c>
      <c r="H243" s="32" t="s">
        <v>2960</v>
      </c>
      <c r="I243" s="32" t="s">
        <v>46</v>
      </c>
      <c r="J243" s="32" t="s">
        <v>40</v>
      </c>
    </row>
    <row r="244" spans="1:12" hidden="1" x14ac:dyDescent="0.3">
      <c r="A244" s="39">
        <v>46168.603460648148</v>
      </c>
      <c r="B244" s="32">
        <v>4121413772</v>
      </c>
      <c r="C244" s="32">
        <v>4531273161</v>
      </c>
      <c r="D244" s="32">
        <v>4531273161</v>
      </c>
      <c r="E244" s="32">
        <v>46</v>
      </c>
      <c r="F244" s="32">
        <v>46</v>
      </c>
      <c r="G244" s="32" t="s">
        <v>52</v>
      </c>
      <c r="H244" s="32" t="s">
        <v>2961</v>
      </c>
      <c r="I244" s="32" t="s">
        <v>39</v>
      </c>
      <c r="J244" s="32" t="s">
        <v>53</v>
      </c>
      <c r="K244" s="32" t="s">
        <v>41</v>
      </c>
    </row>
    <row r="245" spans="1:12" hidden="1" x14ac:dyDescent="0.3">
      <c r="A245" s="39">
        <v>46168.588541666664</v>
      </c>
      <c r="B245" s="32" t="s">
        <v>43</v>
      </c>
      <c r="C245" s="32">
        <v>6434538540</v>
      </c>
      <c r="E245" s="32">
        <v>7</v>
      </c>
      <c r="F245" s="32">
        <v>0</v>
      </c>
      <c r="G245" s="32" t="s">
        <v>47</v>
      </c>
      <c r="H245" s="32" t="s">
        <v>2962</v>
      </c>
      <c r="I245" s="32" t="s">
        <v>46</v>
      </c>
      <c r="J245" s="32" t="s">
        <v>40</v>
      </c>
    </row>
    <row r="246" spans="1:12" hidden="1" x14ac:dyDescent="0.3">
      <c r="A246" s="39">
        <v>46168.588460648149</v>
      </c>
      <c r="B246" s="32" t="s">
        <v>43</v>
      </c>
      <c r="C246" s="32">
        <v>6434533677</v>
      </c>
      <c r="E246" s="32">
        <v>4</v>
      </c>
      <c r="F246" s="32">
        <v>0</v>
      </c>
      <c r="G246" s="32" t="s">
        <v>47</v>
      </c>
      <c r="H246" s="32" t="s">
        <v>2963</v>
      </c>
      <c r="I246" s="32" t="s">
        <v>46</v>
      </c>
      <c r="J246" s="32" t="s">
        <v>40</v>
      </c>
    </row>
    <row r="247" spans="1:12" hidden="1" x14ac:dyDescent="0.3">
      <c r="A247" s="39">
        <v>46168.588136574072</v>
      </c>
      <c r="B247" s="32" t="s">
        <v>43</v>
      </c>
      <c r="C247" s="32">
        <v>6434538540</v>
      </c>
      <c r="E247" s="32">
        <v>5</v>
      </c>
      <c r="F247" s="32">
        <v>0</v>
      </c>
      <c r="G247" s="32" t="s">
        <v>47</v>
      </c>
      <c r="H247" s="32" t="s">
        <v>2964</v>
      </c>
      <c r="I247" s="32" t="s">
        <v>46</v>
      </c>
      <c r="J247" s="32" t="s">
        <v>40</v>
      </c>
    </row>
    <row r="248" spans="1:12" hidden="1" x14ac:dyDescent="0.3">
      <c r="A248" s="39">
        <v>46168.588020833333</v>
      </c>
      <c r="B248" s="32" t="s">
        <v>43</v>
      </c>
      <c r="C248" s="32">
        <v>6434533677</v>
      </c>
      <c r="E248" s="32">
        <v>7</v>
      </c>
      <c r="F248" s="32">
        <v>0</v>
      </c>
      <c r="G248" s="32" t="s">
        <v>47</v>
      </c>
      <c r="H248" s="32" t="s">
        <v>2965</v>
      </c>
      <c r="I248" s="32" t="s">
        <v>46</v>
      </c>
      <c r="J248" s="32" t="s">
        <v>40</v>
      </c>
    </row>
    <row r="249" spans="1:12" hidden="1" x14ac:dyDescent="0.3">
      <c r="A249" s="39">
        <v>46168.586817129632</v>
      </c>
      <c r="B249" s="32">
        <v>6234347959</v>
      </c>
      <c r="C249" s="32" t="s">
        <v>44</v>
      </c>
      <c r="D249" s="32">
        <v>4430265054</v>
      </c>
      <c r="E249" s="32">
        <v>343</v>
      </c>
      <c r="F249" s="32">
        <v>288</v>
      </c>
      <c r="G249" s="32" t="s">
        <v>38</v>
      </c>
      <c r="H249" s="32" t="s">
        <v>2966</v>
      </c>
      <c r="I249" s="32" t="s">
        <v>39</v>
      </c>
      <c r="J249" s="32" t="s">
        <v>40</v>
      </c>
      <c r="K249" s="32" t="s">
        <v>41</v>
      </c>
      <c r="L249" s="32">
        <v>5</v>
      </c>
    </row>
    <row r="250" spans="1:12" hidden="1" x14ac:dyDescent="0.3">
      <c r="A250" s="39">
        <v>46168.583993055552</v>
      </c>
      <c r="B250" s="32">
        <v>4521017510</v>
      </c>
      <c r="C250" s="32" t="s">
        <v>44</v>
      </c>
      <c r="D250" s="32">
        <v>4531273169</v>
      </c>
      <c r="E250" s="32">
        <v>60</v>
      </c>
      <c r="F250" s="32">
        <v>9</v>
      </c>
      <c r="G250" s="32" t="s">
        <v>38</v>
      </c>
      <c r="H250" s="32" t="s">
        <v>2967</v>
      </c>
      <c r="I250" s="32" t="s">
        <v>39</v>
      </c>
      <c r="J250" s="32" t="s">
        <v>40</v>
      </c>
      <c r="K250" s="32" t="s">
        <v>41</v>
      </c>
    </row>
    <row r="251" spans="1:12" hidden="1" x14ac:dyDescent="0.3">
      <c r="A251" s="39">
        <v>46168.579606481479</v>
      </c>
      <c r="B251" s="32">
        <v>44999632140</v>
      </c>
      <c r="C251" s="32" t="s">
        <v>43</v>
      </c>
      <c r="D251" s="32">
        <v>4430265054</v>
      </c>
      <c r="E251" s="32">
        <v>359</v>
      </c>
      <c r="F251" s="32">
        <v>316</v>
      </c>
      <c r="G251" s="32" t="s">
        <v>38</v>
      </c>
      <c r="H251" s="32" t="s">
        <v>2968</v>
      </c>
      <c r="I251" s="32" t="s">
        <v>39</v>
      </c>
      <c r="J251" s="32" t="s">
        <v>40</v>
      </c>
      <c r="K251" s="32" t="s">
        <v>41</v>
      </c>
      <c r="L251" s="32">
        <v>5</v>
      </c>
    </row>
    <row r="252" spans="1:12" hidden="1" x14ac:dyDescent="0.3">
      <c r="A252" s="39">
        <v>46168.577280092592</v>
      </c>
      <c r="B252" s="32">
        <v>44999632140</v>
      </c>
      <c r="C252" s="32">
        <v>4430265054</v>
      </c>
      <c r="D252" s="32">
        <v>4430265054</v>
      </c>
      <c r="E252" s="32">
        <v>13</v>
      </c>
      <c r="F252" s="32">
        <v>12</v>
      </c>
      <c r="G252" s="32" t="s">
        <v>52</v>
      </c>
      <c r="H252" s="32" t="s">
        <v>2969</v>
      </c>
      <c r="I252" s="32" t="s">
        <v>39</v>
      </c>
      <c r="J252" s="32" t="s">
        <v>53</v>
      </c>
    </row>
    <row r="253" spans="1:12" hidden="1" x14ac:dyDescent="0.3">
      <c r="A253" s="39">
        <v>46168.573067129626</v>
      </c>
      <c r="B253" s="32">
        <v>44998761561</v>
      </c>
      <c r="C253" s="32" t="s">
        <v>37</v>
      </c>
      <c r="D253" s="32">
        <v>4430265054</v>
      </c>
      <c r="E253" s="32">
        <v>1216</v>
      </c>
      <c r="F253" s="32">
        <v>1173</v>
      </c>
      <c r="G253" s="32" t="s">
        <v>38</v>
      </c>
      <c r="H253" s="32" t="s">
        <v>2970</v>
      </c>
      <c r="I253" s="32" t="s">
        <v>39</v>
      </c>
      <c r="J253" s="32" t="s">
        <v>40</v>
      </c>
      <c r="K253" s="32" t="s">
        <v>41</v>
      </c>
      <c r="L253" s="32">
        <v>5</v>
      </c>
    </row>
    <row r="254" spans="1:12" hidden="1" x14ac:dyDescent="0.3">
      <c r="A254" s="39">
        <v>46168.568472222221</v>
      </c>
      <c r="B254" s="32">
        <v>4121418164</v>
      </c>
      <c r="C254" s="32">
        <v>4531273163</v>
      </c>
      <c r="D254" s="32">
        <v>4531273163</v>
      </c>
      <c r="E254" s="32">
        <v>47</v>
      </c>
      <c r="F254" s="32">
        <v>46</v>
      </c>
      <c r="G254" s="32" t="s">
        <v>52</v>
      </c>
      <c r="H254" s="32" t="s">
        <v>2971</v>
      </c>
      <c r="I254" s="32" t="s">
        <v>39</v>
      </c>
      <c r="J254" s="32" t="s">
        <v>53</v>
      </c>
      <c r="K254" s="32" t="s">
        <v>41</v>
      </c>
    </row>
    <row r="255" spans="1:12" hidden="1" x14ac:dyDescent="0.3">
      <c r="A255" s="39">
        <v>46168.56753472222</v>
      </c>
      <c r="B255" s="32">
        <v>44991381017</v>
      </c>
      <c r="C255" s="32" t="s">
        <v>44</v>
      </c>
      <c r="D255" s="32">
        <v>4430265054</v>
      </c>
      <c r="E255" s="32">
        <v>569</v>
      </c>
      <c r="F255" s="32">
        <v>447</v>
      </c>
      <c r="G255" s="32" t="s">
        <v>38</v>
      </c>
      <c r="H255" s="32" t="s">
        <v>2972</v>
      </c>
      <c r="I255" s="32" t="s">
        <v>39</v>
      </c>
      <c r="J255" s="32" t="s">
        <v>40</v>
      </c>
      <c r="K255" s="32" t="s">
        <v>41</v>
      </c>
    </row>
    <row r="256" spans="1:12" hidden="1" x14ac:dyDescent="0.3">
      <c r="A256" s="39">
        <v>46168.562928240739</v>
      </c>
      <c r="B256" s="32">
        <v>41997840159</v>
      </c>
      <c r="C256" s="32" t="s">
        <v>45</v>
      </c>
      <c r="D256" s="32">
        <v>4431268225</v>
      </c>
      <c r="E256" s="32">
        <v>2689</v>
      </c>
      <c r="F256" s="32">
        <v>2655</v>
      </c>
      <c r="G256" s="32" t="s">
        <v>38</v>
      </c>
      <c r="H256" s="32" t="s">
        <v>2973</v>
      </c>
      <c r="I256" s="32" t="s">
        <v>39</v>
      </c>
      <c r="J256" s="32" t="s">
        <v>40</v>
      </c>
      <c r="K256" s="32" t="s">
        <v>41</v>
      </c>
      <c r="L256" s="32">
        <v>5</v>
      </c>
    </row>
    <row r="257" spans="1:12" hidden="1" x14ac:dyDescent="0.3">
      <c r="A257" s="39">
        <v>46168.49050925926</v>
      </c>
      <c r="B257" s="32">
        <v>1131515685</v>
      </c>
      <c r="C257" s="32" t="s">
        <v>44</v>
      </c>
      <c r="D257" s="32">
        <v>4430265054</v>
      </c>
      <c r="E257" s="32">
        <v>891</v>
      </c>
      <c r="F257" s="32">
        <v>809</v>
      </c>
      <c r="G257" s="32" t="s">
        <v>38</v>
      </c>
      <c r="H257" s="32" t="s">
        <v>2974</v>
      </c>
      <c r="I257" s="32" t="s">
        <v>39</v>
      </c>
      <c r="J257" s="32" t="s">
        <v>40</v>
      </c>
      <c r="K257" s="32" t="s">
        <v>41</v>
      </c>
    </row>
    <row r="258" spans="1:12" hidden="1" x14ac:dyDescent="0.3">
      <c r="A258" s="39">
        <v>46168.48778935185</v>
      </c>
      <c r="B258" s="32">
        <v>4521017510</v>
      </c>
      <c r="C258" s="32">
        <v>4531273176</v>
      </c>
      <c r="D258" s="32">
        <v>4531273176</v>
      </c>
      <c r="E258" s="32">
        <v>47</v>
      </c>
      <c r="F258" s="32">
        <v>47</v>
      </c>
      <c r="G258" s="32" t="s">
        <v>52</v>
      </c>
      <c r="H258" s="32" t="s">
        <v>2975</v>
      </c>
      <c r="I258" s="32" t="s">
        <v>39</v>
      </c>
      <c r="J258" s="32" t="s">
        <v>53</v>
      </c>
      <c r="K258" s="32" t="s">
        <v>41</v>
      </c>
    </row>
    <row r="259" spans="1:12" hidden="1" x14ac:dyDescent="0.3">
      <c r="A259" s="39">
        <v>46168.487581018519</v>
      </c>
      <c r="B259" s="32">
        <v>41997840159</v>
      </c>
      <c r="C259" s="32" t="s">
        <v>37</v>
      </c>
      <c r="D259" s="32">
        <v>4431268225</v>
      </c>
      <c r="E259" s="32">
        <v>982</v>
      </c>
      <c r="F259" s="32">
        <v>886</v>
      </c>
      <c r="G259" s="32" t="s">
        <v>38</v>
      </c>
      <c r="H259" s="32" t="s">
        <v>2976</v>
      </c>
      <c r="I259" s="32" t="s">
        <v>39</v>
      </c>
      <c r="J259" s="32" t="s">
        <v>40</v>
      </c>
      <c r="K259" s="32" t="s">
        <v>41</v>
      </c>
      <c r="L259" s="32">
        <v>5</v>
      </c>
    </row>
    <row r="260" spans="1:12" hidden="1" x14ac:dyDescent="0.3">
      <c r="A260" s="39">
        <v>46168.472650462965</v>
      </c>
      <c r="B260" s="32">
        <v>4533042020</v>
      </c>
      <c r="C260" s="32">
        <v>4531273159</v>
      </c>
      <c r="D260" s="32">
        <v>4531273159</v>
      </c>
      <c r="E260" s="32">
        <v>128</v>
      </c>
      <c r="F260" s="32">
        <v>127</v>
      </c>
      <c r="G260" s="32" t="s">
        <v>52</v>
      </c>
      <c r="H260" s="32" t="s">
        <v>2977</v>
      </c>
      <c r="I260" s="32" t="s">
        <v>39</v>
      </c>
      <c r="J260" s="32" t="s">
        <v>53</v>
      </c>
      <c r="K260" s="32" t="s">
        <v>41</v>
      </c>
    </row>
    <row r="261" spans="1:12" hidden="1" x14ac:dyDescent="0.3">
      <c r="A261" s="39">
        <v>46168.471736111111</v>
      </c>
      <c r="B261" s="32" t="s">
        <v>48</v>
      </c>
      <c r="C261" s="32">
        <v>4430152533</v>
      </c>
      <c r="E261" s="32">
        <v>153</v>
      </c>
      <c r="F261" s="32">
        <v>129</v>
      </c>
      <c r="G261" s="32" t="s">
        <v>38</v>
      </c>
      <c r="H261" s="32" t="s">
        <v>2978</v>
      </c>
      <c r="I261" s="32" t="s">
        <v>46</v>
      </c>
      <c r="J261" s="32" t="s">
        <v>40</v>
      </c>
    </row>
    <row r="262" spans="1:12" hidden="1" x14ac:dyDescent="0.3">
      <c r="A262" s="39">
        <v>46168.471701388888</v>
      </c>
      <c r="B262" s="32">
        <v>45999211357</v>
      </c>
      <c r="C262" s="32" t="s">
        <v>45</v>
      </c>
      <c r="D262" s="32">
        <v>4431268225</v>
      </c>
      <c r="E262" s="32">
        <v>2260</v>
      </c>
      <c r="F262" s="32">
        <v>2169</v>
      </c>
      <c r="G262" s="32" t="s">
        <v>38</v>
      </c>
      <c r="H262" s="32" t="s">
        <v>2979</v>
      </c>
      <c r="I262" s="32" t="s">
        <v>39</v>
      </c>
      <c r="J262" s="32" t="s">
        <v>40</v>
      </c>
      <c r="K262" s="32" t="s">
        <v>41</v>
      </c>
    </row>
    <row r="263" spans="1:12" hidden="1" x14ac:dyDescent="0.3">
      <c r="A263" s="39">
        <v>46168.462673611109</v>
      </c>
      <c r="B263" s="32" t="s">
        <v>48</v>
      </c>
      <c r="C263" s="32">
        <v>1732146970</v>
      </c>
      <c r="E263" s="32">
        <v>267</v>
      </c>
      <c r="F263" s="32">
        <v>266</v>
      </c>
      <c r="G263" s="32" t="s">
        <v>38</v>
      </c>
      <c r="H263" s="32" t="s">
        <v>2980</v>
      </c>
      <c r="I263" s="32" t="s">
        <v>46</v>
      </c>
      <c r="J263" s="32" t="s">
        <v>40</v>
      </c>
    </row>
    <row r="264" spans="1:12" hidden="1" x14ac:dyDescent="0.3">
      <c r="A264" s="39">
        <v>46168.455567129633</v>
      </c>
      <c r="B264" s="32">
        <v>44997456641</v>
      </c>
      <c r="C264" s="32" t="s">
        <v>37</v>
      </c>
      <c r="D264" s="32">
        <v>4430265054</v>
      </c>
      <c r="E264" s="32">
        <v>654</v>
      </c>
      <c r="F264" s="32">
        <v>550</v>
      </c>
      <c r="G264" s="32" t="s">
        <v>38</v>
      </c>
      <c r="H264" s="32" t="s">
        <v>2981</v>
      </c>
      <c r="I264" s="32" t="s">
        <v>39</v>
      </c>
      <c r="J264" s="32" t="s">
        <v>40</v>
      </c>
      <c r="K264" s="32" t="s">
        <v>41</v>
      </c>
      <c r="L264" s="32">
        <v>5</v>
      </c>
    </row>
    <row r="265" spans="1:12" hidden="1" x14ac:dyDescent="0.3">
      <c r="A265" s="39">
        <v>46168.445196759261</v>
      </c>
      <c r="B265" s="32">
        <v>1732146970</v>
      </c>
      <c r="C265" s="32" t="s">
        <v>48</v>
      </c>
      <c r="D265" s="32">
        <v>4431268225</v>
      </c>
      <c r="E265" s="32">
        <v>515</v>
      </c>
      <c r="F265" s="32">
        <v>355</v>
      </c>
      <c r="G265" s="32" t="s">
        <v>38</v>
      </c>
      <c r="H265" s="32" t="s">
        <v>2982</v>
      </c>
      <c r="I265" s="32" t="s">
        <v>39</v>
      </c>
      <c r="J265" s="32" t="s">
        <v>40</v>
      </c>
      <c r="K265" s="32" t="s">
        <v>41</v>
      </c>
    </row>
    <row r="266" spans="1:12" hidden="1" x14ac:dyDescent="0.3">
      <c r="A266" s="39">
        <v>46168.44327546296</v>
      </c>
      <c r="B266" s="32">
        <v>41997840159</v>
      </c>
      <c r="C266" s="32" t="s">
        <v>37</v>
      </c>
      <c r="D266" s="32">
        <v>4431268225</v>
      </c>
      <c r="E266" s="32">
        <v>419</v>
      </c>
      <c r="F266" s="32">
        <v>298</v>
      </c>
      <c r="G266" s="32" t="s">
        <v>38</v>
      </c>
      <c r="H266" s="32" t="s">
        <v>2983</v>
      </c>
      <c r="I266" s="32" t="s">
        <v>39</v>
      </c>
      <c r="J266" s="32" t="s">
        <v>40</v>
      </c>
      <c r="K266" s="32" t="s">
        <v>41</v>
      </c>
    </row>
    <row r="267" spans="1:12" hidden="1" x14ac:dyDescent="0.3">
      <c r="A267" s="39">
        <v>46168.441817129627</v>
      </c>
      <c r="B267" s="32">
        <v>44999451200</v>
      </c>
      <c r="C267" s="32" t="s">
        <v>43</v>
      </c>
      <c r="D267" s="32">
        <v>4430265054</v>
      </c>
      <c r="E267" s="32">
        <v>589</v>
      </c>
      <c r="F267" s="32">
        <v>424</v>
      </c>
      <c r="G267" s="32" t="s">
        <v>38</v>
      </c>
      <c r="H267" s="32" t="s">
        <v>2984</v>
      </c>
      <c r="I267" s="32" t="s">
        <v>39</v>
      </c>
      <c r="J267" s="32" t="s">
        <v>40</v>
      </c>
      <c r="K267" s="32" t="s">
        <v>41</v>
      </c>
    </row>
    <row r="268" spans="1:12" hidden="1" x14ac:dyDescent="0.3">
      <c r="A268" s="39">
        <v>46168.441099537034</v>
      </c>
      <c r="B268" s="32">
        <v>4432269849</v>
      </c>
      <c r="C268" s="32" t="s">
        <v>44</v>
      </c>
      <c r="D268" s="32">
        <v>4430265054</v>
      </c>
      <c r="E268" s="32">
        <v>2156</v>
      </c>
      <c r="F268" s="32">
        <v>2004</v>
      </c>
      <c r="G268" s="32" t="s">
        <v>38</v>
      </c>
      <c r="H268" s="32" t="s">
        <v>2985</v>
      </c>
      <c r="I268" s="32" t="s">
        <v>39</v>
      </c>
      <c r="J268" s="32" t="s">
        <v>40</v>
      </c>
      <c r="K268" s="32" t="s">
        <v>41</v>
      </c>
    </row>
    <row r="269" spans="1:12" hidden="1" x14ac:dyDescent="0.3">
      <c r="A269" s="39">
        <v>46168.439259259256</v>
      </c>
      <c r="B269" s="32">
        <v>4532541802</v>
      </c>
      <c r="C269" s="32" t="s">
        <v>45</v>
      </c>
      <c r="D269" s="32">
        <v>4430265054</v>
      </c>
      <c r="E269" s="32">
        <v>2354</v>
      </c>
      <c r="F269" s="32">
        <v>2212</v>
      </c>
      <c r="G269" s="32" t="s">
        <v>38</v>
      </c>
      <c r="H269" s="32" t="s">
        <v>2986</v>
      </c>
      <c r="I269" s="32" t="s">
        <v>39</v>
      </c>
      <c r="J269" s="32" t="s">
        <v>40</v>
      </c>
      <c r="K269" s="32" t="s">
        <v>41</v>
      </c>
    </row>
    <row r="270" spans="1:12" hidden="1" x14ac:dyDescent="0.3">
      <c r="A270" s="39">
        <v>46168.417870370373</v>
      </c>
      <c r="B270" s="32">
        <v>44998032021</v>
      </c>
      <c r="C270" s="32" t="s">
        <v>37</v>
      </c>
      <c r="D270" s="32">
        <v>4430265054</v>
      </c>
      <c r="E270" s="32">
        <v>1092</v>
      </c>
      <c r="F270" s="32">
        <v>1078</v>
      </c>
      <c r="G270" s="32" t="s">
        <v>38</v>
      </c>
      <c r="H270" s="32" t="s">
        <v>2987</v>
      </c>
      <c r="I270" s="32" t="s">
        <v>39</v>
      </c>
      <c r="J270" s="32" t="s">
        <v>40</v>
      </c>
      <c r="K270" s="32" t="s">
        <v>41</v>
      </c>
    </row>
    <row r="271" spans="1:12" hidden="1" x14ac:dyDescent="0.3">
      <c r="A271" s="39">
        <v>46168.416331018518</v>
      </c>
      <c r="B271" s="32">
        <v>44997456641</v>
      </c>
      <c r="C271" s="32" t="s">
        <v>44</v>
      </c>
      <c r="D271" s="32">
        <v>4430265054</v>
      </c>
      <c r="E271" s="32">
        <v>1414</v>
      </c>
      <c r="F271" s="32">
        <v>1270</v>
      </c>
      <c r="G271" s="32" t="s">
        <v>38</v>
      </c>
      <c r="H271" s="32" t="s">
        <v>2988</v>
      </c>
      <c r="I271" s="32" t="s">
        <v>39</v>
      </c>
      <c r="J271" s="32" t="s">
        <v>40</v>
      </c>
      <c r="K271" s="32" t="s">
        <v>41</v>
      </c>
      <c r="L271" s="32">
        <v>5</v>
      </c>
    </row>
    <row r="272" spans="1:12" hidden="1" x14ac:dyDescent="0.3">
      <c r="A272" s="39">
        <v>46168.412002314813</v>
      </c>
      <c r="B272" s="32">
        <v>1131043888</v>
      </c>
      <c r="C272" s="32" t="s">
        <v>43</v>
      </c>
      <c r="D272" s="32">
        <v>4430265054</v>
      </c>
      <c r="E272" s="32">
        <v>545</v>
      </c>
      <c r="F272" s="32">
        <v>508</v>
      </c>
      <c r="G272" s="32" t="s">
        <v>38</v>
      </c>
      <c r="H272" s="32" t="s">
        <v>2989</v>
      </c>
      <c r="I272" s="32" t="s">
        <v>39</v>
      </c>
      <c r="J272" s="32" t="s">
        <v>40</v>
      </c>
      <c r="K272" s="32" t="s">
        <v>41</v>
      </c>
    </row>
    <row r="273" spans="1:12" hidden="1" x14ac:dyDescent="0.3">
      <c r="A273" s="39">
        <v>46168.405555555553</v>
      </c>
      <c r="B273" s="32">
        <v>1732146970</v>
      </c>
      <c r="C273" s="32" t="s">
        <v>48</v>
      </c>
      <c r="D273" s="32">
        <v>4431268225</v>
      </c>
      <c r="E273" s="32">
        <v>2496</v>
      </c>
      <c r="F273" s="32">
        <v>2343</v>
      </c>
      <c r="G273" s="32" t="s">
        <v>38</v>
      </c>
      <c r="H273" s="32" t="s">
        <v>2990</v>
      </c>
      <c r="I273" s="32" t="s">
        <v>39</v>
      </c>
      <c r="J273" s="32" t="s">
        <v>40</v>
      </c>
      <c r="K273" s="32" t="s">
        <v>41</v>
      </c>
    </row>
    <row r="274" spans="1:12" hidden="1" x14ac:dyDescent="0.3">
      <c r="A274" s="39">
        <v>46168.404652777775</v>
      </c>
      <c r="B274" s="32">
        <v>4430152533</v>
      </c>
      <c r="C274" s="32" t="s">
        <v>43</v>
      </c>
      <c r="D274" s="32">
        <v>4430265054</v>
      </c>
      <c r="E274" s="32">
        <v>412</v>
      </c>
      <c r="F274" s="32">
        <v>371</v>
      </c>
      <c r="G274" s="32" t="s">
        <v>38</v>
      </c>
      <c r="H274" s="32" t="s">
        <v>2991</v>
      </c>
      <c r="I274" s="32" t="s">
        <v>39</v>
      </c>
      <c r="J274" s="32" t="s">
        <v>40</v>
      </c>
      <c r="K274" s="32" t="s">
        <v>41</v>
      </c>
    </row>
    <row r="275" spans="1:12" hidden="1" x14ac:dyDescent="0.3">
      <c r="A275" s="39">
        <v>46168.403240740743</v>
      </c>
      <c r="B275" s="32">
        <v>73982188717</v>
      </c>
      <c r="C275" s="32" t="s">
        <v>37</v>
      </c>
      <c r="D275" s="32">
        <v>4430265054</v>
      </c>
      <c r="E275" s="32">
        <v>407</v>
      </c>
      <c r="F275" s="32">
        <v>369</v>
      </c>
      <c r="G275" s="32" t="s">
        <v>38</v>
      </c>
      <c r="H275" s="32" t="s">
        <v>2992</v>
      </c>
      <c r="I275" s="32" t="s">
        <v>39</v>
      </c>
      <c r="J275" s="32" t="s">
        <v>40</v>
      </c>
      <c r="K275" s="32" t="s">
        <v>41</v>
      </c>
    </row>
    <row r="276" spans="1:12" hidden="1" x14ac:dyDescent="0.3">
      <c r="A276" s="39">
        <v>46168.398680555554</v>
      </c>
      <c r="B276" s="32">
        <v>44999670264</v>
      </c>
      <c r="C276" s="32">
        <v>4430265054</v>
      </c>
      <c r="D276" s="32">
        <v>4430265054</v>
      </c>
      <c r="E276" s="32">
        <v>49</v>
      </c>
      <c r="F276" s="32">
        <v>49</v>
      </c>
      <c r="G276" s="32" t="s">
        <v>52</v>
      </c>
      <c r="H276" s="32" t="s">
        <v>2993</v>
      </c>
      <c r="I276" s="32" t="s">
        <v>39</v>
      </c>
      <c r="J276" s="32" t="s">
        <v>53</v>
      </c>
      <c r="K276" s="32" t="s">
        <v>41</v>
      </c>
    </row>
    <row r="277" spans="1:12" hidden="1" x14ac:dyDescent="0.3">
      <c r="A277" s="39">
        <v>46168.39806712963</v>
      </c>
      <c r="B277" s="32">
        <v>44998761561</v>
      </c>
      <c r="C277" s="32" t="s">
        <v>43</v>
      </c>
      <c r="D277" s="32">
        <v>4430265054</v>
      </c>
      <c r="E277" s="32">
        <v>434</v>
      </c>
      <c r="F277" s="32">
        <v>382</v>
      </c>
      <c r="G277" s="32" t="s">
        <v>38</v>
      </c>
      <c r="H277" s="32" t="s">
        <v>2994</v>
      </c>
      <c r="I277" s="32" t="s">
        <v>39</v>
      </c>
      <c r="J277" s="32" t="s">
        <v>40</v>
      </c>
      <c r="K277" s="32" t="s">
        <v>41</v>
      </c>
    </row>
    <row r="278" spans="1:12" hidden="1" x14ac:dyDescent="0.3">
      <c r="A278" s="39">
        <v>46168.397361111114</v>
      </c>
      <c r="B278" s="32">
        <v>1732146970</v>
      </c>
      <c r="C278" s="32" t="s">
        <v>44</v>
      </c>
      <c r="D278" s="32">
        <v>4431268225</v>
      </c>
      <c r="E278" s="32">
        <v>945</v>
      </c>
      <c r="F278" s="32">
        <v>855</v>
      </c>
      <c r="G278" s="32" t="s">
        <v>38</v>
      </c>
      <c r="H278" s="32" t="s">
        <v>2995</v>
      </c>
      <c r="I278" s="32" t="s">
        <v>39</v>
      </c>
      <c r="J278" s="32" t="s">
        <v>40</v>
      </c>
      <c r="K278" s="32" t="s">
        <v>41</v>
      </c>
    </row>
    <row r="279" spans="1:12" hidden="1" x14ac:dyDescent="0.3">
      <c r="A279" s="39">
        <v>46168.396620370368</v>
      </c>
      <c r="B279" s="32">
        <v>45999334612</v>
      </c>
      <c r="C279" s="32" t="s">
        <v>37</v>
      </c>
      <c r="D279" s="32">
        <v>4430265054</v>
      </c>
      <c r="E279" s="32">
        <v>375</v>
      </c>
      <c r="F279" s="32">
        <v>333</v>
      </c>
      <c r="G279" s="32" t="s">
        <v>38</v>
      </c>
      <c r="H279" s="32" t="s">
        <v>2996</v>
      </c>
      <c r="I279" s="32" t="s">
        <v>39</v>
      </c>
      <c r="J279" s="32" t="s">
        <v>40</v>
      </c>
      <c r="K279" s="32" t="s">
        <v>41</v>
      </c>
      <c r="L279" s="32">
        <v>5</v>
      </c>
    </row>
    <row r="280" spans="1:12" hidden="1" x14ac:dyDescent="0.3">
      <c r="A280" s="39">
        <v>46168.396331018521</v>
      </c>
      <c r="B280" s="32" t="s">
        <v>50</v>
      </c>
      <c r="C280" s="32" t="s">
        <v>57</v>
      </c>
      <c r="E280" s="32">
        <v>239</v>
      </c>
      <c r="F280" s="32">
        <v>232</v>
      </c>
      <c r="G280" s="32" t="s">
        <v>38</v>
      </c>
      <c r="H280" s="32" t="s">
        <v>2997</v>
      </c>
      <c r="I280" s="32" t="s">
        <v>51</v>
      </c>
      <c r="J280" s="32" t="s">
        <v>55</v>
      </c>
    </row>
    <row r="281" spans="1:12" hidden="1" x14ac:dyDescent="0.3">
      <c r="A281" s="39">
        <v>46168.390393518515</v>
      </c>
      <c r="B281" s="32">
        <v>4432672194</v>
      </c>
      <c r="C281" s="32" t="s">
        <v>45</v>
      </c>
      <c r="D281" s="32">
        <v>4430265054</v>
      </c>
      <c r="E281" s="32">
        <v>2945</v>
      </c>
      <c r="F281" s="32">
        <v>2922</v>
      </c>
      <c r="G281" s="32" t="s">
        <v>38</v>
      </c>
      <c r="H281" s="32" t="s">
        <v>2998</v>
      </c>
      <c r="I281" s="32" t="s">
        <v>39</v>
      </c>
      <c r="J281" s="32" t="s">
        <v>40</v>
      </c>
      <c r="K281" s="32" t="s">
        <v>41</v>
      </c>
    </row>
    <row r="282" spans="1:12" hidden="1" x14ac:dyDescent="0.3">
      <c r="A282" s="39">
        <v>46168.360798611109</v>
      </c>
      <c r="B282" s="32">
        <v>4432524636</v>
      </c>
      <c r="C282" s="32" t="s">
        <v>37</v>
      </c>
      <c r="D282" s="32">
        <v>4430265054</v>
      </c>
      <c r="E282" s="32">
        <v>268</v>
      </c>
      <c r="F282" s="32">
        <v>191</v>
      </c>
      <c r="G282" s="32" t="s">
        <v>38</v>
      </c>
      <c r="H282" s="32" t="s">
        <v>2999</v>
      </c>
      <c r="I282" s="32" t="s">
        <v>39</v>
      </c>
      <c r="J282" s="32" t="s">
        <v>40</v>
      </c>
      <c r="K282" s="32" t="s">
        <v>41</v>
      </c>
    </row>
    <row r="283" spans="1:12" hidden="1" x14ac:dyDescent="0.3">
      <c r="A283" s="39">
        <v>46168.35670138889</v>
      </c>
      <c r="B283" s="32">
        <v>4430410411</v>
      </c>
      <c r="C283" s="32" t="s">
        <v>37</v>
      </c>
      <c r="D283" s="32">
        <v>4430265054</v>
      </c>
      <c r="E283" s="32">
        <v>122</v>
      </c>
      <c r="F283" s="32">
        <v>99</v>
      </c>
      <c r="G283" s="32" t="s">
        <v>38</v>
      </c>
      <c r="H283" s="32" t="s">
        <v>3000</v>
      </c>
      <c r="I283" s="32" t="s">
        <v>39</v>
      </c>
      <c r="J283" s="32" t="s">
        <v>40</v>
      </c>
      <c r="K283" s="32" t="s">
        <v>41</v>
      </c>
    </row>
    <row r="284" spans="1:12" hidden="1" x14ac:dyDescent="0.3">
      <c r="A284" s="39">
        <v>46168.355694444443</v>
      </c>
      <c r="B284" s="32">
        <v>4435226025</v>
      </c>
      <c r="C284" s="32" t="s">
        <v>45</v>
      </c>
      <c r="D284" s="32">
        <v>4430265054</v>
      </c>
      <c r="E284" s="32">
        <v>1255</v>
      </c>
      <c r="F284" s="32">
        <v>1214</v>
      </c>
      <c r="G284" s="32" t="s">
        <v>38</v>
      </c>
      <c r="H284" s="32" t="s">
        <v>3001</v>
      </c>
      <c r="I284" s="32" t="s">
        <v>39</v>
      </c>
      <c r="J284" s="32" t="s">
        <v>40</v>
      </c>
      <c r="K284" s="32" t="s">
        <v>41</v>
      </c>
    </row>
    <row r="285" spans="1:12" hidden="1" x14ac:dyDescent="0.3">
      <c r="A285" s="39">
        <v>46168.355011574073</v>
      </c>
      <c r="B285" s="32" t="s">
        <v>48</v>
      </c>
      <c r="C285" s="32">
        <v>4430152023</v>
      </c>
      <c r="E285" s="32">
        <v>1579</v>
      </c>
      <c r="F285" s="32">
        <v>1568</v>
      </c>
      <c r="G285" s="32" t="s">
        <v>38</v>
      </c>
      <c r="H285" s="32" t="s">
        <v>3002</v>
      </c>
      <c r="I285" s="32" t="s">
        <v>46</v>
      </c>
      <c r="J285" s="32" t="s">
        <v>40</v>
      </c>
    </row>
    <row r="286" spans="1:12" hidden="1" x14ac:dyDescent="0.3">
      <c r="A286" s="39">
        <v>46168.350914351853</v>
      </c>
      <c r="B286" s="32">
        <v>4433050402</v>
      </c>
      <c r="C286" s="32">
        <v>4430265054</v>
      </c>
      <c r="D286" s="32">
        <v>4430265054</v>
      </c>
      <c r="E286" s="32">
        <v>17</v>
      </c>
      <c r="F286" s="32">
        <v>16</v>
      </c>
      <c r="G286" s="32" t="s">
        <v>52</v>
      </c>
      <c r="H286" s="32" t="s">
        <v>3003</v>
      </c>
      <c r="I286" s="32" t="s">
        <v>39</v>
      </c>
      <c r="J286" s="32" t="s">
        <v>53</v>
      </c>
    </row>
    <row r="287" spans="1:12" hidden="1" x14ac:dyDescent="0.3">
      <c r="A287" s="39">
        <v>46168.336111111108</v>
      </c>
      <c r="B287" s="32" t="s">
        <v>48</v>
      </c>
      <c r="C287" s="32">
        <v>4430152023</v>
      </c>
      <c r="E287" s="32">
        <v>132</v>
      </c>
      <c r="F287" s="32">
        <v>105</v>
      </c>
      <c r="G287" s="32" t="s">
        <v>38</v>
      </c>
      <c r="H287" s="32" t="s">
        <v>3004</v>
      </c>
      <c r="I287" s="32" t="s">
        <v>46</v>
      </c>
      <c r="J287" s="32" t="s">
        <v>40</v>
      </c>
    </row>
    <row r="288" spans="1:12" hidden="1" x14ac:dyDescent="0.3">
      <c r="A288" s="39">
        <v>46168.33452546296</v>
      </c>
      <c r="B288" s="32">
        <v>1438160351</v>
      </c>
      <c r="C288" s="32">
        <v>4430265054</v>
      </c>
      <c r="D288" s="32">
        <v>4430265054</v>
      </c>
      <c r="E288" s="32">
        <v>9</v>
      </c>
      <c r="F288" s="32">
        <v>8</v>
      </c>
      <c r="G288" s="32" t="s">
        <v>52</v>
      </c>
      <c r="H288" s="32" t="s">
        <v>3005</v>
      </c>
      <c r="I288" s="32" t="s">
        <v>39</v>
      </c>
      <c r="J288" s="32" t="s">
        <v>53</v>
      </c>
    </row>
    <row r="289" spans="1:12" hidden="1" x14ac:dyDescent="0.3">
      <c r="A289" s="39">
        <v>46167.722025462965</v>
      </c>
      <c r="B289" s="32">
        <v>4434239353</v>
      </c>
      <c r="C289" s="32" t="s">
        <v>45</v>
      </c>
      <c r="D289" s="32">
        <v>4430265054</v>
      </c>
      <c r="E289" s="32">
        <v>865</v>
      </c>
      <c r="F289" s="32">
        <v>697</v>
      </c>
      <c r="G289" s="32" t="s">
        <v>38</v>
      </c>
      <c r="H289" s="32" t="s">
        <v>3006</v>
      </c>
      <c r="I289" s="32" t="s">
        <v>39</v>
      </c>
      <c r="J289" s="32" t="s">
        <v>40</v>
      </c>
      <c r="K289" s="32" t="s">
        <v>41</v>
      </c>
      <c r="L289" s="32">
        <v>5</v>
      </c>
    </row>
    <row r="290" spans="1:12" hidden="1" x14ac:dyDescent="0.3">
      <c r="A290" s="39">
        <v>46167.713217592594</v>
      </c>
      <c r="B290" s="32">
        <v>44997456641</v>
      </c>
      <c r="C290" s="32" t="s">
        <v>44</v>
      </c>
      <c r="D290" s="32">
        <v>4430265054</v>
      </c>
      <c r="E290" s="32">
        <v>264</v>
      </c>
      <c r="F290" s="32">
        <v>228</v>
      </c>
      <c r="G290" s="32" t="s">
        <v>38</v>
      </c>
      <c r="H290" s="32" t="s">
        <v>3007</v>
      </c>
      <c r="I290" s="32" t="s">
        <v>39</v>
      </c>
      <c r="J290" s="32" t="s">
        <v>40</v>
      </c>
      <c r="K290" s="32" t="s">
        <v>41</v>
      </c>
    </row>
    <row r="291" spans="1:12" hidden="1" x14ac:dyDescent="0.3">
      <c r="A291" s="39">
        <v>46167.712118055555</v>
      </c>
      <c r="B291" s="32">
        <v>6434538540</v>
      </c>
      <c r="C291" s="32" t="s">
        <v>43</v>
      </c>
      <c r="D291" s="32">
        <v>4430265054</v>
      </c>
      <c r="E291" s="32">
        <v>878</v>
      </c>
      <c r="F291" s="32">
        <v>853</v>
      </c>
      <c r="G291" s="32" t="s">
        <v>38</v>
      </c>
      <c r="H291" s="32" t="s">
        <v>3008</v>
      </c>
      <c r="I291" s="32" t="s">
        <v>39</v>
      </c>
      <c r="J291" s="32" t="s">
        <v>40</v>
      </c>
      <c r="K291" s="32" t="s">
        <v>41</v>
      </c>
    </row>
    <row r="292" spans="1:12" hidden="1" x14ac:dyDescent="0.3">
      <c r="A292" s="39">
        <v>46167.703506944446</v>
      </c>
      <c r="B292" s="32">
        <v>44997456641</v>
      </c>
      <c r="C292" s="32" t="s">
        <v>44</v>
      </c>
      <c r="D292" s="32">
        <v>4430265054</v>
      </c>
      <c r="E292" s="32">
        <v>217</v>
      </c>
      <c r="F292" s="32">
        <v>111</v>
      </c>
      <c r="G292" s="32" t="s">
        <v>38</v>
      </c>
      <c r="H292" s="32" t="s">
        <v>3009</v>
      </c>
      <c r="I292" s="32" t="s">
        <v>39</v>
      </c>
      <c r="J292" s="32" t="s">
        <v>40</v>
      </c>
      <c r="K292" s="32" t="s">
        <v>41</v>
      </c>
    </row>
    <row r="293" spans="1:12" hidden="1" x14ac:dyDescent="0.3">
      <c r="A293" s="39">
        <v>46167.703159722223</v>
      </c>
      <c r="B293" s="32" t="s">
        <v>48</v>
      </c>
      <c r="C293" s="32">
        <v>4430152023</v>
      </c>
      <c r="E293" s="32">
        <v>176</v>
      </c>
      <c r="F293" s="32">
        <v>165</v>
      </c>
      <c r="G293" s="32" t="s">
        <v>38</v>
      </c>
      <c r="H293" s="32" t="s">
        <v>3010</v>
      </c>
      <c r="I293" s="32" t="s">
        <v>46</v>
      </c>
      <c r="J293" s="32" t="s">
        <v>40</v>
      </c>
    </row>
    <row r="294" spans="1:12" hidden="1" x14ac:dyDescent="0.3">
      <c r="A294" s="39">
        <v>46167.702719907407</v>
      </c>
      <c r="B294" s="32">
        <v>1438780460</v>
      </c>
      <c r="C294" s="32">
        <v>4531273172</v>
      </c>
      <c r="D294" s="32">
        <v>4531273172</v>
      </c>
      <c r="E294" s="32">
        <v>54</v>
      </c>
      <c r="F294" s="32">
        <v>53</v>
      </c>
      <c r="G294" s="32" t="s">
        <v>52</v>
      </c>
      <c r="H294" s="32" t="s">
        <v>3011</v>
      </c>
      <c r="I294" s="32" t="s">
        <v>39</v>
      </c>
      <c r="J294" s="32" t="s">
        <v>53</v>
      </c>
      <c r="K294" s="32" t="s">
        <v>41</v>
      </c>
    </row>
    <row r="295" spans="1:12" hidden="1" x14ac:dyDescent="0.3">
      <c r="A295" s="39">
        <v>46167.701701388891</v>
      </c>
      <c r="B295" s="32">
        <v>1131515685</v>
      </c>
      <c r="C295" s="32" t="s">
        <v>37</v>
      </c>
      <c r="D295" s="32">
        <v>4430265054</v>
      </c>
      <c r="E295" s="32">
        <v>320</v>
      </c>
      <c r="F295" s="32">
        <v>283</v>
      </c>
      <c r="G295" s="32" t="s">
        <v>38</v>
      </c>
      <c r="H295" s="32" t="s">
        <v>3012</v>
      </c>
      <c r="I295" s="32" t="s">
        <v>39</v>
      </c>
      <c r="J295" s="32" t="s">
        <v>40</v>
      </c>
      <c r="K295" s="32" t="s">
        <v>41</v>
      </c>
    </row>
    <row r="296" spans="1:12" hidden="1" x14ac:dyDescent="0.3">
      <c r="A296" s="39">
        <v>46167.695752314816</v>
      </c>
      <c r="B296" s="32">
        <v>44984361000</v>
      </c>
      <c r="C296" s="32" t="s">
        <v>43</v>
      </c>
      <c r="D296" s="32">
        <v>4430265054</v>
      </c>
      <c r="E296" s="32">
        <v>462</v>
      </c>
      <c r="F296" s="32">
        <v>359</v>
      </c>
      <c r="G296" s="32" t="s">
        <v>38</v>
      </c>
      <c r="H296" s="32" t="s">
        <v>3013</v>
      </c>
      <c r="I296" s="32" t="s">
        <v>39</v>
      </c>
      <c r="J296" s="32" t="s">
        <v>40</v>
      </c>
      <c r="K296" s="32" t="s">
        <v>41</v>
      </c>
    </row>
    <row r="297" spans="1:12" hidden="1" x14ac:dyDescent="0.3">
      <c r="A297" s="39">
        <v>46167.688715277778</v>
      </c>
      <c r="B297" s="32">
        <v>44998640313</v>
      </c>
      <c r="C297" s="32" t="s">
        <v>37</v>
      </c>
      <c r="D297" s="32">
        <v>4430265054</v>
      </c>
      <c r="E297" s="32">
        <v>383</v>
      </c>
      <c r="F297" s="32">
        <v>346</v>
      </c>
      <c r="G297" s="32" t="s">
        <v>38</v>
      </c>
      <c r="H297" s="32" t="s">
        <v>3014</v>
      </c>
      <c r="I297" s="32" t="s">
        <v>39</v>
      </c>
      <c r="J297" s="32" t="s">
        <v>40</v>
      </c>
      <c r="K297" s="32" t="s">
        <v>41</v>
      </c>
      <c r="L297" s="32">
        <v>5</v>
      </c>
    </row>
    <row r="298" spans="1:12" hidden="1" x14ac:dyDescent="0.3">
      <c r="A298" s="39">
        <v>46167.684490740743</v>
      </c>
      <c r="B298" s="32">
        <v>44998761561</v>
      </c>
      <c r="C298" s="32" t="s">
        <v>45</v>
      </c>
      <c r="D298" s="32">
        <v>4430265054</v>
      </c>
      <c r="E298" s="32">
        <v>3070</v>
      </c>
      <c r="F298" s="32">
        <v>2916</v>
      </c>
      <c r="G298" s="32" t="s">
        <v>38</v>
      </c>
      <c r="H298" s="32" t="s">
        <v>3015</v>
      </c>
      <c r="I298" s="32" t="s">
        <v>39</v>
      </c>
      <c r="J298" s="32" t="s">
        <v>40</v>
      </c>
      <c r="K298" s="32" t="s">
        <v>41</v>
      </c>
      <c r="L298" s="32">
        <v>5</v>
      </c>
    </row>
    <row r="299" spans="1:12" hidden="1" x14ac:dyDescent="0.3">
      <c r="A299" s="39">
        <v>46167.684282407405</v>
      </c>
      <c r="B299" s="32">
        <v>44998761561</v>
      </c>
      <c r="C299" s="32">
        <v>4430265054</v>
      </c>
      <c r="D299" s="32">
        <v>4430265054</v>
      </c>
      <c r="E299" s="32">
        <v>7</v>
      </c>
      <c r="F299" s="32">
        <v>6</v>
      </c>
      <c r="G299" s="32" t="s">
        <v>52</v>
      </c>
      <c r="H299" s="32" t="s">
        <v>3016</v>
      </c>
      <c r="I299" s="32" t="s">
        <v>39</v>
      </c>
      <c r="J299" s="32" t="s">
        <v>53</v>
      </c>
    </row>
    <row r="300" spans="1:12" hidden="1" x14ac:dyDescent="0.3">
      <c r="A300" s="39">
        <v>46167.675266203703</v>
      </c>
      <c r="B300" s="32" t="s">
        <v>48</v>
      </c>
      <c r="C300" s="32">
        <v>3432424736</v>
      </c>
      <c r="E300" s="32">
        <v>610</v>
      </c>
      <c r="F300" s="32">
        <v>608</v>
      </c>
      <c r="G300" s="32" t="s">
        <v>38</v>
      </c>
      <c r="H300" s="32" t="s">
        <v>3017</v>
      </c>
      <c r="I300" s="32" t="s">
        <v>46</v>
      </c>
      <c r="J300" s="32" t="s">
        <v>40</v>
      </c>
      <c r="L300" s="32">
        <v>5</v>
      </c>
    </row>
    <row r="301" spans="1:12" hidden="1" x14ac:dyDescent="0.3">
      <c r="A301" s="39">
        <v>46167.672777777778</v>
      </c>
      <c r="B301" s="32">
        <v>44998761561</v>
      </c>
      <c r="C301" s="32" t="s">
        <v>43</v>
      </c>
      <c r="D301" s="32">
        <v>4430265054</v>
      </c>
      <c r="E301" s="32">
        <v>439</v>
      </c>
      <c r="F301" s="32">
        <v>345</v>
      </c>
      <c r="G301" s="32" t="s">
        <v>38</v>
      </c>
      <c r="H301" s="32" t="s">
        <v>3018</v>
      </c>
      <c r="I301" s="32" t="s">
        <v>39</v>
      </c>
      <c r="J301" s="32" t="s">
        <v>40</v>
      </c>
      <c r="K301" s="32" t="s">
        <v>41</v>
      </c>
      <c r="L301" s="32">
        <v>5</v>
      </c>
    </row>
    <row r="302" spans="1:12" hidden="1" x14ac:dyDescent="0.3">
      <c r="A302" s="39">
        <v>46167.672037037039</v>
      </c>
      <c r="B302" s="32">
        <v>44998640313</v>
      </c>
      <c r="C302" s="32" t="s">
        <v>44</v>
      </c>
      <c r="D302" s="32">
        <v>4430265054</v>
      </c>
      <c r="E302" s="32">
        <v>258</v>
      </c>
      <c r="F302" s="32">
        <v>117</v>
      </c>
      <c r="G302" s="32" t="s">
        <v>38</v>
      </c>
      <c r="H302" s="32" t="s">
        <v>3019</v>
      </c>
      <c r="I302" s="32" t="s">
        <v>39</v>
      </c>
      <c r="J302" s="32" t="s">
        <v>40</v>
      </c>
      <c r="K302" s="32" t="s">
        <v>41</v>
      </c>
    </row>
    <row r="303" spans="1:12" hidden="1" x14ac:dyDescent="0.3">
      <c r="A303" s="39">
        <v>46167.668842592589</v>
      </c>
      <c r="B303" s="32">
        <v>44998761561</v>
      </c>
      <c r="C303" s="32">
        <v>4430265054</v>
      </c>
      <c r="D303" s="32">
        <v>4430265054</v>
      </c>
      <c r="E303" s="32">
        <v>16</v>
      </c>
      <c r="F303" s="32">
        <v>15</v>
      </c>
      <c r="G303" s="32" t="s">
        <v>52</v>
      </c>
      <c r="H303" s="32" t="s">
        <v>3020</v>
      </c>
      <c r="I303" s="32" t="s">
        <v>39</v>
      </c>
      <c r="J303" s="32" t="s">
        <v>53</v>
      </c>
    </row>
    <row r="304" spans="1:12" hidden="1" x14ac:dyDescent="0.3">
      <c r="A304" s="39">
        <v>46167.659050925926</v>
      </c>
      <c r="B304" s="32">
        <v>44997456641</v>
      </c>
      <c r="C304" s="32" t="s">
        <v>37</v>
      </c>
      <c r="D304" s="32">
        <v>4430265054</v>
      </c>
      <c r="E304" s="32">
        <v>1198</v>
      </c>
      <c r="F304" s="32">
        <v>1173</v>
      </c>
      <c r="G304" s="32" t="s">
        <v>38</v>
      </c>
      <c r="H304" s="32" t="s">
        <v>3021</v>
      </c>
      <c r="I304" s="32" t="s">
        <v>39</v>
      </c>
      <c r="J304" s="32" t="s">
        <v>40</v>
      </c>
      <c r="K304" s="32" t="s">
        <v>41</v>
      </c>
    </row>
    <row r="305" spans="1:12" hidden="1" x14ac:dyDescent="0.3">
      <c r="A305" s="39">
        <v>46167.653078703705</v>
      </c>
      <c r="B305" s="32">
        <v>4432321371</v>
      </c>
      <c r="C305" s="32" t="s">
        <v>44</v>
      </c>
      <c r="D305" s="32">
        <v>4430265054</v>
      </c>
      <c r="E305" s="32">
        <v>1466</v>
      </c>
      <c r="F305" s="32">
        <v>1444</v>
      </c>
      <c r="G305" s="32" t="s">
        <v>38</v>
      </c>
      <c r="H305" s="32" t="s">
        <v>3022</v>
      </c>
      <c r="I305" s="32" t="s">
        <v>39</v>
      </c>
      <c r="J305" s="32" t="s">
        <v>40</v>
      </c>
      <c r="K305" s="32" t="s">
        <v>41</v>
      </c>
    </row>
    <row r="306" spans="1:12" hidden="1" x14ac:dyDescent="0.3">
      <c r="A306" s="39">
        <v>46167.652094907404</v>
      </c>
      <c r="B306" s="32">
        <v>1131043888</v>
      </c>
      <c r="C306" s="32" t="s">
        <v>43</v>
      </c>
      <c r="D306" s="32">
        <v>4430265054</v>
      </c>
      <c r="E306" s="32">
        <v>213</v>
      </c>
      <c r="F306" s="32">
        <v>177</v>
      </c>
      <c r="G306" s="32" t="s">
        <v>38</v>
      </c>
      <c r="H306" s="32" t="s">
        <v>3023</v>
      </c>
      <c r="I306" s="32" t="s">
        <v>39</v>
      </c>
      <c r="J306" s="32" t="s">
        <v>40</v>
      </c>
      <c r="K306" s="32" t="s">
        <v>41</v>
      </c>
    </row>
    <row r="307" spans="1:12" hidden="1" x14ac:dyDescent="0.3">
      <c r="A307" s="39">
        <v>46167.647824074076</v>
      </c>
      <c r="B307" s="32" t="s">
        <v>48</v>
      </c>
      <c r="C307" s="32">
        <v>4430152533</v>
      </c>
      <c r="E307" s="32">
        <v>114</v>
      </c>
      <c r="F307" s="32">
        <v>98</v>
      </c>
      <c r="G307" s="32" t="s">
        <v>38</v>
      </c>
      <c r="H307" s="32" t="s">
        <v>3024</v>
      </c>
      <c r="I307" s="32" t="s">
        <v>46</v>
      </c>
      <c r="J307" s="32" t="s">
        <v>40</v>
      </c>
    </row>
    <row r="308" spans="1:12" hidden="1" x14ac:dyDescent="0.3">
      <c r="A308" s="39">
        <v>46167.646192129629</v>
      </c>
      <c r="B308" s="32" t="s">
        <v>37</v>
      </c>
      <c r="C308" s="32">
        <v>18996991511</v>
      </c>
      <c r="E308" s="32">
        <v>900</v>
      </c>
      <c r="F308" s="32">
        <v>865</v>
      </c>
      <c r="G308" s="32" t="s">
        <v>38</v>
      </c>
      <c r="H308" s="32" t="s">
        <v>3025</v>
      </c>
      <c r="I308" s="32" t="s">
        <v>46</v>
      </c>
      <c r="J308" s="32" t="s">
        <v>40</v>
      </c>
    </row>
    <row r="309" spans="1:12" hidden="1" x14ac:dyDescent="0.3">
      <c r="A309" s="39">
        <v>46167.644907407404</v>
      </c>
      <c r="B309" s="32">
        <v>44997456641</v>
      </c>
      <c r="C309" s="32">
        <v>4430265054</v>
      </c>
      <c r="D309" s="32">
        <v>4430265054</v>
      </c>
      <c r="E309" s="32">
        <v>6</v>
      </c>
      <c r="F309" s="32">
        <v>6</v>
      </c>
      <c r="G309" s="32" t="s">
        <v>52</v>
      </c>
      <c r="H309" s="32" t="s">
        <v>3026</v>
      </c>
      <c r="I309" s="32" t="s">
        <v>39</v>
      </c>
      <c r="J309" s="32" t="s">
        <v>53</v>
      </c>
    </row>
    <row r="310" spans="1:12" hidden="1" x14ac:dyDescent="0.3">
      <c r="A310" s="39">
        <v>46167.644224537034</v>
      </c>
      <c r="B310" s="32" t="s">
        <v>48</v>
      </c>
      <c r="C310" s="32">
        <v>4430152533</v>
      </c>
      <c r="E310" s="32">
        <v>262</v>
      </c>
      <c r="F310" s="32">
        <v>249</v>
      </c>
      <c r="G310" s="32" t="s">
        <v>38</v>
      </c>
      <c r="H310" s="32" t="s">
        <v>3027</v>
      </c>
      <c r="I310" s="32" t="s">
        <v>46</v>
      </c>
      <c r="J310" s="32" t="s">
        <v>40</v>
      </c>
    </row>
    <row r="311" spans="1:12" hidden="1" x14ac:dyDescent="0.3">
      <c r="A311" s="39">
        <v>46167.642094907409</v>
      </c>
      <c r="B311" s="32">
        <v>44997270192</v>
      </c>
      <c r="C311" s="32" t="s">
        <v>45</v>
      </c>
      <c r="D311" s="32">
        <v>4430265054</v>
      </c>
      <c r="E311" s="32">
        <v>70</v>
      </c>
      <c r="F311" s="32">
        <v>47</v>
      </c>
      <c r="G311" s="32" t="s">
        <v>38</v>
      </c>
      <c r="H311" s="32" t="s">
        <v>3028</v>
      </c>
      <c r="I311" s="32" t="s">
        <v>39</v>
      </c>
      <c r="J311" s="32" t="s">
        <v>40</v>
      </c>
      <c r="K311" s="32" t="s">
        <v>41</v>
      </c>
    </row>
    <row r="312" spans="1:12" hidden="1" x14ac:dyDescent="0.3">
      <c r="A312" s="39">
        <v>46167.638958333337</v>
      </c>
      <c r="B312" s="32" t="s">
        <v>37</v>
      </c>
      <c r="C312" s="32">
        <v>44997456641</v>
      </c>
      <c r="E312" s="32">
        <v>47</v>
      </c>
      <c r="F312" s="32">
        <v>29</v>
      </c>
      <c r="G312" s="32" t="s">
        <v>38</v>
      </c>
      <c r="H312" s="32" t="s">
        <v>3029</v>
      </c>
      <c r="I312" s="32" t="s">
        <v>46</v>
      </c>
      <c r="J312" s="32" t="s">
        <v>40</v>
      </c>
    </row>
    <row r="313" spans="1:12" hidden="1" x14ac:dyDescent="0.3">
      <c r="A313" s="39">
        <v>46167.638645833336</v>
      </c>
      <c r="B313" s="32">
        <v>44991249108</v>
      </c>
      <c r="C313" s="32" t="s">
        <v>37</v>
      </c>
      <c r="D313" s="32">
        <v>4430265054</v>
      </c>
      <c r="E313" s="32">
        <v>518</v>
      </c>
      <c r="F313" s="32">
        <v>469</v>
      </c>
      <c r="G313" s="32" t="s">
        <v>38</v>
      </c>
      <c r="H313" s="32" t="s">
        <v>3030</v>
      </c>
      <c r="I313" s="32" t="s">
        <v>39</v>
      </c>
      <c r="J313" s="32" t="s">
        <v>40</v>
      </c>
      <c r="K313" s="32" t="s">
        <v>41</v>
      </c>
    </row>
    <row r="314" spans="1:12" hidden="1" x14ac:dyDescent="0.3">
      <c r="A314" s="39">
        <v>46167.638599537036</v>
      </c>
      <c r="B314" s="32" t="s">
        <v>37</v>
      </c>
      <c r="C314" s="32">
        <v>44997456641</v>
      </c>
      <c r="E314" s="32">
        <v>44</v>
      </c>
      <c r="F314" s="32">
        <v>28</v>
      </c>
      <c r="G314" s="32" t="s">
        <v>38</v>
      </c>
      <c r="H314" s="32" t="s">
        <v>3031</v>
      </c>
      <c r="I314" s="32" t="s">
        <v>46</v>
      </c>
      <c r="J314" s="32" t="s">
        <v>40</v>
      </c>
    </row>
    <row r="315" spans="1:12" hidden="1" x14ac:dyDescent="0.3">
      <c r="A315" s="39">
        <v>46167.634375000001</v>
      </c>
      <c r="B315" s="32">
        <v>44997456641</v>
      </c>
      <c r="C315" s="32" t="s">
        <v>37</v>
      </c>
      <c r="D315" s="32">
        <v>4430265054</v>
      </c>
      <c r="E315" s="32">
        <v>353</v>
      </c>
      <c r="F315" s="32">
        <v>318</v>
      </c>
      <c r="G315" s="32" t="s">
        <v>38</v>
      </c>
      <c r="H315" s="32" t="s">
        <v>3032</v>
      </c>
      <c r="I315" s="32" t="s">
        <v>39</v>
      </c>
      <c r="J315" s="32" t="s">
        <v>40</v>
      </c>
      <c r="K315" s="32" t="s">
        <v>41</v>
      </c>
    </row>
    <row r="316" spans="1:12" hidden="1" x14ac:dyDescent="0.3">
      <c r="A316" s="39">
        <v>46167.621874999997</v>
      </c>
      <c r="B316" s="32">
        <v>44999844110</v>
      </c>
      <c r="C316" s="32" t="s">
        <v>45</v>
      </c>
      <c r="D316" s="32">
        <v>4430265054</v>
      </c>
      <c r="E316" s="32">
        <v>182</v>
      </c>
      <c r="F316" s="32">
        <v>165</v>
      </c>
      <c r="G316" s="32" t="s">
        <v>38</v>
      </c>
      <c r="H316" s="32" t="s">
        <v>3033</v>
      </c>
      <c r="I316" s="32" t="s">
        <v>39</v>
      </c>
      <c r="J316" s="32" t="s">
        <v>40</v>
      </c>
      <c r="K316" s="32" t="s">
        <v>41</v>
      </c>
      <c r="L316" s="32">
        <v>5</v>
      </c>
    </row>
    <row r="317" spans="1:12" hidden="1" x14ac:dyDescent="0.3">
      <c r="A317" s="39">
        <v>46167.619421296295</v>
      </c>
      <c r="B317" s="32">
        <v>4430282545</v>
      </c>
      <c r="C317" s="32" t="s">
        <v>37</v>
      </c>
      <c r="D317" s="32">
        <v>4430265054</v>
      </c>
      <c r="E317" s="32">
        <v>741</v>
      </c>
      <c r="F317" s="32">
        <v>719</v>
      </c>
      <c r="G317" s="32" t="s">
        <v>38</v>
      </c>
      <c r="H317" s="32" t="s">
        <v>3034</v>
      </c>
      <c r="I317" s="32" t="s">
        <v>39</v>
      </c>
      <c r="J317" s="32" t="s">
        <v>40</v>
      </c>
      <c r="K317" s="32" t="s">
        <v>41</v>
      </c>
      <c r="L317" s="32">
        <v>5</v>
      </c>
    </row>
    <row r="318" spans="1:12" hidden="1" x14ac:dyDescent="0.3">
      <c r="A318" s="39">
        <v>46167.618263888886</v>
      </c>
      <c r="B318" s="32">
        <v>4430282545</v>
      </c>
      <c r="C318" s="32" t="s">
        <v>45</v>
      </c>
      <c r="D318" s="32">
        <v>4430265054</v>
      </c>
      <c r="E318" s="32">
        <v>71</v>
      </c>
      <c r="F318" s="32">
        <v>33</v>
      </c>
      <c r="G318" s="32" t="s">
        <v>38</v>
      </c>
      <c r="H318" s="32" t="s">
        <v>3035</v>
      </c>
      <c r="I318" s="32" t="s">
        <v>39</v>
      </c>
      <c r="J318" s="32" t="s">
        <v>40</v>
      </c>
      <c r="K318" s="32" t="s">
        <v>41</v>
      </c>
    </row>
    <row r="319" spans="1:12" hidden="1" x14ac:dyDescent="0.3">
      <c r="A319" s="39">
        <v>46167.602685185186</v>
      </c>
      <c r="B319" s="32">
        <v>44984580001</v>
      </c>
      <c r="C319" s="32" t="s">
        <v>57</v>
      </c>
      <c r="D319" s="32">
        <v>4430265054</v>
      </c>
      <c r="E319" s="32">
        <v>865</v>
      </c>
      <c r="F319" s="32">
        <v>619</v>
      </c>
      <c r="G319" s="32" t="s">
        <v>38</v>
      </c>
      <c r="H319" s="32" t="s">
        <v>3036</v>
      </c>
      <c r="I319" s="32" t="s">
        <v>39</v>
      </c>
      <c r="J319" s="32" t="s">
        <v>55</v>
      </c>
      <c r="K319" s="32" t="s">
        <v>49</v>
      </c>
    </row>
    <row r="320" spans="1:12" hidden="1" x14ac:dyDescent="0.3">
      <c r="A320" s="39">
        <v>46167.600497685184</v>
      </c>
      <c r="B320" s="32">
        <v>4433016050</v>
      </c>
      <c r="C320" s="32" t="s">
        <v>37</v>
      </c>
      <c r="D320" s="32">
        <v>4430265054</v>
      </c>
      <c r="E320" s="32">
        <v>297</v>
      </c>
      <c r="F320" s="32">
        <v>213</v>
      </c>
      <c r="G320" s="32" t="s">
        <v>38</v>
      </c>
      <c r="H320" s="32" t="s">
        <v>3037</v>
      </c>
      <c r="I320" s="32" t="s">
        <v>39</v>
      </c>
      <c r="J320" s="32" t="s">
        <v>40</v>
      </c>
      <c r="K320" s="32" t="s">
        <v>41</v>
      </c>
      <c r="L320" s="32">
        <v>5</v>
      </c>
    </row>
    <row r="321" spans="1:12" hidden="1" x14ac:dyDescent="0.3">
      <c r="A321" s="39">
        <v>46167.600219907406</v>
      </c>
      <c r="B321" s="32">
        <v>44998201531</v>
      </c>
      <c r="C321" s="32" t="s">
        <v>44</v>
      </c>
      <c r="D321" s="32">
        <v>4430265054</v>
      </c>
      <c r="E321" s="32">
        <v>491</v>
      </c>
      <c r="F321" s="32">
        <v>415</v>
      </c>
      <c r="G321" s="32" t="s">
        <v>38</v>
      </c>
      <c r="H321" s="32" t="s">
        <v>3038</v>
      </c>
      <c r="I321" s="32" t="s">
        <v>39</v>
      </c>
      <c r="J321" s="32" t="s">
        <v>40</v>
      </c>
      <c r="K321" s="32" t="s">
        <v>41</v>
      </c>
    </row>
    <row r="322" spans="1:12" hidden="1" x14ac:dyDescent="0.3">
      <c r="A322" s="39">
        <v>46167.599340277775</v>
      </c>
      <c r="B322" s="32">
        <v>44991249108</v>
      </c>
      <c r="C322" s="32" t="s">
        <v>43</v>
      </c>
      <c r="D322" s="32">
        <v>4430265054</v>
      </c>
      <c r="E322" s="32">
        <v>575</v>
      </c>
      <c r="F322" s="32">
        <v>494</v>
      </c>
      <c r="G322" s="32" t="s">
        <v>38</v>
      </c>
      <c r="H322" s="32" t="s">
        <v>3039</v>
      </c>
      <c r="I322" s="32" t="s">
        <v>39</v>
      </c>
      <c r="J322" s="32" t="s">
        <v>40</v>
      </c>
      <c r="K322" s="32" t="s">
        <v>41</v>
      </c>
    </row>
    <row r="323" spans="1:12" hidden="1" x14ac:dyDescent="0.3">
      <c r="A323" s="39">
        <v>46167.594108796293</v>
      </c>
      <c r="B323" s="32">
        <v>6234347959</v>
      </c>
      <c r="C323" s="32" t="s">
        <v>44</v>
      </c>
      <c r="D323" s="32">
        <v>4430265054</v>
      </c>
      <c r="E323" s="32">
        <v>97</v>
      </c>
      <c r="F323" s="32">
        <v>80</v>
      </c>
      <c r="G323" s="32" t="s">
        <v>38</v>
      </c>
      <c r="H323" s="32" t="s">
        <v>3040</v>
      </c>
      <c r="I323" s="32" t="s">
        <v>39</v>
      </c>
      <c r="J323" s="32" t="s">
        <v>40</v>
      </c>
      <c r="K323" s="32" t="s">
        <v>41</v>
      </c>
    </row>
    <row r="324" spans="1:12" hidden="1" x14ac:dyDescent="0.3">
      <c r="A324" s="39">
        <v>46167.588831018518</v>
      </c>
      <c r="B324" s="32">
        <v>45999334612</v>
      </c>
      <c r="C324" s="32" t="s">
        <v>37</v>
      </c>
      <c r="D324" s="32">
        <v>4430265054</v>
      </c>
      <c r="E324" s="32">
        <v>550</v>
      </c>
      <c r="F324" s="32">
        <v>531</v>
      </c>
      <c r="G324" s="32" t="s">
        <v>38</v>
      </c>
      <c r="H324" s="32" t="s">
        <v>3041</v>
      </c>
      <c r="I324" s="32" t="s">
        <v>39</v>
      </c>
      <c r="J324" s="32" t="s">
        <v>40</v>
      </c>
      <c r="K324" s="32" t="s">
        <v>41</v>
      </c>
      <c r="L324" s="32">
        <v>5</v>
      </c>
    </row>
    <row r="325" spans="1:12" hidden="1" x14ac:dyDescent="0.3">
      <c r="A325" s="39">
        <v>46167.586678240739</v>
      </c>
      <c r="B325" s="32">
        <v>4432321428</v>
      </c>
      <c r="C325" s="32" t="s">
        <v>45</v>
      </c>
      <c r="D325" s="32">
        <v>4430265054</v>
      </c>
      <c r="E325" s="32">
        <v>413</v>
      </c>
      <c r="F325" s="32">
        <v>395</v>
      </c>
      <c r="G325" s="32" t="s">
        <v>38</v>
      </c>
      <c r="H325" s="32" t="s">
        <v>3042</v>
      </c>
      <c r="I325" s="32" t="s">
        <v>39</v>
      </c>
      <c r="J325" s="32" t="s">
        <v>40</v>
      </c>
      <c r="K325" s="32" t="s">
        <v>41</v>
      </c>
      <c r="L325" s="32">
        <v>5</v>
      </c>
    </row>
    <row r="326" spans="1:12" hidden="1" x14ac:dyDescent="0.3">
      <c r="A326" s="39">
        <v>46167.582106481481</v>
      </c>
      <c r="B326" s="32">
        <v>44999822688</v>
      </c>
      <c r="C326" s="32" t="s">
        <v>43</v>
      </c>
      <c r="D326" s="32">
        <v>4430265054</v>
      </c>
      <c r="E326" s="32">
        <v>630</v>
      </c>
      <c r="F326" s="32">
        <v>565</v>
      </c>
      <c r="G326" s="32" t="s">
        <v>38</v>
      </c>
      <c r="H326" s="32" t="s">
        <v>3043</v>
      </c>
      <c r="I326" s="32" t="s">
        <v>39</v>
      </c>
      <c r="J326" s="32" t="s">
        <v>40</v>
      </c>
      <c r="K326" s="32" t="s">
        <v>41</v>
      </c>
      <c r="L326" s="32">
        <v>5</v>
      </c>
    </row>
    <row r="327" spans="1:12" hidden="1" x14ac:dyDescent="0.3">
      <c r="A327" s="39">
        <v>46167.570902777778</v>
      </c>
      <c r="B327" s="32" t="s">
        <v>37</v>
      </c>
      <c r="C327" s="32">
        <v>44998562645</v>
      </c>
      <c r="E327" s="32">
        <v>328</v>
      </c>
      <c r="F327" s="32">
        <v>326</v>
      </c>
      <c r="G327" s="32" t="s">
        <v>38</v>
      </c>
      <c r="H327" s="32" t="s">
        <v>3044</v>
      </c>
      <c r="I327" s="32" t="s">
        <v>46</v>
      </c>
      <c r="J327" s="32" t="s">
        <v>40</v>
      </c>
    </row>
    <row r="328" spans="1:12" hidden="1" x14ac:dyDescent="0.3">
      <c r="A328" s="39">
        <v>46167.567118055558</v>
      </c>
      <c r="B328" s="32" t="s">
        <v>43</v>
      </c>
      <c r="C328" s="32">
        <v>4432520627</v>
      </c>
      <c r="E328" s="32">
        <v>797</v>
      </c>
      <c r="F328" s="32">
        <v>789</v>
      </c>
      <c r="G328" s="32" t="s">
        <v>38</v>
      </c>
      <c r="H328" s="32" t="s">
        <v>3045</v>
      </c>
      <c r="I328" s="32" t="s">
        <v>46</v>
      </c>
      <c r="J328" s="32" t="s">
        <v>40</v>
      </c>
    </row>
    <row r="329" spans="1:12" hidden="1" x14ac:dyDescent="0.3">
      <c r="A329" s="39">
        <v>46167.558530092596</v>
      </c>
      <c r="B329" s="32" t="s">
        <v>45</v>
      </c>
      <c r="C329" s="32">
        <v>4430191465</v>
      </c>
      <c r="E329" s="32">
        <v>113</v>
      </c>
      <c r="F329" s="32">
        <v>102</v>
      </c>
      <c r="G329" s="32" t="s">
        <v>38</v>
      </c>
      <c r="H329" s="32" t="s">
        <v>3046</v>
      </c>
      <c r="I329" s="32" t="s">
        <v>46</v>
      </c>
      <c r="J329" s="32" t="s">
        <v>40</v>
      </c>
    </row>
    <row r="330" spans="1:12" hidden="1" x14ac:dyDescent="0.3">
      <c r="A330" s="39">
        <v>46167.558171296296</v>
      </c>
      <c r="B330" s="32" t="s">
        <v>45</v>
      </c>
      <c r="C330" s="32">
        <v>44988067937</v>
      </c>
      <c r="E330" s="32">
        <v>1</v>
      </c>
      <c r="F330" s="32">
        <v>0</v>
      </c>
      <c r="G330" s="32" t="s">
        <v>47</v>
      </c>
      <c r="H330" s="32" t="s">
        <v>3047</v>
      </c>
      <c r="I330" s="32" t="s">
        <v>46</v>
      </c>
      <c r="J330" s="32" t="s">
        <v>40</v>
      </c>
    </row>
    <row r="331" spans="1:12" hidden="1" x14ac:dyDescent="0.3">
      <c r="A331" s="39">
        <v>46167.492013888892</v>
      </c>
      <c r="B331" s="32" t="s">
        <v>37</v>
      </c>
      <c r="C331" s="32">
        <v>13997709868</v>
      </c>
      <c r="E331" s="32">
        <v>36</v>
      </c>
      <c r="F331" s="32">
        <v>30</v>
      </c>
      <c r="G331" s="32" t="s">
        <v>38</v>
      </c>
      <c r="H331" s="32" t="s">
        <v>3048</v>
      </c>
      <c r="I331" s="32" t="s">
        <v>46</v>
      </c>
      <c r="J331" s="32" t="s">
        <v>40</v>
      </c>
    </row>
    <row r="332" spans="1:12" hidden="1" x14ac:dyDescent="0.3">
      <c r="A332" s="39">
        <v>46167.489895833336</v>
      </c>
      <c r="B332" s="32" t="s">
        <v>37</v>
      </c>
      <c r="C332" s="32">
        <v>13997709868</v>
      </c>
      <c r="E332" s="32">
        <v>41</v>
      </c>
      <c r="F332" s="32">
        <v>35</v>
      </c>
      <c r="G332" s="32" t="s">
        <v>38</v>
      </c>
      <c r="H332" s="32" t="s">
        <v>3049</v>
      </c>
      <c r="I332" s="32" t="s">
        <v>46</v>
      </c>
      <c r="J332" s="32" t="s">
        <v>40</v>
      </c>
    </row>
    <row r="333" spans="1:12" hidden="1" x14ac:dyDescent="0.3">
      <c r="A333" s="39">
        <v>46167.486666666664</v>
      </c>
      <c r="B333" s="32" t="s">
        <v>37</v>
      </c>
      <c r="C333" s="32">
        <v>44991237155</v>
      </c>
      <c r="E333" s="32">
        <v>130</v>
      </c>
      <c r="F333" s="32">
        <v>112</v>
      </c>
      <c r="G333" s="32" t="s">
        <v>38</v>
      </c>
      <c r="H333" s="32" t="s">
        <v>3050</v>
      </c>
      <c r="I333" s="32" t="s">
        <v>46</v>
      </c>
      <c r="J333" s="32" t="s">
        <v>40</v>
      </c>
    </row>
    <row r="334" spans="1:12" hidden="1" x14ac:dyDescent="0.3">
      <c r="A334" s="39">
        <v>46167.485752314817</v>
      </c>
      <c r="B334" s="32" t="s">
        <v>37</v>
      </c>
      <c r="C334" s="32">
        <v>44997123083</v>
      </c>
      <c r="E334" s="32">
        <v>34</v>
      </c>
      <c r="F334" s="32">
        <v>0</v>
      </c>
      <c r="G334" s="32" t="s">
        <v>47</v>
      </c>
      <c r="H334" s="32" t="s">
        <v>3051</v>
      </c>
      <c r="I334" s="32" t="s">
        <v>46</v>
      </c>
      <c r="J334" s="32" t="s">
        <v>40</v>
      </c>
    </row>
    <row r="335" spans="1:12" hidden="1" x14ac:dyDescent="0.3">
      <c r="A335" s="39">
        <v>46167.485590277778</v>
      </c>
      <c r="B335" s="32">
        <v>4521017510</v>
      </c>
      <c r="C335" s="32" t="s">
        <v>43</v>
      </c>
      <c r="D335" s="32">
        <v>4531273162</v>
      </c>
      <c r="E335" s="32">
        <v>46</v>
      </c>
      <c r="F335" s="32">
        <v>9</v>
      </c>
      <c r="G335" s="32" t="s">
        <v>38</v>
      </c>
      <c r="H335" s="32" t="s">
        <v>3052</v>
      </c>
      <c r="I335" s="32" t="s">
        <v>39</v>
      </c>
      <c r="J335" s="32" t="s">
        <v>40</v>
      </c>
      <c r="K335" s="32" t="s">
        <v>41</v>
      </c>
    </row>
    <row r="336" spans="1:12" hidden="1" x14ac:dyDescent="0.3">
      <c r="A336" s="39">
        <v>46167.485289351855</v>
      </c>
      <c r="B336" s="32" t="s">
        <v>37</v>
      </c>
      <c r="C336" s="32">
        <v>44997123083</v>
      </c>
      <c r="E336" s="32">
        <v>55</v>
      </c>
      <c r="F336" s="32">
        <v>35</v>
      </c>
      <c r="G336" s="32" t="s">
        <v>38</v>
      </c>
      <c r="H336" s="32" t="s">
        <v>3053</v>
      </c>
      <c r="I336" s="32" t="s">
        <v>46</v>
      </c>
      <c r="J336" s="32" t="s">
        <v>40</v>
      </c>
    </row>
    <row r="337" spans="1:12" hidden="1" x14ac:dyDescent="0.3">
      <c r="A337" s="39">
        <v>46167.482789351852</v>
      </c>
      <c r="B337" s="32">
        <v>4430152023</v>
      </c>
      <c r="C337" s="32" t="s">
        <v>45</v>
      </c>
      <c r="D337" s="32">
        <v>4430265054</v>
      </c>
      <c r="E337" s="32">
        <v>791</v>
      </c>
      <c r="F337" s="32">
        <v>755</v>
      </c>
      <c r="G337" s="32" t="s">
        <v>38</v>
      </c>
      <c r="H337" s="32" t="s">
        <v>3054</v>
      </c>
      <c r="I337" s="32" t="s">
        <v>39</v>
      </c>
      <c r="J337" s="32" t="s">
        <v>40</v>
      </c>
      <c r="K337" s="32" t="s">
        <v>41</v>
      </c>
      <c r="L337" s="32">
        <v>5</v>
      </c>
    </row>
    <row r="338" spans="1:12" hidden="1" x14ac:dyDescent="0.3">
      <c r="A338" s="39">
        <v>46167.482499999998</v>
      </c>
      <c r="B338" s="32">
        <v>4436281154</v>
      </c>
      <c r="C338" s="32" t="s">
        <v>37</v>
      </c>
      <c r="D338" s="32">
        <v>4430265054</v>
      </c>
      <c r="E338" s="32">
        <v>99</v>
      </c>
      <c r="F338" s="32">
        <v>75</v>
      </c>
      <c r="G338" s="32" t="s">
        <v>38</v>
      </c>
      <c r="H338" s="32" t="s">
        <v>3055</v>
      </c>
      <c r="I338" s="32" t="s">
        <v>39</v>
      </c>
      <c r="J338" s="32" t="s">
        <v>40</v>
      </c>
      <c r="K338" s="32" t="s">
        <v>41</v>
      </c>
    </row>
    <row r="339" spans="1:12" hidden="1" x14ac:dyDescent="0.3">
      <c r="A339" s="39">
        <v>46167.476817129631</v>
      </c>
      <c r="B339" s="32" t="s">
        <v>37</v>
      </c>
      <c r="C339" s="32">
        <v>4436281154</v>
      </c>
      <c r="E339" s="32">
        <v>8</v>
      </c>
      <c r="F339" s="32">
        <v>0</v>
      </c>
      <c r="G339" s="32" t="s">
        <v>47</v>
      </c>
      <c r="H339" s="32" t="s">
        <v>3056</v>
      </c>
      <c r="I339" s="32" t="s">
        <v>46</v>
      </c>
      <c r="J339" s="32" t="s">
        <v>40</v>
      </c>
    </row>
    <row r="340" spans="1:12" hidden="1" x14ac:dyDescent="0.3">
      <c r="A340" s="39">
        <v>46167.475092592591</v>
      </c>
      <c r="B340" s="32" t="s">
        <v>37</v>
      </c>
      <c r="C340" s="32">
        <v>4436281154</v>
      </c>
      <c r="E340" s="32">
        <v>2</v>
      </c>
      <c r="F340" s="32">
        <v>0</v>
      </c>
      <c r="G340" s="32" t="s">
        <v>47</v>
      </c>
      <c r="H340" s="32" t="s">
        <v>3057</v>
      </c>
      <c r="I340" s="32" t="s">
        <v>46</v>
      </c>
      <c r="J340" s="32" t="s">
        <v>40</v>
      </c>
    </row>
    <row r="341" spans="1:12" hidden="1" x14ac:dyDescent="0.3">
      <c r="A341" s="39">
        <v>46167.474918981483</v>
      </c>
      <c r="B341" s="32" t="s">
        <v>37</v>
      </c>
      <c r="C341" s="32">
        <v>4436281154</v>
      </c>
      <c r="E341" s="32">
        <v>2</v>
      </c>
      <c r="F341" s="32">
        <v>0</v>
      </c>
      <c r="G341" s="32" t="s">
        <v>47</v>
      </c>
      <c r="H341" s="32" t="s">
        <v>3058</v>
      </c>
      <c r="I341" s="32" t="s">
        <v>46</v>
      </c>
      <c r="J341" s="32" t="s">
        <v>40</v>
      </c>
    </row>
    <row r="342" spans="1:12" hidden="1" x14ac:dyDescent="0.3">
      <c r="A342" s="39">
        <v>46167.47483796296</v>
      </c>
      <c r="B342" s="32" t="s">
        <v>37</v>
      </c>
      <c r="C342" s="32">
        <v>4436281154</v>
      </c>
      <c r="E342" s="32">
        <v>6</v>
      </c>
      <c r="F342" s="32">
        <v>0</v>
      </c>
      <c r="G342" s="32" t="s">
        <v>47</v>
      </c>
      <c r="H342" s="32" t="s">
        <v>3059</v>
      </c>
      <c r="I342" s="32" t="s">
        <v>46</v>
      </c>
      <c r="J342" s="32" t="s">
        <v>40</v>
      </c>
    </row>
    <row r="343" spans="1:12" hidden="1" x14ac:dyDescent="0.3">
      <c r="A343" s="39">
        <v>46167.474756944444</v>
      </c>
      <c r="B343" s="32" t="s">
        <v>37</v>
      </c>
      <c r="C343" s="32">
        <v>4436281154</v>
      </c>
      <c r="E343" s="32">
        <v>25</v>
      </c>
      <c r="F343" s="32">
        <v>25</v>
      </c>
      <c r="G343" s="32" t="s">
        <v>38</v>
      </c>
      <c r="H343" s="32" t="s">
        <v>3060</v>
      </c>
      <c r="I343" s="32" t="s">
        <v>46</v>
      </c>
      <c r="J343" s="32" t="s">
        <v>40</v>
      </c>
    </row>
    <row r="344" spans="1:12" hidden="1" x14ac:dyDescent="0.3">
      <c r="A344" s="39">
        <v>46167.471585648149</v>
      </c>
      <c r="B344" s="32" t="s">
        <v>45</v>
      </c>
      <c r="C344" s="32">
        <v>4430153708</v>
      </c>
      <c r="E344" s="32">
        <v>83</v>
      </c>
      <c r="F344" s="32">
        <v>0</v>
      </c>
      <c r="G344" s="32" t="s">
        <v>47</v>
      </c>
      <c r="H344" s="32" t="s">
        <v>3061</v>
      </c>
      <c r="I344" s="32" t="s">
        <v>46</v>
      </c>
      <c r="J344" s="32" t="s">
        <v>40</v>
      </c>
    </row>
    <row r="345" spans="1:12" hidden="1" x14ac:dyDescent="0.3">
      <c r="A345" s="39">
        <v>46167.47148148148</v>
      </c>
      <c r="B345" s="32">
        <v>1438780460</v>
      </c>
      <c r="C345" s="32">
        <v>4531273159</v>
      </c>
      <c r="D345" s="32">
        <v>4531273159</v>
      </c>
      <c r="E345" s="32">
        <v>47</v>
      </c>
      <c r="F345" s="32">
        <v>46</v>
      </c>
      <c r="G345" s="32" t="s">
        <v>52</v>
      </c>
      <c r="H345" s="32" t="s">
        <v>3062</v>
      </c>
      <c r="I345" s="32" t="s">
        <v>39</v>
      </c>
      <c r="J345" s="32" t="s">
        <v>53</v>
      </c>
      <c r="K345" s="32" t="s">
        <v>41</v>
      </c>
    </row>
    <row r="346" spans="1:12" hidden="1" x14ac:dyDescent="0.3">
      <c r="A346" s="39">
        <v>46167.469606481478</v>
      </c>
      <c r="B346" s="32" t="s">
        <v>45</v>
      </c>
      <c r="C346" s="32">
        <v>44988067937</v>
      </c>
      <c r="E346" s="32">
        <v>0</v>
      </c>
      <c r="F346" s="32">
        <v>0</v>
      </c>
      <c r="G346" s="32" t="s">
        <v>47</v>
      </c>
      <c r="H346" s="32" t="s">
        <v>3063</v>
      </c>
      <c r="I346" s="32" t="s">
        <v>46</v>
      </c>
      <c r="J346" s="32" t="s">
        <v>40</v>
      </c>
    </row>
    <row r="347" spans="1:12" hidden="1" x14ac:dyDescent="0.3">
      <c r="A347" s="39">
        <v>46167.469340277778</v>
      </c>
      <c r="B347" s="32" t="s">
        <v>45</v>
      </c>
      <c r="C347" s="32">
        <v>44988067937</v>
      </c>
      <c r="E347" s="32">
        <v>0</v>
      </c>
      <c r="F347" s="32">
        <v>0</v>
      </c>
      <c r="G347" s="32" t="s">
        <v>47</v>
      </c>
      <c r="H347" s="32" t="s">
        <v>3064</v>
      </c>
      <c r="I347" s="32" t="s">
        <v>46</v>
      </c>
      <c r="J347" s="32" t="s">
        <v>40</v>
      </c>
    </row>
    <row r="348" spans="1:12" hidden="1" x14ac:dyDescent="0.3">
      <c r="A348" s="39">
        <v>46167.469155092593</v>
      </c>
      <c r="B348" s="32" t="s">
        <v>45</v>
      </c>
      <c r="C348" s="32">
        <v>44988067937</v>
      </c>
      <c r="E348" s="32">
        <v>0</v>
      </c>
      <c r="F348" s="32">
        <v>0</v>
      </c>
      <c r="G348" s="32" t="s">
        <v>47</v>
      </c>
      <c r="H348" s="32" t="s">
        <v>3065</v>
      </c>
      <c r="I348" s="32" t="s">
        <v>46</v>
      </c>
      <c r="J348" s="32" t="s">
        <v>40</v>
      </c>
    </row>
    <row r="349" spans="1:12" hidden="1" x14ac:dyDescent="0.3">
      <c r="A349" s="39">
        <v>46167.468958333331</v>
      </c>
      <c r="B349" s="32" t="s">
        <v>45</v>
      </c>
      <c r="C349" s="32">
        <v>44988067937</v>
      </c>
      <c r="E349" s="32">
        <v>1</v>
      </c>
      <c r="F349" s="32">
        <v>0</v>
      </c>
      <c r="G349" s="32" t="s">
        <v>47</v>
      </c>
      <c r="H349" s="32" t="s">
        <v>3066</v>
      </c>
      <c r="I349" s="32" t="s">
        <v>46</v>
      </c>
      <c r="J349" s="32" t="s">
        <v>40</v>
      </c>
    </row>
    <row r="350" spans="1:12" hidden="1" x14ac:dyDescent="0.3">
      <c r="A350" s="39">
        <v>46167.468657407408</v>
      </c>
      <c r="B350" s="32" t="s">
        <v>45</v>
      </c>
      <c r="C350" s="32">
        <v>44988067937</v>
      </c>
      <c r="E350" s="32">
        <v>1</v>
      </c>
      <c r="F350" s="32">
        <v>0</v>
      </c>
      <c r="G350" s="32" t="s">
        <v>47</v>
      </c>
      <c r="H350" s="32" t="s">
        <v>3067</v>
      </c>
      <c r="I350" s="32" t="s">
        <v>46</v>
      </c>
      <c r="J350" s="32" t="s">
        <v>40</v>
      </c>
    </row>
    <row r="351" spans="1:12" hidden="1" x14ac:dyDescent="0.3">
      <c r="A351" s="39">
        <v>46167.468634259261</v>
      </c>
      <c r="B351" s="32" t="s">
        <v>45</v>
      </c>
      <c r="C351" s="32">
        <v>44988067937</v>
      </c>
      <c r="E351" s="32">
        <v>0</v>
      </c>
      <c r="F351" s="32">
        <v>0</v>
      </c>
      <c r="G351" s="32" t="s">
        <v>47</v>
      </c>
      <c r="H351" s="32" t="s">
        <v>3068</v>
      </c>
      <c r="I351" s="32" t="s">
        <v>46</v>
      </c>
      <c r="J351" s="32" t="s">
        <v>40</v>
      </c>
    </row>
    <row r="352" spans="1:12" hidden="1" x14ac:dyDescent="0.3">
      <c r="A352" s="39">
        <v>46167.468587962961</v>
      </c>
      <c r="B352" s="32" t="s">
        <v>45</v>
      </c>
      <c r="C352" s="32">
        <v>44988067937</v>
      </c>
      <c r="E352" s="32">
        <v>1</v>
      </c>
      <c r="F352" s="32">
        <v>0</v>
      </c>
      <c r="G352" s="32" t="s">
        <v>47</v>
      </c>
      <c r="H352" s="32" t="s">
        <v>3069</v>
      </c>
      <c r="I352" s="32" t="s">
        <v>46</v>
      </c>
      <c r="J352" s="32" t="s">
        <v>40</v>
      </c>
    </row>
    <row r="353" spans="1:11" hidden="1" x14ac:dyDescent="0.3">
      <c r="A353" s="39">
        <v>46167.459108796298</v>
      </c>
      <c r="B353" s="32" t="s">
        <v>37</v>
      </c>
      <c r="C353" s="32">
        <v>11962304891</v>
      </c>
      <c r="E353" s="32">
        <v>13</v>
      </c>
      <c r="F353" s="32">
        <v>0</v>
      </c>
      <c r="G353" s="32" t="s">
        <v>47</v>
      </c>
      <c r="H353" s="32" t="s">
        <v>3070</v>
      </c>
      <c r="I353" s="32" t="s">
        <v>46</v>
      </c>
      <c r="J353" s="32" t="s">
        <v>40</v>
      </c>
    </row>
    <row r="354" spans="1:11" hidden="1" x14ac:dyDescent="0.3">
      <c r="A354" s="39">
        <v>46167.458784722221</v>
      </c>
      <c r="B354" s="32" t="s">
        <v>37</v>
      </c>
      <c r="C354" s="32">
        <v>11962304891</v>
      </c>
      <c r="E354" s="32">
        <v>13</v>
      </c>
      <c r="F354" s="32">
        <v>0</v>
      </c>
      <c r="G354" s="32" t="s">
        <v>47</v>
      </c>
      <c r="H354" s="32" t="s">
        <v>3071</v>
      </c>
      <c r="I354" s="32" t="s">
        <v>46</v>
      </c>
      <c r="J354" s="32" t="s">
        <v>40</v>
      </c>
    </row>
    <row r="355" spans="1:11" hidden="1" x14ac:dyDescent="0.3">
      <c r="A355" s="39">
        <v>46167.458761574075</v>
      </c>
      <c r="B355" s="32">
        <v>4436281154</v>
      </c>
      <c r="C355" s="32" t="s">
        <v>37</v>
      </c>
      <c r="D355" s="32">
        <v>4430265054</v>
      </c>
      <c r="E355" s="32">
        <v>668</v>
      </c>
      <c r="F355" s="32">
        <v>603</v>
      </c>
      <c r="G355" s="32" t="s">
        <v>38</v>
      </c>
      <c r="H355" s="32" t="s">
        <v>3072</v>
      </c>
      <c r="I355" s="32" t="s">
        <v>39</v>
      </c>
      <c r="J355" s="32" t="s">
        <v>40</v>
      </c>
      <c r="K355" s="32" t="s">
        <v>41</v>
      </c>
    </row>
    <row r="356" spans="1:11" hidden="1" x14ac:dyDescent="0.3">
      <c r="A356" s="39">
        <v>46167.457939814813</v>
      </c>
      <c r="B356" s="32" t="s">
        <v>37</v>
      </c>
      <c r="C356" s="32">
        <v>19996468864</v>
      </c>
      <c r="E356" s="32">
        <v>38</v>
      </c>
      <c r="F356" s="32">
        <v>0</v>
      </c>
      <c r="G356" s="32" t="s">
        <v>47</v>
      </c>
      <c r="H356" s="32" t="s">
        <v>3073</v>
      </c>
      <c r="I356" s="32" t="s">
        <v>46</v>
      </c>
      <c r="J356" s="32" t="s">
        <v>40</v>
      </c>
    </row>
    <row r="357" spans="1:11" hidden="1" x14ac:dyDescent="0.3">
      <c r="A357" s="39">
        <v>46167.457280092596</v>
      </c>
      <c r="B357" s="32" t="s">
        <v>37</v>
      </c>
      <c r="C357" s="32">
        <v>19996468864</v>
      </c>
      <c r="E357" s="32">
        <v>40</v>
      </c>
      <c r="F357" s="32">
        <v>0</v>
      </c>
      <c r="G357" s="32" t="s">
        <v>47</v>
      </c>
      <c r="H357" s="32" t="s">
        <v>3074</v>
      </c>
      <c r="I357" s="32" t="s">
        <v>46</v>
      </c>
      <c r="J357" s="32" t="s">
        <v>40</v>
      </c>
    </row>
    <row r="358" spans="1:11" hidden="1" x14ac:dyDescent="0.3">
      <c r="A358" s="39">
        <v>46167.456886574073</v>
      </c>
      <c r="B358" s="32" t="s">
        <v>48</v>
      </c>
      <c r="C358" s="32">
        <v>4435341422</v>
      </c>
      <c r="E358" s="32">
        <v>38</v>
      </c>
      <c r="F358" s="32">
        <v>27</v>
      </c>
      <c r="G358" s="32" t="s">
        <v>38</v>
      </c>
      <c r="H358" s="32" t="s">
        <v>3075</v>
      </c>
      <c r="I358" s="32" t="s">
        <v>46</v>
      </c>
      <c r="J358" s="32" t="s">
        <v>40</v>
      </c>
    </row>
    <row r="359" spans="1:11" hidden="1" x14ac:dyDescent="0.3">
      <c r="A359" s="39">
        <v>46167.456284722219</v>
      </c>
      <c r="B359" s="32" t="s">
        <v>37</v>
      </c>
      <c r="C359" s="32">
        <v>24999187017</v>
      </c>
      <c r="E359" s="32">
        <v>3</v>
      </c>
      <c r="F359" s="32">
        <v>0</v>
      </c>
      <c r="G359" s="32" t="s">
        <v>47</v>
      </c>
      <c r="H359" s="32" t="s">
        <v>3076</v>
      </c>
      <c r="I359" s="32" t="s">
        <v>46</v>
      </c>
      <c r="J359" s="32" t="s">
        <v>40</v>
      </c>
    </row>
    <row r="360" spans="1:11" hidden="1" x14ac:dyDescent="0.3">
      <c r="A360" s="39">
        <v>46167.455914351849</v>
      </c>
      <c r="B360" s="32" t="s">
        <v>37</v>
      </c>
      <c r="C360" s="32">
        <v>24999187017</v>
      </c>
      <c r="E360" s="32">
        <v>2</v>
      </c>
      <c r="F360" s="32">
        <v>0</v>
      </c>
      <c r="G360" s="32" t="s">
        <v>47</v>
      </c>
      <c r="H360" s="32" t="s">
        <v>3077</v>
      </c>
      <c r="I360" s="32" t="s">
        <v>46</v>
      </c>
      <c r="J360" s="32" t="s">
        <v>40</v>
      </c>
    </row>
    <row r="361" spans="1:11" hidden="1" x14ac:dyDescent="0.3">
      <c r="A361" s="39">
        <v>46167.455763888887</v>
      </c>
      <c r="B361" s="32" t="s">
        <v>37</v>
      </c>
      <c r="C361" s="32">
        <v>24999187017</v>
      </c>
      <c r="E361" s="32">
        <v>11</v>
      </c>
      <c r="F361" s="32">
        <v>0</v>
      </c>
      <c r="G361" s="32" t="s">
        <v>47</v>
      </c>
      <c r="H361" s="32" t="s">
        <v>3078</v>
      </c>
      <c r="I361" s="32" t="s">
        <v>46</v>
      </c>
      <c r="J361" s="32" t="s">
        <v>40</v>
      </c>
    </row>
    <row r="362" spans="1:11" hidden="1" x14ac:dyDescent="0.3">
      <c r="A362" s="39">
        <v>46167.455659722225</v>
      </c>
      <c r="B362" s="32" t="s">
        <v>37</v>
      </c>
      <c r="C362" s="32">
        <v>24999187017</v>
      </c>
      <c r="E362" s="32">
        <v>7</v>
      </c>
      <c r="F362" s="32">
        <v>0</v>
      </c>
      <c r="G362" s="32" t="s">
        <v>47</v>
      </c>
      <c r="H362" s="32" t="s">
        <v>3079</v>
      </c>
      <c r="I362" s="32" t="s">
        <v>46</v>
      </c>
      <c r="J362" s="32" t="s">
        <v>40</v>
      </c>
    </row>
    <row r="363" spans="1:11" hidden="1" x14ac:dyDescent="0.3">
      <c r="A363" s="39">
        <v>46167.453425925924</v>
      </c>
      <c r="B363" s="32" t="s">
        <v>37</v>
      </c>
      <c r="C363" s="32">
        <v>41998701226</v>
      </c>
      <c r="E363" s="32">
        <v>25</v>
      </c>
      <c r="F363" s="32">
        <v>0</v>
      </c>
      <c r="G363" s="32" t="s">
        <v>47</v>
      </c>
      <c r="H363" s="32" t="s">
        <v>3080</v>
      </c>
      <c r="I363" s="32" t="s">
        <v>46</v>
      </c>
      <c r="J363" s="32" t="s">
        <v>40</v>
      </c>
    </row>
    <row r="364" spans="1:11" hidden="1" x14ac:dyDescent="0.3">
      <c r="A364" s="39">
        <v>46167.453356481485</v>
      </c>
      <c r="B364" s="32" t="s">
        <v>37</v>
      </c>
      <c r="C364" s="32">
        <v>41998701226</v>
      </c>
      <c r="E364" s="32">
        <v>0</v>
      </c>
      <c r="F364" s="32">
        <v>0</v>
      </c>
      <c r="G364" s="32" t="s">
        <v>47</v>
      </c>
      <c r="H364" s="32" t="s">
        <v>3081</v>
      </c>
      <c r="I364" s="32" t="s">
        <v>46</v>
      </c>
      <c r="J364" s="32" t="s">
        <v>40</v>
      </c>
    </row>
    <row r="365" spans="1:11" hidden="1" x14ac:dyDescent="0.3">
      <c r="A365" s="39">
        <v>46167.453136574077</v>
      </c>
      <c r="B365" s="32" t="s">
        <v>37</v>
      </c>
      <c r="C365" s="32">
        <v>41998701226</v>
      </c>
      <c r="E365" s="32">
        <v>9</v>
      </c>
      <c r="F365" s="32">
        <v>0</v>
      </c>
      <c r="G365" s="32" t="s">
        <v>47</v>
      </c>
      <c r="H365" s="32" t="s">
        <v>3082</v>
      </c>
      <c r="I365" s="32" t="s">
        <v>46</v>
      </c>
      <c r="J365" s="32" t="s">
        <v>40</v>
      </c>
    </row>
    <row r="366" spans="1:11" hidden="1" x14ac:dyDescent="0.3">
      <c r="A366" s="39">
        <v>46167.445868055554</v>
      </c>
      <c r="B366" s="32">
        <v>4533011420</v>
      </c>
      <c r="C366" s="32" t="s">
        <v>45</v>
      </c>
      <c r="D366" s="32">
        <v>4531273169</v>
      </c>
      <c r="E366" s="32">
        <v>46</v>
      </c>
      <c r="F366" s="32">
        <v>11</v>
      </c>
      <c r="G366" s="32" t="s">
        <v>38</v>
      </c>
      <c r="H366" s="32" t="s">
        <v>3083</v>
      </c>
      <c r="I366" s="32" t="s">
        <v>39</v>
      </c>
      <c r="J366" s="32" t="s">
        <v>40</v>
      </c>
      <c r="K366" s="32" t="s">
        <v>41</v>
      </c>
    </row>
    <row r="367" spans="1:11" hidden="1" x14ac:dyDescent="0.3">
      <c r="A367" s="39">
        <v>46167.440844907411</v>
      </c>
      <c r="B367" s="32" t="s">
        <v>48</v>
      </c>
      <c r="C367" s="32">
        <v>4430152023</v>
      </c>
      <c r="E367" s="32">
        <v>55</v>
      </c>
      <c r="F367" s="32">
        <v>45</v>
      </c>
      <c r="G367" s="32" t="s">
        <v>38</v>
      </c>
      <c r="H367" s="32" t="s">
        <v>3084</v>
      </c>
      <c r="I367" s="32" t="s">
        <v>46</v>
      </c>
      <c r="J367" s="32" t="s">
        <v>40</v>
      </c>
    </row>
    <row r="368" spans="1:11" hidden="1" x14ac:dyDescent="0.3">
      <c r="A368" s="39">
        <v>46167.435787037037</v>
      </c>
      <c r="B368" s="32">
        <v>1438780460</v>
      </c>
      <c r="C368" s="32" t="s">
        <v>44</v>
      </c>
      <c r="D368" s="32">
        <v>4531273163</v>
      </c>
      <c r="E368" s="32">
        <v>47</v>
      </c>
      <c r="F368" s="32">
        <v>11</v>
      </c>
      <c r="G368" s="32" t="s">
        <v>38</v>
      </c>
      <c r="H368" s="32" t="s">
        <v>3085</v>
      </c>
      <c r="I368" s="32" t="s">
        <v>39</v>
      </c>
      <c r="J368" s="32" t="s">
        <v>40</v>
      </c>
      <c r="K368" s="32" t="s">
        <v>41</v>
      </c>
    </row>
    <row r="369" spans="1:12" hidden="1" x14ac:dyDescent="0.3">
      <c r="A369" s="39">
        <v>46167.434328703705</v>
      </c>
      <c r="B369" s="32">
        <v>4430450103</v>
      </c>
      <c r="C369" s="32" t="s">
        <v>37</v>
      </c>
      <c r="D369" s="32">
        <v>4430265054</v>
      </c>
      <c r="E369" s="32">
        <v>283</v>
      </c>
      <c r="F369" s="32">
        <v>248</v>
      </c>
      <c r="G369" s="32" t="s">
        <v>38</v>
      </c>
      <c r="H369" s="32" t="s">
        <v>3086</v>
      </c>
      <c r="I369" s="32" t="s">
        <v>39</v>
      </c>
      <c r="J369" s="32" t="s">
        <v>40</v>
      </c>
      <c r="K369" s="32" t="s">
        <v>41</v>
      </c>
      <c r="L369" s="32">
        <v>5</v>
      </c>
    </row>
    <row r="370" spans="1:12" hidden="1" x14ac:dyDescent="0.3">
      <c r="A370" s="39">
        <v>46167.434120370373</v>
      </c>
      <c r="B370" s="32" t="s">
        <v>48</v>
      </c>
      <c r="C370" s="32">
        <v>4435341422</v>
      </c>
      <c r="E370" s="32">
        <v>242</v>
      </c>
      <c r="F370" s="32">
        <v>228</v>
      </c>
      <c r="G370" s="32" t="s">
        <v>38</v>
      </c>
      <c r="H370" s="32" t="s">
        <v>3087</v>
      </c>
      <c r="I370" s="32" t="s">
        <v>46</v>
      </c>
      <c r="J370" s="32" t="s">
        <v>40</v>
      </c>
    </row>
    <row r="371" spans="1:12" hidden="1" x14ac:dyDescent="0.3">
      <c r="A371" s="39">
        <v>46167.433506944442</v>
      </c>
      <c r="B371" s="32">
        <v>44988067937</v>
      </c>
      <c r="C371" s="32" t="s">
        <v>45</v>
      </c>
      <c r="D371" s="32">
        <v>4430265054</v>
      </c>
      <c r="E371" s="32">
        <v>925</v>
      </c>
      <c r="F371" s="32">
        <v>884</v>
      </c>
      <c r="G371" s="32" t="s">
        <v>38</v>
      </c>
      <c r="H371" s="32" t="s">
        <v>3088</v>
      </c>
      <c r="I371" s="32" t="s">
        <v>39</v>
      </c>
      <c r="J371" s="32" t="s">
        <v>40</v>
      </c>
      <c r="K371" s="32" t="s">
        <v>41</v>
      </c>
    </row>
    <row r="372" spans="1:12" hidden="1" x14ac:dyDescent="0.3">
      <c r="A372" s="39">
        <v>46167.42527777778</v>
      </c>
      <c r="B372" s="32" t="s">
        <v>48</v>
      </c>
      <c r="C372" s="32">
        <v>4430152023</v>
      </c>
      <c r="E372" s="32">
        <v>202</v>
      </c>
      <c r="F372" s="32">
        <v>178</v>
      </c>
      <c r="G372" s="32" t="s">
        <v>38</v>
      </c>
      <c r="H372" s="32" t="s">
        <v>3089</v>
      </c>
      <c r="I372" s="32" t="s">
        <v>46</v>
      </c>
      <c r="J372" s="32" t="s">
        <v>40</v>
      </c>
    </row>
    <row r="373" spans="1:12" hidden="1" x14ac:dyDescent="0.3">
      <c r="A373" s="39">
        <v>46167.399641203701</v>
      </c>
      <c r="B373" s="32">
        <v>4431230400</v>
      </c>
      <c r="C373" s="32" t="s">
        <v>48</v>
      </c>
      <c r="D373" s="32">
        <v>4430265054</v>
      </c>
      <c r="E373" s="32">
        <v>543</v>
      </c>
      <c r="F373" s="32">
        <v>488</v>
      </c>
      <c r="G373" s="32" t="s">
        <v>38</v>
      </c>
      <c r="H373" s="32" t="s">
        <v>3090</v>
      </c>
      <c r="I373" s="32" t="s">
        <v>39</v>
      </c>
      <c r="J373" s="32" t="s">
        <v>40</v>
      </c>
      <c r="K373" s="32" t="s">
        <v>41</v>
      </c>
    </row>
    <row r="374" spans="1:12" hidden="1" x14ac:dyDescent="0.3">
      <c r="A374" s="39">
        <v>46167.394178240742</v>
      </c>
      <c r="B374" s="32">
        <v>44997235101</v>
      </c>
      <c r="C374" s="32" t="s">
        <v>44</v>
      </c>
      <c r="D374" s="32">
        <v>4430265054</v>
      </c>
      <c r="E374" s="32">
        <v>154</v>
      </c>
      <c r="F374" s="32">
        <v>126</v>
      </c>
      <c r="G374" s="32" t="s">
        <v>38</v>
      </c>
      <c r="H374" s="32" t="s">
        <v>3091</v>
      </c>
      <c r="I374" s="32" t="s">
        <v>39</v>
      </c>
      <c r="J374" s="32" t="s">
        <v>40</v>
      </c>
      <c r="K374" s="32" t="s">
        <v>41</v>
      </c>
      <c r="L374" s="32">
        <v>5</v>
      </c>
    </row>
    <row r="375" spans="1:12" hidden="1" x14ac:dyDescent="0.3">
      <c r="A375" s="39">
        <v>46167.392210648148</v>
      </c>
      <c r="B375" s="32" t="s">
        <v>43</v>
      </c>
      <c r="C375" s="32">
        <v>4432520627</v>
      </c>
      <c r="E375" s="32">
        <v>32</v>
      </c>
      <c r="F375" s="32">
        <v>25</v>
      </c>
      <c r="G375" s="32" t="s">
        <v>38</v>
      </c>
      <c r="H375" s="32" t="s">
        <v>3092</v>
      </c>
      <c r="I375" s="32" t="s">
        <v>46</v>
      </c>
      <c r="J375" s="32" t="s">
        <v>40</v>
      </c>
    </row>
    <row r="376" spans="1:12" hidden="1" x14ac:dyDescent="0.3">
      <c r="A376" s="39">
        <v>46167.384456018517</v>
      </c>
      <c r="B376" s="32">
        <v>4430141533</v>
      </c>
      <c r="C376" s="32">
        <v>4430265054</v>
      </c>
      <c r="D376" s="32">
        <v>4430265054</v>
      </c>
      <c r="E376" s="32">
        <v>17</v>
      </c>
      <c r="F376" s="32">
        <v>16</v>
      </c>
      <c r="G376" s="32" t="s">
        <v>52</v>
      </c>
      <c r="H376" s="32" t="s">
        <v>3093</v>
      </c>
      <c r="I376" s="32" t="s">
        <v>39</v>
      </c>
      <c r="J376" s="32" t="s">
        <v>53</v>
      </c>
    </row>
    <row r="377" spans="1:12" hidden="1" x14ac:dyDescent="0.3">
      <c r="A377" s="39">
        <v>46167.372002314813</v>
      </c>
      <c r="B377" s="32">
        <v>44988255390</v>
      </c>
      <c r="C377" s="32" t="s">
        <v>43</v>
      </c>
      <c r="D377" s="32">
        <v>4430265054</v>
      </c>
      <c r="E377" s="32">
        <v>435</v>
      </c>
      <c r="F377" s="32">
        <v>394</v>
      </c>
      <c r="G377" s="32" t="s">
        <v>38</v>
      </c>
      <c r="H377" s="32" t="s">
        <v>3094</v>
      </c>
      <c r="I377" s="32" t="s">
        <v>39</v>
      </c>
      <c r="J377" s="32" t="s">
        <v>40</v>
      </c>
      <c r="K377" s="32" t="s">
        <v>41</v>
      </c>
    </row>
    <row r="378" spans="1:12" hidden="1" x14ac:dyDescent="0.3">
      <c r="A378" s="39">
        <v>46167.368668981479</v>
      </c>
      <c r="B378" s="32">
        <v>3432424736</v>
      </c>
      <c r="C378" s="32" t="s">
        <v>45</v>
      </c>
      <c r="D378" s="32">
        <v>4430265054</v>
      </c>
      <c r="E378" s="32">
        <v>513</v>
      </c>
      <c r="F378" s="32">
        <v>478</v>
      </c>
      <c r="G378" s="32" t="s">
        <v>38</v>
      </c>
      <c r="H378" s="32" t="s">
        <v>3095</v>
      </c>
      <c r="I378" s="32" t="s">
        <v>39</v>
      </c>
      <c r="J378" s="32" t="s">
        <v>40</v>
      </c>
      <c r="K378" s="32" t="s">
        <v>41</v>
      </c>
    </row>
    <row r="379" spans="1:12" hidden="1" x14ac:dyDescent="0.3">
      <c r="A379" s="39">
        <v>46167.368217592593</v>
      </c>
      <c r="B379" s="32" t="s">
        <v>37</v>
      </c>
      <c r="C379" s="32">
        <v>4532541802</v>
      </c>
      <c r="E379" s="32">
        <v>83</v>
      </c>
      <c r="F379" s="32">
        <v>83</v>
      </c>
      <c r="G379" s="32" t="s">
        <v>38</v>
      </c>
      <c r="H379" s="32" t="s">
        <v>3096</v>
      </c>
      <c r="I379" s="32" t="s">
        <v>46</v>
      </c>
      <c r="J379" s="32" t="s">
        <v>40</v>
      </c>
    </row>
    <row r="380" spans="1:12" hidden="1" x14ac:dyDescent="0.3">
      <c r="A380" s="39">
        <v>46167.366851851853</v>
      </c>
      <c r="B380" s="32" t="s">
        <v>48</v>
      </c>
      <c r="C380" s="32">
        <v>4435223408</v>
      </c>
      <c r="E380" s="32">
        <v>432</v>
      </c>
      <c r="F380" s="32">
        <v>415</v>
      </c>
      <c r="G380" s="32" t="s">
        <v>38</v>
      </c>
      <c r="H380" s="32" t="s">
        <v>3097</v>
      </c>
      <c r="I380" s="32" t="s">
        <v>46</v>
      </c>
      <c r="J380" s="32" t="s">
        <v>40</v>
      </c>
    </row>
    <row r="381" spans="1:12" hidden="1" x14ac:dyDescent="0.3">
      <c r="A381" s="39">
        <v>46167.361886574072</v>
      </c>
      <c r="B381" s="32">
        <v>4532541802</v>
      </c>
      <c r="C381" s="32" t="s">
        <v>37</v>
      </c>
      <c r="D381" s="32">
        <v>4430265054</v>
      </c>
      <c r="E381" s="32">
        <v>541</v>
      </c>
      <c r="F381" s="32">
        <v>515</v>
      </c>
      <c r="G381" s="32" t="s">
        <v>38</v>
      </c>
      <c r="H381" s="32" t="s">
        <v>3098</v>
      </c>
      <c r="I381" s="32" t="s">
        <v>39</v>
      </c>
      <c r="J381" s="32" t="s">
        <v>40</v>
      </c>
      <c r="K381" s="32" t="s">
        <v>41</v>
      </c>
      <c r="L381" s="32">
        <v>5</v>
      </c>
    </row>
    <row r="382" spans="1:12" hidden="1" x14ac:dyDescent="0.3">
      <c r="A382" s="39">
        <v>46167.360312500001</v>
      </c>
      <c r="B382" s="32">
        <v>4432524636</v>
      </c>
      <c r="C382" s="32" t="s">
        <v>45</v>
      </c>
      <c r="D382" s="32">
        <v>4430265054</v>
      </c>
      <c r="E382" s="32">
        <v>191</v>
      </c>
      <c r="F382" s="32">
        <v>172</v>
      </c>
      <c r="G382" s="32" t="s">
        <v>38</v>
      </c>
      <c r="H382" s="32" t="s">
        <v>3099</v>
      </c>
      <c r="I382" s="32" t="s">
        <v>39</v>
      </c>
      <c r="J382" s="32" t="s">
        <v>40</v>
      </c>
      <c r="K382" s="32" t="s">
        <v>41</v>
      </c>
      <c r="L382" s="32">
        <v>5</v>
      </c>
    </row>
    <row r="383" spans="1:12" hidden="1" x14ac:dyDescent="0.3">
      <c r="A383" s="39">
        <v>46167.356759259259</v>
      </c>
      <c r="B383" s="32" t="s">
        <v>48</v>
      </c>
      <c r="C383" s="32">
        <v>4435223408</v>
      </c>
      <c r="E383" s="32">
        <v>74</v>
      </c>
      <c r="F383" s="32">
        <v>59</v>
      </c>
      <c r="G383" s="32" t="s">
        <v>38</v>
      </c>
      <c r="H383" s="32" t="s">
        <v>3100</v>
      </c>
      <c r="I383" s="32" t="s">
        <v>46</v>
      </c>
      <c r="J383" s="32" t="s">
        <v>40</v>
      </c>
    </row>
    <row r="384" spans="1:12" hidden="1" x14ac:dyDescent="0.3">
      <c r="A384" s="39">
        <v>46167.356516203705</v>
      </c>
      <c r="B384" s="32" t="s">
        <v>44</v>
      </c>
      <c r="C384" s="32">
        <v>4434221675</v>
      </c>
      <c r="E384" s="32">
        <v>120</v>
      </c>
      <c r="F384" s="32">
        <v>116</v>
      </c>
      <c r="G384" s="32" t="s">
        <v>38</v>
      </c>
      <c r="H384" s="32" t="s">
        <v>3101</v>
      </c>
      <c r="I384" s="32" t="s">
        <v>46</v>
      </c>
      <c r="J384" s="32" t="s">
        <v>40</v>
      </c>
    </row>
    <row r="385" spans="1:10" hidden="1" x14ac:dyDescent="0.3">
      <c r="A385" s="39">
        <v>46167.354641203703</v>
      </c>
      <c r="B385" s="32" t="s">
        <v>48</v>
      </c>
      <c r="C385" s="32">
        <v>4435223408</v>
      </c>
      <c r="E385" s="32">
        <v>32</v>
      </c>
      <c r="F385" s="32">
        <v>18</v>
      </c>
      <c r="G385" s="32" t="s">
        <v>38</v>
      </c>
      <c r="H385" s="32" t="s">
        <v>3102</v>
      </c>
      <c r="I385" s="32" t="s">
        <v>46</v>
      </c>
      <c r="J385" s="32" t="s">
        <v>40</v>
      </c>
    </row>
    <row r="386" spans="1:10" hidden="1" x14ac:dyDescent="0.3">
      <c r="A386" s="39">
        <v>46167.354062500002</v>
      </c>
      <c r="B386" s="32" t="s">
        <v>48</v>
      </c>
      <c r="C386" s="32">
        <v>4435223408</v>
      </c>
      <c r="E386" s="32">
        <v>34</v>
      </c>
      <c r="F386" s="32">
        <v>20</v>
      </c>
      <c r="G386" s="32" t="s">
        <v>38</v>
      </c>
      <c r="H386" s="32" t="s">
        <v>3103</v>
      </c>
      <c r="I386" s="32" t="s">
        <v>46</v>
      </c>
      <c r="J386" s="32" t="s">
        <v>40</v>
      </c>
    </row>
    <row r="387" spans="1:10" hidden="1" x14ac:dyDescent="0.3">
      <c r="A387" s="39">
        <v>46167.346979166665</v>
      </c>
      <c r="B387" s="32">
        <v>1438160351</v>
      </c>
      <c r="C387" s="32">
        <v>4430265054</v>
      </c>
      <c r="D387" s="32">
        <v>4430265054</v>
      </c>
      <c r="E387" s="32">
        <v>8</v>
      </c>
      <c r="F387" s="32">
        <v>7</v>
      </c>
      <c r="G387" s="32" t="s">
        <v>52</v>
      </c>
      <c r="H387" s="32" t="s">
        <v>3104</v>
      </c>
      <c r="I387" s="32" t="s">
        <v>39</v>
      </c>
      <c r="J387" s="32" t="s">
        <v>53</v>
      </c>
    </row>
    <row r="388" spans="1:10" hidden="1" x14ac:dyDescent="0.3">
      <c r="A388" s="39">
        <v>46167.345127314817</v>
      </c>
      <c r="B388" s="32" t="s">
        <v>44</v>
      </c>
      <c r="C388" s="32">
        <v>4434221675</v>
      </c>
      <c r="E388" s="32">
        <v>4</v>
      </c>
      <c r="F388" s="32">
        <v>0</v>
      </c>
      <c r="G388" s="32" t="s">
        <v>47</v>
      </c>
      <c r="H388" s="32" t="s">
        <v>3105</v>
      </c>
      <c r="I388" s="32" t="s">
        <v>46</v>
      </c>
      <c r="J388" s="32" t="s">
        <v>40</v>
      </c>
    </row>
    <row r="389" spans="1:10" hidden="1" x14ac:dyDescent="0.3">
      <c r="A389" s="39">
        <v>46167.345023148147</v>
      </c>
      <c r="B389" s="32" t="s">
        <v>44</v>
      </c>
      <c r="C389" s="32">
        <v>4434221675</v>
      </c>
      <c r="E389" s="32">
        <v>5</v>
      </c>
      <c r="F389" s="32">
        <v>0</v>
      </c>
      <c r="G389" s="32" t="s">
        <v>47</v>
      </c>
      <c r="H389" s="32" t="s">
        <v>3106</v>
      </c>
      <c r="I389" s="32" t="s">
        <v>46</v>
      </c>
      <c r="J389" s="32" t="s">
        <v>40</v>
      </c>
    </row>
    <row r="390" spans="1:10" hidden="1" x14ac:dyDescent="0.3">
      <c r="A390" s="39">
        <v>46167.342835648145</v>
      </c>
      <c r="B390" s="32" t="s">
        <v>44</v>
      </c>
      <c r="C390" s="32">
        <v>4434221675</v>
      </c>
      <c r="E390" s="32">
        <v>215</v>
      </c>
      <c r="F390" s="32">
        <v>210</v>
      </c>
      <c r="G390" s="32" t="s">
        <v>38</v>
      </c>
      <c r="H390" s="32" t="s">
        <v>3107</v>
      </c>
      <c r="I390" s="32" t="s">
        <v>46</v>
      </c>
      <c r="J390" s="32" t="s">
        <v>40</v>
      </c>
    </row>
    <row r="391" spans="1:10" hidden="1" x14ac:dyDescent="0.3">
      <c r="A391" s="39">
        <v>46167.342766203707</v>
      </c>
      <c r="B391" s="32" t="s">
        <v>44</v>
      </c>
      <c r="C391" s="32">
        <v>4434221675</v>
      </c>
      <c r="E391" s="32">
        <v>26</v>
      </c>
      <c r="F391" s="32">
        <v>25</v>
      </c>
      <c r="G391" s="32" t="s">
        <v>38</v>
      </c>
      <c r="H391" s="32" t="s">
        <v>3108</v>
      </c>
      <c r="I391" s="32" t="s">
        <v>46</v>
      </c>
      <c r="J391" s="32" t="s">
        <v>40</v>
      </c>
    </row>
    <row r="392" spans="1:10" hidden="1" x14ac:dyDescent="0.3">
      <c r="A392" s="39">
        <v>46165.745046296295</v>
      </c>
      <c r="B392" s="32">
        <v>44998810431</v>
      </c>
      <c r="C392" s="32">
        <v>4430265054</v>
      </c>
      <c r="D392" s="32">
        <v>4430265054</v>
      </c>
      <c r="E392" s="32">
        <v>19</v>
      </c>
      <c r="F392" s="32">
        <v>19</v>
      </c>
      <c r="G392" s="32" t="s">
        <v>52</v>
      </c>
      <c r="H392" s="32" t="s">
        <v>3109</v>
      </c>
      <c r="I392" s="32" t="s">
        <v>39</v>
      </c>
      <c r="J392" s="32" t="s">
        <v>53</v>
      </c>
    </row>
    <row r="393" spans="1:10" hidden="1" x14ac:dyDescent="0.3">
      <c r="A393" s="39">
        <v>46165.374502314815</v>
      </c>
      <c r="B393" s="32">
        <v>1438160351</v>
      </c>
      <c r="C393" s="32">
        <v>4430265054</v>
      </c>
      <c r="D393" s="32">
        <v>4430265054</v>
      </c>
      <c r="E393" s="32">
        <v>8</v>
      </c>
      <c r="F393" s="32">
        <v>8</v>
      </c>
      <c r="G393" s="32" t="s">
        <v>52</v>
      </c>
      <c r="H393" s="32" t="s">
        <v>3110</v>
      </c>
      <c r="I393" s="32" t="s">
        <v>39</v>
      </c>
      <c r="J393" s="32" t="s">
        <v>53</v>
      </c>
    </row>
    <row r="394" spans="1:10" hidden="1" x14ac:dyDescent="0.3">
      <c r="A394" s="39">
        <v>46165.373344907406</v>
      </c>
      <c r="B394" s="32">
        <v>1438160351</v>
      </c>
      <c r="C394" s="32">
        <v>4430265054</v>
      </c>
      <c r="D394" s="32">
        <v>4430265054</v>
      </c>
      <c r="E394" s="32">
        <v>8</v>
      </c>
      <c r="F394" s="32">
        <v>8</v>
      </c>
      <c r="G394" s="32" t="s">
        <v>52</v>
      </c>
      <c r="H394" s="32" t="s">
        <v>3111</v>
      </c>
      <c r="I394" s="32" t="s">
        <v>39</v>
      </c>
      <c r="J394" s="32" t="s">
        <v>53</v>
      </c>
    </row>
    <row r="395" spans="1:10" hidden="1" x14ac:dyDescent="0.3">
      <c r="A395" s="39">
        <v>46165.338553240741</v>
      </c>
      <c r="B395" s="32">
        <v>1438160351</v>
      </c>
      <c r="C395" s="32">
        <v>4430265054</v>
      </c>
      <c r="D395" s="32">
        <v>4430265054</v>
      </c>
      <c r="E395" s="32">
        <v>8</v>
      </c>
      <c r="F395" s="32">
        <v>7</v>
      </c>
      <c r="G395" s="32" t="s">
        <v>52</v>
      </c>
      <c r="H395" s="32" t="s">
        <v>3112</v>
      </c>
      <c r="I395" s="32" t="s">
        <v>39</v>
      </c>
      <c r="J395" s="32" t="s">
        <v>53</v>
      </c>
    </row>
    <row r="396" spans="1:10" hidden="1" x14ac:dyDescent="0.3">
      <c r="A396" s="39">
        <v>46164.824236111112</v>
      </c>
      <c r="B396" s="32">
        <v>4333217888</v>
      </c>
      <c r="C396" s="32">
        <v>4430265054</v>
      </c>
      <c r="D396" s="32">
        <v>4430265054</v>
      </c>
      <c r="E396" s="32">
        <v>20</v>
      </c>
      <c r="F396" s="32">
        <v>20</v>
      </c>
      <c r="G396" s="32" t="s">
        <v>52</v>
      </c>
      <c r="H396" s="32" t="s">
        <v>3113</v>
      </c>
      <c r="I396" s="32" t="s">
        <v>39</v>
      </c>
      <c r="J396" s="32" t="s">
        <v>53</v>
      </c>
    </row>
    <row r="397" spans="1:10" hidden="1" x14ac:dyDescent="0.3">
      <c r="A397" s="39">
        <v>46164.763182870367</v>
      </c>
      <c r="B397" s="32">
        <v>4333217888</v>
      </c>
      <c r="C397" s="32">
        <v>4430265054</v>
      </c>
      <c r="D397" s="32">
        <v>4430265054</v>
      </c>
      <c r="E397" s="32">
        <v>19</v>
      </c>
      <c r="F397" s="32">
        <v>19</v>
      </c>
      <c r="G397" s="32" t="s">
        <v>52</v>
      </c>
      <c r="H397" s="32" t="s">
        <v>3114</v>
      </c>
      <c r="I397" s="32" t="s">
        <v>39</v>
      </c>
      <c r="J397" s="32" t="s">
        <v>53</v>
      </c>
    </row>
    <row r="398" spans="1:10" hidden="1" x14ac:dyDescent="0.3">
      <c r="A398" s="39">
        <v>46164.722303240742</v>
      </c>
      <c r="B398" s="32" t="s">
        <v>54</v>
      </c>
      <c r="C398" s="32">
        <v>35988483204</v>
      </c>
      <c r="E398" s="32">
        <v>19</v>
      </c>
      <c r="F398" s="32">
        <v>2</v>
      </c>
      <c r="G398" s="32" t="s">
        <v>38</v>
      </c>
      <c r="H398" s="32" t="s">
        <v>3115</v>
      </c>
      <c r="I398" s="32" t="s">
        <v>46</v>
      </c>
      <c r="J398" s="32" t="s">
        <v>55</v>
      </c>
    </row>
    <row r="399" spans="1:10" hidden="1" x14ac:dyDescent="0.3">
      <c r="A399" s="39">
        <v>46164.714780092596</v>
      </c>
      <c r="B399" s="32" t="s">
        <v>45</v>
      </c>
      <c r="C399" s="32">
        <v>4430153709</v>
      </c>
      <c r="E399" s="32">
        <v>92</v>
      </c>
      <c r="F399" s="32">
        <v>0</v>
      </c>
      <c r="G399" s="32" t="s">
        <v>47</v>
      </c>
      <c r="H399" s="32" t="s">
        <v>3116</v>
      </c>
      <c r="I399" s="32" t="s">
        <v>46</v>
      </c>
      <c r="J399" s="32" t="s">
        <v>40</v>
      </c>
    </row>
    <row r="400" spans="1:10" hidden="1" x14ac:dyDescent="0.3">
      <c r="A400" s="39">
        <v>46164.714699074073</v>
      </c>
      <c r="B400" s="32" t="s">
        <v>45</v>
      </c>
      <c r="C400" s="32">
        <v>4430153709</v>
      </c>
      <c r="E400" s="32">
        <v>25</v>
      </c>
      <c r="F400" s="32">
        <v>24</v>
      </c>
      <c r="G400" s="32" t="s">
        <v>38</v>
      </c>
      <c r="H400" s="32" t="s">
        <v>3117</v>
      </c>
      <c r="I400" s="32" t="s">
        <v>46</v>
      </c>
      <c r="J400" s="32" t="s">
        <v>40</v>
      </c>
    </row>
    <row r="401" spans="1:12" hidden="1" x14ac:dyDescent="0.3">
      <c r="A401" s="39">
        <v>46164.70857638889</v>
      </c>
      <c r="B401" s="32">
        <v>4333217888</v>
      </c>
      <c r="C401" s="32">
        <v>4430265054</v>
      </c>
      <c r="D401" s="32">
        <v>4430265054</v>
      </c>
      <c r="E401" s="32">
        <v>20</v>
      </c>
      <c r="F401" s="32">
        <v>20</v>
      </c>
      <c r="G401" s="32" t="s">
        <v>52</v>
      </c>
      <c r="H401" s="32" t="s">
        <v>3118</v>
      </c>
      <c r="I401" s="32" t="s">
        <v>39</v>
      </c>
      <c r="J401" s="32" t="s">
        <v>53</v>
      </c>
    </row>
    <row r="402" spans="1:12" hidden="1" x14ac:dyDescent="0.3">
      <c r="A402" s="39">
        <v>46164.707384259258</v>
      </c>
      <c r="B402" s="32" t="s">
        <v>54</v>
      </c>
      <c r="C402" s="32">
        <v>75991864870</v>
      </c>
      <c r="E402" s="32">
        <v>7</v>
      </c>
      <c r="F402" s="32">
        <v>0</v>
      </c>
      <c r="G402" s="32" t="s">
        <v>47</v>
      </c>
      <c r="H402" s="32" t="s">
        <v>3119</v>
      </c>
      <c r="I402" s="32" t="s">
        <v>46</v>
      </c>
      <c r="J402" s="32" t="s">
        <v>55</v>
      </c>
    </row>
    <row r="403" spans="1:12" hidden="1" x14ac:dyDescent="0.3">
      <c r="A403" s="39">
        <v>46164.706550925926</v>
      </c>
      <c r="B403" s="32" t="s">
        <v>54</v>
      </c>
      <c r="C403" s="32">
        <v>51998617299</v>
      </c>
      <c r="E403" s="32">
        <v>12</v>
      </c>
      <c r="F403" s="32">
        <v>0</v>
      </c>
      <c r="G403" s="32" t="s">
        <v>47</v>
      </c>
      <c r="H403" s="32" t="s">
        <v>3120</v>
      </c>
      <c r="I403" s="32" t="s">
        <v>46</v>
      </c>
      <c r="J403" s="32" t="s">
        <v>55</v>
      </c>
    </row>
    <row r="404" spans="1:12" hidden="1" x14ac:dyDescent="0.3">
      <c r="A404" s="39">
        <v>46164.706435185188</v>
      </c>
      <c r="B404" s="32" t="s">
        <v>48</v>
      </c>
      <c r="C404" s="32">
        <v>4435223408</v>
      </c>
      <c r="E404" s="32">
        <v>326</v>
      </c>
      <c r="F404" s="32">
        <v>309</v>
      </c>
      <c r="G404" s="32" t="s">
        <v>38</v>
      </c>
      <c r="H404" s="32" t="s">
        <v>3121</v>
      </c>
      <c r="I404" s="32" t="s">
        <v>46</v>
      </c>
      <c r="J404" s="32" t="s">
        <v>40</v>
      </c>
    </row>
    <row r="405" spans="1:12" hidden="1" x14ac:dyDescent="0.3">
      <c r="A405" s="39">
        <v>46164.705590277779</v>
      </c>
      <c r="B405" s="32" t="s">
        <v>54</v>
      </c>
      <c r="C405" s="32">
        <v>85997871081</v>
      </c>
      <c r="E405" s="32">
        <v>23</v>
      </c>
      <c r="F405" s="32">
        <v>1</v>
      </c>
      <c r="G405" s="32" t="s">
        <v>38</v>
      </c>
      <c r="H405" s="32" t="s">
        <v>3122</v>
      </c>
      <c r="I405" s="32" t="s">
        <v>46</v>
      </c>
      <c r="J405" s="32" t="s">
        <v>55</v>
      </c>
    </row>
    <row r="406" spans="1:12" hidden="1" x14ac:dyDescent="0.3">
      <c r="A406" s="39">
        <v>46164.702766203707</v>
      </c>
      <c r="B406" s="32" t="s">
        <v>45</v>
      </c>
      <c r="C406" s="32">
        <v>4436193000</v>
      </c>
      <c r="E406" s="32">
        <v>103</v>
      </c>
      <c r="F406" s="32">
        <v>96</v>
      </c>
      <c r="G406" s="32" t="s">
        <v>38</v>
      </c>
      <c r="H406" s="32" t="s">
        <v>3123</v>
      </c>
      <c r="I406" s="32" t="s">
        <v>46</v>
      </c>
      <c r="J406" s="32" t="s">
        <v>40</v>
      </c>
    </row>
    <row r="407" spans="1:12" hidden="1" x14ac:dyDescent="0.3">
      <c r="A407" s="39">
        <v>46164.701469907406</v>
      </c>
      <c r="B407" s="32" t="s">
        <v>45</v>
      </c>
      <c r="C407" s="32">
        <v>4436193000</v>
      </c>
      <c r="E407" s="32">
        <v>139</v>
      </c>
      <c r="F407" s="32">
        <v>132</v>
      </c>
      <c r="G407" s="32" t="s">
        <v>38</v>
      </c>
      <c r="H407" s="32" t="s">
        <v>3124</v>
      </c>
      <c r="I407" s="32" t="s">
        <v>46</v>
      </c>
      <c r="J407" s="32" t="s">
        <v>40</v>
      </c>
    </row>
    <row r="408" spans="1:12" hidden="1" x14ac:dyDescent="0.3">
      <c r="A408" s="39">
        <v>46164.700613425928</v>
      </c>
      <c r="B408" s="32" t="s">
        <v>45</v>
      </c>
      <c r="C408" s="32">
        <v>4436193000</v>
      </c>
      <c r="E408" s="32">
        <v>101</v>
      </c>
      <c r="F408" s="32">
        <v>94</v>
      </c>
      <c r="G408" s="32" t="s">
        <v>38</v>
      </c>
      <c r="H408" s="32" t="s">
        <v>3125</v>
      </c>
      <c r="I408" s="32" t="s">
        <v>46</v>
      </c>
      <c r="J408" s="32" t="s">
        <v>40</v>
      </c>
    </row>
    <row r="409" spans="1:12" hidden="1" x14ac:dyDescent="0.3">
      <c r="A409" s="39">
        <v>46164.700023148151</v>
      </c>
      <c r="B409" s="32" t="s">
        <v>54</v>
      </c>
      <c r="C409" s="32">
        <v>68999927659</v>
      </c>
      <c r="E409" s="32">
        <v>28</v>
      </c>
      <c r="F409" s="32">
        <v>0</v>
      </c>
      <c r="G409" s="32" t="s">
        <v>47</v>
      </c>
      <c r="H409" s="32" t="s">
        <v>3126</v>
      </c>
      <c r="I409" s="32" t="s">
        <v>46</v>
      </c>
      <c r="J409" s="32" t="s">
        <v>55</v>
      </c>
    </row>
    <row r="410" spans="1:12" hidden="1" x14ac:dyDescent="0.3">
      <c r="A410" s="39">
        <v>46164.699016203704</v>
      </c>
      <c r="B410" s="32" t="s">
        <v>54</v>
      </c>
      <c r="C410" s="32">
        <v>6236262105</v>
      </c>
      <c r="E410" s="32">
        <v>15</v>
      </c>
      <c r="F410" s="32">
        <v>2</v>
      </c>
      <c r="G410" s="32" t="s">
        <v>38</v>
      </c>
      <c r="H410" s="32" t="s">
        <v>3127</v>
      </c>
      <c r="I410" s="32" t="s">
        <v>46</v>
      </c>
      <c r="J410" s="32" t="s">
        <v>55</v>
      </c>
    </row>
    <row r="411" spans="1:12" hidden="1" x14ac:dyDescent="0.3">
      <c r="A411" s="39">
        <v>46164.694814814815</v>
      </c>
      <c r="B411" s="32" t="s">
        <v>54</v>
      </c>
      <c r="C411" s="32">
        <v>11997791541</v>
      </c>
      <c r="E411" s="32">
        <v>3</v>
      </c>
      <c r="F411" s="32">
        <v>0</v>
      </c>
      <c r="G411" s="32" t="s">
        <v>47</v>
      </c>
      <c r="H411" s="32" t="s">
        <v>3128</v>
      </c>
      <c r="I411" s="32" t="s">
        <v>46</v>
      </c>
      <c r="J411" s="32" t="s">
        <v>55</v>
      </c>
    </row>
    <row r="412" spans="1:12" hidden="1" x14ac:dyDescent="0.3">
      <c r="A412" s="39">
        <v>46164.694108796299</v>
      </c>
      <c r="B412" s="32" t="s">
        <v>54</v>
      </c>
      <c r="C412" s="32">
        <v>51996531602</v>
      </c>
      <c r="E412" s="32">
        <v>16</v>
      </c>
      <c r="F412" s="32">
        <v>0</v>
      </c>
      <c r="G412" s="32" t="s">
        <v>47</v>
      </c>
      <c r="H412" s="32" t="s">
        <v>3129</v>
      </c>
      <c r="I412" s="32" t="s">
        <v>46</v>
      </c>
      <c r="J412" s="32" t="s">
        <v>55</v>
      </c>
    </row>
    <row r="413" spans="1:12" hidden="1" x14ac:dyDescent="0.3">
      <c r="A413" s="39">
        <v>46164.69295138889</v>
      </c>
      <c r="B413" s="32" t="s">
        <v>43</v>
      </c>
      <c r="C413" s="32">
        <v>4432520627</v>
      </c>
      <c r="E413" s="32">
        <v>732</v>
      </c>
      <c r="F413" s="32">
        <v>724</v>
      </c>
      <c r="G413" s="32" t="s">
        <v>38</v>
      </c>
      <c r="H413" s="32" t="s">
        <v>3130</v>
      </c>
      <c r="I413" s="32" t="s">
        <v>46</v>
      </c>
      <c r="J413" s="32" t="s">
        <v>40</v>
      </c>
    </row>
    <row r="414" spans="1:12" hidden="1" x14ac:dyDescent="0.3">
      <c r="A414" s="39">
        <v>46164.689560185187</v>
      </c>
      <c r="B414" s="32" t="s">
        <v>54</v>
      </c>
      <c r="C414" s="32">
        <v>31995039161</v>
      </c>
      <c r="E414" s="32">
        <v>5</v>
      </c>
      <c r="F414" s="32">
        <v>3</v>
      </c>
      <c r="G414" s="32" t="s">
        <v>38</v>
      </c>
      <c r="H414" s="32" t="s">
        <v>3131</v>
      </c>
      <c r="I414" s="32" t="s">
        <v>46</v>
      </c>
      <c r="J414" s="32" t="s">
        <v>55</v>
      </c>
    </row>
    <row r="415" spans="1:12" hidden="1" x14ac:dyDescent="0.3">
      <c r="A415" s="39">
        <v>46164.689525462964</v>
      </c>
      <c r="B415" s="32">
        <v>4333217888</v>
      </c>
      <c r="C415" s="32">
        <v>4430265054</v>
      </c>
      <c r="D415" s="32">
        <v>4430265054</v>
      </c>
      <c r="E415" s="32">
        <v>20</v>
      </c>
      <c r="F415" s="32">
        <v>20</v>
      </c>
      <c r="G415" s="32" t="s">
        <v>52</v>
      </c>
      <c r="H415" s="32" t="s">
        <v>3132</v>
      </c>
      <c r="I415" s="32" t="s">
        <v>39</v>
      </c>
      <c r="J415" s="32" t="s">
        <v>53</v>
      </c>
    </row>
    <row r="416" spans="1:12" hidden="1" x14ac:dyDescent="0.3">
      <c r="A416" s="39">
        <v>46164.6875</v>
      </c>
      <c r="B416" s="32">
        <v>4430153709</v>
      </c>
      <c r="C416" s="32" t="s">
        <v>45</v>
      </c>
      <c r="D416" s="32">
        <v>4430265054</v>
      </c>
      <c r="E416" s="32">
        <v>1148</v>
      </c>
      <c r="F416" s="32">
        <v>1119</v>
      </c>
      <c r="G416" s="32" t="s">
        <v>38</v>
      </c>
      <c r="H416" s="32" t="s">
        <v>3133</v>
      </c>
      <c r="I416" s="32" t="s">
        <v>39</v>
      </c>
      <c r="J416" s="32" t="s">
        <v>40</v>
      </c>
      <c r="K416" s="32" t="s">
        <v>41</v>
      </c>
      <c r="L416" s="32">
        <v>5</v>
      </c>
    </row>
    <row r="417" spans="1:11" hidden="1" x14ac:dyDescent="0.3">
      <c r="A417" s="39">
        <v>46164.684756944444</v>
      </c>
      <c r="B417" s="32">
        <v>44991116911</v>
      </c>
      <c r="C417" s="32" t="s">
        <v>43</v>
      </c>
      <c r="D417" s="32">
        <v>4430265054</v>
      </c>
      <c r="E417" s="32">
        <v>308</v>
      </c>
      <c r="F417" s="32">
        <v>269</v>
      </c>
      <c r="G417" s="32" t="s">
        <v>38</v>
      </c>
      <c r="H417" s="32" t="s">
        <v>3134</v>
      </c>
      <c r="I417" s="32" t="s">
        <v>39</v>
      </c>
      <c r="J417" s="32" t="s">
        <v>40</v>
      </c>
      <c r="K417" s="32" t="s">
        <v>41</v>
      </c>
    </row>
    <row r="418" spans="1:11" hidden="1" x14ac:dyDescent="0.3">
      <c r="A418" s="39">
        <v>46164.682916666665</v>
      </c>
      <c r="B418" s="32">
        <v>4431230400</v>
      </c>
      <c r="C418" s="32" t="s">
        <v>44</v>
      </c>
      <c r="D418" s="32">
        <v>4430265054</v>
      </c>
      <c r="E418" s="32">
        <v>256</v>
      </c>
      <c r="F418" s="32">
        <v>133</v>
      </c>
      <c r="G418" s="32" t="s">
        <v>38</v>
      </c>
      <c r="H418" s="32" t="s">
        <v>3135</v>
      </c>
      <c r="I418" s="32" t="s">
        <v>39</v>
      </c>
      <c r="J418" s="32" t="s">
        <v>40</v>
      </c>
      <c r="K418" s="32" t="s">
        <v>41</v>
      </c>
    </row>
    <row r="419" spans="1:11" hidden="1" x14ac:dyDescent="0.3">
      <c r="A419" s="39">
        <v>46164.682534722226</v>
      </c>
      <c r="B419" s="32">
        <v>44997456641</v>
      </c>
      <c r="C419" s="32" t="s">
        <v>45</v>
      </c>
      <c r="D419" s="32">
        <v>4430265054</v>
      </c>
      <c r="E419" s="32">
        <v>399</v>
      </c>
      <c r="F419" s="32">
        <v>361</v>
      </c>
      <c r="G419" s="32" t="s">
        <v>38</v>
      </c>
      <c r="H419" s="32" t="s">
        <v>3136</v>
      </c>
      <c r="I419" s="32" t="s">
        <v>39</v>
      </c>
      <c r="J419" s="32" t="s">
        <v>40</v>
      </c>
      <c r="K419" s="32" t="s">
        <v>41</v>
      </c>
    </row>
    <row r="420" spans="1:11" hidden="1" x14ac:dyDescent="0.3">
      <c r="A420" s="39">
        <v>46164.682141203702</v>
      </c>
      <c r="B420" s="32">
        <v>4431230400</v>
      </c>
      <c r="C420" s="32">
        <v>4430265054</v>
      </c>
      <c r="D420" s="32">
        <v>4430265054</v>
      </c>
      <c r="E420" s="32">
        <v>0</v>
      </c>
      <c r="F420" s="32">
        <v>0</v>
      </c>
      <c r="G420" s="32" t="s">
        <v>47</v>
      </c>
      <c r="H420" s="32" t="s">
        <v>3137</v>
      </c>
      <c r="I420" s="32" t="s">
        <v>39</v>
      </c>
      <c r="J420" s="32" t="s">
        <v>53</v>
      </c>
    </row>
    <row r="421" spans="1:11" hidden="1" x14ac:dyDescent="0.3">
      <c r="A421" s="39">
        <v>46164.680891203701</v>
      </c>
      <c r="B421" s="32" t="s">
        <v>54</v>
      </c>
      <c r="C421" s="32">
        <v>83999424562</v>
      </c>
      <c r="E421" s="32">
        <v>22</v>
      </c>
      <c r="F421" s="32">
        <v>10</v>
      </c>
      <c r="G421" s="32" t="s">
        <v>38</v>
      </c>
      <c r="H421" s="32" t="s">
        <v>3138</v>
      </c>
      <c r="I421" s="32" t="s">
        <v>46</v>
      </c>
      <c r="J421" s="32" t="s">
        <v>55</v>
      </c>
    </row>
    <row r="422" spans="1:11" hidden="1" x14ac:dyDescent="0.3">
      <c r="A422" s="39">
        <v>46164.67769675926</v>
      </c>
      <c r="B422" s="32" t="s">
        <v>54</v>
      </c>
      <c r="C422" s="32">
        <v>73999300954</v>
      </c>
      <c r="E422" s="32">
        <v>31</v>
      </c>
      <c r="F422" s="32">
        <v>9</v>
      </c>
      <c r="G422" s="32" t="s">
        <v>38</v>
      </c>
      <c r="H422" s="32" t="s">
        <v>3139</v>
      </c>
      <c r="I422" s="32" t="s">
        <v>46</v>
      </c>
      <c r="J422" s="32" t="s">
        <v>55</v>
      </c>
    </row>
    <row r="423" spans="1:11" hidden="1" x14ac:dyDescent="0.3">
      <c r="A423" s="39">
        <v>46164.676585648151</v>
      </c>
      <c r="B423" s="32" t="s">
        <v>54</v>
      </c>
      <c r="C423" s="32">
        <v>1139263222</v>
      </c>
      <c r="E423" s="32">
        <v>55</v>
      </c>
      <c r="F423" s="32">
        <v>0</v>
      </c>
      <c r="G423" s="32" t="s">
        <v>47</v>
      </c>
      <c r="H423" s="32" t="s">
        <v>3140</v>
      </c>
      <c r="I423" s="32" t="s">
        <v>46</v>
      </c>
      <c r="J423" s="32" t="s">
        <v>55</v>
      </c>
    </row>
    <row r="424" spans="1:11" hidden="1" x14ac:dyDescent="0.3">
      <c r="A424" s="39">
        <v>46164.675821759258</v>
      </c>
      <c r="B424" s="32" t="s">
        <v>48</v>
      </c>
      <c r="C424" s="32">
        <v>4435223408</v>
      </c>
      <c r="E424" s="32">
        <v>61</v>
      </c>
      <c r="F424" s="32">
        <v>46</v>
      </c>
      <c r="G424" s="32" t="s">
        <v>38</v>
      </c>
      <c r="H424" s="32" t="s">
        <v>3141</v>
      </c>
      <c r="I424" s="32" t="s">
        <v>46</v>
      </c>
      <c r="J424" s="32" t="s">
        <v>40</v>
      </c>
    </row>
    <row r="425" spans="1:11" hidden="1" x14ac:dyDescent="0.3">
      <c r="A425" s="39">
        <v>46164.673703703702</v>
      </c>
      <c r="B425" s="32">
        <v>4521017510</v>
      </c>
      <c r="C425" s="32">
        <v>4531273169</v>
      </c>
      <c r="D425" s="32">
        <v>4531273169</v>
      </c>
      <c r="E425" s="32">
        <v>78</v>
      </c>
      <c r="F425" s="32">
        <v>78</v>
      </c>
      <c r="G425" s="32" t="s">
        <v>52</v>
      </c>
      <c r="H425" s="32" t="s">
        <v>3142</v>
      </c>
      <c r="I425" s="32" t="s">
        <v>39</v>
      </c>
      <c r="J425" s="32" t="s">
        <v>53</v>
      </c>
      <c r="K425" s="32" t="s">
        <v>41</v>
      </c>
    </row>
    <row r="426" spans="1:11" hidden="1" x14ac:dyDescent="0.3">
      <c r="A426" s="39">
        <v>46164.673368055555</v>
      </c>
      <c r="B426" s="32">
        <v>44997456641</v>
      </c>
      <c r="C426" s="32" t="s">
        <v>44</v>
      </c>
      <c r="D426" s="32">
        <v>4430265054</v>
      </c>
      <c r="E426" s="32">
        <v>129</v>
      </c>
      <c r="F426" s="32">
        <v>50</v>
      </c>
      <c r="G426" s="32" t="s">
        <v>38</v>
      </c>
      <c r="H426" s="32" t="s">
        <v>3143</v>
      </c>
      <c r="I426" s="32" t="s">
        <v>39</v>
      </c>
      <c r="J426" s="32" t="s">
        <v>40</v>
      </c>
      <c r="K426" s="32" t="s">
        <v>41</v>
      </c>
    </row>
    <row r="427" spans="1:11" hidden="1" x14ac:dyDescent="0.3">
      <c r="A427" s="39">
        <v>46164.672106481485</v>
      </c>
      <c r="B427" s="32">
        <v>4121414966</v>
      </c>
      <c r="C427" s="32">
        <v>4531273176</v>
      </c>
      <c r="D427" s="32">
        <v>4531273176</v>
      </c>
      <c r="E427" s="32">
        <v>47</v>
      </c>
      <c r="F427" s="32">
        <v>47</v>
      </c>
      <c r="G427" s="32" t="s">
        <v>52</v>
      </c>
      <c r="H427" s="32" t="s">
        <v>3144</v>
      </c>
      <c r="I427" s="32" t="s">
        <v>39</v>
      </c>
      <c r="J427" s="32" t="s">
        <v>53</v>
      </c>
      <c r="K427" s="32" t="s">
        <v>41</v>
      </c>
    </row>
    <row r="428" spans="1:11" hidden="1" x14ac:dyDescent="0.3">
      <c r="A428" s="39">
        <v>46164.670995370368</v>
      </c>
      <c r="B428" s="32" t="s">
        <v>54</v>
      </c>
      <c r="C428" s="32">
        <v>31997176976</v>
      </c>
      <c r="E428" s="32">
        <v>24</v>
      </c>
      <c r="F428" s="32">
        <v>0</v>
      </c>
      <c r="G428" s="32" t="s">
        <v>47</v>
      </c>
      <c r="H428" s="32" t="s">
        <v>3145</v>
      </c>
      <c r="I428" s="32" t="s">
        <v>46</v>
      </c>
      <c r="J428" s="32" t="s">
        <v>55</v>
      </c>
    </row>
    <row r="429" spans="1:11" hidden="1" x14ac:dyDescent="0.3">
      <c r="A429" s="39">
        <v>46164.670370370368</v>
      </c>
      <c r="B429" s="32" t="s">
        <v>54</v>
      </c>
      <c r="C429" s="32">
        <v>94992760080</v>
      </c>
      <c r="E429" s="32">
        <v>6</v>
      </c>
      <c r="F429" s="32">
        <v>0</v>
      </c>
      <c r="G429" s="32" t="s">
        <v>47</v>
      </c>
      <c r="H429" s="32" t="s">
        <v>3146</v>
      </c>
      <c r="I429" s="32" t="s">
        <v>46</v>
      </c>
      <c r="J429" s="32" t="s">
        <v>55</v>
      </c>
    </row>
    <row r="430" spans="1:11" hidden="1" x14ac:dyDescent="0.3">
      <c r="A430" s="39">
        <v>46164.666296296295</v>
      </c>
      <c r="B430" s="32">
        <v>14997225372</v>
      </c>
      <c r="C430" s="32" t="s">
        <v>43</v>
      </c>
      <c r="D430" s="32">
        <v>4430265054</v>
      </c>
      <c r="E430" s="32">
        <v>741</v>
      </c>
      <c r="F430" s="32">
        <v>598</v>
      </c>
      <c r="G430" s="32" t="s">
        <v>38</v>
      </c>
      <c r="H430" s="32" t="s">
        <v>3147</v>
      </c>
      <c r="I430" s="32" t="s">
        <v>39</v>
      </c>
      <c r="J430" s="32" t="s">
        <v>40</v>
      </c>
      <c r="K430" s="32" t="s">
        <v>41</v>
      </c>
    </row>
    <row r="431" spans="1:11" hidden="1" x14ac:dyDescent="0.3">
      <c r="A431" s="39">
        <v>46164.665949074071</v>
      </c>
      <c r="B431" s="32" t="s">
        <v>54</v>
      </c>
      <c r="C431" s="32">
        <v>65992877639</v>
      </c>
      <c r="E431" s="32">
        <v>14</v>
      </c>
      <c r="F431" s="32">
        <v>4</v>
      </c>
      <c r="G431" s="32" t="s">
        <v>38</v>
      </c>
      <c r="H431" s="32" t="s">
        <v>3148</v>
      </c>
      <c r="I431" s="32" t="s">
        <v>46</v>
      </c>
      <c r="J431" s="32" t="s">
        <v>55</v>
      </c>
    </row>
    <row r="432" spans="1:11" hidden="1" x14ac:dyDescent="0.3">
      <c r="A432" s="39">
        <v>46164.662418981483</v>
      </c>
      <c r="B432" s="32">
        <v>44997456641</v>
      </c>
      <c r="C432" s="32" t="s">
        <v>43</v>
      </c>
      <c r="D432" s="32">
        <v>4430265054</v>
      </c>
      <c r="E432" s="32">
        <v>367</v>
      </c>
      <c r="F432" s="32">
        <v>347</v>
      </c>
      <c r="G432" s="32" t="s">
        <v>38</v>
      </c>
      <c r="H432" s="32" t="s">
        <v>3149</v>
      </c>
      <c r="I432" s="32" t="s">
        <v>39</v>
      </c>
      <c r="J432" s="32" t="s">
        <v>40</v>
      </c>
      <c r="K432" s="32" t="s">
        <v>41</v>
      </c>
    </row>
    <row r="433" spans="1:13" hidden="1" x14ac:dyDescent="0.3">
      <c r="A433" s="39">
        <v>46164.656400462962</v>
      </c>
      <c r="B433" s="32" t="s">
        <v>43</v>
      </c>
      <c r="C433" s="32">
        <v>11990144272</v>
      </c>
      <c r="E433" s="32">
        <v>281</v>
      </c>
      <c r="F433" s="32">
        <v>271</v>
      </c>
      <c r="G433" s="32" t="s">
        <v>38</v>
      </c>
      <c r="H433" s="32" t="s">
        <v>3150</v>
      </c>
      <c r="I433" s="32" t="s">
        <v>46</v>
      </c>
      <c r="J433" s="32" t="s">
        <v>40</v>
      </c>
    </row>
    <row r="434" spans="1:13" hidden="1" x14ac:dyDescent="0.3">
      <c r="A434" s="39">
        <v>46164.655590277776</v>
      </c>
      <c r="B434" s="32">
        <v>41997840159</v>
      </c>
      <c r="C434" s="32" t="s">
        <v>45</v>
      </c>
      <c r="D434" s="32">
        <v>4431268225</v>
      </c>
      <c r="E434" s="32">
        <v>768</v>
      </c>
      <c r="F434" s="32">
        <v>484</v>
      </c>
      <c r="G434" s="32" t="s">
        <v>38</v>
      </c>
      <c r="H434" s="32" t="s">
        <v>3151</v>
      </c>
      <c r="I434" s="32" t="s">
        <v>39</v>
      </c>
      <c r="J434" s="32" t="s">
        <v>40</v>
      </c>
      <c r="K434" s="32" t="s">
        <v>41</v>
      </c>
      <c r="L434" s="40">
        <v>5</v>
      </c>
      <c r="M434" s="34" t="s">
        <v>5405</v>
      </c>
    </row>
    <row r="435" spans="1:13" hidden="1" x14ac:dyDescent="0.3">
      <c r="A435" s="39">
        <v>46164.654918981483</v>
      </c>
      <c r="B435" s="32">
        <v>4121413772</v>
      </c>
      <c r="C435" s="32">
        <v>4531273159</v>
      </c>
      <c r="D435" s="32">
        <v>4531273159</v>
      </c>
      <c r="E435" s="32">
        <v>47</v>
      </c>
      <c r="F435" s="32">
        <v>47</v>
      </c>
      <c r="G435" s="32" t="s">
        <v>52</v>
      </c>
      <c r="H435" s="32" t="s">
        <v>3152</v>
      </c>
      <c r="I435" s="32" t="s">
        <v>39</v>
      </c>
      <c r="J435" s="32" t="s">
        <v>53</v>
      </c>
      <c r="K435" s="32" t="s">
        <v>41</v>
      </c>
    </row>
    <row r="436" spans="1:13" hidden="1" x14ac:dyDescent="0.3">
      <c r="A436" s="39">
        <v>46164.653460648151</v>
      </c>
      <c r="B436" s="32" t="s">
        <v>50</v>
      </c>
      <c r="C436" s="32" t="s">
        <v>57</v>
      </c>
      <c r="E436" s="32">
        <v>843</v>
      </c>
      <c r="F436" s="32">
        <v>841</v>
      </c>
      <c r="G436" s="32" t="s">
        <v>38</v>
      </c>
      <c r="H436" s="32" t="s">
        <v>3153</v>
      </c>
      <c r="I436" s="32" t="s">
        <v>51</v>
      </c>
      <c r="J436" s="32" t="s">
        <v>55</v>
      </c>
    </row>
    <row r="437" spans="1:13" hidden="1" x14ac:dyDescent="0.3">
      <c r="A437" s="39">
        <v>46164.651030092595</v>
      </c>
      <c r="B437" s="32" t="s">
        <v>54</v>
      </c>
      <c r="C437" s="32">
        <v>18996169063</v>
      </c>
      <c r="E437" s="32">
        <v>10</v>
      </c>
      <c r="F437" s="32">
        <v>0</v>
      </c>
      <c r="G437" s="32" t="s">
        <v>47</v>
      </c>
      <c r="H437" s="32" t="s">
        <v>3154</v>
      </c>
      <c r="I437" s="32" t="s">
        <v>46</v>
      </c>
      <c r="J437" s="32" t="s">
        <v>55</v>
      </c>
    </row>
    <row r="438" spans="1:13" hidden="1" x14ac:dyDescent="0.3">
      <c r="A438" s="39">
        <v>46164.649224537039</v>
      </c>
      <c r="B438" s="32" t="s">
        <v>54</v>
      </c>
      <c r="C438" s="32">
        <v>79999036864</v>
      </c>
      <c r="E438" s="32">
        <v>19</v>
      </c>
      <c r="F438" s="32">
        <v>1</v>
      </c>
      <c r="G438" s="32" t="s">
        <v>38</v>
      </c>
      <c r="H438" s="32" t="s">
        <v>3155</v>
      </c>
      <c r="I438" s="32" t="s">
        <v>46</v>
      </c>
      <c r="J438" s="32" t="s">
        <v>55</v>
      </c>
    </row>
    <row r="439" spans="1:13" hidden="1" x14ac:dyDescent="0.3">
      <c r="A439" s="39">
        <v>46164.648321759261</v>
      </c>
      <c r="B439" s="32" t="s">
        <v>54</v>
      </c>
      <c r="C439" s="32">
        <v>11983326078</v>
      </c>
      <c r="E439" s="32">
        <v>34</v>
      </c>
      <c r="F439" s="32">
        <v>0</v>
      </c>
      <c r="G439" s="32" t="s">
        <v>47</v>
      </c>
      <c r="H439" s="32" t="s">
        <v>3156</v>
      </c>
      <c r="I439" s="32" t="s">
        <v>46</v>
      </c>
      <c r="J439" s="32" t="s">
        <v>55</v>
      </c>
    </row>
    <row r="440" spans="1:13" hidden="1" x14ac:dyDescent="0.3">
      <c r="A440" s="39">
        <v>46164.647789351853</v>
      </c>
      <c r="B440" s="32" t="s">
        <v>54</v>
      </c>
      <c r="C440" s="32">
        <v>2140207190</v>
      </c>
      <c r="E440" s="32">
        <v>14</v>
      </c>
      <c r="F440" s="32">
        <v>13</v>
      </c>
      <c r="G440" s="32" t="s">
        <v>38</v>
      </c>
      <c r="H440" s="32" t="s">
        <v>3157</v>
      </c>
      <c r="I440" s="32" t="s">
        <v>46</v>
      </c>
      <c r="J440" s="32" t="s">
        <v>55</v>
      </c>
    </row>
    <row r="441" spans="1:13" hidden="1" x14ac:dyDescent="0.3">
      <c r="A441" s="39">
        <v>46164.647083333337</v>
      </c>
      <c r="B441" s="32" t="s">
        <v>54</v>
      </c>
      <c r="C441" s="32">
        <v>33988930241</v>
      </c>
      <c r="E441" s="32">
        <v>25</v>
      </c>
      <c r="F441" s="32">
        <v>0</v>
      </c>
      <c r="G441" s="32" t="s">
        <v>47</v>
      </c>
      <c r="H441" s="32" t="s">
        <v>3158</v>
      </c>
      <c r="I441" s="32" t="s">
        <v>46</v>
      </c>
      <c r="J441" s="32" t="s">
        <v>55</v>
      </c>
    </row>
    <row r="442" spans="1:13" hidden="1" x14ac:dyDescent="0.3">
      <c r="A442" s="39">
        <v>46164.646412037036</v>
      </c>
      <c r="B442" s="32">
        <v>2121123730</v>
      </c>
      <c r="C442" s="32">
        <v>4430265054</v>
      </c>
      <c r="D442" s="32">
        <v>4430265054</v>
      </c>
      <c r="E442" s="32">
        <v>48</v>
      </c>
      <c r="F442" s="32">
        <v>47</v>
      </c>
      <c r="G442" s="32" t="s">
        <v>52</v>
      </c>
      <c r="H442" s="32" t="s">
        <v>3159</v>
      </c>
      <c r="I442" s="32" t="s">
        <v>39</v>
      </c>
      <c r="J442" s="32" t="s">
        <v>53</v>
      </c>
      <c r="K442" s="32" t="s">
        <v>41</v>
      </c>
    </row>
    <row r="443" spans="1:13" hidden="1" x14ac:dyDescent="0.3">
      <c r="A443" s="39">
        <v>46164.645162037035</v>
      </c>
      <c r="B443" s="32">
        <v>44988255390</v>
      </c>
      <c r="C443" s="32" t="s">
        <v>48</v>
      </c>
      <c r="D443" s="32">
        <v>4430265054</v>
      </c>
      <c r="E443" s="32">
        <v>394</v>
      </c>
      <c r="F443" s="32">
        <v>174</v>
      </c>
      <c r="G443" s="32" t="s">
        <v>38</v>
      </c>
      <c r="H443" s="32" t="s">
        <v>3160</v>
      </c>
      <c r="I443" s="32" t="s">
        <v>39</v>
      </c>
      <c r="J443" s="32" t="s">
        <v>40</v>
      </c>
      <c r="K443" s="32" t="s">
        <v>41</v>
      </c>
      <c r="L443" s="32">
        <v>5</v>
      </c>
    </row>
    <row r="444" spans="1:13" hidden="1" x14ac:dyDescent="0.3">
      <c r="A444" s="39">
        <v>46164.64366898148</v>
      </c>
      <c r="B444" s="32">
        <v>44997734943</v>
      </c>
      <c r="C444" s="32" t="s">
        <v>48</v>
      </c>
      <c r="D444" s="32">
        <v>4430265054</v>
      </c>
      <c r="E444" s="32">
        <v>345</v>
      </c>
      <c r="F444" s="32">
        <v>318</v>
      </c>
      <c r="G444" s="32" t="s">
        <v>38</v>
      </c>
      <c r="H444" s="32" t="s">
        <v>3161</v>
      </c>
      <c r="I444" s="32" t="s">
        <v>39</v>
      </c>
      <c r="J444" s="32" t="s">
        <v>40</v>
      </c>
      <c r="K444" s="32" t="s">
        <v>41</v>
      </c>
      <c r="L444" s="32">
        <v>5</v>
      </c>
    </row>
    <row r="445" spans="1:13" hidden="1" x14ac:dyDescent="0.3">
      <c r="A445" s="39">
        <v>46164.641018518516</v>
      </c>
      <c r="B445" s="32">
        <v>11990144272</v>
      </c>
      <c r="C445" s="32" t="s">
        <v>44</v>
      </c>
      <c r="D445" s="32">
        <v>4431268225</v>
      </c>
      <c r="E445" s="32">
        <v>803</v>
      </c>
      <c r="F445" s="32">
        <v>694</v>
      </c>
      <c r="G445" s="32" t="s">
        <v>38</v>
      </c>
      <c r="H445" s="32" t="s">
        <v>3162</v>
      </c>
      <c r="I445" s="32" t="s">
        <v>39</v>
      </c>
      <c r="J445" s="32" t="s">
        <v>40</v>
      </c>
      <c r="K445" s="32" t="s">
        <v>41</v>
      </c>
    </row>
    <row r="446" spans="1:13" hidden="1" x14ac:dyDescent="0.3">
      <c r="A446" s="39">
        <v>46164.638043981482</v>
      </c>
      <c r="B446" s="32">
        <v>44991814587</v>
      </c>
      <c r="C446" s="32" t="s">
        <v>45</v>
      </c>
      <c r="D446" s="32">
        <v>4430265054</v>
      </c>
      <c r="E446" s="32">
        <v>1211</v>
      </c>
      <c r="F446" s="32">
        <v>1038</v>
      </c>
      <c r="G446" s="32" t="s">
        <v>38</v>
      </c>
      <c r="H446" s="32" t="s">
        <v>3163</v>
      </c>
      <c r="I446" s="32" t="s">
        <v>39</v>
      </c>
      <c r="J446" s="32" t="s">
        <v>40</v>
      </c>
      <c r="K446" s="32" t="s">
        <v>41</v>
      </c>
    </row>
    <row r="447" spans="1:13" hidden="1" x14ac:dyDescent="0.3">
      <c r="A447" s="39">
        <v>46164.634930555556</v>
      </c>
      <c r="B447" s="32" t="s">
        <v>43</v>
      </c>
      <c r="C447" s="32">
        <v>4432520627</v>
      </c>
      <c r="E447" s="32">
        <v>1603</v>
      </c>
      <c r="F447" s="32">
        <v>1599</v>
      </c>
      <c r="G447" s="32" t="s">
        <v>38</v>
      </c>
      <c r="H447" s="32" t="s">
        <v>3164</v>
      </c>
      <c r="I447" s="32" t="s">
        <v>46</v>
      </c>
      <c r="J447" s="32" t="s">
        <v>40</v>
      </c>
    </row>
    <row r="448" spans="1:13" hidden="1" x14ac:dyDescent="0.3">
      <c r="A448" s="39">
        <v>46164.631481481483</v>
      </c>
      <c r="B448" s="32">
        <v>4430459032</v>
      </c>
      <c r="C448" s="32" t="s">
        <v>44</v>
      </c>
      <c r="D448" s="32">
        <v>4430265054</v>
      </c>
      <c r="E448" s="32">
        <v>761</v>
      </c>
      <c r="F448" s="32">
        <v>719</v>
      </c>
      <c r="G448" s="32" t="s">
        <v>38</v>
      </c>
      <c r="H448" s="32" t="s">
        <v>3165</v>
      </c>
      <c r="I448" s="32" t="s">
        <v>39</v>
      </c>
      <c r="J448" s="32" t="s">
        <v>40</v>
      </c>
      <c r="K448" s="32" t="s">
        <v>41</v>
      </c>
    </row>
    <row r="449" spans="1:12" hidden="1" x14ac:dyDescent="0.3">
      <c r="A449" s="39">
        <v>46164.631041666667</v>
      </c>
      <c r="B449" s="32" t="s">
        <v>45</v>
      </c>
      <c r="C449" s="32">
        <v>4430141533</v>
      </c>
      <c r="E449" s="32">
        <v>139</v>
      </c>
      <c r="F449" s="32">
        <v>124</v>
      </c>
      <c r="G449" s="32" t="s">
        <v>38</v>
      </c>
      <c r="H449" s="32" t="s">
        <v>3166</v>
      </c>
      <c r="I449" s="32" t="s">
        <v>46</v>
      </c>
      <c r="J449" s="32" t="s">
        <v>40</v>
      </c>
    </row>
    <row r="450" spans="1:12" hidden="1" x14ac:dyDescent="0.3">
      <c r="A450" s="39">
        <v>46164.630567129629</v>
      </c>
      <c r="B450" s="32" t="s">
        <v>45</v>
      </c>
      <c r="C450" s="32">
        <v>4430141533</v>
      </c>
      <c r="E450" s="32">
        <v>25</v>
      </c>
      <c r="F450" s="32">
        <v>24</v>
      </c>
      <c r="G450" s="32" t="s">
        <v>38</v>
      </c>
      <c r="H450" s="32" t="s">
        <v>3167</v>
      </c>
      <c r="I450" s="32" t="s">
        <v>46</v>
      </c>
      <c r="J450" s="32" t="s">
        <v>40</v>
      </c>
    </row>
    <row r="451" spans="1:12" hidden="1" x14ac:dyDescent="0.3">
      <c r="A451" s="39">
        <v>46164.629756944443</v>
      </c>
      <c r="B451" s="32" t="s">
        <v>54</v>
      </c>
      <c r="C451" s="32">
        <v>31997176976</v>
      </c>
      <c r="E451" s="32">
        <v>16</v>
      </c>
      <c r="F451" s="32">
        <v>5</v>
      </c>
      <c r="G451" s="32" t="s">
        <v>38</v>
      </c>
      <c r="H451" s="32" t="s">
        <v>3168</v>
      </c>
      <c r="I451" s="32" t="s">
        <v>46</v>
      </c>
      <c r="J451" s="32" t="s">
        <v>55</v>
      </c>
    </row>
    <row r="452" spans="1:12" hidden="1" x14ac:dyDescent="0.3">
      <c r="A452" s="39">
        <v>46164.627187500002</v>
      </c>
      <c r="B452" s="32">
        <v>11990144272</v>
      </c>
      <c r="C452" s="32" t="s">
        <v>43</v>
      </c>
      <c r="D452" s="32">
        <v>4431268225</v>
      </c>
      <c r="E452" s="32">
        <v>447</v>
      </c>
      <c r="F452" s="32">
        <v>387</v>
      </c>
      <c r="G452" s="32" t="s">
        <v>38</v>
      </c>
      <c r="H452" s="32" t="s">
        <v>3169</v>
      </c>
      <c r="I452" s="32" t="s">
        <v>39</v>
      </c>
      <c r="J452" s="32" t="s">
        <v>40</v>
      </c>
      <c r="K452" s="32" t="s">
        <v>41</v>
      </c>
      <c r="L452" s="32">
        <v>5</v>
      </c>
    </row>
    <row r="453" spans="1:12" hidden="1" x14ac:dyDescent="0.3">
      <c r="A453" s="39">
        <v>46164.619456018518</v>
      </c>
      <c r="B453" s="32" t="s">
        <v>45</v>
      </c>
      <c r="C453" s="32">
        <v>1732146970</v>
      </c>
      <c r="E453" s="32">
        <v>411</v>
      </c>
      <c r="F453" s="32">
        <v>409</v>
      </c>
      <c r="G453" s="32" t="s">
        <v>38</v>
      </c>
      <c r="H453" s="32" t="s">
        <v>3170</v>
      </c>
      <c r="I453" s="32" t="s">
        <v>46</v>
      </c>
      <c r="J453" s="32" t="s">
        <v>40</v>
      </c>
    </row>
    <row r="454" spans="1:12" hidden="1" x14ac:dyDescent="0.3">
      <c r="A454" s="39">
        <v>46164.606168981481</v>
      </c>
      <c r="B454" s="32">
        <v>67992169496</v>
      </c>
      <c r="C454" s="32" t="s">
        <v>45</v>
      </c>
      <c r="D454" s="32">
        <v>4430265054</v>
      </c>
      <c r="E454" s="32">
        <v>722</v>
      </c>
      <c r="F454" s="32">
        <v>691</v>
      </c>
      <c r="G454" s="32" t="s">
        <v>38</v>
      </c>
      <c r="H454" s="32" t="s">
        <v>3171</v>
      </c>
      <c r="I454" s="32" t="s">
        <v>39</v>
      </c>
      <c r="J454" s="32" t="s">
        <v>40</v>
      </c>
      <c r="K454" s="32" t="s">
        <v>41</v>
      </c>
      <c r="L454" s="32">
        <v>5</v>
      </c>
    </row>
    <row r="455" spans="1:12" hidden="1" x14ac:dyDescent="0.3">
      <c r="A455" s="39">
        <v>46164.592881944445</v>
      </c>
      <c r="B455" s="32">
        <v>1732146970</v>
      </c>
      <c r="C455" s="32" t="s">
        <v>45</v>
      </c>
      <c r="D455" s="32">
        <v>4431268225</v>
      </c>
      <c r="E455" s="32">
        <v>797</v>
      </c>
      <c r="F455" s="32">
        <v>731</v>
      </c>
      <c r="G455" s="32" t="s">
        <v>38</v>
      </c>
      <c r="H455" s="32" t="s">
        <v>3172</v>
      </c>
      <c r="I455" s="32" t="s">
        <v>39</v>
      </c>
      <c r="J455" s="32" t="s">
        <v>40</v>
      </c>
      <c r="K455" s="32" t="s">
        <v>41</v>
      </c>
    </row>
    <row r="456" spans="1:12" hidden="1" x14ac:dyDescent="0.3">
      <c r="A456" s="39">
        <v>46164.587939814817</v>
      </c>
      <c r="B456" s="32">
        <v>44998437682</v>
      </c>
      <c r="C456" s="32" t="s">
        <v>43</v>
      </c>
      <c r="D456" s="32">
        <v>4430265054</v>
      </c>
      <c r="E456" s="32">
        <v>660</v>
      </c>
      <c r="F456" s="32">
        <v>596</v>
      </c>
      <c r="G456" s="32" t="s">
        <v>38</v>
      </c>
      <c r="H456" s="32" t="s">
        <v>3173</v>
      </c>
      <c r="I456" s="32" t="s">
        <v>39</v>
      </c>
      <c r="J456" s="32" t="s">
        <v>40</v>
      </c>
      <c r="K456" s="32" t="s">
        <v>41</v>
      </c>
      <c r="L456" s="32">
        <v>5</v>
      </c>
    </row>
    <row r="457" spans="1:12" hidden="1" x14ac:dyDescent="0.3">
      <c r="A457" s="39">
        <v>46164.573194444441</v>
      </c>
      <c r="B457" s="32">
        <v>44997734943</v>
      </c>
      <c r="C457" s="32" t="s">
        <v>44</v>
      </c>
      <c r="D457" s="32">
        <v>4430265054</v>
      </c>
      <c r="E457" s="32">
        <v>395</v>
      </c>
      <c r="F457" s="32">
        <v>299</v>
      </c>
      <c r="G457" s="32" t="s">
        <v>38</v>
      </c>
      <c r="H457" s="32" t="s">
        <v>3174</v>
      </c>
      <c r="I457" s="32" t="s">
        <v>39</v>
      </c>
      <c r="J457" s="32" t="s">
        <v>40</v>
      </c>
      <c r="K457" s="32" t="s">
        <v>41</v>
      </c>
    </row>
    <row r="458" spans="1:12" hidden="1" x14ac:dyDescent="0.3">
      <c r="A458" s="39">
        <v>46164.567418981482</v>
      </c>
      <c r="B458" s="32">
        <v>4430141533</v>
      </c>
      <c r="C458" s="32" t="s">
        <v>45</v>
      </c>
      <c r="D458" s="32">
        <v>4430265054</v>
      </c>
      <c r="E458" s="32">
        <v>1189</v>
      </c>
      <c r="F458" s="32">
        <v>1167</v>
      </c>
      <c r="G458" s="32" t="s">
        <v>38</v>
      </c>
      <c r="H458" s="32" t="s">
        <v>3175</v>
      </c>
      <c r="I458" s="32" t="s">
        <v>39</v>
      </c>
      <c r="J458" s="32" t="s">
        <v>40</v>
      </c>
      <c r="K458" s="32" t="s">
        <v>41</v>
      </c>
    </row>
    <row r="459" spans="1:12" hidden="1" x14ac:dyDescent="0.3">
      <c r="A459" s="39">
        <v>46164.545347222222</v>
      </c>
      <c r="B459" s="32">
        <v>4430152533</v>
      </c>
      <c r="C459" s="32">
        <v>4430265054</v>
      </c>
      <c r="D459" s="32">
        <v>4430265054</v>
      </c>
      <c r="E459" s="32">
        <v>15</v>
      </c>
      <c r="F459" s="32">
        <v>14</v>
      </c>
      <c r="G459" s="32" t="s">
        <v>52</v>
      </c>
      <c r="H459" s="32" t="s">
        <v>3176</v>
      </c>
      <c r="I459" s="32" t="s">
        <v>39</v>
      </c>
      <c r="J459" s="32" t="s">
        <v>53</v>
      </c>
    </row>
    <row r="460" spans="1:12" hidden="1" x14ac:dyDescent="0.3">
      <c r="A460" s="39">
        <v>46164.494560185187</v>
      </c>
      <c r="B460" s="32" t="s">
        <v>54</v>
      </c>
      <c r="C460" s="32">
        <v>45999471675</v>
      </c>
      <c r="E460" s="32">
        <v>14</v>
      </c>
      <c r="F460" s="32">
        <v>3</v>
      </c>
      <c r="G460" s="32" t="s">
        <v>38</v>
      </c>
      <c r="H460" s="32" t="s">
        <v>3177</v>
      </c>
      <c r="I460" s="32" t="s">
        <v>46</v>
      </c>
      <c r="J460" s="32" t="s">
        <v>55</v>
      </c>
    </row>
    <row r="461" spans="1:12" hidden="1" x14ac:dyDescent="0.3">
      <c r="A461" s="39">
        <v>46164.487638888888</v>
      </c>
      <c r="B461" s="32">
        <v>4121414966</v>
      </c>
      <c r="C461" s="32" t="s">
        <v>43</v>
      </c>
      <c r="D461" s="32">
        <v>4531273161</v>
      </c>
      <c r="E461" s="32">
        <v>46</v>
      </c>
      <c r="F461" s="32">
        <v>9</v>
      </c>
      <c r="G461" s="32" t="s">
        <v>38</v>
      </c>
      <c r="H461" s="32" t="s">
        <v>3178</v>
      </c>
      <c r="I461" s="32" t="s">
        <v>39</v>
      </c>
      <c r="J461" s="32" t="s">
        <v>40</v>
      </c>
      <c r="K461" s="32" t="s">
        <v>41</v>
      </c>
    </row>
    <row r="462" spans="1:12" hidden="1" x14ac:dyDescent="0.3">
      <c r="A462" s="39">
        <v>46164.486944444441</v>
      </c>
      <c r="B462" s="32">
        <v>44998802935</v>
      </c>
      <c r="C462" s="32" t="s">
        <v>44</v>
      </c>
      <c r="D462" s="32">
        <v>4431268225</v>
      </c>
      <c r="E462" s="32">
        <v>195</v>
      </c>
      <c r="F462" s="32">
        <v>130</v>
      </c>
      <c r="G462" s="32" t="s">
        <v>38</v>
      </c>
      <c r="H462" s="32" t="s">
        <v>3179</v>
      </c>
      <c r="I462" s="32" t="s">
        <v>39</v>
      </c>
      <c r="J462" s="32" t="s">
        <v>40</v>
      </c>
      <c r="K462" s="32" t="s">
        <v>41</v>
      </c>
      <c r="L462" s="32">
        <v>5</v>
      </c>
    </row>
    <row r="463" spans="1:12" hidden="1" x14ac:dyDescent="0.3">
      <c r="A463" s="39">
        <v>46164.470254629632</v>
      </c>
      <c r="B463" s="32">
        <v>4121414966</v>
      </c>
      <c r="C463" s="32">
        <v>4531273162</v>
      </c>
      <c r="D463" s="32">
        <v>4531273162</v>
      </c>
      <c r="E463" s="32">
        <v>46</v>
      </c>
      <c r="F463" s="32">
        <v>45</v>
      </c>
      <c r="G463" s="32" t="s">
        <v>52</v>
      </c>
      <c r="H463" s="32" t="s">
        <v>3180</v>
      </c>
      <c r="I463" s="32" t="s">
        <v>39</v>
      </c>
      <c r="J463" s="32" t="s">
        <v>53</v>
      </c>
      <c r="K463" s="32" t="s">
        <v>41</v>
      </c>
    </row>
    <row r="464" spans="1:12" hidden="1" x14ac:dyDescent="0.3">
      <c r="A464" s="39">
        <v>46164.468634259261</v>
      </c>
      <c r="B464" s="32">
        <v>4121414966</v>
      </c>
      <c r="C464" s="32">
        <v>4531273172</v>
      </c>
      <c r="D464" s="32">
        <v>4531273172</v>
      </c>
      <c r="E464" s="32">
        <v>46</v>
      </c>
      <c r="F464" s="32">
        <v>46</v>
      </c>
      <c r="G464" s="32" t="s">
        <v>52</v>
      </c>
      <c r="H464" s="32" t="s">
        <v>3181</v>
      </c>
      <c r="I464" s="32" t="s">
        <v>39</v>
      </c>
      <c r="J464" s="32" t="s">
        <v>53</v>
      </c>
      <c r="K464" s="32" t="s">
        <v>41</v>
      </c>
    </row>
    <row r="465" spans="1:12" hidden="1" x14ac:dyDescent="0.3">
      <c r="A465" s="39">
        <v>46164.462766203702</v>
      </c>
      <c r="B465" s="32">
        <v>6433227295</v>
      </c>
      <c r="C465" s="32" t="s">
        <v>45</v>
      </c>
      <c r="D465" s="32">
        <v>4430265054</v>
      </c>
      <c r="E465" s="32">
        <v>1073</v>
      </c>
      <c r="F465" s="32">
        <v>1050</v>
      </c>
      <c r="G465" s="32" t="s">
        <v>38</v>
      </c>
      <c r="H465" s="32" t="s">
        <v>3182</v>
      </c>
      <c r="I465" s="32" t="s">
        <v>39</v>
      </c>
      <c r="J465" s="32" t="s">
        <v>40</v>
      </c>
      <c r="K465" s="32" t="s">
        <v>41</v>
      </c>
      <c r="L465" s="32">
        <v>5</v>
      </c>
    </row>
    <row r="466" spans="1:12" hidden="1" x14ac:dyDescent="0.3">
      <c r="A466" s="39">
        <v>46164.457638888889</v>
      </c>
      <c r="B466" s="32">
        <v>4334234629</v>
      </c>
      <c r="C466" s="32" t="s">
        <v>44</v>
      </c>
      <c r="D466" s="32">
        <v>4430265054</v>
      </c>
      <c r="E466" s="32">
        <v>608</v>
      </c>
      <c r="F466" s="32">
        <v>594</v>
      </c>
      <c r="G466" s="32" t="s">
        <v>38</v>
      </c>
      <c r="H466" s="32" t="s">
        <v>3183</v>
      </c>
      <c r="I466" s="32" t="s">
        <v>39</v>
      </c>
      <c r="J466" s="32" t="s">
        <v>40</v>
      </c>
      <c r="K466" s="32" t="s">
        <v>41</v>
      </c>
    </row>
    <row r="467" spans="1:12" hidden="1" x14ac:dyDescent="0.3">
      <c r="A467" s="39">
        <v>46164.45621527778</v>
      </c>
      <c r="B467" s="32">
        <v>44998656522</v>
      </c>
      <c r="C467" s="32">
        <v>4430265054</v>
      </c>
      <c r="D467" s="32">
        <v>4430265054</v>
      </c>
      <c r="E467" s="32">
        <v>118</v>
      </c>
      <c r="F467" s="32">
        <v>117</v>
      </c>
      <c r="G467" s="32" t="s">
        <v>52</v>
      </c>
      <c r="H467" s="32" t="s">
        <v>3184</v>
      </c>
      <c r="I467" s="32" t="s">
        <v>39</v>
      </c>
      <c r="J467" s="32" t="s">
        <v>53</v>
      </c>
      <c r="K467" s="32" t="s">
        <v>41</v>
      </c>
    </row>
    <row r="468" spans="1:12" hidden="1" x14ac:dyDescent="0.3">
      <c r="A468" s="39">
        <v>46164.451018518521</v>
      </c>
      <c r="B468" s="32" t="s">
        <v>54</v>
      </c>
      <c r="C468" s="32">
        <v>8321825803</v>
      </c>
      <c r="E468" s="32">
        <v>25</v>
      </c>
      <c r="F468" s="32">
        <v>0</v>
      </c>
      <c r="G468" s="32" t="s">
        <v>47</v>
      </c>
      <c r="H468" s="32" t="s">
        <v>3185</v>
      </c>
      <c r="I468" s="32" t="s">
        <v>46</v>
      </c>
      <c r="J468" s="32" t="s">
        <v>55</v>
      </c>
    </row>
    <row r="469" spans="1:12" hidden="1" x14ac:dyDescent="0.3">
      <c r="A469" s="39">
        <v>46164.44736111111</v>
      </c>
      <c r="B469" s="32" t="s">
        <v>48</v>
      </c>
      <c r="C469" s="32">
        <v>44999540372</v>
      </c>
      <c r="E469" s="32">
        <v>295</v>
      </c>
      <c r="F469" s="32">
        <v>287</v>
      </c>
      <c r="G469" s="32" t="s">
        <v>38</v>
      </c>
      <c r="H469" s="32" t="s">
        <v>3186</v>
      </c>
      <c r="I469" s="32" t="s">
        <v>46</v>
      </c>
      <c r="J469" s="32" t="s">
        <v>40</v>
      </c>
    </row>
    <row r="470" spans="1:12" hidden="1" x14ac:dyDescent="0.3">
      <c r="A470" s="39">
        <v>46164.436736111114</v>
      </c>
      <c r="B470" s="32">
        <v>4432321232</v>
      </c>
      <c r="C470" s="32" t="s">
        <v>48</v>
      </c>
      <c r="D470" s="32">
        <v>4430265054</v>
      </c>
      <c r="E470" s="32">
        <v>312</v>
      </c>
      <c r="F470" s="32">
        <v>264</v>
      </c>
      <c r="G470" s="32" t="s">
        <v>38</v>
      </c>
      <c r="H470" s="32" t="s">
        <v>3187</v>
      </c>
      <c r="I470" s="32" t="s">
        <v>39</v>
      </c>
      <c r="J470" s="32" t="s">
        <v>40</v>
      </c>
      <c r="K470" s="32" t="s">
        <v>41</v>
      </c>
    </row>
    <row r="471" spans="1:12" hidden="1" x14ac:dyDescent="0.3">
      <c r="A471" s="39">
        <v>46164.430798611109</v>
      </c>
      <c r="B471" s="32">
        <v>41997840159</v>
      </c>
      <c r="C471" s="32" t="s">
        <v>43</v>
      </c>
      <c r="D471" s="32">
        <v>4430265054</v>
      </c>
      <c r="E471" s="32">
        <v>780</v>
      </c>
      <c r="F471" s="32">
        <v>718</v>
      </c>
      <c r="G471" s="32" t="s">
        <v>38</v>
      </c>
      <c r="H471" s="32" t="s">
        <v>3188</v>
      </c>
      <c r="I471" s="32" t="s">
        <v>39</v>
      </c>
      <c r="J471" s="32" t="s">
        <v>40</v>
      </c>
      <c r="K471" s="32" t="s">
        <v>41</v>
      </c>
      <c r="L471" s="32">
        <v>5</v>
      </c>
    </row>
    <row r="472" spans="1:12" hidden="1" x14ac:dyDescent="0.3">
      <c r="A472" s="39">
        <v>46164.429340277777</v>
      </c>
      <c r="B472" s="32">
        <v>4121413772</v>
      </c>
      <c r="C472" s="32">
        <v>4531273163</v>
      </c>
      <c r="D472" s="32">
        <v>4531273163</v>
      </c>
      <c r="E472" s="32">
        <v>46</v>
      </c>
      <c r="F472" s="32">
        <v>46</v>
      </c>
      <c r="G472" s="32" t="s">
        <v>52</v>
      </c>
      <c r="H472" s="32" t="s">
        <v>3189</v>
      </c>
      <c r="I472" s="32" t="s">
        <v>39</v>
      </c>
      <c r="J472" s="32" t="s">
        <v>53</v>
      </c>
      <c r="K472" s="32" t="s">
        <v>41</v>
      </c>
    </row>
    <row r="473" spans="1:12" hidden="1" x14ac:dyDescent="0.3">
      <c r="A473" s="39">
        <v>46164.417638888888</v>
      </c>
      <c r="B473" s="32">
        <v>44988325431</v>
      </c>
      <c r="C473" s="32">
        <v>4430265054</v>
      </c>
      <c r="D473" s="32">
        <v>4430265054</v>
      </c>
      <c r="E473" s="32">
        <v>8</v>
      </c>
      <c r="F473" s="32">
        <v>8</v>
      </c>
      <c r="G473" s="32" t="s">
        <v>52</v>
      </c>
      <c r="H473" s="32" t="s">
        <v>3190</v>
      </c>
      <c r="I473" s="32" t="s">
        <v>39</v>
      </c>
      <c r="J473" s="32" t="s">
        <v>53</v>
      </c>
    </row>
    <row r="474" spans="1:12" hidden="1" x14ac:dyDescent="0.3">
      <c r="A474" s="39">
        <v>46164.416643518518</v>
      </c>
      <c r="B474" s="32">
        <v>4330332823</v>
      </c>
      <c r="C474" s="32" t="s">
        <v>48</v>
      </c>
      <c r="D474" s="32">
        <v>4430265054</v>
      </c>
      <c r="E474" s="32">
        <v>728</v>
      </c>
      <c r="F474" s="32">
        <v>654</v>
      </c>
      <c r="G474" s="32" t="s">
        <v>38</v>
      </c>
      <c r="H474" s="32" t="s">
        <v>3191</v>
      </c>
      <c r="I474" s="32" t="s">
        <v>39</v>
      </c>
      <c r="J474" s="32" t="s">
        <v>40</v>
      </c>
      <c r="K474" s="32" t="s">
        <v>41</v>
      </c>
    </row>
    <row r="475" spans="1:12" hidden="1" x14ac:dyDescent="0.3">
      <c r="A475" s="39">
        <v>46164.416215277779</v>
      </c>
      <c r="B475" s="32">
        <v>65999872295</v>
      </c>
      <c r="C475" s="32" t="s">
        <v>43</v>
      </c>
      <c r="D475" s="32">
        <v>4430265054</v>
      </c>
      <c r="E475" s="32">
        <v>540</v>
      </c>
      <c r="F475" s="32">
        <v>518</v>
      </c>
      <c r="G475" s="32" t="s">
        <v>38</v>
      </c>
      <c r="H475" s="32" t="s">
        <v>3192</v>
      </c>
      <c r="I475" s="32" t="s">
        <v>39</v>
      </c>
      <c r="J475" s="32" t="s">
        <v>40</v>
      </c>
      <c r="K475" s="32" t="s">
        <v>41</v>
      </c>
      <c r="L475" s="32">
        <v>5</v>
      </c>
    </row>
    <row r="476" spans="1:12" hidden="1" x14ac:dyDescent="0.3">
      <c r="A476" s="39">
        <v>46164.414560185185</v>
      </c>
      <c r="B476" s="32" t="s">
        <v>48</v>
      </c>
      <c r="C476" s="32">
        <v>44991395073</v>
      </c>
      <c r="E476" s="32">
        <v>230</v>
      </c>
      <c r="F476" s="32">
        <v>213</v>
      </c>
      <c r="G476" s="32" t="s">
        <v>38</v>
      </c>
      <c r="H476" s="32" t="s">
        <v>3193</v>
      </c>
      <c r="I476" s="32" t="s">
        <v>46</v>
      </c>
      <c r="J476" s="32" t="s">
        <v>40</v>
      </c>
    </row>
    <row r="477" spans="1:12" hidden="1" x14ac:dyDescent="0.3">
      <c r="A477" s="39">
        <v>46164.414490740739</v>
      </c>
      <c r="B477" s="32" t="s">
        <v>48</v>
      </c>
      <c r="C477" s="32">
        <v>44991395073</v>
      </c>
      <c r="E477" s="32">
        <v>1</v>
      </c>
      <c r="F477" s="32">
        <v>0</v>
      </c>
      <c r="G477" s="32" t="s">
        <v>47</v>
      </c>
      <c r="H477" s="32" t="s">
        <v>3194</v>
      </c>
      <c r="I477" s="32" t="s">
        <v>46</v>
      </c>
      <c r="J477" s="32" t="s">
        <v>40</v>
      </c>
    </row>
    <row r="478" spans="1:12" hidden="1" x14ac:dyDescent="0.3">
      <c r="A478" s="39">
        <v>46164.414131944446</v>
      </c>
      <c r="B478" s="32" t="s">
        <v>48</v>
      </c>
      <c r="C478" s="32">
        <v>4430459032</v>
      </c>
      <c r="E478" s="32">
        <v>25</v>
      </c>
      <c r="F478" s="32">
        <v>25</v>
      </c>
      <c r="G478" s="32" t="s">
        <v>38</v>
      </c>
      <c r="H478" s="32" t="s">
        <v>3195</v>
      </c>
      <c r="I478" s="32" t="s">
        <v>46</v>
      </c>
      <c r="J478" s="32" t="s">
        <v>40</v>
      </c>
    </row>
    <row r="479" spans="1:12" hidden="1" x14ac:dyDescent="0.3">
      <c r="A479" s="39">
        <v>46164.414039351854</v>
      </c>
      <c r="B479" s="32" t="s">
        <v>48</v>
      </c>
      <c r="C479" s="32">
        <v>4430459032</v>
      </c>
      <c r="E479" s="32">
        <v>5</v>
      </c>
      <c r="F479" s="32">
        <v>0</v>
      </c>
      <c r="G479" s="32" t="s">
        <v>47</v>
      </c>
      <c r="H479" s="32" t="s">
        <v>3196</v>
      </c>
      <c r="I479" s="32" t="s">
        <v>46</v>
      </c>
      <c r="J479" s="32" t="s">
        <v>40</v>
      </c>
    </row>
    <row r="480" spans="1:12" hidden="1" x14ac:dyDescent="0.3">
      <c r="A480" s="39">
        <v>46164.413923611108</v>
      </c>
      <c r="B480" s="32">
        <v>4130760170</v>
      </c>
      <c r="C480" s="32" t="s">
        <v>45</v>
      </c>
      <c r="D480" s="32">
        <v>4430265054</v>
      </c>
      <c r="E480" s="32">
        <v>904</v>
      </c>
      <c r="F480" s="32">
        <v>739</v>
      </c>
      <c r="G480" s="32" t="s">
        <v>38</v>
      </c>
      <c r="H480" s="32" t="s">
        <v>3197</v>
      </c>
      <c r="I480" s="32" t="s">
        <v>39</v>
      </c>
      <c r="J480" s="32" t="s">
        <v>40</v>
      </c>
      <c r="K480" s="32" t="s">
        <v>41</v>
      </c>
      <c r="L480" s="32">
        <v>5</v>
      </c>
    </row>
    <row r="481" spans="1:12" hidden="1" x14ac:dyDescent="0.3">
      <c r="A481" s="39">
        <v>46164.411249999997</v>
      </c>
      <c r="B481" s="32">
        <v>4330333542</v>
      </c>
      <c r="C481" s="32" t="s">
        <v>43</v>
      </c>
      <c r="D481" s="32">
        <v>4430265054</v>
      </c>
      <c r="E481" s="32">
        <v>230</v>
      </c>
      <c r="F481" s="32">
        <v>61</v>
      </c>
      <c r="G481" s="32" t="s">
        <v>38</v>
      </c>
      <c r="H481" s="32" t="s">
        <v>3198</v>
      </c>
      <c r="I481" s="32" t="s">
        <v>39</v>
      </c>
      <c r="J481" s="32" t="s">
        <v>40</v>
      </c>
      <c r="K481" s="32" t="s">
        <v>41</v>
      </c>
    </row>
    <row r="482" spans="1:12" hidden="1" x14ac:dyDescent="0.3">
      <c r="A482" s="39">
        <v>46164.409988425927</v>
      </c>
      <c r="B482" s="32" t="s">
        <v>44</v>
      </c>
      <c r="C482" s="32">
        <v>4430459032</v>
      </c>
      <c r="E482" s="32">
        <v>1</v>
      </c>
      <c r="F482" s="32">
        <v>0</v>
      </c>
      <c r="G482" s="32" t="s">
        <v>47</v>
      </c>
      <c r="H482" s="32" t="s">
        <v>3199</v>
      </c>
      <c r="I482" s="32" t="s">
        <v>46</v>
      </c>
      <c r="J482" s="32" t="s">
        <v>40</v>
      </c>
    </row>
    <row r="483" spans="1:12" hidden="1" x14ac:dyDescent="0.3">
      <c r="A483" s="39">
        <v>46164.409930555557</v>
      </c>
      <c r="B483" s="32" t="s">
        <v>44</v>
      </c>
      <c r="C483" s="32">
        <v>4430459032</v>
      </c>
      <c r="E483" s="32">
        <v>3</v>
      </c>
      <c r="F483" s="32">
        <v>0</v>
      </c>
      <c r="G483" s="32" t="s">
        <v>47</v>
      </c>
      <c r="H483" s="32" t="s">
        <v>3200</v>
      </c>
      <c r="I483" s="32" t="s">
        <v>46</v>
      </c>
      <c r="J483" s="32" t="s">
        <v>40</v>
      </c>
    </row>
    <row r="484" spans="1:12" hidden="1" x14ac:dyDescent="0.3">
      <c r="A484" s="39">
        <v>46164.409780092596</v>
      </c>
      <c r="B484" s="32">
        <v>4430289386</v>
      </c>
      <c r="C484" s="32" t="s">
        <v>45</v>
      </c>
      <c r="D484" s="32">
        <v>4430265054</v>
      </c>
      <c r="E484" s="32">
        <v>432</v>
      </c>
      <c r="F484" s="32">
        <v>180</v>
      </c>
      <c r="G484" s="32" t="s">
        <v>38</v>
      </c>
      <c r="H484" s="32" t="s">
        <v>3201</v>
      </c>
      <c r="I484" s="32" t="s">
        <v>39</v>
      </c>
      <c r="J484" s="32" t="s">
        <v>40</v>
      </c>
      <c r="K484" s="32" t="s">
        <v>41</v>
      </c>
      <c r="L484" s="32">
        <v>5</v>
      </c>
    </row>
    <row r="485" spans="1:12" hidden="1" x14ac:dyDescent="0.3">
      <c r="A485" s="39">
        <v>46164.409733796296</v>
      </c>
      <c r="B485" s="32" t="s">
        <v>44</v>
      </c>
      <c r="C485" s="32">
        <v>4430459032</v>
      </c>
      <c r="E485" s="32">
        <v>2</v>
      </c>
      <c r="F485" s="32">
        <v>0</v>
      </c>
      <c r="G485" s="32" t="s">
        <v>47</v>
      </c>
      <c r="H485" s="32" t="s">
        <v>3202</v>
      </c>
      <c r="I485" s="32" t="s">
        <v>46</v>
      </c>
      <c r="J485" s="32" t="s">
        <v>40</v>
      </c>
    </row>
    <row r="486" spans="1:12" hidden="1" x14ac:dyDescent="0.3">
      <c r="A486" s="39">
        <v>46164.409456018519</v>
      </c>
      <c r="B486" s="32">
        <v>44997456641</v>
      </c>
      <c r="C486" s="32" t="s">
        <v>44</v>
      </c>
      <c r="D486" s="32">
        <v>4430265054</v>
      </c>
      <c r="E486" s="32">
        <v>1156</v>
      </c>
      <c r="F486" s="32">
        <v>1038</v>
      </c>
      <c r="G486" s="32" t="s">
        <v>38</v>
      </c>
      <c r="H486" s="32" t="s">
        <v>3203</v>
      </c>
      <c r="I486" s="32" t="s">
        <v>39</v>
      </c>
      <c r="J486" s="32" t="s">
        <v>40</v>
      </c>
      <c r="K486" s="32" t="s">
        <v>41</v>
      </c>
    </row>
    <row r="487" spans="1:12" hidden="1" x14ac:dyDescent="0.3">
      <c r="A487" s="39">
        <v>46164.409039351849</v>
      </c>
      <c r="B487" s="32" t="s">
        <v>44</v>
      </c>
      <c r="C487" s="32">
        <v>4430459032</v>
      </c>
      <c r="E487" s="32">
        <v>4</v>
      </c>
      <c r="F487" s="32">
        <v>0</v>
      </c>
      <c r="G487" s="32" t="s">
        <v>47</v>
      </c>
      <c r="H487" s="32" t="s">
        <v>3204</v>
      </c>
      <c r="I487" s="32" t="s">
        <v>46</v>
      </c>
      <c r="J487" s="32" t="s">
        <v>40</v>
      </c>
    </row>
    <row r="488" spans="1:12" hidden="1" x14ac:dyDescent="0.3">
      <c r="A488" s="39">
        <v>46164.409004629626</v>
      </c>
      <c r="B488" s="32" t="s">
        <v>44</v>
      </c>
      <c r="C488" s="32">
        <v>4430459032</v>
      </c>
      <c r="E488" s="32">
        <v>1</v>
      </c>
      <c r="F488" s="32">
        <v>0</v>
      </c>
      <c r="G488" s="32" t="s">
        <v>47</v>
      </c>
      <c r="H488" s="32" t="s">
        <v>3205</v>
      </c>
      <c r="I488" s="32" t="s">
        <v>46</v>
      </c>
      <c r="J488" s="32" t="s">
        <v>40</v>
      </c>
    </row>
    <row r="489" spans="1:12" hidden="1" x14ac:dyDescent="0.3">
      <c r="A489" s="39">
        <v>46164.408935185187</v>
      </c>
      <c r="B489" s="32" t="s">
        <v>44</v>
      </c>
      <c r="C489" s="32">
        <v>4430459032</v>
      </c>
      <c r="E489" s="32">
        <v>25</v>
      </c>
      <c r="F489" s="32">
        <v>25</v>
      </c>
      <c r="G489" s="32" t="s">
        <v>38</v>
      </c>
      <c r="H489" s="32" t="s">
        <v>3206</v>
      </c>
      <c r="I489" s="32" t="s">
        <v>46</v>
      </c>
      <c r="J489" s="32" t="s">
        <v>40</v>
      </c>
    </row>
    <row r="490" spans="1:12" hidden="1" x14ac:dyDescent="0.3">
      <c r="A490" s="39">
        <v>46164.408726851849</v>
      </c>
      <c r="B490" s="32" t="s">
        <v>44</v>
      </c>
      <c r="C490" s="32">
        <v>4430459032</v>
      </c>
      <c r="E490" s="32">
        <v>8</v>
      </c>
      <c r="F490" s="32">
        <v>0</v>
      </c>
      <c r="G490" s="32" t="s">
        <v>47</v>
      </c>
      <c r="H490" s="32" t="s">
        <v>3207</v>
      </c>
      <c r="I490" s="32" t="s">
        <v>46</v>
      </c>
      <c r="J490" s="32" t="s">
        <v>40</v>
      </c>
    </row>
    <row r="491" spans="1:12" hidden="1" x14ac:dyDescent="0.3">
      <c r="A491" s="39">
        <v>46164.408692129633</v>
      </c>
      <c r="B491" s="32" t="s">
        <v>44</v>
      </c>
      <c r="C491" s="32">
        <v>4430459032</v>
      </c>
      <c r="E491" s="32">
        <v>1</v>
      </c>
      <c r="F491" s="32">
        <v>0</v>
      </c>
      <c r="G491" s="32" t="s">
        <v>47</v>
      </c>
      <c r="H491" s="32" t="s">
        <v>3208</v>
      </c>
      <c r="I491" s="32" t="s">
        <v>46</v>
      </c>
      <c r="J491" s="32" t="s">
        <v>40</v>
      </c>
    </row>
    <row r="492" spans="1:12" hidden="1" x14ac:dyDescent="0.3">
      <c r="A492" s="39">
        <v>46164.408645833333</v>
      </c>
      <c r="B492" s="32" t="s">
        <v>44</v>
      </c>
      <c r="C492" s="32">
        <v>4430459032</v>
      </c>
      <c r="E492" s="32">
        <v>2</v>
      </c>
      <c r="F492" s="32">
        <v>0</v>
      </c>
      <c r="G492" s="32" t="s">
        <v>47</v>
      </c>
      <c r="H492" s="32" t="s">
        <v>3209</v>
      </c>
      <c r="I492" s="32" t="s">
        <v>46</v>
      </c>
      <c r="J492" s="32" t="s">
        <v>40</v>
      </c>
    </row>
    <row r="493" spans="1:12" hidden="1" x14ac:dyDescent="0.3">
      <c r="A493" s="39">
        <v>46164.408483796295</v>
      </c>
      <c r="B493" s="32" t="s">
        <v>44</v>
      </c>
      <c r="C493" s="32">
        <v>4430459032</v>
      </c>
      <c r="E493" s="32">
        <v>25</v>
      </c>
      <c r="F493" s="32">
        <v>25</v>
      </c>
      <c r="G493" s="32" t="s">
        <v>38</v>
      </c>
      <c r="H493" s="32" t="s">
        <v>3210</v>
      </c>
      <c r="I493" s="32" t="s">
        <v>46</v>
      </c>
      <c r="J493" s="32" t="s">
        <v>40</v>
      </c>
    </row>
    <row r="494" spans="1:12" hidden="1" x14ac:dyDescent="0.3">
      <c r="A494" s="39">
        <v>46164.406724537039</v>
      </c>
      <c r="B494" s="32">
        <v>43984040334</v>
      </c>
      <c r="C494" s="32" t="s">
        <v>45</v>
      </c>
      <c r="D494" s="32">
        <v>4430265054</v>
      </c>
      <c r="E494" s="32">
        <v>505</v>
      </c>
      <c r="F494" s="32">
        <v>455</v>
      </c>
      <c r="G494" s="32" t="s">
        <v>38</v>
      </c>
      <c r="H494" s="32" t="s">
        <v>3211</v>
      </c>
      <c r="I494" s="32" t="s">
        <v>39</v>
      </c>
      <c r="J494" s="32" t="s">
        <v>40</v>
      </c>
      <c r="K494" s="32" t="s">
        <v>41</v>
      </c>
    </row>
    <row r="495" spans="1:12" hidden="1" x14ac:dyDescent="0.3">
      <c r="A495" s="39">
        <v>46164.406331018516</v>
      </c>
      <c r="B495" s="32">
        <v>4330332823</v>
      </c>
      <c r="C495" s="32" t="s">
        <v>43</v>
      </c>
      <c r="D495" s="32">
        <v>4430265054</v>
      </c>
      <c r="E495" s="32">
        <v>563</v>
      </c>
      <c r="F495" s="32">
        <v>504</v>
      </c>
      <c r="G495" s="32" t="s">
        <v>38</v>
      </c>
      <c r="H495" s="32" t="s">
        <v>3212</v>
      </c>
      <c r="I495" s="32" t="s">
        <v>39</v>
      </c>
      <c r="J495" s="32" t="s">
        <v>40</v>
      </c>
      <c r="K495" s="32" t="s">
        <v>41</v>
      </c>
    </row>
    <row r="496" spans="1:12" hidden="1" x14ac:dyDescent="0.3">
      <c r="A496" s="39">
        <v>46164.403113425928</v>
      </c>
      <c r="B496" s="32" t="s">
        <v>48</v>
      </c>
      <c r="C496" s="32">
        <v>4432321428</v>
      </c>
      <c r="E496" s="32">
        <v>621</v>
      </c>
      <c r="F496" s="32">
        <v>613</v>
      </c>
      <c r="G496" s="32" t="s">
        <v>38</v>
      </c>
      <c r="H496" s="32" t="s">
        <v>3213</v>
      </c>
      <c r="I496" s="32" t="s">
        <v>46</v>
      </c>
      <c r="J496" s="32" t="s">
        <v>40</v>
      </c>
    </row>
    <row r="497" spans="1:11" hidden="1" x14ac:dyDescent="0.3">
      <c r="A497" s="39">
        <v>46164.401932870373</v>
      </c>
      <c r="B497" s="32">
        <v>4434221675</v>
      </c>
      <c r="C497" s="32" t="s">
        <v>44</v>
      </c>
      <c r="D497" s="32">
        <v>4430265054</v>
      </c>
      <c r="E497" s="32">
        <v>562</v>
      </c>
      <c r="F497" s="32">
        <v>455</v>
      </c>
      <c r="G497" s="32" t="s">
        <v>38</v>
      </c>
      <c r="H497" s="32" t="s">
        <v>3214</v>
      </c>
      <c r="I497" s="32" t="s">
        <v>39</v>
      </c>
      <c r="J497" s="32" t="s">
        <v>40</v>
      </c>
      <c r="K497" s="32" t="s">
        <v>41</v>
      </c>
    </row>
    <row r="498" spans="1:11" hidden="1" x14ac:dyDescent="0.3">
      <c r="A498" s="39">
        <v>46164.39943287037</v>
      </c>
      <c r="B498" s="32">
        <v>4432275634</v>
      </c>
      <c r="C498" s="32" t="s">
        <v>48</v>
      </c>
      <c r="D498" s="32">
        <v>4430265054</v>
      </c>
      <c r="E498" s="32">
        <v>239</v>
      </c>
      <c r="F498" s="32">
        <v>159</v>
      </c>
      <c r="G498" s="32" t="s">
        <v>38</v>
      </c>
      <c r="H498" s="32" t="s">
        <v>3215</v>
      </c>
      <c r="I498" s="32" t="s">
        <v>39</v>
      </c>
      <c r="J498" s="32" t="s">
        <v>40</v>
      </c>
      <c r="K498" s="32" t="s">
        <v>41</v>
      </c>
    </row>
    <row r="499" spans="1:11" hidden="1" x14ac:dyDescent="0.3">
      <c r="A499" s="39">
        <v>46164.399212962962</v>
      </c>
      <c r="B499" s="32">
        <v>4430288909</v>
      </c>
      <c r="C499" s="32">
        <v>4430265054</v>
      </c>
      <c r="D499" s="32">
        <v>4430265054</v>
      </c>
      <c r="E499" s="32">
        <v>20</v>
      </c>
      <c r="F499" s="32">
        <v>19</v>
      </c>
      <c r="G499" s="32" t="s">
        <v>52</v>
      </c>
      <c r="H499" s="32" t="s">
        <v>3216</v>
      </c>
      <c r="I499" s="32" t="s">
        <v>39</v>
      </c>
      <c r="J499" s="32" t="s">
        <v>53</v>
      </c>
    </row>
    <row r="500" spans="1:11" hidden="1" x14ac:dyDescent="0.3">
      <c r="A500" s="39">
        <v>46164.399074074077</v>
      </c>
      <c r="B500" s="32">
        <v>44999827582</v>
      </c>
      <c r="C500" s="32" t="s">
        <v>43</v>
      </c>
      <c r="D500" s="32">
        <v>4430265054</v>
      </c>
      <c r="E500" s="32">
        <v>247</v>
      </c>
      <c r="F500" s="32">
        <v>179</v>
      </c>
      <c r="G500" s="32" t="s">
        <v>38</v>
      </c>
      <c r="H500" s="32" t="s">
        <v>3217</v>
      </c>
      <c r="I500" s="32" t="s">
        <v>39</v>
      </c>
      <c r="J500" s="32" t="s">
        <v>40</v>
      </c>
      <c r="K500" s="32" t="s">
        <v>41</v>
      </c>
    </row>
    <row r="501" spans="1:11" hidden="1" x14ac:dyDescent="0.3">
      <c r="A501" s="39">
        <v>46164.395416666666</v>
      </c>
      <c r="B501" s="32">
        <v>4430459032</v>
      </c>
      <c r="C501" s="32" t="s">
        <v>44</v>
      </c>
      <c r="D501" s="32">
        <v>4430265054</v>
      </c>
      <c r="E501" s="32">
        <v>606</v>
      </c>
      <c r="F501" s="32">
        <v>524</v>
      </c>
      <c r="G501" s="32" t="s">
        <v>38</v>
      </c>
      <c r="H501" s="32" t="s">
        <v>3218</v>
      </c>
      <c r="I501" s="32" t="s">
        <v>39</v>
      </c>
      <c r="J501" s="32" t="s">
        <v>40</v>
      </c>
      <c r="K501" s="32" t="s">
        <v>41</v>
      </c>
    </row>
    <row r="502" spans="1:11" hidden="1" x14ac:dyDescent="0.3">
      <c r="A502" s="39">
        <v>46164.388483796298</v>
      </c>
      <c r="B502" s="32" t="s">
        <v>48</v>
      </c>
      <c r="C502" s="32">
        <v>4432321232</v>
      </c>
      <c r="E502" s="32">
        <v>151</v>
      </c>
      <c r="F502" s="32">
        <v>143</v>
      </c>
      <c r="G502" s="32" t="s">
        <v>38</v>
      </c>
      <c r="H502" s="32" t="s">
        <v>3219</v>
      </c>
      <c r="I502" s="32" t="s">
        <v>46</v>
      </c>
      <c r="J502" s="32" t="s">
        <v>40</v>
      </c>
    </row>
    <row r="503" spans="1:11" hidden="1" x14ac:dyDescent="0.3">
      <c r="A503" s="39">
        <v>46164.38521990741</v>
      </c>
      <c r="B503" s="32">
        <v>4430562296</v>
      </c>
      <c r="C503" s="32" t="s">
        <v>45</v>
      </c>
      <c r="D503" s="32">
        <v>4430265054</v>
      </c>
      <c r="E503" s="32">
        <v>1694</v>
      </c>
      <c r="F503" s="32">
        <v>1649</v>
      </c>
      <c r="G503" s="32" t="s">
        <v>38</v>
      </c>
      <c r="H503" s="32" t="s">
        <v>3220</v>
      </c>
      <c r="I503" s="32" t="s">
        <v>39</v>
      </c>
      <c r="J503" s="32" t="s">
        <v>40</v>
      </c>
      <c r="K503" s="32" t="s">
        <v>41</v>
      </c>
    </row>
    <row r="504" spans="1:11" hidden="1" x14ac:dyDescent="0.3">
      <c r="A504" s="39">
        <v>46164.381574074076</v>
      </c>
      <c r="B504" s="32" t="s">
        <v>48</v>
      </c>
      <c r="C504" s="32">
        <v>4432321232</v>
      </c>
      <c r="E504" s="32">
        <v>48</v>
      </c>
      <c r="F504" s="32">
        <v>40</v>
      </c>
      <c r="G504" s="32" t="s">
        <v>38</v>
      </c>
      <c r="H504" s="32" t="s">
        <v>3221</v>
      </c>
      <c r="I504" s="32" t="s">
        <v>46</v>
      </c>
      <c r="J504" s="32" t="s">
        <v>40</v>
      </c>
    </row>
    <row r="505" spans="1:11" hidden="1" x14ac:dyDescent="0.3">
      <c r="A505" s="39">
        <v>46164.380393518521</v>
      </c>
      <c r="B505" s="32" t="s">
        <v>48</v>
      </c>
      <c r="C505" s="32">
        <v>4432321428</v>
      </c>
      <c r="E505" s="32">
        <v>111</v>
      </c>
      <c r="F505" s="32">
        <v>102</v>
      </c>
      <c r="G505" s="32" t="s">
        <v>38</v>
      </c>
      <c r="H505" s="32" t="s">
        <v>3222</v>
      </c>
      <c r="I505" s="32" t="s">
        <v>46</v>
      </c>
      <c r="J505" s="32" t="s">
        <v>40</v>
      </c>
    </row>
    <row r="506" spans="1:11" hidden="1" x14ac:dyDescent="0.3">
      <c r="A506" s="39">
        <v>46164.379826388889</v>
      </c>
      <c r="B506" s="32" t="s">
        <v>45</v>
      </c>
      <c r="C506" s="32">
        <v>4430562296</v>
      </c>
      <c r="E506" s="32">
        <v>72</v>
      </c>
      <c r="F506" s="32">
        <v>60</v>
      </c>
      <c r="G506" s="32" t="s">
        <v>38</v>
      </c>
      <c r="H506" s="32" t="s">
        <v>3223</v>
      </c>
      <c r="I506" s="32" t="s">
        <v>46</v>
      </c>
      <c r="J506" s="32" t="s">
        <v>40</v>
      </c>
    </row>
    <row r="507" spans="1:11" hidden="1" x14ac:dyDescent="0.3">
      <c r="A507" s="39">
        <v>46164.379664351851</v>
      </c>
      <c r="B507" s="32" t="s">
        <v>45</v>
      </c>
      <c r="C507" s="32">
        <v>4430562296</v>
      </c>
      <c r="E507" s="32">
        <v>25</v>
      </c>
      <c r="F507" s="32">
        <v>24</v>
      </c>
      <c r="G507" s="32" t="s">
        <v>38</v>
      </c>
      <c r="H507" s="32" t="s">
        <v>3224</v>
      </c>
      <c r="I507" s="32" t="s">
        <v>46</v>
      </c>
      <c r="J507" s="32" t="s">
        <v>40</v>
      </c>
    </row>
    <row r="508" spans="1:11" hidden="1" x14ac:dyDescent="0.3">
      <c r="A508" s="39">
        <v>46164.377164351848</v>
      </c>
      <c r="B508" s="32" t="s">
        <v>48</v>
      </c>
      <c r="C508" s="32">
        <v>4432321232</v>
      </c>
      <c r="E508" s="32">
        <v>64</v>
      </c>
      <c r="F508" s="32">
        <v>56</v>
      </c>
      <c r="G508" s="32" t="s">
        <v>38</v>
      </c>
      <c r="H508" s="32" t="s">
        <v>3225</v>
      </c>
      <c r="I508" s="32" t="s">
        <v>46</v>
      </c>
      <c r="J508" s="32" t="s">
        <v>40</v>
      </c>
    </row>
    <row r="509" spans="1:11" hidden="1" x14ac:dyDescent="0.3">
      <c r="A509" s="39">
        <v>46164.375625000001</v>
      </c>
      <c r="B509" s="32" t="s">
        <v>48</v>
      </c>
      <c r="C509" s="32">
        <v>4432321428</v>
      </c>
      <c r="E509" s="32">
        <v>128</v>
      </c>
      <c r="F509" s="32">
        <v>119</v>
      </c>
      <c r="G509" s="32" t="s">
        <v>38</v>
      </c>
      <c r="H509" s="32" t="s">
        <v>3226</v>
      </c>
      <c r="I509" s="32" t="s">
        <v>46</v>
      </c>
      <c r="J509" s="32" t="s">
        <v>40</v>
      </c>
    </row>
    <row r="510" spans="1:11" hidden="1" x14ac:dyDescent="0.3">
      <c r="A510" s="39">
        <v>46164.371192129627</v>
      </c>
      <c r="B510" s="32" t="s">
        <v>48</v>
      </c>
      <c r="C510" s="32">
        <v>4432321428</v>
      </c>
      <c r="E510" s="32">
        <v>128</v>
      </c>
      <c r="F510" s="32">
        <v>119</v>
      </c>
      <c r="G510" s="32" t="s">
        <v>38</v>
      </c>
      <c r="H510" s="32" t="s">
        <v>3227</v>
      </c>
      <c r="I510" s="32" t="s">
        <v>46</v>
      </c>
      <c r="J510" s="32" t="s">
        <v>40</v>
      </c>
    </row>
    <row r="511" spans="1:11" hidden="1" x14ac:dyDescent="0.3">
      <c r="A511" s="39">
        <v>46164.370636574073</v>
      </c>
      <c r="B511" s="32" t="s">
        <v>57</v>
      </c>
      <c r="C511" s="32">
        <v>41997840159</v>
      </c>
      <c r="E511" s="32">
        <v>36</v>
      </c>
      <c r="F511" s="32">
        <v>0</v>
      </c>
      <c r="G511" s="32" t="s">
        <v>47</v>
      </c>
      <c r="H511" s="32" t="s">
        <v>3228</v>
      </c>
      <c r="I511" s="32" t="s">
        <v>46</v>
      </c>
      <c r="J511" s="32" t="s">
        <v>55</v>
      </c>
    </row>
    <row r="512" spans="1:11" hidden="1" x14ac:dyDescent="0.3">
      <c r="A512" s="39">
        <v>46164.367812500001</v>
      </c>
      <c r="B512" s="32" t="s">
        <v>57</v>
      </c>
      <c r="C512" s="32">
        <v>4131210227</v>
      </c>
      <c r="E512" s="32">
        <v>96</v>
      </c>
      <c r="F512" s="32">
        <v>0</v>
      </c>
      <c r="G512" s="32" t="s">
        <v>47</v>
      </c>
      <c r="H512" s="32" t="s">
        <v>3229</v>
      </c>
      <c r="I512" s="32" t="s">
        <v>46</v>
      </c>
      <c r="J512" s="32" t="s">
        <v>55</v>
      </c>
    </row>
    <row r="513" spans="1:12" hidden="1" x14ac:dyDescent="0.3">
      <c r="A513" s="39">
        <v>46164.361192129632</v>
      </c>
      <c r="B513" s="32" t="s">
        <v>48</v>
      </c>
      <c r="C513" s="32">
        <v>4432321428</v>
      </c>
      <c r="E513" s="32">
        <v>91</v>
      </c>
      <c r="F513" s="32">
        <v>83</v>
      </c>
      <c r="G513" s="32" t="s">
        <v>38</v>
      </c>
      <c r="H513" s="32" t="s">
        <v>3230</v>
      </c>
      <c r="I513" s="32" t="s">
        <v>46</v>
      </c>
      <c r="J513" s="32" t="s">
        <v>40</v>
      </c>
    </row>
    <row r="514" spans="1:12" hidden="1" x14ac:dyDescent="0.3">
      <c r="A514" s="39">
        <v>46164.356909722221</v>
      </c>
      <c r="B514" s="32">
        <v>4330333542</v>
      </c>
      <c r="C514" s="32" t="s">
        <v>44</v>
      </c>
      <c r="D514" s="32">
        <v>4430265054</v>
      </c>
      <c r="E514" s="32">
        <v>134</v>
      </c>
      <c r="F514" s="32">
        <v>78</v>
      </c>
      <c r="G514" s="32" t="s">
        <v>38</v>
      </c>
      <c r="H514" s="32" t="s">
        <v>3231</v>
      </c>
      <c r="I514" s="32" t="s">
        <v>39</v>
      </c>
      <c r="J514" s="32" t="s">
        <v>40</v>
      </c>
      <c r="K514" s="32" t="s">
        <v>41</v>
      </c>
    </row>
    <row r="515" spans="1:12" hidden="1" x14ac:dyDescent="0.3">
      <c r="A515" s="39">
        <v>46164.355821759258</v>
      </c>
      <c r="B515" s="32" t="s">
        <v>48</v>
      </c>
      <c r="C515" s="32">
        <v>4432321428</v>
      </c>
      <c r="E515" s="32">
        <v>125</v>
      </c>
      <c r="F515" s="32">
        <v>116</v>
      </c>
      <c r="G515" s="32" t="s">
        <v>38</v>
      </c>
      <c r="H515" s="32" t="s">
        <v>3232</v>
      </c>
      <c r="I515" s="32" t="s">
        <v>46</v>
      </c>
      <c r="J515" s="32" t="s">
        <v>40</v>
      </c>
    </row>
    <row r="516" spans="1:12" hidden="1" x14ac:dyDescent="0.3">
      <c r="A516" s="39">
        <v>46164.354733796295</v>
      </c>
      <c r="B516" s="32">
        <v>4430459032</v>
      </c>
      <c r="C516" s="32" t="s">
        <v>45</v>
      </c>
      <c r="D516" s="32">
        <v>4430265054</v>
      </c>
      <c r="E516" s="32">
        <v>770</v>
      </c>
      <c r="F516" s="32">
        <v>743</v>
      </c>
      <c r="G516" s="32" t="s">
        <v>38</v>
      </c>
      <c r="H516" s="32" t="s">
        <v>3233</v>
      </c>
      <c r="I516" s="32" t="s">
        <v>39</v>
      </c>
      <c r="J516" s="32" t="s">
        <v>40</v>
      </c>
      <c r="K516" s="32" t="s">
        <v>41</v>
      </c>
    </row>
    <row r="517" spans="1:12" hidden="1" x14ac:dyDescent="0.3">
      <c r="A517" s="39">
        <v>46164.34888888889</v>
      </c>
      <c r="B517" s="32" t="s">
        <v>48</v>
      </c>
      <c r="C517" s="32">
        <v>4432321428</v>
      </c>
      <c r="E517" s="32">
        <v>128</v>
      </c>
      <c r="F517" s="32">
        <v>119</v>
      </c>
      <c r="G517" s="32" t="s">
        <v>38</v>
      </c>
      <c r="H517" s="32" t="s">
        <v>3234</v>
      </c>
      <c r="I517" s="32" t="s">
        <v>46</v>
      </c>
      <c r="J517" s="32" t="s">
        <v>40</v>
      </c>
    </row>
    <row r="518" spans="1:12" hidden="1" x14ac:dyDescent="0.3">
      <c r="A518" s="39">
        <v>46164.332650462966</v>
      </c>
      <c r="B518" s="32" t="s">
        <v>48</v>
      </c>
      <c r="C518" s="32">
        <v>4432321428</v>
      </c>
      <c r="E518" s="32">
        <v>112</v>
      </c>
      <c r="F518" s="32">
        <v>103</v>
      </c>
      <c r="G518" s="32" t="s">
        <v>38</v>
      </c>
      <c r="H518" s="32" t="s">
        <v>3235</v>
      </c>
      <c r="I518" s="32" t="s">
        <v>46</v>
      </c>
      <c r="J518" s="32" t="s">
        <v>40</v>
      </c>
    </row>
    <row r="519" spans="1:12" hidden="1" x14ac:dyDescent="0.3">
      <c r="A519" s="39">
        <v>46163.742384259262</v>
      </c>
      <c r="B519" s="32">
        <v>44999976008</v>
      </c>
      <c r="C519" s="32" t="s">
        <v>44</v>
      </c>
      <c r="D519" s="32">
        <v>4430265054</v>
      </c>
      <c r="E519" s="32">
        <v>238</v>
      </c>
      <c r="F519" s="32">
        <v>206</v>
      </c>
      <c r="G519" s="32" t="s">
        <v>38</v>
      </c>
      <c r="H519" s="32" t="s">
        <v>3236</v>
      </c>
      <c r="I519" s="32" t="s">
        <v>39</v>
      </c>
      <c r="J519" s="32" t="s">
        <v>40</v>
      </c>
      <c r="K519" s="32" t="s">
        <v>41</v>
      </c>
    </row>
    <row r="520" spans="1:12" hidden="1" x14ac:dyDescent="0.3">
      <c r="A520" s="39">
        <v>46163.741423611114</v>
      </c>
      <c r="B520" s="32">
        <v>44999449519</v>
      </c>
      <c r="C520" s="32" t="s">
        <v>43</v>
      </c>
      <c r="D520" s="32">
        <v>4430265054</v>
      </c>
      <c r="E520" s="32">
        <v>264</v>
      </c>
      <c r="F520" s="32">
        <v>242</v>
      </c>
      <c r="G520" s="32" t="s">
        <v>38</v>
      </c>
      <c r="H520" s="32" t="s">
        <v>3237</v>
      </c>
      <c r="I520" s="32" t="s">
        <v>39</v>
      </c>
      <c r="J520" s="32" t="s">
        <v>40</v>
      </c>
      <c r="K520" s="32" t="s">
        <v>41</v>
      </c>
      <c r="L520" s="32">
        <v>5</v>
      </c>
    </row>
    <row r="521" spans="1:12" hidden="1" x14ac:dyDescent="0.3">
      <c r="A521" s="39">
        <v>46163.736388888887</v>
      </c>
      <c r="B521" s="32" t="s">
        <v>54</v>
      </c>
      <c r="C521" s="32">
        <v>51992520290</v>
      </c>
      <c r="E521" s="32">
        <v>16</v>
      </c>
      <c r="F521" s="32">
        <v>0</v>
      </c>
      <c r="G521" s="32" t="s">
        <v>47</v>
      </c>
      <c r="H521" s="32" t="s">
        <v>3238</v>
      </c>
      <c r="I521" s="32" t="s">
        <v>46</v>
      </c>
      <c r="J521" s="32" t="s">
        <v>55</v>
      </c>
    </row>
    <row r="522" spans="1:12" hidden="1" x14ac:dyDescent="0.3">
      <c r="A522" s="39">
        <v>46163.735462962963</v>
      </c>
      <c r="B522" s="32" t="s">
        <v>54</v>
      </c>
      <c r="C522" s="32">
        <v>46999374129</v>
      </c>
      <c r="E522" s="32">
        <v>7</v>
      </c>
      <c r="F522" s="32">
        <v>0</v>
      </c>
      <c r="G522" s="32" t="s">
        <v>47</v>
      </c>
      <c r="H522" s="32" t="s">
        <v>3239</v>
      </c>
      <c r="I522" s="32" t="s">
        <v>46</v>
      </c>
      <c r="J522" s="32" t="s">
        <v>55</v>
      </c>
    </row>
    <row r="523" spans="1:12" hidden="1" x14ac:dyDescent="0.3">
      <c r="A523" s="39">
        <v>46163.734965277778</v>
      </c>
      <c r="B523" s="32" t="s">
        <v>54</v>
      </c>
      <c r="C523" s="32">
        <v>11973131428</v>
      </c>
      <c r="E523" s="32">
        <v>16</v>
      </c>
      <c r="F523" s="32">
        <v>0</v>
      </c>
      <c r="G523" s="32" t="s">
        <v>47</v>
      </c>
      <c r="H523" s="32" t="s">
        <v>3240</v>
      </c>
      <c r="I523" s="32" t="s">
        <v>46</v>
      </c>
      <c r="J523" s="32" t="s">
        <v>55</v>
      </c>
    </row>
    <row r="524" spans="1:12" hidden="1" x14ac:dyDescent="0.3">
      <c r="A524" s="39">
        <v>46163.731805555559</v>
      </c>
      <c r="B524" s="32" t="s">
        <v>54</v>
      </c>
      <c r="C524" s="32">
        <v>45998132349</v>
      </c>
      <c r="E524" s="32">
        <v>16</v>
      </c>
      <c r="F524" s="32">
        <v>0</v>
      </c>
      <c r="G524" s="32" t="s">
        <v>47</v>
      </c>
      <c r="H524" s="32" t="s">
        <v>3241</v>
      </c>
      <c r="I524" s="32" t="s">
        <v>46</v>
      </c>
      <c r="J524" s="32" t="s">
        <v>55</v>
      </c>
    </row>
    <row r="525" spans="1:12" hidden="1" x14ac:dyDescent="0.3">
      <c r="A525" s="39">
        <v>46163.731342592589</v>
      </c>
      <c r="B525" s="32" t="s">
        <v>54</v>
      </c>
      <c r="C525" s="32">
        <v>65981401715</v>
      </c>
      <c r="E525" s="32">
        <v>7</v>
      </c>
      <c r="F525" s="32">
        <v>0</v>
      </c>
      <c r="G525" s="32" t="s">
        <v>47</v>
      </c>
      <c r="H525" s="32" t="s">
        <v>3242</v>
      </c>
      <c r="I525" s="32" t="s">
        <v>46</v>
      </c>
      <c r="J525" s="32" t="s">
        <v>55</v>
      </c>
    </row>
    <row r="526" spans="1:12" hidden="1" x14ac:dyDescent="0.3">
      <c r="A526" s="39">
        <v>46163.729224537034</v>
      </c>
      <c r="B526" s="32" t="s">
        <v>43</v>
      </c>
      <c r="C526" s="32">
        <v>4432520627</v>
      </c>
      <c r="E526" s="32">
        <v>317</v>
      </c>
      <c r="F526" s="32">
        <v>312</v>
      </c>
      <c r="G526" s="32" t="s">
        <v>38</v>
      </c>
      <c r="H526" s="32" t="s">
        <v>3243</v>
      </c>
      <c r="I526" s="32" t="s">
        <v>46</v>
      </c>
      <c r="J526" s="32" t="s">
        <v>40</v>
      </c>
    </row>
    <row r="527" spans="1:12" hidden="1" x14ac:dyDescent="0.3">
      <c r="A527" s="39">
        <v>46163.729004629633</v>
      </c>
      <c r="B527" s="32" t="s">
        <v>43</v>
      </c>
      <c r="C527" s="32">
        <v>4432520627</v>
      </c>
      <c r="E527" s="32">
        <v>13</v>
      </c>
      <c r="F527" s="32">
        <v>7</v>
      </c>
      <c r="G527" s="32" t="s">
        <v>38</v>
      </c>
      <c r="H527" s="32" t="s">
        <v>3244</v>
      </c>
      <c r="I527" s="32" t="s">
        <v>46</v>
      </c>
      <c r="J527" s="32" t="s">
        <v>40</v>
      </c>
    </row>
    <row r="528" spans="1:12" hidden="1" x14ac:dyDescent="0.3">
      <c r="A528" s="39">
        <v>46163.717372685183</v>
      </c>
      <c r="B528" s="32" t="s">
        <v>54</v>
      </c>
      <c r="C528" s="32">
        <v>5135976300</v>
      </c>
      <c r="E528" s="32">
        <v>43</v>
      </c>
      <c r="F528" s="32">
        <v>34</v>
      </c>
      <c r="G528" s="32" t="s">
        <v>38</v>
      </c>
      <c r="H528" s="32" t="s">
        <v>3245</v>
      </c>
      <c r="I528" s="32" t="s">
        <v>46</v>
      </c>
      <c r="J528" s="32" t="s">
        <v>55</v>
      </c>
    </row>
    <row r="529" spans="1:11" hidden="1" x14ac:dyDescent="0.3">
      <c r="A529" s="39">
        <v>46163.716631944444</v>
      </c>
      <c r="B529" s="32" t="s">
        <v>54</v>
      </c>
      <c r="C529" s="32">
        <v>85999745913</v>
      </c>
      <c r="E529" s="32">
        <v>17</v>
      </c>
      <c r="F529" s="32">
        <v>10</v>
      </c>
      <c r="G529" s="32" t="s">
        <v>38</v>
      </c>
      <c r="H529" s="32" t="s">
        <v>3246</v>
      </c>
      <c r="I529" s="32" t="s">
        <v>46</v>
      </c>
      <c r="J529" s="32" t="s">
        <v>55</v>
      </c>
    </row>
    <row r="530" spans="1:11" hidden="1" x14ac:dyDescent="0.3">
      <c r="A530" s="39">
        <v>46163.715983796297</v>
      </c>
      <c r="B530" s="32" t="s">
        <v>54</v>
      </c>
      <c r="C530" s="32">
        <v>48988016088</v>
      </c>
      <c r="E530" s="32">
        <v>8</v>
      </c>
      <c r="F530" s="32">
        <v>4</v>
      </c>
      <c r="G530" s="32" t="s">
        <v>38</v>
      </c>
      <c r="H530" s="32" t="s">
        <v>3247</v>
      </c>
      <c r="I530" s="32" t="s">
        <v>46</v>
      </c>
      <c r="J530" s="32" t="s">
        <v>55</v>
      </c>
    </row>
    <row r="531" spans="1:11" hidden="1" x14ac:dyDescent="0.3">
      <c r="A531" s="39">
        <v>46163.713726851849</v>
      </c>
      <c r="B531" s="32">
        <v>4430318516</v>
      </c>
      <c r="C531" s="32" t="s">
        <v>43</v>
      </c>
      <c r="D531" s="32">
        <v>4430265054</v>
      </c>
      <c r="E531" s="32">
        <v>472</v>
      </c>
      <c r="F531" s="32">
        <v>421</v>
      </c>
      <c r="G531" s="32" t="s">
        <v>38</v>
      </c>
      <c r="H531" s="32" t="s">
        <v>3248</v>
      </c>
      <c r="I531" s="32" t="s">
        <v>39</v>
      </c>
      <c r="J531" s="32" t="s">
        <v>40</v>
      </c>
      <c r="K531" s="32" t="s">
        <v>41</v>
      </c>
    </row>
    <row r="532" spans="1:11" hidden="1" x14ac:dyDescent="0.3">
      <c r="A532" s="39">
        <v>46163.712060185186</v>
      </c>
      <c r="B532" s="32">
        <v>4430293755</v>
      </c>
      <c r="C532" s="32" t="s">
        <v>44</v>
      </c>
      <c r="D532" s="32">
        <v>4430265054</v>
      </c>
      <c r="E532" s="32">
        <v>418</v>
      </c>
      <c r="F532" s="32">
        <v>282</v>
      </c>
      <c r="G532" s="32" t="s">
        <v>38</v>
      </c>
      <c r="H532" s="32" t="s">
        <v>3249</v>
      </c>
      <c r="I532" s="32" t="s">
        <v>39</v>
      </c>
      <c r="J532" s="32" t="s">
        <v>40</v>
      </c>
      <c r="K532" s="32" t="s">
        <v>41</v>
      </c>
    </row>
    <row r="533" spans="1:11" hidden="1" x14ac:dyDescent="0.3">
      <c r="A533" s="39">
        <v>46163.706342592595</v>
      </c>
      <c r="B533" s="32">
        <v>4430293755</v>
      </c>
      <c r="C533" s="32">
        <v>4430265054</v>
      </c>
      <c r="D533" s="32">
        <v>4430265054</v>
      </c>
      <c r="E533" s="32">
        <v>53</v>
      </c>
      <c r="F533" s="32">
        <v>53</v>
      </c>
      <c r="G533" s="32" t="s">
        <v>52</v>
      </c>
      <c r="H533" s="32" t="s">
        <v>3250</v>
      </c>
      <c r="I533" s="32" t="s">
        <v>39</v>
      </c>
      <c r="J533" s="32" t="s">
        <v>53</v>
      </c>
      <c r="K533" s="32" t="s">
        <v>41</v>
      </c>
    </row>
    <row r="534" spans="1:11" hidden="1" x14ac:dyDescent="0.3">
      <c r="A534" s="39">
        <v>46163.699340277781</v>
      </c>
      <c r="B534" s="32">
        <v>4432524636</v>
      </c>
      <c r="C534" s="32" t="s">
        <v>43</v>
      </c>
      <c r="D534" s="32">
        <v>4430265054</v>
      </c>
      <c r="E534" s="32">
        <v>127</v>
      </c>
      <c r="F534" s="32">
        <v>63</v>
      </c>
      <c r="G534" s="32" t="s">
        <v>38</v>
      </c>
      <c r="H534" s="32" t="s">
        <v>3251</v>
      </c>
      <c r="I534" s="32" t="s">
        <v>39</v>
      </c>
      <c r="J534" s="32" t="s">
        <v>40</v>
      </c>
      <c r="K534" s="32" t="s">
        <v>41</v>
      </c>
    </row>
    <row r="535" spans="1:11" hidden="1" x14ac:dyDescent="0.3">
      <c r="A535" s="39">
        <v>46163.68608796296</v>
      </c>
      <c r="B535" s="32" t="s">
        <v>48</v>
      </c>
      <c r="C535" s="32">
        <v>4432321428</v>
      </c>
      <c r="E535" s="32">
        <v>186</v>
      </c>
      <c r="F535" s="32">
        <v>177</v>
      </c>
      <c r="G535" s="32" t="s">
        <v>38</v>
      </c>
      <c r="H535" s="32" t="s">
        <v>3252</v>
      </c>
      <c r="I535" s="32" t="s">
        <v>46</v>
      </c>
      <c r="J535" s="32" t="s">
        <v>40</v>
      </c>
    </row>
    <row r="536" spans="1:11" hidden="1" x14ac:dyDescent="0.3">
      <c r="A536" s="39">
        <v>46163.685983796298</v>
      </c>
      <c r="B536" s="32">
        <v>4434239353</v>
      </c>
      <c r="C536" s="32" t="s">
        <v>48</v>
      </c>
      <c r="D536" s="32">
        <v>4430265054</v>
      </c>
      <c r="E536" s="32">
        <v>598</v>
      </c>
      <c r="F536" s="32">
        <v>383</v>
      </c>
      <c r="G536" s="32" t="s">
        <v>38</v>
      </c>
      <c r="H536" s="32" t="s">
        <v>3253</v>
      </c>
      <c r="I536" s="32" t="s">
        <v>39</v>
      </c>
      <c r="J536" s="32" t="s">
        <v>40</v>
      </c>
      <c r="K536" s="32" t="s">
        <v>41</v>
      </c>
    </row>
    <row r="537" spans="1:11" hidden="1" x14ac:dyDescent="0.3">
      <c r="A537" s="39">
        <v>46163.684513888889</v>
      </c>
      <c r="B537" s="32">
        <v>14997225372</v>
      </c>
      <c r="C537" s="32" t="s">
        <v>43</v>
      </c>
      <c r="D537" s="32">
        <v>4430265054</v>
      </c>
      <c r="E537" s="32">
        <v>592</v>
      </c>
      <c r="F537" s="32">
        <v>569</v>
      </c>
      <c r="G537" s="32" t="s">
        <v>38</v>
      </c>
      <c r="H537" s="32" t="s">
        <v>3254</v>
      </c>
      <c r="I537" s="32" t="s">
        <v>39</v>
      </c>
      <c r="J537" s="32" t="s">
        <v>40</v>
      </c>
      <c r="K537" s="32" t="s">
        <v>41</v>
      </c>
    </row>
    <row r="538" spans="1:11" hidden="1" x14ac:dyDescent="0.3">
      <c r="A538" s="39">
        <v>46163.682083333333</v>
      </c>
      <c r="B538" s="32">
        <v>1131043888</v>
      </c>
      <c r="C538" s="32" t="s">
        <v>43</v>
      </c>
      <c r="D538" s="32">
        <v>4430265054</v>
      </c>
      <c r="E538" s="32">
        <v>167</v>
      </c>
      <c r="F538" s="32">
        <v>87</v>
      </c>
      <c r="G538" s="32" t="s">
        <v>38</v>
      </c>
      <c r="H538" s="32" t="s">
        <v>3255</v>
      </c>
      <c r="I538" s="32" t="s">
        <v>39</v>
      </c>
      <c r="J538" s="32" t="s">
        <v>40</v>
      </c>
      <c r="K538" s="32" t="s">
        <v>41</v>
      </c>
    </row>
    <row r="539" spans="1:11" hidden="1" x14ac:dyDescent="0.3">
      <c r="A539" s="39">
        <v>46163.677118055559</v>
      </c>
      <c r="B539" s="32">
        <v>4432697000</v>
      </c>
      <c r="C539" s="32" t="s">
        <v>45</v>
      </c>
      <c r="D539" s="32">
        <v>4430265054</v>
      </c>
      <c r="E539" s="32">
        <v>1252</v>
      </c>
      <c r="F539" s="32">
        <v>1174</v>
      </c>
      <c r="G539" s="32" t="s">
        <v>38</v>
      </c>
      <c r="H539" s="32" t="s">
        <v>3256</v>
      </c>
      <c r="I539" s="32" t="s">
        <v>39</v>
      </c>
      <c r="J539" s="32" t="s">
        <v>40</v>
      </c>
      <c r="K539" s="32" t="s">
        <v>41</v>
      </c>
    </row>
    <row r="540" spans="1:11" hidden="1" x14ac:dyDescent="0.3">
      <c r="A540" s="39">
        <v>46163.676574074074</v>
      </c>
      <c r="B540" s="32" t="s">
        <v>54</v>
      </c>
      <c r="C540" s="32">
        <v>51993391612</v>
      </c>
      <c r="E540" s="32">
        <v>22</v>
      </c>
      <c r="F540" s="32">
        <v>0</v>
      </c>
      <c r="G540" s="32" t="s">
        <v>47</v>
      </c>
      <c r="H540" s="32" t="s">
        <v>3257</v>
      </c>
      <c r="I540" s="32" t="s">
        <v>46</v>
      </c>
      <c r="J540" s="32" t="s">
        <v>55</v>
      </c>
    </row>
    <row r="541" spans="1:11" hidden="1" x14ac:dyDescent="0.3">
      <c r="A541" s="39">
        <v>46163.676539351851</v>
      </c>
      <c r="B541" s="32">
        <v>4430345247</v>
      </c>
      <c r="C541" s="32">
        <v>4430265054</v>
      </c>
      <c r="D541" s="32">
        <v>4430265054</v>
      </c>
      <c r="E541" s="32">
        <v>42</v>
      </c>
      <c r="F541" s="32">
        <v>42</v>
      </c>
      <c r="G541" s="32" t="s">
        <v>52</v>
      </c>
      <c r="H541" s="32" t="s">
        <v>3258</v>
      </c>
      <c r="I541" s="32" t="s">
        <v>39</v>
      </c>
      <c r="J541" s="32" t="s">
        <v>53</v>
      </c>
      <c r="K541" s="32" t="s">
        <v>41</v>
      </c>
    </row>
    <row r="542" spans="1:11" hidden="1" x14ac:dyDescent="0.3">
      <c r="A542" s="39">
        <v>46163.662245370368</v>
      </c>
      <c r="B542" s="32">
        <v>4430293755</v>
      </c>
      <c r="C542" s="32" t="s">
        <v>44</v>
      </c>
      <c r="D542" s="32">
        <v>4430265054</v>
      </c>
      <c r="E542" s="32">
        <v>2684</v>
      </c>
      <c r="F542" s="32">
        <v>2645</v>
      </c>
      <c r="G542" s="32" t="s">
        <v>38</v>
      </c>
      <c r="H542" s="32" t="s">
        <v>3259</v>
      </c>
      <c r="I542" s="32" t="s">
        <v>39</v>
      </c>
      <c r="J542" s="32" t="s">
        <v>40</v>
      </c>
      <c r="K542" s="32" t="s">
        <v>41</v>
      </c>
    </row>
    <row r="543" spans="1:11" hidden="1" x14ac:dyDescent="0.3">
      <c r="A543" s="39">
        <v>46163.661643518521</v>
      </c>
      <c r="B543" s="32">
        <v>44997400641</v>
      </c>
      <c r="C543" s="32" t="s">
        <v>43</v>
      </c>
      <c r="D543" s="32">
        <v>4430265054</v>
      </c>
      <c r="E543" s="32">
        <v>405</v>
      </c>
      <c r="F543" s="32">
        <v>354</v>
      </c>
      <c r="G543" s="32" t="s">
        <v>38</v>
      </c>
      <c r="H543" s="32" t="s">
        <v>3260</v>
      </c>
      <c r="I543" s="32" t="s">
        <v>39</v>
      </c>
      <c r="J543" s="32" t="s">
        <v>40</v>
      </c>
      <c r="K543" s="32" t="s">
        <v>41</v>
      </c>
    </row>
    <row r="544" spans="1:11" hidden="1" x14ac:dyDescent="0.3">
      <c r="A544" s="39">
        <v>46163.65966435185</v>
      </c>
      <c r="B544" s="32">
        <v>44988255390</v>
      </c>
      <c r="C544" s="32" t="s">
        <v>45</v>
      </c>
      <c r="D544" s="32">
        <v>4430265054</v>
      </c>
      <c r="E544" s="32">
        <v>373</v>
      </c>
      <c r="F544" s="32">
        <v>338</v>
      </c>
      <c r="G544" s="32" t="s">
        <v>38</v>
      </c>
      <c r="H544" s="32" t="s">
        <v>3261</v>
      </c>
      <c r="I544" s="32" t="s">
        <v>39</v>
      </c>
      <c r="J544" s="32" t="s">
        <v>40</v>
      </c>
      <c r="K544" s="32" t="s">
        <v>41</v>
      </c>
    </row>
    <row r="545" spans="1:12" hidden="1" x14ac:dyDescent="0.3">
      <c r="A545" s="39">
        <v>46163.658437500002</v>
      </c>
      <c r="B545" s="32">
        <v>4521017510</v>
      </c>
      <c r="C545" s="32">
        <v>4531273176</v>
      </c>
      <c r="D545" s="32">
        <v>4531273176</v>
      </c>
      <c r="E545" s="32">
        <v>8</v>
      </c>
      <c r="F545" s="32">
        <v>8</v>
      </c>
      <c r="G545" s="32" t="s">
        <v>52</v>
      </c>
      <c r="H545" s="32" t="s">
        <v>3262</v>
      </c>
      <c r="I545" s="32" t="s">
        <v>39</v>
      </c>
      <c r="J545" s="32" t="s">
        <v>53</v>
      </c>
    </row>
    <row r="546" spans="1:12" hidden="1" x14ac:dyDescent="0.3">
      <c r="A546" s="39">
        <v>46163.654629629629</v>
      </c>
      <c r="B546" s="32">
        <v>4533011420</v>
      </c>
      <c r="C546" s="32">
        <v>4531273169</v>
      </c>
      <c r="D546" s="32">
        <v>4531273169</v>
      </c>
      <c r="E546" s="32">
        <v>46</v>
      </c>
      <c r="F546" s="32">
        <v>46</v>
      </c>
      <c r="G546" s="32" t="s">
        <v>52</v>
      </c>
      <c r="H546" s="32" t="s">
        <v>3263</v>
      </c>
      <c r="I546" s="32" t="s">
        <v>39</v>
      </c>
      <c r="J546" s="32" t="s">
        <v>53</v>
      </c>
      <c r="K546" s="32" t="s">
        <v>41</v>
      </c>
    </row>
    <row r="547" spans="1:12" hidden="1" x14ac:dyDescent="0.3">
      <c r="A547" s="39">
        <v>46163.65253472222</v>
      </c>
      <c r="B547" s="32">
        <v>4130760170</v>
      </c>
      <c r="C547" s="32" t="s">
        <v>48</v>
      </c>
      <c r="D547" s="32">
        <v>4430265054</v>
      </c>
      <c r="E547" s="32">
        <v>591</v>
      </c>
      <c r="F547" s="32">
        <v>591</v>
      </c>
      <c r="G547" s="32" t="s">
        <v>38</v>
      </c>
      <c r="H547" s="32" t="s">
        <v>3264</v>
      </c>
      <c r="I547" s="32" t="s">
        <v>39</v>
      </c>
      <c r="J547" s="32" t="s">
        <v>40</v>
      </c>
      <c r="K547" s="32" t="s">
        <v>41</v>
      </c>
    </row>
    <row r="548" spans="1:12" hidden="1" x14ac:dyDescent="0.3">
      <c r="A548" s="39">
        <v>46163.645428240743</v>
      </c>
      <c r="B548" s="32">
        <v>31998432423</v>
      </c>
      <c r="C548" s="32" t="s">
        <v>57</v>
      </c>
      <c r="D548" s="32">
        <v>4430265054</v>
      </c>
      <c r="E548" s="32">
        <v>138</v>
      </c>
      <c r="F548" s="32">
        <v>114</v>
      </c>
      <c r="G548" s="32" t="s">
        <v>38</v>
      </c>
      <c r="H548" s="32" t="s">
        <v>3265</v>
      </c>
      <c r="I548" s="32" t="s">
        <v>39</v>
      </c>
      <c r="J548" s="32" t="s">
        <v>55</v>
      </c>
      <c r="K548" s="32" t="s">
        <v>49</v>
      </c>
    </row>
    <row r="549" spans="1:12" hidden="1" x14ac:dyDescent="0.3">
      <c r="A549" s="39">
        <v>46163.639120370368</v>
      </c>
      <c r="B549" s="32" t="s">
        <v>54</v>
      </c>
      <c r="C549" s="32">
        <v>61986687269</v>
      </c>
      <c r="E549" s="32">
        <v>16</v>
      </c>
      <c r="F549" s="32">
        <v>0</v>
      </c>
      <c r="G549" s="32" t="s">
        <v>47</v>
      </c>
      <c r="H549" s="32" t="s">
        <v>3266</v>
      </c>
      <c r="I549" s="32" t="s">
        <v>46</v>
      </c>
      <c r="J549" s="32" t="s">
        <v>55</v>
      </c>
    </row>
    <row r="550" spans="1:12" hidden="1" x14ac:dyDescent="0.3">
      <c r="A550" s="39">
        <v>46163.638668981483</v>
      </c>
      <c r="B550" s="32">
        <v>12991152337</v>
      </c>
      <c r="C550" s="32" t="s">
        <v>43</v>
      </c>
      <c r="D550" s="32">
        <v>4430265054</v>
      </c>
      <c r="E550" s="32">
        <v>666</v>
      </c>
      <c r="F550" s="32">
        <v>606</v>
      </c>
      <c r="G550" s="32" t="s">
        <v>38</v>
      </c>
      <c r="H550" s="32" t="s">
        <v>3267</v>
      </c>
      <c r="I550" s="32" t="s">
        <v>39</v>
      </c>
      <c r="J550" s="32" t="s">
        <v>40</v>
      </c>
      <c r="K550" s="32" t="s">
        <v>41</v>
      </c>
      <c r="L550" s="32">
        <v>5</v>
      </c>
    </row>
    <row r="551" spans="1:12" hidden="1" x14ac:dyDescent="0.3">
      <c r="A551" s="39">
        <v>46163.626851851855</v>
      </c>
      <c r="B551" s="32">
        <v>4430293755</v>
      </c>
      <c r="C551" s="32" t="s">
        <v>44</v>
      </c>
      <c r="D551" s="32">
        <v>4430265054</v>
      </c>
      <c r="E551" s="32">
        <v>2142</v>
      </c>
      <c r="F551" s="32">
        <v>2090</v>
      </c>
      <c r="G551" s="32" t="s">
        <v>38</v>
      </c>
      <c r="H551" s="32" t="s">
        <v>3268</v>
      </c>
      <c r="I551" s="32" t="s">
        <v>39</v>
      </c>
      <c r="J551" s="32" t="s">
        <v>40</v>
      </c>
      <c r="K551" s="32" t="s">
        <v>41</v>
      </c>
    </row>
    <row r="552" spans="1:12" hidden="1" x14ac:dyDescent="0.3">
      <c r="A552" s="39">
        <v>46163.624062499999</v>
      </c>
      <c r="B552" s="32">
        <v>4432321232</v>
      </c>
      <c r="C552" s="32" t="s">
        <v>45</v>
      </c>
      <c r="D552" s="32">
        <v>4430265054</v>
      </c>
      <c r="E552" s="32">
        <v>1159</v>
      </c>
      <c r="F552" s="32">
        <v>1077</v>
      </c>
      <c r="G552" s="32" t="s">
        <v>38</v>
      </c>
      <c r="H552" s="32" t="s">
        <v>3269</v>
      </c>
      <c r="I552" s="32" t="s">
        <v>39</v>
      </c>
      <c r="J552" s="32" t="s">
        <v>40</v>
      </c>
      <c r="K552" s="32" t="s">
        <v>41</v>
      </c>
      <c r="L552" s="32">
        <v>5</v>
      </c>
    </row>
    <row r="553" spans="1:12" hidden="1" x14ac:dyDescent="0.3">
      <c r="A553" s="39">
        <v>46163.622685185182</v>
      </c>
      <c r="B553" s="32">
        <v>4533011420</v>
      </c>
      <c r="C553" s="32">
        <v>4531273172</v>
      </c>
      <c r="D553" s="32">
        <v>4531273172</v>
      </c>
      <c r="E553" s="32">
        <v>47</v>
      </c>
      <c r="F553" s="32">
        <v>46</v>
      </c>
      <c r="G553" s="32" t="s">
        <v>52</v>
      </c>
      <c r="H553" s="32" t="s">
        <v>3270</v>
      </c>
      <c r="I553" s="32" t="s">
        <v>39</v>
      </c>
      <c r="J553" s="32" t="s">
        <v>53</v>
      </c>
      <c r="K553" s="32" t="s">
        <v>41</v>
      </c>
    </row>
    <row r="554" spans="1:12" hidden="1" x14ac:dyDescent="0.3">
      <c r="A554" s="39">
        <v>46163.607743055552</v>
      </c>
      <c r="B554" s="32">
        <v>4435228300</v>
      </c>
      <c r="C554" s="32" t="s">
        <v>45</v>
      </c>
      <c r="D554" s="32">
        <v>4430265054</v>
      </c>
      <c r="E554" s="32">
        <v>78</v>
      </c>
      <c r="F554" s="32">
        <v>56</v>
      </c>
      <c r="G554" s="32" t="s">
        <v>38</v>
      </c>
      <c r="H554" s="32" t="s">
        <v>3271</v>
      </c>
      <c r="I554" s="32" t="s">
        <v>39</v>
      </c>
      <c r="J554" s="32" t="s">
        <v>40</v>
      </c>
      <c r="K554" s="32" t="s">
        <v>41</v>
      </c>
    </row>
    <row r="555" spans="1:12" hidden="1" x14ac:dyDescent="0.3">
      <c r="A555" s="39">
        <v>46163.607199074075</v>
      </c>
      <c r="B555" s="32">
        <v>1438780460</v>
      </c>
      <c r="C555" s="32">
        <v>4531273163</v>
      </c>
      <c r="D555" s="32">
        <v>4531273163</v>
      </c>
      <c r="E555" s="32">
        <v>46</v>
      </c>
      <c r="F555" s="32">
        <v>46</v>
      </c>
      <c r="G555" s="32" t="s">
        <v>52</v>
      </c>
      <c r="H555" s="32" t="s">
        <v>3272</v>
      </c>
      <c r="I555" s="32" t="s">
        <v>39</v>
      </c>
      <c r="J555" s="32" t="s">
        <v>53</v>
      </c>
      <c r="K555" s="32" t="s">
        <v>41</v>
      </c>
    </row>
    <row r="556" spans="1:12" hidden="1" x14ac:dyDescent="0.3">
      <c r="A556" s="39">
        <v>46163.605833333335</v>
      </c>
      <c r="B556" s="32">
        <v>4330332823</v>
      </c>
      <c r="C556" s="32">
        <v>4430265054</v>
      </c>
      <c r="D556" s="32">
        <v>4430265054</v>
      </c>
      <c r="E556" s="32">
        <v>40</v>
      </c>
      <c r="F556" s="32">
        <v>40</v>
      </c>
      <c r="G556" s="32" t="s">
        <v>52</v>
      </c>
      <c r="H556" s="32" t="s">
        <v>3273</v>
      </c>
      <c r="I556" s="32" t="s">
        <v>39</v>
      </c>
      <c r="J556" s="32" t="s">
        <v>53</v>
      </c>
      <c r="K556" s="32" t="s">
        <v>41</v>
      </c>
    </row>
    <row r="557" spans="1:12" hidden="1" x14ac:dyDescent="0.3">
      <c r="A557" s="39">
        <v>46163.601446759261</v>
      </c>
      <c r="B557" s="32">
        <v>44988328358</v>
      </c>
      <c r="C557" s="32">
        <v>4430265054</v>
      </c>
      <c r="D557" s="32">
        <v>4430265054</v>
      </c>
      <c r="E557" s="32">
        <v>9</v>
      </c>
      <c r="F557" s="32">
        <v>8</v>
      </c>
      <c r="G557" s="32" t="s">
        <v>52</v>
      </c>
      <c r="H557" s="32" t="s">
        <v>3274</v>
      </c>
      <c r="I557" s="32" t="s">
        <v>39</v>
      </c>
      <c r="J557" s="32" t="s">
        <v>53</v>
      </c>
    </row>
    <row r="558" spans="1:12" hidden="1" x14ac:dyDescent="0.3">
      <c r="A558" s="39">
        <v>46163.601018518515</v>
      </c>
      <c r="B558" s="32">
        <v>4433013750</v>
      </c>
      <c r="C558" s="32">
        <v>4430265054</v>
      </c>
      <c r="D558" s="32">
        <v>4430265054</v>
      </c>
      <c r="E558" s="32">
        <v>46</v>
      </c>
      <c r="F558" s="32">
        <v>46</v>
      </c>
      <c r="G558" s="32" t="s">
        <v>52</v>
      </c>
      <c r="H558" s="32" t="s">
        <v>3275</v>
      </c>
      <c r="I558" s="32" t="s">
        <v>39</v>
      </c>
      <c r="J558" s="32" t="s">
        <v>53</v>
      </c>
      <c r="K558" s="32" t="s">
        <v>41</v>
      </c>
    </row>
    <row r="559" spans="1:12" hidden="1" x14ac:dyDescent="0.3">
      <c r="A559" s="39">
        <v>46163.600972222222</v>
      </c>
      <c r="B559" s="32">
        <v>44999540372</v>
      </c>
      <c r="C559" s="32" t="s">
        <v>48</v>
      </c>
      <c r="D559" s="32">
        <v>4430265054</v>
      </c>
      <c r="E559" s="32">
        <v>1077</v>
      </c>
      <c r="F559" s="32">
        <v>1076</v>
      </c>
      <c r="G559" s="32" t="s">
        <v>38</v>
      </c>
      <c r="H559" s="32" t="s">
        <v>3276</v>
      </c>
      <c r="I559" s="32" t="s">
        <v>39</v>
      </c>
      <c r="J559" s="32" t="s">
        <v>40</v>
      </c>
      <c r="K559" s="32" t="s">
        <v>41</v>
      </c>
    </row>
    <row r="560" spans="1:12" hidden="1" x14ac:dyDescent="0.3">
      <c r="A560" s="39">
        <v>46163.592638888891</v>
      </c>
      <c r="B560" s="32">
        <v>44998032021</v>
      </c>
      <c r="C560" s="32" t="s">
        <v>44</v>
      </c>
      <c r="D560" s="32">
        <v>4430265054</v>
      </c>
      <c r="E560" s="32">
        <v>1087</v>
      </c>
      <c r="F560" s="32">
        <v>979</v>
      </c>
      <c r="G560" s="32" t="s">
        <v>38</v>
      </c>
      <c r="H560" s="32" t="s">
        <v>3277</v>
      </c>
      <c r="I560" s="32" t="s">
        <v>39</v>
      </c>
      <c r="J560" s="32" t="s">
        <v>40</v>
      </c>
      <c r="K560" s="32" t="s">
        <v>41</v>
      </c>
    </row>
    <row r="561" spans="1:12" hidden="1" x14ac:dyDescent="0.3">
      <c r="A561" s="39">
        <v>46163.587430555555</v>
      </c>
      <c r="B561" s="32" t="s">
        <v>54</v>
      </c>
      <c r="C561" s="32">
        <v>48998354128</v>
      </c>
      <c r="E561" s="32">
        <v>12</v>
      </c>
      <c r="F561" s="32">
        <v>9</v>
      </c>
      <c r="G561" s="32" t="s">
        <v>38</v>
      </c>
      <c r="H561" s="32" t="s">
        <v>3278</v>
      </c>
      <c r="I561" s="32" t="s">
        <v>46</v>
      </c>
      <c r="J561" s="32" t="s">
        <v>55</v>
      </c>
    </row>
    <row r="562" spans="1:12" hidden="1" x14ac:dyDescent="0.3">
      <c r="A562" s="39">
        <v>46163.586770833332</v>
      </c>
      <c r="B562" s="32">
        <v>44998032021</v>
      </c>
      <c r="C562" s="32" t="s">
        <v>43</v>
      </c>
      <c r="D562" s="32">
        <v>4430265054</v>
      </c>
      <c r="E562" s="32">
        <v>216</v>
      </c>
      <c r="F562" s="32">
        <v>183</v>
      </c>
      <c r="G562" s="32" t="s">
        <v>38</v>
      </c>
      <c r="H562" s="32" t="s">
        <v>3279</v>
      </c>
      <c r="I562" s="32" t="s">
        <v>39</v>
      </c>
      <c r="J562" s="32" t="s">
        <v>40</v>
      </c>
      <c r="K562" s="32" t="s">
        <v>41</v>
      </c>
    </row>
    <row r="563" spans="1:12" hidden="1" x14ac:dyDescent="0.3">
      <c r="A563" s="39">
        <v>46163.58353009259</v>
      </c>
      <c r="B563" s="32" t="s">
        <v>54</v>
      </c>
      <c r="C563" s="32">
        <v>75999999130</v>
      </c>
      <c r="E563" s="32">
        <v>16</v>
      </c>
      <c r="F563" s="32">
        <v>0</v>
      </c>
      <c r="G563" s="32" t="s">
        <v>47</v>
      </c>
      <c r="H563" s="32" t="s">
        <v>3280</v>
      </c>
      <c r="I563" s="32" t="s">
        <v>46</v>
      </c>
      <c r="J563" s="32" t="s">
        <v>55</v>
      </c>
    </row>
    <row r="564" spans="1:12" hidden="1" x14ac:dyDescent="0.3">
      <c r="A564" s="39">
        <v>46163.581296296295</v>
      </c>
      <c r="B564" s="32">
        <v>44998032021</v>
      </c>
      <c r="C564" s="32" t="s">
        <v>43</v>
      </c>
      <c r="D564" s="32">
        <v>4430265054</v>
      </c>
      <c r="E564" s="32">
        <v>371</v>
      </c>
      <c r="F564" s="32">
        <v>308</v>
      </c>
      <c r="G564" s="32" t="s">
        <v>38</v>
      </c>
      <c r="H564" s="32" t="s">
        <v>3281</v>
      </c>
      <c r="I564" s="32" t="s">
        <v>39</v>
      </c>
      <c r="J564" s="32" t="s">
        <v>40</v>
      </c>
      <c r="K564" s="32" t="s">
        <v>41</v>
      </c>
    </row>
    <row r="565" spans="1:12" hidden="1" x14ac:dyDescent="0.3">
      <c r="A565" s="39">
        <v>46163.578819444447</v>
      </c>
      <c r="B565" s="32">
        <v>4430293755</v>
      </c>
      <c r="C565" s="32" t="s">
        <v>44</v>
      </c>
      <c r="D565" s="32">
        <v>4430265054</v>
      </c>
      <c r="E565" s="32">
        <v>1117</v>
      </c>
      <c r="F565" s="32">
        <v>1080</v>
      </c>
      <c r="G565" s="32" t="s">
        <v>38</v>
      </c>
      <c r="H565" s="32" t="s">
        <v>3282</v>
      </c>
      <c r="I565" s="32" t="s">
        <v>39</v>
      </c>
      <c r="J565" s="32" t="s">
        <v>40</v>
      </c>
      <c r="K565" s="32" t="s">
        <v>41</v>
      </c>
    </row>
    <row r="566" spans="1:12" hidden="1" x14ac:dyDescent="0.3">
      <c r="A566" s="39">
        <v>46163.571736111109</v>
      </c>
      <c r="B566" s="32">
        <v>44998582382</v>
      </c>
      <c r="C566" s="32" t="s">
        <v>45</v>
      </c>
      <c r="D566" s="32">
        <v>4430265054</v>
      </c>
      <c r="E566" s="32">
        <v>2162</v>
      </c>
      <c r="F566" s="32">
        <v>2120</v>
      </c>
      <c r="G566" s="32" t="s">
        <v>38</v>
      </c>
      <c r="H566" s="32" t="s">
        <v>3283</v>
      </c>
      <c r="I566" s="32" t="s">
        <v>39</v>
      </c>
      <c r="J566" s="32" t="s">
        <v>40</v>
      </c>
      <c r="K566" s="32" t="s">
        <v>41</v>
      </c>
      <c r="L566" s="32">
        <v>5</v>
      </c>
    </row>
    <row r="567" spans="1:12" hidden="1" x14ac:dyDescent="0.3">
      <c r="A567" s="39">
        <v>46163.567280092589</v>
      </c>
      <c r="B567" s="32">
        <v>4432524636</v>
      </c>
      <c r="C567" s="32" t="s">
        <v>43</v>
      </c>
      <c r="D567" s="32">
        <v>4430265054</v>
      </c>
      <c r="E567" s="32">
        <v>1090</v>
      </c>
      <c r="F567" s="32">
        <v>1048</v>
      </c>
      <c r="G567" s="32" t="s">
        <v>38</v>
      </c>
      <c r="H567" s="32" t="s">
        <v>3284</v>
      </c>
      <c r="I567" s="32" t="s">
        <v>39</v>
      </c>
      <c r="J567" s="32" t="s">
        <v>40</v>
      </c>
      <c r="K567" s="32" t="s">
        <v>41</v>
      </c>
      <c r="L567" s="32">
        <v>5</v>
      </c>
    </row>
    <row r="568" spans="1:12" hidden="1" x14ac:dyDescent="0.3">
      <c r="A568" s="39">
        <v>46163.563055555554</v>
      </c>
      <c r="B568" s="32">
        <v>4430293755</v>
      </c>
      <c r="C568" s="32" t="s">
        <v>44</v>
      </c>
      <c r="D568" s="32">
        <v>4430265054</v>
      </c>
      <c r="E568" s="32">
        <v>672</v>
      </c>
      <c r="F568" s="32">
        <v>519</v>
      </c>
      <c r="G568" s="32" t="s">
        <v>38</v>
      </c>
      <c r="H568" s="32" t="s">
        <v>3285</v>
      </c>
      <c r="I568" s="32" t="s">
        <v>39</v>
      </c>
      <c r="J568" s="32" t="s">
        <v>40</v>
      </c>
      <c r="K568" s="32" t="s">
        <v>41</v>
      </c>
    </row>
    <row r="569" spans="1:12" hidden="1" x14ac:dyDescent="0.3">
      <c r="A569" s="39">
        <v>46163.559328703705</v>
      </c>
      <c r="B569" s="32">
        <v>4121414966</v>
      </c>
      <c r="C569" s="32">
        <v>4531273161</v>
      </c>
      <c r="D569" s="32">
        <v>4531273161</v>
      </c>
      <c r="E569" s="32">
        <v>28</v>
      </c>
      <c r="F569" s="32">
        <v>28</v>
      </c>
      <c r="G569" s="32" t="s">
        <v>52</v>
      </c>
      <c r="H569" s="32" t="s">
        <v>3286</v>
      </c>
      <c r="I569" s="32" t="s">
        <v>39</v>
      </c>
      <c r="J569" s="32" t="s">
        <v>53</v>
      </c>
    </row>
    <row r="570" spans="1:12" hidden="1" x14ac:dyDescent="0.3">
      <c r="A570" s="39">
        <v>46163.555081018516</v>
      </c>
      <c r="B570" s="32">
        <v>4121414966</v>
      </c>
      <c r="C570" s="32">
        <v>4531273159</v>
      </c>
      <c r="D570" s="32">
        <v>4531273159</v>
      </c>
      <c r="E570" s="32">
        <v>29</v>
      </c>
      <c r="F570" s="32">
        <v>28</v>
      </c>
      <c r="G570" s="32" t="s">
        <v>52</v>
      </c>
      <c r="H570" s="32" t="s">
        <v>3287</v>
      </c>
      <c r="I570" s="32" t="s">
        <v>39</v>
      </c>
      <c r="J570" s="32" t="s">
        <v>53</v>
      </c>
    </row>
    <row r="571" spans="1:12" hidden="1" x14ac:dyDescent="0.3">
      <c r="A571" s="39">
        <v>46163.553263888891</v>
      </c>
      <c r="B571" s="32">
        <v>1438160351</v>
      </c>
      <c r="C571" s="32">
        <v>4430265054</v>
      </c>
      <c r="D571" s="32">
        <v>4430265054</v>
      </c>
      <c r="E571" s="32">
        <v>8</v>
      </c>
      <c r="F571" s="32">
        <v>8</v>
      </c>
      <c r="G571" s="32" t="s">
        <v>52</v>
      </c>
      <c r="H571" s="32" t="s">
        <v>3288</v>
      </c>
      <c r="I571" s="32" t="s">
        <v>39</v>
      </c>
      <c r="J571" s="32" t="s">
        <v>53</v>
      </c>
    </row>
    <row r="572" spans="1:12" hidden="1" x14ac:dyDescent="0.3">
      <c r="A572" s="39">
        <v>46163.501250000001</v>
      </c>
      <c r="B572" s="32">
        <v>4121414966</v>
      </c>
      <c r="C572" s="32">
        <v>4531273162</v>
      </c>
      <c r="D572" s="32">
        <v>4531273162</v>
      </c>
      <c r="E572" s="32">
        <v>29</v>
      </c>
      <c r="F572" s="32">
        <v>28</v>
      </c>
      <c r="G572" s="32" t="s">
        <v>52</v>
      </c>
      <c r="H572" s="32" t="s">
        <v>3289</v>
      </c>
      <c r="I572" s="32" t="s">
        <v>39</v>
      </c>
      <c r="J572" s="32" t="s">
        <v>53</v>
      </c>
    </row>
    <row r="573" spans="1:12" hidden="1" x14ac:dyDescent="0.3">
      <c r="A573" s="39">
        <v>46163.478530092594</v>
      </c>
      <c r="B573" s="32">
        <v>13997709868</v>
      </c>
      <c r="C573" s="32" t="s">
        <v>48</v>
      </c>
      <c r="D573" s="32">
        <v>4430265054</v>
      </c>
      <c r="E573" s="32">
        <v>1296</v>
      </c>
      <c r="F573" s="32">
        <v>1296</v>
      </c>
      <c r="G573" s="32" t="s">
        <v>38</v>
      </c>
      <c r="H573" s="32" t="s">
        <v>3290</v>
      </c>
      <c r="I573" s="32" t="s">
        <v>39</v>
      </c>
      <c r="J573" s="32" t="s">
        <v>40</v>
      </c>
      <c r="K573" s="32" t="s">
        <v>41</v>
      </c>
    </row>
    <row r="574" spans="1:12" hidden="1" x14ac:dyDescent="0.3">
      <c r="A574" s="39">
        <v>46163.471956018519</v>
      </c>
      <c r="B574" s="32">
        <v>4130760170</v>
      </c>
      <c r="C574" s="32" t="s">
        <v>45</v>
      </c>
      <c r="D574" s="32">
        <v>4430265054</v>
      </c>
      <c r="E574" s="32">
        <v>1424</v>
      </c>
      <c r="F574" s="32">
        <v>1360</v>
      </c>
      <c r="G574" s="32" t="s">
        <v>38</v>
      </c>
      <c r="H574" s="32" t="s">
        <v>3291</v>
      </c>
      <c r="I574" s="32" t="s">
        <v>39</v>
      </c>
      <c r="J574" s="32" t="s">
        <v>40</v>
      </c>
      <c r="K574" s="32" t="s">
        <v>41</v>
      </c>
      <c r="L574" s="32">
        <v>5</v>
      </c>
    </row>
    <row r="575" spans="1:12" hidden="1" x14ac:dyDescent="0.3">
      <c r="A575" s="39">
        <v>46163.468611111108</v>
      </c>
      <c r="B575" s="32" t="s">
        <v>48</v>
      </c>
      <c r="C575" s="32">
        <v>45999407623</v>
      </c>
      <c r="E575" s="32">
        <v>38</v>
      </c>
      <c r="F575" s="32">
        <v>33</v>
      </c>
      <c r="G575" s="32" t="s">
        <v>38</v>
      </c>
      <c r="H575" s="32" t="s">
        <v>3292</v>
      </c>
      <c r="I575" s="32" t="s">
        <v>46</v>
      </c>
      <c r="J575" s="32" t="s">
        <v>40</v>
      </c>
    </row>
    <row r="576" spans="1:12" hidden="1" x14ac:dyDescent="0.3">
      <c r="A576" s="39">
        <v>46163.458275462966</v>
      </c>
      <c r="B576" s="32" t="s">
        <v>54</v>
      </c>
      <c r="C576" s="32">
        <v>11997913959</v>
      </c>
      <c r="E576" s="32">
        <v>35</v>
      </c>
      <c r="F576" s="32">
        <v>16</v>
      </c>
      <c r="G576" s="32" t="s">
        <v>38</v>
      </c>
      <c r="H576" s="32" t="s">
        <v>3293</v>
      </c>
      <c r="I576" s="32" t="s">
        <v>46</v>
      </c>
      <c r="J576" s="32" t="s">
        <v>55</v>
      </c>
    </row>
    <row r="577" spans="1:12" hidden="1" x14ac:dyDescent="0.3">
      <c r="A577" s="39">
        <v>46163.457499999997</v>
      </c>
      <c r="B577" s="32">
        <v>81988293889</v>
      </c>
      <c r="C577" s="32" t="s">
        <v>44</v>
      </c>
      <c r="D577" s="32">
        <v>4431268225</v>
      </c>
      <c r="E577" s="32">
        <v>387</v>
      </c>
      <c r="F577" s="32">
        <v>307</v>
      </c>
      <c r="G577" s="32" t="s">
        <v>38</v>
      </c>
      <c r="H577" s="32" t="s">
        <v>3294</v>
      </c>
      <c r="I577" s="32" t="s">
        <v>39</v>
      </c>
      <c r="J577" s="32" t="s">
        <v>40</v>
      </c>
      <c r="K577" s="32" t="s">
        <v>41</v>
      </c>
      <c r="L577" s="32">
        <v>5</v>
      </c>
    </row>
    <row r="578" spans="1:12" hidden="1" x14ac:dyDescent="0.3">
      <c r="A578" s="39">
        <v>46163.456377314818</v>
      </c>
      <c r="B578" s="32" t="s">
        <v>54</v>
      </c>
      <c r="C578" s="32">
        <v>98987200231</v>
      </c>
      <c r="E578" s="32">
        <v>7</v>
      </c>
      <c r="F578" s="32">
        <v>2</v>
      </c>
      <c r="G578" s="32" t="s">
        <v>38</v>
      </c>
      <c r="H578" s="32" t="s">
        <v>3295</v>
      </c>
      <c r="I578" s="32" t="s">
        <v>46</v>
      </c>
      <c r="J578" s="32" t="s">
        <v>55</v>
      </c>
    </row>
    <row r="579" spans="1:12" hidden="1" x14ac:dyDescent="0.3">
      <c r="A579" s="39">
        <v>46163.455370370371</v>
      </c>
      <c r="B579" s="32" t="s">
        <v>54</v>
      </c>
      <c r="C579" s="32">
        <v>11993178771</v>
      </c>
      <c r="E579" s="32">
        <v>34</v>
      </c>
      <c r="F579" s="32">
        <v>0</v>
      </c>
      <c r="G579" s="32" t="s">
        <v>47</v>
      </c>
      <c r="H579" s="32" t="s">
        <v>3296</v>
      </c>
      <c r="I579" s="32" t="s">
        <v>46</v>
      </c>
      <c r="J579" s="32" t="s">
        <v>55</v>
      </c>
    </row>
    <row r="580" spans="1:12" hidden="1" x14ac:dyDescent="0.3">
      <c r="A580" s="39">
        <v>46163.447777777779</v>
      </c>
      <c r="B580" s="32" t="s">
        <v>57</v>
      </c>
      <c r="C580" s="32">
        <v>11958315800</v>
      </c>
      <c r="E580" s="32">
        <v>7</v>
      </c>
      <c r="F580" s="32">
        <v>0</v>
      </c>
      <c r="G580" s="32" t="s">
        <v>47</v>
      </c>
      <c r="H580" s="32" t="s">
        <v>3297</v>
      </c>
      <c r="I580" s="32" t="s">
        <v>46</v>
      </c>
      <c r="J580" s="32" t="s">
        <v>55</v>
      </c>
    </row>
    <row r="581" spans="1:12" hidden="1" x14ac:dyDescent="0.3">
      <c r="A581" s="39">
        <v>46163.445821759262</v>
      </c>
      <c r="B581" s="32">
        <v>41997840159</v>
      </c>
      <c r="C581" s="32" t="s">
        <v>43</v>
      </c>
      <c r="D581" s="32">
        <v>4430265054</v>
      </c>
      <c r="E581" s="32">
        <v>467</v>
      </c>
      <c r="F581" s="32">
        <v>435</v>
      </c>
      <c r="G581" s="32" t="s">
        <v>38</v>
      </c>
      <c r="H581" s="32" t="s">
        <v>3298</v>
      </c>
      <c r="I581" s="32" t="s">
        <v>39</v>
      </c>
      <c r="J581" s="32" t="s">
        <v>40</v>
      </c>
      <c r="K581" s="32" t="s">
        <v>41</v>
      </c>
    </row>
    <row r="582" spans="1:12" hidden="1" x14ac:dyDescent="0.3">
      <c r="A582" s="39">
        <v>46163.444953703707</v>
      </c>
      <c r="B582" s="32">
        <v>4436372125</v>
      </c>
      <c r="C582" s="32" t="s">
        <v>45</v>
      </c>
      <c r="D582" s="32">
        <v>4430265054</v>
      </c>
      <c r="E582" s="32">
        <v>1293</v>
      </c>
      <c r="F582" s="32">
        <v>1256</v>
      </c>
      <c r="G582" s="32" t="s">
        <v>38</v>
      </c>
      <c r="H582" s="32" t="s">
        <v>3299</v>
      </c>
      <c r="I582" s="32" t="s">
        <v>39</v>
      </c>
      <c r="J582" s="32" t="s">
        <v>40</v>
      </c>
      <c r="K582" s="32" t="s">
        <v>41</v>
      </c>
      <c r="L582" s="32">
        <v>4</v>
      </c>
    </row>
    <row r="583" spans="1:12" hidden="1" x14ac:dyDescent="0.3">
      <c r="A583" s="39">
        <v>46163.439513888887</v>
      </c>
      <c r="B583" s="32" t="s">
        <v>54</v>
      </c>
      <c r="C583" s="32">
        <v>79996078393</v>
      </c>
      <c r="E583" s="32">
        <v>8</v>
      </c>
      <c r="F583" s="32">
        <v>3</v>
      </c>
      <c r="G583" s="32" t="s">
        <v>38</v>
      </c>
      <c r="H583" s="32" t="s">
        <v>3300</v>
      </c>
      <c r="I583" s="32" t="s">
        <v>46</v>
      </c>
      <c r="J583" s="32" t="s">
        <v>55</v>
      </c>
    </row>
    <row r="584" spans="1:12" hidden="1" x14ac:dyDescent="0.3">
      <c r="A584" s="39">
        <v>46163.439143518517</v>
      </c>
      <c r="B584" s="32" t="s">
        <v>57</v>
      </c>
      <c r="C584" s="32">
        <v>1158315800</v>
      </c>
      <c r="E584" s="32">
        <v>61</v>
      </c>
      <c r="F584" s="32">
        <v>0</v>
      </c>
      <c r="G584" s="32" t="s">
        <v>47</v>
      </c>
      <c r="H584" s="32" t="s">
        <v>3301</v>
      </c>
      <c r="I584" s="32" t="s">
        <v>46</v>
      </c>
      <c r="J584" s="32" t="s">
        <v>55</v>
      </c>
    </row>
    <row r="585" spans="1:12" hidden="1" x14ac:dyDescent="0.3">
      <c r="A585" s="39">
        <v>46163.438993055555</v>
      </c>
      <c r="B585" s="32" t="s">
        <v>57</v>
      </c>
      <c r="C585" s="32">
        <v>1156666205</v>
      </c>
      <c r="E585" s="32">
        <v>2</v>
      </c>
      <c r="F585" s="32">
        <v>0</v>
      </c>
      <c r="G585" s="32" t="s">
        <v>47</v>
      </c>
      <c r="H585" s="32" t="s">
        <v>3302</v>
      </c>
      <c r="I585" s="32" t="s">
        <v>46</v>
      </c>
      <c r="J585" s="32" t="s">
        <v>55</v>
      </c>
    </row>
    <row r="586" spans="1:12" hidden="1" x14ac:dyDescent="0.3">
      <c r="A586" s="39">
        <v>46163.437962962962</v>
      </c>
      <c r="B586" s="32" t="s">
        <v>57</v>
      </c>
      <c r="C586" s="32">
        <v>11958315800</v>
      </c>
      <c r="E586" s="32">
        <v>7</v>
      </c>
      <c r="F586" s="32">
        <v>0</v>
      </c>
      <c r="G586" s="32" t="s">
        <v>47</v>
      </c>
      <c r="H586" s="32" t="s">
        <v>3303</v>
      </c>
      <c r="I586" s="32" t="s">
        <v>46</v>
      </c>
      <c r="J586" s="32" t="s">
        <v>55</v>
      </c>
    </row>
    <row r="587" spans="1:12" hidden="1" x14ac:dyDescent="0.3">
      <c r="A587" s="39">
        <v>46163.436423611114</v>
      </c>
      <c r="B587" s="32">
        <v>1732146970</v>
      </c>
      <c r="C587" s="32" t="s">
        <v>45</v>
      </c>
      <c r="D587" s="32">
        <v>4431268225</v>
      </c>
      <c r="E587" s="32">
        <v>572</v>
      </c>
      <c r="F587" s="32">
        <v>537</v>
      </c>
      <c r="G587" s="32" t="s">
        <v>38</v>
      </c>
      <c r="H587" s="32" t="s">
        <v>3304</v>
      </c>
      <c r="I587" s="32" t="s">
        <v>39</v>
      </c>
      <c r="J587" s="32" t="s">
        <v>40</v>
      </c>
      <c r="K587" s="32" t="s">
        <v>41</v>
      </c>
    </row>
    <row r="588" spans="1:12" hidden="1" x14ac:dyDescent="0.3">
      <c r="A588" s="39">
        <v>46163.433425925927</v>
      </c>
      <c r="B588" s="32">
        <v>1131043888</v>
      </c>
      <c r="C588" s="32" t="s">
        <v>45</v>
      </c>
      <c r="D588" s="32">
        <v>4430265054</v>
      </c>
      <c r="E588" s="32">
        <v>115</v>
      </c>
      <c r="F588" s="32">
        <v>89</v>
      </c>
      <c r="G588" s="32" t="s">
        <v>38</v>
      </c>
      <c r="H588" s="32" t="s">
        <v>3305</v>
      </c>
      <c r="I588" s="32" t="s">
        <v>39</v>
      </c>
      <c r="J588" s="32" t="s">
        <v>40</v>
      </c>
      <c r="K588" s="32" t="s">
        <v>41</v>
      </c>
    </row>
    <row r="589" spans="1:12" hidden="1" x14ac:dyDescent="0.3">
      <c r="A589" s="39">
        <v>46163.426562499997</v>
      </c>
      <c r="B589" s="32" t="s">
        <v>54</v>
      </c>
      <c r="C589" s="32">
        <v>94984126431</v>
      </c>
      <c r="E589" s="32">
        <v>7</v>
      </c>
      <c r="F589" s="32">
        <v>0</v>
      </c>
      <c r="G589" s="32" t="s">
        <v>47</v>
      </c>
      <c r="H589" s="32" t="s">
        <v>3306</v>
      </c>
      <c r="I589" s="32" t="s">
        <v>46</v>
      </c>
      <c r="J589" s="32" t="s">
        <v>55</v>
      </c>
    </row>
    <row r="590" spans="1:12" hidden="1" x14ac:dyDescent="0.3">
      <c r="A590" s="39">
        <v>46163.425752314812</v>
      </c>
      <c r="B590" s="32">
        <v>44999745571</v>
      </c>
      <c r="C590" s="32" t="s">
        <v>43</v>
      </c>
      <c r="D590" s="32">
        <v>4430265054</v>
      </c>
      <c r="E590" s="32">
        <v>156</v>
      </c>
      <c r="F590" s="32">
        <v>97</v>
      </c>
      <c r="G590" s="32" t="s">
        <v>38</v>
      </c>
      <c r="H590" s="32" t="s">
        <v>3307</v>
      </c>
      <c r="I590" s="32" t="s">
        <v>39</v>
      </c>
      <c r="J590" s="32" t="s">
        <v>40</v>
      </c>
      <c r="K590" s="32" t="s">
        <v>41</v>
      </c>
    </row>
    <row r="591" spans="1:12" hidden="1" x14ac:dyDescent="0.3">
      <c r="A591" s="39">
        <v>46163.424467592595</v>
      </c>
      <c r="B591" s="32" t="s">
        <v>54</v>
      </c>
      <c r="C591" s="32">
        <v>11951833692</v>
      </c>
      <c r="E591" s="32">
        <v>6</v>
      </c>
      <c r="F591" s="32">
        <v>0</v>
      </c>
      <c r="G591" s="32" t="s">
        <v>47</v>
      </c>
      <c r="H591" s="32" t="s">
        <v>3308</v>
      </c>
      <c r="I591" s="32" t="s">
        <v>46</v>
      </c>
      <c r="J591" s="32" t="s">
        <v>55</v>
      </c>
    </row>
    <row r="592" spans="1:12" hidden="1" x14ac:dyDescent="0.3">
      <c r="A592" s="39">
        <v>46163.424293981479</v>
      </c>
      <c r="B592" s="32" t="s">
        <v>45</v>
      </c>
      <c r="C592" s="32">
        <v>1732146970</v>
      </c>
      <c r="E592" s="32">
        <v>117</v>
      </c>
      <c r="F592" s="32">
        <v>115</v>
      </c>
      <c r="G592" s="32" t="s">
        <v>38</v>
      </c>
      <c r="H592" s="32" t="s">
        <v>3309</v>
      </c>
      <c r="I592" s="32" t="s">
        <v>46</v>
      </c>
      <c r="J592" s="32" t="s">
        <v>40</v>
      </c>
    </row>
    <row r="593" spans="1:12" hidden="1" x14ac:dyDescent="0.3">
      <c r="A593" s="39">
        <v>46163.421875</v>
      </c>
      <c r="B593" s="32" t="s">
        <v>54</v>
      </c>
      <c r="C593" s="32">
        <v>34991861971</v>
      </c>
      <c r="E593" s="32">
        <v>1</v>
      </c>
      <c r="F593" s="32">
        <v>0</v>
      </c>
      <c r="G593" s="32" t="s">
        <v>47</v>
      </c>
      <c r="H593" s="32" t="s">
        <v>3310</v>
      </c>
      <c r="I593" s="32" t="s">
        <v>46</v>
      </c>
      <c r="J593" s="32" t="s">
        <v>55</v>
      </c>
    </row>
    <row r="594" spans="1:12" hidden="1" x14ac:dyDescent="0.3">
      <c r="A594" s="39">
        <v>46163.403923611113</v>
      </c>
      <c r="B594" s="32">
        <v>1131043888</v>
      </c>
      <c r="C594" s="32" t="s">
        <v>44</v>
      </c>
      <c r="D594" s="32">
        <v>4430265054</v>
      </c>
      <c r="E594" s="32">
        <v>175</v>
      </c>
      <c r="F594" s="32">
        <v>166</v>
      </c>
      <c r="G594" s="32" t="s">
        <v>38</v>
      </c>
      <c r="H594" s="32" t="s">
        <v>3311</v>
      </c>
      <c r="I594" s="32" t="s">
        <v>39</v>
      </c>
      <c r="J594" s="32" t="s">
        <v>40</v>
      </c>
      <c r="K594" s="32" t="s">
        <v>41</v>
      </c>
    </row>
    <row r="595" spans="1:12" hidden="1" x14ac:dyDescent="0.3">
      <c r="A595" s="39">
        <v>46163.402384259258</v>
      </c>
      <c r="B595" s="32" t="s">
        <v>43</v>
      </c>
      <c r="C595" s="32">
        <v>4432520627</v>
      </c>
      <c r="E595" s="32">
        <v>214</v>
      </c>
      <c r="F595" s="32">
        <v>209</v>
      </c>
      <c r="G595" s="32" t="s">
        <v>38</v>
      </c>
      <c r="H595" s="32" t="s">
        <v>3312</v>
      </c>
      <c r="I595" s="32" t="s">
        <v>46</v>
      </c>
      <c r="J595" s="32" t="s">
        <v>40</v>
      </c>
    </row>
    <row r="596" spans="1:12" hidden="1" x14ac:dyDescent="0.3">
      <c r="A596" s="39">
        <v>46163.402326388888</v>
      </c>
      <c r="B596" s="32" t="s">
        <v>43</v>
      </c>
      <c r="C596" s="32">
        <v>4432520627</v>
      </c>
      <c r="E596" s="32">
        <v>25</v>
      </c>
      <c r="F596" s="32">
        <v>25</v>
      </c>
      <c r="G596" s="32" t="s">
        <v>38</v>
      </c>
      <c r="H596" s="32" t="s">
        <v>3313</v>
      </c>
      <c r="I596" s="32" t="s">
        <v>46</v>
      </c>
      <c r="J596" s="32" t="s">
        <v>40</v>
      </c>
    </row>
    <row r="597" spans="1:12" hidden="1" x14ac:dyDescent="0.3">
      <c r="A597" s="39">
        <v>46163.401250000003</v>
      </c>
      <c r="B597" s="32">
        <v>44997456641</v>
      </c>
      <c r="C597" s="32" t="s">
        <v>45</v>
      </c>
      <c r="D597" s="32">
        <v>4430265054</v>
      </c>
      <c r="E597" s="32">
        <v>272</v>
      </c>
      <c r="F597" s="32">
        <v>197</v>
      </c>
      <c r="G597" s="32" t="s">
        <v>38</v>
      </c>
      <c r="H597" s="32" t="s">
        <v>3314</v>
      </c>
      <c r="I597" s="32" t="s">
        <v>39</v>
      </c>
      <c r="J597" s="32" t="s">
        <v>40</v>
      </c>
      <c r="K597" s="32" t="s">
        <v>41</v>
      </c>
      <c r="L597" s="32">
        <v>5</v>
      </c>
    </row>
    <row r="598" spans="1:12" hidden="1" x14ac:dyDescent="0.3">
      <c r="A598" s="39">
        <v>46163.399502314816</v>
      </c>
      <c r="B598" s="32">
        <v>44997650834</v>
      </c>
      <c r="C598" s="32" t="s">
        <v>45</v>
      </c>
      <c r="D598" s="32">
        <v>4430265054</v>
      </c>
      <c r="E598" s="32">
        <v>169</v>
      </c>
      <c r="F598" s="32">
        <v>149</v>
      </c>
      <c r="G598" s="32" t="s">
        <v>38</v>
      </c>
      <c r="H598" s="32" t="s">
        <v>3315</v>
      </c>
      <c r="I598" s="32" t="s">
        <v>39</v>
      </c>
      <c r="J598" s="32" t="s">
        <v>40</v>
      </c>
      <c r="K598" s="32" t="s">
        <v>41</v>
      </c>
    </row>
    <row r="599" spans="1:12" hidden="1" x14ac:dyDescent="0.3">
      <c r="A599" s="39">
        <v>46163.39638888889</v>
      </c>
      <c r="B599" s="32" t="s">
        <v>45</v>
      </c>
      <c r="C599" s="32">
        <v>4626041931</v>
      </c>
      <c r="E599" s="32">
        <v>66</v>
      </c>
      <c r="F599" s="32">
        <v>54</v>
      </c>
      <c r="G599" s="32" t="s">
        <v>38</v>
      </c>
      <c r="H599" s="32" t="s">
        <v>3316</v>
      </c>
      <c r="I599" s="32" t="s">
        <v>46</v>
      </c>
      <c r="J599" s="32" t="s">
        <v>40</v>
      </c>
    </row>
    <row r="600" spans="1:12" hidden="1" x14ac:dyDescent="0.3">
      <c r="A600" s="39">
        <v>46163.394016203703</v>
      </c>
      <c r="B600" s="32" t="s">
        <v>48</v>
      </c>
      <c r="C600" s="32">
        <v>4435223408</v>
      </c>
      <c r="E600" s="32">
        <v>46</v>
      </c>
      <c r="F600" s="32">
        <v>27</v>
      </c>
      <c r="G600" s="32" t="s">
        <v>38</v>
      </c>
      <c r="H600" s="32" t="s">
        <v>3317</v>
      </c>
      <c r="I600" s="32" t="s">
        <v>46</v>
      </c>
      <c r="J600" s="32" t="s">
        <v>40</v>
      </c>
    </row>
    <row r="601" spans="1:12" hidden="1" x14ac:dyDescent="0.3">
      <c r="A601" s="39">
        <v>46163.385775462964</v>
      </c>
      <c r="B601" s="32" t="s">
        <v>48</v>
      </c>
      <c r="C601" s="32">
        <v>4430459032</v>
      </c>
      <c r="E601" s="32">
        <v>1</v>
      </c>
      <c r="F601" s="32">
        <v>0</v>
      </c>
      <c r="G601" s="32" t="s">
        <v>47</v>
      </c>
      <c r="H601" s="32" t="s">
        <v>3318</v>
      </c>
      <c r="I601" s="32" t="s">
        <v>46</v>
      </c>
      <c r="J601" s="32" t="s">
        <v>40</v>
      </c>
    </row>
    <row r="602" spans="1:12" hidden="1" x14ac:dyDescent="0.3">
      <c r="A602" s="39">
        <v>46163.385231481479</v>
      </c>
      <c r="B602" s="32" t="s">
        <v>48</v>
      </c>
      <c r="C602" s="32">
        <v>4430459032</v>
      </c>
      <c r="E602" s="32">
        <v>1</v>
      </c>
      <c r="F602" s="32">
        <v>0</v>
      </c>
      <c r="G602" s="32" t="s">
        <v>47</v>
      </c>
      <c r="H602" s="32" t="s">
        <v>3319</v>
      </c>
      <c r="I602" s="32" t="s">
        <v>46</v>
      </c>
      <c r="J602" s="32" t="s">
        <v>40</v>
      </c>
    </row>
    <row r="603" spans="1:12" hidden="1" x14ac:dyDescent="0.3">
      <c r="A603" s="39">
        <v>46163.38517361111</v>
      </c>
      <c r="B603" s="32" t="s">
        <v>48</v>
      </c>
      <c r="C603" s="32">
        <v>4430459032</v>
      </c>
      <c r="E603" s="32">
        <v>25</v>
      </c>
      <c r="F603" s="32">
        <v>25</v>
      </c>
      <c r="G603" s="32" t="s">
        <v>38</v>
      </c>
      <c r="H603" s="32" t="s">
        <v>3320</v>
      </c>
      <c r="I603" s="32" t="s">
        <v>46</v>
      </c>
      <c r="J603" s="32" t="s">
        <v>40</v>
      </c>
    </row>
    <row r="604" spans="1:12" hidden="1" x14ac:dyDescent="0.3">
      <c r="A604" s="39">
        <v>46163.385104166664</v>
      </c>
      <c r="B604" s="32" t="s">
        <v>48</v>
      </c>
      <c r="C604" s="32">
        <v>4430459032</v>
      </c>
      <c r="E604" s="32">
        <v>4</v>
      </c>
      <c r="F604" s="32">
        <v>0</v>
      </c>
      <c r="G604" s="32" t="s">
        <v>47</v>
      </c>
      <c r="H604" s="32" t="s">
        <v>3321</v>
      </c>
      <c r="I604" s="32" t="s">
        <v>46</v>
      </c>
      <c r="J604" s="32" t="s">
        <v>40</v>
      </c>
    </row>
    <row r="605" spans="1:12" hidden="1" x14ac:dyDescent="0.3">
      <c r="A605" s="39">
        <v>46163.375347222223</v>
      </c>
      <c r="B605" s="32">
        <v>81988293889</v>
      </c>
      <c r="C605" s="32" t="s">
        <v>43</v>
      </c>
      <c r="D605" s="32">
        <v>4431268225</v>
      </c>
      <c r="E605" s="32">
        <v>460</v>
      </c>
      <c r="F605" s="32">
        <v>397</v>
      </c>
      <c r="G605" s="32" t="s">
        <v>38</v>
      </c>
      <c r="H605" s="32" t="s">
        <v>3322</v>
      </c>
      <c r="I605" s="32" t="s">
        <v>39</v>
      </c>
      <c r="J605" s="32" t="s">
        <v>40</v>
      </c>
      <c r="K605" s="32" t="s">
        <v>41</v>
      </c>
    </row>
    <row r="606" spans="1:12" hidden="1" x14ac:dyDescent="0.3">
      <c r="A606" s="39">
        <v>46163.372881944444</v>
      </c>
      <c r="B606" s="32" t="s">
        <v>48</v>
      </c>
      <c r="C606" s="32">
        <v>4435223408</v>
      </c>
      <c r="E606" s="32">
        <v>368</v>
      </c>
      <c r="F606" s="32">
        <v>350</v>
      </c>
      <c r="G606" s="32" t="s">
        <v>38</v>
      </c>
      <c r="H606" s="32" t="s">
        <v>3323</v>
      </c>
      <c r="I606" s="32" t="s">
        <v>46</v>
      </c>
      <c r="J606" s="32" t="s">
        <v>40</v>
      </c>
    </row>
    <row r="607" spans="1:12" hidden="1" x14ac:dyDescent="0.3">
      <c r="A607" s="39">
        <v>46163.369976851849</v>
      </c>
      <c r="B607" s="32">
        <v>1438160351</v>
      </c>
      <c r="C607" s="32">
        <v>4430265054</v>
      </c>
      <c r="D607" s="32">
        <v>4430265054</v>
      </c>
      <c r="E607" s="32">
        <v>8</v>
      </c>
      <c r="F607" s="32">
        <v>7</v>
      </c>
      <c r="G607" s="32" t="s">
        <v>52</v>
      </c>
      <c r="H607" s="32" t="s">
        <v>3324</v>
      </c>
      <c r="I607" s="32" t="s">
        <v>39</v>
      </c>
      <c r="J607" s="32" t="s">
        <v>53</v>
      </c>
    </row>
    <row r="608" spans="1:12" hidden="1" x14ac:dyDescent="0.3">
      <c r="A608" s="39">
        <v>46163.368449074071</v>
      </c>
      <c r="B608" s="32">
        <v>44997456641</v>
      </c>
      <c r="C608" s="32" t="s">
        <v>44</v>
      </c>
      <c r="D608" s="32">
        <v>4430265054</v>
      </c>
      <c r="E608" s="32">
        <v>174</v>
      </c>
      <c r="F608" s="32">
        <v>99</v>
      </c>
      <c r="G608" s="32" t="s">
        <v>38</v>
      </c>
      <c r="H608" s="32" t="s">
        <v>3325</v>
      </c>
      <c r="I608" s="32" t="s">
        <v>39</v>
      </c>
      <c r="J608" s="32" t="s">
        <v>40</v>
      </c>
      <c r="K608" s="32" t="s">
        <v>41</v>
      </c>
    </row>
    <row r="609" spans="1:12" hidden="1" x14ac:dyDescent="0.3">
      <c r="A609" s="39">
        <v>46163.364293981482</v>
      </c>
      <c r="B609" s="32">
        <v>1732146970</v>
      </c>
      <c r="C609" s="32" t="s">
        <v>45</v>
      </c>
      <c r="D609" s="32">
        <v>4431268225</v>
      </c>
      <c r="E609" s="32">
        <v>1974</v>
      </c>
      <c r="F609" s="32">
        <v>1937</v>
      </c>
      <c r="G609" s="32" t="s">
        <v>38</v>
      </c>
      <c r="H609" s="32" t="s">
        <v>3326</v>
      </c>
      <c r="I609" s="32" t="s">
        <v>39</v>
      </c>
      <c r="J609" s="32" t="s">
        <v>40</v>
      </c>
      <c r="K609" s="32" t="s">
        <v>41</v>
      </c>
    </row>
    <row r="610" spans="1:12" hidden="1" x14ac:dyDescent="0.3">
      <c r="A610" s="39">
        <v>46163.357037037036</v>
      </c>
      <c r="B610" s="32">
        <v>4430317020</v>
      </c>
      <c r="C610" s="32" t="s">
        <v>48</v>
      </c>
      <c r="D610" s="32">
        <v>4430265054</v>
      </c>
      <c r="E610" s="32">
        <v>466</v>
      </c>
      <c r="F610" s="32">
        <v>406</v>
      </c>
      <c r="G610" s="32" t="s">
        <v>38</v>
      </c>
      <c r="H610" s="32" t="s">
        <v>3327</v>
      </c>
      <c r="I610" s="32" t="s">
        <v>39</v>
      </c>
      <c r="J610" s="32" t="s">
        <v>40</v>
      </c>
      <c r="K610" s="32" t="s">
        <v>41</v>
      </c>
    </row>
    <row r="611" spans="1:12" hidden="1" x14ac:dyDescent="0.3">
      <c r="A611" s="39">
        <v>46163.355868055558</v>
      </c>
      <c r="B611" s="32">
        <v>4430459032</v>
      </c>
      <c r="C611" s="32" t="s">
        <v>44</v>
      </c>
      <c r="D611" s="32">
        <v>4430265054</v>
      </c>
      <c r="E611" s="32">
        <v>1050</v>
      </c>
      <c r="F611" s="32">
        <v>1040</v>
      </c>
      <c r="G611" s="32" t="s">
        <v>38</v>
      </c>
      <c r="H611" s="32" t="s">
        <v>3328</v>
      </c>
      <c r="I611" s="32" t="s">
        <v>39</v>
      </c>
      <c r="J611" s="32" t="s">
        <v>40</v>
      </c>
      <c r="K611" s="32" t="s">
        <v>41</v>
      </c>
      <c r="L611" s="32">
        <v>5</v>
      </c>
    </row>
    <row r="612" spans="1:12" hidden="1" x14ac:dyDescent="0.3">
      <c r="A612" s="39">
        <v>46163.35564814815</v>
      </c>
      <c r="B612" s="32">
        <v>4430459032</v>
      </c>
      <c r="C612" s="32">
        <v>4430265054</v>
      </c>
      <c r="D612" s="32">
        <v>4430265054</v>
      </c>
      <c r="E612" s="32">
        <v>0</v>
      </c>
      <c r="F612" s="32">
        <v>0</v>
      </c>
      <c r="G612" s="32" t="s">
        <v>47</v>
      </c>
      <c r="H612" s="32" t="s">
        <v>3329</v>
      </c>
      <c r="I612" s="32" t="s">
        <v>39</v>
      </c>
      <c r="J612" s="32" t="s">
        <v>53</v>
      </c>
    </row>
    <row r="613" spans="1:12" hidden="1" x14ac:dyDescent="0.3">
      <c r="A613" s="39">
        <v>46163.355243055557</v>
      </c>
      <c r="B613" s="32">
        <v>4334234629</v>
      </c>
      <c r="C613" s="32" t="s">
        <v>43</v>
      </c>
      <c r="D613" s="32">
        <v>4430265054</v>
      </c>
      <c r="E613" s="32">
        <v>211</v>
      </c>
      <c r="F613" s="32">
        <v>155</v>
      </c>
      <c r="G613" s="32" t="s">
        <v>38</v>
      </c>
      <c r="H613" s="32" t="s">
        <v>3330</v>
      </c>
      <c r="I613" s="32" t="s">
        <v>39</v>
      </c>
      <c r="J613" s="32" t="s">
        <v>40</v>
      </c>
      <c r="K613" s="32" t="s">
        <v>41</v>
      </c>
    </row>
    <row r="614" spans="1:12" hidden="1" x14ac:dyDescent="0.3">
      <c r="A614" s="39">
        <v>46163.354247685187</v>
      </c>
      <c r="B614" s="32">
        <v>81988293889</v>
      </c>
      <c r="C614" s="32" t="s">
        <v>45</v>
      </c>
      <c r="D614" s="32">
        <v>4431268225</v>
      </c>
      <c r="E614" s="32">
        <v>628</v>
      </c>
      <c r="F614" s="32">
        <v>604</v>
      </c>
      <c r="G614" s="32" t="s">
        <v>38</v>
      </c>
      <c r="H614" s="32" t="s">
        <v>3331</v>
      </c>
      <c r="I614" s="32" t="s">
        <v>39</v>
      </c>
      <c r="J614" s="32" t="s">
        <v>40</v>
      </c>
      <c r="K614" s="32" t="s">
        <v>41</v>
      </c>
      <c r="L614" s="32">
        <v>5</v>
      </c>
    </row>
    <row r="615" spans="1:12" hidden="1" x14ac:dyDescent="0.3">
      <c r="A615" s="39">
        <v>46163.352754629632</v>
      </c>
      <c r="B615" s="32">
        <v>4334226481</v>
      </c>
      <c r="C615" s="32">
        <v>4430265054</v>
      </c>
      <c r="D615" s="32">
        <v>4430265054</v>
      </c>
      <c r="E615" s="32">
        <v>11</v>
      </c>
      <c r="F615" s="32">
        <v>10</v>
      </c>
      <c r="G615" s="32" t="s">
        <v>52</v>
      </c>
      <c r="H615" s="32" t="s">
        <v>3332</v>
      </c>
      <c r="I615" s="32" t="s">
        <v>39</v>
      </c>
      <c r="J615" s="32" t="s">
        <v>53</v>
      </c>
    </row>
    <row r="616" spans="1:12" hidden="1" x14ac:dyDescent="0.3">
      <c r="A616" s="39">
        <v>46163.348136574074</v>
      </c>
      <c r="B616" s="32">
        <v>81988293889</v>
      </c>
      <c r="C616" s="32">
        <v>4431268225</v>
      </c>
      <c r="D616" s="32">
        <v>4431268225</v>
      </c>
      <c r="E616" s="32">
        <v>9</v>
      </c>
      <c r="F616" s="32">
        <v>9</v>
      </c>
      <c r="G616" s="32" t="s">
        <v>52</v>
      </c>
      <c r="H616" s="32" t="s">
        <v>3333</v>
      </c>
      <c r="I616" s="32" t="s">
        <v>39</v>
      </c>
      <c r="J616" s="32" t="s">
        <v>53</v>
      </c>
    </row>
    <row r="617" spans="1:12" hidden="1" x14ac:dyDescent="0.3">
      <c r="A617" s="39">
        <v>46162.749872685185</v>
      </c>
      <c r="B617" s="32">
        <v>44999449519</v>
      </c>
      <c r="C617" s="32">
        <v>4430265054</v>
      </c>
      <c r="D617" s="32">
        <v>4430265054</v>
      </c>
      <c r="E617" s="32">
        <v>161</v>
      </c>
      <c r="F617" s="32">
        <v>161</v>
      </c>
      <c r="G617" s="32" t="s">
        <v>52</v>
      </c>
      <c r="H617" s="32" t="s">
        <v>3334</v>
      </c>
      <c r="I617" s="32" t="s">
        <v>39</v>
      </c>
      <c r="J617" s="32" t="s">
        <v>53</v>
      </c>
      <c r="K617" s="32" t="s">
        <v>41</v>
      </c>
    </row>
    <row r="618" spans="1:12" hidden="1" x14ac:dyDescent="0.3">
      <c r="A618" s="39">
        <v>46162.749432870369</v>
      </c>
      <c r="B618" s="32">
        <v>44999449519</v>
      </c>
      <c r="C618" s="32" t="s">
        <v>48</v>
      </c>
      <c r="D618" s="32">
        <v>4430265054</v>
      </c>
      <c r="E618" s="32">
        <v>31</v>
      </c>
      <c r="F618" s="32">
        <v>30</v>
      </c>
      <c r="G618" s="32" t="s">
        <v>38</v>
      </c>
      <c r="H618" s="32" t="s">
        <v>3335</v>
      </c>
      <c r="I618" s="32" t="s">
        <v>39</v>
      </c>
      <c r="J618" s="32" t="s">
        <v>40</v>
      </c>
      <c r="K618" s="32" t="s">
        <v>41</v>
      </c>
    </row>
    <row r="619" spans="1:12" hidden="1" x14ac:dyDescent="0.3">
      <c r="A619" s="39">
        <v>46162.741863425923</v>
      </c>
      <c r="B619" s="32" t="s">
        <v>54</v>
      </c>
      <c r="C619" s="32">
        <v>95984104099</v>
      </c>
      <c r="E619" s="32">
        <v>8</v>
      </c>
      <c r="F619" s="32">
        <v>0</v>
      </c>
      <c r="G619" s="32" t="s">
        <v>47</v>
      </c>
      <c r="H619" s="32" t="s">
        <v>3336</v>
      </c>
      <c r="I619" s="32" t="s">
        <v>46</v>
      </c>
      <c r="J619" s="32" t="s">
        <v>55</v>
      </c>
    </row>
    <row r="620" spans="1:12" hidden="1" x14ac:dyDescent="0.3">
      <c r="A620" s="39">
        <v>46162.738807870373</v>
      </c>
      <c r="B620" s="32" t="s">
        <v>54</v>
      </c>
      <c r="C620" s="32">
        <v>18997511998</v>
      </c>
      <c r="E620" s="32">
        <v>16</v>
      </c>
      <c r="F620" s="32">
        <v>9</v>
      </c>
      <c r="G620" s="32" t="s">
        <v>38</v>
      </c>
      <c r="H620" s="32" t="s">
        <v>3337</v>
      </c>
      <c r="I620" s="32" t="s">
        <v>46</v>
      </c>
      <c r="J620" s="32" t="s">
        <v>55</v>
      </c>
    </row>
    <row r="621" spans="1:12" hidden="1" x14ac:dyDescent="0.3">
      <c r="A621" s="39">
        <v>46162.737870370373</v>
      </c>
      <c r="B621" s="32" t="s">
        <v>54</v>
      </c>
      <c r="C621" s="32">
        <v>1132464984</v>
      </c>
      <c r="E621" s="32">
        <v>1</v>
      </c>
      <c r="F621" s="32">
        <v>0</v>
      </c>
      <c r="G621" s="32" t="s">
        <v>47</v>
      </c>
      <c r="H621" s="32" t="s">
        <v>3338</v>
      </c>
      <c r="I621" s="32" t="s">
        <v>46</v>
      </c>
      <c r="J621" s="32" t="s">
        <v>55</v>
      </c>
    </row>
    <row r="622" spans="1:12" hidden="1" x14ac:dyDescent="0.3">
      <c r="A622" s="39">
        <v>46162.727569444447</v>
      </c>
      <c r="B622" s="32" t="s">
        <v>54</v>
      </c>
      <c r="C622" s="32">
        <v>18981116161</v>
      </c>
      <c r="E622" s="32">
        <v>8</v>
      </c>
      <c r="F622" s="32">
        <v>2</v>
      </c>
      <c r="G622" s="32" t="s">
        <v>38</v>
      </c>
      <c r="H622" s="32" t="s">
        <v>3339</v>
      </c>
      <c r="I622" s="32" t="s">
        <v>46</v>
      </c>
      <c r="J622" s="32" t="s">
        <v>55</v>
      </c>
    </row>
    <row r="623" spans="1:12" hidden="1" x14ac:dyDescent="0.3">
      <c r="A623" s="39">
        <v>46162.718206018515</v>
      </c>
      <c r="B623" s="32">
        <v>44997400641</v>
      </c>
      <c r="C623" s="32" t="s">
        <v>48</v>
      </c>
      <c r="D623" s="32">
        <v>4430265054</v>
      </c>
      <c r="E623" s="32">
        <v>195</v>
      </c>
      <c r="F623" s="32">
        <v>134</v>
      </c>
      <c r="G623" s="32" t="s">
        <v>38</v>
      </c>
      <c r="H623" s="32" t="s">
        <v>3340</v>
      </c>
      <c r="I623" s="32" t="s">
        <v>39</v>
      </c>
      <c r="J623" s="32" t="s">
        <v>40</v>
      </c>
      <c r="K623" s="32" t="s">
        <v>41</v>
      </c>
    </row>
    <row r="624" spans="1:12" hidden="1" x14ac:dyDescent="0.3">
      <c r="A624" s="39">
        <v>46162.714884259258</v>
      </c>
      <c r="B624" s="32">
        <v>41997840159</v>
      </c>
      <c r="C624" s="32" t="s">
        <v>43</v>
      </c>
      <c r="D624" s="32">
        <v>4431268225</v>
      </c>
      <c r="E624" s="32">
        <v>944</v>
      </c>
      <c r="F624" s="32">
        <v>902</v>
      </c>
      <c r="G624" s="32" t="s">
        <v>38</v>
      </c>
      <c r="H624" s="32" t="s">
        <v>3341</v>
      </c>
      <c r="I624" s="32" t="s">
        <v>39</v>
      </c>
      <c r="J624" s="32" t="s">
        <v>40</v>
      </c>
      <c r="K624" s="32" t="s">
        <v>41</v>
      </c>
      <c r="L624" s="32">
        <v>5</v>
      </c>
    </row>
    <row r="625" spans="1:12" hidden="1" x14ac:dyDescent="0.3">
      <c r="A625" s="39">
        <v>46162.710150462961</v>
      </c>
      <c r="B625" s="32">
        <v>4430562296</v>
      </c>
      <c r="C625" s="32" t="s">
        <v>44</v>
      </c>
      <c r="D625" s="32">
        <v>4430265054</v>
      </c>
      <c r="E625" s="32">
        <v>802</v>
      </c>
      <c r="F625" s="32">
        <v>730</v>
      </c>
      <c r="G625" s="32" t="s">
        <v>38</v>
      </c>
      <c r="H625" s="32" t="s">
        <v>3342</v>
      </c>
      <c r="I625" s="32" t="s">
        <v>39</v>
      </c>
      <c r="J625" s="32" t="s">
        <v>40</v>
      </c>
      <c r="K625" s="32" t="s">
        <v>41</v>
      </c>
    </row>
    <row r="626" spans="1:12" hidden="1" x14ac:dyDescent="0.3">
      <c r="A626" s="39">
        <v>46162.706423611111</v>
      </c>
      <c r="B626" s="32">
        <v>43991364602</v>
      </c>
      <c r="C626" s="32" t="s">
        <v>48</v>
      </c>
      <c r="D626" s="32">
        <v>4430265054</v>
      </c>
      <c r="E626" s="32">
        <v>335</v>
      </c>
      <c r="F626" s="32">
        <v>304</v>
      </c>
      <c r="G626" s="32" t="s">
        <v>38</v>
      </c>
      <c r="H626" s="32" t="s">
        <v>3343</v>
      </c>
      <c r="I626" s="32" t="s">
        <v>39</v>
      </c>
      <c r="J626" s="32" t="s">
        <v>40</v>
      </c>
      <c r="K626" s="32" t="s">
        <v>41</v>
      </c>
    </row>
    <row r="627" spans="1:12" hidden="1" x14ac:dyDescent="0.3">
      <c r="A627" s="39">
        <v>46162.703136574077</v>
      </c>
      <c r="B627" s="32">
        <v>4432520627</v>
      </c>
      <c r="C627" s="32" t="s">
        <v>43</v>
      </c>
      <c r="D627" s="32">
        <v>4430265054</v>
      </c>
      <c r="E627" s="32">
        <v>765</v>
      </c>
      <c r="F627" s="32">
        <v>722</v>
      </c>
      <c r="G627" s="32" t="s">
        <v>38</v>
      </c>
      <c r="H627" s="32" t="s">
        <v>3344</v>
      </c>
      <c r="I627" s="32" t="s">
        <v>39</v>
      </c>
      <c r="J627" s="32" t="s">
        <v>40</v>
      </c>
      <c r="K627" s="32" t="s">
        <v>41</v>
      </c>
    </row>
    <row r="628" spans="1:12" hidden="1" x14ac:dyDescent="0.3">
      <c r="A628" s="39">
        <v>46162.699502314812</v>
      </c>
      <c r="B628" s="32">
        <v>4430191401</v>
      </c>
      <c r="C628" s="32" t="s">
        <v>43</v>
      </c>
      <c r="D628" s="32">
        <v>4430265054</v>
      </c>
      <c r="E628" s="32">
        <v>219</v>
      </c>
      <c r="F628" s="32">
        <v>127</v>
      </c>
      <c r="G628" s="32" t="s">
        <v>38</v>
      </c>
      <c r="H628" s="32" t="s">
        <v>3345</v>
      </c>
      <c r="I628" s="32" t="s">
        <v>39</v>
      </c>
      <c r="J628" s="32" t="s">
        <v>40</v>
      </c>
      <c r="K628" s="32" t="s">
        <v>41</v>
      </c>
    </row>
    <row r="629" spans="1:12" hidden="1" x14ac:dyDescent="0.3">
      <c r="A629" s="39">
        <v>46162.680092592593</v>
      </c>
      <c r="B629" s="32" t="s">
        <v>56</v>
      </c>
      <c r="C629" s="32">
        <v>4430162384</v>
      </c>
      <c r="E629" s="32">
        <v>2111</v>
      </c>
      <c r="F629" s="32">
        <v>2086</v>
      </c>
      <c r="G629" s="32" t="s">
        <v>38</v>
      </c>
      <c r="H629" s="32" t="s">
        <v>3346</v>
      </c>
      <c r="I629" s="32" t="s">
        <v>46</v>
      </c>
      <c r="J629" s="32" t="s">
        <v>53</v>
      </c>
    </row>
    <row r="630" spans="1:12" hidden="1" x14ac:dyDescent="0.3">
      <c r="A630" s="39">
        <v>46162.677731481483</v>
      </c>
      <c r="B630" s="32">
        <v>44999387742</v>
      </c>
      <c r="C630" s="32" t="s">
        <v>45</v>
      </c>
      <c r="D630" s="32">
        <v>4431268225</v>
      </c>
      <c r="E630" s="32">
        <v>3822</v>
      </c>
      <c r="F630" s="32">
        <v>3773</v>
      </c>
      <c r="G630" s="32" t="s">
        <v>38</v>
      </c>
      <c r="H630" s="32" t="s">
        <v>3347</v>
      </c>
      <c r="I630" s="32" t="s">
        <v>39</v>
      </c>
      <c r="J630" s="32" t="s">
        <v>40</v>
      </c>
      <c r="K630" s="32" t="s">
        <v>41</v>
      </c>
    </row>
    <row r="631" spans="1:12" hidden="1" x14ac:dyDescent="0.3">
      <c r="A631" s="39">
        <v>46162.677175925928</v>
      </c>
      <c r="B631" s="32" t="s">
        <v>45</v>
      </c>
      <c r="C631" s="32">
        <v>44999387742</v>
      </c>
      <c r="E631" s="32">
        <v>33</v>
      </c>
      <c r="F631" s="32">
        <v>1</v>
      </c>
      <c r="G631" s="32" t="s">
        <v>38</v>
      </c>
      <c r="H631" s="32" t="s">
        <v>3348</v>
      </c>
      <c r="I631" s="32" t="s">
        <v>46</v>
      </c>
      <c r="J631" s="32" t="s">
        <v>40</v>
      </c>
    </row>
    <row r="632" spans="1:12" hidden="1" x14ac:dyDescent="0.3">
      <c r="A632" s="39">
        <v>46162.671539351853</v>
      </c>
      <c r="B632" s="32">
        <v>4430162384</v>
      </c>
      <c r="C632" s="32" t="s">
        <v>45</v>
      </c>
      <c r="D632" s="32">
        <v>4430265054</v>
      </c>
      <c r="E632" s="32">
        <v>231</v>
      </c>
      <c r="F632" s="32">
        <v>149</v>
      </c>
      <c r="G632" s="32" t="s">
        <v>38</v>
      </c>
      <c r="H632" s="32" t="s">
        <v>3349</v>
      </c>
      <c r="I632" s="32" t="s">
        <v>39</v>
      </c>
      <c r="J632" s="32" t="s">
        <v>40</v>
      </c>
      <c r="K632" s="32" t="s">
        <v>41</v>
      </c>
    </row>
    <row r="633" spans="1:12" hidden="1" x14ac:dyDescent="0.3">
      <c r="A633" s="39">
        <v>46162.666979166665</v>
      </c>
      <c r="B633" s="32">
        <v>44998849102</v>
      </c>
      <c r="C633" s="32" t="s">
        <v>44</v>
      </c>
      <c r="D633" s="32">
        <v>4430265054</v>
      </c>
      <c r="E633" s="32">
        <v>665</v>
      </c>
      <c r="F633" s="32">
        <v>637</v>
      </c>
      <c r="G633" s="32" t="s">
        <v>38</v>
      </c>
      <c r="H633" s="32" t="s">
        <v>3350</v>
      </c>
      <c r="I633" s="32" t="s">
        <v>39</v>
      </c>
      <c r="J633" s="32" t="s">
        <v>40</v>
      </c>
      <c r="K633" s="32" t="s">
        <v>41</v>
      </c>
    </row>
    <row r="634" spans="1:12" hidden="1" x14ac:dyDescent="0.3">
      <c r="A634" s="39">
        <v>46162.666481481479</v>
      </c>
      <c r="B634" s="32">
        <v>43991364602</v>
      </c>
      <c r="C634" s="32">
        <v>4430265054</v>
      </c>
      <c r="D634" s="32">
        <v>4430265054</v>
      </c>
      <c r="E634" s="32">
        <v>134</v>
      </c>
      <c r="F634" s="32">
        <v>133</v>
      </c>
      <c r="G634" s="32" t="s">
        <v>52</v>
      </c>
      <c r="H634" s="32" t="s">
        <v>3351</v>
      </c>
      <c r="I634" s="32" t="s">
        <v>39</v>
      </c>
      <c r="J634" s="32" t="s">
        <v>53</v>
      </c>
      <c r="K634" s="32" t="s">
        <v>41</v>
      </c>
    </row>
    <row r="635" spans="1:12" hidden="1" x14ac:dyDescent="0.3">
      <c r="A635" s="39">
        <v>46162.665532407409</v>
      </c>
      <c r="B635" s="32">
        <v>44999387742</v>
      </c>
      <c r="C635" s="32" t="s">
        <v>44</v>
      </c>
      <c r="D635" s="32">
        <v>4431268225</v>
      </c>
      <c r="E635" s="32">
        <v>139</v>
      </c>
      <c r="F635" s="32">
        <v>38</v>
      </c>
      <c r="G635" s="32" t="s">
        <v>38</v>
      </c>
      <c r="H635" s="32" t="s">
        <v>3352</v>
      </c>
      <c r="I635" s="32" t="s">
        <v>39</v>
      </c>
      <c r="J635" s="32" t="s">
        <v>40</v>
      </c>
      <c r="K635" s="32" t="s">
        <v>41</v>
      </c>
    </row>
    <row r="636" spans="1:12" hidden="1" x14ac:dyDescent="0.3">
      <c r="A636" s="39">
        <v>46162.662395833337</v>
      </c>
      <c r="B636" s="32">
        <v>44997735525</v>
      </c>
      <c r="C636" s="32" t="s">
        <v>45</v>
      </c>
      <c r="D636" s="32">
        <v>4430265054</v>
      </c>
      <c r="E636" s="32">
        <v>724</v>
      </c>
      <c r="F636" s="32">
        <v>688</v>
      </c>
      <c r="G636" s="32" t="s">
        <v>38</v>
      </c>
      <c r="H636" s="32" t="s">
        <v>3353</v>
      </c>
      <c r="I636" s="32" t="s">
        <v>39</v>
      </c>
      <c r="J636" s="32" t="s">
        <v>40</v>
      </c>
      <c r="K636" s="32" t="s">
        <v>41</v>
      </c>
      <c r="L636" s="32">
        <v>5</v>
      </c>
    </row>
    <row r="637" spans="1:12" hidden="1" x14ac:dyDescent="0.3">
      <c r="A637" s="39">
        <v>46162.66128472222</v>
      </c>
      <c r="B637" s="32" t="s">
        <v>45</v>
      </c>
      <c r="C637" s="32">
        <v>44999387742</v>
      </c>
      <c r="E637" s="32">
        <v>69</v>
      </c>
      <c r="F637" s="32">
        <v>32</v>
      </c>
      <c r="G637" s="32" t="s">
        <v>38</v>
      </c>
      <c r="H637" s="32" t="s">
        <v>3354</v>
      </c>
      <c r="I637" s="32" t="s">
        <v>46</v>
      </c>
      <c r="J637" s="32" t="s">
        <v>40</v>
      </c>
    </row>
    <row r="638" spans="1:12" hidden="1" x14ac:dyDescent="0.3">
      <c r="A638" s="39">
        <v>46162.657847222225</v>
      </c>
      <c r="B638" s="32">
        <v>1438160351</v>
      </c>
      <c r="C638" s="32">
        <v>4430265054</v>
      </c>
      <c r="D638" s="32">
        <v>4430265054</v>
      </c>
      <c r="E638" s="32">
        <v>9</v>
      </c>
      <c r="F638" s="32">
        <v>8</v>
      </c>
      <c r="G638" s="32" t="s">
        <v>52</v>
      </c>
      <c r="H638" s="32" t="s">
        <v>3355</v>
      </c>
      <c r="I638" s="32" t="s">
        <v>39</v>
      </c>
      <c r="J638" s="32" t="s">
        <v>53</v>
      </c>
    </row>
    <row r="639" spans="1:12" hidden="1" x14ac:dyDescent="0.3">
      <c r="A639" s="39">
        <v>46162.653993055559</v>
      </c>
      <c r="B639" s="32">
        <v>6234347959</v>
      </c>
      <c r="C639" s="32" t="s">
        <v>44</v>
      </c>
      <c r="D639" s="32">
        <v>4430265054</v>
      </c>
      <c r="E639" s="32">
        <v>1018</v>
      </c>
      <c r="F639" s="32">
        <v>993</v>
      </c>
      <c r="G639" s="32" t="s">
        <v>38</v>
      </c>
      <c r="H639" s="32" t="s">
        <v>3356</v>
      </c>
      <c r="I639" s="32" t="s">
        <v>39</v>
      </c>
      <c r="J639" s="32" t="s">
        <v>40</v>
      </c>
      <c r="K639" s="32" t="s">
        <v>41</v>
      </c>
      <c r="L639" s="32">
        <v>5</v>
      </c>
    </row>
    <row r="640" spans="1:12" hidden="1" x14ac:dyDescent="0.3">
      <c r="A640" s="39">
        <v>46162.649756944447</v>
      </c>
      <c r="B640" s="32">
        <v>6234347959</v>
      </c>
      <c r="C640" s="32">
        <v>4430265054</v>
      </c>
      <c r="D640" s="32">
        <v>4430265054</v>
      </c>
      <c r="E640" s="32">
        <v>89</v>
      </c>
      <c r="F640" s="32">
        <v>89</v>
      </c>
      <c r="G640" s="32" t="s">
        <v>52</v>
      </c>
      <c r="H640" s="32" t="s">
        <v>3357</v>
      </c>
      <c r="I640" s="32" t="s">
        <v>39</v>
      </c>
      <c r="J640" s="32" t="s">
        <v>53</v>
      </c>
      <c r="K640" s="32" t="s">
        <v>41</v>
      </c>
    </row>
    <row r="641" spans="1:12" hidden="1" x14ac:dyDescent="0.3">
      <c r="A641" s="39">
        <v>46162.647326388891</v>
      </c>
      <c r="B641" s="32">
        <v>13997709868</v>
      </c>
      <c r="C641" s="32" t="s">
        <v>43</v>
      </c>
      <c r="D641" s="32">
        <v>4430265054</v>
      </c>
      <c r="E641" s="32">
        <v>2280</v>
      </c>
      <c r="F641" s="32">
        <v>2220</v>
      </c>
      <c r="G641" s="32" t="s">
        <v>38</v>
      </c>
      <c r="H641" s="32" t="s">
        <v>3358</v>
      </c>
      <c r="I641" s="32" t="s">
        <v>39</v>
      </c>
      <c r="J641" s="32" t="s">
        <v>40</v>
      </c>
      <c r="K641" s="32" t="s">
        <v>41</v>
      </c>
      <c r="L641" s="32">
        <v>5</v>
      </c>
    </row>
    <row r="642" spans="1:12" hidden="1" x14ac:dyDescent="0.3">
      <c r="A642" s="39">
        <v>46162.646226851852</v>
      </c>
      <c r="B642" s="32" t="s">
        <v>57</v>
      </c>
      <c r="C642" s="32">
        <v>17992221551</v>
      </c>
      <c r="E642" s="32">
        <v>65</v>
      </c>
      <c r="F642" s="32">
        <v>0</v>
      </c>
      <c r="G642" s="32" t="s">
        <v>47</v>
      </c>
      <c r="H642" s="32" t="s">
        <v>3359</v>
      </c>
      <c r="I642" s="32" t="s">
        <v>46</v>
      </c>
      <c r="J642" s="32" t="s">
        <v>55</v>
      </c>
    </row>
    <row r="643" spans="1:12" hidden="1" x14ac:dyDescent="0.3">
      <c r="A643" s="39">
        <v>46162.645960648151</v>
      </c>
      <c r="B643" s="32" t="s">
        <v>57</v>
      </c>
      <c r="C643" s="32">
        <v>85989595465</v>
      </c>
      <c r="E643" s="32">
        <v>15</v>
      </c>
      <c r="F643" s="32">
        <v>1</v>
      </c>
      <c r="G643" s="32" t="s">
        <v>38</v>
      </c>
      <c r="H643" s="32" t="s">
        <v>3360</v>
      </c>
      <c r="I643" s="32" t="s">
        <v>46</v>
      </c>
      <c r="J643" s="32" t="s">
        <v>55</v>
      </c>
    </row>
    <row r="644" spans="1:12" hidden="1" x14ac:dyDescent="0.3">
      <c r="A644" s="39">
        <v>46162.645555555559</v>
      </c>
      <c r="B644" s="32" t="s">
        <v>57</v>
      </c>
      <c r="C644" s="32">
        <v>44998919766</v>
      </c>
      <c r="E644" s="32">
        <v>0</v>
      </c>
      <c r="F644" s="32">
        <v>0</v>
      </c>
      <c r="G644" s="32" t="s">
        <v>47</v>
      </c>
      <c r="H644" s="32" t="s">
        <v>3361</v>
      </c>
      <c r="I644" s="32" t="s">
        <v>46</v>
      </c>
      <c r="J644" s="32" t="s">
        <v>55</v>
      </c>
    </row>
    <row r="645" spans="1:12" hidden="1" x14ac:dyDescent="0.3">
      <c r="A645" s="39">
        <v>46162.645439814813</v>
      </c>
      <c r="B645" s="32" t="s">
        <v>57</v>
      </c>
      <c r="C645" s="32">
        <v>44998919766</v>
      </c>
      <c r="E645" s="32">
        <v>0</v>
      </c>
      <c r="F645" s="32">
        <v>0</v>
      </c>
      <c r="G645" s="32" t="s">
        <v>47</v>
      </c>
      <c r="H645" s="32" t="s">
        <v>3362</v>
      </c>
      <c r="I645" s="32" t="s">
        <v>46</v>
      </c>
      <c r="J645" s="32" t="s">
        <v>55</v>
      </c>
    </row>
    <row r="646" spans="1:12" hidden="1" x14ac:dyDescent="0.3">
      <c r="A646" s="39">
        <v>46162.644861111112</v>
      </c>
      <c r="B646" s="32" t="s">
        <v>57</v>
      </c>
      <c r="C646" s="32">
        <v>21964675901</v>
      </c>
      <c r="E646" s="32">
        <v>33</v>
      </c>
      <c r="F646" s="32">
        <v>20</v>
      </c>
      <c r="G646" s="32" t="s">
        <v>38</v>
      </c>
      <c r="H646" s="32" t="s">
        <v>3363</v>
      </c>
      <c r="I646" s="32" t="s">
        <v>46</v>
      </c>
      <c r="J646" s="32" t="s">
        <v>55</v>
      </c>
    </row>
    <row r="647" spans="1:12" hidden="1" x14ac:dyDescent="0.3">
      <c r="A647" s="39">
        <v>46162.643807870372</v>
      </c>
      <c r="B647" s="32" t="s">
        <v>57</v>
      </c>
      <c r="C647" s="32">
        <v>82988913154</v>
      </c>
      <c r="E647" s="32">
        <v>80</v>
      </c>
      <c r="F647" s="32">
        <v>0</v>
      </c>
      <c r="G647" s="32" t="s">
        <v>47</v>
      </c>
      <c r="H647" s="32" t="s">
        <v>3364</v>
      </c>
      <c r="I647" s="32" t="s">
        <v>46</v>
      </c>
      <c r="J647" s="32" t="s">
        <v>55</v>
      </c>
    </row>
    <row r="648" spans="1:12" hidden="1" x14ac:dyDescent="0.3">
      <c r="A648" s="39">
        <v>46162.642951388887</v>
      </c>
      <c r="B648" s="32" t="s">
        <v>57</v>
      </c>
      <c r="C648" s="32">
        <v>34996601887</v>
      </c>
      <c r="E648" s="32">
        <v>54</v>
      </c>
      <c r="F648" s="32">
        <v>0</v>
      </c>
      <c r="G648" s="32" t="s">
        <v>47</v>
      </c>
      <c r="H648" s="32" t="s">
        <v>3365</v>
      </c>
      <c r="I648" s="32" t="s">
        <v>46</v>
      </c>
      <c r="J648" s="32" t="s">
        <v>55</v>
      </c>
    </row>
    <row r="649" spans="1:12" hidden="1" x14ac:dyDescent="0.3">
      <c r="A649" s="39">
        <v>46162.642013888886</v>
      </c>
      <c r="B649" s="32" t="s">
        <v>57</v>
      </c>
      <c r="C649" s="32">
        <v>21993395284</v>
      </c>
      <c r="E649" s="32">
        <v>57</v>
      </c>
      <c r="F649" s="32">
        <v>40</v>
      </c>
      <c r="G649" s="32" t="s">
        <v>38</v>
      </c>
      <c r="H649" s="32" t="s">
        <v>3366</v>
      </c>
      <c r="I649" s="32" t="s">
        <v>46</v>
      </c>
      <c r="J649" s="32" t="s">
        <v>55</v>
      </c>
    </row>
    <row r="650" spans="1:12" hidden="1" x14ac:dyDescent="0.3">
      <c r="A650" s="39">
        <v>46162.641689814816</v>
      </c>
      <c r="B650" s="32" t="s">
        <v>57</v>
      </c>
      <c r="C650" s="32">
        <v>65981238728</v>
      </c>
      <c r="E650" s="32">
        <v>16</v>
      </c>
      <c r="F650" s="32">
        <v>1</v>
      </c>
      <c r="G650" s="32" t="s">
        <v>38</v>
      </c>
      <c r="H650" s="32" t="s">
        <v>3367</v>
      </c>
      <c r="I650" s="32" t="s">
        <v>46</v>
      </c>
      <c r="J650" s="32" t="s">
        <v>55</v>
      </c>
    </row>
    <row r="651" spans="1:12" hidden="1" x14ac:dyDescent="0.3">
      <c r="A651" s="39">
        <v>46162.641504629632</v>
      </c>
      <c r="B651" s="32">
        <v>4430315826</v>
      </c>
      <c r="C651" s="32" t="s">
        <v>45</v>
      </c>
      <c r="D651" s="32">
        <v>4430265054</v>
      </c>
      <c r="E651" s="32">
        <v>949</v>
      </c>
      <c r="F651" s="32">
        <v>891</v>
      </c>
      <c r="G651" s="32" t="s">
        <v>38</v>
      </c>
      <c r="H651" s="32" t="s">
        <v>3368</v>
      </c>
      <c r="I651" s="32" t="s">
        <v>39</v>
      </c>
      <c r="J651" s="32" t="s">
        <v>40</v>
      </c>
      <c r="K651" s="32" t="s">
        <v>41</v>
      </c>
      <c r="L651" s="32">
        <v>5</v>
      </c>
    </row>
    <row r="652" spans="1:12" hidden="1" x14ac:dyDescent="0.3">
      <c r="A652" s="39">
        <v>46162.640243055554</v>
      </c>
      <c r="B652" s="32" t="s">
        <v>57</v>
      </c>
      <c r="C652" s="32">
        <v>31994767881</v>
      </c>
      <c r="E652" s="32">
        <v>44</v>
      </c>
      <c r="F652" s="32">
        <v>41</v>
      </c>
      <c r="G652" s="32" t="s">
        <v>38</v>
      </c>
      <c r="H652" s="32" t="s">
        <v>3369</v>
      </c>
      <c r="I652" s="32" t="s">
        <v>46</v>
      </c>
      <c r="J652" s="32" t="s">
        <v>55</v>
      </c>
    </row>
    <row r="653" spans="1:12" hidden="1" x14ac:dyDescent="0.3">
      <c r="A653" s="39">
        <v>46162.640069444446</v>
      </c>
      <c r="B653" s="32" t="s">
        <v>57</v>
      </c>
      <c r="C653" s="32">
        <v>24974812352</v>
      </c>
      <c r="E653" s="32">
        <v>2</v>
      </c>
      <c r="F653" s="32">
        <v>0</v>
      </c>
      <c r="G653" s="32" t="s">
        <v>47</v>
      </c>
      <c r="H653" s="32" t="s">
        <v>3370</v>
      </c>
      <c r="I653" s="32" t="s">
        <v>46</v>
      </c>
      <c r="J653" s="32" t="s">
        <v>55</v>
      </c>
    </row>
    <row r="654" spans="1:12" hidden="1" x14ac:dyDescent="0.3">
      <c r="A654" s="39">
        <v>46162.639837962961</v>
      </c>
      <c r="B654" s="32" t="s">
        <v>57</v>
      </c>
      <c r="C654" s="32">
        <v>51921602506</v>
      </c>
      <c r="E654" s="32">
        <v>1</v>
      </c>
      <c r="F654" s="32">
        <v>0</v>
      </c>
      <c r="G654" s="32" t="s">
        <v>47</v>
      </c>
      <c r="H654" s="32" t="s">
        <v>3371</v>
      </c>
      <c r="I654" s="32" t="s">
        <v>46</v>
      </c>
      <c r="J654" s="32" t="s">
        <v>55</v>
      </c>
    </row>
    <row r="655" spans="1:12" hidden="1" x14ac:dyDescent="0.3">
      <c r="A655" s="39">
        <v>46162.639710648145</v>
      </c>
      <c r="B655" s="32" t="s">
        <v>57</v>
      </c>
      <c r="C655" s="32">
        <v>5121602506</v>
      </c>
      <c r="E655" s="32">
        <v>1</v>
      </c>
      <c r="F655" s="32">
        <v>0</v>
      </c>
      <c r="G655" s="32" t="s">
        <v>47</v>
      </c>
      <c r="H655" s="32" t="s">
        <v>3372</v>
      </c>
      <c r="I655" s="32" t="s">
        <v>46</v>
      </c>
      <c r="J655" s="32" t="s">
        <v>55</v>
      </c>
    </row>
    <row r="656" spans="1:12" hidden="1" x14ac:dyDescent="0.3">
      <c r="A656" s="39">
        <v>46162.639062499999</v>
      </c>
      <c r="B656" s="32" t="s">
        <v>57</v>
      </c>
      <c r="C656" s="32">
        <v>11984511282</v>
      </c>
      <c r="E656" s="32">
        <v>10</v>
      </c>
      <c r="F656" s="32">
        <v>4</v>
      </c>
      <c r="G656" s="32" t="s">
        <v>38</v>
      </c>
      <c r="H656" s="32" t="s">
        <v>3373</v>
      </c>
      <c r="I656" s="32" t="s">
        <v>46</v>
      </c>
      <c r="J656" s="32" t="s">
        <v>55</v>
      </c>
    </row>
    <row r="657" spans="1:12" hidden="1" x14ac:dyDescent="0.3">
      <c r="A657" s="39">
        <v>46162.638645833336</v>
      </c>
      <c r="B657" s="32" t="s">
        <v>57</v>
      </c>
      <c r="C657" s="32">
        <v>34988423578</v>
      </c>
      <c r="E657" s="32">
        <v>20</v>
      </c>
      <c r="F657" s="32">
        <v>2</v>
      </c>
      <c r="G657" s="32" t="s">
        <v>38</v>
      </c>
      <c r="H657" s="32" t="s">
        <v>3374</v>
      </c>
      <c r="I657" s="32" t="s">
        <v>46</v>
      </c>
      <c r="J657" s="32" t="s">
        <v>55</v>
      </c>
    </row>
    <row r="658" spans="1:12" hidden="1" x14ac:dyDescent="0.3">
      <c r="A658" s="39">
        <v>46162.637800925928</v>
      </c>
      <c r="B658" s="32" t="s">
        <v>57</v>
      </c>
      <c r="C658" s="32">
        <v>44998413881</v>
      </c>
      <c r="E658" s="32">
        <v>39</v>
      </c>
      <c r="F658" s="32">
        <v>0</v>
      </c>
      <c r="G658" s="32" t="s">
        <v>47</v>
      </c>
      <c r="H658" s="32" t="s">
        <v>3375</v>
      </c>
      <c r="I658" s="32" t="s">
        <v>46</v>
      </c>
      <c r="J658" s="32" t="s">
        <v>55</v>
      </c>
    </row>
    <row r="659" spans="1:12" hidden="1" x14ac:dyDescent="0.3">
      <c r="A659" s="39">
        <v>46162.637592592589</v>
      </c>
      <c r="B659" s="32" t="s">
        <v>57</v>
      </c>
      <c r="C659" s="32">
        <v>62981496938</v>
      </c>
      <c r="E659" s="32">
        <v>6</v>
      </c>
      <c r="F659" s="32">
        <v>0</v>
      </c>
      <c r="G659" s="32" t="s">
        <v>47</v>
      </c>
      <c r="H659" s="32" t="s">
        <v>3376</v>
      </c>
      <c r="I659" s="32" t="s">
        <v>46</v>
      </c>
      <c r="J659" s="32" t="s">
        <v>55</v>
      </c>
    </row>
    <row r="660" spans="1:12" hidden="1" x14ac:dyDescent="0.3">
      <c r="A660" s="39">
        <v>46162.637303240743</v>
      </c>
      <c r="B660" s="32" t="s">
        <v>57</v>
      </c>
      <c r="C660" s="32">
        <v>21992148974</v>
      </c>
      <c r="E660" s="32">
        <v>15</v>
      </c>
      <c r="F660" s="32">
        <v>4</v>
      </c>
      <c r="G660" s="32" t="s">
        <v>38</v>
      </c>
      <c r="H660" s="32" t="s">
        <v>3377</v>
      </c>
      <c r="I660" s="32" t="s">
        <v>46</v>
      </c>
      <c r="J660" s="32" t="s">
        <v>55</v>
      </c>
    </row>
    <row r="661" spans="1:12" hidden="1" x14ac:dyDescent="0.3">
      <c r="A661" s="39">
        <v>46162.636793981481</v>
      </c>
      <c r="B661" s="32" t="s">
        <v>57</v>
      </c>
      <c r="C661" s="32">
        <v>19994429049</v>
      </c>
      <c r="E661" s="32">
        <v>23</v>
      </c>
      <c r="F661" s="32">
        <v>0</v>
      </c>
      <c r="G661" s="32" t="s">
        <v>47</v>
      </c>
      <c r="H661" s="32" t="s">
        <v>3378</v>
      </c>
      <c r="I661" s="32" t="s">
        <v>46</v>
      </c>
      <c r="J661" s="32" t="s">
        <v>55</v>
      </c>
    </row>
    <row r="662" spans="1:12" hidden="1" x14ac:dyDescent="0.3">
      <c r="A662" s="39">
        <v>46162.636643518519</v>
      </c>
      <c r="B662" s="32" t="s">
        <v>57</v>
      </c>
      <c r="C662" s="32">
        <v>32999866900</v>
      </c>
      <c r="E662" s="32">
        <v>1</v>
      </c>
      <c r="F662" s="32">
        <v>0</v>
      </c>
      <c r="G662" s="32" t="s">
        <v>47</v>
      </c>
      <c r="H662" s="32" t="s">
        <v>3379</v>
      </c>
      <c r="I662" s="32" t="s">
        <v>46</v>
      </c>
      <c r="J662" s="32" t="s">
        <v>55</v>
      </c>
    </row>
    <row r="663" spans="1:12" hidden="1" x14ac:dyDescent="0.3">
      <c r="A663" s="39">
        <v>46162.636516203704</v>
      </c>
      <c r="B663" s="32" t="s">
        <v>57</v>
      </c>
      <c r="C663" s="32">
        <v>32999866900</v>
      </c>
      <c r="E663" s="32">
        <v>1</v>
      </c>
      <c r="F663" s="32">
        <v>0</v>
      </c>
      <c r="G663" s="32" t="s">
        <v>47</v>
      </c>
      <c r="H663" s="32" t="s">
        <v>3380</v>
      </c>
      <c r="I663" s="32" t="s">
        <v>46</v>
      </c>
      <c r="J663" s="32" t="s">
        <v>55</v>
      </c>
    </row>
    <row r="664" spans="1:12" hidden="1" x14ac:dyDescent="0.3">
      <c r="A664" s="39">
        <v>46162.635844907411</v>
      </c>
      <c r="B664" s="32" t="s">
        <v>57</v>
      </c>
      <c r="C664" s="32">
        <v>41999752425</v>
      </c>
      <c r="E664" s="32">
        <v>28</v>
      </c>
      <c r="F664" s="32">
        <v>13</v>
      </c>
      <c r="G664" s="32" t="s">
        <v>38</v>
      </c>
      <c r="H664" s="32" t="s">
        <v>3381</v>
      </c>
      <c r="I664" s="32" t="s">
        <v>46</v>
      </c>
      <c r="J664" s="32" t="s">
        <v>55</v>
      </c>
    </row>
    <row r="665" spans="1:12" hidden="1" x14ac:dyDescent="0.3">
      <c r="A665" s="39">
        <v>46162.635023148148</v>
      </c>
      <c r="B665" s="32" t="s">
        <v>57</v>
      </c>
      <c r="C665" s="32">
        <v>51999982106</v>
      </c>
      <c r="E665" s="32">
        <v>46</v>
      </c>
      <c r="F665" s="32">
        <v>8</v>
      </c>
      <c r="G665" s="32" t="s">
        <v>38</v>
      </c>
      <c r="H665" s="32" t="s">
        <v>3382</v>
      </c>
      <c r="I665" s="32" t="s">
        <v>46</v>
      </c>
      <c r="J665" s="32" t="s">
        <v>55</v>
      </c>
    </row>
    <row r="666" spans="1:12" hidden="1" x14ac:dyDescent="0.3">
      <c r="A666" s="39">
        <v>46162.634305555555</v>
      </c>
      <c r="B666" s="32" t="s">
        <v>57</v>
      </c>
      <c r="C666" s="32">
        <v>47991738423</v>
      </c>
      <c r="E666" s="32">
        <v>36</v>
      </c>
      <c r="F666" s="32">
        <v>14</v>
      </c>
      <c r="G666" s="32" t="s">
        <v>38</v>
      </c>
      <c r="H666" s="32" t="s">
        <v>3383</v>
      </c>
      <c r="I666" s="32" t="s">
        <v>46</v>
      </c>
      <c r="J666" s="32" t="s">
        <v>55</v>
      </c>
    </row>
    <row r="667" spans="1:12" hidden="1" x14ac:dyDescent="0.3">
      <c r="A667" s="39">
        <v>46162.634155092594</v>
      </c>
      <c r="B667" s="32" t="s">
        <v>57</v>
      </c>
      <c r="C667" s="32">
        <v>89994024907</v>
      </c>
      <c r="E667" s="32">
        <v>5</v>
      </c>
      <c r="F667" s="32">
        <v>0</v>
      </c>
      <c r="G667" s="32" t="s">
        <v>47</v>
      </c>
      <c r="H667" s="32" t="s">
        <v>3384</v>
      </c>
      <c r="I667" s="32" t="s">
        <v>46</v>
      </c>
      <c r="J667" s="32" t="s">
        <v>55</v>
      </c>
    </row>
    <row r="668" spans="1:12" hidden="1" x14ac:dyDescent="0.3">
      <c r="A668" s="39">
        <v>46162.632106481484</v>
      </c>
      <c r="B668" s="32" t="s">
        <v>57</v>
      </c>
      <c r="C668" s="32">
        <v>86999937022</v>
      </c>
      <c r="E668" s="32">
        <v>31</v>
      </c>
      <c r="F668" s="32">
        <v>0</v>
      </c>
      <c r="G668" s="32" t="s">
        <v>47</v>
      </c>
      <c r="H668" s="32" t="s">
        <v>3385</v>
      </c>
      <c r="I668" s="32" t="s">
        <v>46</v>
      </c>
      <c r="J668" s="32" t="s">
        <v>55</v>
      </c>
    </row>
    <row r="669" spans="1:12" hidden="1" x14ac:dyDescent="0.3">
      <c r="A669" s="39">
        <v>46162.631203703706</v>
      </c>
      <c r="B669" s="32" t="s">
        <v>57</v>
      </c>
      <c r="C669" s="32">
        <v>51985088272</v>
      </c>
      <c r="E669" s="32">
        <v>43</v>
      </c>
      <c r="F669" s="32">
        <v>5</v>
      </c>
      <c r="G669" s="32" t="s">
        <v>38</v>
      </c>
      <c r="H669" s="32" t="s">
        <v>3386</v>
      </c>
      <c r="I669" s="32" t="s">
        <v>46</v>
      </c>
      <c r="J669" s="32" t="s">
        <v>55</v>
      </c>
    </row>
    <row r="670" spans="1:12" hidden="1" x14ac:dyDescent="0.3">
      <c r="A670" s="39">
        <v>46162.618657407409</v>
      </c>
      <c r="B670" s="32">
        <v>6234347959</v>
      </c>
      <c r="C670" s="32" t="s">
        <v>48</v>
      </c>
      <c r="D670" s="32">
        <v>4430265054</v>
      </c>
      <c r="E670" s="32">
        <v>509</v>
      </c>
      <c r="F670" s="32">
        <v>494</v>
      </c>
      <c r="G670" s="32" t="s">
        <v>38</v>
      </c>
      <c r="H670" s="32" t="s">
        <v>3387</v>
      </c>
      <c r="I670" s="32" t="s">
        <v>39</v>
      </c>
      <c r="J670" s="32" t="s">
        <v>40</v>
      </c>
      <c r="K670" s="32" t="s">
        <v>41</v>
      </c>
      <c r="L670" s="32">
        <v>5</v>
      </c>
    </row>
    <row r="671" spans="1:12" hidden="1" x14ac:dyDescent="0.3">
      <c r="A671" s="39">
        <v>46162.616157407407</v>
      </c>
      <c r="B671" s="32">
        <v>4430318514</v>
      </c>
      <c r="C671" s="32" t="s">
        <v>44</v>
      </c>
      <c r="D671" s="32">
        <v>4430265054</v>
      </c>
      <c r="E671" s="32">
        <v>347</v>
      </c>
      <c r="F671" s="32">
        <v>300</v>
      </c>
      <c r="G671" s="32" t="s">
        <v>38</v>
      </c>
      <c r="H671" s="32" t="s">
        <v>3388</v>
      </c>
      <c r="I671" s="32" t="s">
        <v>39</v>
      </c>
      <c r="J671" s="32" t="s">
        <v>40</v>
      </c>
      <c r="K671" s="32" t="s">
        <v>41</v>
      </c>
      <c r="L671" s="32">
        <v>5</v>
      </c>
    </row>
    <row r="672" spans="1:12" hidden="1" x14ac:dyDescent="0.3">
      <c r="A672" s="39">
        <v>46162.61010416667</v>
      </c>
      <c r="B672" s="32">
        <v>44998761561</v>
      </c>
      <c r="C672" s="32" t="s">
        <v>45</v>
      </c>
      <c r="D672" s="32">
        <v>4430265054</v>
      </c>
      <c r="E672" s="32">
        <v>1822</v>
      </c>
      <c r="F672" s="32">
        <v>1783</v>
      </c>
      <c r="G672" s="32" t="s">
        <v>38</v>
      </c>
      <c r="H672" s="32" t="s">
        <v>3389</v>
      </c>
      <c r="I672" s="32" t="s">
        <v>39</v>
      </c>
      <c r="J672" s="32" t="s">
        <v>40</v>
      </c>
      <c r="K672" s="32" t="s">
        <v>41</v>
      </c>
      <c r="L672" s="32">
        <v>5</v>
      </c>
    </row>
    <row r="673" spans="1:12" hidden="1" x14ac:dyDescent="0.3">
      <c r="A673" s="39">
        <v>46162.60796296296</v>
      </c>
      <c r="B673" s="32">
        <v>44997618065</v>
      </c>
      <c r="C673" s="32" t="s">
        <v>43</v>
      </c>
      <c r="D673" s="32">
        <v>4430265054</v>
      </c>
      <c r="E673" s="32">
        <v>1343</v>
      </c>
      <c r="F673" s="32">
        <v>1283</v>
      </c>
      <c r="G673" s="32" t="s">
        <v>38</v>
      </c>
      <c r="H673" s="32" t="s">
        <v>3390</v>
      </c>
      <c r="I673" s="32" t="s">
        <v>39</v>
      </c>
      <c r="J673" s="32" t="s">
        <v>40</v>
      </c>
      <c r="K673" s="32" t="s">
        <v>41</v>
      </c>
    </row>
    <row r="674" spans="1:12" hidden="1" x14ac:dyDescent="0.3">
      <c r="A674" s="39">
        <v>46162.606550925928</v>
      </c>
      <c r="B674" s="32">
        <v>4430162384</v>
      </c>
      <c r="C674" s="32" t="s">
        <v>44</v>
      </c>
      <c r="D674" s="32">
        <v>4430265054</v>
      </c>
      <c r="E674" s="32">
        <v>269</v>
      </c>
      <c r="F674" s="32">
        <v>146</v>
      </c>
      <c r="G674" s="32" t="s">
        <v>38</v>
      </c>
      <c r="H674" s="32" t="s">
        <v>3391</v>
      </c>
      <c r="I674" s="32" t="s">
        <v>39</v>
      </c>
      <c r="J674" s="32" t="s">
        <v>40</v>
      </c>
      <c r="K674" s="32" t="s">
        <v>41</v>
      </c>
    </row>
    <row r="675" spans="1:12" hidden="1" x14ac:dyDescent="0.3">
      <c r="A675" s="39">
        <v>46162.603356481479</v>
      </c>
      <c r="B675" s="32" t="s">
        <v>44</v>
      </c>
      <c r="C675" s="32">
        <v>99996511677</v>
      </c>
      <c r="E675" s="32">
        <v>60</v>
      </c>
      <c r="F675" s="32">
        <v>44</v>
      </c>
      <c r="G675" s="32" t="s">
        <v>38</v>
      </c>
      <c r="H675" s="32" t="s">
        <v>3392</v>
      </c>
      <c r="I675" s="32" t="s">
        <v>46</v>
      </c>
      <c r="J675" s="32" t="s">
        <v>40</v>
      </c>
    </row>
    <row r="676" spans="1:12" hidden="1" x14ac:dyDescent="0.3">
      <c r="A676" s="39">
        <v>46162.594270833331</v>
      </c>
      <c r="B676" s="32">
        <v>4121413772</v>
      </c>
      <c r="C676" s="32" t="s">
        <v>43</v>
      </c>
      <c r="D676" s="32">
        <v>4531273161</v>
      </c>
      <c r="E676" s="32">
        <v>46</v>
      </c>
      <c r="F676" s="32">
        <v>13</v>
      </c>
      <c r="G676" s="32" t="s">
        <v>38</v>
      </c>
      <c r="H676" s="32" t="s">
        <v>3393</v>
      </c>
      <c r="I676" s="32" t="s">
        <v>39</v>
      </c>
      <c r="J676" s="32" t="s">
        <v>40</v>
      </c>
      <c r="K676" s="32" t="s">
        <v>41</v>
      </c>
    </row>
    <row r="677" spans="1:12" hidden="1" x14ac:dyDescent="0.3">
      <c r="A677" s="39">
        <v>46162.594178240739</v>
      </c>
      <c r="B677" s="32">
        <v>44988328358</v>
      </c>
      <c r="C677" s="32">
        <v>4430265054</v>
      </c>
      <c r="D677" s="32">
        <v>4430265054</v>
      </c>
      <c r="E677" s="32">
        <v>9</v>
      </c>
      <c r="F677" s="32">
        <v>9</v>
      </c>
      <c r="G677" s="32" t="s">
        <v>52</v>
      </c>
      <c r="H677" s="32" t="s">
        <v>3394</v>
      </c>
      <c r="I677" s="32" t="s">
        <v>39</v>
      </c>
      <c r="J677" s="32" t="s">
        <v>53</v>
      </c>
    </row>
    <row r="678" spans="1:12" hidden="1" x14ac:dyDescent="0.3">
      <c r="A678" s="39">
        <v>46162.593101851853</v>
      </c>
      <c r="B678" s="32">
        <v>13997709868</v>
      </c>
      <c r="C678" s="32" t="s">
        <v>48</v>
      </c>
      <c r="D678" s="32">
        <v>4430265054</v>
      </c>
      <c r="E678" s="32">
        <v>2002</v>
      </c>
      <c r="F678" s="32">
        <v>1957</v>
      </c>
      <c r="G678" s="32" t="s">
        <v>38</v>
      </c>
      <c r="H678" s="32" t="s">
        <v>3395</v>
      </c>
      <c r="I678" s="32" t="s">
        <v>39</v>
      </c>
      <c r="J678" s="32" t="s">
        <v>40</v>
      </c>
      <c r="K678" s="32" t="s">
        <v>41</v>
      </c>
    </row>
    <row r="679" spans="1:12" hidden="1" x14ac:dyDescent="0.3">
      <c r="A679" s="39">
        <v>46162.592731481483</v>
      </c>
      <c r="B679" s="32">
        <v>13997709868</v>
      </c>
      <c r="C679" s="32">
        <v>4430265054</v>
      </c>
      <c r="D679" s="32">
        <v>4430265054</v>
      </c>
      <c r="E679" s="32">
        <v>12</v>
      </c>
      <c r="F679" s="32">
        <v>11</v>
      </c>
      <c r="G679" s="32" t="s">
        <v>52</v>
      </c>
      <c r="H679" s="32" t="s">
        <v>3396</v>
      </c>
      <c r="I679" s="32" t="s">
        <v>39</v>
      </c>
      <c r="J679" s="32" t="s">
        <v>53</v>
      </c>
    </row>
    <row r="680" spans="1:12" hidden="1" x14ac:dyDescent="0.3">
      <c r="A680" s="39">
        <v>46162.59165509259</v>
      </c>
      <c r="B680" s="32">
        <v>44998039090</v>
      </c>
      <c r="C680" s="32" t="s">
        <v>45</v>
      </c>
      <c r="D680" s="32">
        <v>4430265054</v>
      </c>
      <c r="E680" s="32">
        <v>1426</v>
      </c>
      <c r="F680" s="32">
        <v>1247</v>
      </c>
      <c r="G680" s="32" t="s">
        <v>38</v>
      </c>
      <c r="H680" s="32" t="s">
        <v>3397</v>
      </c>
      <c r="I680" s="32" t="s">
        <v>39</v>
      </c>
      <c r="J680" s="32" t="s">
        <v>40</v>
      </c>
      <c r="K680" s="32" t="s">
        <v>41</v>
      </c>
      <c r="L680" s="32">
        <v>4</v>
      </c>
    </row>
    <row r="681" spans="1:12" hidden="1" x14ac:dyDescent="0.3">
      <c r="A681" s="39">
        <v>46162.589201388888</v>
      </c>
      <c r="B681" s="32">
        <v>11975467601</v>
      </c>
      <c r="C681" s="32" t="s">
        <v>44</v>
      </c>
      <c r="D681" s="32">
        <v>4430265054</v>
      </c>
      <c r="E681" s="32">
        <v>515</v>
      </c>
      <c r="F681" s="32">
        <v>408</v>
      </c>
      <c r="G681" s="32" t="s">
        <v>38</v>
      </c>
      <c r="H681" s="32" t="s">
        <v>3398</v>
      </c>
      <c r="I681" s="32" t="s">
        <v>39</v>
      </c>
      <c r="J681" s="32" t="s">
        <v>40</v>
      </c>
      <c r="K681" s="32" t="s">
        <v>41</v>
      </c>
      <c r="L681" s="32">
        <v>5</v>
      </c>
    </row>
    <row r="682" spans="1:12" hidden="1" x14ac:dyDescent="0.3">
      <c r="A682" s="39">
        <v>46162.582141203704</v>
      </c>
      <c r="B682" s="32">
        <v>44991388221</v>
      </c>
      <c r="C682" s="32" t="s">
        <v>44</v>
      </c>
      <c r="D682" s="32">
        <v>4430265054</v>
      </c>
      <c r="E682" s="32">
        <v>179</v>
      </c>
      <c r="F682" s="32">
        <v>60</v>
      </c>
      <c r="G682" s="32" t="s">
        <v>38</v>
      </c>
      <c r="H682" s="32" t="s">
        <v>3399</v>
      </c>
      <c r="I682" s="32" t="s">
        <v>39</v>
      </c>
      <c r="J682" s="32" t="s">
        <v>40</v>
      </c>
      <c r="K682" s="32" t="s">
        <v>41</v>
      </c>
    </row>
    <row r="683" spans="1:12" hidden="1" x14ac:dyDescent="0.3">
      <c r="A683" s="39">
        <v>46162.581724537034</v>
      </c>
      <c r="B683" s="32">
        <v>4330333542</v>
      </c>
      <c r="C683" s="32" t="s">
        <v>43</v>
      </c>
      <c r="D683" s="32">
        <v>4430265054</v>
      </c>
      <c r="E683" s="32">
        <v>607</v>
      </c>
      <c r="F683" s="32">
        <v>474</v>
      </c>
      <c r="G683" s="32" t="s">
        <v>38</v>
      </c>
      <c r="H683" s="32" t="s">
        <v>3400</v>
      </c>
      <c r="I683" s="32" t="s">
        <v>39</v>
      </c>
      <c r="J683" s="32" t="s">
        <v>40</v>
      </c>
      <c r="K683" s="32" t="s">
        <v>41</v>
      </c>
    </row>
    <row r="684" spans="1:12" hidden="1" x14ac:dyDescent="0.3">
      <c r="A684" s="39">
        <v>46162.570648148147</v>
      </c>
      <c r="B684" s="32" t="s">
        <v>44</v>
      </c>
      <c r="C684" s="32">
        <v>99996511677</v>
      </c>
      <c r="E684" s="32">
        <v>69</v>
      </c>
      <c r="F684" s="32">
        <v>30</v>
      </c>
      <c r="G684" s="32" t="s">
        <v>38</v>
      </c>
      <c r="H684" s="32" t="s">
        <v>3401</v>
      </c>
      <c r="I684" s="32" t="s">
        <v>46</v>
      </c>
      <c r="J684" s="32" t="s">
        <v>40</v>
      </c>
    </row>
    <row r="685" spans="1:12" hidden="1" x14ac:dyDescent="0.3">
      <c r="A685" s="39">
        <v>46162.570092592592</v>
      </c>
      <c r="B685" s="32" t="s">
        <v>44</v>
      </c>
      <c r="C685" s="32">
        <v>99996511677</v>
      </c>
      <c r="E685" s="32">
        <v>46</v>
      </c>
      <c r="F685" s="32">
        <v>0</v>
      </c>
      <c r="G685" s="32" t="s">
        <v>47</v>
      </c>
      <c r="H685" s="32" t="s">
        <v>3402</v>
      </c>
      <c r="I685" s="32" t="s">
        <v>46</v>
      </c>
      <c r="J685" s="32" t="s">
        <v>40</v>
      </c>
    </row>
    <row r="686" spans="1:12" hidden="1" x14ac:dyDescent="0.3">
      <c r="A686" s="39">
        <v>46162.569664351853</v>
      </c>
      <c r="B686" s="32" t="s">
        <v>44</v>
      </c>
      <c r="C686" s="32">
        <v>99996511677</v>
      </c>
      <c r="E686" s="32">
        <v>34</v>
      </c>
      <c r="F686" s="32">
        <v>0</v>
      </c>
      <c r="G686" s="32" t="s">
        <v>47</v>
      </c>
      <c r="H686" s="32" t="s">
        <v>3403</v>
      </c>
      <c r="I686" s="32" t="s">
        <v>46</v>
      </c>
      <c r="J686" s="32" t="s">
        <v>40</v>
      </c>
    </row>
    <row r="687" spans="1:12" hidden="1" x14ac:dyDescent="0.3">
      <c r="A687" s="39">
        <v>46162.568182870367</v>
      </c>
      <c r="B687" s="32">
        <v>4121413772</v>
      </c>
      <c r="C687" s="32">
        <v>4531273169</v>
      </c>
      <c r="D687" s="32">
        <v>4531273169</v>
      </c>
      <c r="E687" s="32">
        <v>47</v>
      </c>
      <c r="F687" s="32">
        <v>46</v>
      </c>
      <c r="G687" s="32" t="s">
        <v>52</v>
      </c>
      <c r="H687" s="32" t="s">
        <v>3404</v>
      </c>
      <c r="I687" s="32" t="s">
        <v>39</v>
      </c>
      <c r="J687" s="32" t="s">
        <v>53</v>
      </c>
      <c r="K687" s="32" t="s">
        <v>41</v>
      </c>
    </row>
    <row r="688" spans="1:12" hidden="1" x14ac:dyDescent="0.3">
      <c r="A688" s="39">
        <v>46162.565729166665</v>
      </c>
      <c r="B688" s="32">
        <v>4430562296</v>
      </c>
      <c r="C688" s="32" t="s">
        <v>45</v>
      </c>
      <c r="D688" s="32">
        <v>4430265054</v>
      </c>
      <c r="E688" s="32">
        <v>2101</v>
      </c>
      <c r="F688" s="32">
        <v>2038</v>
      </c>
      <c r="G688" s="32" t="s">
        <v>38</v>
      </c>
      <c r="H688" s="32" t="s">
        <v>3405</v>
      </c>
      <c r="I688" s="32" t="s">
        <v>39</v>
      </c>
      <c r="J688" s="32" t="s">
        <v>40</v>
      </c>
      <c r="K688" s="32" t="s">
        <v>41</v>
      </c>
    </row>
    <row r="689" spans="1:12" hidden="1" x14ac:dyDescent="0.3">
      <c r="A689" s="39">
        <v>46162.565520833334</v>
      </c>
      <c r="B689" s="32" t="s">
        <v>45</v>
      </c>
      <c r="C689" s="32">
        <v>44999387742</v>
      </c>
      <c r="E689" s="32">
        <v>20</v>
      </c>
      <c r="F689" s="32">
        <v>0</v>
      </c>
      <c r="G689" s="32" t="s">
        <v>47</v>
      </c>
      <c r="H689" s="32" t="s">
        <v>3406</v>
      </c>
      <c r="I689" s="32" t="s">
        <v>46</v>
      </c>
      <c r="J689" s="32" t="s">
        <v>40</v>
      </c>
    </row>
    <row r="690" spans="1:12" hidden="1" x14ac:dyDescent="0.3">
      <c r="A690" s="39">
        <v>46162.564756944441</v>
      </c>
      <c r="B690" s="32" t="s">
        <v>45</v>
      </c>
      <c r="C690" s="32">
        <v>44999387742</v>
      </c>
      <c r="E690" s="32">
        <v>61</v>
      </c>
      <c r="F690" s="32">
        <v>17</v>
      </c>
      <c r="G690" s="32" t="s">
        <v>38</v>
      </c>
      <c r="H690" s="32" t="s">
        <v>3407</v>
      </c>
      <c r="I690" s="32" t="s">
        <v>46</v>
      </c>
      <c r="J690" s="32" t="s">
        <v>40</v>
      </c>
    </row>
    <row r="691" spans="1:12" hidden="1" x14ac:dyDescent="0.3">
      <c r="A691" s="39">
        <v>46162.564363425925</v>
      </c>
      <c r="B691" s="32" t="s">
        <v>45</v>
      </c>
      <c r="C691" s="32">
        <v>45999061818</v>
      </c>
      <c r="E691" s="32">
        <v>56</v>
      </c>
      <c r="F691" s="32">
        <v>29</v>
      </c>
      <c r="G691" s="32" t="s">
        <v>38</v>
      </c>
      <c r="H691" s="32" t="s">
        <v>3408</v>
      </c>
      <c r="I691" s="32" t="s">
        <v>46</v>
      </c>
      <c r="J691" s="32" t="s">
        <v>40</v>
      </c>
    </row>
    <row r="692" spans="1:12" hidden="1" x14ac:dyDescent="0.3">
      <c r="A692" s="39">
        <v>46162.56150462963</v>
      </c>
      <c r="B692" s="32">
        <v>4121414966</v>
      </c>
      <c r="C692" s="32">
        <v>4531273162</v>
      </c>
      <c r="D692" s="32">
        <v>4531273162</v>
      </c>
      <c r="E692" s="32">
        <v>28</v>
      </c>
      <c r="F692" s="32">
        <v>28</v>
      </c>
      <c r="G692" s="32" t="s">
        <v>52</v>
      </c>
      <c r="H692" s="32" t="s">
        <v>3409</v>
      </c>
      <c r="I692" s="32" t="s">
        <v>39</v>
      </c>
      <c r="J692" s="32" t="s">
        <v>53</v>
      </c>
    </row>
    <row r="693" spans="1:12" hidden="1" x14ac:dyDescent="0.3">
      <c r="A693" s="39">
        <v>46162.505983796298</v>
      </c>
      <c r="B693" s="32">
        <v>44997060605</v>
      </c>
      <c r="C693" s="32">
        <v>4430265054</v>
      </c>
      <c r="D693" s="32">
        <v>4430265054</v>
      </c>
      <c r="E693" s="32">
        <v>14</v>
      </c>
      <c r="F693" s="32">
        <v>13</v>
      </c>
      <c r="G693" s="32" t="s">
        <v>52</v>
      </c>
      <c r="H693" s="32" t="s">
        <v>3410</v>
      </c>
      <c r="I693" s="32" t="s">
        <v>39</v>
      </c>
      <c r="J693" s="32" t="s">
        <v>53</v>
      </c>
    </row>
    <row r="694" spans="1:12" hidden="1" x14ac:dyDescent="0.3">
      <c r="A694" s="39">
        <v>46162.495046296295</v>
      </c>
      <c r="B694" s="32">
        <v>44999387742</v>
      </c>
      <c r="C694" s="32" t="s">
        <v>45</v>
      </c>
      <c r="D694" s="32">
        <v>4430265054</v>
      </c>
      <c r="E694" s="32">
        <v>331</v>
      </c>
      <c r="F694" s="32">
        <v>283</v>
      </c>
      <c r="G694" s="32" t="s">
        <v>38</v>
      </c>
      <c r="H694" s="32" t="s">
        <v>3411</v>
      </c>
      <c r="I694" s="32" t="s">
        <v>39</v>
      </c>
      <c r="J694" s="32" t="s">
        <v>40</v>
      </c>
      <c r="K694" s="32" t="s">
        <v>41</v>
      </c>
    </row>
    <row r="695" spans="1:12" hidden="1" x14ac:dyDescent="0.3">
      <c r="A695" s="39">
        <v>46162.488692129627</v>
      </c>
      <c r="B695" s="32">
        <v>6434530674</v>
      </c>
      <c r="C695" s="32" t="s">
        <v>44</v>
      </c>
      <c r="D695" s="32">
        <v>4430265054</v>
      </c>
      <c r="E695" s="32">
        <v>619</v>
      </c>
      <c r="F695" s="32">
        <v>495</v>
      </c>
      <c r="G695" s="32" t="s">
        <v>38</v>
      </c>
      <c r="H695" s="32" t="s">
        <v>3412</v>
      </c>
      <c r="I695" s="32" t="s">
        <v>39</v>
      </c>
      <c r="J695" s="32" t="s">
        <v>40</v>
      </c>
      <c r="K695" s="32" t="s">
        <v>41</v>
      </c>
      <c r="L695" s="32">
        <v>5</v>
      </c>
    </row>
    <row r="696" spans="1:12" hidden="1" x14ac:dyDescent="0.3">
      <c r="A696" s="39">
        <v>46162.48578703704</v>
      </c>
      <c r="B696" s="32">
        <v>81988293889</v>
      </c>
      <c r="C696" s="32" t="s">
        <v>43</v>
      </c>
      <c r="D696" s="32">
        <v>4431268225</v>
      </c>
      <c r="E696" s="32">
        <v>553</v>
      </c>
      <c r="F696" s="32">
        <v>446</v>
      </c>
      <c r="G696" s="32" t="s">
        <v>38</v>
      </c>
      <c r="H696" s="32" t="s">
        <v>3413</v>
      </c>
      <c r="I696" s="32" t="s">
        <v>39</v>
      </c>
      <c r="J696" s="32" t="s">
        <v>40</v>
      </c>
      <c r="K696" s="32" t="s">
        <v>41</v>
      </c>
    </row>
    <row r="697" spans="1:12" hidden="1" x14ac:dyDescent="0.3">
      <c r="A697" s="39">
        <v>46162.461435185185</v>
      </c>
      <c r="B697" s="32">
        <v>4430459001</v>
      </c>
      <c r="C697" s="32" t="s">
        <v>48</v>
      </c>
      <c r="D697" s="32">
        <v>4430265054</v>
      </c>
      <c r="E697" s="32">
        <v>403</v>
      </c>
      <c r="F697" s="32">
        <v>328</v>
      </c>
      <c r="G697" s="32" t="s">
        <v>38</v>
      </c>
      <c r="H697" s="32" t="s">
        <v>3414</v>
      </c>
      <c r="I697" s="32" t="s">
        <v>39</v>
      </c>
      <c r="J697" s="32" t="s">
        <v>40</v>
      </c>
      <c r="K697" s="32" t="s">
        <v>41</v>
      </c>
    </row>
    <row r="698" spans="1:12" hidden="1" x14ac:dyDescent="0.3">
      <c r="A698" s="39">
        <v>46162.452187499999</v>
      </c>
      <c r="B698" s="32">
        <v>4533042020</v>
      </c>
      <c r="C698" s="32" t="s">
        <v>43</v>
      </c>
      <c r="D698" s="32">
        <v>4531273176</v>
      </c>
      <c r="E698" s="32">
        <v>46</v>
      </c>
      <c r="F698" s="32">
        <v>5</v>
      </c>
      <c r="G698" s="32" t="s">
        <v>38</v>
      </c>
      <c r="H698" s="32" t="s">
        <v>3415</v>
      </c>
      <c r="I698" s="32" t="s">
        <v>39</v>
      </c>
      <c r="J698" s="32" t="s">
        <v>40</v>
      </c>
      <c r="K698" s="32" t="s">
        <v>41</v>
      </c>
    </row>
    <row r="699" spans="1:12" hidden="1" x14ac:dyDescent="0.3">
      <c r="A699" s="39">
        <v>46162.451342592591</v>
      </c>
      <c r="B699" s="32">
        <v>4334232912</v>
      </c>
      <c r="C699" s="32" t="s">
        <v>48</v>
      </c>
      <c r="D699" s="32">
        <v>4430265054</v>
      </c>
      <c r="E699" s="32">
        <v>324</v>
      </c>
      <c r="F699" s="32">
        <v>324</v>
      </c>
      <c r="G699" s="32" t="s">
        <v>38</v>
      </c>
      <c r="H699" s="32" t="s">
        <v>3416</v>
      </c>
      <c r="I699" s="32" t="s">
        <v>39</v>
      </c>
      <c r="J699" s="32" t="s">
        <v>40</v>
      </c>
      <c r="K699" s="32" t="s">
        <v>41</v>
      </c>
    </row>
    <row r="700" spans="1:12" hidden="1" x14ac:dyDescent="0.3">
      <c r="A700" s="39">
        <v>46162.450173611112</v>
      </c>
      <c r="B700" s="32">
        <v>1131515685</v>
      </c>
      <c r="C700" s="32" t="s">
        <v>44</v>
      </c>
      <c r="D700" s="32">
        <v>4430265054</v>
      </c>
      <c r="E700" s="32">
        <v>668</v>
      </c>
      <c r="F700" s="32">
        <v>586</v>
      </c>
      <c r="G700" s="32" t="s">
        <v>38</v>
      </c>
      <c r="H700" s="32" t="s">
        <v>3417</v>
      </c>
      <c r="I700" s="32" t="s">
        <v>39</v>
      </c>
      <c r="J700" s="32" t="s">
        <v>40</v>
      </c>
      <c r="K700" s="32" t="s">
        <v>41</v>
      </c>
    </row>
    <row r="701" spans="1:12" hidden="1" x14ac:dyDescent="0.3">
      <c r="A701" s="39">
        <v>46162.442604166667</v>
      </c>
      <c r="B701" s="32">
        <v>4626041931</v>
      </c>
      <c r="C701" s="32" t="s">
        <v>45</v>
      </c>
      <c r="D701" s="32">
        <v>4430265054</v>
      </c>
      <c r="E701" s="32">
        <v>2610</v>
      </c>
      <c r="F701" s="32">
        <v>2539</v>
      </c>
      <c r="G701" s="32" t="s">
        <v>38</v>
      </c>
      <c r="H701" s="32" t="s">
        <v>3418</v>
      </c>
      <c r="I701" s="32" t="s">
        <v>39</v>
      </c>
      <c r="J701" s="32" t="s">
        <v>40</v>
      </c>
      <c r="K701" s="32" t="s">
        <v>41</v>
      </c>
      <c r="L701" s="32">
        <v>5</v>
      </c>
    </row>
    <row r="702" spans="1:12" hidden="1" x14ac:dyDescent="0.3">
      <c r="A702" s="39">
        <v>46162.441284722219</v>
      </c>
      <c r="B702" s="32">
        <v>1438160351</v>
      </c>
      <c r="C702" s="32">
        <v>4430265054</v>
      </c>
      <c r="D702" s="32">
        <v>4430265054</v>
      </c>
      <c r="E702" s="32">
        <v>10</v>
      </c>
      <c r="F702" s="32">
        <v>9</v>
      </c>
      <c r="G702" s="32" t="s">
        <v>52</v>
      </c>
      <c r="H702" s="32" t="s">
        <v>3419</v>
      </c>
      <c r="I702" s="32" t="s">
        <v>39</v>
      </c>
      <c r="J702" s="32" t="s">
        <v>53</v>
      </c>
    </row>
    <row r="703" spans="1:12" hidden="1" x14ac:dyDescent="0.3">
      <c r="A703" s="39">
        <v>46162.439120370371</v>
      </c>
      <c r="B703" s="32">
        <v>44997618065</v>
      </c>
      <c r="C703" s="32">
        <v>4430265054</v>
      </c>
      <c r="D703" s="32">
        <v>4430265054</v>
      </c>
      <c r="E703" s="32">
        <v>56</v>
      </c>
      <c r="F703" s="32">
        <v>55</v>
      </c>
      <c r="G703" s="32" t="s">
        <v>52</v>
      </c>
      <c r="H703" s="32" t="s">
        <v>3420</v>
      </c>
      <c r="I703" s="32" t="s">
        <v>39</v>
      </c>
      <c r="J703" s="32" t="s">
        <v>53</v>
      </c>
      <c r="K703" s="32" t="s">
        <v>41</v>
      </c>
    </row>
    <row r="704" spans="1:12" hidden="1" x14ac:dyDescent="0.3">
      <c r="A704" s="39">
        <v>46162.438750000001</v>
      </c>
      <c r="B704" s="32">
        <v>45999211333</v>
      </c>
      <c r="C704" s="32" t="s">
        <v>43</v>
      </c>
      <c r="D704" s="32">
        <v>4430265054</v>
      </c>
      <c r="E704" s="32">
        <v>480</v>
      </c>
      <c r="F704" s="32">
        <v>456</v>
      </c>
      <c r="G704" s="32" t="s">
        <v>38</v>
      </c>
      <c r="H704" s="32" t="s">
        <v>3421</v>
      </c>
      <c r="I704" s="32" t="s">
        <v>39</v>
      </c>
      <c r="J704" s="32" t="s">
        <v>40</v>
      </c>
      <c r="K704" s="32" t="s">
        <v>41</v>
      </c>
    </row>
    <row r="705" spans="1:12" hidden="1" x14ac:dyDescent="0.3">
      <c r="A705" s="39">
        <v>46162.429618055554</v>
      </c>
      <c r="B705" s="32">
        <v>6234347959</v>
      </c>
      <c r="C705" s="32" t="s">
        <v>43</v>
      </c>
      <c r="D705" s="32">
        <v>4430265054</v>
      </c>
      <c r="E705" s="32">
        <v>536</v>
      </c>
      <c r="F705" s="32">
        <v>527</v>
      </c>
      <c r="G705" s="32" t="s">
        <v>38</v>
      </c>
      <c r="H705" s="32" t="s">
        <v>3422</v>
      </c>
      <c r="I705" s="32" t="s">
        <v>39</v>
      </c>
      <c r="J705" s="32" t="s">
        <v>40</v>
      </c>
      <c r="K705" s="32" t="s">
        <v>41</v>
      </c>
    </row>
    <row r="706" spans="1:12" hidden="1" x14ac:dyDescent="0.3">
      <c r="A706" s="39">
        <v>46162.425462962965</v>
      </c>
      <c r="B706" s="32">
        <v>44999449519</v>
      </c>
      <c r="C706" s="32" t="s">
        <v>44</v>
      </c>
      <c r="D706" s="32">
        <v>4430265054</v>
      </c>
      <c r="E706" s="32">
        <v>586</v>
      </c>
      <c r="F706" s="32">
        <v>520</v>
      </c>
      <c r="G706" s="32" t="s">
        <v>38</v>
      </c>
      <c r="H706" s="32" t="s">
        <v>3423</v>
      </c>
      <c r="I706" s="32" t="s">
        <v>39</v>
      </c>
      <c r="J706" s="32" t="s">
        <v>40</v>
      </c>
      <c r="K706" s="32" t="s">
        <v>41</v>
      </c>
      <c r="L706" s="32">
        <v>5</v>
      </c>
    </row>
    <row r="707" spans="1:12" hidden="1" x14ac:dyDescent="0.3">
      <c r="A707" s="39">
        <v>46162.425451388888</v>
      </c>
      <c r="B707" s="32" t="s">
        <v>57</v>
      </c>
      <c r="C707" s="32">
        <v>45999089617</v>
      </c>
      <c r="E707" s="32">
        <v>165</v>
      </c>
      <c r="F707" s="32">
        <v>148</v>
      </c>
      <c r="G707" s="32" t="s">
        <v>38</v>
      </c>
      <c r="H707" s="32" t="s">
        <v>3424</v>
      </c>
      <c r="I707" s="32" t="s">
        <v>46</v>
      </c>
      <c r="J707" s="32" t="s">
        <v>55</v>
      </c>
    </row>
    <row r="708" spans="1:12" hidden="1" x14ac:dyDescent="0.3">
      <c r="A708" s="39">
        <v>46162.425011574072</v>
      </c>
      <c r="B708" s="32">
        <v>44999449519</v>
      </c>
      <c r="C708" s="32">
        <v>4430265054</v>
      </c>
      <c r="D708" s="32">
        <v>4430265054</v>
      </c>
      <c r="E708" s="32">
        <v>19</v>
      </c>
      <c r="F708" s="32">
        <v>18</v>
      </c>
      <c r="G708" s="32" t="s">
        <v>52</v>
      </c>
      <c r="H708" s="32" t="s">
        <v>3425</v>
      </c>
      <c r="I708" s="32" t="s">
        <v>39</v>
      </c>
      <c r="J708" s="32" t="s">
        <v>53</v>
      </c>
    </row>
    <row r="709" spans="1:12" hidden="1" x14ac:dyDescent="0.3">
      <c r="A709" s="39">
        <v>46162.424513888887</v>
      </c>
      <c r="B709" s="32">
        <v>44999449519</v>
      </c>
      <c r="C709" s="32">
        <v>4430265054</v>
      </c>
      <c r="D709" s="32">
        <v>4430265054</v>
      </c>
      <c r="E709" s="32">
        <v>38</v>
      </c>
      <c r="F709" s="32">
        <v>37</v>
      </c>
      <c r="G709" s="32" t="s">
        <v>52</v>
      </c>
      <c r="H709" s="32" t="s">
        <v>3426</v>
      </c>
      <c r="I709" s="32" t="s">
        <v>39</v>
      </c>
      <c r="J709" s="32" t="s">
        <v>53</v>
      </c>
      <c r="K709" s="32" t="s">
        <v>41</v>
      </c>
    </row>
    <row r="710" spans="1:12" hidden="1" x14ac:dyDescent="0.3">
      <c r="A710" s="39">
        <v>46162.424108796295</v>
      </c>
      <c r="B710" s="32" t="s">
        <v>57</v>
      </c>
      <c r="C710" s="32">
        <v>44999407623</v>
      </c>
      <c r="E710" s="32">
        <v>13</v>
      </c>
      <c r="F710" s="32">
        <v>0</v>
      </c>
      <c r="G710" s="32" t="s">
        <v>47</v>
      </c>
      <c r="H710" s="32" t="s">
        <v>3427</v>
      </c>
      <c r="I710" s="32" t="s">
        <v>46</v>
      </c>
      <c r="J710" s="32" t="s">
        <v>55</v>
      </c>
    </row>
    <row r="711" spans="1:12" hidden="1" x14ac:dyDescent="0.3">
      <c r="A711" s="39">
        <v>46162.421365740738</v>
      </c>
      <c r="B711" s="32">
        <v>4430459032</v>
      </c>
      <c r="C711" s="32" t="s">
        <v>44</v>
      </c>
      <c r="D711" s="32">
        <v>4430265054</v>
      </c>
      <c r="E711" s="32">
        <v>290</v>
      </c>
      <c r="F711" s="32">
        <v>177</v>
      </c>
      <c r="G711" s="32" t="s">
        <v>38</v>
      </c>
      <c r="H711" s="32" t="s">
        <v>3428</v>
      </c>
      <c r="I711" s="32" t="s">
        <v>39</v>
      </c>
      <c r="J711" s="32" t="s">
        <v>40</v>
      </c>
      <c r="K711" s="32" t="s">
        <v>41</v>
      </c>
    </row>
    <row r="712" spans="1:12" hidden="1" x14ac:dyDescent="0.3">
      <c r="A712" s="39">
        <v>46162.421053240738</v>
      </c>
      <c r="B712" s="32">
        <v>4430562296</v>
      </c>
      <c r="C712" s="32" t="s">
        <v>44</v>
      </c>
      <c r="D712" s="32">
        <v>4430265054</v>
      </c>
      <c r="E712" s="32">
        <v>127</v>
      </c>
      <c r="F712" s="32">
        <v>50</v>
      </c>
      <c r="G712" s="32" t="s">
        <v>38</v>
      </c>
      <c r="H712" s="32" t="s">
        <v>3429</v>
      </c>
      <c r="I712" s="32" t="s">
        <v>39</v>
      </c>
      <c r="J712" s="32" t="s">
        <v>40</v>
      </c>
      <c r="K712" s="32" t="s">
        <v>41</v>
      </c>
    </row>
    <row r="713" spans="1:12" hidden="1" x14ac:dyDescent="0.3">
      <c r="A713" s="39">
        <v>46162.418993055559</v>
      </c>
      <c r="B713" s="32">
        <v>44997400641</v>
      </c>
      <c r="C713" s="32" t="s">
        <v>43</v>
      </c>
      <c r="D713" s="32">
        <v>4430265054</v>
      </c>
      <c r="E713" s="32">
        <v>721</v>
      </c>
      <c r="F713" s="32">
        <v>669</v>
      </c>
      <c r="G713" s="32" t="s">
        <v>38</v>
      </c>
      <c r="H713" s="32" t="s">
        <v>3430</v>
      </c>
      <c r="I713" s="32" t="s">
        <v>39</v>
      </c>
      <c r="J713" s="32" t="s">
        <v>40</v>
      </c>
      <c r="K713" s="32" t="s">
        <v>41</v>
      </c>
    </row>
    <row r="714" spans="1:12" hidden="1" x14ac:dyDescent="0.3">
      <c r="A714" s="39">
        <v>46162.418715277781</v>
      </c>
      <c r="B714" s="32" t="s">
        <v>43</v>
      </c>
      <c r="C714" s="32">
        <v>43991519887</v>
      </c>
      <c r="E714" s="32">
        <v>35</v>
      </c>
      <c r="F714" s="32">
        <v>0</v>
      </c>
      <c r="G714" s="32" t="s">
        <v>47</v>
      </c>
      <c r="H714" s="32" t="s">
        <v>3431</v>
      </c>
      <c r="I714" s="32" t="s">
        <v>46</v>
      </c>
      <c r="J714" s="32" t="s">
        <v>40</v>
      </c>
    </row>
    <row r="715" spans="1:12" hidden="1" x14ac:dyDescent="0.3">
      <c r="A715" s="39">
        <v>46162.415636574071</v>
      </c>
      <c r="B715" s="32" t="s">
        <v>43</v>
      </c>
      <c r="C715" s="32">
        <v>43991519887</v>
      </c>
      <c r="E715" s="32">
        <v>48</v>
      </c>
      <c r="F715" s="32">
        <v>30</v>
      </c>
      <c r="G715" s="32" t="s">
        <v>38</v>
      </c>
      <c r="H715" s="32" t="s">
        <v>3432</v>
      </c>
      <c r="I715" s="32" t="s">
        <v>46</v>
      </c>
      <c r="J715" s="32" t="s">
        <v>40</v>
      </c>
    </row>
    <row r="716" spans="1:12" hidden="1" x14ac:dyDescent="0.3">
      <c r="A716" s="39">
        <v>46162.414849537039</v>
      </c>
      <c r="B716" s="32" t="s">
        <v>43</v>
      </c>
      <c r="C716" s="32">
        <v>43991519887</v>
      </c>
      <c r="E716" s="32">
        <v>52</v>
      </c>
      <c r="F716" s="32">
        <v>31</v>
      </c>
      <c r="G716" s="32" t="s">
        <v>38</v>
      </c>
      <c r="H716" s="32" t="s">
        <v>3433</v>
      </c>
      <c r="I716" s="32" t="s">
        <v>46</v>
      </c>
      <c r="J716" s="32" t="s">
        <v>40</v>
      </c>
    </row>
    <row r="717" spans="1:12" hidden="1" x14ac:dyDescent="0.3">
      <c r="A717" s="39">
        <v>46162.412083333336</v>
      </c>
      <c r="B717" s="32" t="s">
        <v>57</v>
      </c>
      <c r="C717" s="32">
        <v>44998562645</v>
      </c>
      <c r="E717" s="32">
        <v>7</v>
      </c>
      <c r="F717" s="32">
        <v>2</v>
      </c>
      <c r="G717" s="32" t="s">
        <v>38</v>
      </c>
      <c r="H717" s="32" t="s">
        <v>3434</v>
      </c>
      <c r="I717" s="32" t="s">
        <v>46</v>
      </c>
      <c r="J717" s="32" t="s">
        <v>55</v>
      </c>
    </row>
    <row r="718" spans="1:12" hidden="1" x14ac:dyDescent="0.3">
      <c r="A718" s="39">
        <v>46162.412083333336</v>
      </c>
      <c r="B718" s="32">
        <v>44998562645</v>
      </c>
      <c r="C718" s="32" t="s">
        <v>57</v>
      </c>
      <c r="D718" s="32">
        <v>4430265054</v>
      </c>
      <c r="E718" s="32">
        <v>939</v>
      </c>
      <c r="F718" s="32">
        <v>929</v>
      </c>
      <c r="G718" s="32" t="s">
        <v>38</v>
      </c>
      <c r="H718" s="32" t="s">
        <v>3435</v>
      </c>
      <c r="I718" s="32" t="s">
        <v>39</v>
      </c>
      <c r="J718" s="32" t="s">
        <v>55</v>
      </c>
      <c r="K718" s="32" t="s">
        <v>49</v>
      </c>
    </row>
    <row r="719" spans="1:12" hidden="1" x14ac:dyDescent="0.3">
      <c r="A719" s="39">
        <v>46162.411736111113</v>
      </c>
      <c r="B719" s="32" t="s">
        <v>57</v>
      </c>
      <c r="C719" s="32">
        <v>44998562645</v>
      </c>
      <c r="E719" s="32">
        <v>1</v>
      </c>
      <c r="F719" s="32">
        <v>0</v>
      </c>
      <c r="G719" s="32" t="s">
        <v>47</v>
      </c>
      <c r="H719" s="32" t="s">
        <v>3436</v>
      </c>
      <c r="I719" s="32" t="s">
        <v>46</v>
      </c>
      <c r="J719" s="32" t="s">
        <v>55</v>
      </c>
    </row>
    <row r="720" spans="1:12" hidden="1" x14ac:dyDescent="0.3">
      <c r="A720" s="39">
        <v>46162.407233796293</v>
      </c>
      <c r="B720" s="32">
        <v>44998562645</v>
      </c>
      <c r="C720" s="32" t="s">
        <v>57</v>
      </c>
      <c r="D720" s="32">
        <v>4430265054</v>
      </c>
      <c r="E720" s="32">
        <v>381</v>
      </c>
      <c r="F720" s="32">
        <v>351</v>
      </c>
      <c r="G720" s="32" t="s">
        <v>38</v>
      </c>
      <c r="H720" s="32" t="s">
        <v>3437</v>
      </c>
      <c r="I720" s="32" t="s">
        <v>39</v>
      </c>
      <c r="J720" s="32" t="s">
        <v>55</v>
      </c>
      <c r="K720" s="32" t="s">
        <v>49</v>
      </c>
    </row>
    <row r="721" spans="1:12" hidden="1" x14ac:dyDescent="0.3">
      <c r="A721" s="39">
        <v>46162.406863425924</v>
      </c>
      <c r="B721" s="32">
        <v>4430286521</v>
      </c>
      <c r="C721" s="32" t="s">
        <v>43</v>
      </c>
      <c r="D721" s="32">
        <v>4430265054</v>
      </c>
      <c r="E721" s="32">
        <v>473</v>
      </c>
      <c r="F721" s="32">
        <v>371</v>
      </c>
      <c r="G721" s="32" t="s">
        <v>38</v>
      </c>
      <c r="H721" s="32" t="s">
        <v>3438</v>
      </c>
      <c r="I721" s="32" t="s">
        <v>39</v>
      </c>
      <c r="J721" s="32" t="s">
        <v>40</v>
      </c>
      <c r="K721" s="32" t="s">
        <v>41</v>
      </c>
      <c r="L721" s="32">
        <v>5</v>
      </c>
    </row>
    <row r="722" spans="1:12" hidden="1" x14ac:dyDescent="0.3">
      <c r="A722" s="39">
        <v>46162.405578703707</v>
      </c>
      <c r="B722" s="32">
        <v>4334232912</v>
      </c>
      <c r="C722" s="32" t="s">
        <v>44</v>
      </c>
      <c r="D722" s="32">
        <v>4430265054</v>
      </c>
      <c r="E722" s="32">
        <v>244</v>
      </c>
      <c r="F722" s="32">
        <v>214</v>
      </c>
      <c r="G722" s="32" t="s">
        <v>38</v>
      </c>
      <c r="H722" s="32" t="s">
        <v>3439</v>
      </c>
      <c r="I722" s="32" t="s">
        <v>39</v>
      </c>
      <c r="J722" s="32" t="s">
        <v>40</v>
      </c>
      <c r="K722" s="32" t="s">
        <v>41</v>
      </c>
    </row>
    <row r="723" spans="1:12" hidden="1" x14ac:dyDescent="0.3">
      <c r="A723" s="39">
        <v>46162.404490740744</v>
      </c>
      <c r="B723" s="32">
        <v>45999061818</v>
      </c>
      <c r="C723" s="32" t="s">
        <v>45</v>
      </c>
      <c r="D723" s="32">
        <v>4431268225</v>
      </c>
      <c r="E723" s="32">
        <v>1951</v>
      </c>
      <c r="F723" s="32">
        <v>1878</v>
      </c>
      <c r="G723" s="32" t="s">
        <v>38</v>
      </c>
      <c r="H723" s="32" t="s">
        <v>3440</v>
      </c>
      <c r="I723" s="32" t="s">
        <v>39</v>
      </c>
      <c r="J723" s="32" t="s">
        <v>40</v>
      </c>
      <c r="K723" s="32" t="s">
        <v>41</v>
      </c>
    </row>
    <row r="724" spans="1:12" hidden="1" x14ac:dyDescent="0.3">
      <c r="A724" s="39">
        <v>46162.396284722221</v>
      </c>
      <c r="B724" s="32">
        <v>83988398480</v>
      </c>
      <c r="C724" s="32" t="s">
        <v>44</v>
      </c>
      <c r="D724" s="32">
        <v>4430265054</v>
      </c>
      <c r="E724" s="32">
        <v>221</v>
      </c>
      <c r="F724" s="32">
        <v>189</v>
      </c>
      <c r="G724" s="32" t="s">
        <v>38</v>
      </c>
      <c r="H724" s="32" t="s">
        <v>3441</v>
      </c>
      <c r="I724" s="32" t="s">
        <v>39</v>
      </c>
      <c r="J724" s="32" t="s">
        <v>40</v>
      </c>
      <c r="K724" s="32" t="s">
        <v>41</v>
      </c>
    </row>
    <row r="725" spans="1:12" hidden="1" x14ac:dyDescent="0.3">
      <c r="A725" s="39">
        <v>46162.391516203701</v>
      </c>
      <c r="B725" s="32">
        <v>99996511677</v>
      </c>
      <c r="C725" s="32" t="s">
        <v>44</v>
      </c>
      <c r="D725" s="32">
        <v>4430265054</v>
      </c>
      <c r="E725" s="32">
        <v>172</v>
      </c>
      <c r="F725" s="32">
        <v>146</v>
      </c>
      <c r="G725" s="32" t="s">
        <v>38</v>
      </c>
      <c r="H725" s="32" t="s">
        <v>3442</v>
      </c>
      <c r="I725" s="32" t="s">
        <v>39</v>
      </c>
      <c r="J725" s="32" t="s">
        <v>40</v>
      </c>
      <c r="K725" s="32" t="s">
        <v>41</v>
      </c>
    </row>
    <row r="726" spans="1:12" hidden="1" x14ac:dyDescent="0.3">
      <c r="A726" s="39">
        <v>46162.390520833331</v>
      </c>
      <c r="B726" s="32">
        <v>81986261961</v>
      </c>
      <c r="C726" s="32" t="s">
        <v>45</v>
      </c>
      <c r="D726" s="32">
        <v>4430265054</v>
      </c>
      <c r="E726" s="32">
        <v>978</v>
      </c>
      <c r="F726" s="32">
        <v>889</v>
      </c>
      <c r="G726" s="32" t="s">
        <v>38</v>
      </c>
      <c r="H726" s="32" t="s">
        <v>3443</v>
      </c>
      <c r="I726" s="32" t="s">
        <v>39</v>
      </c>
      <c r="J726" s="32" t="s">
        <v>40</v>
      </c>
      <c r="K726" s="32" t="s">
        <v>41</v>
      </c>
    </row>
    <row r="727" spans="1:12" hidden="1" x14ac:dyDescent="0.3">
      <c r="A727" s="39">
        <v>46162.387812499997</v>
      </c>
      <c r="B727" s="32">
        <v>44999503337</v>
      </c>
      <c r="C727" s="32" t="s">
        <v>44</v>
      </c>
      <c r="D727" s="32">
        <v>4430265054</v>
      </c>
      <c r="E727" s="32">
        <v>254</v>
      </c>
      <c r="F727" s="32">
        <v>171</v>
      </c>
      <c r="G727" s="32" t="s">
        <v>38</v>
      </c>
      <c r="H727" s="32" t="s">
        <v>3444</v>
      </c>
      <c r="I727" s="32" t="s">
        <v>39</v>
      </c>
      <c r="J727" s="32" t="s">
        <v>40</v>
      </c>
      <c r="K727" s="32" t="s">
        <v>41</v>
      </c>
    </row>
    <row r="728" spans="1:12" hidden="1" x14ac:dyDescent="0.3">
      <c r="A728" s="39">
        <v>46162.386932870373</v>
      </c>
      <c r="B728" s="32" t="s">
        <v>50</v>
      </c>
      <c r="C728" s="32" t="s">
        <v>57</v>
      </c>
      <c r="E728" s="32">
        <v>214</v>
      </c>
      <c r="F728" s="32">
        <v>210</v>
      </c>
      <c r="G728" s="32" t="s">
        <v>38</v>
      </c>
      <c r="H728" s="32" t="s">
        <v>3445</v>
      </c>
      <c r="I728" s="32" t="s">
        <v>51</v>
      </c>
      <c r="J728" s="32" t="s">
        <v>55</v>
      </c>
    </row>
    <row r="729" spans="1:12" hidden="1" x14ac:dyDescent="0.3">
      <c r="A729" s="39">
        <v>46162.383912037039</v>
      </c>
      <c r="B729" s="32">
        <v>91981481202</v>
      </c>
      <c r="C729" s="32" t="s">
        <v>45</v>
      </c>
      <c r="D729" s="32">
        <v>4430265054</v>
      </c>
      <c r="E729" s="32">
        <v>307</v>
      </c>
      <c r="F729" s="32">
        <v>278</v>
      </c>
      <c r="G729" s="32" t="s">
        <v>38</v>
      </c>
      <c r="H729" s="32" t="s">
        <v>3446</v>
      </c>
      <c r="I729" s="32" t="s">
        <v>39</v>
      </c>
      <c r="J729" s="32" t="s">
        <v>40</v>
      </c>
      <c r="K729" s="32" t="s">
        <v>41</v>
      </c>
    </row>
    <row r="730" spans="1:12" hidden="1" x14ac:dyDescent="0.3">
      <c r="A730" s="39">
        <v>46162.383703703701</v>
      </c>
      <c r="B730" s="32" t="s">
        <v>43</v>
      </c>
      <c r="C730" s="32">
        <v>43991519887</v>
      </c>
      <c r="E730" s="32">
        <v>1748</v>
      </c>
      <c r="F730" s="32">
        <v>1739</v>
      </c>
      <c r="G730" s="32" t="s">
        <v>38</v>
      </c>
      <c r="H730" s="32" t="s">
        <v>3447</v>
      </c>
      <c r="I730" s="32" t="s">
        <v>46</v>
      </c>
      <c r="J730" s="32" t="s">
        <v>40</v>
      </c>
    </row>
    <row r="731" spans="1:12" hidden="1" x14ac:dyDescent="0.3">
      <c r="A731" s="39">
        <v>46162.381122685183</v>
      </c>
      <c r="B731" s="32" t="s">
        <v>43</v>
      </c>
      <c r="C731" s="32">
        <v>43991519887</v>
      </c>
      <c r="E731" s="32">
        <v>231</v>
      </c>
      <c r="F731" s="32">
        <v>217</v>
      </c>
      <c r="G731" s="32" t="s">
        <v>38</v>
      </c>
      <c r="H731" s="32" t="s">
        <v>3448</v>
      </c>
      <c r="I731" s="32" t="s">
        <v>46</v>
      </c>
      <c r="J731" s="32" t="s">
        <v>40</v>
      </c>
    </row>
    <row r="732" spans="1:12" hidden="1" x14ac:dyDescent="0.3">
      <c r="A732" s="39">
        <v>46162.368009259262</v>
      </c>
      <c r="B732" s="32">
        <v>44988657373</v>
      </c>
      <c r="C732" s="32" t="s">
        <v>44</v>
      </c>
      <c r="D732" s="32">
        <v>4430265054</v>
      </c>
      <c r="E732" s="32">
        <v>825</v>
      </c>
      <c r="F732" s="32">
        <v>763</v>
      </c>
      <c r="G732" s="32" t="s">
        <v>38</v>
      </c>
      <c r="H732" s="32" t="s">
        <v>3449</v>
      </c>
      <c r="I732" s="32" t="s">
        <v>39</v>
      </c>
      <c r="J732" s="32" t="s">
        <v>40</v>
      </c>
      <c r="K732" s="32" t="s">
        <v>41</v>
      </c>
      <c r="L732" s="32">
        <v>5</v>
      </c>
    </row>
    <row r="733" spans="1:12" hidden="1" x14ac:dyDescent="0.3">
      <c r="A733" s="39">
        <v>46162.366203703707</v>
      </c>
      <c r="B733" s="32">
        <v>4334728840</v>
      </c>
      <c r="C733" s="32" t="s">
        <v>45</v>
      </c>
      <c r="D733" s="32">
        <v>4430265054</v>
      </c>
      <c r="E733" s="32">
        <v>497</v>
      </c>
      <c r="F733" s="32">
        <v>472</v>
      </c>
      <c r="G733" s="32" t="s">
        <v>38</v>
      </c>
      <c r="H733" s="32" t="s">
        <v>3450</v>
      </c>
      <c r="I733" s="32" t="s">
        <v>39</v>
      </c>
      <c r="J733" s="32" t="s">
        <v>40</v>
      </c>
      <c r="K733" s="32" t="s">
        <v>41</v>
      </c>
      <c r="L733" s="32">
        <v>5</v>
      </c>
    </row>
    <row r="734" spans="1:12" hidden="1" x14ac:dyDescent="0.3">
      <c r="A734" s="39">
        <v>46162.364340277774</v>
      </c>
      <c r="B734" s="32">
        <v>1131043888</v>
      </c>
      <c r="C734" s="32" t="s">
        <v>44</v>
      </c>
      <c r="D734" s="32">
        <v>4430265054</v>
      </c>
      <c r="E734" s="32">
        <v>160</v>
      </c>
      <c r="F734" s="32">
        <v>108</v>
      </c>
      <c r="G734" s="32" t="s">
        <v>38</v>
      </c>
      <c r="H734" s="32" t="s">
        <v>3451</v>
      </c>
      <c r="I734" s="32" t="s">
        <v>39</v>
      </c>
      <c r="J734" s="32" t="s">
        <v>40</v>
      </c>
      <c r="K734" s="32" t="s">
        <v>41</v>
      </c>
    </row>
    <row r="735" spans="1:12" hidden="1" x14ac:dyDescent="0.3">
      <c r="A735" s="39">
        <v>46162.357476851852</v>
      </c>
      <c r="B735" s="32">
        <v>44997456641</v>
      </c>
      <c r="C735" s="32" t="s">
        <v>48</v>
      </c>
      <c r="D735" s="32">
        <v>4430265054</v>
      </c>
      <c r="E735" s="32">
        <v>270</v>
      </c>
      <c r="F735" s="32">
        <v>270</v>
      </c>
      <c r="G735" s="32" t="s">
        <v>38</v>
      </c>
      <c r="H735" s="32" t="s">
        <v>3452</v>
      </c>
      <c r="I735" s="32" t="s">
        <v>39</v>
      </c>
      <c r="J735" s="32" t="s">
        <v>40</v>
      </c>
      <c r="K735" s="32" t="s">
        <v>41</v>
      </c>
    </row>
    <row r="736" spans="1:12" hidden="1" x14ac:dyDescent="0.3">
      <c r="A736" s="39">
        <v>46162.357418981483</v>
      </c>
      <c r="B736" s="32">
        <v>43991519887</v>
      </c>
      <c r="C736" s="32" t="s">
        <v>43</v>
      </c>
      <c r="D736" s="32">
        <v>4430265054</v>
      </c>
      <c r="E736" s="32">
        <v>1446</v>
      </c>
      <c r="F736" s="32">
        <v>1400</v>
      </c>
      <c r="G736" s="32" t="s">
        <v>38</v>
      </c>
      <c r="H736" s="32" t="s">
        <v>3453</v>
      </c>
      <c r="I736" s="32" t="s">
        <v>39</v>
      </c>
      <c r="J736" s="32" t="s">
        <v>40</v>
      </c>
      <c r="K736" s="32" t="s">
        <v>41</v>
      </c>
    </row>
    <row r="737" spans="1:12" hidden="1" x14ac:dyDescent="0.3">
      <c r="A737" s="39">
        <v>46162.35670138889</v>
      </c>
      <c r="B737" s="32">
        <v>1438160351</v>
      </c>
      <c r="C737" s="32">
        <v>4430265054</v>
      </c>
      <c r="D737" s="32">
        <v>4430265054</v>
      </c>
      <c r="E737" s="32">
        <v>10</v>
      </c>
      <c r="F737" s="32">
        <v>9</v>
      </c>
      <c r="G737" s="32" t="s">
        <v>52</v>
      </c>
      <c r="H737" s="32" t="s">
        <v>3454</v>
      </c>
      <c r="I737" s="32" t="s">
        <v>39</v>
      </c>
      <c r="J737" s="32" t="s">
        <v>53</v>
      </c>
    </row>
    <row r="738" spans="1:12" hidden="1" x14ac:dyDescent="0.3">
      <c r="A738" s="39">
        <v>46162.355740740742</v>
      </c>
      <c r="B738" s="32" t="s">
        <v>44</v>
      </c>
      <c r="C738" s="32">
        <v>4430468268</v>
      </c>
      <c r="E738" s="32">
        <v>235</v>
      </c>
      <c r="F738" s="32">
        <v>222</v>
      </c>
      <c r="G738" s="32" t="s">
        <v>38</v>
      </c>
      <c r="H738" s="32" t="s">
        <v>3455</v>
      </c>
      <c r="I738" s="32" t="s">
        <v>46</v>
      </c>
      <c r="J738" s="32" t="s">
        <v>40</v>
      </c>
    </row>
    <row r="739" spans="1:12" hidden="1" x14ac:dyDescent="0.3">
      <c r="A739" s="39">
        <v>46162.355671296296</v>
      </c>
      <c r="B739" s="32" t="s">
        <v>44</v>
      </c>
      <c r="C739" s="32">
        <v>4430468268</v>
      </c>
      <c r="E739" s="32">
        <v>25</v>
      </c>
      <c r="F739" s="32">
        <v>25</v>
      </c>
      <c r="G739" s="32" t="s">
        <v>38</v>
      </c>
      <c r="H739" s="32" t="s">
        <v>3456</v>
      </c>
      <c r="I739" s="32" t="s">
        <v>46</v>
      </c>
      <c r="J739" s="32" t="s">
        <v>40</v>
      </c>
    </row>
    <row r="740" spans="1:12" hidden="1" x14ac:dyDescent="0.3">
      <c r="A740" s="39">
        <v>46162.354375000003</v>
      </c>
      <c r="B740" s="32" t="s">
        <v>44</v>
      </c>
      <c r="C740" s="32">
        <v>44999260131</v>
      </c>
      <c r="E740" s="32">
        <v>15</v>
      </c>
      <c r="F740" s="32">
        <v>9</v>
      </c>
      <c r="G740" s="32" t="s">
        <v>38</v>
      </c>
      <c r="H740" s="32" t="s">
        <v>3457</v>
      </c>
      <c r="I740" s="32" t="s">
        <v>46</v>
      </c>
      <c r="J740" s="32" t="s">
        <v>40</v>
      </c>
    </row>
    <row r="741" spans="1:12" hidden="1" x14ac:dyDescent="0.3">
      <c r="A741" s="39">
        <v>46162.354085648149</v>
      </c>
      <c r="B741" s="32" t="s">
        <v>44</v>
      </c>
      <c r="C741" s="32">
        <v>44999260131</v>
      </c>
      <c r="E741" s="32">
        <v>21</v>
      </c>
      <c r="F741" s="32">
        <v>16</v>
      </c>
      <c r="G741" s="32" t="s">
        <v>38</v>
      </c>
      <c r="H741" s="32" t="s">
        <v>3458</v>
      </c>
      <c r="I741" s="32" t="s">
        <v>46</v>
      </c>
      <c r="J741" s="32" t="s">
        <v>40</v>
      </c>
    </row>
    <row r="742" spans="1:12" hidden="1" x14ac:dyDescent="0.3">
      <c r="A742" s="39">
        <v>46162.354027777779</v>
      </c>
      <c r="B742" s="32" t="s">
        <v>44</v>
      </c>
      <c r="C742" s="32">
        <v>44999260131</v>
      </c>
      <c r="E742" s="32">
        <v>0</v>
      </c>
      <c r="F742" s="32">
        <v>0</v>
      </c>
      <c r="G742" s="32" t="s">
        <v>47</v>
      </c>
      <c r="H742" s="32" t="s">
        <v>3459</v>
      </c>
      <c r="I742" s="32" t="s">
        <v>46</v>
      </c>
      <c r="J742" s="32" t="s">
        <v>40</v>
      </c>
    </row>
    <row r="743" spans="1:12" hidden="1" x14ac:dyDescent="0.3">
      <c r="A743" s="39">
        <v>46162.350023148145</v>
      </c>
      <c r="B743" s="32">
        <v>43991519887</v>
      </c>
      <c r="C743" s="32">
        <v>4430265054</v>
      </c>
      <c r="D743" s="32">
        <v>4430265054</v>
      </c>
      <c r="E743" s="32">
        <v>20</v>
      </c>
      <c r="F743" s="32">
        <v>20</v>
      </c>
      <c r="G743" s="32" t="s">
        <v>52</v>
      </c>
      <c r="H743" s="32" t="s">
        <v>3460</v>
      </c>
      <c r="I743" s="32" t="s">
        <v>39</v>
      </c>
      <c r="J743" s="32" t="s">
        <v>53</v>
      </c>
    </row>
    <row r="744" spans="1:12" hidden="1" x14ac:dyDescent="0.3">
      <c r="A744" s="39">
        <v>46161.738553240742</v>
      </c>
      <c r="B744" s="32" t="s">
        <v>54</v>
      </c>
      <c r="C744" s="32">
        <v>44984221756</v>
      </c>
      <c r="E744" s="32">
        <v>13</v>
      </c>
      <c r="F744" s="32">
        <v>0</v>
      </c>
      <c r="G744" s="32" t="s">
        <v>47</v>
      </c>
      <c r="H744" s="32" t="s">
        <v>3461</v>
      </c>
      <c r="I744" s="32" t="s">
        <v>46</v>
      </c>
      <c r="J744" s="32" t="s">
        <v>55</v>
      </c>
    </row>
    <row r="745" spans="1:12" hidden="1" x14ac:dyDescent="0.3">
      <c r="A745" s="39">
        <v>46161.738449074073</v>
      </c>
      <c r="B745" s="32">
        <v>4430468268</v>
      </c>
      <c r="C745" s="32" t="s">
        <v>44</v>
      </c>
      <c r="D745" s="32">
        <v>4430265054</v>
      </c>
      <c r="E745" s="32">
        <v>457</v>
      </c>
      <c r="F745" s="32">
        <v>275</v>
      </c>
      <c r="G745" s="32" t="s">
        <v>38</v>
      </c>
      <c r="H745" s="32" t="s">
        <v>3462</v>
      </c>
      <c r="I745" s="32" t="s">
        <v>39</v>
      </c>
      <c r="J745" s="32" t="s">
        <v>40</v>
      </c>
      <c r="K745" s="32" t="s">
        <v>41</v>
      </c>
    </row>
    <row r="746" spans="1:12" hidden="1" x14ac:dyDescent="0.3">
      <c r="A746" s="39">
        <v>46161.737754629627</v>
      </c>
      <c r="B746" s="32" t="s">
        <v>54</v>
      </c>
      <c r="C746" s="32">
        <v>81986317610</v>
      </c>
      <c r="E746" s="32">
        <v>9</v>
      </c>
      <c r="F746" s="32">
        <v>0</v>
      </c>
      <c r="G746" s="32" t="s">
        <v>47</v>
      </c>
      <c r="H746" s="32" t="s">
        <v>3463</v>
      </c>
      <c r="I746" s="32" t="s">
        <v>46</v>
      </c>
      <c r="J746" s="32" t="s">
        <v>55</v>
      </c>
    </row>
    <row r="747" spans="1:12" hidden="1" x14ac:dyDescent="0.3">
      <c r="A747" s="39">
        <v>46161.732048611113</v>
      </c>
      <c r="B747" s="32">
        <v>44988255390</v>
      </c>
      <c r="C747" s="32" t="s">
        <v>43</v>
      </c>
      <c r="D747" s="32">
        <v>4430265054</v>
      </c>
      <c r="E747" s="32">
        <v>1045</v>
      </c>
      <c r="F747" s="32">
        <v>686</v>
      </c>
      <c r="G747" s="32" t="s">
        <v>38</v>
      </c>
      <c r="H747" s="32" t="s">
        <v>3464</v>
      </c>
      <c r="I747" s="32" t="s">
        <v>39</v>
      </c>
      <c r="J747" s="32" t="s">
        <v>40</v>
      </c>
      <c r="K747" s="32" t="s">
        <v>41</v>
      </c>
      <c r="L747" s="32">
        <v>5</v>
      </c>
    </row>
    <row r="748" spans="1:12" hidden="1" x14ac:dyDescent="0.3">
      <c r="A748" s="39">
        <v>46161.730243055557</v>
      </c>
      <c r="B748" s="32" t="s">
        <v>54</v>
      </c>
      <c r="C748" s="32">
        <v>48998317879</v>
      </c>
      <c r="E748" s="32">
        <v>11</v>
      </c>
      <c r="F748" s="32">
        <v>0</v>
      </c>
      <c r="G748" s="32" t="s">
        <v>47</v>
      </c>
      <c r="H748" s="32" t="s">
        <v>3465</v>
      </c>
      <c r="I748" s="32" t="s">
        <v>46</v>
      </c>
      <c r="J748" s="32" t="s">
        <v>55</v>
      </c>
    </row>
    <row r="749" spans="1:12" hidden="1" x14ac:dyDescent="0.3">
      <c r="A749" s="39">
        <v>46161.729409722226</v>
      </c>
      <c r="B749" s="32" t="s">
        <v>54</v>
      </c>
      <c r="C749" s="32">
        <v>48998307565</v>
      </c>
      <c r="E749" s="32">
        <v>9</v>
      </c>
      <c r="F749" s="32">
        <v>0</v>
      </c>
      <c r="G749" s="32" t="s">
        <v>47</v>
      </c>
      <c r="H749" s="32" t="s">
        <v>3466</v>
      </c>
      <c r="I749" s="32" t="s">
        <v>46</v>
      </c>
      <c r="J749" s="32" t="s">
        <v>55</v>
      </c>
    </row>
    <row r="750" spans="1:12" hidden="1" x14ac:dyDescent="0.3">
      <c r="A750" s="39">
        <v>46161.727835648147</v>
      </c>
      <c r="B750" s="32" t="s">
        <v>54</v>
      </c>
      <c r="C750" s="32">
        <v>61992734269</v>
      </c>
      <c r="E750" s="32">
        <v>21</v>
      </c>
      <c r="F750" s="32">
        <v>0</v>
      </c>
      <c r="G750" s="32" t="s">
        <v>47</v>
      </c>
      <c r="H750" s="32" t="s">
        <v>3467</v>
      </c>
      <c r="I750" s="32" t="s">
        <v>46</v>
      </c>
      <c r="J750" s="32" t="s">
        <v>55</v>
      </c>
    </row>
    <row r="751" spans="1:12" hidden="1" x14ac:dyDescent="0.3">
      <c r="A751" s="39">
        <v>46161.716412037036</v>
      </c>
      <c r="B751" s="32">
        <v>44998039090</v>
      </c>
      <c r="C751" s="32" t="s">
        <v>44</v>
      </c>
      <c r="D751" s="32">
        <v>4430265054</v>
      </c>
      <c r="E751" s="32">
        <v>428</v>
      </c>
      <c r="F751" s="32">
        <v>173</v>
      </c>
      <c r="G751" s="32" t="s">
        <v>38</v>
      </c>
      <c r="H751" s="32" t="s">
        <v>3468</v>
      </c>
      <c r="I751" s="32" t="s">
        <v>39</v>
      </c>
      <c r="J751" s="32" t="s">
        <v>40</v>
      </c>
      <c r="K751" s="32" t="s">
        <v>41</v>
      </c>
    </row>
    <row r="752" spans="1:12" hidden="1" x14ac:dyDescent="0.3">
      <c r="A752" s="39">
        <v>46161.714189814818</v>
      </c>
      <c r="B752" s="32">
        <v>43991364602</v>
      </c>
      <c r="C752" s="32" t="s">
        <v>45</v>
      </c>
      <c r="D752" s="32">
        <v>4430265054</v>
      </c>
      <c r="E752" s="32">
        <v>958</v>
      </c>
      <c r="F752" s="32">
        <v>899</v>
      </c>
      <c r="G752" s="32" t="s">
        <v>38</v>
      </c>
      <c r="H752" s="32" t="s">
        <v>3469</v>
      </c>
      <c r="I752" s="32" t="s">
        <v>39</v>
      </c>
      <c r="J752" s="32" t="s">
        <v>40</v>
      </c>
      <c r="K752" s="32" t="s">
        <v>41</v>
      </c>
    </row>
    <row r="753" spans="1:12" hidden="1" x14ac:dyDescent="0.3">
      <c r="A753" s="39">
        <v>46161.7028125</v>
      </c>
      <c r="B753" s="32" t="s">
        <v>54</v>
      </c>
      <c r="C753" s="32">
        <v>65981122041</v>
      </c>
      <c r="E753" s="32">
        <v>24</v>
      </c>
      <c r="F753" s="32">
        <v>3</v>
      </c>
      <c r="G753" s="32" t="s">
        <v>38</v>
      </c>
      <c r="H753" s="32" t="s">
        <v>3470</v>
      </c>
      <c r="I753" s="32" t="s">
        <v>46</v>
      </c>
      <c r="J753" s="32" t="s">
        <v>55</v>
      </c>
    </row>
    <row r="754" spans="1:12" hidden="1" x14ac:dyDescent="0.3">
      <c r="A754" s="39">
        <v>46161.702349537038</v>
      </c>
      <c r="B754" s="32">
        <v>2121123730</v>
      </c>
      <c r="C754" s="32" t="s">
        <v>45</v>
      </c>
      <c r="D754" s="32">
        <v>4531273162</v>
      </c>
      <c r="E754" s="32">
        <v>47</v>
      </c>
      <c r="F754" s="32">
        <v>13</v>
      </c>
      <c r="G754" s="32" t="s">
        <v>38</v>
      </c>
      <c r="H754" s="32" t="s">
        <v>3471</v>
      </c>
      <c r="I754" s="32" t="s">
        <v>39</v>
      </c>
      <c r="J754" s="32" t="s">
        <v>40</v>
      </c>
      <c r="K754" s="32" t="s">
        <v>41</v>
      </c>
    </row>
    <row r="755" spans="1:12" hidden="1" x14ac:dyDescent="0.3">
      <c r="A755" s="39">
        <v>46161.699641203704</v>
      </c>
      <c r="B755" s="32">
        <v>44998039090</v>
      </c>
      <c r="C755" s="32" t="s">
        <v>48</v>
      </c>
      <c r="D755" s="32">
        <v>4430265054</v>
      </c>
      <c r="E755" s="32">
        <v>146</v>
      </c>
      <c r="F755" s="32">
        <v>145</v>
      </c>
      <c r="G755" s="32" t="s">
        <v>38</v>
      </c>
      <c r="H755" s="32" t="s">
        <v>3472</v>
      </c>
      <c r="I755" s="32" t="s">
        <v>39</v>
      </c>
      <c r="J755" s="32" t="s">
        <v>40</v>
      </c>
      <c r="K755" s="32" t="s">
        <v>41</v>
      </c>
    </row>
    <row r="756" spans="1:12" hidden="1" x14ac:dyDescent="0.3">
      <c r="A756" s="39">
        <v>46161.698495370372</v>
      </c>
      <c r="B756" s="32">
        <v>44997456641</v>
      </c>
      <c r="C756" s="32" t="s">
        <v>43</v>
      </c>
      <c r="D756" s="32">
        <v>4430265054</v>
      </c>
      <c r="E756" s="32">
        <v>197</v>
      </c>
      <c r="F756" s="32">
        <v>87</v>
      </c>
      <c r="G756" s="32" t="s">
        <v>38</v>
      </c>
      <c r="H756" s="32" t="s">
        <v>3473</v>
      </c>
      <c r="I756" s="32" t="s">
        <v>39</v>
      </c>
      <c r="J756" s="32" t="s">
        <v>40</v>
      </c>
      <c r="K756" s="32" t="s">
        <v>41</v>
      </c>
    </row>
    <row r="757" spans="1:12" hidden="1" x14ac:dyDescent="0.3">
      <c r="A757" s="39">
        <v>46161.693344907406</v>
      </c>
      <c r="B757" s="32" t="s">
        <v>54</v>
      </c>
      <c r="C757" s="32">
        <v>11981228224</v>
      </c>
      <c r="E757" s="32">
        <v>4</v>
      </c>
      <c r="F757" s="32">
        <v>0</v>
      </c>
      <c r="G757" s="32" t="s">
        <v>47</v>
      </c>
      <c r="H757" s="32" t="s">
        <v>3474</v>
      </c>
      <c r="I757" s="32" t="s">
        <v>46</v>
      </c>
      <c r="J757" s="32" t="s">
        <v>55</v>
      </c>
    </row>
    <row r="758" spans="1:12" hidden="1" x14ac:dyDescent="0.3">
      <c r="A758" s="39">
        <v>46161.692789351851</v>
      </c>
      <c r="B758" s="32" t="s">
        <v>48</v>
      </c>
      <c r="C758" s="32">
        <v>4430459001</v>
      </c>
      <c r="E758" s="32">
        <v>208</v>
      </c>
      <c r="F758" s="32">
        <v>184</v>
      </c>
      <c r="G758" s="32" t="s">
        <v>38</v>
      </c>
      <c r="H758" s="32" t="s">
        <v>3475</v>
      </c>
      <c r="I758" s="32" t="s">
        <v>46</v>
      </c>
      <c r="J758" s="32" t="s">
        <v>40</v>
      </c>
    </row>
    <row r="759" spans="1:12" hidden="1" x14ac:dyDescent="0.3">
      <c r="A759" s="39">
        <v>46161.692453703705</v>
      </c>
      <c r="B759" s="32" t="s">
        <v>54</v>
      </c>
      <c r="C759" s="32">
        <v>54992142162</v>
      </c>
      <c r="E759" s="32">
        <v>36</v>
      </c>
      <c r="F759" s="32">
        <v>3</v>
      </c>
      <c r="G759" s="32" t="s">
        <v>38</v>
      </c>
      <c r="H759" s="32" t="s">
        <v>3476</v>
      </c>
      <c r="I759" s="32" t="s">
        <v>46</v>
      </c>
      <c r="J759" s="32" t="s">
        <v>55</v>
      </c>
    </row>
    <row r="760" spans="1:12" hidden="1" x14ac:dyDescent="0.3">
      <c r="A760" s="39">
        <v>46161.687974537039</v>
      </c>
      <c r="B760" s="32">
        <v>43999110029</v>
      </c>
      <c r="C760" s="32" t="s">
        <v>43</v>
      </c>
      <c r="D760" s="32">
        <v>4430265054</v>
      </c>
      <c r="E760" s="32">
        <v>512</v>
      </c>
      <c r="F760" s="32">
        <v>400</v>
      </c>
      <c r="G760" s="32" t="s">
        <v>38</v>
      </c>
      <c r="H760" s="32" t="s">
        <v>3477</v>
      </c>
      <c r="I760" s="32" t="s">
        <v>39</v>
      </c>
      <c r="J760" s="32" t="s">
        <v>40</v>
      </c>
      <c r="K760" s="32" t="s">
        <v>41</v>
      </c>
    </row>
    <row r="761" spans="1:12" hidden="1" x14ac:dyDescent="0.3">
      <c r="A761" s="39">
        <v>46161.681689814817</v>
      </c>
      <c r="B761" s="32">
        <v>4432524636</v>
      </c>
      <c r="C761" s="32" t="s">
        <v>44</v>
      </c>
      <c r="D761" s="32">
        <v>4430265054</v>
      </c>
      <c r="E761" s="32">
        <v>653</v>
      </c>
      <c r="F761" s="32">
        <v>537</v>
      </c>
      <c r="G761" s="32" t="s">
        <v>38</v>
      </c>
      <c r="H761" s="32" t="s">
        <v>3478</v>
      </c>
      <c r="I761" s="32" t="s">
        <v>39</v>
      </c>
      <c r="J761" s="32" t="s">
        <v>40</v>
      </c>
      <c r="K761" s="32" t="s">
        <v>41</v>
      </c>
      <c r="L761" s="32">
        <v>5</v>
      </c>
    </row>
    <row r="762" spans="1:12" hidden="1" x14ac:dyDescent="0.3">
      <c r="A762" s="39">
        <v>46161.681504629632</v>
      </c>
      <c r="B762" s="32">
        <v>44997456641</v>
      </c>
      <c r="C762" s="32" t="s">
        <v>43</v>
      </c>
      <c r="D762" s="32">
        <v>4430265054</v>
      </c>
      <c r="E762" s="32">
        <v>550</v>
      </c>
      <c r="F762" s="32">
        <v>529</v>
      </c>
      <c r="G762" s="32" t="s">
        <v>38</v>
      </c>
      <c r="H762" s="32" t="s">
        <v>3479</v>
      </c>
      <c r="I762" s="32" t="s">
        <v>39</v>
      </c>
      <c r="J762" s="32" t="s">
        <v>40</v>
      </c>
      <c r="K762" s="32" t="s">
        <v>41</v>
      </c>
    </row>
    <row r="763" spans="1:12" hidden="1" x14ac:dyDescent="0.3">
      <c r="A763" s="39">
        <v>46161.677986111114</v>
      </c>
      <c r="B763" s="32">
        <v>44998039090</v>
      </c>
      <c r="C763" s="32" t="s">
        <v>48</v>
      </c>
      <c r="D763" s="32">
        <v>4430265054</v>
      </c>
      <c r="E763" s="32">
        <v>817</v>
      </c>
      <c r="F763" s="32">
        <v>816</v>
      </c>
      <c r="G763" s="32" t="s">
        <v>38</v>
      </c>
      <c r="H763" s="32" t="s">
        <v>3480</v>
      </c>
      <c r="I763" s="32" t="s">
        <v>39</v>
      </c>
      <c r="J763" s="32" t="s">
        <v>40</v>
      </c>
      <c r="K763" s="32" t="s">
        <v>41</v>
      </c>
    </row>
    <row r="764" spans="1:12" hidden="1" x14ac:dyDescent="0.3">
      <c r="A764" s="39">
        <v>46161.671597222223</v>
      </c>
      <c r="B764" s="32" t="s">
        <v>56</v>
      </c>
      <c r="C764" s="32">
        <v>4431232999</v>
      </c>
      <c r="E764" s="32">
        <v>67</v>
      </c>
      <c r="F764" s="32">
        <v>53</v>
      </c>
      <c r="G764" s="32" t="s">
        <v>38</v>
      </c>
      <c r="H764" s="32" t="s">
        <v>3481</v>
      </c>
      <c r="I764" s="32" t="s">
        <v>46</v>
      </c>
      <c r="J764" s="32" t="s">
        <v>53</v>
      </c>
    </row>
    <row r="765" spans="1:12" hidden="1" x14ac:dyDescent="0.3">
      <c r="A765" s="39">
        <v>46161.66847222222</v>
      </c>
      <c r="B765" s="32">
        <v>35998295948</v>
      </c>
      <c r="C765" s="32" t="s">
        <v>45</v>
      </c>
      <c r="D765" s="32">
        <v>4430265054</v>
      </c>
      <c r="E765" s="32">
        <v>1622</v>
      </c>
      <c r="F765" s="32">
        <v>1598</v>
      </c>
      <c r="G765" s="32" t="s">
        <v>38</v>
      </c>
      <c r="H765" s="32" t="s">
        <v>3482</v>
      </c>
      <c r="I765" s="32" t="s">
        <v>39</v>
      </c>
      <c r="J765" s="32" t="s">
        <v>40</v>
      </c>
      <c r="K765" s="32" t="s">
        <v>41</v>
      </c>
      <c r="L765" s="32">
        <v>5</v>
      </c>
    </row>
    <row r="766" spans="1:12" hidden="1" x14ac:dyDescent="0.3">
      <c r="A766" s="39">
        <v>46161.663888888892</v>
      </c>
      <c r="B766" s="32" t="s">
        <v>54</v>
      </c>
      <c r="C766" s="32">
        <v>11997775252</v>
      </c>
      <c r="E766" s="32">
        <v>69</v>
      </c>
      <c r="F766" s="32">
        <v>58</v>
      </c>
      <c r="G766" s="32" t="s">
        <v>38</v>
      </c>
      <c r="H766" s="32" t="s">
        <v>3483</v>
      </c>
      <c r="I766" s="32" t="s">
        <v>46</v>
      </c>
      <c r="J766" s="32" t="s">
        <v>55</v>
      </c>
    </row>
    <row r="767" spans="1:12" hidden="1" x14ac:dyDescent="0.3">
      <c r="A767" s="39">
        <v>46161.663703703707</v>
      </c>
      <c r="B767" s="32">
        <v>1438780460</v>
      </c>
      <c r="C767" s="32">
        <v>4430265054</v>
      </c>
      <c r="D767" s="32">
        <v>4430265054</v>
      </c>
      <c r="E767" s="32">
        <v>48</v>
      </c>
      <c r="F767" s="32">
        <v>47</v>
      </c>
      <c r="G767" s="32" t="s">
        <v>52</v>
      </c>
      <c r="H767" s="32" t="s">
        <v>3484</v>
      </c>
      <c r="I767" s="32" t="s">
        <v>39</v>
      </c>
      <c r="J767" s="32" t="s">
        <v>53</v>
      </c>
      <c r="K767" s="32" t="s">
        <v>41</v>
      </c>
    </row>
    <row r="768" spans="1:12" hidden="1" x14ac:dyDescent="0.3">
      <c r="A768" s="39">
        <v>46161.662395833337</v>
      </c>
      <c r="B768" s="32" t="s">
        <v>54</v>
      </c>
      <c r="C768" s="32">
        <v>27999642178</v>
      </c>
      <c r="E768" s="32">
        <v>13</v>
      </c>
      <c r="F768" s="32">
        <v>5</v>
      </c>
      <c r="G768" s="32" t="s">
        <v>38</v>
      </c>
      <c r="H768" s="32" t="s">
        <v>3485</v>
      </c>
      <c r="I768" s="32" t="s">
        <v>46</v>
      </c>
      <c r="J768" s="32" t="s">
        <v>55</v>
      </c>
    </row>
    <row r="769" spans="1:12" hidden="1" x14ac:dyDescent="0.3">
      <c r="A769" s="39">
        <v>46161.660127314812</v>
      </c>
      <c r="B769" s="32" t="s">
        <v>56</v>
      </c>
      <c r="C769" s="32">
        <v>4432225140</v>
      </c>
      <c r="E769" s="32">
        <v>69</v>
      </c>
      <c r="F769" s="32">
        <v>43</v>
      </c>
      <c r="G769" s="32" t="s">
        <v>38</v>
      </c>
      <c r="H769" s="32" t="s">
        <v>3486</v>
      </c>
      <c r="I769" s="32" t="s">
        <v>46</v>
      </c>
      <c r="J769" s="32" t="s">
        <v>53</v>
      </c>
    </row>
    <row r="770" spans="1:12" hidden="1" x14ac:dyDescent="0.3">
      <c r="A770" s="39">
        <v>46161.657175925924</v>
      </c>
      <c r="B770" s="32">
        <v>77999250878</v>
      </c>
      <c r="C770" s="32" t="s">
        <v>44</v>
      </c>
      <c r="D770" s="32">
        <v>4430265054</v>
      </c>
      <c r="E770" s="32">
        <v>577</v>
      </c>
      <c r="F770" s="32">
        <v>551</v>
      </c>
      <c r="G770" s="32" t="s">
        <v>38</v>
      </c>
      <c r="H770" s="32" t="s">
        <v>3487</v>
      </c>
      <c r="I770" s="32" t="s">
        <v>39</v>
      </c>
      <c r="J770" s="32" t="s">
        <v>40</v>
      </c>
      <c r="K770" s="32" t="s">
        <v>41</v>
      </c>
    </row>
    <row r="771" spans="1:12" hidden="1" x14ac:dyDescent="0.3">
      <c r="A771" s="39">
        <v>46161.657037037039</v>
      </c>
      <c r="B771" s="32" t="s">
        <v>43</v>
      </c>
      <c r="C771" s="32">
        <v>44988255390</v>
      </c>
      <c r="E771" s="32">
        <v>1823</v>
      </c>
      <c r="F771" s="32">
        <v>1815</v>
      </c>
      <c r="G771" s="32" t="s">
        <v>38</v>
      </c>
      <c r="H771" s="32" t="s">
        <v>3488</v>
      </c>
      <c r="I771" s="32" t="s">
        <v>46</v>
      </c>
      <c r="J771" s="32" t="s">
        <v>40</v>
      </c>
    </row>
    <row r="772" spans="1:12" hidden="1" x14ac:dyDescent="0.3">
      <c r="A772" s="39">
        <v>46161.656655092593</v>
      </c>
      <c r="B772" s="32" t="s">
        <v>56</v>
      </c>
      <c r="C772" s="32">
        <v>4431232999</v>
      </c>
      <c r="E772" s="32">
        <v>127</v>
      </c>
      <c r="F772" s="32">
        <v>120</v>
      </c>
      <c r="G772" s="32" t="s">
        <v>38</v>
      </c>
      <c r="H772" s="32" t="s">
        <v>3489</v>
      </c>
      <c r="I772" s="32" t="s">
        <v>46</v>
      </c>
      <c r="J772" s="32" t="s">
        <v>53</v>
      </c>
    </row>
    <row r="773" spans="1:12" hidden="1" x14ac:dyDescent="0.3">
      <c r="A773" s="39">
        <v>46161.653993055559</v>
      </c>
      <c r="B773" s="32">
        <v>44998039090</v>
      </c>
      <c r="C773" s="32" t="s">
        <v>45</v>
      </c>
      <c r="D773" s="32">
        <v>4430265054</v>
      </c>
      <c r="E773" s="32">
        <v>591</v>
      </c>
      <c r="F773" s="32">
        <v>475</v>
      </c>
      <c r="G773" s="32" t="s">
        <v>38</v>
      </c>
      <c r="H773" s="32" t="s">
        <v>3490</v>
      </c>
      <c r="I773" s="32" t="s">
        <v>39</v>
      </c>
      <c r="J773" s="32" t="s">
        <v>40</v>
      </c>
      <c r="K773" s="32" t="s">
        <v>41</v>
      </c>
    </row>
    <row r="774" spans="1:12" hidden="1" x14ac:dyDescent="0.3">
      <c r="A774" s="39">
        <v>46161.652407407404</v>
      </c>
      <c r="B774" s="32">
        <v>4121413772</v>
      </c>
      <c r="C774" s="32" t="s">
        <v>45</v>
      </c>
      <c r="D774" s="32">
        <v>4531273159</v>
      </c>
      <c r="E774" s="32">
        <v>52</v>
      </c>
      <c r="F774" s="32">
        <v>18</v>
      </c>
      <c r="G774" s="32" t="s">
        <v>38</v>
      </c>
      <c r="H774" s="32" t="s">
        <v>3491</v>
      </c>
      <c r="I774" s="32" t="s">
        <v>39</v>
      </c>
      <c r="J774" s="32" t="s">
        <v>40</v>
      </c>
      <c r="K774" s="32" t="s">
        <v>41</v>
      </c>
    </row>
    <row r="775" spans="1:12" hidden="1" x14ac:dyDescent="0.3">
      <c r="A775" s="39">
        <v>46161.650023148148</v>
      </c>
      <c r="B775" s="32">
        <v>47999938455</v>
      </c>
      <c r="C775" s="32" t="s">
        <v>43</v>
      </c>
      <c r="D775" s="32">
        <v>4430265054</v>
      </c>
      <c r="E775" s="32">
        <v>96</v>
      </c>
      <c r="F775" s="32">
        <v>69</v>
      </c>
      <c r="G775" s="32" t="s">
        <v>38</v>
      </c>
      <c r="H775" s="32" t="s">
        <v>3492</v>
      </c>
      <c r="I775" s="32" t="s">
        <v>39</v>
      </c>
      <c r="J775" s="32" t="s">
        <v>40</v>
      </c>
      <c r="K775" s="32" t="s">
        <v>41</v>
      </c>
    </row>
    <row r="776" spans="1:12" hidden="1" x14ac:dyDescent="0.3">
      <c r="A776" s="39">
        <v>46161.647847222222</v>
      </c>
      <c r="B776" s="32" t="s">
        <v>57</v>
      </c>
      <c r="C776" s="32">
        <v>31998432423</v>
      </c>
      <c r="E776" s="32">
        <v>271</v>
      </c>
      <c r="F776" s="32">
        <v>253</v>
      </c>
      <c r="G776" s="32" t="s">
        <v>38</v>
      </c>
      <c r="H776" s="32" t="s">
        <v>3493</v>
      </c>
      <c r="I776" s="32" t="s">
        <v>46</v>
      </c>
      <c r="J776" s="32" t="s">
        <v>55</v>
      </c>
    </row>
    <row r="777" spans="1:12" hidden="1" x14ac:dyDescent="0.3">
      <c r="A777" s="39">
        <v>46161.645173611112</v>
      </c>
      <c r="B777" s="32" t="s">
        <v>54</v>
      </c>
      <c r="C777" s="32">
        <v>85997933182</v>
      </c>
      <c r="E777" s="32">
        <v>10</v>
      </c>
      <c r="F777" s="32">
        <v>4</v>
      </c>
      <c r="G777" s="32" t="s">
        <v>38</v>
      </c>
      <c r="H777" s="32" t="s">
        <v>3494</v>
      </c>
      <c r="I777" s="32" t="s">
        <v>46</v>
      </c>
      <c r="J777" s="32" t="s">
        <v>55</v>
      </c>
    </row>
    <row r="778" spans="1:12" hidden="1" x14ac:dyDescent="0.3">
      <c r="A778" s="39">
        <v>46161.644224537034</v>
      </c>
      <c r="B778" s="32" t="s">
        <v>54</v>
      </c>
      <c r="C778" s="32">
        <v>87998110011</v>
      </c>
      <c r="E778" s="32">
        <v>11</v>
      </c>
      <c r="F778" s="32">
        <v>0</v>
      </c>
      <c r="G778" s="32" t="s">
        <v>47</v>
      </c>
      <c r="H778" s="32" t="s">
        <v>3495</v>
      </c>
      <c r="I778" s="32" t="s">
        <v>46</v>
      </c>
      <c r="J778" s="32" t="s">
        <v>55</v>
      </c>
    </row>
    <row r="779" spans="1:12" hidden="1" x14ac:dyDescent="0.3">
      <c r="A779" s="39">
        <v>46161.643194444441</v>
      </c>
      <c r="B779" s="32">
        <v>1131043888</v>
      </c>
      <c r="C779" s="32" t="s">
        <v>48</v>
      </c>
      <c r="D779" s="32">
        <v>4430265054</v>
      </c>
      <c r="E779" s="32">
        <v>1851</v>
      </c>
      <c r="F779" s="32">
        <v>1654</v>
      </c>
      <c r="G779" s="32" t="s">
        <v>38</v>
      </c>
      <c r="H779" s="32" t="s">
        <v>3496</v>
      </c>
      <c r="I779" s="32" t="s">
        <v>39</v>
      </c>
      <c r="J779" s="32" t="s">
        <v>40</v>
      </c>
      <c r="K779" s="32" t="s">
        <v>41</v>
      </c>
      <c r="L779" s="32">
        <v>5</v>
      </c>
    </row>
    <row r="780" spans="1:12" hidden="1" x14ac:dyDescent="0.3">
      <c r="A780" s="39">
        <v>46161.643113425926</v>
      </c>
      <c r="B780" s="32" t="s">
        <v>54</v>
      </c>
      <c r="C780" s="32">
        <v>27998983558</v>
      </c>
      <c r="E780" s="32">
        <v>20</v>
      </c>
      <c r="F780" s="32">
        <v>0</v>
      </c>
      <c r="G780" s="32" t="s">
        <v>47</v>
      </c>
      <c r="H780" s="32" t="s">
        <v>3497</v>
      </c>
      <c r="I780" s="32" t="s">
        <v>46</v>
      </c>
      <c r="J780" s="32" t="s">
        <v>55</v>
      </c>
    </row>
    <row r="781" spans="1:12" hidden="1" x14ac:dyDescent="0.3">
      <c r="A781" s="39">
        <v>46161.64267361111</v>
      </c>
      <c r="B781" s="32" t="s">
        <v>43</v>
      </c>
      <c r="C781" s="32">
        <v>44988255390</v>
      </c>
      <c r="E781" s="32">
        <v>392</v>
      </c>
      <c r="F781" s="32">
        <v>385</v>
      </c>
      <c r="G781" s="32" t="s">
        <v>38</v>
      </c>
      <c r="H781" s="32" t="s">
        <v>3498</v>
      </c>
      <c r="I781" s="32" t="s">
        <v>46</v>
      </c>
      <c r="J781" s="32" t="s">
        <v>40</v>
      </c>
    </row>
    <row r="782" spans="1:12" hidden="1" x14ac:dyDescent="0.3">
      <c r="A782" s="39">
        <v>46161.642465277779</v>
      </c>
      <c r="B782" s="32" t="s">
        <v>43</v>
      </c>
      <c r="C782" s="32">
        <v>44988255390</v>
      </c>
      <c r="E782" s="32">
        <v>14</v>
      </c>
      <c r="F782" s="32">
        <v>4</v>
      </c>
      <c r="G782" s="32" t="s">
        <v>38</v>
      </c>
      <c r="H782" s="32" t="s">
        <v>3499</v>
      </c>
      <c r="I782" s="32" t="s">
        <v>46</v>
      </c>
      <c r="J782" s="32" t="s">
        <v>40</v>
      </c>
    </row>
    <row r="783" spans="1:12" hidden="1" x14ac:dyDescent="0.3">
      <c r="A783" s="39">
        <v>46161.642384259256</v>
      </c>
      <c r="B783" s="32" t="s">
        <v>43</v>
      </c>
      <c r="C783" s="32">
        <v>44988255390</v>
      </c>
      <c r="E783" s="32">
        <v>3</v>
      </c>
      <c r="F783" s="32">
        <v>0</v>
      </c>
      <c r="G783" s="32" t="s">
        <v>47</v>
      </c>
      <c r="H783" s="32" t="s">
        <v>3500</v>
      </c>
      <c r="I783" s="32" t="s">
        <v>46</v>
      </c>
      <c r="J783" s="32" t="s">
        <v>40</v>
      </c>
    </row>
    <row r="784" spans="1:12" hidden="1" x14ac:dyDescent="0.3">
      <c r="A784" s="39">
        <v>46161.641504629632</v>
      </c>
      <c r="B784" s="32">
        <v>67992169496</v>
      </c>
      <c r="C784" s="32" t="s">
        <v>44</v>
      </c>
      <c r="D784" s="32">
        <v>4430265054</v>
      </c>
      <c r="E784" s="32">
        <v>955</v>
      </c>
      <c r="F784" s="32">
        <v>921</v>
      </c>
      <c r="G784" s="32" t="s">
        <v>38</v>
      </c>
      <c r="H784" s="32" t="s">
        <v>3501</v>
      </c>
      <c r="I784" s="32" t="s">
        <v>39</v>
      </c>
      <c r="J784" s="32" t="s">
        <v>40</v>
      </c>
      <c r="K784" s="32" t="s">
        <v>41</v>
      </c>
      <c r="L784" s="32">
        <v>5</v>
      </c>
    </row>
    <row r="785" spans="1:12" hidden="1" x14ac:dyDescent="0.3">
      <c r="A785" s="39">
        <v>46161.640960648147</v>
      </c>
      <c r="B785" s="32">
        <v>83988398480</v>
      </c>
      <c r="C785" s="32" t="s">
        <v>45</v>
      </c>
      <c r="D785" s="32">
        <v>4430265054</v>
      </c>
      <c r="E785" s="32">
        <v>574</v>
      </c>
      <c r="F785" s="32">
        <v>549</v>
      </c>
      <c r="G785" s="32" t="s">
        <v>38</v>
      </c>
      <c r="H785" s="32" t="s">
        <v>3502</v>
      </c>
      <c r="I785" s="32" t="s">
        <v>39</v>
      </c>
      <c r="J785" s="32" t="s">
        <v>40</v>
      </c>
      <c r="K785" s="32" t="s">
        <v>41</v>
      </c>
    </row>
    <row r="786" spans="1:12" hidden="1" x14ac:dyDescent="0.3">
      <c r="A786" s="39">
        <v>46161.639849537038</v>
      </c>
      <c r="B786" s="32">
        <v>4495684621</v>
      </c>
      <c r="C786" s="32">
        <v>4430265054</v>
      </c>
      <c r="D786" s="32">
        <v>4430265054</v>
      </c>
      <c r="E786" s="32">
        <v>64</v>
      </c>
      <c r="F786" s="32">
        <v>64</v>
      </c>
      <c r="G786" s="32" t="s">
        <v>52</v>
      </c>
      <c r="H786" s="32" t="s">
        <v>3503</v>
      </c>
      <c r="I786" s="32" t="s">
        <v>39</v>
      </c>
      <c r="J786" s="32" t="s">
        <v>53</v>
      </c>
      <c r="K786" s="32" t="s">
        <v>41</v>
      </c>
    </row>
    <row r="787" spans="1:12" hidden="1" x14ac:dyDescent="0.3">
      <c r="A787" s="39">
        <v>46161.635277777779</v>
      </c>
      <c r="B787" s="32">
        <v>91981481202</v>
      </c>
      <c r="C787" s="32" t="s">
        <v>45</v>
      </c>
      <c r="D787" s="32">
        <v>4430265054</v>
      </c>
      <c r="E787" s="32">
        <v>305</v>
      </c>
      <c r="F787" s="32">
        <v>292</v>
      </c>
      <c r="G787" s="32" t="s">
        <v>38</v>
      </c>
      <c r="H787" s="32" t="s">
        <v>3504</v>
      </c>
      <c r="I787" s="32" t="s">
        <v>39</v>
      </c>
      <c r="J787" s="32" t="s">
        <v>40</v>
      </c>
      <c r="K787" s="32" t="s">
        <v>41</v>
      </c>
      <c r="L787" s="32">
        <v>5</v>
      </c>
    </row>
    <row r="788" spans="1:12" hidden="1" x14ac:dyDescent="0.3">
      <c r="A788" s="39">
        <v>46161.633032407408</v>
      </c>
      <c r="B788" s="32" t="s">
        <v>54</v>
      </c>
      <c r="C788" s="32">
        <v>1131336700</v>
      </c>
      <c r="E788" s="32">
        <v>141</v>
      </c>
      <c r="F788" s="32">
        <v>139</v>
      </c>
      <c r="G788" s="32" t="s">
        <v>38</v>
      </c>
      <c r="H788" s="32" t="s">
        <v>3505</v>
      </c>
      <c r="I788" s="32" t="s">
        <v>46</v>
      </c>
      <c r="J788" s="32" t="s">
        <v>55</v>
      </c>
    </row>
    <row r="789" spans="1:12" hidden="1" x14ac:dyDescent="0.3">
      <c r="A789" s="39">
        <v>46161.630127314813</v>
      </c>
      <c r="B789" s="32" t="s">
        <v>54</v>
      </c>
      <c r="C789" s="32">
        <v>22997996227</v>
      </c>
      <c r="E789" s="32">
        <v>1</v>
      </c>
      <c r="F789" s="32">
        <v>0</v>
      </c>
      <c r="G789" s="32" t="s">
        <v>47</v>
      </c>
      <c r="H789" s="32" t="s">
        <v>3506</v>
      </c>
      <c r="I789" s="32" t="s">
        <v>46</v>
      </c>
      <c r="J789" s="32" t="s">
        <v>55</v>
      </c>
    </row>
    <row r="790" spans="1:12" hidden="1" x14ac:dyDescent="0.3">
      <c r="A790" s="39">
        <v>46161.628506944442</v>
      </c>
      <c r="B790" s="32">
        <v>44988067937</v>
      </c>
      <c r="C790" s="32" t="s">
        <v>44</v>
      </c>
      <c r="D790" s="32">
        <v>4430265054</v>
      </c>
      <c r="E790" s="32">
        <v>854</v>
      </c>
      <c r="F790" s="32">
        <v>713</v>
      </c>
      <c r="G790" s="32" t="s">
        <v>38</v>
      </c>
      <c r="H790" s="32" t="s">
        <v>3507</v>
      </c>
      <c r="I790" s="32" t="s">
        <v>39</v>
      </c>
      <c r="J790" s="32" t="s">
        <v>40</v>
      </c>
      <c r="K790" s="32" t="s">
        <v>41</v>
      </c>
    </row>
    <row r="791" spans="1:12" hidden="1" x14ac:dyDescent="0.3">
      <c r="A791" s="39">
        <v>46161.622349537036</v>
      </c>
      <c r="B791" s="32" t="s">
        <v>45</v>
      </c>
      <c r="C791" s="32">
        <v>4432321232</v>
      </c>
      <c r="E791" s="32">
        <v>750</v>
      </c>
      <c r="F791" s="32">
        <v>741</v>
      </c>
      <c r="G791" s="32" t="s">
        <v>38</v>
      </c>
      <c r="H791" s="32" t="s">
        <v>3508</v>
      </c>
      <c r="I791" s="32" t="s">
        <v>46</v>
      </c>
      <c r="J791" s="32" t="s">
        <v>40</v>
      </c>
      <c r="L791" s="32">
        <v>5</v>
      </c>
    </row>
    <row r="792" spans="1:12" hidden="1" x14ac:dyDescent="0.3">
      <c r="A792" s="39">
        <v>46161.622256944444</v>
      </c>
      <c r="B792" s="32" t="s">
        <v>45</v>
      </c>
      <c r="C792" s="32">
        <v>4432321232</v>
      </c>
      <c r="E792" s="32">
        <v>25</v>
      </c>
      <c r="F792" s="32">
        <v>25</v>
      </c>
      <c r="G792" s="32" t="s">
        <v>38</v>
      </c>
      <c r="H792" s="32" t="s">
        <v>3509</v>
      </c>
      <c r="I792" s="32" t="s">
        <v>46</v>
      </c>
      <c r="J792" s="32" t="s">
        <v>40</v>
      </c>
    </row>
    <row r="793" spans="1:12" hidden="1" x14ac:dyDescent="0.3">
      <c r="A793" s="39">
        <v>46161.621493055558</v>
      </c>
      <c r="B793" s="32">
        <v>4121414966</v>
      </c>
      <c r="C793" s="32">
        <v>4531273161</v>
      </c>
      <c r="D793" s="32">
        <v>4531273161</v>
      </c>
      <c r="E793" s="32">
        <v>47</v>
      </c>
      <c r="F793" s="32">
        <v>46</v>
      </c>
      <c r="G793" s="32" t="s">
        <v>52</v>
      </c>
      <c r="H793" s="32" t="s">
        <v>3510</v>
      </c>
      <c r="I793" s="32" t="s">
        <v>39</v>
      </c>
      <c r="J793" s="32" t="s">
        <v>53</v>
      </c>
      <c r="K793" s="32" t="s">
        <v>41</v>
      </c>
    </row>
    <row r="794" spans="1:12" hidden="1" x14ac:dyDescent="0.3">
      <c r="A794" s="39">
        <v>46161.621458333335</v>
      </c>
      <c r="B794" s="32">
        <v>44988067937</v>
      </c>
      <c r="C794" s="32">
        <v>4430265054</v>
      </c>
      <c r="D794" s="32">
        <v>4430265054</v>
      </c>
      <c r="E794" s="32">
        <v>410</v>
      </c>
      <c r="F794" s="32">
        <v>409</v>
      </c>
      <c r="G794" s="32" t="s">
        <v>52</v>
      </c>
      <c r="H794" s="32" t="s">
        <v>3511</v>
      </c>
      <c r="I794" s="32" t="s">
        <v>39</v>
      </c>
      <c r="J794" s="32" t="s">
        <v>53</v>
      </c>
      <c r="K794" s="32" t="s">
        <v>41</v>
      </c>
    </row>
    <row r="795" spans="1:12" hidden="1" x14ac:dyDescent="0.3">
      <c r="A795" s="39">
        <v>46161.621030092596</v>
      </c>
      <c r="B795" s="32">
        <v>44998039090</v>
      </c>
      <c r="C795" s="32" t="s">
        <v>44</v>
      </c>
      <c r="D795" s="32">
        <v>4430265054</v>
      </c>
      <c r="E795" s="32">
        <v>678</v>
      </c>
      <c r="F795" s="32">
        <v>596</v>
      </c>
      <c r="G795" s="32" t="s">
        <v>38</v>
      </c>
      <c r="H795" s="32" t="s">
        <v>3512</v>
      </c>
      <c r="I795" s="32" t="s">
        <v>39</v>
      </c>
      <c r="J795" s="32" t="s">
        <v>40</v>
      </c>
      <c r="K795" s="32" t="s">
        <v>41</v>
      </c>
    </row>
    <row r="796" spans="1:12" hidden="1" x14ac:dyDescent="0.3">
      <c r="A796" s="39">
        <v>46161.620300925926</v>
      </c>
      <c r="B796" s="32">
        <v>77999250878</v>
      </c>
      <c r="C796" s="32" t="s">
        <v>43</v>
      </c>
      <c r="D796" s="32">
        <v>4430265054</v>
      </c>
      <c r="E796" s="32">
        <v>1847</v>
      </c>
      <c r="F796" s="32">
        <v>1781</v>
      </c>
      <c r="G796" s="32" t="s">
        <v>38</v>
      </c>
      <c r="H796" s="32" t="s">
        <v>3513</v>
      </c>
      <c r="I796" s="32" t="s">
        <v>39</v>
      </c>
      <c r="J796" s="32" t="s">
        <v>40</v>
      </c>
      <c r="K796" s="32" t="s">
        <v>41</v>
      </c>
    </row>
    <row r="797" spans="1:12" hidden="1" x14ac:dyDescent="0.3">
      <c r="A797" s="39">
        <v>46161.61959490741</v>
      </c>
      <c r="B797" s="32" t="s">
        <v>43</v>
      </c>
      <c r="C797" s="32">
        <v>47999938455</v>
      </c>
      <c r="E797" s="32">
        <v>36</v>
      </c>
      <c r="F797" s="32">
        <v>31</v>
      </c>
      <c r="G797" s="32" t="s">
        <v>38</v>
      </c>
      <c r="H797" s="32" t="s">
        <v>3514</v>
      </c>
      <c r="I797" s="32" t="s">
        <v>46</v>
      </c>
      <c r="J797" s="32" t="s">
        <v>40</v>
      </c>
    </row>
    <row r="798" spans="1:12" hidden="1" x14ac:dyDescent="0.3">
      <c r="A798" s="39">
        <v>46161.618611111109</v>
      </c>
      <c r="B798" s="32" t="s">
        <v>44</v>
      </c>
      <c r="C798" s="32">
        <v>4432275634</v>
      </c>
      <c r="E798" s="32">
        <v>85</v>
      </c>
      <c r="F798" s="32">
        <v>71</v>
      </c>
      <c r="G798" s="32" t="s">
        <v>38</v>
      </c>
      <c r="H798" s="32" t="s">
        <v>3515</v>
      </c>
      <c r="I798" s="32" t="s">
        <v>46</v>
      </c>
      <c r="J798" s="32" t="s">
        <v>40</v>
      </c>
    </row>
    <row r="799" spans="1:12" hidden="1" x14ac:dyDescent="0.3">
      <c r="A799" s="39">
        <v>46161.61855324074</v>
      </c>
      <c r="B799" s="32" t="s">
        <v>44</v>
      </c>
      <c r="C799" s="32">
        <v>4432275634</v>
      </c>
      <c r="E799" s="32">
        <v>26</v>
      </c>
      <c r="F799" s="32">
        <v>25</v>
      </c>
      <c r="G799" s="32" t="s">
        <v>38</v>
      </c>
      <c r="H799" s="32" t="s">
        <v>3516</v>
      </c>
      <c r="I799" s="32" t="s">
        <v>46</v>
      </c>
      <c r="J799" s="32" t="s">
        <v>40</v>
      </c>
    </row>
    <row r="800" spans="1:12" hidden="1" x14ac:dyDescent="0.3">
      <c r="A800" s="39">
        <v>46161.617210648146</v>
      </c>
      <c r="B800" s="32" t="s">
        <v>44</v>
      </c>
      <c r="C800" s="32">
        <v>4432275634</v>
      </c>
      <c r="E800" s="32">
        <v>27</v>
      </c>
      <c r="F800" s="32">
        <v>6</v>
      </c>
      <c r="G800" s="32" t="s">
        <v>38</v>
      </c>
      <c r="H800" s="32" t="s">
        <v>3517</v>
      </c>
      <c r="I800" s="32" t="s">
        <v>46</v>
      </c>
      <c r="J800" s="32" t="s">
        <v>40</v>
      </c>
    </row>
    <row r="801" spans="1:12" hidden="1" x14ac:dyDescent="0.3">
      <c r="A801" s="39">
        <v>46161.616979166669</v>
      </c>
      <c r="B801" s="32" t="s">
        <v>44</v>
      </c>
      <c r="C801" s="32">
        <v>4432275634</v>
      </c>
      <c r="E801" s="32">
        <v>16</v>
      </c>
      <c r="F801" s="32">
        <v>5</v>
      </c>
      <c r="G801" s="32" t="s">
        <v>38</v>
      </c>
      <c r="H801" s="32" t="s">
        <v>3518</v>
      </c>
      <c r="I801" s="32" t="s">
        <v>46</v>
      </c>
      <c r="J801" s="32" t="s">
        <v>40</v>
      </c>
    </row>
    <row r="802" spans="1:12" hidden="1" x14ac:dyDescent="0.3">
      <c r="A802" s="39">
        <v>46161.6169212963</v>
      </c>
      <c r="B802" s="32" t="s">
        <v>44</v>
      </c>
      <c r="C802" s="32">
        <v>4432275634</v>
      </c>
      <c r="E802" s="32">
        <v>25</v>
      </c>
      <c r="F802" s="32">
        <v>25</v>
      </c>
      <c r="G802" s="32" t="s">
        <v>38</v>
      </c>
      <c r="H802" s="32" t="s">
        <v>3519</v>
      </c>
      <c r="I802" s="32" t="s">
        <v>46</v>
      </c>
      <c r="J802" s="32" t="s">
        <v>40</v>
      </c>
    </row>
    <row r="803" spans="1:12" hidden="1" x14ac:dyDescent="0.3">
      <c r="A803" s="39">
        <v>46161.615532407406</v>
      </c>
      <c r="B803" s="32">
        <v>4432321232</v>
      </c>
      <c r="C803" s="32" t="s">
        <v>45</v>
      </c>
      <c r="D803" s="32">
        <v>4430265054</v>
      </c>
      <c r="E803" s="32">
        <v>566</v>
      </c>
      <c r="F803" s="32">
        <v>502</v>
      </c>
      <c r="G803" s="32" t="s">
        <v>38</v>
      </c>
      <c r="H803" s="32" t="s">
        <v>3520</v>
      </c>
      <c r="I803" s="32" t="s">
        <v>39</v>
      </c>
      <c r="J803" s="32" t="s">
        <v>40</v>
      </c>
      <c r="K803" s="32" t="s">
        <v>41</v>
      </c>
    </row>
    <row r="804" spans="1:12" hidden="1" x14ac:dyDescent="0.3">
      <c r="A804" s="39">
        <v>46161.612881944442</v>
      </c>
      <c r="B804" s="32">
        <v>4432321371</v>
      </c>
      <c r="C804" s="32">
        <v>4430265054</v>
      </c>
      <c r="D804" s="32">
        <v>4430265054</v>
      </c>
      <c r="E804" s="32">
        <v>103</v>
      </c>
      <c r="F804" s="32">
        <v>102</v>
      </c>
      <c r="G804" s="32" t="s">
        <v>52</v>
      </c>
      <c r="H804" s="32" t="s">
        <v>3521</v>
      </c>
      <c r="I804" s="32" t="s">
        <v>39</v>
      </c>
      <c r="J804" s="32" t="s">
        <v>53</v>
      </c>
      <c r="K804" s="32" t="s">
        <v>41</v>
      </c>
    </row>
    <row r="805" spans="1:12" hidden="1" x14ac:dyDescent="0.3">
      <c r="A805" s="39">
        <v>46161.612708333334</v>
      </c>
      <c r="B805" s="32">
        <v>44997561804</v>
      </c>
      <c r="C805" s="32" t="s">
        <v>48</v>
      </c>
      <c r="D805" s="32">
        <v>4430265054</v>
      </c>
      <c r="E805" s="32">
        <v>2356</v>
      </c>
      <c r="F805" s="32">
        <v>2255</v>
      </c>
      <c r="G805" s="32" t="s">
        <v>38</v>
      </c>
      <c r="H805" s="32" t="s">
        <v>3522</v>
      </c>
      <c r="I805" s="32" t="s">
        <v>39</v>
      </c>
      <c r="J805" s="32" t="s">
        <v>40</v>
      </c>
      <c r="K805" s="32" t="s">
        <v>41</v>
      </c>
    </row>
    <row r="806" spans="1:12" hidden="1" x14ac:dyDescent="0.3">
      <c r="A806" s="39">
        <v>46161.612696759257</v>
      </c>
      <c r="B806" s="32" t="s">
        <v>54</v>
      </c>
      <c r="C806" s="32">
        <v>11995005330</v>
      </c>
      <c r="E806" s="32">
        <v>11</v>
      </c>
      <c r="F806" s="32">
        <v>0</v>
      </c>
      <c r="G806" s="32" t="s">
        <v>47</v>
      </c>
      <c r="H806" s="32" t="s">
        <v>3523</v>
      </c>
      <c r="I806" s="32" t="s">
        <v>46</v>
      </c>
      <c r="J806" s="32" t="s">
        <v>55</v>
      </c>
    </row>
    <row r="807" spans="1:12" hidden="1" x14ac:dyDescent="0.3">
      <c r="A807" s="39">
        <v>46161.612199074072</v>
      </c>
      <c r="B807" s="32">
        <v>1143744993</v>
      </c>
      <c r="C807" s="32" t="s">
        <v>44</v>
      </c>
      <c r="D807" s="32">
        <v>4431268225</v>
      </c>
      <c r="E807" s="32">
        <v>402</v>
      </c>
      <c r="F807" s="32">
        <v>281</v>
      </c>
      <c r="G807" s="32" t="s">
        <v>38</v>
      </c>
      <c r="H807" s="32" t="s">
        <v>3524</v>
      </c>
      <c r="I807" s="32" t="s">
        <v>39</v>
      </c>
      <c r="J807" s="32" t="s">
        <v>40</v>
      </c>
      <c r="K807" s="32" t="s">
        <v>41</v>
      </c>
      <c r="L807" s="32">
        <v>5</v>
      </c>
    </row>
    <row r="808" spans="1:12" hidden="1" x14ac:dyDescent="0.3">
      <c r="A808" s="39">
        <v>46161.611574074072</v>
      </c>
      <c r="B808" s="32" t="s">
        <v>44</v>
      </c>
      <c r="C808" s="32">
        <v>4432275634</v>
      </c>
      <c r="E808" s="32">
        <v>32</v>
      </c>
      <c r="F808" s="32">
        <v>20</v>
      </c>
      <c r="G808" s="32" t="s">
        <v>38</v>
      </c>
      <c r="H808" s="32" t="s">
        <v>3525</v>
      </c>
      <c r="I808" s="32" t="s">
        <v>46</v>
      </c>
      <c r="J808" s="32" t="s">
        <v>40</v>
      </c>
    </row>
    <row r="809" spans="1:12" hidden="1" x14ac:dyDescent="0.3">
      <c r="A809" s="39">
        <v>46161.611516203702</v>
      </c>
      <c r="B809" s="32" t="s">
        <v>44</v>
      </c>
      <c r="C809" s="32">
        <v>4432275634</v>
      </c>
      <c r="E809" s="32">
        <v>26</v>
      </c>
      <c r="F809" s="32">
        <v>25</v>
      </c>
      <c r="G809" s="32" t="s">
        <v>38</v>
      </c>
      <c r="H809" s="32" t="s">
        <v>3526</v>
      </c>
      <c r="I809" s="32" t="s">
        <v>46</v>
      </c>
      <c r="J809" s="32" t="s">
        <v>40</v>
      </c>
    </row>
    <row r="810" spans="1:12" hidden="1" x14ac:dyDescent="0.3">
      <c r="A810" s="39">
        <v>46161.608726851853</v>
      </c>
      <c r="B810" s="32" t="s">
        <v>43</v>
      </c>
      <c r="C810" s="32">
        <v>47999938455</v>
      </c>
      <c r="E810" s="32">
        <v>35</v>
      </c>
      <c r="F810" s="32">
        <v>31</v>
      </c>
      <c r="G810" s="32" t="s">
        <v>38</v>
      </c>
      <c r="H810" s="32" t="s">
        <v>3527</v>
      </c>
      <c r="I810" s="32" t="s">
        <v>46</v>
      </c>
      <c r="J810" s="32" t="s">
        <v>40</v>
      </c>
    </row>
    <row r="811" spans="1:12" hidden="1" x14ac:dyDescent="0.3">
      <c r="A811" s="39">
        <v>46161.608541666668</v>
      </c>
      <c r="B811" s="32">
        <v>67992169496</v>
      </c>
      <c r="C811" s="32" t="s">
        <v>45</v>
      </c>
      <c r="D811" s="32">
        <v>4430265054</v>
      </c>
      <c r="E811" s="32">
        <v>503</v>
      </c>
      <c r="F811" s="32">
        <v>470</v>
      </c>
      <c r="G811" s="32" t="s">
        <v>38</v>
      </c>
      <c r="H811" s="32" t="s">
        <v>3528</v>
      </c>
      <c r="I811" s="32" t="s">
        <v>39</v>
      </c>
      <c r="J811" s="32" t="s">
        <v>40</v>
      </c>
      <c r="K811" s="32" t="s">
        <v>41</v>
      </c>
      <c r="L811" s="32">
        <v>5</v>
      </c>
    </row>
    <row r="812" spans="1:12" hidden="1" x14ac:dyDescent="0.3">
      <c r="A812" s="39">
        <v>46161.608483796299</v>
      </c>
      <c r="B812" s="32">
        <v>44988255390</v>
      </c>
      <c r="C812" s="32" t="s">
        <v>43</v>
      </c>
      <c r="D812" s="32">
        <v>4430265054</v>
      </c>
      <c r="E812" s="32">
        <v>498</v>
      </c>
      <c r="F812" s="32">
        <v>442</v>
      </c>
      <c r="G812" s="32" t="s">
        <v>38</v>
      </c>
      <c r="H812" s="32" t="s">
        <v>3529</v>
      </c>
      <c r="I812" s="32" t="s">
        <v>39</v>
      </c>
      <c r="J812" s="32" t="s">
        <v>40</v>
      </c>
      <c r="K812" s="32" t="s">
        <v>41</v>
      </c>
    </row>
    <row r="813" spans="1:12" hidden="1" x14ac:dyDescent="0.3">
      <c r="A813" s="39">
        <v>46161.608240740738</v>
      </c>
      <c r="B813" s="32" t="s">
        <v>43</v>
      </c>
      <c r="C813" s="32">
        <v>47999938455</v>
      </c>
      <c r="E813" s="32">
        <v>16</v>
      </c>
      <c r="F813" s="32">
        <v>0</v>
      </c>
      <c r="G813" s="32" t="s">
        <v>47</v>
      </c>
      <c r="H813" s="32" t="s">
        <v>3530</v>
      </c>
      <c r="I813" s="32" t="s">
        <v>46</v>
      </c>
      <c r="J813" s="32" t="s">
        <v>40</v>
      </c>
    </row>
    <row r="814" spans="1:12" hidden="1" x14ac:dyDescent="0.3">
      <c r="A814" s="39">
        <v>46161.608032407406</v>
      </c>
      <c r="B814" s="32" t="s">
        <v>43</v>
      </c>
      <c r="C814" s="32">
        <v>47999938455</v>
      </c>
      <c r="E814" s="32">
        <v>35</v>
      </c>
      <c r="F814" s="32">
        <v>32</v>
      </c>
      <c r="G814" s="32" t="s">
        <v>38</v>
      </c>
      <c r="H814" s="32" t="s">
        <v>3531</v>
      </c>
      <c r="I814" s="32" t="s">
        <v>46</v>
      </c>
      <c r="J814" s="32" t="s">
        <v>40</v>
      </c>
    </row>
    <row r="815" spans="1:12" hidden="1" x14ac:dyDescent="0.3">
      <c r="A815" s="39">
        <v>46161.607951388891</v>
      </c>
      <c r="B815" s="32" t="s">
        <v>43</v>
      </c>
      <c r="C815" s="32">
        <v>47999938455</v>
      </c>
      <c r="E815" s="32">
        <v>2</v>
      </c>
      <c r="F815" s="32">
        <v>0</v>
      </c>
      <c r="G815" s="32" t="s">
        <v>47</v>
      </c>
      <c r="H815" s="32" t="s">
        <v>3532</v>
      </c>
      <c r="I815" s="32" t="s">
        <v>46</v>
      </c>
      <c r="J815" s="32" t="s">
        <v>40</v>
      </c>
    </row>
    <row r="816" spans="1:12" hidden="1" x14ac:dyDescent="0.3">
      <c r="A816" s="39">
        <v>46161.607731481483</v>
      </c>
      <c r="B816" s="32" t="s">
        <v>43</v>
      </c>
      <c r="C816" s="32">
        <v>47999938455</v>
      </c>
      <c r="E816" s="32">
        <v>45</v>
      </c>
      <c r="F816" s="32">
        <v>37</v>
      </c>
      <c r="G816" s="32" t="s">
        <v>38</v>
      </c>
      <c r="H816" s="32" t="s">
        <v>3533</v>
      </c>
      <c r="I816" s="32" t="s">
        <v>46</v>
      </c>
      <c r="J816" s="32" t="s">
        <v>40</v>
      </c>
    </row>
    <row r="817" spans="1:12" hidden="1" x14ac:dyDescent="0.3">
      <c r="A817" s="39">
        <v>46161.606296296297</v>
      </c>
      <c r="B817" s="32">
        <v>41995061279</v>
      </c>
      <c r="C817" s="32" t="s">
        <v>44</v>
      </c>
      <c r="D817" s="32">
        <v>4430265054</v>
      </c>
      <c r="E817" s="32">
        <v>252</v>
      </c>
      <c r="F817" s="32">
        <v>174</v>
      </c>
      <c r="G817" s="32" t="s">
        <v>38</v>
      </c>
      <c r="H817" s="32" t="s">
        <v>3534</v>
      </c>
      <c r="I817" s="32" t="s">
        <v>39</v>
      </c>
      <c r="J817" s="32" t="s">
        <v>40</v>
      </c>
      <c r="K817" s="32" t="s">
        <v>41</v>
      </c>
    </row>
    <row r="818" spans="1:12" hidden="1" x14ac:dyDescent="0.3">
      <c r="A818" s="39">
        <v>46161.604826388888</v>
      </c>
      <c r="B818" s="32">
        <v>4432275634</v>
      </c>
      <c r="C818" s="32" t="s">
        <v>43</v>
      </c>
      <c r="D818" s="32">
        <v>4430265054</v>
      </c>
      <c r="E818" s="32">
        <v>169</v>
      </c>
      <c r="F818" s="32">
        <v>74</v>
      </c>
      <c r="G818" s="32" t="s">
        <v>38</v>
      </c>
      <c r="H818" s="32" t="s">
        <v>3535</v>
      </c>
      <c r="I818" s="32" t="s">
        <v>39</v>
      </c>
      <c r="J818" s="32" t="s">
        <v>40</v>
      </c>
      <c r="K818" s="32" t="s">
        <v>41</v>
      </c>
    </row>
    <row r="819" spans="1:12" hidden="1" x14ac:dyDescent="0.3">
      <c r="A819" s="39">
        <v>46161.604780092595</v>
      </c>
      <c r="B819" s="32">
        <v>4430288909</v>
      </c>
      <c r="C819" s="32">
        <v>4430265054</v>
      </c>
      <c r="D819" s="32">
        <v>4430265054</v>
      </c>
      <c r="E819" s="32">
        <v>20</v>
      </c>
      <c r="F819" s="32">
        <v>19</v>
      </c>
      <c r="G819" s="32" t="s">
        <v>52</v>
      </c>
      <c r="H819" s="32" t="s">
        <v>3536</v>
      </c>
      <c r="I819" s="32" t="s">
        <v>39</v>
      </c>
      <c r="J819" s="32" t="s">
        <v>53</v>
      </c>
    </row>
    <row r="820" spans="1:12" hidden="1" x14ac:dyDescent="0.3">
      <c r="A820" s="39">
        <v>46161.602141203701</v>
      </c>
      <c r="B820" s="32">
        <v>4432275634</v>
      </c>
      <c r="C820" s="32" t="s">
        <v>43</v>
      </c>
      <c r="D820" s="32">
        <v>4430265054</v>
      </c>
      <c r="E820" s="32">
        <v>191</v>
      </c>
      <c r="F820" s="32">
        <v>6</v>
      </c>
      <c r="G820" s="32" t="s">
        <v>38</v>
      </c>
      <c r="H820" s="32" t="s">
        <v>3537</v>
      </c>
      <c r="I820" s="32" t="s">
        <v>39</v>
      </c>
      <c r="J820" s="32" t="s">
        <v>40</v>
      </c>
      <c r="K820" s="32" t="s">
        <v>41</v>
      </c>
    </row>
    <row r="821" spans="1:12" hidden="1" x14ac:dyDescent="0.3">
      <c r="A821" s="39">
        <v>46161.601979166669</v>
      </c>
      <c r="B821" s="32">
        <v>4430288909</v>
      </c>
      <c r="C821" s="32">
        <v>4430265054</v>
      </c>
      <c r="D821" s="32">
        <v>4430265054</v>
      </c>
      <c r="E821" s="32">
        <v>20</v>
      </c>
      <c r="F821" s="32">
        <v>19</v>
      </c>
      <c r="G821" s="32" t="s">
        <v>52</v>
      </c>
      <c r="H821" s="32" t="s">
        <v>3538</v>
      </c>
      <c r="I821" s="32" t="s">
        <v>39</v>
      </c>
      <c r="J821" s="32" t="s">
        <v>53</v>
      </c>
    </row>
    <row r="822" spans="1:12" hidden="1" x14ac:dyDescent="0.3">
      <c r="A822" s="39">
        <v>46161.600300925929</v>
      </c>
      <c r="B822" s="32">
        <v>44991381017</v>
      </c>
      <c r="C822" s="32" t="s">
        <v>48</v>
      </c>
      <c r="D822" s="32">
        <v>4430265054</v>
      </c>
      <c r="E822" s="32">
        <v>512</v>
      </c>
      <c r="F822" s="32">
        <v>304</v>
      </c>
      <c r="G822" s="32" t="s">
        <v>38</v>
      </c>
      <c r="H822" s="32" t="s">
        <v>3539</v>
      </c>
      <c r="I822" s="32" t="s">
        <v>39</v>
      </c>
      <c r="J822" s="32" t="s">
        <v>40</v>
      </c>
      <c r="K822" s="32" t="s">
        <v>41</v>
      </c>
    </row>
    <row r="823" spans="1:12" hidden="1" x14ac:dyDescent="0.3">
      <c r="A823" s="39">
        <v>46161.599768518521</v>
      </c>
      <c r="B823" s="32">
        <v>47999938455</v>
      </c>
      <c r="C823" s="32" t="s">
        <v>48</v>
      </c>
      <c r="D823" s="32">
        <v>4430265054</v>
      </c>
      <c r="E823" s="32">
        <v>251</v>
      </c>
      <c r="F823" s="32">
        <v>147</v>
      </c>
      <c r="G823" s="32" t="s">
        <v>38</v>
      </c>
      <c r="H823" s="32" t="s">
        <v>3540</v>
      </c>
      <c r="I823" s="32" t="s">
        <v>39</v>
      </c>
      <c r="J823" s="32" t="s">
        <v>40</v>
      </c>
      <c r="K823" s="32" t="s">
        <v>41</v>
      </c>
    </row>
    <row r="824" spans="1:12" hidden="1" x14ac:dyDescent="0.3">
      <c r="A824" s="39">
        <v>46161.598912037036</v>
      </c>
      <c r="B824" s="32">
        <v>47999938455</v>
      </c>
      <c r="C824" s="32">
        <v>4430265054</v>
      </c>
      <c r="D824" s="32">
        <v>4430265054</v>
      </c>
      <c r="E824" s="32">
        <v>23</v>
      </c>
      <c r="F824" s="32">
        <v>23</v>
      </c>
      <c r="G824" s="32" t="s">
        <v>52</v>
      </c>
      <c r="H824" s="32" t="s">
        <v>3541</v>
      </c>
      <c r="I824" s="32" t="s">
        <v>39</v>
      </c>
      <c r="J824" s="32" t="s">
        <v>53</v>
      </c>
      <c r="K824" s="32" t="s">
        <v>41</v>
      </c>
    </row>
    <row r="825" spans="1:12" hidden="1" x14ac:dyDescent="0.3">
      <c r="A825" s="39">
        <v>46161.598171296297</v>
      </c>
      <c r="B825" s="32">
        <v>44991814587</v>
      </c>
      <c r="C825" s="32">
        <v>4430265054</v>
      </c>
      <c r="D825" s="32">
        <v>4430265054</v>
      </c>
      <c r="E825" s="32">
        <v>1</v>
      </c>
      <c r="F825" s="32">
        <v>0</v>
      </c>
      <c r="G825" s="32" t="s">
        <v>52</v>
      </c>
      <c r="H825" s="32" t="s">
        <v>3542</v>
      </c>
      <c r="I825" s="32" t="s">
        <v>39</v>
      </c>
      <c r="J825" s="32" t="s">
        <v>53</v>
      </c>
    </row>
    <row r="826" spans="1:12" hidden="1" x14ac:dyDescent="0.3">
      <c r="A826" s="39">
        <v>46161.596701388888</v>
      </c>
      <c r="B826" s="32">
        <v>67992169496</v>
      </c>
      <c r="C826" s="32" t="s">
        <v>43</v>
      </c>
      <c r="D826" s="32">
        <v>4430265054</v>
      </c>
      <c r="E826" s="32">
        <v>599</v>
      </c>
      <c r="F826" s="32">
        <v>458</v>
      </c>
      <c r="G826" s="32" t="s">
        <v>38</v>
      </c>
      <c r="H826" s="32" t="s">
        <v>3543</v>
      </c>
      <c r="I826" s="32" t="s">
        <v>39</v>
      </c>
      <c r="J826" s="32" t="s">
        <v>40</v>
      </c>
      <c r="K826" s="32" t="s">
        <v>41</v>
      </c>
      <c r="L826" s="32">
        <v>5</v>
      </c>
    </row>
    <row r="827" spans="1:12" hidden="1" x14ac:dyDescent="0.3">
      <c r="A827" s="39">
        <v>46161.596377314818</v>
      </c>
      <c r="B827" s="32">
        <v>62994546858</v>
      </c>
      <c r="C827" s="32" t="s">
        <v>44</v>
      </c>
      <c r="D827" s="32">
        <v>4431268225</v>
      </c>
      <c r="E827" s="32">
        <v>705</v>
      </c>
      <c r="F827" s="32">
        <v>669</v>
      </c>
      <c r="G827" s="32" t="s">
        <v>38</v>
      </c>
      <c r="H827" s="32" t="s">
        <v>3544</v>
      </c>
      <c r="I827" s="32" t="s">
        <v>39</v>
      </c>
      <c r="J827" s="32" t="s">
        <v>40</v>
      </c>
      <c r="K827" s="32" t="s">
        <v>41</v>
      </c>
      <c r="L827" s="32">
        <v>5</v>
      </c>
    </row>
    <row r="828" spans="1:12" hidden="1" x14ac:dyDescent="0.3">
      <c r="A828" s="39">
        <v>46161.595729166664</v>
      </c>
      <c r="B828" s="32">
        <v>4432524636</v>
      </c>
      <c r="C828" s="32" t="s">
        <v>45</v>
      </c>
      <c r="D828" s="32">
        <v>4430265054</v>
      </c>
      <c r="E828" s="32">
        <v>1024</v>
      </c>
      <c r="F828" s="32">
        <v>1013</v>
      </c>
      <c r="G828" s="32" t="s">
        <v>38</v>
      </c>
      <c r="H828" s="32" t="s">
        <v>3545</v>
      </c>
      <c r="I828" s="32" t="s">
        <v>39</v>
      </c>
      <c r="J828" s="32" t="s">
        <v>40</v>
      </c>
      <c r="K828" s="32" t="s">
        <v>41</v>
      </c>
      <c r="L828" s="32">
        <v>5</v>
      </c>
    </row>
    <row r="829" spans="1:12" hidden="1" x14ac:dyDescent="0.3">
      <c r="A829" s="39">
        <v>46161.592256944445</v>
      </c>
      <c r="B829" s="32">
        <v>4432524636</v>
      </c>
      <c r="C829" s="32">
        <v>4430265054</v>
      </c>
      <c r="D829" s="32">
        <v>4430265054</v>
      </c>
      <c r="E829" s="32">
        <v>70</v>
      </c>
      <c r="F829" s="32">
        <v>70</v>
      </c>
      <c r="G829" s="32" t="s">
        <v>52</v>
      </c>
      <c r="H829" s="32" t="s">
        <v>3546</v>
      </c>
      <c r="I829" s="32" t="s">
        <v>39</v>
      </c>
      <c r="J829" s="32" t="s">
        <v>53</v>
      </c>
      <c r="K829" s="32" t="s">
        <v>41</v>
      </c>
    </row>
    <row r="830" spans="1:12" hidden="1" x14ac:dyDescent="0.3">
      <c r="A830" s="39">
        <v>46161.590081018519</v>
      </c>
      <c r="B830" s="32">
        <v>4436313773</v>
      </c>
      <c r="C830" s="32" t="s">
        <v>48</v>
      </c>
      <c r="D830" s="32">
        <v>4430265054</v>
      </c>
      <c r="E830" s="32">
        <v>719</v>
      </c>
      <c r="F830" s="32">
        <v>661</v>
      </c>
      <c r="G830" s="32" t="s">
        <v>38</v>
      </c>
      <c r="H830" s="32" t="s">
        <v>3547</v>
      </c>
      <c r="I830" s="32" t="s">
        <v>39</v>
      </c>
      <c r="J830" s="32" t="s">
        <v>40</v>
      </c>
      <c r="K830" s="32" t="s">
        <v>41</v>
      </c>
    </row>
    <row r="831" spans="1:12" hidden="1" x14ac:dyDescent="0.3">
      <c r="A831" s="39">
        <v>46161.588356481479</v>
      </c>
      <c r="B831" s="32">
        <v>4436312588</v>
      </c>
      <c r="C831" s="32">
        <v>4430265054</v>
      </c>
      <c r="D831" s="32">
        <v>4430265054</v>
      </c>
      <c r="E831" s="32">
        <v>30</v>
      </c>
      <c r="F831" s="32">
        <v>29</v>
      </c>
      <c r="G831" s="32" t="s">
        <v>52</v>
      </c>
      <c r="H831" s="32" t="s">
        <v>3548</v>
      </c>
      <c r="I831" s="32" t="s">
        <v>39</v>
      </c>
      <c r="J831" s="32" t="s">
        <v>53</v>
      </c>
      <c r="K831" s="32" t="s">
        <v>41</v>
      </c>
    </row>
    <row r="832" spans="1:12" hidden="1" x14ac:dyDescent="0.3">
      <c r="A832" s="39">
        <v>46161.588090277779</v>
      </c>
      <c r="B832" s="32" t="s">
        <v>48</v>
      </c>
      <c r="C832" s="32">
        <v>83988398480</v>
      </c>
      <c r="E832" s="32">
        <v>250</v>
      </c>
      <c r="F832" s="32">
        <v>237</v>
      </c>
      <c r="G832" s="32" t="s">
        <v>38</v>
      </c>
      <c r="H832" s="32" t="s">
        <v>3549</v>
      </c>
      <c r="I832" s="32" t="s">
        <v>46</v>
      </c>
      <c r="J832" s="32" t="s">
        <v>40</v>
      </c>
    </row>
    <row r="833" spans="1:12" hidden="1" x14ac:dyDescent="0.3">
      <c r="A833" s="39">
        <v>46161.587627314817</v>
      </c>
      <c r="B833" s="32" t="s">
        <v>48</v>
      </c>
      <c r="C833" s="32">
        <v>8335128480</v>
      </c>
      <c r="E833" s="32">
        <v>25</v>
      </c>
      <c r="F833" s="32">
        <v>0</v>
      </c>
      <c r="G833" s="32" t="s">
        <v>47</v>
      </c>
      <c r="H833" s="32" t="s">
        <v>3550</v>
      </c>
      <c r="I833" s="32" t="s">
        <v>46</v>
      </c>
      <c r="J833" s="32" t="s">
        <v>40</v>
      </c>
    </row>
    <row r="834" spans="1:12" hidden="1" x14ac:dyDescent="0.3">
      <c r="A834" s="39">
        <v>46161.583298611113</v>
      </c>
      <c r="B834" s="32">
        <v>4121413772</v>
      </c>
      <c r="C834" s="32" t="s">
        <v>45</v>
      </c>
      <c r="D834" s="32">
        <v>4531273172</v>
      </c>
      <c r="E834" s="32">
        <v>46</v>
      </c>
      <c r="F834" s="32">
        <v>14</v>
      </c>
      <c r="G834" s="32" t="s">
        <v>38</v>
      </c>
      <c r="H834" s="32" t="s">
        <v>3551</v>
      </c>
      <c r="I834" s="32" t="s">
        <v>39</v>
      </c>
      <c r="J834" s="32" t="s">
        <v>40</v>
      </c>
      <c r="K834" s="32" t="s">
        <v>41</v>
      </c>
    </row>
    <row r="835" spans="1:12" hidden="1" x14ac:dyDescent="0.3">
      <c r="A835" s="39">
        <v>46161.582187499997</v>
      </c>
      <c r="B835" s="32">
        <v>4432275634</v>
      </c>
      <c r="C835" s="32" t="s">
        <v>44</v>
      </c>
      <c r="D835" s="32">
        <v>4430265054</v>
      </c>
      <c r="E835" s="32">
        <v>239</v>
      </c>
      <c r="F835" s="32">
        <v>156</v>
      </c>
      <c r="G835" s="32" t="s">
        <v>38</v>
      </c>
      <c r="H835" s="32" t="s">
        <v>3552</v>
      </c>
      <c r="I835" s="32" t="s">
        <v>39</v>
      </c>
      <c r="J835" s="32" t="s">
        <v>40</v>
      </c>
      <c r="K835" s="32" t="s">
        <v>41</v>
      </c>
    </row>
    <row r="836" spans="1:12" hidden="1" x14ac:dyDescent="0.3">
      <c r="A836" s="39">
        <v>46161.581122685187</v>
      </c>
      <c r="B836" s="32">
        <v>11947305571</v>
      </c>
      <c r="C836" s="32" t="s">
        <v>45</v>
      </c>
      <c r="D836" s="32">
        <v>4430265054</v>
      </c>
      <c r="E836" s="32">
        <v>229</v>
      </c>
      <c r="F836" s="32">
        <v>105</v>
      </c>
      <c r="G836" s="32" t="s">
        <v>38</v>
      </c>
      <c r="H836" s="32" t="s">
        <v>3553</v>
      </c>
      <c r="I836" s="32" t="s">
        <v>39</v>
      </c>
      <c r="J836" s="32" t="s">
        <v>40</v>
      </c>
      <c r="K836" s="32" t="s">
        <v>41</v>
      </c>
      <c r="L836" s="32">
        <v>5</v>
      </c>
    </row>
    <row r="837" spans="1:12" hidden="1" x14ac:dyDescent="0.3">
      <c r="A837" s="39">
        <v>46161.580243055556</v>
      </c>
      <c r="B837" s="32" t="s">
        <v>43</v>
      </c>
      <c r="C837" s="32">
        <v>44999449519</v>
      </c>
      <c r="E837" s="32">
        <v>17</v>
      </c>
      <c r="F837" s="32">
        <v>0</v>
      </c>
      <c r="G837" s="32" t="s">
        <v>47</v>
      </c>
      <c r="H837" s="32" t="s">
        <v>3554</v>
      </c>
      <c r="I837" s="32" t="s">
        <v>46</v>
      </c>
      <c r="J837" s="32" t="s">
        <v>40</v>
      </c>
    </row>
    <row r="838" spans="1:12" hidden="1" x14ac:dyDescent="0.3">
      <c r="A838" s="39">
        <v>46161.580185185187</v>
      </c>
      <c r="B838" s="32">
        <v>43991364602</v>
      </c>
      <c r="C838" s="32" t="s">
        <v>43</v>
      </c>
      <c r="D838" s="32">
        <v>4430265054</v>
      </c>
      <c r="E838" s="32">
        <v>429</v>
      </c>
      <c r="F838" s="32">
        <v>348</v>
      </c>
      <c r="G838" s="32" t="s">
        <v>38</v>
      </c>
      <c r="H838" s="32" t="s">
        <v>3555</v>
      </c>
      <c r="I838" s="32" t="s">
        <v>39</v>
      </c>
      <c r="J838" s="32" t="s">
        <v>40</v>
      </c>
      <c r="K838" s="32" t="s">
        <v>41</v>
      </c>
    </row>
    <row r="839" spans="1:12" hidden="1" x14ac:dyDescent="0.3">
      <c r="A839" s="39">
        <v>46161.578981481478</v>
      </c>
      <c r="B839" s="32">
        <v>44998039090</v>
      </c>
      <c r="C839" s="32" t="s">
        <v>44</v>
      </c>
      <c r="D839" s="32">
        <v>4430265054</v>
      </c>
      <c r="E839" s="32">
        <v>357</v>
      </c>
      <c r="F839" s="32">
        <v>57</v>
      </c>
      <c r="G839" s="32" t="s">
        <v>38</v>
      </c>
      <c r="H839" s="32" t="s">
        <v>3556</v>
      </c>
      <c r="I839" s="32" t="s">
        <v>39</v>
      </c>
      <c r="J839" s="32" t="s">
        <v>40</v>
      </c>
      <c r="K839" s="32" t="s">
        <v>41</v>
      </c>
    </row>
    <row r="840" spans="1:12" hidden="1" x14ac:dyDescent="0.3">
      <c r="A840" s="39">
        <v>46161.578101851854</v>
      </c>
      <c r="B840" s="32" t="s">
        <v>43</v>
      </c>
      <c r="C840" s="32">
        <v>44999449519</v>
      </c>
      <c r="E840" s="32">
        <v>13</v>
      </c>
      <c r="F840" s="32">
        <v>0</v>
      </c>
      <c r="G840" s="32" t="s">
        <v>47</v>
      </c>
      <c r="H840" s="32" t="s">
        <v>3557</v>
      </c>
      <c r="I840" s="32" t="s">
        <v>46</v>
      </c>
      <c r="J840" s="32" t="s">
        <v>40</v>
      </c>
    </row>
    <row r="841" spans="1:12" hidden="1" x14ac:dyDescent="0.3">
      <c r="A841" s="39">
        <v>46161.577592592592</v>
      </c>
      <c r="B841" s="32">
        <v>31998432423</v>
      </c>
      <c r="C841" s="32" t="s">
        <v>54</v>
      </c>
      <c r="D841" s="32">
        <v>4430265054</v>
      </c>
      <c r="E841" s="32">
        <v>250</v>
      </c>
      <c r="F841" s="32">
        <v>224</v>
      </c>
      <c r="G841" s="32" t="s">
        <v>38</v>
      </c>
      <c r="H841" s="32" t="s">
        <v>3558</v>
      </c>
      <c r="I841" s="32" t="s">
        <v>39</v>
      </c>
      <c r="J841" s="32" t="s">
        <v>55</v>
      </c>
      <c r="K841" s="32" t="s">
        <v>49</v>
      </c>
    </row>
    <row r="842" spans="1:12" hidden="1" x14ac:dyDescent="0.3">
      <c r="A842" s="39">
        <v>46161.573923611111</v>
      </c>
      <c r="B842" s="32" t="s">
        <v>48</v>
      </c>
      <c r="C842" s="32">
        <v>4436313773</v>
      </c>
      <c r="E842" s="32">
        <v>870</v>
      </c>
      <c r="F842" s="32">
        <v>861</v>
      </c>
      <c r="G842" s="32" t="s">
        <v>38</v>
      </c>
      <c r="H842" s="32" t="s">
        <v>3559</v>
      </c>
      <c r="I842" s="32" t="s">
        <v>46</v>
      </c>
      <c r="J842" s="32" t="s">
        <v>40</v>
      </c>
    </row>
    <row r="843" spans="1:12" hidden="1" x14ac:dyDescent="0.3">
      <c r="A843" s="39">
        <v>46161.572106481479</v>
      </c>
      <c r="B843" s="32" t="s">
        <v>43</v>
      </c>
      <c r="C843" s="32">
        <v>45999211333</v>
      </c>
      <c r="E843" s="32">
        <v>39</v>
      </c>
      <c r="F843" s="32">
        <v>0</v>
      </c>
      <c r="G843" s="32" t="s">
        <v>47</v>
      </c>
      <c r="H843" s="32" t="s">
        <v>3560</v>
      </c>
      <c r="I843" s="32" t="s">
        <v>46</v>
      </c>
      <c r="J843" s="32" t="s">
        <v>40</v>
      </c>
    </row>
    <row r="844" spans="1:12" hidden="1" x14ac:dyDescent="0.3">
      <c r="A844" s="39">
        <v>46161.567164351851</v>
      </c>
      <c r="B844" s="32" t="s">
        <v>43</v>
      </c>
      <c r="C844" s="32">
        <v>44999449519</v>
      </c>
      <c r="E844" s="32">
        <v>13</v>
      </c>
      <c r="F844" s="32">
        <v>0</v>
      </c>
      <c r="G844" s="32" t="s">
        <v>47</v>
      </c>
      <c r="H844" s="32" t="s">
        <v>3561</v>
      </c>
      <c r="I844" s="32" t="s">
        <v>46</v>
      </c>
      <c r="J844" s="32" t="s">
        <v>40</v>
      </c>
    </row>
    <row r="845" spans="1:12" hidden="1" x14ac:dyDescent="0.3">
      <c r="A845" s="39">
        <v>46161.56690972222</v>
      </c>
      <c r="B845" s="32" t="s">
        <v>43</v>
      </c>
      <c r="C845" s="32">
        <v>44999449519</v>
      </c>
      <c r="E845" s="32">
        <v>18</v>
      </c>
      <c r="F845" s="32">
        <v>0</v>
      </c>
      <c r="G845" s="32" t="s">
        <v>47</v>
      </c>
      <c r="H845" s="32" t="s">
        <v>3562</v>
      </c>
      <c r="I845" s="32" t="s">
        <v>46</v>
      </c>
      <c r="J845" s="32" t="s">
        <v>40</v>
      </c>
    </row>
    <row r="846" spans="1:12" hidden="1" x14ac:dyDescent="0.3">
      <c r="A846" s="39">
        <v>46161.565868055557</v>
      </c>
      <c r="B846" s="32">
        <v>4432524636</v>
      </c>
      <c r="C846" s="32" t="s">
        <v>45</v>
      </c>
      <c r="D846" s="32">
        <v>4430265054</v>
      </c>
      <c r="E846" s="32">
        <v>1032</v>
      </c>
      <c r="F846" s="32">
        <v>936</v>
      </c>
      <c r="G846" s="32" t="s">
        <v>38</v>
      </c>
      <c r="H846" s="32" t="s">
        <v>3563</v>
      </c>
      <c r="I846" s="32" t="s">
        <v>39</v>
      </c>
      <c r="J846" s="32" t="s">
        <v>40</v>
      </c>
      <c r="K846" s="32" t="s">
        <v>41</v>
      </c>
      <c r="L846" s="32">
        <v>5</v>
      </c>
    </row>
    <row r="847" spans="1:12" hidden="1" x14ac:dyDescent="0.3">
      <c r="A847" s="39">
        <v>46161.563032407408</v>
      </c>
      <c r="B847" s="32">
        <v>44984241715</v>
      </c>
      <c r="C847" s="32" t="s">
        <v>43</v>
      </c>
      <c r="D847" s="32">
        <v>4430265054</v>
      </c>
      <c r="E847" s="32">
        <v>286</v>
      </c>
      <c r="F847" s="32">
        <v>232</v>
      </c>
      <c r="G847" s="32" t="s">
        <v>38</v>
      </c>
      <c r="H847" s="32" t="s">
        <v>3564</v>
      </c>
      <c r="I847" s="32" t="s">
        <v>39</v>
      </c>
      <c r="J847" s="32" t="s">
        <v>40</v>
      </c>
      <c r="K847" s="32" t="s">
        <v>41</v>
      </c>
      <c r="L847" s="32">
        <v>5</v>
      </c>
    </row>
    <row r="848" spans="1:12" hidden="1" x14ac:dyDescent="0.3">
      <c r="A848" s="39">
        <v>46161.553171296298</v>
      </c>
      <c r="B848" s="32">
        <v>4432524636</v>
      </c>
      <c r="C848" s="32">
        <v>4430265054</v>
      </c>
      <c r="D848" s="32">
        <v>4430265054</v>
      </c>
      <c r="E848" s="32">
        <v>15</v>
      </c>
      <c r="F848" s="32">
        <v>15</v>
      </c>
      <c r="G848" s="32" t="s">
        <v>52</v>
      </c>
      <c r="H848" s="32" t="s">
        <v>3565</v>
      </c>
      <c r="I848" s="32" t="s">
        <v>39</v>
      </c>
      <c r="J848" s="32" t="s">
        <v>53</v>
      </c>
    </row>
    <row r="849" spans="1:11" hidden="1" x14ac:dyDescent="0.3">
      <c r="A849" s="39">
        <v>46161.492766203701</v>
      </c>
      <c r="B849" s="32">
        <v>44988255390</v>
      </c>
      <c r="C849" s="32" t="s">
        <v>43</v>
      </c>
      <c r="D849" s="32">
        <v>4430265054</v>
      </c>
      <c r="E849" s="32">
        <v>412</v>
      </c>
      <c r="F849" s="32">
        <v>359</v>
      </c>
      <c r="G849" s="32" t="s">
        <v>38</v>
      </c>
      <c r="H849" s="32" t="s">
        <v>3566</v>
      </c>
      <c r="I849" s="32" t="s">
        <v>39</v>
      </c>
      <c r="J849" s="32" t="s">
        <v>40</v>
      </c>
      <c r="K849" s="32" t="s">
        <v>41</v>
      </c>
    </row>
    <row r="850" spans="1:11" hidden="1" x14ac:dyDescent="0.3">
      <c r="A850" s="39">
        <v>46161.491909722223</v>
      </c>
      <c r="B850" s="32">
        <v>44998039090</v>
      </c>
      <c r="C850" s="32" t="s">
        <v>44</v>
      </c>
      <c r="D850" s="32">
        <v>4430265054</v>
      </c>
      <c r="E850" s="32">
        <v>725</v>
      </c>
      <c r="F850" s="32">
        <v>603</v>
      </c>
      <c r="G850" s="32" t="s">
        <v>38</v>
      </c>
      <c r="H850" s="32" t="s">
        <v>3567</v>
      </c>
      <c r="I850" s="32" t="s">
        <v>39</v>
      </c>
      <c r="J850" s="32" t="s">
        <v>40</v>
      </c>
      <c r="K850" s="32" t="s">
        <v>41</v>
      </c>
    </row>
    <row r="851" spans="1:11" hidden="1" x14ac:dyDescent="0.3">
      <c r="A851" s="39">
        <v>46161.488611111112</v>
      </c>
      <c r="B851" s="32">
        <v>44988255390</v>
      </c>
      <c r="C851" s="32">
        <v>4430265054</v>
      </c>
      <c r="D851" s="32">
        <v>4430265054</v>
      </c>
      <c r="E851" s="32">
        <v>42</v>
      </c>
      <c r="F851" s="32">
        <v>41</v>
      </c>
      <c r="G851" s="32" t="s">
        <v>52</v>
      </c>
      <c r="H851" s="32" t="s">
        <v>3568</v>
      </c>
      <c r="I851" s="32" t="s">
        <v>39</v>
      </c>
      <c r="J851" s="32" t="s">
        <v>53</v>
      </c>
      <c r="K851" s="32" t="s">
        <v>41</v>
      </c>
    </row>
    <row r="852" spans="1:11" hidden="1" x14ac:dyDescent="0.3">
      <c r="A852" s="39">
        <v>46161.485810185186</v>
      </c>
      <c r="B852" s="32" t="s">
        <v>54</v>
      </c>
      <c r="C852" s="32">
        <v>92993805035</v>
      </c>
      <c r="E852" s="32">
        <v>20</v>
      </c>
      <c r="F852" s="32">
        <v>1</v>
      </c>
      <c r="G852" s="32" t="s">
        <v>38</v>
      </c>
      <c r="H852" s="32" t="s">
        <v>3569</v>
      </c>
      <c r="I852" s="32" t="s">
        <v>46</v>
      </c>
      <c r="J852" s="32" t="s">
        <v>55</v>
      </c>
    </row>
    <row r="853" spans="1:11" hidden="1" x14ac:dyDescent="0.3">
      <c r="A853" s="39">
        <v>46161.484849537039</v>
      </c>
      <c r="B853" s="32" t="s">
        <v>54</v>
      </c>
      <c r="C853" s="32">
        <v>7933221515</v>
      </c>
      <c r="E853" s="32">
        <v>7</v>
      </c>
      <c r="F853" s="32">
        <v>0</v>
      </c>
      <c r="G853" s="32" t="s">
        <v>47</v>
      </c>
      <c r="H853" s="32" t="s">
        <v>3570</v>
      </c>
      <c r="I853" s="32" t="s">
        <v>46</v>
      </c>
      <c r="J853" s="32" t="s">
        <v>55</v>
      </c>
    </row>
    <row r="854" spans="1:11" hidden="1" x14ac:dyDescent="0.3">
      <c r="A854" s="39">
        <v>46161.483530092592</v>
      </c>
      <c r="B854" s="32" t="s">
        <v>54</v>
      </c>
      <c r="C854" s="32">
        <v>48999012620</v>
      </c>
      <c r="E854" s="32">
        <v>15</v>
      </c>
      <c r="F854" s="32">
        <v>5</v>
      </c>
      <c r="G854" s="32" t="s">
        <v>38</v>
      </c>
      <c r="H854" s="32" t="s">
        <v>3571</v>
      </c>
      <c r="I854" s="32" t="s">
        <v>46</v>
      </c>
      <c r="J854" s="32" t="s">
        <v>55</v>
      </c>
    </row>
    <row r="855" spans="1:11" hidden="1" x14ac:dyDescent="0.3">
      <c r="A855" s="39">
        <v>46161.479351851849</v>
      </c>
      <c r="B855" s="32" t="s">
        <v>54</v>
      </c>
      <c r="C855" s="32">
        <v>12997010309</v>
      </c>
      <c r="E855" s="32">
        <v>19</v>
      </c>
      <c r="F855" s="32">
        <v>0</v>
      </c>
      <c r="G855" s="32" t="s">
        <v>47</v>
      </c>
      <c r="H855" s="32" t="s">
        <v>3572</v>
      </c>
      <c r="I855" s="32" t="s">
        <v>46</v>
      </c>
      <c r="J855" s="32" t="s">
        <v>55</v>
      </c>
    </row>
    <row r="856" spans="1:11" hidden="1" x14ac:dyDescent="0.3">
      <c r="A856" s="39">
        <v>46161.478726851848</v>
      </c>
      <c r="B856" s="32" t="s">
        <v>54</v>
      </c>
      <c r="C856" s="32">
        <v>1139233315</v>
      </c>
      <c r="E856" s="32">
        <v>26</v>
      </c>
      <c r="F856" s="32">
        <v>0</v>
      </c>
      <c r="G856" s="32" t="s">
        <v>47</v>
      </c>
      <c r="H856" s="32" t="s">
        <v>3573</v>
      </c>
      <c r="I856" s="32" t="s">
        <v>46</v>
      </c>
      <c r="J856" s="32" t="s">
        <v>55</v>
      </c>
    </row>
    <row r="857" spans="1:11" hidden="1" x14ac:dyDescent="0.3">
      <c r="A857" s="39">
        <v>46161.478576388887</v>
      </c>
      <c r="B857" s="32" t="s">
        <v>50</v>
      </c>
      <c r="C857" s="32">
        <v>44999070165</v>
      </c>
      <c r="E857" s="32">
        <v>43</v>
      </c>
      <c r="F857" s="32">
        <v>3</v>
      </c>
      <c r="G857" s="32" t="s">
        <v>38</v>
      </c>
      <c r="H857" s="32" t="s">
        <v>3574</v>
      </c>
      <c r="I857" s="32" t="s">
        <v>46</v>
      </c>
      <c r="J857" s="32" t="s">
        <v>55</v>
      </c>
    </row>
    <row r="858" spans="1:11" hidden="1" x14ac:dyDescent="0.3">
      <c r="A858" s="39">
        <v>46161.478530092594</v>
      </c>
      <c r="B858" s="32">
        <v>44999646909</v>
      </c>
      <c r="C858" s="32" t="s">
        <v>44</v>
      </c>
      <c r="D858" s="32">
        <v>4430265054</v>
      </c>
      <c r="E858" s="32">
        <v>898</v>
      </c>
      <c r="F858" s="32">
        <v>849</v>
      </c>
      <c r="G858" s="32" t="s">
        <v>38</v>
      </c>
      <c r="H858" s="32" t="s">
        <v>3575</v>
      </c>
      <c r="I858" s="32" t="s">
        <v>39</v>
      </c>
      <c r="J858" s="32" t="s">
        <v>40</v>
      </c>
      <c r="K858" s="32" t="s">
        <v>41</v>
      </c>
    </row>
    <row r="859" spans="1:11" hidden="1" x14ac:dyDescent="0.3">
      <c r="A859" s="39">
        <v>46161.478090277778</v>
      </c>
      <c r="B859" s="32">
        <v>44999449519</v>
      </c>
      <c r="C859" s="32" t="s">
        <v>43</v>
      </c>
      <c r="D859" s="32">
        <v>4430265054</v>
      </c>
      <c r="E859" s="32">
        <v>358</v>
      </c>
      <c r="F859" s="32">
        <v>294</v>
      </c>
      <c r="G859" s="32" t="s">
        <v>38</v>
      </c>
      <c r="H859" s="32" t="s">
        <v>3576</v>
      </c>
      <c r="I859" s="32" t="s">
        <v>39</v>
      </c>
      <c r="J859" s="32" t="s">
        <v>40</v>
      </c>
      <c r="K859" s="32" t="s">
        <v>41</v>
      </c>
    </row>
    <row r="860" spans="1:11" hidden="1" x14ac:dyDescent="0.3">
      <c r="A860" s="39">
        <v>46161.477384259262</v>
      </c>
      <c r="B860" s="32">
        <v>2121123730</v>
      </c>
      <c r="C860" s="32">
        <v>4531273169</v>
      </c>
      <c r="D860" s="32">
        <v>4531273169</v>
      </c>
      <c r="E860" s="32">
        <v>47</v>
      </c>
      <c r="F860" s="32">
        <v>46</v>
      </c>
      <c r="G860" s="32" t="s">
        <v>52</v>
      </c>
      <c r="H860" s="32" t="s">
        <v>3577</v>
      </c>
      <c r="I860" s="32" t="s">
        <v>39</v>
      </c>
      <c r="J860" s="32" t="s">
        <v>53</v>
      </c>
      <c r="K860" s="32" t="s">
        <v>41</v>
      </c>
    </row>
    <row r="861" spans="1:11" hidden="1" x14ac:dyDescent="0.3">
      <c r="A861" s="39">
        <v>46161.476423611108</v>
      </c>
      <c r="B861" s="32" t="s">
        <v>54</v>
      </c>
      <c r="C861" s="32">
        <v>31971755378</v>
      </c>
      <c r="E861" s="32">
        <v>4</v>
      </c>
      <c r="F861" s="32">
        <v>0</v>
      </c>
      <c r="G861" s="32" t="s">
        <v>38</v>
      </c>
      <c r="H861" s="32" t="s">
        <v>3578</v>
      </c>
      <c r="I861" s="32" t="s">
        <v>46</v>
      </c>
      <c r="J861" s="32" t="s">
        <v>55</v>
      </c>
    </row>
    <row r="862" spans="1:11" hidden="1" x14ac:dyDescent="0.3">
      <c r="A862" s="39">
        <v>46161.474212962959</v>
      </c>
      <c r="B862" s="32" t="s">
        <v>54</v>
      </c>
      <c r="C862" s="32">
        <v>71988222353</v>
      </c>
      <c r="E862" s="32">
        <v>10</v>
      </c>
      <c r="F862" s="32">
        <v>2</v>
      </c>
      <c r="G862" s="32" t="s">
        <v>38</v>
      </c>
      <c r="H862" s="32" t="s">
        <v>3579</v>
      </c>
      <c r="I862" s="32" t="s">
        <v>46</v>
      </c>
      <c r="J862" s="32" t="s">
        <v>55</v>
      </c>
    </row>
    <row r="863" spans="1:11" hidden="1" x14ac:dyDescent="0.3">
      <c r="A863" s="39">
        <v>46161.472245370373</v>
      </c>
      <c r="B863" s="32" t="s">
        <v>54</v>
      </c>
      <c r="C863" s="32">
        <v>48999125209</v>
      </c>
      <c r="E863" s="32">
        <v>21</v>
      </c>
      <c r="F863" s="32">
        <v>4</v>
      </c>
      <c r="G863" s="32" t="s">
        <v>38</v>
      </c>
      <c r="H863" s="32" t="s">
        <v>3580</v>
      </c>
      <c r="I863" s="32" t="s">
        <v>46</v>
      </c>
      <c r="J863" s="32" t="s">
        <v>55</v>
      </c>
    </row>
    <row r="864" spans="1:11" hidden="1" x14ac:dyDescent="0.3">
      <c r="A864" s="39">
        <v>46161.470219907409</v>
      </c>
      <c r="B864" s="32">
        <v>47999938455</v>
      </c>
      <c r="C864" s="32" t="s">
        <v>43</v>
      </c>
      <c r="D864" s="32">
        <v>4430265054</v>
      </c>
      <c r="E864" s="32">
        <v>243</v>
      </c>
      <c r="F864" s="32">
        <v>202</v>
      </c>
      <c r="G864" s="32" t="s">
        <v>38</v>
      </c>
      <c r="H864" s="32" t="s">
        <v>3581</v>
      </c>
      <c r="I864" s="32" t="s">
        <v>39</v>
      </c>
      <c r="J864" s="32" t="s">
        <v>40</v>
      </c>
      <c r="K864" s="32" t="s">
        <v>41</v>
      </c>
    </row>
    <row r="865" spans="1:12" hidden="1" x14ac:dyDescent="0.3">
      <c r="A865" s="39">
        <v>46161.469212962962</v>
      </c>
      <c r="B865" s="32" t="s">
        <v>54</v>
      </c>
      <c r="C865" s="32">
        <v>21998626963</v>
      </c>
      <c r="E865" s="32">
        <v>35</v>
      </c>
      <c r="F865" s="32">
        <v>0</v>
      </c>
      <c r="G865" s="32" t="s">
        <v>47</v>
      </c>
      <c r="H865" s="32" t="s">
        <v>3582</v>
      </c>
      <c r="I865" s="32" t="s">
        <v>46</v>
      </c>
      <c r="J865" s="32" t="s">
        <v>55</v>
      </c>
    </row>
    <row r="866" spans="1:12" hidden="1" x14ac:dyDescent="0.3">
      <c r="A866" s="39">
        <v>46161.468634259261</v>
      </c>
      <c r="B866" s="32">
        <v>47999938455</v>
      </c>
      <c r="C866" s="32">
        <v>4430265054</v>
      </c>
      <c r="D866" s="32">
        <v>4430265054</v>
      </c>
      <c r="E866" s="32">
        <v>19</v>
      </c>
      <c r="F866" s="32">
        <v>18</v>
      </c>
      <c r="G866" s="32" t="s">
        <v>52</v>
      </c>
      <c r="H866" s="32" t="s">
        <v>3583</v>
      </c>
      <c r="I866" s="32" t="s">
        <v>39</v>
      </c>
      <c r="J866" s="32" t="s">
        <v>53</v>
      </c>
    </row>
    <row r="867" spans="1:12" hidden="1" x14ac:dyDescent="0.3">
      <c r="A867" s="39">
        <v>46161.466886574075</v>
      </c>
      <c r="B867" s="32">
        <v>44988328990</v>
      </c>
      <c r="C867" s="32">
        <v>4430265054</v>
      </c>
      <c r="D867" s="32">
        <v>4430265054</v>
      </c>
      <c r="E867" s="32">
        <v>9</v>
      </c>
      <c r="F867" s="32">
        <v>8</v>
      </c>
      <c r="G867" s="32" t="s">
        <v>52</v>
      </c>
      <c r="H867" s="32" t="s">
        <v>3584</v>
      </c>
      <c r="I867" s="32" t="s">
        <v>39</v>
      </c>
      <c r="J867" s="32" t="s">
        <v>53</v>
      </c>
    </row>
    <row r="868" spans="1:12" hidden="1" x14ac:dyDescent="0.3">
      <c r="A868" s="39">
        <v>46161.464363425926</v>
      </c>
      <c r="B868" s="32" t="s">
        <v>54</v>
      </c>
      <c r="C868" s="32">
        <v>85987623301</v>
      </c>
      <c r="E868" s="32">
        <v>2</v>
      </c>
      <c r="F868" s="32">
        <v>0</v>
      </c>
      <c r="G868" s="32" t="s">
        <v>47</v>
      </c>
      <c r="H868" s="32" t="s">
        <v>3585</v>
      </c>
      <c r="I868" s="32" t="s">
        <v>46</v>
      </c>
      <c r="J868" s="32" t="s">
        <v>55</v>
      </c>
    </row>
    <row r="869" spans="1:12" hidden="1" x14ac:dyDescent="0.3">
      <c r="A869" s="39">
        <v>46161.464178240742</v>
      </c>
      <c r="B869" s="32" t="s">
        <v>54</v>
      </c>
      <c r="C869" s="32">
        <v>85987623301</v>
      </c>
      <c r="E869" s="32">
        <v>15</v>
      </c>
      <c r="F869" s="32">
        <v>2</v>
      </c>
      <c r="G869" s="32" t="s">
        <v>38</v>
      </c>
      <c r="H869" s="32" t="s">
        <v>3586</v>
      </c>
      <c r="I869" s="32" t="s">
        <v>46</v>
      </c>
      <c r="J869" s="32" t="s">
        <v>55</v>
      </c>
    </row>
    <row r="870" spans="1:12" hidden="1" x14ac:dyDescent="0.3">
      <c r="A870" s="39">
        <v>46161.462453703702</v>
      </c>
      <c r="B870" s="32" t="s">
        <v>54</v>
      </c>
      <c r="C870" s="32">
        <v>16996060668</v>
      </c>
      <c r="E870" s="32">
        <v>25</v>
      </c>
      <c r="F870" s="32">
        <v>1</v>
      </c>
      <c r="G870" s="32" t="s">
        <v>38</v>
      </c>
      <c r="H870" s="32" t="s">
        <v>3587</v>
      </c>
      <c r="I870" s="32" t="s">
        <v>46</v>
      </c>
      <c r="J870" s="32" t="s">
        <v>55</v>
      </c>
    </row>
    <row r="871" spans="1:12" hidden="1" x14ac:dyDescent="0.3">
      <c r="A871" s="39">
        <v>46161.461076388892</v>
      </c>
      <c r="B871" s="32" t="s">
        <v>48</v>
      </c>
      <c r="C871" s="32">
        <v>4435221208</v>
      </c>
      <c r="E871" s="32">
        <v>179</v>
      </c>
      <c r="F871" s="32">
        <v>167</v>
      </c>
      <c r="G871" s="32" t="s">
        <v>38</v>
      </c>
      <c r="H871" s="32" t="s">
        <v>3588</v>
      </c>
      <c r="I871" s="32" t="s">
        <v>46</v>
      </c>
      <c r="J871" s="32" t="s">
        <v>40</v>
      </c>
    </row>
    <row r="872" spans="1:12" hidden="1" x14ac:dyDescent="0.3">
      <c r="A872" s="39">
        <v>46161.460266203707</v>
      </c>
      <c r="B872" s="32">
        <v>1732146970</v>
      </c>
      <c r="C872" s="32" t="s">
        <v>45</v>
      </c>
      <c r="D872" s="32">
        <v>4431268225</v>
      </c>
      <c r="E872" s="32">
        <v>2188</v>
      </c>
      <c r="F872" s="32">
        <v>2141</v>
      </c>
      <c r="G872" s="32" t="s">
        <v>38</v>
      </c>
      <c r="H872" s="32" t="s">
        <v>3589</v>
      </c>
      <c r="I872" s="32" t="s">
        <v>39</v>
      </c>
      <c r="J872" s="32" t="s">
        <v>40</v>
      </c>
      <c r="K872" s="32" t="s">
        <v>41</v>
      </c>
      <c r="L872" s="32">
        <v>5</v>
      </c>
    </row>
    <row r="873" spans="1:12" hidden="1" x14ac:dyDescent="0.3">
      <c r="A873" s="39">
        <v>46161.456574074073</v>
      </c>
      <c r="B873" s="32" t="s">
        <v>48</v>
      </c>
      <c r="C873" s="32">
        <v>4435221208</v>
      </c>
      <c r="E873" s="32">
        <v>384</v>
      </c>
      <c r="F873" s="32">
        <v>368</v>
      </c>
      <c r="G873" s="32" t="s">
        <v>38</v>
      </c>
      <c r="H873" s="32" t="s">
        <v>3590</v>
      </c>
      <c r="I873" s="32" t="s">
        <v>46</v>
      </c>
      <c r="J873" s="32" t="s">
        <v>40</v>
      </c>
    </row>
    <row r="874" spans="1:12" hidden="1" x14ac:dyDescent="0.3">
      <c r="A874" s="39">
        <v>46161.453344907408</v>
      </c>
      <c r="B874" s="32">
        <v>44984241715</v>
      </c>
      <c r="C874" s="32" t="s">
        <v>43</v>
      </c>
      <c r="D874" s="32">
        <v>4430265054</v>
      </c>
      <c r="E874" s="32">
        <v>407</v>
      </c>
      <c r="F874" s="32">
        <v>367</v>
      </c>
      <c r="G874" s="32" t="s">
        <v>38</v>
      </c>
      <c r="H874" s="32" t="s">
        <v>3591</v>
      </c>
      <c r="I874" s="32" t="s">
        <v>39</v>
      </c>
      <c r="J874" s="32" t="s">
        <v>40</v>
      </c>
      <c r="K874" s="32" t="s">
        <v>41</v>
      </c>
    </row>
    <row r="875" spans="1:12" hidden="1" x14ac:dyDescent="0.3">
      <c r="A875" s="39">
        <v>46161.44976851852</v>
      </c>
      <c r="B875" s="32" t="s">
        <v>44</v>
      </c>
      <c r="C875" s="32">
        <v>44988067937</v>
      </c>
      <c r="E875" s="32">
        <v>1002</v>
      </c>
      <c r="F875" s="32">
        <v>973</v>
      </c>
      <c r="G875" s="32" t="s">
        <v>38</v>
      </c>
      <c r="H875" s="32" t="s">
        <v>3592</v>
      </c>
      <c r="I875" s="32" t="s">
        <v>46</v>
      </c>
      <c r="J875" s="32" t="s">
        <v>40</v>
      </c>
    </row>
    <row r="876" spans="1:12" hidden="1" x14ac:dyDescent="0.3">
      <c r="A876" s="39">
        <v>46161.449675925927</v>
      </c>
      <c r="B876" s="32" t="s">
        <v>44</v>
      </c>
      <c r="C876" s="32">
        <v>44988067937</v>
      </c>
      <c r="E876" s="32">
        <v>5</v>
      </c>
      <c r="F876" s="32">
        <v>0</v>
      </c>
      <c r="G876" s="32" t="s">
        <v>47</v>
      </c>
      <c r="H876" s="32" t="s">
        <v>3593</v>
      </c>
      <c r="I876" s="32" t="s">
        <v>46</v>
      </c>
      <c r="J876" s="32" t="s">
        <v>40</v>
      </c>
    </row>
    <row r="877" spans="1:12" hidden="1" x14ac:dyDescent="0.3">
      <c r="A877" s="39">
        <v>46161.446539351855</v>
      </c>
      <c r="B877" s="32" t="s">
        <v>54</v>
      </c>
      <c r="C877" s="32">
        <v>33988607900</v>
      </c>
      <c r="E877" s="32">
        <v>1</v>
      </c>
      <c r="F877" s="32">
        <v>0</v>
      </c>
      <c r="G877" s="32" t="s">
        <v>47</v>
      </c>
      <c r="H877" s="32" t="s">
        <v>3594</v>
      </c>
      <c r="I877" s="32" t="s">
        <v>46</v>
      </c>
      <c r="J877" s="32" t="s">
        <v>55</v>
      </c>
    </row>
    <row r="878" spans="1:12" hidden="1" x14ac:dyDescent="0.3">
      <c r="A878" s="39">
        <v>46161.446458333332</v>
      </c>
      <c r="B878" s="32" t="s">
        <v>44</v>
      </c>
      <c r="C878" s="32">
        <v>43999388040</v>
      </c>
      <c r="E878" s="32">
        <v>219</v>
      </c>
      <c r="F878" s="32">
        <v>207</v>
      </c>
      <c r="G878" s="32" t="s">
        <v>38</v>
      </c>
      <c r="H878" s="32" t="s">
        <v>3595</v>
      </c>
      <c r="I878" s="32" t="s">
        <v>46</v>
      </c>
      <c r="J878" s="32" t="s">
        <v>40</v>
      </c>
    </row>
    <row r="879" spans="1:12" hidden="1" x14ac:dyDescent="0.3">
      <c r="A879" s="39">
        <v>46161.445891203701</v>
      </c>
      <c r="B879" s="32" t="s">
        <v>54</v>
      </c>
      <c r="C879" s="32">
        <v>44998282670</v>
      </c>
      <c r="E879" s="32">
        <v>0</v>
      </c>
      <c r="F879" s="32">
        <v>0</v>
      </c>
      <c r="G879" s="32" t="s">
        <v>47</v>
      </c>
      <c r="H879" s="32" t="s">
        <v>3596</v>
      </c>
      <c r="I879" s="32" t="s">
        <v>46</v>
      </c>
      <c r="J879" s="32" t="s">
        <v>55</v>
      </c>
    </row>
    <row r="880" spans="1:12" hidden="1" x14ac:dyDescent="0.3">
      <c r="A880" s="39">
        <v>46161.445405092592</v>
      </c>
      <c r="B880" s="32">
        <v>93991064249</v>
      </c>
      <c r="C880" s="32" t="s">
        <v>45</v>
      </c>
      <c r="D880" s="32">
        <v>4431268225</v>
      </c>
      <c r="E880" s="32">
        <v>666</v>
      </c>
      <c r="F880" s="32">
        <v>590</v>
      </c>
      <c r="G880" s="32" t="s">
        <v>38</v>
      </c>
      <c r="H880" s="32" t="s">
        <v>3597</v>
      </c>
      <c r="I880" s="32" t="s">
        <v>39</v>
      </c>
      <c r="J880" s="32" t="s">
        <v>40</v>
      </c>
      <c r="K880" s="32" t="s">
        <v>41</v>
      </c>
      <c r="L880" s="32">
        <v>5</v>
      </c>
    </row>
    <row r="881" spans="1:12" hidden="1" x14ac:dyDescent="0.3">
      <c r="A881" s="39">
        <v>46161.441550925927</v>
      </c>
      <c r="B881" s="32" t="s">
        <v>54</v>
      </c>
      <c r="C881" s="32">
        <v>84988049220</v>
      </c>
      <c r="E881" s="32">
        <v>22</v>
      </c>
      <c r="F881" s="32">
        <v>0</v>
      </c>
      <c r="G881" s="32" t="s">
        <v>47</v>
      </c>
      <c r="H881" s="32" t="s">
        <v>3598</v>
      </c>
      <c r="I881" s="32" t="s">
        <v>46</v>
      </c>
      <c r="J881" s="32" t="s">
        <v>55</v>
      </c>
    </row>
    <row r="882" spans="1:12" hidden="1" x14ac:dyDescent="0.3">
      <c r="A882" s="39">
        <v>46161.43959490741</v>
      </c>
      <c r="B882" s="32">
        <v>77999250878</v>
      </c>
      <c r="C882" s="32" t="s">
        <v>44</v>
      </c>
      <c r="D882" s="32">
        <v>4430265054</v>
      </c>
      <c r="E882" s="32">
        <v>277</v>
      </c>
      <c r="F882" s="32">
        <v>235</v>
      </c>
      <c r="G882" s="32" t="s">
        <v>38</v>
      </c>
      <c r="H882" s="32" t="s">
        <v>3599</v>
      </c>
      <c r="I882" s="32" t="s">
        <v>39</v>
      </c>
      <c r="J882" s="32" t="s">
        <v>40</v>
      </c>
      <c r="K882" s="32" t="s">
        <v>41</v>
      </c>
    </row>
    <row r="883" spans="1:12" hidden="1" x14ac:dyDescent="0.3">
      <c r="A883" s="39">
        <v>46161.439062500001</v>
      </c>
      <c r="B883" s="32">
        <v>77999250878</v>
      </c>
      <c r="C883" s="32">
        <v>4430265054</v>
      </c>
      <c r="D883" s="32">
        <v>4430265054</v>
      </c>
      <c r="E883" s="32">
        <v>38</v>
      </c>
      <c r="F883" s="32">
        <v>38</v>
      </c>
      <c r="G883" s="32" t="s">
        <v>52</v>
      </c>
      <c r="H883" s="32" t="s">
        <v>3600</v>
      </c>
      <c r="I883" s="32" t="s">
        <v>39</v>
      </c>
      <c r="J883" s="32" t="s">
        <v>53</v>
      </c>
      <c r="K883" s="32" t="s">
        <v>41</v>
      </c>
    </row>
    <row r="884" spans="1:12" hidden="1" x14ac:dyDescent="0.3">
      <c r="A884" s="39">
        <v>46161.438993055555</v>
      </c>
      <c r="B884" s="32">
        <v>44988255390</v>
      </c>
      <c r="C884" s="32" t="s">
        <v>43</v>
      </c>
      <c r="D884" s="32">
        <v>4430265054</v>
      </c>
      <c r="E884" s="32">
        <v>950</v>
      </c>
      <c r="F884" s="32">
        <v>912</v>
      </c>
      <c r="G884" s="32" t="s">
        <v>38</v>
      </c>
      <c r="H884" s="32" t="s">
        <v>3601</v>
      </c>
      <c r="I884" s="32" t="s">
        <v>39</v>
      </c>
      <c r="J884" s="32" t="s">
        <v>40</v>
      </c>
      <c r="K884" s="32" t="s">
        <v>41</v>
      </c>
      <c r="L884" s="32">
        <v>5</v>
      </c>
    </row>
    <row r="885" spans="1:12" hidden="1" x14ac:dyDescent="0.3">
      <c r="A885" s="39">
        <v>46161.438530092593</v>
      </c>
      <c r="B885" s="32">
        <v>77999250878</v>
      </c>
      <c r="C885" s="32">
        <v>4430265054</v>
      </c>
      <c r="D885" s="32">
        <v>4430265054</v>
      </c>
      <c r="E885" s="32">
        <v>35</v>
      </c>
      <c r="F885" s="32">
        <v>35</v>
      </c>
      <c r="G885" s="32" t="s">
        <v>52</v>
      </c>
      <c r="H885" s="32" t="s">
        <v>3602</v>
      </c>
      <c r="I885" s="32" t="s">
        <v>39</v>
      </c>
      <c r="J885" s="32" t="s">
        <v>53</v>
      </c>
      <c r="K885" s="32" t="s">
        <v>41</v>
      </c>
    </row>
    <row r="886" spans="1:12" hidden="1" x14ac:dyDescent="0.3">
      <c r="A886" s="39">
        <v>46161.435127314813</v>
      </c>
      <c r="B886" s="32">
        <v>44984241715</v>
      </c>
      <c r="C886" s="32" t="s">
        <v>45</v>
      </c>
      <c r="D886" s="32">
        <v>4430265054</v>
      </c>
      <c r="E886" s="32">
        <v>595</v>
      </c>
      <c r="F886" s="32">
        <v>536</v>
      </c>
      <c r="G886" s="32" t="s">
        <v>38</v>
      </c>
      <c r="H886" s="32" t="s">
        <v>3603</v>
      </c>
      <c r="I886" s="32" t="s">
        <v>39</v>
      </c>
      <c r="J886" s="32" t="s">
        <v>40</v>
      </c>
      <c r="K886" s="32" t="s">
        <v>41</v>
      </c>
      <c r="L886" s="32">
        <v>5</v>
      </c>
    </row>
    <row r="887" spans="1:12" hidden="1" x14ac:dyDescent="0.3">
      <c r="A887" s="39">
        <v>46161.429826388892</v>
      </c>
      <c r="B887" s="32">
        <v>4121413772</v>
      </c>
      <c r="C887" s="32">
        <v>4531273176</v>
      </c>
      <c r="D887" s="32">
        <v>4531273176</v>
      </c>
      <c r="E887" s="32">
        <v>47</v>
      </c>
      <c r="F887" s="32">
        <v>46</v>
      </c>
      <c r="G887" s="32" t="s">
        <v>52</v>
      </c>
      <c r="H887" s="32" t="s">
        <v>3604</v>
      </c>
      <c r="I887" s="32" t="s">
        <v>39</v>
      </c>
      <c r="J887" s="32" t="s">
        <v>53</v>
      </c>
      <c r="K887" s="32" t="s">
        <v>41</v>
      </c>
    </row>
    <row r="888" spans="1:12" hidden="1" x14ac:dyDescent="0.3">
      <c r="A888" s="39">
        <v>46161.42083333333</v>
      </c>
      <c r="B888" s="32" t="s">
        <v>43</v>
      </c>
      <c r="C888" s="32">
        <v>44999670264</v>
      </c>
      <c r="E888" s="32">
        <v>382</v>
      </c>
      <c r="F888" s="32">
        <v>367</v>
      </c>
      <c r="G888" s="32" t="s">
        <v>38</v>
      </c>
      <c r="H888" s="32" t="s">
        <v>3605</v>
      </c>
      <c r="I888" s="32" t="s">
        <v>46</v>
      </c>
      <c r="J888" s="32" t="s">
        <v>40</v>
      </c>
      <c r="L888" s="32">
        <v>5</v>
      </c>
    </row>
    <row r="889" spans="1:12" hidden="1" x14ac:dyDescent="0.3">
      <c r="A889" s="39">
        <v>46161.420775462961</v>
      </c>
      <c r="B889" s="32" t="s">
        <v>43</v>
      </c>
      <c r="C889" s="32">
        <v>44999670264</v>
      </c>
      <c r="E889" s="32">
        <v>4</v>
      </c>
      <c r="F889" s="32">
        <v>0</v>
      </c>
      <c r="G889" s="32" t="s">
        <v>47</v>
      </c>
      <c r="H889" s="32" t="s">
        <v>3606</v>
      </c>
      <c r="I889" s="32" t="s">
        <v>46</v>
      </c>
      <c r="J889" s="32" t="s">
        <v>40</v>
      </c>
    </row>
    <row r="890" spans="1:12" hidden="1" x14ac:dyDescent="0.3">
      <c r="A890" s="39">
        <v>46161.420081018521</v>
      </c>
      <c r="B890" s="32">
        <v>44999787337</v>
      </c>
      <c r="C890" s="32" t="s">
        <v>48</v>
      </c>
      <c r="D890" s="32">
        <v>4430265054</v>
      </c>
      <c r="E890" s="32">
        <v>3135</v>
      </c>
      <c r="F890" s="32">
        <v>3115</v>
      </c>
      <c r="G890" s="32" t="s">
        <v>38</v>
      </c>
      <c r="H890" s="32" t="s">
        <v>3607</v>
      </c>
      <c r="I890" s="32" t="s">
        <v>39</v>
      </c>
      <c r="J890" s="32" t="s">
        <v>40</v>
      </c>
      <c r="K890" s="32" t="s">
        <v>41</v>
      </c>
    </row>
    <row r="891" spans="1:12" hidden="1" x14ac:dyDescent="0.3">
      <c r="A891" s="39">
        <v>46161.419930555552</v>
      </c>
      <c r="B891" s="32">
        <v>44999670264</v>
      </c>
      <c r="C891" s="32" t="s">
        <v>43</v>
      </c>
      <c r="D891" s="32">
        <v>4430265054</v>
      </c>
      <c r="E891" s="32">
        <v>69</v>
      </c>
      <c r="F891" s="32">
        <v>24</v>
      </c>
      <c r="G891" s="32" t="s">
        <v>38</v>
      </c>
      <c r="H891" s="32" t="s">
        <v>3608</v>
      </c>
      <c r="I891" s="32" t="s">
        <v>39</v>
      </c>
      <c r="J891" s="32" t="s">
        <v>40</v>
      </c>
      <c r="K891" s="32" t="s">
        <v>41</v>
      </c>
    </row>
    <row r="892" spans="1:12" hidden="1" x14ac:dyDescent="0.3">
      <c r="A892" s="39">
        <v>46161.419259259259</v>
      </c>
      <c r="B892" s="32" t="s">
        <v>43</v>
      </c>
      <c r="C892" s="32">
        <v>44999503337</v>
      </c>
      <c r="E892" s="32">
        <v>21</v>
      </c>
      <c r="F892" s="32">
        <v>12</v>
      </c>
      <c r="G892" s="32" t="s">
        <v>38</v>
      </c>
      <c r="H892" s="32" t="s">
        <v>3609</v>
      </c>
      <c r="I892" s="32" t="s">
        <v>46</v>
      </c>
      <c r="J892" s="32" t="s">
        <v>40</v>
      </c>
    </row>
    <row r="893" spans="1:12" hidden="1" x14ac:dyDescent="0.3">
      <c r="A893" s="39">
        <v>46161.417557870373</v>
      </c>
      <c r="B893" s="32">
        <v>4432272377</v>
      </c>
      <c r="C893" s="32" t="s">
        <v>48</v>
      </c>
      <c r="D893" s="32">
        <v>4430265054</v>
      </c>
      <c r="E893" s="32">
        <v>197</v>
      </c>
      <c r="F893" s="32">
        <v>91</v>
      </c>
      <c r="G893" s="32" t="s">
        <v>38</v>
      </c>
      <c r="H893" s="32" t="s">
        <v>3610</v>
      </c>
      <c r="I893" s="32" t="s">
        <v>39</v>
      </c>
      <c r="J893" s="32" t="s">
        <v>40</v>
      </c>
      <c r="K893" s="32" t="s">
        <v>41</v>
      </c>
    </row>
    <row r="894" spans="1:12" hidden="1" x14ac:dyDescent="0.3">
      <c r="A894" s="39">
        <v>46161.415925925925</v>
      </c>
      <c r="B894" s="32">
        <v>44998636008</v>
      </c>
      <c r="C894" s="32" t="s">
        <v>44</v>
      </c>
      <c r="D894" s="32">
        <v>4430265054</v>
      </c>
      <c r="E894" s="32">
        <v>728</v>
      </c>
      <c r="F894" s="32">
        <v>635</v>
      </c>
      <c r="G894" s="32" t="s">
        <v>38</v>
      </c>
      <c r="H894" s="32" t="s">
        <v>3611</v>
      </c>
      <c r="I894" s="32" t="s">
        <v>39</v>
      </c>
      <c r="J894" s="32" t="s">
        <v>40</v>
      </c>
      <c r="K894" s="32" t="s">
        <v>41</v>
      </c>
    </row>
    <row r="895" spans="1:12" hidden="1" x14ac:dyDescent="0.3">
      <c r="A895" s="39">
        <v>46161.415659722225</v>
      </c>
      <c r="B895" s="32">
        <v>43991762957</v>
      </c>
      <c r="C895" s="32" t="s">
        <v>43</v>
      </c>
      <c r="D895" s="32">
        <v>4430265054</v>
      </c>
      <c r="E895" s="32">
        <v>311</v>
      </c>
      <c r="F895" s="32">
        <v>218</v>
      </c>
      <c r="G895" s="32" t="s">
        <v>38</v>
      </c>
      <c r="H895" s="32" t="s">
        <v>3612</v>
      </c>
      <c r="I895" s="32" t="s">
        <v>39</v>
      </c>
      <c r="J895" s="32" t="s">
        <v>40</v>
      </c>
      <c r="K895" s="32" t="s">
        <v>41</v>
      </c>
    </row>
    <row r="896" spans="1:12" hidden="1" x14ac:dyDescent="0.3">
      <c r="A896" s="39">
        <v>46161.415300925924</v>
      </c>
      <c r="B896" s="32">
        <v>4430315826</v>
      </c>
      <c r="C896" s="32" t="s">
        <v>45</v>
      </c>
      <c r="D896" s="32">
        <v>4430265054</v>
      </c>
      <c r="E896" s="32">
        <v>961</v>
      </c>
      <c r="F896" s="32">
        <v>936</v>
      </c>
      <c r="G896" s="32" t="s">
        <v>38</v>
      </c>
      <c r="H896" s="32" t="s">
        <v>3613</v>
      </c>
      <c r="I896" s="32" t="s">
        <v>39</v>
      </c>
      <c r="J896" s="32" t="s">
        <v>40</v>
      </c>
      <c r="K896" s="32" t="s">
        <v>41</v>
      </c>
      <c r="L896" s="32">
        <v>5</v>
      </c>
    </row>
    <row r="897" spans="1:12" hidden="1" x14ac:dyDescent="0.3">
      <c r="A897" s="39">
        <v>46161.412870370368</v>
      </c>
      <c r="B897" s="32">
        <v>4430414545</v>
      </c>
      <c r="C897" s="32" t="s">
        <v>48</v>
      </c>
      <c r="D897" s="32">
        <v>4430265054</v>
      </c>
      <c r="E897" s="32">
        <v>164</v>
      </c>
      <c r="F897" s="32">
        <v>164</v>
      </c>
      <c r="G897" s="32" t="s">
        <v>38</v>
      </c>
      <c r="H897" s="32" t="s">
        <v>3614</v>
      </c>
      <c r="I897" s="32" t="s">
        <v>39</v>
      </c>
      <c r="J897" s="32" t="s">
        <v>40</v>
      </c>
      <c r="K897" s="32" t="s">
        <v>41</v>
      </c>
    </row>
    <row r="898" spans="1:12" hidden="1" x14ac:dyDescent="0.3">
      <c r="A898" s="39">
        <v>46161.41269675926</v>
      </c>
      <c r="B898" s="32">
        <v>44988067937</v>
      </c>
      <c r="C898" s="32" t="s">
        <v>44</v>
      </c>
      <c r="D898" s="32">
        <v>4430265054</v>
      </c>
      <c r="E898" s="32">
        <v>261</v>
      </c>
      <c r="F898" s="32">
        <v>85</v>
      </c>
      <c r="G898" s="32" t="s">
        <v>38</v>
      </c>
      <c r="H898" s="32" t="s">
        <v>3615</v>
      </c>
      <c r="I898" s="32" t="s">
        <v>39</v>
      </c>
      <c r="J898" s="32" t="s">
        <v>40</v>
      </c>
      <c r="K898" s="32" t="s">
        <v>41</v>
      </c>
    </row>
    <row r="899" spans="1:12" hidden="1" x14ac:dyDescent="0.3">
      <c r="A899" s="39">
        <v>46161.409074074072</v>
      </c>
      <c r="B899" s="32">
        <v>4436313773</v>
      </c>
      <c r="C899" s="32" t="s">
        <v>45</v>
      </c>
      <c r="D899" s="32">
        <v>4430265054</v>
      </c>
      <c r="E899" s="32">
        <v>191</v>
      </c>
      <c r="F899" s="32">
        <v>58</v>
      </c>
      <c r="G899" s="32" t="s">
        <v>38</v>
      </c>
      <c r="H899" s="32" t="s">
        <v>3616</v>
      </c>
      <c r="I899" s="32" t="s">
        <v>39</v>
      </c>
      <c r="J899" s="32" t="s">
        <v>40</v>
      </c>
      <c r="K899" s="32" t="s">
        <v>41</v>
      </c>
    </row>
    <row r="900" spans="1:12" hidden="1" x14ac:dyDescent="0.3">
      <c r="A900" s="39">
        <v>46161.406064814815</v>
      </c>
      <c r="B900" s="32" t="s">
        <v>54</v>
      </c>
      <c r="C900" s="32">
        <v>92985577973</v>
      </c>
      <c r="E900" s="32">
        <v>13</v>
      </c>
      <c r="F900" s="32">
        <v>0</v>
      </c>
      <c r="G900" s="32" t="s">
        <v>47</v>
      </c>
      <c r="H900" s="32" t="s">
        <v>3617</v>
      </c>
      <c r="I900" s="32" t="s">
        <v>46</v>
      </c>
      <c r="J900" s="32" t="s">
        <v>55</v>
      </c>
    </row>
    <row r="901" spans="1:12" hidden="1" x14ac:dyDescent="0.3">
      <c r="A901" s="39">
        <v>46161.405925925923</v>
      </c>
      <c r="B901" s="32" t="s">
        <v>54</v>
      </c>
      <c r="C901" s="32">
        <v>92985577973</v>
      </c>
      <c r="E901" s="32">
        <v>11</v>
      </c>
      <c r="F901" s="32">
        <v>0</v>
      </c>
      <c r="G901" s="32" t="s">
        <v>47</v>
      </c>
      <c r="H901" s="32" t="s">
        <v>3618</v>
      </c>
      <c r="I901" s="32" t="s">
        <v>46</v>
      </c>
      <c r="J901" s="32" t="s">
        <v>55</v>
      </c>
    </row>
    <row r="902" spans="1:12" hidden="1" x14ac:dyDescent="0.3">
      <c r="A902" s="39">
        <v>46161.39471064815</v>
      </c>
      <c r="B902" s="32" t="s">
        <v>43</v>
      </c>
      <c r="C902" s="32">
        <v>44999503337</v>
      </c>
      <c r="E902" s="32">
        <v>29</v>
      </c>
      <c r="F902" s="32">
        <v>18</v>
      </c>
      <c r="G902" s="32" t="s">
        <v>38</v>
      </c>
      <c r="H902" s="32" t="s">
        <v>3619</v>
      </c>
      <c r="I902" s="32" t="s">
        <v>46</v>
      </c>
      <c r="J902" s="32" t="s">
        <v>40</v>
      </c>
    </row>
    <row r="903" spans="1:12" hidden="1" x14ac:dyDescent="0.3">
      <c r="A903" s="39">
        <v>46161.394652777781</v>
      </c>
      <c r="B903" s="32" t="s">
        <v>43</v>
      </c>
      <c r="C903" s="32">
        <v>44999503337</v>
      </c>
      <c r="E903" s="32">
        <v>4</v>
      </c>
      <c r="F903" s="32">
        <v>0</v>
      </c>
      <c r="G903" s="32" t="s">
        <v>47</v>
      </c>
      <c r="H903" s="32" t="s">
        <v>3620</v>
      </c>
      <c r="I903" s="32" t="s">
        <v>46</v>
      </c>
      <c r="J903" s="32" t="s">
        <v>40</v>
      </c>
    </row>
    <row r="904" spans="1:12" hidden="1" x14ac:dyDescent="0.3">
      <c r="A904" s="39">
        <v>46161.394317129627</v>
      </c>
      <c r="B904" s="32">
        <v>44988063491</v>
      </c>
      <c r="C904" s="32">
        <v>4430265054</v>
      </c>
      <c r="D904" s="32">
        <v>4430265054</v>
      </c>
      <c r="E904" s="32">
        <v>9</v>
      </c>
      <c r="F904" s="32">
        <v>8</v>
      </c>
      <c r="G904" s="32" t="s">
        <v>52</v>
      </c>
      <c r="H904" s="32" t="s">
        <v>3621</v>
      </c>
      <c r="I904" s="32" t="s">
        <v>39</v>
      </c>
      <c r="J904" s="32" t="s">
        <v>53</v>
      </c>
    </row>
    <row r="905" spans="1:12" hidden="1" x14ac:dyDescent="0.3">
      <c r="A905" s="39">
        <v>46161.392731481479</v>
      </c>
      <c r="B905" s="32">
        <v>44999503337</v>
      </c>
      <c r="C905" s="32" t="s">
        <v>43</v>
      </c>
      <c r="D905" s="32">
        <v>4430265054</v>
      </c>
      <c r="E905" s="32">
        <v>104</v>
      </c>
      <c r="F905" s="32">
        <v>77</v>
      </c>
      <c r="G905" s="32" t="s">
        <v>38</v>
      </c>
      <c r="H905" s="32" t="s">
        <v>3622</v>
      </c>
      <c r="I905" s="32" t="s">
        <v>39</v>
      </c>
      <c r="J905" s="32" t="s">
        <v>40</v>
      </c>
      <c r="K905" s="32" t="s">
        <v>41</v>
      </c>
    </row>
    <row r="906" spans="1:12" hidden="1" x14ac:dyDescent="0.3">
      <c r="A906" s="39">
        <v>46161.39261574074</v>
      </c>
      <c r="B906" s="32" t="s">
        <v>44</v>
      </c>
      <c r="C906" s="32">
        <v>43999388040</v>
      </c>
      <c r="E906" s="32">
        <v>969</v>
      </c>
      <c r="F906" s="32">
        <v>950</v>
      </c>
      <c r="G906" s="32" t="s">
        <v>38</v>
      </c>
      <c r="H906" s="32" t="s">
        <v>3623</v>
      </c>
      <c r="I906" s="32" t="s">
        <v>46</v>
      </c>
      <c r="J906" s="32" t="s">
        <v>40</v>
      </c>
    </row>
    <row r="907" spans="1:12" hidden="1" x14ac:dyDescent="0.3">
      <c r="A907" s="39">
        <v>46161.388391203705</v>
      </c>
      <c r="B907" s="32">
        <v>44998636008</v>
      </c>
      <c r="C907" s="32" t="s">
        <v>45</v>
      </c>
      <c r="D907" s="32">
        <v>4430265054</v>
      </c>
      <c r="E907" s="32">
        <v>483</v>
      </c>
      <c r="F907" s="32">
        <v>445</v>
      </c>
      <c r="G907" s="32" t="s">
        <v>38</v>
      </c>
      <c r="H907" s="32" t="s">
        <v>3624</v>
      </c>
      <c r="I907" s="32" t="s">
        <v>39</v>
      </c>
      <c r="J907" s="32" t="s">
        <v>40</v>
      </c>
      <c r="K907" s="32" t="s">
        <v>41</v>
      </c>
      <c r="L907" s="32">
        <v>5</v>
      </c>
    </row>
    <row r="908" spans="1:12" hidden="1" x14ac:dyDescent="0.3">
      <c r="A908" s="39">
        <v>46161.384895833333</v>
      </c>
      <c r="B908" s="32">
        <v>44999451200</v>
      </c>
      <c r="C908" s="32" t="s">
        <v>43</v>
      </c>
      <c r="D908" s="32">
        <v>4430265054</v>
      </c>
      <c r="E908" s="32">
        <v>293</v>
      </c>
      <c r="F908" s="32">
        <v>268</v>
      </c>
      <c r="G908" s="32" t="s">
        <v>38</v>
      </c>
      <c r="H908" s="32" t="s">
        <v>3625</v>
      </c>
      <c r="I908" s="32" t="s">
        <v>39</v>
      </c>
      <c r="J908" s="32" t="s">
        <v>40</v>
      </c>
      <c r="K908" s="32" t="s">
        <v>41</v>
      </c>
    </row>
    <row r="909" spans="1:12" hidden="1" x14ac:dyDescent="0.3">
      <c r="A909" s="39">
        <v>46161.376979166664</v>
      </c>
      <c r="B909" s="32" t="s">
        <v>44</v>
      </c>
      <c r="C909" s="32">
        <v>43999388040</v>
      </c>
      <c r="E909" s="32">
        <v>19</v>
      </c>
      <c r="F909" s="32">
        <v>0</v>
      </c>
      <c r="G909" s="32" t="s">
        <v>47</v>
      </c>
      <c r="H909" s="32" t="s">
        <v>3626</v>
      </c>
      <c r="I909" s="32" t="s">
        <v>46</v>
      </c>
      <c r="J909" s="32" t="s">
        <v>40</v>
      </c>
    </row>
    <row r="910" spans="1:12" hidden="1" x14ac:dyDescent="0.3">
      <c r="A910" s="39">
        <v>46161.376747685186</v>
      </c>
      <c r="B910" s="32">
        <v>44999503337</v>
      </c>
      <c r="C910" s="32" t="s">
        <v>45</v>
      </c>
      <c r="D910" s="32">
        <v>4430265054</v>
      </c>
      <c r="E910" s="32">
        <v>381</v>
      </c>
      <c r="F910" s="32">
        <v>321</v>
      </c>
      <c r="G910" s="32" t="s">
        <v>38</v>
      </c>
      <c r="H910" s="32" t="s">
        <v>3627</v>
      </c>
      <c r="I910" s="32" t="s">
        <v>39</v>
      </c>
      <c r="J910" s="32" t="s">
        <v>40</v>
      </c>
      <c r="K910" s="32" t="s">
        <v>41</v>
      </c>
    </row>
    <row r="911" spans="1:12" hidden="1" x14ac:dyDescent="0.3">
      <c r="A911" s="39">
        <v>46161.376608796294</v>
      </c>
      <c r="B911" s="32" t="s">
        <v>44</v>
      </c>
      <c r="C911" s="32">
        <v>43999388040</v>
      </c>
      <c r="E911" s="32">
        <v>15</v>
      </c>
      <c r="F911" s="32">
        <v>10</v>
      </c>
      <c r="G911" s="32" t="s">
        <v>38</v>
      </c>
      <c r="H911" s="32" t="s">
        <v>3628</v>
      </c>
      <c r="I911" s="32" t="s">
        <v>46</v>
      </c>
      <c r="J911" s="32" t="s">
        <v>40</v>
      </c>
    </row>
    <row r="912" spans="1:12" hidden="1" x14ac:dyDescent="0.3">
      <c r="A912" s="39">
        <v>46161.368356481478</v>
      </c>
      <c r="B912" s="32" t="s">
        <v>44</v>
      </c>
      <c r="C912" s="32">
        <v>43999388040</v>
      </c>
      <c r="E912" s="32">
        <v>159</v>
      </c>
      <c r="F912" s="32">
        <v>148</v>
      </c>
      <c r="G912" s="32" t="s">
        <v>38</v>
      </c>
      <c r="H912" s="32" t="s">
        <v>3629</v>
      </c>
      <c r="I912" s="32" t="s">
        <v>46</v>
      </c>
      <c r="J912" s="32" t="s">
        <v>40</v>
      </c>
    </row>
    <row r="913" spans="1:11" hidden="1" x14ac:dyDescent="0.3">
      <c r="A913" s="39">
        <v>46161.360092592593</v>
      </c>
      <c r="B913" s="32">
        <v>44999503337</v>
      </c>
      <c r="C913" s="32" t="s">
        <v>45</v>
      </c>
      <c r="D913" s="32">
        <v>4430265054</v>
      </c>
      <c r="E913" s="32">
        <v>240</v>
      </c>
      <c r="F913" s="32">
        <v>211</v>
      </c>
      <c r="G913" s="32" t="s">
        <v>38</v>
      </c>
      <c r="H913" s="32" t="s">
        <v>3630</v>
      </c>
      <c r="I913" s="32" t="s">
        <v>39</v>
      </c>
      <c r="J913" s="32" t="s">
        <v>40</v>
      </c>
      <c r="K913" s="32" t="s">
        <v>41</v>
      </c>
    </row>
    <row r="914" spans="1:11" hidden="1" x14ac:dyDescent="0.3">
      <c r="A914" s="39">
        <v>46161.356192129628</v>
      </c>
      <c r="B914" s="32">
        <v>1732146970</v>
      </c>
      <c r="C914" s="32" t="s">
        <v>43</v>
      </c>
      <c r="D914" s="32">
        <v>4431268225</v>
      </c>
      <c r="E914" s="32">
        <v>488</v>
      </c>
      <c r="F914" s="32">
        <v>421</v>
      </c>
      <c r="G914" s="32" t="s">
        <v>38</v>
      </c>
      <c r="H914" s="32" t="s">
        <v>3631</v>
      </c>
      <c r="I914" s="32" t="s">
        <v>39</v>
      </c>
      <c r="J914" s="32" t="s">
        <v>40</v>
      </c>
      <c r="K914" s="32" t="s">
        <v>41</v>
      </c>
    </row>
    <row r="915" spans="1:11" hidden="1" x14ac:dyDescent="0.3">
      <c r="A915" s="39">
        <v>46161.355879629627</v>
      </c>
      <c r="B915" s="32">
        <v>43999388040</v>
      </c>
      <c r="C915" s="32" t="s">
        <v>44</v>
      </c>
      <c r="D915" s="32">
        <v>4430265054</v>
      </c>
      <c r="E915" s="32">
        <v>874</v>
      </c>
      <c r="F915" s="32">
        <v>791</v>
      </c>
      <c r="G915" s="32" t="s">
        <v>38</v>
      </c>
      <c r="H915" s="32" t="s">
        <v>3632</v>
      </c>
      <c r="I915" s="32" t="s">
        <v>39</v>
      </c>
      <c r="J915" s="32" t="s">
        <v>40</v>
      </c>
      <c r="K915" s="32" t="s">
        <v>41</v>
      </c>
    </row>
    <row r="916" spans="1:11" hidden="1" x14ac:dyDescent="0.3">
      <c r="A916" s="39">
        <v>46161.351550925923</v>
      </c>
      <c r="B916" s="32">
        <v>44999624557</v>
      </c>
      <c r="C916" s="32">
        <v>4430265054</v>
      </c>
      <c r="D916" s="32">
        <v>4430265054</v>
      </c>
      <c r="E916" s="32">
        <v>8</v>
      </c>
      <c r="F916" s="32">
        <v>7</v>
      </c>
      <c r="G916" s="32" t="s">
        <v>52</v>
      </c>
      <c r="H916" s="32" t="s">
        <v>3633</v>
      </c>
      <c r="I916" s="32" t="s">
        <v>39</v>
      </c>
      <c r="J916" s="32" t="s">
        <v>53</v>
      </c>
    </row>
    <row r="917" spans="1:11" hidden="1" x14ac:dyDescent="0.3">
      <c r="A917" s="39">
        <v>46161.349421296298</v>
      </c>
      <c r="B917" s="32">
        <v>44984230979</v>
      </c>
      <c r="C917" s="32">
        <v>4430265054</v>
      </c>
      <c r="D917" s="32">
        <v>4430265054</v>
      </c>
      <c r="E917" s="32">
        <v>8</v>
      </c>
      <c r="F917" s="32">
        <v>7</v>
      </c>
      <c r="G917" s="32" t="s">
        <v>52</v>
      </c>
      <c r="H917" s="32" t="s">
        <v>3634</v>
      </c>
      <c r="I917" s="32" t="s">
        <v>39</v>
      </c>
      <c r="J917" s="32" t="s">
        <v>53</v>
      </c>
    </row>
    <row r="918" spans="1:11" hidden="1" x14ac:dyDescent="0.3">
      <c r="A918" s="39">
        <v>46161.346898148149</v>
      </c>
      <c r="B918" s="32" t="s">
        <v>48</v>
      </c>
      <c r="C918" s="32">
        <v>4435221208</v>
      </c>
      <c r="E918" s="32">
        <v>2419</v>
      </c>
      <c r="F918" s="32">
        <v>2404</v>
      </c>
      <c r="G918" s="32" t="s">
        <v>38</v>
      </c>
      <c r="H918" s="32" t="s">
        <v>3635</v>
      </c>
      <c r="I918" s="32" t="s">
        <v>46</v>
      </c>
      <c r="J918" s="32" t="s">
        <v>40</v>
      </c>
    </row>
    <row r="919" spans="1:11" hidden="1" x14ac:dyDescent="0.3">
      <c r="A919" s="39">
        <v>46161.337453703702</v>
      </c>
      <c r="B919" s="32" t="s">
        <v>48</v>
      </c>
      <c r="C919" s="32">
        <v>4435221208</v>
      </c>
      <c r="E919" s="32">
        <v>167</v>
      </c>
      <c r="F919" s="32">
        <v>152</v>
      </c>
      <c r="G919" s="32" t="s">
        <v>38</v>
      </c>
      <c r="H919" s="32" t="s">
        <v>3636</v>
      </c>
      <c r="I919" s="32" t="s">
        <v>46</v>
      </c>
      <c r="J919" s="32" t="s">
        <v>40</v>
      </c>
    </row>
    <row r="920" spans="1:11" hidden="1" x14ac:dyDescent="0.3">
      <c r="A920" s="39">
        <v>46160.742581018516</v>
      </c>
      <c r="B920" s="32" t="s">
        <v>54</v>
      </c>
      <c r="C920" s="32">
        <v>44998282670</v>
      </c>
      <c r="E920" s="32">
        <v>1</v>
      </c>
      <c r="F920" s="32">
        <v>0</v>
      </c>
      <c r="G920" s="32" t="s">
        <v>47</v>
      </c>
      <c r="H920" s="32" t="s">
        <v>3637</v>
      </c>
      <c r="I920" s="32" t="s">
        <v>46</v>
      </c>
      <c r="J920" s="32" t="s">
        <v>55</v>
      </c>
    </row>
    <row r="921" spans="1:11" hidden="1" x14ac:dyDescent="0.3">
      <c r="A921" s="39">
        <v>46160.741562499999</v>
      </c>
      <c r="B921" s="32" t="s">
        <v>54</v>
      </c>
      <c r="C921" s="32">
        <v>75998514963</v>
      </c>
      <c r="E921" s="32">
        <v>10</v>
      </c>
      <c r="F921" s="32">
        <v>0</v>
      </c>
      <c r="G921" s="32" t="s">
        <v>47</v>
      </c>
      <c r="H921" s="32" t="s">
        <v>3638</v>
      </c>
      <c r="I921" s="32" t="s">
        <v>46</v>
      </c>
      <c r="J921" s="32" t="s">
        <v>55</v>
      </c>
    </row>
    <row r="922" spans="1:11" hidden="1" x14ac:dyDescent="0.3">
      <c r="A922" s="39">
        <v>46160.741365740738</v>
      </c>
      <c r="B922" s="32">
        <v>44999670264</v>
      </c>
      <c r="C922" s="32" t="s">
        <v>44</v>
      </c>
      <c r="D922" s="32">
        <v>4430265054</v>
      </c>
      <c r="E922" s="32">
        <v>618</v>
      </c>
      <c r="F922" s="32">
        <v>582</v>
      </c>
      <c r="G922" s="32" t="s">
        <v>38</v>
      </c>
      <c r="H922" s="32" t="s">
        <v>3639</v>
      </c>
      <c r="I922" s="32" t="s">
        <v>39</v>
      </c>
      <c r="J922" s="32" t="s">
        <v>40</v>
      </c>
      <c r="K922" s="32" t="s">
        <v>41</v>
      </c>
    </row>
    <row r="923" spans="1:11" hidden="1" x14ac:dyDescent="0.3">
      <c r="A923" s="39">
        <v>46160.735127314816</v>
      </c>
      <c r="B923" s="32">
        <v>45999211333</v>
      </c>
      <c r="C923" s="32" t="s">
        <v>43</v>
      </c>
      <c r="D923" s="32">
        <v>4430265054</v>
      </c>
      <c r="E923" s="32">
        <v>377</v>
      </c>
      <c r="F923" s="32">
        <v>350</v>
      </c>
      <c r="G923" s="32" t="s">
        <v>38</v>
      </c>
      <c r="H923" s="32" t="s">
        <v>3640</v>
      </c>
      <c r="I923" s="32" t="s">
        <v>39</v>
      </c>
      <c r="J923" s="32" t="s">
        <v>40</v>
      </c>
      <c r="K923" s="32" t="s">
        <v>41</v>
      </c>
    </row>
    <row r="924" spans="1:11" hidden="1" x14ac:dyDescent="0.3">
      <c r="A924" s="39">
        <v>46160.732465277775</v>
      </c>
      <c r="B924" s="32" t="s">
        <v>45</v>
      </c>
      <c r="C924" s="32">
        <v>4430153709</v>
      </c>
      <c r="E924" s="32">
        <v>38</v>
      </c>
      <c r="F924" s="32">
        <v>0</v>
      </c>
      <c r="G924" s="32" t="s">
        <v>47</v>
      </c>
      <c r="H924" s="32" t="s">
        <v>3641</v>
      </c>
      <c r="I924" s="32" t="s">
        <v>46</v>
      </c>
      <c r="J924" s="32" t="s">
        <v>40</v>
      </c>
    </row>
    <row r="925" spans="1:11" hidden="1" x14ac:dyDescent="0.3">
      <c r="A925" s="39">
        <v>46160.732372685183</v>
      </c>
      <c r="B925" s="32">
        <v>44999629349</v>
      </c>
      <c r="C925" s="32" t="s">
        <v>45</v>
      </c>
      <c r="D925" s="32">
        <v>4430265054</v>
      </c>
      <c r="E925" s="32">
        <v>876</v>
      </c>
      <c r="F925" s="32">
        <v>876</v>
      </c>
      <c r="G925" s="32" t="s">
        <v>38</v>
      </c>
      <c r="H925" s="32" t="s">
        <v>3642</v>
      </c>
      <c r="I925" s="32" t="s">
        <v>39</v>
      </c>
      <c r="J925" s="32" t="s">
        <v>40</v>
      </c>
      <c r="K925" s="32" t="s">
        <v>41</v>
      </c>
    </row>
    <row r="926" spans="1:11" hidden="1" x14ac:dyDescent="0.3">
      <c r="A926" s="39">
        <v>46160.732361111113</v>
      </c>
      <c r="B926" s="32" t="s">
        <v>45</v>
      </c>
      <c r="C926" s="32">
        <v>4430153709</v>
      </c>
      <c r="E926" s="32">
        <v>25</v>
      </c>
      <c r="F926" s="32">
        <v>24</v>
      </c>
      <c r="G926" s="32" t="s">
        <v>38</v>
      </c>
      <c r="H926" s="32" t="s">
        <v>3643</v>
      </c>
      <c r="I926" s="32" t="s">
        <v>46</v>
      </c>
      <c r="J926" s="32" t="s">
        <v>40</v>
      </c>
    </row>
    <row r="927" spans="1:11" hidden="1" x14ac:dyDescent="0.3">
      <c r="A927" s="39">
        <v>46160.731249999997</v>
      </c>
      <c r="B927" s="32" t="s">
        <v>54</v>
      </c>
      <c r="C927" s="32">
        <v>83987570132</v>
      </c>
      <c r="E927" s="32">
        <v>16</v>
      </c>
      <c r="F927" s="32">
        <v>0</v>
      </c>
      <c r="G927" s="32" t="s">
        <v>38</v>
      </c>
      <c r="H927" s="32" t="s">
        <v>3644</v>
      </c>
      <c r="I927" s="32" t="s">
        <v>46</v>
      </c>
      <c r="J927" s="32" t="s">
        <v>55</v>
      </c>
    </row>
    <row r="928" spans="1:11" hidden="1" x14ac:dyDescent="0.3">
      <c r="A928" s="39">
        <v>46160.729097222225</v>
      </c>
      <c r="B928" s="32">
        <v>44999629349</v>
      </c>
      <c r="C928" s="32" t="s">
        <v>45</v>
      </c>
      <c r="D928" s="32">
        <v>4430265054</v>
      </c>
      <c r="E928" s="32">
        <v>276</v>
      </c>
      <c r="F928" s="32">
        <v>169</v>
      </c>
      <c r="G928" s="32" t="s">
        <v>38</v>
      </c>
      <c r="H928" s="32" t="s">
        <v>3645</v>
      </c>
      <c r="I928" s="32" t="s">
        <v>39</v>
      </c>
      <c r="J928" s="32" t="s">
        <v>40</v>
      </c>
      <c r="K928" s="32" t="s">
        <v>41</v>
      </c>
    </row>
    <row r="929" spans="1:12" hidden="1" x14ac:dyDescent="0.3">
      <c r="A929" s="39">
        <v>46160.727210648147</v>
      </c>
      <c r="B929" s="32" t="s">
        <v>44</v>
      </c>
      <c r="C929" s="32">
        <v>4430191401</v>
      </c>
      <c r="E929" s="32">
        <v>305</v>
      </c>
      <c r="F929" s="32">
        <v>301</v>
      </c>
      <c r="G929" s="32" t="s">
        <v>38</v>
      </c>
      <c r="H929" s="32" t="s">
        <v>3646</v>
      </c>
      <c r="I929" s="32" t="s">
        <v>46</v>
      </c>
      <c r="J929" s="32" t="s">
        <v>40</v>
      </c>
    </row>
    <row r="930" spans="1:12" hidden="1" x14ac:dyDescent="0.3">
      <c r="A930" s="39">
        <v>46160.727060185185</v>
      </c>
      <c r="B930" s="32" t="s">
        <v>44</v>
      </c>
      <c r="C930" s="32">
        <v>4430191401</v>
      </c>
      <c r="E930" s="32">
        <v>25</v>
      </c>
      <c r="F930" s="32">
        <v>25</v>
      </c>
      <c r="G930" s="32" t="s">
        <v>38</v>
      </c>
      <c r="H930" s="32" t="s">
        <v>3647</v>
      </c>
      <c r="I930" s="32" t="s">
        <v>46</v>
      </c>
      <c r="J930" s="32" t="s">
        <v>40</v>
      </c>
    </row>
    <row r="931" spans="1:12" hidden="1" x14ac:dyDescent="0.3">
      <c r="A931" s="39">
        <v>46160.7266087963</v>
      </c>
      <c r="B931" s="32">
        <v>4436312588</v>
      </c>
      <c r="C931" s="32" t="s">
        <v>43</v>
      </c>
      <c r="D931" s="32">
        <v>4430265054</v>
      </c>
      <c r="E931" s="32">
        <v>72</v>
      </c>
      <c r="F931" s="32">
        <v>1</v>
      </c>
      <c r="G931" s="32" t="s">
        <v>38</v>
      </c>
      <c r="H931" s="32" t="s">
        <v>3648</v>
      </c>
      <c r="I931" s="32" t="s">
        <v>39</v>
      </c>
      <c r="J931" s="32" t="s">
        <v>40</v>
      </c>
      <c r="K931" s="32" t="s">
        <v>41</v>
      </c>
    </row>
    <row r="932" spans="1:12" hidden="1" x14ac:dyDescent="0.3">
      <c r="A932" s="39">
        <v>46160.720833333333</v>
      </c>
      <c r="B932" s="32" t="s">
        <v>54</v>
      </c>
      <c r="C932" s="32">
        <v>63991294660</v>
      </c>
      <c r="E932" s="32">
        <v>36</v>
      </c>
      <c r="F932" s="32">
        <v>4</v>
      </c>
      <c r="G932" s="32" t="s">
        <v>38</v>
      </c>
      <c r="H932" s="32" t="s">
        <v>3649</v>
      </c>
      <c r="I932" s="32" t="s">
        <v>46</v>
      </c>
      <c r="J932" s="32" t="s">
        <v>55</v>
      </c>
    </row>
    <row r="933" spans="1:12" hidden="1" x14ac:dyDescent="0.3">
      <c r="A933" s="39">
        <v>46160.718692129631</v>
      </c>
      <c r="B933" s="32" t="s">
        <v>54</v>
      </c>
      <c r="C933" s="32">
        <v>51999652606</v>
      </c>
      <c r="E933" s="32">
        <v>6</v>
      </c>
      <c r="F933" s="32">
        <v>3</v>
      </c>
      <c r="G933" s="32" t="s">
        <v>38</v>
      </c>
      <c r="H933" s="32" t="s">
        <v>3650</v>
      </c>
      <c r="I933" s="32" t="s">
        <v>46</v>
      </c>
      <c r="J933" s="32" t="s">
        <v>55</v>
      </c>
    </row>
    <row r="934" spans="1:12" hidden="1" x14ac:dyDescent="0.3">
      <c r="A934" s="39">
        <v>46160.710925925923</v>
      </c>
      <c r="B934" s="32">
        <v>44988255390</v>
      </c>
      <c r="C934" s="32" t="s">
        <v>43</v>
      </c>
      <c r="D934" s="32">
        <v>4430265054</v>
      </c>
      <c r="E934" s="32">
        <v>1171</v>
      </c>
      <c r="F934" s="32">
        <v>1126</v>
      </c>
      <c r="G934" s="32" t="s">
        <v>38</v>
      </c>
      <c r="H934" s="32" t="s">
        <v>3651</v>
      </c>
      <c r="I934" s="32" t="s">
        <v>39</v>
      </c>
      <c r="J934" s="32" t="s">
        <v>40</v>
      </c>
      <c r="K934" s="32" t="s">
        <v>41</v>
      </c>
    </row>
    <row r="935" spans="1:12" hidden="1" x14ac:dyDescent="0.3">
      <c r="A935" s="39">
        <v>46160.709675925929</v>
      </c>
      <c r="B935" s="32" t="s">
        <v>48</v>
      </c>
      <c r="C935" s="32">
        <v>4435221208</v>
      </c>
      <c r="E935" s="32">
        <v>227</v>
      </c>
      <c r="F935" s="32">
        <v>208</v>
      </c>
      <c r="G935" s="32" t="s">
        <v>38</v>
      </c>
      <c r="H935" s="32" t="s">
        <v>3652</v>
      </c>
      <c r="I935" s="32" t="s">
        <v>46</v>
      </c>
      <c r="J935" s="32" t="s">
        <v>40</v>
      </c>
    </row>
    <row r="936" spans="1:12" hidden="1" x14ac:dyDescent="0.3">
      <c r="A936" s="39">
        <v>46160.707511574074</v>
      </c>
      <c r="B936" s="32" t="s">
        <v>54</v>
      </c>
      <c r="C936" s="32">
        <v>77999279617</v>
      </c>
      <c r="E936" s="32">
        <v>18</v>
      </c>
      <c r="F936" s="32">
        <v>0</v>
      </c>
      <c r="G936" s="32" t="s">
        <v>47</v>
      </c>
      <c r="H936" s="32" t="s">
        <v>3653</v>
      </c>
      <c r="I936" s="32" t="s">
        <v>46</v>
      </c>
      <c r="J936" s="32" t="s">
        <v>55</v>
      </c>
    </row>
    <row r="937" spans="1:12" hidden="1" x14ac:dyDescent="0.3">
      <c r="A937" s="39">
        <v>46160.704143518517</v>
      </c>
      <c r="B937" s="32" t="s">
        <v>54</v>
      </c>
      <c r="C937" s="32">
        <v>4333440677</v>
      </c>
      <c r="E937" s="32">
        <v>9</v>
      </c>
      <c r="F937" s="32">
        <v>8</v>
      </c>
      <c r="G937" s="32" t="s">
        <v>38</v>
      </c>
      <c r="H937" s="32" t="s">
        <v>3654</v>
      </c>
      <c r="I937" s="32" t="s">
        <v>46</v>
      </c>
      <c r="J937" s="32" t="s">
        <v>55</v>
      </c>
    </row>
    <row r="938" spans="1:12" hidden="1" x14ac:dyDescent="0.3">
      <c r="A938" s="39">
        <v>46160.697893518518</v>
      </c>
      <c r="B938" s="32" t="s">
        <v>45</v>
      </c>
      <c r="C938" s="32">
        <v>4430562296</v>
      </c>
      <c r="E938" s="32">
        <v>1338</v>
      </c>
      <c r="F938" s="32">
        <v>1327</v>
      </c>
      <c r="G938" s="32" t="s">
        <v>38</v>
      </c>
      <c r="H938" s="32" t="s">
        <v>3655</v>
      </c>
      <c r="I938" s="32" t="s">
        <v>46</v>
      </c>
      <c r="J938" s="32" t="s">
        <v>40</v>
      </c>
    </row>
    <row r="939" spans="1:12" hidden="1" x14ac:dyDescent="0.3">
      <c r="A939" s="39">
        <v>46160.697812500002</v>
      </c>
      <c r="B939" s="32" t="s">
        <v>45</v>
      </c>
      <c r="C939" s="32">
        <v>4430562296</v>
      </c>
      <c r="E939" s="32">
        <v>25</v>
      </c>
      <c r="F939" s="32">
        <v>25</v>
      </c>
      <c r="G939" s="32" t="s">
        <v>38</v>
      </c>
      <c r="H939" s="32" t="s">
        <v>3656</v>
      </c>
      <c r="I939" s="32" t="s">
        <v>46</v>
      </c>
      <c r="J939" s="32" t="s">
        <v>40</v>
      </c>
    </row>
    <row r="940" spans="1:12" hidden="1" x14ac:dyDescent="0.3">
      <c r="A940" s="39">
        <v>46160.694212962961</v>
      </c>
      <c r="B940" s="32">
        <v>4432524636</v>
      </c>
      <c r="C940" s="32" t="s">
        <v>48</v>
      </c>
      <c r="D940" s="32">
        <v>4430265054</v>
      </c>
      <c r="E940" s="32">
        <v>280</v>
      </c>
      <c r="F940" s="32">
        <v>237</v>
      </c>
      <c r="G940" s="32" t="s">
        <v>38</v>
      </c>
      <c r="H940" s="32" t="s">
        <v>3657</v>
      </c>
      <c r="I940" s="32" t="s">
        <v>39</v>
      </c>
      <c r="J940" s="32" t="s">
        <v>40</v>
      </c>
      <c r="K940" s="32" t="s">
        <v>41</v>
      </c>
    </row>
    <row r="941" spans="1:12" hidden="1" x14ac:dyDescent="0.3">
      <c r="A941" s="39">
        <v>46160.693506944444</v>
      </c>
      <c r="B941" s="32">
        <v>4430282545</v>
      </c>
      <c r="C941" s="32" t="s">
        <v>44</v>
      </c>
      <c r="D941" s="32">
        <v>4430265054</v>
      </c>
      <c r="E941" s="32">
        <v>321</v>
      </c>
      <c r="F941" s="32">
        <v>222</v>
      </c>
      <c r="G941" s="32" t="s">
        <v>38</v>
      </c>
      <c r="H941" s="32" t="s">
        <v>3658</v>
      </c>
      <c r="I941" s="32" t="s">
        <v>39</v>
      </c>
      <c r="J941" s="32" t="s">
        <v>40</v>
      </c>
      <c r="K941" s="32" t="s">
        <v>41</v>
      </c>
      <c r="L941" s="32">
        <v>5</v>
      </c>
    </row>
    <row r="942" spans="1:12" hidden="1" x14ac:dyDescent="0.3">
      <c r="A942" s="39">
        <v>46160.6877662037</v>
      </c>
      <c r="B942" s="32" t="s">
        <v>54</v>
      </c>
      <c r="C942" s="32">
        <v>85991190677</v>
      </c>
      <c r="E942" s="32">
        <v>26</v>
      </c>
      <c r="F942" s="32">
        <v>0</v>
      </c>
      <c r="G942" s="32" t="s">
        <v>47</v>
      </c>
      <c r="H942" s="32" t="s">
        <v>3659</v>
      </c>
      <c r="I942" s="32" t="s">
        <v>46</v>
      </c>
      <c r="J942" s="32" t="s">
        <v>55</v>
      </c>
    </row>
    <row r="943" spans="1:12" hidden="1" x14ac:dyDescent="0.3">
      <c r="A943" s="39">
        <v>46160.686828703707</v>
      </c>
      <c r="B943" s="32" t="s">
        <v>54</v>
      </c>
      <c r="C943" s="32">
        <v>71996100133</v>
      </c>
      <c r="E943" s="32">
        <v>8</v>
      </c>
      <c r="F943" s="32">
        <v>0</v>
      </c>
      <c r="G943" s="32" t="s">
        <v>47</v>
      </c>
      <c r="H943" s="32" t="s">
        <v>3660</v>
      </c>
      <c r="I943" s="32" t="s">
        <v>46</v>
      </c>
      <c r="J943" s="32" t="s">
        <v>55</v>
      </c>
    </row>
    <row r="944" spans="1:12" hidden="1" x14ac:dyDescent="0.3">
      <c r="A944" s="39">
        <v>46160.680613425924</v>
      </c>
      <c r="B944" s="32">
        <v>41988796768</v>
      </c>
      <c r="C944" s="32" t="s">
        <v>45</v>
      </c>
      <c r="D944" s="32">
        <v>4430265054</v>
      </c>
      <c r="E944" s="32">
        <v>436</v>
      </c>
      <c r="F944" s="32">
        <v>308</v>
      </c>
      <c r="G944" s="32" t="s">
        <v>38</v>
      </c>
      <c r="H944" s="32" t="s">
        <v>3661</v>
      </c>
      <c r="I944" s="32" t="s">
        <v>39</v>
      </c>
      <c r="J944" s="32" t="s">
        <v>40</v>
      </c>
      <c r="K944" s="32" t="s">
        <v>41</v>
      </c>
    </row>
    <row r="945" spans="1:12" hidden="1" x14ac:dyDescent="0.3">
      <c r="A945" s="39">
        <v>46160.676655092589</v>
      </c>
      <c r="B945" s="32">
        <v>4121418164</v>
      </c>
      <c r="C945" s="32" t="s">
        <v>45</v>
      </c>
      <c r="D945" s="32">
        <v>4531273169</v>
      </c>
      <c r="E945" s="32">
        <v>47</v>
      </c>
      <c r="F945" s="32">
        <v>13</v>
      </c>
      <c r="G945" s="32" t="s">
        <v>38</v>
      </c>
      <c r="H945" s="32" t="s">
        <v>3662</v>
      </c>
      <c r="I945" s="32" t="s">
        <v>39</v>
      </c>
      <c r="J945" s="32" t="s">
        <v>40</v>
      </c>
      <c r="K945" s="32" t="s">
        <v>41</v>
      </c>
    </row>
    <row r="946" spans="1:12" hidden="1" x14ac:dyDescent="0.3">
      <c r="A946" s="39">
        <v>46160.673217592594</v>
      </c>
      <c r="B946" s="32">
        <v>4436249360</v>
      </c>
      <c r="C946" s="32" t="s">
        <v>43</v>
      </c>
      <c r="D946" s="32">
        <v>4430265054</v>
      </c>
      <c r="E946" s="32">
        <v>217</v>
      </c>
      <c r="F946" s="32">
        <v>159</v>
      </c>
      <c r="G946" s="32" t="s">
        <v>38</v>
      </c>
      <c r="H946" s="32" t="s">
        <v>3663</v>
      </c>
      <c r="I946" s="32" t="s">
        <v>39</v>
      </c>
      <c r="J946" s="32" t="s">
        <v>40</v>
      </c>
      <c r="K946" s="32" t="s">
        <v>41</v>
      </c>
    </row>
    <row r="947" spans="1:12" hidden="1" x14ac:dyDescent="0.3">
      <c r="A947" s="39">
        <v>46160.669872685183</v>
      </c>
      <c r="B947" s="32" t="s">
        <v>43</v>
      </c>
      <c r="C947" s="32">
        <v>4430256607</v>
      </c>
      <c r="E947" s="32">
        <v>78</v>
      </c>
      <c r="F947" s="32">
        <v>67</v>
      </c>
      <c r="G947" s="32" t="s">
        <v>38</v>
      </c>
      <c r="H947" s="32" t="s">
        <v>3664</v>
      </c>
      <c r="I947" s="32" t="s">
        <v>46</v>
      </c>
      <c r="J947" s="32" t="s">
        <v>40</v>
      </c>
    </row>
    <row r="948" spans="1:12" hidden="1" x14ac:dyDescent="0.3">
      <c r="A948" s="39">
        <v>46160.664004629631</v>
      </c>
      <c r="B948" s="32">
        <v>4334232912</v>
      </c>
      <c r="C948" s="32" t="s">
        <v>44</v>
      </c>
      <c r="D948" s="32">
        <v>4430265054</v>
      </c>
      <c r="E948" s="32">
        <v>370</v>
      </c>
      <c r="F948" s="32">
        <v>147</v>
      </c>
      <c r="G948" s="32" t="s">
        <v>38</v>
      </c>
      <c r="H948" s="32" t="s">
        <v>3665</v>
      </c>
      <c r="I948" s="32" t="s">
        <v>39</v>
      </c>
      <c r="J948" s="32" t="s">
        <v>40</v>
      </c>
      <c r="K948" s="32" t="s">
        <v>41</v>
      </c>
    </row>
    <row r="949" spans="1:12" hidden="1" x14ac:dyDescent="0.3">
      <c r="A949" s="39">
        <v>46160.663217592592</v>
      </c>
      <c r="B949" s="32" t="s">
        <v>43</v>
      </c>
      <c r="C949" s="32">
        <v>4430256607</v>
      </c>
      <c r="E949" s="32">
        <v>186</v>
      </c>
      <c r="F949" s="32">
        <v>175</v>
      </c>
      <c r="G949" s="32" t="s">
        <v>38</v>
      </c>
      <c r="H949" s="32" t="s">
        <v>3666</v>
      </c>
      <c r="I949" s="32" t="s">
        <v>46</v>
      </c>
      <c r="J949" s="32" t="s">
        <v>40</v>
      </c>
    </row>
    <row r="950" spans="1:12" hidden="1" x14ac:dyDescent="0.3">
      <c r="A950" s="39">
        <v>46160.652638888889</v>
      </c>
      <c r="B950" s="32" t="s">
        <v>54</v>
      </c>
      <c r="C950" s="32">
        <v>31990805355</v>
      </c>
      <c r="E950" s="32">
        <v>30</v>
      </c>
      <c r="F950" s="32">
        <v>0</v>
      </c>
      <c r="G950" s="32" t="s">
        <v>47</v>
      </c>
      <c r="H950" s="32" t="s">
        <v>3667</v>
      </c>
      <c r="I950" s="32" t="s">
        <v>46</v>
      </c>
      <c r="J950" s="32" t="s">
        <v>55</v>
      </c>
    </row>
    <row r="951" spans="1:12" hidden="1" x14ac:dyDescent="0.3">
      <c r="A951" s="39">
        <v>46160.65042824074</v>
      </c>
      <c r="B951" s="32">
        <v>1131515685</v>
      </c>
      <c r="C951" s="32" t="s">
        <v>48</v>
      </c>
      <c r="D951" s="32">
        <v>4430265054</v>
      </c>
      <c r="E951" s="32">
        <v>331</v>
      </c>
      <c r="F951" s="32">
        <v>331</v>
      </c>
      <c r="G951" s="32" t="s">
        <v>38</v>
      </c>
      <c r="H951" s="32" t="s">
        <v>3668</v>
      </c>
      <c r="I951" s="32" t="s">
        <v>39</v>
      </c>
      <c r="J951" s="32" t="s">
        <v>40</v>
      </c>
      <c r="K951" s="32" t="s">
        <v>41</v>
      </c>
    </row>
    <row r="952" spans="1:12" hidden="1" x14ac:dyDescent="0.3">
      <c r="A952" s="39">
        <v>46160.649155092593</v>
      </c>
      <c r="B952" s="32">
        <v>12991152337</v>
      </c>
      <c r="C952" s="32" t="s">
        <v>45</v>
      </c>
      <c r="D952" s="32">
        <v>4430265054</v>
      </c>
      <c r="E952" s="32">
        <v>1030</v>
      </c>
      <c r="F952" s="32">
        <v>1008</v>
      </c>
      <c r="G952" s="32" t="s">
        <v>38</v>
      </c>
      <c r="H952" s="32" t="s">
        <v>3669</v>
      </c>
      <c r="I952" s="32" t="s">
        <v>39</v>
      </c>
      <c r="J952" s="32" t="s">
        <v>40</v>
      </c>
      <c r="K952" s="32" t="s">
        <v>41</v>
      </c>
      <c r="L952" s="32">
        <v>5</v>
      </c>
    </row>
    <row r="953" spans="1:12" hidden="1" x14ac:dyDescent="0.3">
      <c r="A953" s="39">
        <v>46160.647905092592</v>
      </c>
      <c r="B953" s="32" t="s">
        <v>54</v>
      </c>
      <c r="C953" s="32">
        <v>86981745095</v>
      </c>
      <c r="E953" s="32">
        <v>6</v>
      </c>
      <c r="F953" s="32">
        <v>0</v>
      </c>
      <c r="G953" s="32" t="s">
        <v>47</v>
      </c>
      <c r="H953" s="32" t="s">
        <v>3670</v>
      </c>
      <c r="I953" s="32" t="s">
        <v>46</v>
      </c>
      <c r="J953" s="32" t="s">
        <v>55</v>
      </c>
    </row>
    <row r="954" spans="1:12" hidden="1" x14ac:dyDescent="0.3">
      <c r="A954" s="39">
        <v>46160.643530092595</v>
      </c>
      <c r="B954" s="32">
        <v>4334226481</v>
      </c>
      <c r="C954" s="32" t="s">
        <v>48</v>
      </c>
      <c r="D954" s="32">
        <v>4430265054</v>
      </c>
      <c r="E954" s="32">
        <v>541</v>
      </c>
      <c r="F954" s="32">
        <v>502</v>
      </c>
      <c r="G954" s="32" t="s">
        <v>38</v>
      </c>
      <c r="H954" s="32" t="s">
        <v>3671</v>
      </c>
      <c r="I954" s="32" t="s">
        <v>39</v>
      </c>
      <c r="J954" s="32" t="s">
        <v>40</v>
      </c>
      <c r="K954" s="32" t="s">
        <v>41</v>
      </c>
      <c r="L954" s="32">
        <v>5</v>
      </c>
    </row>
    <row r="955" spans="1:12" hidden="1" x14ac:dyDescent="0.3">
      <c r="A955" s="39">
        <v>46160.643055555556</v>
      </c>
      <c r="B955" s="32">
        <v>1131515685</v>
      </c>
      <c r="C955" s="32" t="s">
        <v>43</v>
      </c>
      <c r="D955" s="32">
        <v>4430265054</v>
      </c>
      <c r="E955" s="32">
        <v>323</v>
      </c>
      <c r="F955" s="32">
        <v>298</v>
      </c>
      <c r="G955" s="32" t="s">
        <v>38</v>
      </c>
      <c r="H955" s="32" t="s">
        <v>3672</v>
      </c>
      <c r="I955" s="32" t="s">
        <v>39</v>
      </c>
      <c r="J955" s="32" t="s">
        <v>40</v>
      </c>
      <c r="K955" s="32" t="s">
        <v>41</v>
      </c>
    </row>
    <row r="956" spans="1:12" hidden="1" x14ac:dyDescent="0.3">
      <c r="A956" s="39">
        <v>46160.641469907408</v>
      </c>
      <c r="B956" s="32">
        <v>4435228300</v>
      </c>
      <c r="C956" s="32" t="s">
        <v>43</v>
      </c>
      <c r="D956" s="32">
        <v>4430265054</v>
      </c>
      <c r="E956" s="32">
        <v>126</v>
      </c>
      <c r="F956" s="32">
        <v>100</v>
      </c>
      <c r="G956" s="32" t="s">
        <v>38</v>
      </c>
      <c r="H956" s="32" t="s">
        <v>3673</v>
      </c>
      <c r="I956" s="32" t="s">
        <v>39</v>
      </c>
      <c r="J956" s="32" t="s">
        <v>40</v>
      </c>
      <c r="K956" s="32" t="s">
        <v>41</v>
      </c>
    </row>
    <row r="957" spans="1:12" hidden="1" x14ac:dyDescent="0.3">
      <c r="A957" s="39">
        <v>46160.639293981483</v>
      </c>
      <c r="B957" s="32">
        <v>4533042020</v>
      </c>
      <c r="C957" s="32">
        <v>4531273172</v>
      </c>
      <c r="D957" s="32">
        <v>4531273172</v>
      </c>
      <c r="E957" s="32">
        <v>47</v>
      </c>
      <c r="F957" s="32">
        <v>46</v>
      </c>
      <c r="G957" s="32" t="s">
        <v>52</v>
      </c>
      <c r="H957" s="32" t="s">
        <v>3674</v>
      </c>
      <c r="I957" s="32" t="s">
        <v>39</v>
      </c>
      <c r="J957" s="32" t="s">
        <v>53</v>
      </c>
      <c r="K957" s="32" t="s">
        <v>41</v>
      </c>
    </row>
    <row r="958" spans="1:12" hidden="1" x14ac:dyDescent="0.3">
      <c r="A958" s="39">
        <v>46160.634085648147</v>
      </c>
      <c r="B958" s="32" t="s">
        <v>54</v>
      </c>
      <c r="C958" s="32">
        <v>12988092741</v>
      </c>
      <c r="E958" s="32">
        <v>24</v>
      </c>
      <c r="F958" s="32">
        <v>0</v>
      </c>
      <c r="G958" s="32" t="s">
        <v>47</v>
      </c>
      <c r="H958" s="32" t="s">
        <v>3675</v>
      </c>
      <c r="I958" s="32" t="s">
        <v>46</v>
      </c>
      <c r="J958" s="32" t="s">
        <v>55</v>
      </c>
    </row>
    <row r="959" spans="1:12" hidden="1" x14ac:dyDescent="0.3">
      <c r="A959" s="39">
        <v>46160.630011574074</v>
      </c>
      <c r="B959" s="32">
        <v>44991041123</v>
      </c>
      <c r="C959" s="32" t="s">
        <v>43</v>
      </c>
      <c r="D959" s="32">
        <v>4430265054</v>
      </c>
      <c r="E959" s="32">
        <v>201</v>
      </c>
      <c r="F959" s="32">
        <v>165</v>
      </c>
      <c r="G959" s="32" t="s">
        <v>38</v>
      </c>
      <c r="H959" s="32" t="s">
        <v>3676</v>
      </c>
      <c r="I959" s="32" t="s">
        <v>39</v>
      </c>
      <c r="J959" s="32" t="s">
        <v>40</v>
      </c>
      <c r="K959" s="32" t="s">
        <v>41</v>
      </c>
    </row>
    <row r="960" spans="1:12" hidden="1" x14ac:dyDescent="0.3">
      <c r="A960" s="39">
        <v>46160.626863425925</v>
      </c>
      <c r="B960" s="32" t="s">
        <v>54</v>
      </c>
      <c r="C960" s="32">
        <v>11945390966</v>
      </c>
      <c r="E960" s="32">
        <v>10</v>
      </c>
      <c r="F960" s="32">
        <v>3</v>
      </c>
      <c r="G960" s="32" t="s">
        <v>38</v>
      </c>
      <c r="H960" s="32" t="s">
        <v>3677</v>
      </c>
      <c r="I960" s="32" t="s">
        <v>46</v>
      </c>
      <c r="J960" s="32" t="s">
        <v>55</v>
      </c>
    </row>
    <row r="961" spans="1:12" hidden="1" x14ac:dyDescent="0.3">
      <c r="A961" s="39">
        <v>46160.626574074071</v>
      </c>
      <c r="B961" s="32">
        <v>1131515685</v>
      </c>
      <c r="C961" s="32" t="s">
        <v>43</v>
      </c>
      <c r="D961" s="32">
        <v>4430265054</v>
      </c>
      <c r="E961" s="32">
        <v>220</v>
      </c>
      <c r="F961" s="32">
        <v>176</v>
      </c>
      <c r="G961" s="32" t="s">
        <v>38</v>
      </c>
      <c r="H961" s="32" t="s">
        <v>3678</v>
      </c>
      <c r="I961" s="32" t="s">
        <v>39</v>
      </c>
      <c r="J961" s="32" t="s">
        <v>40</v>
      </c>
      <c r="K961" s="32" t="s">
        <v>41</v>
      </c>
    </row>
    <row r="962" spans="1:12" hidden="1" x14ac:dyDescent="0.3">
      <c r="A962" s="39">
        <v>46160.625868055555</v>
      </c>
      <c r="B962" s="32">
        <v>4330333542</v>
      </c>
      <c r="C962" s="32" t="s">
        <v>44</v>
      </c>
      <c r="D962" s="32">
        <v>4430265054</v>
      </c>
      <c r="E962" s="32">
        <v>2496</v>
      </c>
      <c r="F962" s="32">
        <v>2412</v>
      </c>
      <c r="G962" s="32" t="s">
        <v>38</v>
      </c>
      <c r="H962" s="32" t="s">
        <v>3679</v>
      </c>
      <c r="I962" s="32" t="s">
        <v>39</v>
      </c>
      <c r="J962" s="32" t="s">
        <v>40</v>
      </c>
      <c r="K962" s="32" t="s">
        <v>41</v>
      </c>
    </row>
    <row r="963" spans="1:12" hidden="1" x14ac:dyDescent="0.3">
      <c r="A963" s="39">
        <v>46160.625659722224</v>
      </c>
      <c r="B963" s="32" t="s">
        <v>43</v>
      </c>
      <c r="C963" s="32">
        <v>11966416756</v>
      </c>
      <c r="E963" s="32">
        <v>31</v>
      </c>
      <c r="F963" s="32">
        <v>0</v>
      </c>
      <c r="G963" s="32" t="s">
        <v>47</v>
      </c>
      <c r="H963" s="32" t="s">
        <v>3680</v>
      </c>
      <c r="I963" s="32" t="s">
        <v>46</v>
      </c>
      <c r="J963" s="32" t="s">
        <v>40</v>
      </c>
    </row>
    <row r="964" spans="1:12" hidden="1" x14ac:dyDescent="0.3">
      <c r="A964" s="39">
        <v>46160.625358796293</v>
      </c>
      <c r="B964" s="32" t="s">
        <v>43</v>
      </c>
      <c r="C964" s="32">
        <v>11966416756</v>
      </c>
      <c r="E964" s="32">
        <v>49</v>
      </c>
      <c r="F964" s="32">
        <v>31</v>
      </c>
      <c r="G964" s="32" t="s">
        <v>38</v>
      </c>
      <c r="H964" s="32" t="s">
        <v>3681</v>
      </c>
      <c r="I964" s="32" t="s">
        <v>46</v>
      </c>
      <c r="J964" s="32" t="s">
        <v>40</v>
      </c>
    </row>
    <row r="965" spans="1:12" hidden="1" x14ac:dyDescent="0.3">
      <c r="A965" s="39">
        <v>46160.624699074076</v>
      </c>
      <c r="B965" s="32">
        <v>4434212150</v>
      </c>
      <c r="C965" s="32" t="s">
        <v>45</v>
      </c>
      <c r="D965" s="32">
        <v>4430265054</v>
      </c>
      <c r="E965" s="32">
        <v>2126</v>
      </c>
      <c r="F965" s="32">
        <v>2006</v>
      </c>
      <c r="G965" s="32" t="s">
        <v>38</v>
      </c>
      <c r="H965" s="32" t="s">
        <v>3682</v>
      </c>
      <c r="I965" s="32" t="s">
        <v>39</v>
      </c>
      <c r="J965" s="32" t="s">
        <v>40</v>
      </c>
      <c r="K965" s="32" t="s">
        <v>41</v>
      </c>
    </row>
    <row r="966" spans="1:12" hidden="1" x14ac:dyDescent="0.3">
      <c r="A966" s="39">
        <v>46160.61513888889</v>
      </c>
      <c r="B966" s="32">
        <v>1131515685</v>
      </c>
      <c r="C966" s="32" t="s">
        <v>45</v>
      </c>
      <c r="D966" s="32">
        <v>4430265054</v>
      </c>
      <c r="E966" s="32">
        <v>149</v>
      </c>
      <c r="F966" s="32">
        <v>9</v>
      </c>
      <c r="G966" s="32" t="s">
        <v>38</v>
      </c>
      <c r="H966" s="32" t="s">
        <v>3683</v>
      </c>
      <c r="I966" s="32" t="s">
        <v>39</v>
      </c>
      <c r="J966" s="32" t="s">
        <v>40</v>
      </c>
      <c r="K966" s="32" t="s">
        <v>41</v>
      </c>
    </row>
    <row r="967" spans="1:12" hidden="1" x14ac:dyDescent="0.3">
      <c r="A967" s="39">
        <v>46160.611898148149</v>
      </c>
      <c r="B967" s="32">
        <v>4432256273</v>
      </c>
      <c r="C967" s="32" t="s">
        <v>45</v>
      </c>
      <c r="D967" s="32">
        <v>4430265054</v>
      </c>
      <c r="E967" s="32">
        <v>333</v>
      </c>
      <c r="F967" s="32">
        <v>260</v>
      </c>
      <c r="G967" s="32" t="s">
        <v>38</v>
      </c>
      <c r="H967" s="32" t="s">
        <v>3684</v>
      </c>
      <c r="I967" s="32" t="s">
        <v>39</v>
      </c>
      <c r="J967" s="32" t="s">
        <v>40</v>
      </c>
      <c r="K967" s="32" t="s">
        <v>41</v>
      </c>
      <c r="L967" s="32">
        <v>5</v>
      </c>
    </row>
    <row r="968" spans="1:12" hidden="1" x14ac:dyDescent="0.3">
      <c r="A968" s="39">
        <v>46160.611168981479</v>
      </c>
      <c r="B968" s="32">
        <v>4121414966</v>
      </c>
      <c r="C968" s="32">
        <v>4430265054</v>
      </c>
      <c r="D968" s="32">
        <v>4430265054</v>
      </c>
      <c r="E968" s="32">
        <v>46</v>
      </c>
      <c r="F968" s="32">
        <v>45</v>
      </c>
      <c r="G968" s="32" t="s">
        <v>52</v>
      </c>
      <c r="H968" s="32" t="s">
        <v>3685</v>
      </c>
      <c r="I968" s="32" t="s">
        <v>39</v>
      </c>
      <c r="J968" s="32" t="s">
        <v>53</v>
      </c>
      <c r="K968" s="32" t="s">
        <v>41</v>
      </c>
    </row>
    <row r="969" spans="1:12" hidden="1" x14ac:dyDescent="0.3">
      <c r="A969" s="39">
        <v>46160.608587962961</v>
      </c>
      <c r="B969" s="32">
        <v>4432524636</v>
      </c>
      <c r="C969" s="32" t="s">
        <v>44</v>
      </c>
      <c r="D969" s="32">
        <v>4430265054</v>
      </c>
      <c r="E969" s="32">
        <v>923</v>
      </c>
      <c r="F969" s="32">
        <v>815</v>
      </c>
      <c r="G969" s="32" t="s">
        <v>38</v>
      </c>
      <c r="H969" s="32" t="s">
        <v>3686</v>
      </c>
      <c r="I969" s="32" t="s">
        <v>39</v>
      </c>
      <c r="J969" s="32" t="s">
        <v>40</v>
      </c>
      <c r="K969" s="32" t="s">
        <v>41</v>
      </c>
      <c r="L969" s="32">
        <v>5</v>
      </c>
    </row>
    <row r="970" spans="1:12" hidden="1" x14ac:dyDescent="0.3">
      <c r="A970" s="39">
        <v>46160.602581018517</v>
      </c>
      <c r="B970" s="32">
        <v>1131515685</v>
      </c>
      <c r="C970" s="32" t="s">
        <v>48</v>
      </c>
      <c r="D970" s="32">
        <v>4430265054</v>
      </c>
      <c r="E970" s="32">
        <v>566</v>
      </c>
      <c r="F970" s="32">
        <v>565</v>
      </c>
      <c r="G970" s="32" t="s">
        <v>38</v>
      </c>
      <c r="H970" s="32" t="s">
        <v>3687</v>
      </c>
      <c r="I970" s="32" t="s">
        <v>39</v>
      </c>
      <c r="J970" s="32" t="s">
        <v>40</v>
      </c>
      <c r="K970" s="32" t="s">
        <v>41</v>
      </c>
    </row>
    <row r="971" spans="1:12" hidden="1" x14ac:dyDescent="0.3">
      <c r="A971" s="39">
        <v>46160.600636574076</v>
      </c>
      <c r="B971" s="32" t="s">
        <v>45</v>
      </c>
      <c r="C971" s="32">
        <v>4430291622</v>
      </c>
      <c r="E971" s="32">
        <v>493</v>
      </c>
      <c r="F971" s="32">
        <v>485</v>
      </c>
      <c r="G971" s="32" t="s">
        <v>38</v>
      </c>
      <c r="H971" s="32" t="s">
        <v>3688</v>
      </c>
      <c r="I971" s="32" t="s">
        <v>46</v>
      </c>
      <c r="J971" s="32" t="s">
        <v>40</v>
      </c>
    </row>
    <row r="972" spans="1:12" hidden="1" x14ac:dyDescent="0.3">
      <c r="A972" s="39">
        <v>46160.594976851855</v>
      </c>
      <c r="B972" s="32">
        <v>44991814587</v>
      </c>
      <c r="C972" s="32">
        <v>4430265054</v>
      </c>
      <c r="D972" s="32">
        <v>4430265054</v>
      </c>
      <c r="E972" s="32">
        <v>6</v>
      </c>
      <c r="F972" s="32">
        <v>5</v>
      </c>
      <c r="G972" s="32" t="s">
        <v>52</v>
      </c>
      <c r="H972" s="32" t="s">
        <v>3689</v>
      </c>
      <c r="I972" s="32" t="s">
        <v>39</v>
      </c>
      <c r="J972" s="32" t="s">
        <v>53</v>
      </c>
    </row>
    <row r="973" spans="1:12" hidden="1" x14ac:dyDescent="0.3">
      <c r="A973" s="39">
        <v>46160.592129629629</v>
      </c>
      <c r="B973" s="32">
        <v>4430459001</v>
      </c>
      <c r="C973" s="32" t="s">
        <v>43</v>
      </c>
      <c r="D973" s="32">
        <v>4430265054</v>
      </c>
      <c r="E973" s="32">
        <v>108</v>
      </c>
      <c r="F973" s="32">
        <v>45</v>
      </c>
      <c r="G973" s="32" t="s">
        <v>38</v>
      </c>
      <c r="H973" s="32" t="s">
        <v>3690</v>
      </c>
      <c r="I973" s="32" t="s">
        <v>39</v>
      </c>
      <c r="J973" s="32" t="s">
        <v>40</v>
      </c>
      <c r="K973" s="32" t="s">
        <v>41</v>
      </c>
    </row>
    <row r="974" spans="1:12" hidden="1" x14ac:dyDescent="0.3">
      <c r="A974" s="39">
        <v>46160.592106481483</v>
      </c>
      <c r="B974" s="32">
        <v>44998849102</v>
      </c>
      <c r="C974" s="32" t="s">
        <v>43</v>
      </c>
      <c r="D974" s="32">
        <v>4430265054</v>
      </c>
      <c r="E974" s="32">
        <v>279</v>
      </c>
      <c r="F974" s="32">
        <v>148</v>
      </c>
      <c r="G974" s="32" t="s">
        <v>38</v>
      </c>
      <c r="H974" s="32" t="s">
        <v>3691</v>
      </c>
      <c r="I974" s="32" t="s">
        <v>39</v>
      </c>
      <c r="J974" s="32" t="s">
        <v>40</v>
      </c>
      <c r="K974" s="32" t="s">
        <v>41</v>
      </c>
    </row>
    <row r="975" spans="1:12" hidden="1" x14ac:dyDescent="0.3">
      <c r="A975" s="39">
        <v>46160.590196759258</v>
      </c>
      <c r="B975" s="32">
        <v>41996081809</v>
      </c>
      <c r="C975" s="32" t="s">
        <v>45</v>
      </c>
      <c r="D975" s="32">
        <v>4430265054</v>
      </c>
      <c r="E975" s="32">
        <v>882</v>
      </c>
      <c r="F975" s="32">
        <v>699</v>
      </c>
      <c r="G975" s="32" t="s">
        <v>38</v>
      </c>
      <c r="H975" s="32" t="s">
        <v>3692</v>
      </c>
      <c r="I975" s="32" t="s">
        <v>39</v>
      </c>
      <c r="J975" s="32" t="s">
        <v>40</v>
      </c>
      <c r="K975" s="32" t="s">
        <v>41</v>
      </c>
      <c r="L975" s="32">
        <v>5</v>
      </c>
    </row>
    <row r="976" spans="1:12" hidden="1" x14ac:dyDescent="0.3">
      <c r="A976" s="39">
        <v>46160.587326388886</v>
      </c>
      <c r="B976" s="32">
        <v>4432256273</v>
      </c>
      <c r="C976" s="32" t="s">
        <v>45</v>
      </c>
      <c r="D976" s="32">
        <v>4430265054</v>
      </c>
      <c r="E976" s="32">
        <v>458</v>
      </c>
      <c r="F976" s="32">
        <v>394</v>
      </c>
      <c r="G976" s="32" t="s">
        <v>38</v>
      </c>
      <c r="H976" s="32" t="s">
        <v>3693</v>
      </c>
      <c r="I976" s="32" t="s">
        <v>39</v>
      </c>
      <c r="J976" s="32" t="s">
        <v>40</v>
      </c>
      <c r="K976" s="32" t="s">
        <v>41</v>
      </c>
      <c r="L976" s="32">
        <v>5</v>
      </c>
    </row>
    <row r="977" spans="1:12" hidden="1" x14ac:dyDescent="0.3">
      <c r="A977" s="39">
        <v>46160.586331018516</v>
      </c>
      <c r="B977" s="32" t="s">
        <v>45</v>
      </c>
      <c r="C977" s="32">
        <v>4430291622</v>
      </c>
      <c r="E977" s="32">
        <v>1</v>
      </c>
      <c r="F977" s="32">
        <v>0</v>
      </c>
      <c r="G977" s="32" t="s">
        <v>47</v>
      </c>
      <c r="H977" s="32" t="s">
        <v>3694</v>
      </c>
      <c r="I977" s="32" t="s">
        <v>46</v>
      </c>
      <c r="J977" s="32" t="s">
        <v>40</v>
      </c>
    </row>
    <row r="978" spans="1:12" hidden="1" x14ac:dyDescent="0.3">
      <c r="A978" s="39">
        <v>46160.585173611114</v>
      </c>
      <c r="B978" s="32">
        <v>4121413772</v>
      </c>
      <c r="C978" s="32">
        <v>4531273161</v>
      </c>
      <c r="D978" s="32">
        <v>4531273161</v>
      </c>
      <c r="E978" s="32">
        <v>47</v>
      </c>
      <c r="F978" s="32">
        <v>47</v>
      </c>
      <c r="G978" s="32" t="s">
        <v>52</v>
      </c>
      <c r="H978" s="32" t="s">
        <v>3695</v>
      </c>
      <c r="I978" s="32" t="s">
        <v>39</v>
      </c>
      <c r="J978" s="32" t="s">
        <v>53</v>
      </c>
      <c r="K978" s="32" t="s">
        <v>41</v>
      </c>
    </row>
    <row r="979" spans="1:12" hidden="1" x14ac:dyDescent="0.3">
      <c r="A979" s="39">
        <v>46160.583229166667</v>
      </c>
      <c r="B979" s="32">
        <v>4430291622</v>
      </c>
      <c r="C979" s="32" t="s">
        <v>44</v>
      </c>
      <c r="D979" s="32">
        <v>4430265054</v>
      </c>
      <c r="E979" s="32">
        <v>1006</v>
      </c>
      <c r="F979" s="32">
        <v>930</v>
      </c>
      <c r="G979" s="32" t="s">
        <v>38</v>
      </c>
      <c r="H979" s="32" t="s">
        <v>3696</v>
      </c>
      <c r="I979" s="32" t="s">
        <v>39</v>
      </c>
      <c r="J979" s="32" t="s">
        <v>40</v>
      </c>
      <c r="K979" s="32" t="s">
        <v>41</v>
      </c>
    </row>
    <row r="980" spans="1:12" hidden="1" x14ac:dyDescent="0.3">
      <c r="A980" s="39">
        <v>46160.583113425928</v>
      </c>
      <c r="B980" s="32">
        <v>44991814587</v>
      </c>
      <c r="C980" s="32" t="s">
        <v>48</v>
      </c>
      <c r="D980" s="32">
        <v>4430265054</v>
      </c>
      <c r="E980" s="32">
        <v>1023</v>
      </c>
      <c r="F980" s="32">
        <v>990</v>
      </c>
      <c r="G980" s="32" t="s">
        <v>38</v>
      </c>
      <c r="H980" s="32" t="s">
        <v>3697</v>
      </c>
      <c r="I980" s="32" t="s">
        <v>39</v>
      </c>
      <c r="J980" s="32" t="s">
        <v>40</v>
      </c>
      <c r="K980" s="32" t="s">
        <v>41</v>
      </c>
    </row>
    <row r="981" spans="1:12" hidden="1" x14ac:dyDescent="0.3">
      <c r="A981" s="39">
        <v>46160.581053240741</v>
      </c>
      <c r="B981" s="32">
        <v>44984241715</v>
      </c>
      <c r="C981" s="32" t="s">
        <v>43</v>
      </c>
      <c r="D981" s="32">
        <v>4430265054</v>
      </c>
      <c r="E981" s="32">
        <v>1011</v>
      </c>
      <c r="F981" s="32">
        <v>975</v>
      </c>
      <c r="G981" s="32" t="s">
        <v>38</v>
      </c>
      <c r="H981" s="32" t="s">
        <v>3698</v>
      </c>
      <c r="I981" s="32" t="s">
        <v>39</v>
      </c>
      <c r="J981" s="32" t="s">
        <v>40</v>
      </c>
      <c r="K981" s="32" t="s">
        <v>41</v>
      </c>
    </row>
    <row r="982" spans="1:12" hidden="1" x14ac:dyDescent="0.3">
      <c r="A982" s="39">
        <v>46160.58085648148</v>
      </c>
      <c r="B982" s="32">
        <v>4430145151</v>
      </c>
      <c r="C982" s="32" t="s">
        <v>45</v>
      </c>
      <c r="D982" s="32">
        <v>4430265054</v>
      </c>
      <c r="E982" s="32">
        <v>346</v>
      </c>
      <c r="F982" s="32">
        <v>305</v>
      </c>
      <c r="G982" s="32" t="s">
        <v>38</v>
      </c>
      <c r="H982" s="32" t="s">
        <v>3699</v>
      </c>
      <c r="I982" s="32" t="s">
        <v>39</v>
      </c>
      <c r="J982" s="32" t="s">
        <v>40</v>
      </c>
      <c r="K982" s="32" t="s">
        <v>41</v>
      </c>
      <c r="L982" s="32">
        <v>5</v>
      </c>
    </row>
    <row r="983" spans="1:12" hidden="1" x14ac:dyDescent="0.3">
      <c r="A983" s="39">
        <v>46160.571122685185</v>
      </c>
      <c r="B983" s="32">
        <v>4436313773</v>
      </c>
      <c r="C983" s="32" t="s">
        <v>45</v>
      </c>
      <c r="D983" s="32">
        <v>4430265054</v>
      </c>
      <c r="E983" s="32">
        <v>349</v>
      </c>
      <c r="F983" s="32">
        <v>215</v>
      </c>
      <c r="G983" s="32" t="s">
        <v>38</v>
      </c>
      <c r="H983" s="32" t="s">
        <v>3700</v>
      </c>
      <c r="I983" s="32" t="s">
        <v>39</v>
      </c>
      <c r="J983" s="32" t="s">
        <v>40</v>
      </c>
      <c r="K983" s="32" t="s">
        <v>41</v>
      </c>
    </row>
    <row r="984" spans="1:12" hidden="1" x14ac:dyDescent="0.3">
      <c r="A984" s="39">
        <v>46160.567719907405</v>
      </c>
      <c r="B984" s="32">
        <v>4430459001</v>
      </c>
      <c r="C984" s="32" t="s">
        <v>44</v>
      </c>
      <c r="D984" s="32">
        <v>4430265054</v>
      </c>
      <c r="E984" s="32">
        <v>1385</v>
      </c>
      <c r="F984" s="32">
        <v>1345</v>
      </c>
      <c r="G984" s="32" t="s">
        <v>38</v>
      </c>
      <c r="H984" s="32" t="s">
        <v>3701</v>
      </c>
      <c r="I984" s="32" t="s">
        <v>39</v>
      </c>
      <c r="J984" s="32" t="s">
        <v>40</v>
      </c>
      <c r="K984" s="32" t="s">
        <v>41</v>
      </c>
    </row>
    <row r="985" spans="1:12" hidden="1" x14ac:dyDescent="0.3">
      <c r="A985" s="39">
        <v>46160.567453703705</v>
      </c>
      <c r="B985" s="32">
        <v>11964449514</v>
      </c>
      <c r="C985" s="32" t="s">
        <v>43</v>
      </c>
      <c r="D985" s="32">
        <v>4431268225</v>
      </c>
      <c r="E985" s="32">
        <v>1052</v>
      </c>
      <c r="F985" s="32">
        <v>1010</v>
      </c>
      <c r="G985" s="32" t="s">
        <v>38</v>
      </c>
      <c r="H985" s="32" t="s">
        <v>3702</v>
      </c>
      <c r="I985" s="32" t="s">
        <v>39</v>
      </c>
      <c r="J985" s="32" t="s">
        <v>40</v>
      </c>
      <c r="K985" s="32" t="s">
        <v>41</v>
      </c>
    </row>
    <row r="986" spans="1:12" hidden="1" x14ac:dyDescent="0.3">
      <c r="A986" s="39">
        <v>46160.563622685186</v>
      </c>
      <c r="B986" s="32">
        <v>14997225372</v>
      </c>
      <c r="C986" s="32" t="s">
        <v>48</v>
      </c>
      <c r="D986" s="32">
        <v>4430265054</v>
      </c>
      <c r="E986" s="32">
        <v>153</v>
      </c>
      <c r="F986" s="32">
        <v>110</v>
      </c>
      <c r="G986" s="32" t="s">
        <v>38</v>
      </c>
      <c r="H986" s="32" t="s">
        <v>3703</v>
      </c>
      <c r="I986" s="32" t="s">
        <v>39</v>
      </c>
      <c r="J986" s="32" t="s">
        <v>40</v>
      </c>
      <c r="K986" s="32" t="s">
        <v>41</v>
      </c>
    </row>
    <row r="987" spans="1:12" hidden="1" x14ac:dyDescent="0.3">
      <c r="A987" s="39">
        <v>46160.563252314816</v>
      </c>
      <c r="B987" s="32">
        <v>4430153709</v>
      </c>
      <c r="C987" s="32" t="s">
        <v>45</v>
      </c>
      <c r="D987" s="32">
        <v>4430265054</v>
      </c>
      <c r="E987" s="32">
        <v>537</v>
      </c>
      <c r="F987" s="32">
        <v>507</v>
      </c>
      <c r="G987" s="32" t="s">
        <v>38</v>
      </c>
      <c r="H987" s="32" t="s">
        <v>3704</v>
      </c>
      <c r="I987" s="32" t="s">
        <v>39</v>
      </c>
      <c r="J987" s="32" t="s">
        <v>40</v>
      </c>
      <c r="K987" s="32" t="s">
        <v>41</v>
      </c>
      <c r="L987" s="32">
        <v>5</v>
      </c>
    </row>
    <row r="988" spans="1:12" hidden="1" x14ac:dyDescent="0.3">
      <c r="A988" s="39">
        <v>46160.56181712963</v>
      </c>
      <c r="B988" s="32">
        <v>11964449514</v>
      </c>
      <c r="C988" s="32">
        <v>4431268225</v>
      </c>
      <c r="D988" s="32">
        <v>4431268225</v>
      </c>
      <c r="E988" s="32">
        <v>13</v>
      </c>
      <c r="F988" s="32">
        <v>12</v>
      </c>
      <c r="G988" s="32" t="s">
        <v>52</v>
      </c>
      <c r="H988" s="32" t="s">
        <v>3705</v>
      </c>
      <c r="I988" s="32" t="s">
        <v>39</v>
      </c>
      <c r="J988" s="32" t="s">
        <v>53</v>
      </c>
    </row>
    <row r="989" spans="1:12" hidden="1" x14ac:dyDescent="0.3">
      <c r="A989" s="39">
        <v>46160.559814814813</v>
      </c>
      <c r="B989" s="32">
        <v>11964449514</v>
      </c>
      <c r="C989" s="32">
        <v>4431268225</v>
      </c>
      <c r="D989" s="32">
        <v>4431268225</v>
      </c>
      <c r="E989" s="32">
        <v>14</v>
      </c>
      <c r="F989" s="32">
        <v>13</v>
      </c>
      <c r="G989" s="32" t="s">
        <v>52</v>
      </c>
      <c r="H989" s="32" t="s">
        <v>3706</v>
      </c>
      <c r="I989" s="32" t="s">
        <v>39</v>
      </c>
      <c r="J989" s="32" t="s">
        <v>53</v>
      </c>
    </row>
    <row r="990" spans="1:12" hidden="1" x14ac:dyDescent="0.3">
      <c r="A990" s="39">
        <v>46160.551469907405</v>
      </c>
      <c r="B990" s="32">
        <v>41988796768</v>
      </c>
      <c r="C990" s="32">
        <v>4430265054</v>
      </c>
      <c r="D990" s="32">
        <v>4430265054</v>
      </c>
      <c r="E990" s="32">
        <v>17</v>
      </c>
      <c r="F990" s="32">
        <v>16</v>
      </c>
      <c r="G990" s="32" t="s">
        <v>52</v>
      </c>
      <c r="H990" s="32" t="s">
        <v>3707</v>
      </c>
      <c r="I990" s="32" t="s">
        <v>39</v>
      </c>
      <c r="J990" s="32" t="s">
        <v>53</v>
      </c>
    </row>
    <row r="991" spans="1:12" hidden="1" x14ac:dyDescent="0.3">
      <c r="A991" s="39">
        <v>46160.539930555555</v>
      </c>
      <c r="B991" s="32">
        <v>44988067492</v>
      </c>
      <c r="C991" s="32">
        <v>4430265054</v>
      </c>
      <c r="D991" s="32">
        <v>4430265054</v>
      </c>
      <c r="E991" s="32">
        <v>8</v>
      </c>
      <c r="F991" s="32">
        <v>8</v>
      </c>
      <c r="G991" s="32" t="s">
        <v>52</v>
      </c>
      <c r="H991" s="32" t="s">
        <v>3708</v>
      </c>
      <c r="I991" s="32" t="s">
        <v>39</v>
      </c>
      <c r="J991" s="32" t="s">
        <v>53</v>
      </c>
    </row>
    <row r="992" spans="1:12" hidden="1" x14ac:dyDescent="0.3">
      <c r="A992" s="39">
        <v>46160.497465277775</v>
      </c>
      <c r="B992" s="32" t="s">
        <v>54</v>
      </c>
      <c r="C992" s="32">
        <v>43996139458</v>
      </c>
      <c r="E992" s="32">
        <v>58</v>
      </c>
      <c r="F992" s="32">
        <v>20</v>
      </c>
      <c r="G992" s="32" t="s">
        <v>38</v>
      </c>
      <c r="H992" s="32" t="s">
        <v>3709</v>
      </c>
      <c r="I992" s="32" t="s">
        <v>46</v>
      </c>
      <c r="J992" s="32" t="s">
        <v>55</v>
      </c>
    </row>
    <row r="993" spans="1:12" hidden="1" x14ac:dyDescent="0.3">
      <c r="A993" s="39">
        <v>46160.49255787037</v>
      </c>
      <c r="B993" s="32">
        <v>4121414966</v>
      </c>
      <c r="C993" s="32">
        <v>4531273162</v>
      </c>
      <c r="D993" s="32">
        <v>4531273162</v>
      </c>
      <c r="E993" s="32">
        <v>47</v>
      </c>
      <c r="F993" s="32">
        <v>47</v>
      </c>
      <c r="G993" s="32" t="s">
        <v>52</v>
      </c>
      <c r="H993" s="32" t="s">
        <v>3710</v>
      </c>
      <c r="I993" s="32" t="s">
        <v>39</v>
      </c>
      <c r="J993" s="32" t="s">
        <v>53</v>
      </c>
      <c r="K993" s="32" t="s">
        <v>41</v>
      </c>
    </row>
    <row r="994" spans="1:12" hidden="1" x14ac:dyDescent="0.3">
      <c r="A994" s="39">
        <v>46160.489710648151</v>
      </c>
      <c r="B994" s="32" t="s">
        <v>54</v>
      </c>
      <c r="C994" s="32">
        <v>11962814737</v>
      </c>
      <c r="E994" s="32">
        <v>36</v>
      </c>
      <c r="F994" s="32">
        <v>1</v>
      </c>
      <c r="G994" s="32" t="s">
        <v>38</v>
      </c>
      <c r="H994" s="32" t="s">
        <v>3711</v>
      </c>
      <c r="I994" s="32" t="s">
        <v>46</v>
      </c>
      <c r="J994" s="32" t="s">
        <v>55</v>
      </c>
    </row>
    <row r="995" spans="1:12" hidden="1" x14ac:dyDescent="0.3">
      <c r="A995" s="39">
        <v>46160.488402777781</v>
      </c>
      <c r="B995" s="32" t="s">
        <v>54</v>
      </c>
      <c r="C995" s="32">
        <v>11977983375</v>
      </c>
      <c r="E995" s="32">
        <v>43</v>
      </c>
      <c r="F995" s="32">
        <v>12</v>
      </c>
      <c r="G995" s="32" t="s">
        <v>38</v>
      </c>
      <c r="H995" s="32" t="s">
        <v>3712</v>
      </c>
      <c r="I995" s="32" t="s">
        <v>46</v>
      </c>
      <c r="J995" s="32" t="s">
        <v>55</v>
      </c>
    </row>
    <row r="996" spans="1:12" hidden="1" x14ac:dyDescent="0.3">
      <c r="A996" s="39">
        <v>46160.487372685187</v>
      </c>
      <c r="B996" s="32" t="s">
        <v>54</v>
      </c>
      <c r="C996" s="32">
        <v>15992410394</v>
      </c>
      <c r="E996" s="32">
        <v>16</v>
      </c>
      <c r="F996" s="32">
        <v>0</v>
      </c>
      <c r="G996" s="32" t="s">
        <v>38</v>
      </c>
      <c r="H996" s="32" t="s">
        <v>3713</v>
      </c>
      <c r="I996" s="32" t="s">
        <v>46</v>
      </c>
      <c r="J996" s="32" t="s">
        <v>55</v>
      </c>
    </row>
    <row r="997" spans="1:12" hidden="1" x14ac:dyDescent="0.3">
      <c r="A997" s="39">
        <v>46160.484780092593</v>
      </c>
      <c r="B997" s="32">
        <v>11966416756</v>
      </c>
      <c r="C997" s="32" t="s">
        <v>43</v>
      </c>
      <c r="D997" s="32">
        <v>4431268225</v>
      </c>
      <c r="E997" s="32">
        <v>936</v>
      </c>
      <c r="F997" s="32">
        <v>901</v>
      </c>
      <c r="G997" s="32" t="s">
        <v>38</v>
      </c>
      <c r="H997" s="32" t="s">
        <v>3714</v>
      </c>
      <c r="I997" s="32" t="s">
        <v>39</v>
      </c>
      <c r="J997" s="32" t="s">
        <v>40</v>
      </c>
      <c r="K997" s="32" t="s">
        <v>41</v>
      </c>
    </row>
    <row r="998" spans="1:12" hidden="1" x14ac:dyDescent="0.3">
      <c r="A998" s="39">
        <v>46160.484768518516</v>
      </c>
      <c r="B998" s="32">
        <v>44999449519</v>
      </c>
      <c r="C998" s="32" t="s">
        <v>48</v>
      </c>
      <c r="D998" s="32">
        <v>4430265054</v>
      </c>
      <c r="E998" s="32">
        <v>317</v>
      </c>
      <c r="F998" s="32">
        <v>275</v>
      </c>
      <c r="G998" s="32" t="s">
        <v>38</v>
      </c>
      <c r="H998" s="32" t="s">
        <v>3715</v>
      </c>
      <c r="I998" s="32" t="s">
        <v>39</v>
      </c>
      <c r="J998" s="32" t="s">
        <v>40</v>
      </c>
      <c r="K998" s="32" t="s">
        <v>41</v>
      </c>
    </row>
    <row r="999" spans="1:12" hidden="1" x14ac:dyDescent="0.3">
      <c r="A999" s="39">
        <v>46160.483842592592</v>
      </c>
      <c r="B999" s="32">
        <v>11942253033</v>
      </c>
      <c r="C999" s="32" t="s">
        <v>44</v>
      </c>
      <c r="D999" s="32">
        <v>4430265054</v>
      </c>
      <c r="E999" s="32">
        <v>611</v>
      </c>
      <c r="F999" s="32">
        <v>504</v>
      </c>
      <c r="G999" s="32" t="s">
        <v>38</v>
      </c>
      <c r="H999" s="32" t="s">
        <v>3716</v>
      </c>
      <c r="I999" s="32" t="s">
        <v>39</v>
      </c>
      <c r="J999" s="32" t="s">
        <v>40</v>
      </c>
      <c r="K999" s="32" t="s">
        <v>41</v>
      </c>
      <c r="L999" s="32">
        <v>5</v>
      </c>
    </row>
    <row r="1000" spans="1:12" hidden="1" x14ac:dyDescent="0.3">
      <c r="A1000" s="39">
        <v>46160.478333333333</v>
      </c>
      <c r="B1000" s="32">
        <v>4121413772</v>
      </c>
      <c r="C1000" s="32">
        <v>4531273159</v>
      </c>
      <c r="D1000" s="32">
        <v>4531273159</v>
      </c>
      <c r="E1000" s="32">
        <v>46</v>
      </c>
      <c r="F1000" s="32">
        <v>46</v>
      </c>
      <c r="G1000" s="32" t="s">
        <v>52</v>
      </c>
      <c r="H1000" s="32" t="s">
        <v>3717</v>
      </c>
      <c r="I1000" s="32" t="s">
        <v>39</v>
      </c>
      <c r="J1000" s="32" t="s">
        <v>53</v>
      </c>
      <c r="K1000" s="32" t="s">
        <v>41</v>
      </c>
    </row>
    <row r="1001" spans="1:12" hidden="1" x14ac:dyDescent="0.3">
      <c r="A1001" s="39">
        <v>46160.476087962961</v>
      </c>
      <c r="B1001" s="32">
        <v>44988067492</v>
      </c>
      <c r="C1001" s="32">
        <v>4430265054</v>
      </c>
      <c r="D1001" s="32">
        <v>4430265054</v>
      </c>
      <c r="E1001" s="32">
        <v>8</v>
      </c>
      <c r="F1001" s="32">
        <v>8</v>
      </c>
      <c r="G1001" s="32" t="s">
        <v>52</v>
      </c>
      <c r="H1001" s="32" t="s">
        <v>3718</v>
      </c>
      <c r="I1001" s="32" t="s">
        <v>39</v>
      </c>
      <c r="J1001" s="32" t="s">
        <v>53</v>
      </c>
    </row>
    <row r="1002" spans="1:12" hidden="1" x14ac:dyDescent="0.3">
      <c r="A1002" s="39">
        <v>46160.475914351853</v>
      </c>
      <c r="B1002" s="32">
        <v>44991814587</v>
      </c>
      <c r="C1002" s="32" t="s">
        <v>43</v>
      </c>
      <c r="D1002" s="32">
        <v>4430265054</v>
      </c>
      <c r="E1002" s="32">
        <v>495</v>
      </c>
      <c r="F1002" s="32">
        <v>458</v>
      </c>
      <c r="G1002" s="32" t="s">
        <v>38</v>
      </c>
      <c r="H1002" s="32" t="s">
        <v>3719</v>
      </c>
      <c r="I1002" s="32" t="s">
        <v>39</v>
      </c>
      <c r="J1002" s="32" t="s">
        <v>40</v>
      </c>
      <c r="K1002" s="32" t="s">
        <v>41</v>
      </c>
    </row>
    <row r="1003" spans="1:12" hidden="1" x14ac:dyDescent="0.3">
      <c r="A1003" s="39">
        <v>46160.468622685185</v>
      </c>
      <c r="B1003" s="32">
        <v>1144273633</v>
      </c>
      <c r="C1003" s="32" t="s">
        <v>45</v>
      </c>
      <c r="D1003" s="32">
        <v>4430265054</v>
      </c>
      <c r="E1003" s="32">
        <v>2536</v>
      </c>
      <c r="F1003" s="32">
        <v>2479</v>
      </c>
      <c r="G1003" s="32" t="s">
        <v>38</v>
      </c>
      <c r="H1003" s="32" t="s">
        <v>3720</v>
      </c>
      <c r="I1003" s="32" t="s">
        <v>39</v>
      </c>
      <c r="J1003" s="32" t="s">
        <v>40</v>
      </c>
      <c r="K1003" s="32" t="s">
        <v>41</v>
      </c>
    </row>
    <row r="1004" spans="1:12" hidden="1" x14ac:dyDescent="0.3">
      <c r="A1004" s="39">
        <v>46160.468124999999</v>
      </c>
      <c r="B1004" s="32" t="s">
        <v>54</v>
      </c>
      <c r="C1004" s="32">
        <v>98981735412</v>
      </c>
      <c r="E1004" s="32">
        <v>28</v>
      </c>
      <c r="F1004" s="32">
        <v>2</v>
      </c>
      <c r="G1004" s="32" t="s">
        <v>38</v>
      </c>
      <c r="H1004" s="32" t="s">
        <v>3721</v>
      </c>
      <c r="I1004" s="32" t="s">
        <v>46</v>
      </c>
      <c r="J1004" s="32" t="s">
        <v>55</v>
      </c>
    </row>
    <row r="1005" spans="1:12" hidden="1" x14ac:dyDescent="0.3">
      <c r="A1005" s="39">
        <v>46160.467662037037</v>
      </c>
      <c r="B1005" s="32" t="s">
        <v>54</v>
      </c>
      <c r="C1005" s="32">
        <v>21996224523</v>
      </c>
      <c r="E1005" s="32">
        <v>5</v>
      </c>
      <c r="F1005" s="32">
        <v>2</v>
      </c>
      <c r="G1005" s="32" t="s">
        <v>38</v>
      </c>
      <c r="H1005" s="32" t="s">
        <v>3722</v>
      </c>
      <c r="I1005" s="32" t="s">
        <v>46</v>
      </c>
      <c r="J1005" s="32" t="s">
        <v>55</v>
      </c>
    </row>
    <row r="1006" spans="1:12" hidden="1" x14ac:dyDescent="0.3">
      <c r="A1006" s="39">
        <v>46160.461423611108</v>
      </c>
      <c r="B1006" s="32" t="s">
        <v>54</v>
      </c>
      <c r="C1006" s="32">
        <v>81999713003</v>
      </c>
      <c r="E1006" s="32">
        <v>20</v>
      </c>
      <c r="F1006" s="32">
        <v>16</v>
      </c>
      <c r="G1006" s="32" t="s">
        <v>38</v>
      </c>
      <c r="H1006" s="32" t="s">
        <v>3723</v>
      </c>
      <c r="I1006" s="32" t="s">
        <v>46</v>
      </c>
      <c r="J1006" s="32" t="s">
        <v>55</v>
      </c>
    </row>
    <row r="1007" spans="1:12" hidden="1" x14ac:dyDescent="0.3">
      <c r="A1007" s="39">
        <v>46160.459976851853</v>
      </c>
      <c r="B1007" s="32">
        <v>6234347959</v>
      </c>
      <c r="C1007" s="32" t="s">
        <v>44</v>
      </c>
      <c r="D1007" s="32">
        <v>4430265054</v>
      </c>
      <c r="E1007" s="32">
        <v>407</v>
      </c>
      <c r="F1007" s="32">
        <v>372</v>
      </c>
      <c r="G1007" s="32" t="s">
        <v>38</v>
      </c>
      <c r="H1007" s="32" t="s">
        <v>3724</v>
      </c>
      <c r="I1007" s="32" t="s">
        <v>39</v>
      </c>
      <c r="J1007" s="32" t="s">
        <v>40</v>
      </c>
      <c r="K1007" s="32" t="s">
        <v>41</v>
      </c>
      <c r="L1007" s="32">
        <v>5</v>
      </c>
    </row>
    <row r="1008" spans="1:12" hidden="1" x14ac:dyDescent="0.3">
      <c r="A1008" s="39">
        <v>46160.458935185183</v>
      </c>
      <c r="B1008" s="32" t="s">
        <v>54</v>
      </c>
      <c r="C1008" s="32">
        <v>12974019491</v>
      </c>
      <c r="E1008" s="32">
        <v>32</v>
      </c>
      <c r="F1008" s="32">
        <v>0</v>
      </c>
      <c r="G1008" s="32" t="s">
        <v>47</v>
      </c>
      <c r="H1008" s="32" t="s">
        <v>3725</v>
      </c>
      <c r="I1008" s="32" t="s">
        <v>46</v>
      </c>
      <c r="J1008" s="32" t="s">
        <v>55</v>
      </c>
    </row>
    <row r="1009" spans="1:12" hidden="1" x14ac:dyDescent="0.3">
      <c r="A1009" s="39">
        <v>46160.458182870374</v>
      </c>
      <c r="B1009" s="32" t="s">
        <v>54</v>
      </c>
      <c r="C1009" s="32">
        <v>86999832680</v>
      </c>
      <c r="E1009" s="32">
        <v>14</v>
      </c>
      <c r="F1009" s="32">
        <v>0</v>
      </c>
      <c r="G1009" s="32" t="s">
        <v>47</v>
      </c>
      <c r="H1009" s="32" t="s">
        <v>3726</v>
      </c>
      <c r="I1009" s="32" t="s">
        <v>46</v>
      </c>
      <c r="J1009" s="32" t="s">
        <v>55</v>
      </c>
    </row>
    <row r="1010" spans="1:12" hidden="1" x14ac:dyDescent="0.3">
      <c r="A1010" s="39">
        <v>46160.456504629627</v>
      </c>
      <c r="B1010" s="32">
        <v>6234347959</v>
      </c>
      <c r="C1010" s="32">
        <v>4430265054</v>
      </c>
      <c r="D1010" s="32">
        <v>4430265054</v>
      </c>
      <c r="E1010" s="32">
        <v>132</v>
      </c>
      <c r="F1010" s="32">
        <v>131</v>
      </c>
      <c r="G1010" s="32" t="s">
        <v>52</v>
      </c>
      <c r="H1010" s="32" t="s">
        <v>3727</v>
      </c>
      <c r="I1010" s="32" t="s">
        <v>39</v>
      </c>
      <c r="J1010" s="32" t="s">
        <v>53</v>
      </c>
      <c r="K1010" s="32" t="s">
        <v>41</v>
      </c>
    </row>
    <row r="1011" spans="1:12" hidden="1" x14ac:dyDescent="0.3">
      <c r="A1011" s="39">
        <v>46160.455555555556</v>
      </c>
      <c r="B1011" s="32" t="s">
        <v>48</v>
      </c>
      <c r="C1011" s="32">
        <v>4432321428</v>
      </c>
      <c r="E1011" s="32">
        <v>87</v>
      </c>
      <c r="F1011" s="32">
        <v>79</v>
      </c>
      <c r="G1011" s="32" t="s">
        <v>38</v>
      </c>
      <c r="H1011" s="32" t="s">
        <v>3728</v>
      </c>
      <c r="I1011" s="32" t="s">
        <v>46</v>
      </c>
      <c r="J1011" s="32" t="s">
        <v>40</v>
      </c>
    </row>
    <row r="1012" spans="1:12" hidden="1" x14ac:dyDescent="0.3">
      <c r="A1012" s="39">
        <v>46160.454270833332</v>
      </c>
      <c r="B1012" s="32">
        <v>4436311970</v>
      </c>
      <c r="C1012" s="32" t="s">
        <v>45</v>
      </c>
      <c r="D1012" s="32">
        <v>4430265054</v>
      </c>
      <c r="E1012" s="32">
        <v>725</v>
      </c>
      <c r="F1012" s="32">
        <v>682</v>
      </c>
      <c r="G1012" s="32" t="s">
        <v>38</v>
      </c>
      <c r="H1012" s="32" t="s">
        <v>3729</v>
      </c>
      <c r="I1012" s="32" t="s">
        <v>39</v>
      </c>
      <c r="J1012" s="32" t="s">
        <v>40</v>
      </c>
      <c r="K1012" s="32" t="s">
        <v>41</v>
      </c>
    </row>
    <row r="1013" spans="1:12" hidden="1" x14ac:dyDescent="0.3">
      <c r="A1013" s="39">
        <v>46160.452870370369</v>
      </c>
      <c r="B1013" s="32">
        <v>4121418164</v>
      </c>
      <c r="C1013" s="32">
        <v>4430265054</v>
      </c>
      <c r="D1013" s="32">
        <v>4430265054</v>
      </c>
      <c r="E1013" s="32">
        <v>47</v>
      </c>
      <c r="F1013" s="32">
        <v>46</v>
      </c>
      <c r="G1013" s="32" t="s">
        <v>52</v>
      </c>
      <c r="H1013" s="32" t="s">
        <v>3730</v>
      </c>
      <c r="I1013" s="32" t="s">
        <v>39</v>
      </c>
      <c r="J1013" s="32" t="s">
        <v>53</v>
      </c>
      <c r="K1013" s="32" t="s">
        <v>41</v>
      </c>
    </row>
    <row r="1014" spans="1:12" hidden="1" x14ac:dyDescent="0.3">
      <c r="A1014" s="39">
        <v>46160.450543981482</v>
      </c>
      <c r="B1014" s="32">
        <v>12997611769</v>
      </c>
      <c r="C1014" s="32">
        <v>4430265054</v>
      </c>
      <c r="D1014" s="32">
        <v>4430265054</v>
      </c>
      <c r="E1014" s="32">
        <v>66</v>
      </c>
      <c r="F1014" s="32">
        <v>66</v>
      </c>
      <c r="G1014" s="32" t="s">
        <v>52</v>
      </c>
      <c r="H1014" s="32" t="s">
        <v>3731</v>
      </c>
      <c r="I1014" s="32" t="s">
        <v>39</v>
      </c>
      <c r="J1014" s="32" t="s">
        <v>53</v>
      </c>
      <c r="K1014" s="32" t="s">
        <v>41</v>
      </c>
    </row>
    <row r="1015" spans="1:12" hidden="1" x14ac:dyDescent="0.3">
      <c r="A1015" s="39">
        <v>46160.44636574074</v>
      </c>
      <c r="B1015" s="32">
        <v>4430289386</v>
      </c>
      <c r="C1015" s="32" t="s">
        <v>43</v>
      </c>
      <c r="D1015" s="32">
        <v>4430265054</v>
      </c>
      <c r="E1015" s="32">
        <v>581</v>
      </c>
      <c r="F1015" s="32">
        <v>545</v>
      </c>
      <c r="G1015" s="32" t="s">
        <v>38</v>
      </c>
      <c r="H1015" s="32" t="s">
        <v>3732</v>
      </c>
      <c r="I1015" s="32" t="s">
        <v>39</v>
      </c>
      <c r="J1015" s="32" t="s">
        <v>40</v>
      </c>
      <c r="K1015" s="32" t="s">
        <v>41</v>
      </c>
    </row>
    <row r="1016" spans="1:12" hidden="1" x14ac:dyDescent="0.3">
      <c r="A1016" s="39">
        <v>46160.441550925927</v>
      </c>
      <c r="B1016" s="32" t="s">
        <v>45</v>
      </c>
      <c r="C1016" s="32">
        <v>4430291622</v>
      </c>
      <c r="E1016" s="32">
        <v>277</v>
      </c>
      <c r="F1016" s="32">
        <v>271</v>
      </c>
      <c r="G1016" s="32" t="s">
        <v>38</v>
      </c>
      <c r="H1016" s="32" t="s">
        <v>3733</v>
      </c>
      <c r="I1016" s="32" t="s">
        <v>46</v>
      </c>
      <c r="J1016" s="32" t="s">
        <v>40</v>
      </c>
    </row>
    <row r="1017" spans="1:12" hidden="1" x14ac:dyDescent="0.3">
      <c r="A1017" s="39">
        <v>46160.441064814811</v>
      </c>
      <c r="B1017" s="32">
        <v>12997611769</v>
      </c>
      <c r="C1017" s="32" t="s">
        <v>48</v>
      </c>
      <c r="D1017" s="32">
        <v>4430265054</v>
      </c>
      <c r="E1017" s="32">
        <v>449</v>
      </c>
      <c r="F1017" s="32">
        <v>421</v>
      </c>
      <c r="G1017" s="32" t="s">
        <v>38</v>
      </c>
      <c r="H1017" s="32" t="s">
        <v>3734</v>
      </c>
      <c r="I1017" s="32" t="s">
        <v>39</v>
      </c>
      <c r="J1017" s="32" t="s">
        <v>40</v>
      </c>
      <c r="K1017" s="32" t="s">
        <v>41</v>
      </c>
      <c r="L1017" s="32">
        <v>5</v>
      </c>
    </row>
    <row r="1018" spans="1:12" hidden="1" x14ac:dyDescent="0.3">
      <c r="A1018" s="39">
        <v>46160.440717592595</v>
      </c>
      <c r="B1018" s="32">
        <v>11966416756</v>
      </c>
      <c r="C1018" s="32" t="s">
        <v>44</v>
      </c>
      <c r="D1018" s="32">
        <v>4431268225</v>
      </c>
      <c r="E1018" s="32">
        <v>340</v>
      </c>
      <c r="F1018" s="32">
        <v>289</v>
      </c>
      <c r="G1018" s="32" t="s">
        <v>38</v>
      </c>
      <c r="H1018" s="32" t="s">
        <v>3735</v>
      </c>
      <c r="I1018" s="32" t="s">
        <v>39</v>
      </c>
      <c r="J1018" s="32" t="s">
        <v>40</v>
      </c>
      <c r="K1018" s="32" t="s">
        <v>41</v>
      </c>
    </row>
    <row r="1019" spans="1:12" hidden="1" x14ac:dyDescent="0.3">
      <c r="A1019" s="39">
        <v>46160.434374999997</v>
      </c>
      <c r="B1019" s="32">
        <v>44991814587</v>
      </c>
      <c r="C1019" s="32" t="s">
        <v>43</v>
      </c>
      <c r="D1019" s="32">
        <v>4430265054</v>
      </c>
      <c r="E1019" s="32">
        <v>611</v>
      </c>
      <c r="F1019" s="32">
        <v>594</v>
      </c>
      <c r="G1019" s="32" t="s">
        <v>38</v>
      </c>
      <c r="H1019" s="32" t="s">
        <v>3736</v>
      </c>
      <c r="I1019" s="32" t="s">
        <v>39</v>
      </c>
      <c r="J1019" s="32" t="s">
        <v>40</v>
      </c>
      <c r="K1019" s="32" t="s">
        <v>41</v>
      </c>
    </row>
    <row r="1020" spans="1:12" hidden="1" x14ac:dyDescent="0.3">
      <c r="A1020" s="39">
        <v>46160.433518518519</v>
      </c>
      <c r="B1020" s="32" t="s">
        <v>45</v>
      </c>
      <c r="C1020" s="32">
        <v>4430291622</v>
      </c>
      <c r="E1020" s="32">
        <v>368</v>
      </c>
      <c r="F1020" s="32">
        <v>341</v>
      </c>
      <c r="G1020" s="32" t="s">
        <v>38</v>
      </c>
      <c r="H1020" s="32" t="s">
        <v>3737</v>
      </c>
      <c r="I1020" s="32" t="s">
        <v>46</v>
      </c>
      <c r="J1020" s="32" t="s">
        <v>40</v>
      </c>
      <c r="L1020" s="32">
        <v>5</v>
      </c>
    </row>
    <row r="1021" spans="1:12" hidden="1" x14ac:dyDescent="0.3">
      <c r="A1021" s="39">
        <v>46160.433333333334</v>
      </c>
      <c r="B1021" s="32">
        <v>45999211357</v>
      </c>
      <c r="C1021" s="32" t="s">
        <v>44</v>
      </c>
      <c r="D1021" s="32">
        <v>4431268225</v>
      </c>
      <c r="E1021" s="32">
        <v>473</v>
      </c>
      <c r="F1021" s="32">
        <v>413</v>
      </c>
      <c r="G1021" s="32" t="s">
        <v>38</v>
      </c>
      <c r="H1021" s="32" t="s">
        <v>3738</v>
      </c>
      <c r="I1021" s="32" t="s">
        <v>39</v>
      </c>
      <c r="J1021" s="32" t="s">
        <v>40</v>
      </c>
      <c r="K1021" s="32" t="s">
        <v>41</v>
      </c>
    </row>
    <row r="1022" spans="1:12" hidden="1" x14ac:dyDescent="0.3">
      <c r="A1022" s="39">
        <v>46160.429849537039</v>
      </c>
      <c r="B1022" s="32" t="s">
        <v>48</v>
      </c>
      <c r="C1022" s="32">
        <v>4432321428</v>
      </c>
      <c r="E1022" s="32">
        <v>478</v>
      </c>
      <c r="F1022" s="32">
        <v>470</v>
      </c>
      <c r="G1022" s="32" t="s">
        <v>38</v>
      </c>
      <c r="H1022" s="32" t="s">
        <v>3739</v>
      </c>
      <c r="I1022" s="32" t="s">
        <v>46</v>
      </c>
      <c r="J1022" s="32" t="s">
        <v>40</v>
      </c>
    </row>
    <row r="1023" spans="1:12" hidden="1" x14ac:dyDescent="0.3">
      <c r="A1023" s="39">
        <v>46160.429699074077</v>
      </c>
      <c r="B1023" s="32" t="s">
        <v>54</v>
      </c>
      <c r="C1023" s="32">
        <v>11994314722</v>
      </c>
      <c r="E1023" s="32">
        <v>14</v>
      </c>
      <c r="F1023" s="32">
        <v>0</v>
      </c>
      <c r="G1023" s="32" t="s">
        <v>47</v>
      </c>
      <c r="H1023" s="32" t="s">
        <v>3740</v>
      </c>
      <c r="I1023" s="32" t="s">
        <v>46</v>
      </c>
      <c r="J1023" s="32" t="s">
        <v>55</v>
      </c>
    </row>
    <row r="1024" spans="1:12" hidden="1" x14ac:dyDescent="0.3">
      <c r="A1024" s="39">
        <v>46160.429178240738</v>
      </c>
      <c r="B1024" s="32" t="s">
        <v>48</v>
      </c>
      <c r="C1024" s="32">
        <v>4432321428</v>
      </c>
      <c r="E1024" s="32">
        <v>55</v>
      </c>
      <c r="F1024" s="32">
        <v>47</v>
      </c>
      <c r="G1024" s="32" t="s">
        <v>38</v>
      </c>
      <c r="H1024" s="32" t="s">
        <v>3741</v>
      </c>
      <c r="I1024" s="32" t="s">
        <v>46</v>
      </c>
      <c r="J1024" s="32" t="s">
        <v>40</v>
      </c>
    </row>
    <row r="1025" spans="1:12" hidden="1" x14ac:dyDescent="0.3">
      <c r="A1025" s="39">
        <v>46160.428229166668</v>
      </c>
      <c r="B1025" s="32" t="s">
        <v>54</v>
      </c>
      <c r="C1025" s="32">
        <v>11952156876</v>
      </c>
      <c r="E1025" s="32">
        <v>17</v>
      </c>
      <c r="F1025" s="32">
        <v>1</v>
      </c>
      <c r="G1025" s="32" t="s">
        <v>38</v>
      </c>
      <c r="H1025" s="32" t="s">
        <v>3742</v>
      </c>
      <c r="I1025" s="32" t="s">
        <v>46</v>
      </c>
      <c r="J1025" s="32" t="s">
        <v>55</v>
      </c>
    </row>
    <row r="1026" spans="1:12" hidden="1" x14ac:dyDescent="0.3">
      <c r="A1026" s="39">
        <v>46160.427418981482</v>
      </c>
      <c r="B1026" s="32" t="s">
        <v>54</v>
      </c>
      <c r="C1026" s="32">
        <v>11987360058</v>
      </c>
      <c r="E1026" s="32">
        <v>6</v>
      </c>
      <c r="F1026" s="32">
        <v>0</v>
      </c>
      <c r="G1026" s="32" t="s">
        <v>47</v>
      </c>
      <c r="H1026" s="32" t="s">
        <v>3743</v>
      </c>
      <c r="I1026" s="32" t="s">
        <v>46</v>
      </c>
      <c r="J1026" s="32" t="s">
        <v>55</v>
      </c>
    </row>
    <row r="1027" spans="1:12" hidden="1" x14ac:dyDescent="0.3">
      <c r="A1027" s="39">
        <v>46160.426527777781</v>
      </c>
      <c r="B1027" s="32">
        <v>4432322192</v>
      </c>
      <c r="C1027" s="32" t="s">
        <v>43</v>
      </c>
      <c r="D1027" s="32">
        <v>4430265054</v>
      </c>
      <c r="E1027" s="32">
        <v>120</v>
      </c>
      <c r="F1027" s="32">
        <v>75</v>
      </c>
      <c r="G1027" s="32" t="s">
        <v>38</v>
      </c>
      <c r="H1027" s="32" t="s">
        <v>3744</v>
      </c>
      <c r="I1027" s="32" t="s">
        <v>39</v>
      </c>
      <c r="J1027" s="32" t="s">
        <v>40</v>
      </c>
      <c r="K1027" s="32" t="s">
        <v>41</v>
      </c>
      <c r="L1027" s="32">
        <v>5</v>
      </c>
    </row>
    <row r="1028" spans="1:12" hidden="1" x14ac:dyDescent="0.3">
      <c r="A1028" s="39">
        <v>46160.424861111111</v>
      </c>
      <c r="B1028" s="32">
        <v>4330332823</v>
      </c>
      <c r="C1028" s="32" t="s">
        <v>44</v>
      </c>
      <c r="D1028" s="32">
        <v>4430265054</v>
      </c>
      <c r="E1028" s="32">
        <v>498</v>
      </c>
      <c r="F1028" s="32">
        <v>402</v>
      </c>
      <c r="G1028" s="32" t="s">
        <v>38</v>
      </c>
      <c r="H1028" s="32" t="s">
        <v>3745</v>
      </c>
      <c r="I1028" s="32" t="s">
        <v>39</v>
      </c>
      <c r="J1028" s="32" t="s">
        <v>40</v>
      </c>
      <c r="K1028" s="32" t="s">
        <v>41</v>
      </c>
    </row>
    <row r="1029" spans="1:12" hidden="1" x14ac:dyDescent="0.3">
      <c r="A1029" s="39">
        <v>46160.424710648149</v>
      </c>
      <c r="B1029" s="32" t="s">
        <v>54</v>
      </c>
      <c r="C1029" s="32">
        <v>82999467299</v>
      </c>
      <c r="E1029" s="32">
        <v>27</v>
      </c>
      <c r="F1029" s="32">
        <v>0</v>
      </c>
      <c r="G1029" s="32" t="s">
        <v>47</v>
      </c>
      <c r="H1029" s="32" t="s">
        <v>3746</v>
      </c>
      <c r="I1029" s="32" t="s">
        <v>46</v>
      </c>
      <c r="J1029" s="32" t="s">
        <v>55</v>
      </c>
    </row>
    <row r="1030" spans="1:12" hidden="1" x14ac:dyDescent="0.3">
      <c r="A1030" s="39">
        <v>46160.421469907407</v>
      </c>
      <c r="B1030" s="32" t="s">
        <v>54</v>
      </c>
      <c r="C1030" s="32">
        <v>99981341803</v>
      </c>
      <c r="E1030" s="32">
        <v>8</v>
      </c>
      <c r="F1030" s="32">
        <v>2</v>
      </c>
      <c r="G1030" s="32" t="s">
        <v>38</v>
      </c>
      <c r="H1030" s="32" t="s">
        <v>3747</v>
      </c>
      <c r="I1030" s="32" t="s">
        <v>46</v>
      </c>
      <c r="J1030" s="32" t="s">
        <v>55</v>
      </c>
    </row>
    <row r="1031" spans="1:12" hidden="1" x14ac:dyDescent="0.3">
      <c r="A1031" s="39">
        <v>46160.412638888891</v>
      </c>
      <c r="B1031" s="32">
        <v>99999022979</v>
      </c>
      <c r="C1031" s="32" t="s">
        <v>44</v>
      </c>
      <c r="D1031" s="32">
        <v>4430265054</v>
      </c>
      <c r="E1031" s="32">
        <v>183</v>
      </c>
      <c r="F1031" s="32">
        <v>101</v>
      </c>
      <c r="G1031" s="32" t="s">
        <v>38</v>
      </c>
      <c r="H1031" s="32" t="s">
        <v>3748</v>
      </c>
      <c r="I1031" s="32" t="s">
        <v>39</v>
      </c>
      <c r="J1031" s="32" t="s">
        <v>40</v>
      </c>
      <c r="K1031" s="32" t="s">
        <v>41</v>
      </c>
    </row>
    <row r="1032" spans="1:12" hidden="1" x14ac:dyDescent="0.3">
      <c r="A1032" s="39">
        <v>46160.410613425927</v>
      </c>
      <c r="B1032" s="32">
        <v>44998761561</v>
      </c>
      <c r="C1032" s="32">
        <v>4430265054</v>
      </c>
      <c r="D1032" s="32">
        <v>4430265054</v>
      </c>
      <c r="E1032" s="32">
        <v>32</v>
      </c>
      <c r="F1032" s="32">
        <v>32</v>
      </c>
      <c r="G1032" s="32" t="s">
        <v>52</v>
      </c>
      <c r="H1032" s="32" t="s">
        <v>3749</v>
      </c>
      <c r="I1032" s="32" t="s">
        <v>39</v>
      </c>
      <c r="J1032" s="32" t="s">
        <v>53</v>
      </c>
      <c r="K1032" s="32" t="s">
        <v>41</v>
      </c>
    </row>
    <row r="1033" spans="1:12" hidden="1" x14ac:dyDescent="0.3">
      <c r="A1033" s="39">
        <v>46160.409212962964</v>
      </c>
      <c r="B1033" s="32">
        <v>4436313773</v>
      </c>
      <c r="C1033" s="32" t="s">
        <v>43</v>
      </c>
      <c r="D1033" s="32">
        <v>4430265054</v>
      </c>
      <c r="E1033" s="32">
        <v>74</v>
      </c>
      <c r="F1033" s="32">
        <v>36</v>
      </c>
      <c r="G1033" s="32" t="s">
        <v>38</v>
      </c>
      <c r="H1033" s="32" t="s">
        <v>3750</v>
      </c>
      <c r="I1033" s="32" t="s">
        <v>39</v>
      </c>
      <c r="J1033" s="32" t="s">
        <v>40</v>
      </c>
      <c r="K1033" s="32" t="s">
        <v>41</v>
      </c>
    </row>
    <row r="1034" spans="1:12" hidden="1" x14ac:dyDescent="0.3">
      <c r="A1034" s="39">
        <v>46160.405046296299</v>
      </c>
      <c r="B1034" s="32" t="s">
        <v>54</v>
      </c>
      <c r="C1034" s="32">
        <v>51993250030</v>
      </c>
      <c r="E1034" s="32">
        <v>15</v>
      </c>
      <c r="F1034" s="32">
        <v>0</v>
      </c>
      <c r="G1034" s="32" t="s">
        <v>47</v>
      </c>
      <c r="H1034" s="32" t="s">
        <v>3751</v>
      </c>
      <c r="I1034" s="32" t="s">
        <v>46</v>
      </c>
      <c r="J1034" s="32" t="s">
        <v>55</v>
      </c>
    </row>
    <row r="1035" spans="1:12" hidden="1" x14ac:dyDescent="0.3">
      <c r="A1035" s="39">
        <v>46160.404479166667</v>
      </c>
      <c r="B1035" s="32" t="s">
        <v>54</v>
      </c>
      <c r="C1035" s="32">
        <v>31987150973</v>
      </c>
      <c r="E1035" s="32">
        <v>9</v>
      </c>
      <c r="F1035" s="32">
        <v>0</v>
      </c>
      <c r="G1035" s="32" t="s">
        <v>47</v>
      </c>
      <c r="H1035" s="32" t="s">
        <v>3752</v>
      </c>
      <c r="I1035" s="32" t="s">
        <v>46</v>
      </c>
      <c r="J1035" s="32" t="s">
        <v>55</v>
      </c>
    </row>
    <row r="1036" spans="1:12" hidden="1" x14ac:dyDescent="0.3">
      <c r="A1036" s="39">
        <v>46160.404050925928</v>
      </c>
      <c r="B1036" s="32" t="s">
        <v>57</v>
      </c>
      <c r="C1036" s="32">
        <v>3136565611</v>
      </c>
      <c r="E1036" s="32">
        <v>85</v>
      </c>
      <c r="F1036" s="32">
        <v>79</v>
      </c>
      <c r="G1036" s="32" t="s">
        <v>38</v>
      </c>
      <c r="H1036" s="32" t="s">
        <v>3753</v>
      </c>
      <c r="I1036" s="32" t="s">
        <v>46</v>
      </c>
      <c r="J1036" s="32" t="s">
        <v>55</v>
      </c>
    </row>
    <row r="1037" spans="1:12" hidden="1" x14ac:dyDescent="0.3">
      <c r="A1037" s="39">
        <v>46160.40221064815</v>
      </c>
      <c r="B1037" s="32">
        <v>44934471453</v>
      </c>
      <c r="C1037" s="32">
        <v>4430265054</v>
      </c>
      <c r="D1037" s="32">
        <v>4430265054</v>
      </c>
      <c r="E1037" s="32">
        <v>7</v>
      </c>
      <c r="F1037" s="32">
        <v>7</v>
      </c>
      <c r="G1037" s="32" t="s">
        <v>52</v>
      </c>
      <c r="H1037" s="32" t="s">
        <v>3754</v>
      </c>
      <c r="I1037" s="32" t="s">
        <v>39</v>
      </c>
      <c r="J1037" s="32" t="s">
        <v>53</v>
      </c>
    </row>
    <row r="1038" spans="1:12" hidden="1" x14ac:dyDescent="0.3">
      <c r="A1038" s="39">
        <v>46160.400138888886</v>
      </c>
      <c r="B1038" s="32">
        <v>12991152337</v>
      </c>
      <c r="C1038" s="32" t="s">
        <v>43</v>
      </c>
      <c r="D1038" s="32">
        <v>4430265054</v>
      </c>
      <c r="E1038" s="32">
        <v>402</v>
      </c>
      <c r="F1038" s="32">
        <v>374</v>
      </c>
      <c r="G1038" s="32" t="s">
        <v>38</v>
      </c>
      <c r="H1038" s="32" t="s">
        <v>3755</v>
      </c>
      <c r="I1038" s="32" t="s">
        <v>39</v>
      </c>
      <c r="J1038" s="32" t="s">
        <v>40</v>
      </c>
      <c r="K1038" s="32" t="s">
        <v>41</v>
      </c>
      <c r="L1038" s="32">
        <v>5</v>
      </c>
    </row>
    <row r="1039" spans="1:12" hidden="1" x14ac:dyDescent="0.3">
      <c r="A1039" s="39">
        <v>46160.39984953704</v>
      </c>
      <c r="B1039" s="32">
        <v>44988255390</v>
      </c>
      <c r="C1039" s="32" t="s">
        <v>44</v>
      </c>
      <c r="D1039" s="32">
        <v>4430265054</v>
      </c>
      <c r="E1039" s="32">
        <v>606</v>
      </c>
      <c r="F1039" s="32">
        <v>563</v>
      </c>
      <c r="G1039" s="32" t="s">
        <v>38</v>
      </c>
      <c r="H1039" s="32" t="s">
        <v>3756</v>
      </c>
      <c r="I1039" s="32" t="s">
        <v>39</v>
      </c>
      <c r="J1039" s="32" t="s">
        <v>40</v>
      </c>
      <c r="K1039" s="32" t="s">
        <v>41</v>
      </c>
    </row>
    <row r="1040" spans="1:12" hidden="1" x14ac:dyDescent="0.3">
      <c r="A1040" s="39">
        <v>46160.399733796294</v>
      </c>
      <c r="B1040" s="32" t="s">
        <v>48</v>
      </c>
      <c r="C1040" s="32">
        <v>4330333542</v>
      </c>
      <c r="E1040" s="32">
        <v>839</v>
      </c>
      <c r="F1040" s="32">
        <v>815</v>
      </c>
      <c r="G1040" s="32" t="s">
        <v>38</v>
      </c>
      <c r="H1040" s="32" t="s">
        <v>3757</v>
      </c>
      <c r="I1040" s="32" t="s">
        <v>46</v>
      </c>
      <c r="J1040" s="32" t="s">
        <v>40</v>
      </c>
    </row>
    <row r="1041" spans="1:12" hidden="1" x14ac:dyDescent="0.3">
      <c r="A1041" s="39">
        <v>46160.397129629629</v>
      </c>
      <c r="B1041" s="32" t="s">
        <v>45</v>
      </c>
      <c r="C1041" s="32">
        <v>4430562296</v>
      </c>
      <c r="E1041" s="32">
        <v>1732</v>
      </c>
      <c r="F1041" s="32">
        <v>1717</v>
      </c>
      <c r="G1041" s="32" t="s">
        <v>38</v>
      </c>
      <c r="H1041" s="32" t="s">
        <v>3758</v>
      </c>
      <c r="I1041" s="32" t="s">
        <v>46</v>
      </c>
      <c r="J1041" s="32" t="s">
        <v>40</v>
      </c>
    </row>
    <row r="1042" spans="1:12" hidden="1" x14ac:dyDescent="0.3">
      <c r="A1042" s="39">
        <v>46160.39702546296</v>
      </c>
      <c r="B1042" s="32" t="s">
        <v>45</v>
      </c>
      <c r="C1042" s="32">
        <v>4430562296</v>
      </c>
      <c r="E1042" s="32">
        <v>25</v>
      </c>
      <c r="F1042" s="32">
        <v>25</v>
      </c>
      <c r="G1042" s="32" t="s">
        <v>38</v>
      </c>
      <c r="H1042" s="32" t="s">
        <v>3759</v>
      </c>
      <c r="I1042" s="32" t="s">
        <v>46</v>
      </c>
      <c r="J1042" s="32" t="s">
        <v>40</v>
      </c>
    </row>
    <row r="1043" spans="1:12" hidden="1" x14ac:dyDescent="0.3">
      <c r="A1043" s="39">
        <v>46160.38790509259</v>
      </c>
      <c r="B1043" s="32">
        <v>44998983578</v>
      </c>
      <c r="C1043" s="32">
        <v>4430265054</v>
      </c>
      <c r="D1043" s="32">
        <v>4430265054</v>
      </c>
      <c r="E1043" s="32">
        <v>7</v>
      </c>
      <c r="F1043" s="32">
        <v>6</v>
      </c>
      <c r="G1043" s="32" t="s">
        <v>52</v>
      </c>
      <c r="H1043" s="32" t="s">
        <v>3760</v>
      </c>
      <c r="I1043" s="32" t="s">
        <v>39</v>
      </c>
      <c r="J1043" s="32" t="s">
        <v>53</v>
      </c>
    </row>
    <row r="1044" spans="1:12" hidden="1" x14ac:dyDescent="0.3">
      <c r="A1044" s="39">
        <v>46160.37568287037</v>
      </c>
      <c r="B1044" s="32">
        <v>4430562296</v>
      </c>
      <c r="C1044" s="32" t="s">
        <v>45</v>
      </c>
      <c r="D1044" s="32">
        <v>4430265054</v>
      </c>
      <c r="E1044" s="32">
        <v>1303</v>
      </c>
      <c r="F1044" s="32">
        <v>1240</v>
      </c>
      <c r="G1044" s="32" t="s">
        <v>38</v>
      </c>
      <c r="H1044" s="32" t="s">
        <v>3761</v>
      </c>
      <c r="I1044" s="32" t="s">
        <v>39</v>
      </c>
      <c r="J1044" s="32" t="s">
        <v>40</v>
      </c>
      <c r="K1044" s="32" t="s">
        <v>41</v>
      </c>
    </row>
    <row r="1045" spans="1:12" hidden="1" x14ac:dyDescent="0.3">
      <c r="A1045" s="39">
        <v>46160.373148148145</v>
      </c>
      <c r="B1045" s="32" t="s">
        <v>48</v>
      </c>
      <c r="C1045" s="32">
        <v>4435221208</v>
      </c>
      <c r="E1045" s="32">
        <v>148</v>
      </c>
      <c r="F1045" s="32">
        <v>135</v>
      </c>
      <c r="G1045" s="32" t="s">
        <v>38</v>
      </c>
      <c r="H1045" s="32" t="s">
        <v>3762</v>
      </c>
      <c r="I1045" s="32" t="s">
        <v>46</v>
      </c>
      <c r="J1045" s="32" t="s">
        <v>40</v>
      </c>
    </row>
    <row r="1046" spans="1:12" hidden="1" x14ac:dyDescent="0.3">
      <c r="A1046" s="39">
        <v>46160.37158564815</v>
      </c>
      <c r="B1046" s="32" t="s">
        <v>48</v>
      </c>
      <c r="C1046" s="32">
        <v>4432321428</v>
      </c>
      <c r="E1046" s="32">
        <v>128</v>
      </c>
      <c r="F1046" s="32">
        <v>119</v>
      </c>
      <c r="G1046" s="32" t="s">
        <v>38</v>
      </c>
      <c r="H1046" s="32" t="s">
        <v>3763</v>
      </c>
      <c r="I1046" s="32" t="s">
        <v>46</v>
      </c>
      <c r="J1046" s="32" t="s">
        <v>40</v>
      </c>
    </row>
    <row r="1047" spans="1:12" hidden="1" x14ac:dyDescent="0.3">
      <c r="A1047" s="39">
        <v>46160.370752314811</v>
      </c>
      <c r="B1047" s="32">
        <v>43988030048</v>
      </c>
      <c r="C1047" s="32" t="s">
        <v>43</v>
      </c>
      <c r="D1047" s="32">
        <v>4430265054</v>
      </c>
      <c r="E1047" s="32">
        <v>501</v>
      </c>
      <c r="F1047" s="32">
        <v>475</v>
      </c>
      <c r="G1047" s="32" t="s">
        <v>38</v>
      </c>
      <c r="H1047" s="32" t="s">
        <v>3764</v>
      </c>
      <c r="I1047" s="32" t="s">
        <v>39</v>
      </c>
      <c r="J1047" s="32" t="s">
        <v>40</v>
      </c>
      <c r="K1047" s="32" t="s">
        <v>41</v>
      </c>
      <c r="L1047" s="32">
        <v>5</v>
      </c>
    </row>
    <row r="1048" spans="1:12" hidden="1" x14ac:dyDescent="0.3">
      <c r="A1048" s="39">
        <v>46160.361342592594</v>
      </c>
      <c r="B1048" s="32">
        <v>4430191401</v>
      </c>
      <c r="C1048" s="32" t="s">
        <v>44</v>
      </c>
      <c r="D1048" s="32">
        <v>4430265054</v>
      </c>
      <c r="E1048" s="32">
        <v>924</v>
      </c>
      <c r="F1048" s="32">
        <v>841</v>
      </c>
      <c r="G1048" s="32" t="s">
        <v>38</v>
      </c>
      <c r="H1048" s="32" t="s">
        <v>3765</v>
      </c>
      <c r="I1048" s="32" t="s">
        <v>39</v>
      </c>
      <c r="J1048" s="32" t="s">
        <v>40</v>
      </c>
      <c r="K1048" s="32" t="s">
        <v>41</v>
      </c>
    </row>
    <row r="1049" spans="1:12" hidden="1" x14ac:dyDescent="0.3">
      <c r="A1049" s="39">
        <v>46160.360960648148</v>
      </c>
      <c r="B1049" s="32">
        <v>44999931196</v>
      </c>
      <c r="C1049" s="32">
        <v>4430265054</v>
      </c>
      <c r="D1049" s="32">
        <v>4430265054</v>
      </c>
      <c r="E1049" s="32">
        <v>8</v>
      </c>
      <c r="F1049" s="32">
        <v>7</v>
      </c>
      <c r="G1049" s="32" t="s">
        <v>52</v>
      </c>
      <c r="H1049" s="32" t="s">
        <v>3766</v>
      </c>
      <c r="I1049" s="32" t="s">
        <v>39</v>
      </c>
      <c r="J1049" s="32" t="s">
        <v>53</v>
      </c>
    </row>
    <row r="1050" spans="1:12" hidden="1" x14ac:dyDescent="0.3">
      <c r="A1050" s="39">
        <v>46160.357592592591</v>
      </c>
      <c r="B1050" s="32" t="s">
        <v>48</v>
      </c>
      <c r="C1050" s="32">
        <v>4432321428</v>
      </c>
      <c r="E1050" s="32">
        <v>128</v>
      </c>
      <c r="F1050" s="32">
        <v>119</v>
      </c>
      <c r="G1050" s="32" t="s">
        <v>38</v>
      </c>
      <c r="H1050" s="32" t="s">
        <v>3767</v>
      </c>
      <c r="I1050" s="32" t="s">
        <v>46</v>
      </c>
      <c r="J1050" s="32" t="s">
        <v>40</v>
      </c>
    </row>
    <row r="1051" spans="1:12" hidden="1" x14ac:dyDescent="0.3">
      <c r="A1051" s="39">
        <v>46160.354629629626</v>
      </c>
      <c r="B1051" s="32">
        <v>44988119618</v>
      </c>
      <c r="C1051" s="32">
        <v>4430265054</v>
      </c>
      <c r="D1051" s="32">
        <v>4430265054</v>
      </c>
      <c r="E1051" s="32">
        <v>8</v>
      </c>
      <c r="F1051" s="32">
        <v>8</v>
      </c>
      <c r="G1051" s="32" t="s">
        <v>52</v>
      </c>
      <c r="H1051" s="32" t="s">
        <v>3768</v>
      </c>
      <c r="I1051" s="32" t="s">
        <v>39</v>
      </c>
      <c r="J1051" s="32" t="s">
        <v>53</v>
      </c>
    </row>
    <row r="1052" spans="1:12" hidden="1" x14ac:dyDescent="0.3">
      <c r="A1052" s="39">
        <v>46160.354178240741</v>
      </c>
      <c r="B1052" s="32">
        <v>44984321102</v>
      </c>
      <c r="C1052" s="32" t="s">
        <v>45</v>
      </c>
      <c r="D1052" s="32">
        <v>4430265054</v>
      </c>
      <c r="E1052" s="32">
        <v>476</v>
      </c>
      <c r="F1052" s="32">
        <v>432</v>
      </c>
      <c r="G1052" s="32" t="s">
        <v>38</v>
      </c>
      <c r="H1052" s="32" t="s">
        <v>3769</v>
      </c>
      <c r="I1052" s="32" t="s">
        <v>39</v>
      </c>
      <c r="J1052" s="32" t="s">
        <v>40</v>
      </c>
      <c r="K1052" s="32" t="s">
        <v>41</v>
      </c>
      <c r="L1052" s="32">
        <v>5</v>
      </c>
    </row>
    <row r="1053" spans="1:12" hidden="1" x14ac:dyDescent="0.3">
      <c r="A1053" s="39">
        <v>46160.346782407411</v>
      </c>
      <c r="B1053" s="32" t="s">
        <v>45</v>
      </c>
      <c r="C1053" s="32">
        <v>4433231037</v>
      </c>
      <c r="E1053" s="32">
        <v>291</v>
      </c>
      <c r="F1053" s="32">
        <v>283</v>
      </c>
      <c r="G1053" s="32" t="s">
        <v>38</v>
      </c>
      <c r="H1053" s="32" t="s">
        <v>3770</v>
      </c>
      <c r="I1053" s="32" t="s">
        <v>46</v>
      </c>
      <c r="J1053" s="32" t="s">
        <v>40</v>
      </c>
      <c r="L1053" s="32">
        <v>5</v>
      </c>
    </row>
    <row r="1054" spans="1:12" hidden="1" x14ac:dyDescent="0.3">
      <c r="A1054" s="39">
        <v>46159.626828703702</v>
      </c>
      <c r="B1054" s="32">
        <v>1153871395</v>
      </c>
      <c r="C1054" s="32">
        <v>4430265054</v>
      </c>
      <c r="D1054" s="32">
        <v>4430265054</v>
      </c>
      <c r="E1054" s="32">
        <v>10</v>
      </c>
      <c r="F1054" s="32">
        <v>9</v>
      </c>
      <c r="G1054" s="32" t="s">
        <v>52</v>
      </c>
      <c r="H1054" s="32" t="s">
        <v>3771</v>
      </c>
      <c r="I1054" s="32" t="s">
        <v>39</v>
      </c>
      <c r="J1054" s="32" t="s">
        <v>53</v>
      </c>
    </row>
    <row r="1055" spans="1:12" hidden="1" x14ac:dyDescent="0.3">
      <c r="A1055" s="39">
        <v>46158.536192129628</v>
      </c>
      <c r="B1055" s="32">
        <v>44988067492</v>
      </c>
      <c r="C1055" s="32">
        <v>4430265054</v>
      </c>
      <c r="D1055" s="32">
        <v>4430265054</v>
      </c>
      <c r="E1055" s="32">
        <v>8</v>
      </c>
      <c r="F1055" s="32">
        <v>8</v>
      </c>
      <c r="G1055" s="32" t="s">
        <v>52</v>
      </c>
      <c r="H1055" s="32" t="s">
        <v>3772</v>
      </c>
      <c r="I1055" s="32" t="s">
        <v>39</v>
      </c>
      <c r="J1055" s="32" t="s">
        <v>53</v>
      </c>
    </row>
    <row r="1056" spans="1:12" hidden="1" x14ac:dyDescent="0.3">
      <c r="A1056" s="39">
        <v>46158.487361111111</v>
      </c>
      <c r="B1056" s="32">
        <v>44988333728</v>
      </c>
      <c r="C1056" s="32">
        <v>4430265054</v>
      </c>
      <c r="D1056" s="32">
        <v>4430265054</v>
      </c>
      <c r="E1056" s="32">
        <v>8</v>
      </c>
      <c r="F1056" s="32">
        <v>7</v>
      </c>
      <c r="G1056" s="32" t="s">
        <v>52</v>
      </c>
      <c r="H1056" s="32" t="s">
        <v>3773</v>
      </c>
      <c r="I1056" s="32" t="s">
        <v>39</v>
      </c>
      <c r="J1056" s="32" t="s">
        <v>53</v>
      </c>
    </row>
    <row r="1057" spans="1:12" hidden="1" x14ac:dyDescent="0.3">
      <c r="A1057" s="39">
        <v>46158.423819444448</v>
      </c>
      <c r="B1057" s="32">
        <v>44988067492</v>
      </c>
      <c r="C1057" s="32">
        <v>4430265054</v>
      </c>
      <c r="D1057" s="32">
        <v>4430265054</v>
      </c>
      <c r="E1057" s="32">
        <v>8</v>
      </c>
      <c r="F1057" s="32">
        <v>8</v>
      </c>
      <c r="G1057" s="32" t="s">
        <v>52</v>
      </c>
      <c r="H1057" s="32" t="s">
        <v>3774</v>
      </c>
      <c r="I1057" s="32" t="s">
        <v>39</v>
      </c>
      <c r="J1057" s="32" t="s">
        <v>53</v>
      </c>
    </row>
    <row r="1058" spans="1:12" hidden="1" x14ac:dyDescent="0.3">
      <c r="A1058" s="39">
        <v>46158.338923611111</v>
      </c>
      <c r="B1058" s="32">
        <v>44997225252</v>
      </c>
      <c r="C1058" s="32">
        <v>4430265054</v>
      </c>
      <c r="D1058" s="32">
        <v>4430265054</v>
      </c>
      <c r="E1058" s="32">
        <v>8</v>
      </c>
      <c r="F1058" s="32">
        <v>7</v>
      </c>
      <c r="G1058" s="32" t="s">
        <v>52</v>
      </c>
      <c r="H1058" s="32" t="s">
        <v>3775</v>
      </c>
      <c r="I1058" s="32" t="s">
        <v>39</v>
      </c>
      <c r="J1058" s="32" t="s">
        <v>53</v>
      </c>
    </row>
    <row r="1059" spans="1:12" hidden="1" x14ac:dyDescent="0.3">
      <c r="A1059" s="39">
        <v>46158.338877314818</v>
      </c>
      <c r="B1059" s="32">
        <v>44991432702</v>
      </c>
      <c r="C1059" s="32">
        <v>4430265054</v>
      </c>
      <c r="D1059" s="32">
        <v>4430265054</v>
      </c>
      <c r="E1059" s="32">
        <v>7</v>
      </c>
      <c r="F1059" s="32">
        <v>6</v>
      </c>
      <c r="G1059" s="32" t="s">
        <v>52</v>
      </c>
      <c r="H1059" s="32" t="s">
        <v>3776</v>
      </c>
      <c r="I1059" s="32" t="s">
        <v>39</v>
      </c>
      <c r="J1059" s="32" t="s">
        <v>53</v>
      </c>
    </row>
    <row r="1060" spans="1:12" x14ac:dyDescent="0.3">
      <c r="A1060" s="39">
        <v>46157.733043981483</v>
      </c>
      <c r="B1060" s="32" t="s">
        <v>44</v>
      </c>
      <c r="C1060" s="32">
        <v>99984754234</v>
      </c>
      <c r="E1060" s="32">
        <v>518</v>
      </c>
      <c r="F1060" s="32">
        <v>506</v>
      </c>
      <c r="G1060" s="32" t="s">
        <v>38</v>
      </c>
      <c r="H1060" s="32" t="s">
        <v>3777</v>
      </c>
      <c r="I1060" s="32" t="s">
        <v>46</v>
      </c>
      <c r="J1060" s="32" t="s">
        <v>40</v>
      </c>
      <c r="L1060" s="32">
        <v>5</v>
      </c>
    </row>
    <row r="1061" spans="1:12" hidden="1" x14ac:dyDescent="0.3">
      <c r="A1061" s="39">
        <v>46157.713645833333</v>
      </c>
      <c r="B1061" s="32" t="s">
        <v>54</v>
      </c>
      <c r="C1061" s="32">
        <v>31986087572</v>
      </c>
      <c r="E1061" s="32">
        <v>36</v>
      </c>
      <c r="F1061" s="32">
        <v>0</v>
      </c>
      <c r="G1061" s="32" t="s">
        <v>47</v>
      </c>
      <c r="H1061" s="32" t="s">
        <v>3778</v>
      </c>
      <c r="I1061" s="32" t="s">
        <v>46</v>
      </c>
      <c r="J1061" s="32" t="s">
        <v>55</v>
      </c>
    </row>
    <row r="1062" spans="1:12" hidden="1" x14ac:dyDescent="0.3">
      <c r="A1062" s="39">
        <v>46157.704467592594</v>
      </c>
      <c r="B1062" s="32" t="s">
        <v>45</v>
      </c>
      <c r="C1062" s="32">
        <v>1143744993</v>
      </c>
      <c r="E1062" s="32">
        <v>244</v>
      </c>
      <c r="F1062" s="32">
        <v>240</v>
      </c>
      <c r="G1062" s="32" t="s">
        <v>38</v>
      </c>
      <c r="H1062" s="32" t="s">
        <v>3779</v>
      </c>
      <c r="I1062" s="32" t="s">
        <v>46</v>
      </c>
      <c r="J1062" s="32" t="s">
        <v>40</v>
      </c>
      <c r="L1062" s="32">
        <v>5</v>
      </c>
    </row>
    <row r="1063" spans="1:12" hidden="1" x14ac:dyDescent="0.3">
      <c r="A1063" s="39">
        <v>46157.704027777778</v>
      </c>
      <c r="B1063" s="32" t="s">
        <v>45</v>
      </c>
      <c r="C1063" s="32">
        <v>1143744993</v>
      </c>
      <c r="E1063" s="32">
        <v>39</v>
      </c>
      <c r="F1063" s="32">
        <v>31</v>
      </c>
      <c r="G1063" s="32" t="s">
        <v>38</v>
      </c>
      <c r="H1063" s="32" t="s">
        <v>3780</v>
      </c>
      <c r="I1063" s="32" t="s">
        <v>46</v>
      </c>
      <c r="J1063" s="32" t="s">
        <v>40</v>
      </c>
    </row>
    <row r="1064" spans="1:12" hidden="1" x14ac:dyDescent="0.3">
      <c r="A1064" s="39">
        <v>46157.703379629631</v>
      </c>
      <c r="B1064" s="32" t="s">
        <v>45</v>
      </c>
      <c r="C1064" s="32">
        <v>1143744993</v>
      </c>
      <c r="E1064" s="32">
        <v>21</v>
      </c>
      <c r="F1064" s="32">
        <v>13</v>
      </c>
      <c r="G1064" s="32" t="s">
        <v>38</v>
      </c>
      <c r="H1064" s="32" t="s">
        <v>3781</v>
      </c>
      <c r="I1064" s="32" t="s">
        <v>46</v>
      </c>
      <c r="J1064" s="32" t="s">
        <v>40</v>
      </c>
    </row>
    <row r="1065" spans="1:12" hidden="1" x14ac:dyDescent="0.3">
      <c r="A1065" s="39">
        <v>46157.695706018516</v>
      </c>
      <c r="B1065" s="32" t="s">
        <v>54</v>
      </c>
      <c r="C1065" s="32">
        <v>62985199973</v>
      </c>
      <c r="E1065" s="32">
        <v>13</v>
      </c>
      <c r="F1065" s="32">
        <v>3</v>
      </c>
      <c r="G1065" s="32" t="s">
        <v>38</v>
      </c>
      <c r="H1065" s="32" t="s">
        <v>3782</v>
      </c>
      <c r="I1065" s="32" t="s">
        <v>46</v>
      </c>
      <c r="J1065" s="32" t="s">
        <v>55</v>
      </c>
    </row>
    <row r="1066" spans="1:12" hidden="1" x14ac:dyDescent="0.3">
      <c r="A1066" s="39">
        <v>46157.693877314814</v>
      </c>
      <c r="B1066" s="32" t="s">
        <v>54</v>
      </c>
      <c r="C1066" s="32">
        <v>19996145568</v>
      </c>
      <c r="E1066" s="32">
        <v>17</v>
      </c>
      <c r="F1066" s="32">
        <v>5</v>
      </c>
      <c r="G1066" s="32" t="s">
        <v>38</v>
      </c>
      <c r="H1066" s="32" t="s">
        <v>3783</v>
      </c>
      <c r="I1066" s="32" t="s">
        <v>46</v>
      </c>
      <c r="J1066" s="32" t="s">
        <v>55</v>
      </c>
    </row>
    <row r="1067" spans="1:12" hidden="1" x14ac:dyDescent="0.3">
      <c r="A1067" s="39">
        <v>46157.693344907406</v>
      </c>
      <c r="B1067" s="32" t="s">
        <v>54</v>
      </c>
      <c r="C1067" s="32">
        <v>84996340504</v>
      </c>
      <c r="E1067" s="32">
        <v>9</v>
      </c>
      <c r="F1067" s="32">
        <v>3</v>
      </c>
      <c r="G1067" s="32" t="s">
        <v>38</v>
      </c>
      <c r="H1067" s="32" t="s">
        <v>3784</v>
      </c>
      <c r="I1067" s="32" t="s">
        <v>46</v>
      </c>
      <c r="J1067" s="32" t="s">
        <v>55</v>
      </c>
    </row>
    <row r="1068" spans="1:12" hidden="1" x14ac:dyDescent="0.3">
      <c r="A1068" s="39">
        <v>46157.691516203704</v>
      </c>
      <c r="B1068" s="32">
        <v>4121414966</v>
      </c>
      <c r="C1068" s="32">
        <v>4531273163</v>
      </c>
      <c r="D1068" s="32">
        <v>4531273163</v>
      </c>
      <c r="E1068" s="32">
        <v>5</v>
      </c>
      <c r="F1068" s="32">
        <v>5</v>
      </c>
      <c r="G1068" s="32" t="s">
        <v>52</v>
      </c>
      <c r="H1068" s="32" t="s">
        <v>3785</v>
      </c>
      <c r="I1068" s="32" t="s">
        <v>39</v>
      </c>
      <c r="J1068" s="32" t="s">
        <v>53</v>
      </c>
    </row>
    <row r="1069" spans="1:12" hidden="1" x14ac:dyDescent="0.3">
      <c r="A1069" s="39">
        <v>46157.690949074073</v>
      </c>
      <c r="B1069" s="32">
        <v>99984754234</v>
      </c>
      <c r="C1069" s="32" t="s">
        <v>44</v>
      </c>
      <c r="D1069" s="32">
        <v>4430265054</v>
      </c>
      <c r="E1069" s="32">
        <v>1934</v>
      </c>
      <c r="F1069" s="32">
        <v>1802</v>
      </c>
      <c r="G1069" s="32" t="s">
        <v>38</v>
      </c>
      <c r="H1069" s="32" t="s">
        <v>3786</v>
      </c>
      <c r="I1069" s="32" t="s">
        <v>39</v>
      </c>
      <c r="J1069" s="32" t="s">
        <v>40</v>
      </c>
      <c r="K1069" s="32" t="s">
        <v>41</v>
      </c>
    </row>
    <row r="1070" spans="1:12" hidden="1" x14ac:dyDescent="0.3">
      <c r="A1070" s="39">
        <v>46157.686979166669</v>
      </c>
      <c r="B1070" s="32" t="s">
        <v>54</v>
      </c>
      <c r="C1070" s="32">
        <v>67984836781</v>
      </c>
      <c r="E1070" s="32">
        <v>7</v>
      </c>
      <c r="F1070" s="32">
        <v>0</v>
      </c>
      <c r="G1070" s="32" t="s">
        <v>47</v>
      </c>
      <c r="H1070" s="32" t="s">
        <v>3787</v>
      </c>
      <c r="I1070" s="32" t="s">
        <v>46</v>
      </c>
      <c r="J1070" s="32" t="s">
        <v>55</v>
      </c>
    </row>
    <row r="1071" spans="1:12" hidden="1" x14ac:dyDescent="0.3">
      <c r="A1071" s="39">
        <v>46157.686435185184</v>
      </c>
      <c r="B1071" s="32" t="s">
        <v>54</v>
      </c>
      <c r="C1071" s="32">
        <v>88999049576</v>
      </c>
      <c r="E1071" s="32">
        <v>8</v>
      </c>
      <c r="F1071" s="32">
        <v>0</v>
      </c>
      <c r="G1071" s="32" t="s">
        <v>47</v>
      </c>
      <c r="H1071" s="32" t="s">
        <v>3788</v>
      </c>
      <c r="I1071" s="32" t="s">
        <v>46</v>
      </c>
      <c r="J1071" s="32" t="s">
        <v>55</v>
      </c>
    </row>
    <row r="1072" spans="1:12" hidden="1" x14ac:dyDescent="0.3">
      <c r="A1072" s="39">
        <v>46157.68409722222</v>
      </c>
      <c r="B1072" s="32">
        <v>44997456641</v>
      </c>
      <c r="C1072" s="32" t="s">
        <v>43</v>
      </c>
      <c r="D1072" s="32">
        <v>4430265054</v>
      </c>
      <c r="E1072" s="32">
        <v>220</v>
      </c>
      <c r="F1072" s="32">
        <v>204</v>
      </c>
      <c r="G1072" s="32" t="s">
        <v>38</v>
      </c>
      <c r="H1072" s="32" t="s">
        <v>3789</v>
      </c>
      <c r="I1072" s="32" t="s">
        <v>39</v>
      </c>
      <c r="J1072" s="32" t="s">
        <v>40</v>
      </c>
      <c r="K1072" s="32" t="s">
        <v>41</v>
      </c>
    </row>
    <row r="1073" spans="1:12" hidden="1" x14ac:dyDescent="0.3">
      <c r="A1073" s="39">
        <v>46157.683946759258</v>
      </c>
      <c r="B1073" s="32">
        <v>44988327245</v>
      </c>
      <c r="C1073" s="32">
        <v>4430265054</v>
      </c>
      <c r="D1073" s="32">
        <v>4430265054</v>
      </c>
      <c r="E1073" s="32">
        <v>7</v>
      </c>
      <c r="F1073" s="32">
        <v>7</v>
      </c>
      <c r="G1073" s="32" t="s">
        <v>52</v>
      </c>
      <c r="H1073" s="32" t="s">
        <v>3790</v>
      </c>
      <c r="I1073" s="32" t="s">
        <v>39</v>
      </c>
      <c r="J1073" s="32" t="s">
        <v>53</v>
      </c>
    </row>
    <row r="1074" spans="1:12" hidden="1" x14ac:dyDescent="0.3">
      <c r="A1074" s="39">
        <v>46157.683692129627</v>
      </c>
      <c r="B1074" s="32" t="s">
        <v>54</v>
      </c>
      <c r="C1074" s="32">
        <v>61981585068</v>
      </c>
      <c r="E1074" s="32">
        <v>36</v>
      </c>
      <c r="F1074" s="32">
        <v>0</v>
      </c>
      <c r="G1074" s="32" t="s">
        <v>47</v>
      </c>
      <c r="H1074" s="32" t="s">
        <v>3791</v>
      </c>
      <c r="I1074" s="32" t="s">
        <v>46</v>
      </c>
      <c r="J1074" s="32" t="s">
        <v>55</v>
      </c>
    </row>
    <row r="1075" spans="1:12" hidden="1" x14ac:dyDescent="0.3">
      <c r="A1075" s="39">
        <v>46157.683506944442</v>
      </c>
      <c r="B1075" s="32">
        <v>44997456641</v>
      </c>
      <c r="C1075" s="32" t="s">
        <v>43</v>
      </c>
      <c r="D1075" s="32">
        <v>4430265054</v>
      </c>
      <c r="E1075" s="32">
        <v>47</v>
      </c>
      <c r="F1075" s="32">
        <v>8</v>
      </c>
      <c r="G1075" s="32" t="s">
        <v>38</v>
      </c>
      <c r="H1075" s="32" t="s">
        <v>3792</v>
      </c>
      <c r="I1075" s="32" t="s">
        <v>39</v>
      </c>
      <c r="J1075" s="32" t="s">
        <v>40</v>
      </c>
      <c r="K1075" s="32" t="s">
        <v>41</v>
      </c>
    </row>
    <row r="1076" spans="1:12" hidden="1" x14ac:dyDescent="0.3">
      <c r="A1076" s="39">
        <v>46157.682893518519</v>
      </c>
      <c r="B1076" s="32">
        <v>4432442276</v>
      </c>
      <c r="C1076" s="32" t="s">
        <v>45</v>
      </c>
      <c r="D1076" s="32">
        <v>4430265054</v>
      </c>
      <c r="E1076" s="32">
        <v>1319</v>
      </c>
      <c r="F1076" s="32">
        <v>1301</v>
      </c>
      <c r="G1076" s="32" t="s">
        <v>38</v>
      </c>
      <c r="H1076" s="32" t="s">
        <v>3793</v>
      </c>
      <c r="I1076" s="32" t="s">
        <v>39</v>
      </c>
      <c r="J1076" s="32" t="s">
        <v>40</v>
      </c>
      <c r="K1076" s="32" t="s">
        <v>41</v>
      </c>
      <c r="L1076" s="32">
        <v>5</v>
      </c>
    </row>
    <row r="1077" spans="1:12" hidden="1" x14ac:dyDescent="0.3">
      <c r="A1077" s="39">
        <v>46157.679537037038</v>
      </c>
      <c r="B1077" s="32">
        <v>4430315826</v>
      </c>
      <c r="C1077" s="32" t="s">
        <v>48</v>
      </c>
      <c r="D1077" s="32">
        <v>4430265054</v>
      </c>
      <c r="E1077" s="32">
        <v>907</v>
      </c>
      <c r="F1077" s="32">
        <v>865</v>
      </c>
      <c r="G1077" s="32" t="s">
        <v>38</v>
      </c>
      <c r="H1077" s="32" t="s">
        <v>3794</v>
      </c>
      <c r="I1077" s="32" t="s">
        <v>39</v>
      </c>
      <c r="J1077" s="32" t="s">
        <v>40</v>
      </c>
      <c r="K1077" s="32" t="s">
        <v>41</v>
      </c>
    </row>
    <row r="1078" spans="1:12" hidden="1" x14ac:dyDescent="0.3">
      <c r="A1078" s="39">
        <v>46157.679293981484</v>
      </c>
      <c r="B1078" s="32">
        <v>44997687156</v>
      </c>
      <c r="C1078" s="32" t="s">
        <v>44</v>
      </c>
      <c r="D1078" s="32">
        <v>4430265054</v>
      </c>
      <c r="E1078" s="32">
        <v>510</v>
      </c>
      <c r="F1078" s="32">
        <v>410</v>
      </c>
      <c r="G1078" s="32" t="s">
        <v>38</v>
      </c>
      <c r="H1078" s="32" t="s">
        <v>3795</v>
      </c>
      <c r="I1078" s="32" t="s">
        <v>39</v>
      </c>
      <c r="J1078" s="32" t="s">
        <v>40</v>
      </c>
      <c r="K1078" s="32" t="s">
        <v>41</v>
      </c>
    </row>
    <row r="1079" spans="1:12" hidden="1" x14ac:dyDescent="0.3">
      <c r="A1079" s="39">
        <v>46157.678946759261</v>
      </c>
      <c r="B1079" s="32" t="s">
        <v>44</v>
      </c>
      <c r="C1079" s="32">
        <v>4436313773</v>
      </c>
      <c r="E1079" s="32">
        <v>88</v>
      </c>
      <c r="F1079" s="32">
        <v>71</v>
      </c>
      <c r="G1079" s="32" t="s">
        <v>38</v>
      </c>
      <c r="H1079" s="32" t="s">
        <v>3796</v>
      </c>
      <c r="I1079" s="32" t="s">
        <v>46</v>
      </c>
      <c r="J1079" s="32" t="s">
        <v>40</v>
      </c>
    </row>
    <row r="1080" spans="1:12" hidden="1" x14ac:dyDescent="0.3">
      <c r="A1080" s="39">
        <v>46157.678877314815</v>
      </c>
      <c r="B1080" s="32" t="s">
        <v>44</v>
      </c>
      <c r="C1080" s="32">
        <v>4436313773</v>
      </c>
      <c r="E1080" s="32">
        <v>5</v>
      </c>
      <c r="F1080" s="32">
        <v>0</v>
      </c>
      <c r="G1080" s="32" t="s">
        <v>47</v>
      </c>
      <c r="H1080" s="32" t="s">
        <v>3797</v>
      </c>
      <c r="I1080" s="32" t="s">
        <v>46</v>
      </c>
      <c r="J1080" s="32" t="s">
        <v>40</v>
      </c>
    </row>
    <row r="1081" spans="1:12" hidden="1" x14ac:dyDescent="0.3">
      <c r="A1081" s="39">
        <v>46157.678831018522</v>
      </c>
      <c r="B1081" s="32" t="s">
        <v>44</v>
      </c>
      <c r="C1081" s="32">
        <v>4436313773</v>
      </c>
      <c r="E1081" s="32">
        <v>25</v>
      </c>
      <c r="F1081" s="32">
        <v>25</v>
      </c>
      <c r="G1081" s="32" t="s">
        <v>38</v>
      </c>
      <c r="H1081" s="32" t="s">
        <v>3798</v>
      </c>
      <c r="I1081" s="32" t="s">
        <v>46</v>
      </c>
      <c r="J1081" s="32" t="s">
        <v>40</v>
      </c>
    </row>
    <row r="1082" spans="1:12" hidden="1" x14ac:dyDescent="0.3">
      <c r="A1082" s="39">
        <v>46157.678032407406</v>
      </c>
      <c r="B1082" s="32" t="s">
        <v>54</v>
      </c>
      <c r="C1082" s="32">
        <v>51996905014</v>
      </c>
      <c r="E1082" s="32">
        <v>10</v>
      </c>
      <c r="F1082" s="32">
        <v>1</v>
      </c>
      <c r="G1082" s="32" t="s">
        <v>38</v>
      </c>
      <c r="H1082" s="32" t="s">
        <v>3799</v>
      </c>
      <c r="I1082" s="32" t="s">
        <v>46</v>
      </c>
      <c r="J1082" s="32" t="s">
        <v>55</v>
      </c>
    </row>
    <row r="1083" spans="1:12" hidden="1" x14ac:dyDescent="0.3">
      <c r="A1083" s="39">
        <v>46157.677986111114</v>
      </c>
      <c r="B1083" s="32">
        <v>44999976008</v>
      </c>
      <c r="C1083" s="32" t="s">
        <v>43</v>
      </c>
      <c r="D1083" s="32">
        <v>4430265054</v>
      </c>
      <c r="E1083" s="32">
        <v>299</v>
      </c>
      <c r="F1083" s="32">
        <v>166</v>
      </c>
      <c r="G1083" s="32" t="s">
        <v>38</v>
      </c>
      <c r="H1083" s="32" t="s">
        <v>3800</v>
      </c>
      <c r="I1083" s="32" t="s">
        <v>39</v>
      </c>
      <c r="J1083" s="32" t="s">
        <v>40</v>
      </c>
      <c r="K1083" s="32" t="s">
        <v>41</v>
      </c>
    </row>
    <row r="1084" spans="1:12" hidden="1" x14ac:dyDescent="0.3">
      <c r="A1084" s="39">
        <v>46157.677291666667</v>
      </c>
      <c r="B1084" s="32" t="s">
        <v>54</v>
      </c>
      <c r="C1084" s="32">
        <v>71993168844</v>
      </c>
      <c r="E1084" s="32">
        <v>5</v>
      </c>
      <c r="F1084" s="32">
        <v>0</v>
      </c>
      <c r="G1084" s="32" t="s">
        <v>47</v>
      </c>
      <c r="H1084" s="32" t="s">
        <v>3801</v>
      </c>
      <c r="I1084" s="32" t="s">
        <v>46</v>
      </c>
      <c r="J1084" s="32" t="s">
        <v>55</v>
      </c>
    </row>
    <row r="1085" spans="1:12" hidden="1" x14ac:dyDescent="0.3">
      <c r="A1085" s="39">
        <v>46157.675370370373</v>
      </c>
      <c r="B1085" s="32">
        <v>44999449519</v>
      </c>
      <c r="C1085" s="32">
        <v>4430265054</v>
      </c>
      <c r="D1085" s="32">
        <v>4430265054</v>
      </c>
      <c r="E1085" s="32">
        <v>58</v>
      </c>
      <c r="F1085" s="32">
        <v>58</v>
      </c>
      <c r="G1085" s="32" t="s">
        <v>52</v>
      </c>
      <c r="H1085" s="32" t="s">
        <v>3802</v>
      </c>
      <c r="I1085" s="32" t="s">
        <v>39</v>
      </c>
      <c r="J1085" s="32" t="s">
        <v>53</v>
      </c>
      <c r="K1085" s="32" t="s">
        <v>41</v>
      </c>
    </row>
    <row r="1086" spans="1:12" hidden="1" x14ac:dyDescent="0.3">
      <c r="A1086" s="39">
        <v>46157.675000000003</v>
      </c>
      <c r="B1086" s="32" t="s">
        <v>54</v>
      </c>
      <c r="C1086" s="32">
        <v>51999263201</v>
      </c>
      <c r="E1086" s="32">
        <v>11</v>
      </c>
      <c r="F1086" s="32">
        <v>1</v>
      </c>
      <c r="G1086" s="32" t="s">
        <v>38</v>
      </c>
      <c r="H1086" s="32" t="s">
        <v>3803</v>
      </c>
      <c r="I1086" s="32" t="s">
        <v>46</v>
      </c>
      <c r="J1086" s="32" t="s">
        <v>55</v>
      </c>
    </row>
    <row r="1087" spans="1:12" hidden="1" x14ac:dyDescent="0.3">
      <c r="A1087" s="39">
        <v>46157.673888888887</v>
      </c>
      <c r="B1087" s="32" t="s">
        <v>54</v>
      </c>
      <c r="C1087" s="32">
        <v>14998782428</v>
      </c>
      <c r="E1087" s="32">
        <v>10</v>
      </c>
      <c r="F1087" s="32">
        <v>3</v>
      </c>
      <c r="G1087" s="32" t="s">
        <v>38</v>
      </c>
      <c r="H1087" s="32" t="s">
        <v>3804</v>
      </c>
      <c r="I1087" s="32" t="s">
        <v>46</v>
      </c>
      <c r="J1087" s="32" t="s">
        <v>55</v>
      </c>
    </row>
    <row r="1088" spans="1:12" hidden="1" x14ac:dyDescent="0.3">
      <c r="A1088" s="39">
        <v>46157.672638888886</v>
      </c>
      <c r="B1088" s="32">
        <v>4430562296</v>
      </c>
      <c r="C1088" s="32" t="s">
        <v>48</v>
      </c>
      <c r="D1088" s="32">
        <v>4430265054</v>
      </c>
      <c r="E1088" s="32">
        <v>186</v>
      </c>
      <c r="F1088" s="32">
        <v>114</v>
      </c>
      <c r="G1088" s="32" t="s">
        <v>38</v>
      </c>
      <c r="H1088" s="32" t="s">
        <v>3805</v>
      </c>
      <c r="I1088" s="32" t="s">
        <v>39</v>
      </c>
      <c r="J1088" s="32" t="s">
        <v>40</v>
      </c>
      <c r="K1088" s="32" t="s">
        <v>41</v>
      </c>
    </row>
    <row r="1089" spans="1:12" hidden="1" x14ac:dyDescent="0.3">
      <c r="A1089" s="39">
        <v>46157.669456018521</v>
      </c>
      <c r="B1089" s="32" t="s">
        <v>54</v>
      </c>
      <c r="C1089" s="32">
        <v>71982592427</v>
      </c>
      <c r="E1089" s="32">
        <v>24</v>
      </c>
      <c r="F1089" s="32">
        <v>3</v>
      </c>
      <c r="G1089" s="32" t="s">
        <v>38</v>
      </c>
      <c r="H1089" s="32" t="s">
        <v>3806</v>
      </c>
      <c r="I1089" s="32" t="s">
        <v>46</v>
      </c>
      <c r="J1089" s="32" t="s">
        <v>55</v>
      </c>
    </row>
    <row r="1090" spans="1:12" hidden="1" x14ac:dyDescent="0.3">
      <c r="A1090" s="39">
        <v>46157.667928240742</v>
      </c>
      <c r="B1090" s="32" t="s">
        <v>54</v>
      </c>
      <c r="C1090" s="32">
        <v>85981855059</v>
      </c>
      <c r="E1090" s="32">
        <v>3</v>
      </c>
      <c r="F1090" s="32">
        <v>0</v>
      </c>
      <c r="G1090" s="32" t="s">
        <v>47</v>
      </c>
      <c r="H1090" s="32" t="s">
        <v>3807</v>
      </c>
      <c r="I1090" s="32" t="s">
        <v>46</v>
      </c>
      <c r="J1090" s="32" t="s">
        <v>55</v>
      </c>
    </row>
    <row r="1091" spans="1:12" hidden="1" x14ac:dyDescent="0.3">
      <c r="A1091" s="39">
        <v>46157.666979166665</v>
      </c>
      <c r="B1091" s="32">
        <v>45999211357</v>
      </c>
      <c r="C1091" s="32" t="s">
        <v>44</v>
      </c>
      <c r="D1091" s="32">
        <v>4431268225</v>
      </c>
      <c r="E1091" s="32">
        <v>766</v>
      </c>
      <c r="F1091" s="32">
        <v>721</v>
      </c>
      <c r="G1091" s="32" t="s">
        <v>38</v>
      </c>
      <c r="H1091" s="32" t="s">
        <v>3808</v>
      </c>
      <c r="I1091" s="32" t="s">
        <v>39</v>
      </c>
      <c r="J1091" s="32" t="s">
        <v>40</v>
      </c>
      <c r="K1091" s="32" t="s">
        <v>41</v>
      </c>
    </row>
    <row r="1092" spans="1:12" hidden="1" x14ac:dyDescent="0.3">
      <c r="A1092" s="39">
        <v>46157.666620370372</v>
      </c>
      <c r="B1092" s="32" t="s">
        <v>54</v>
      </c>
      <c r="C1092" s="32">
        <v>31991642473</v>
      </c>
      <c r="E1092" s="32">
        <v>12</v>
      </c>
      <c r="F1092" s="32">
        <v>0</v>
      </c>
      <c r="G1092" s="32" t="s">
        <v>47</v>
      </c>
      <c r="H1092" s="32" t="s">
        <v>3809</v>
      </c>
      <c r="I1092" s="32" t="s">
        <v>46</v>
      </c>
      <c r="J1092" s="32" t="s">
        <v>55</v>
      </c>
    </row>
    <row r="1093" spans="1:12" hidden="1" x14ac:dyDescent="0.3">
      <c r="A1093" s="39">
        <v>46157.66542824074</v>
      </c>
      <c r="B1093" s="32" t="s">
        <v>54</v>
      </c>
      <c r="C1093" s="32">
        <v>43999210680</v>
      </c>
      <c r="E1093" s="32">
        <v>13</v>
      </c>
      <c r="F1093" s="32">
        <v>0</v>
      </c>
      <c r="G1093" s="32" t="s">
        <v>47</v>
      </c>
      <c r="H1093" s="32" t="s">
        <v>3810</v>
      </c>
      <c r="I1093" s="32" t="s">
        <v>46</v>
      </c>
      <c r="J1093" s="32" t="s">
        <v>55</v>
      </c>
    </row>
    <row r="1094" spans="1:12" hidden="1" x14ac:dyDescent="0.3">
      <c r="A1094" s="39">
        <v>46157.662789351853</v>
      </c>
      <c r="B1094" s="32">
        <v>1143744993</v>
      </c>
      <c r="C1094" s="32" t="s">
        <v>45</v>
      </c>
      <c r="D1094" s="32">
        <v>4431268225</v>
      </c>
      <c r="E1094" s="32">
        <v>1317</v>
      </c>
      <c r="F1094" s="32">
        <v>1283</v>
      </c>
      <c r="G1094" s="32" t="s">
        <v>38</v>
      </c>
      <c r="H1094" s="32" t="s">
        <v>3811</v>
      </c>
      <c r="I1094" s="32" t="s">
        <v>39</v>
      </c>
      <c r="J1094" s="32" t="s">
        <v>40</v>
      </c>
      <c r="K1094" s="32" t="s">
        <v>41</v>
      </c>
    </row>
    <row r="1095" spans="1:12" hidden="1" x14ac:dyDescent="0.3">
      <c r="A1095" s="39">
        <v>46157.662372685183</v>
      </c>
      <c r="B1095" s="32">
        <v>44984241715</v>
      </c>
      <c r="C1095" s="32" t="s">
        <v>43</v>
      </c>
      <c r="D1095" s="32">
        <v>4430265054</v>
      </c>
      <c r="E1095" s="32">
        <v>1118</v>
      </c>
      <c r="F1095" s="32">
        <v>1065</v>
      </c>
      <c r="G1095" s="32" t="s">
        <v>38</v>
      </c>
      <c r="H1095" s="32" t="s">
        <v>3812</v>
      </c>
      <c r="I1095" s="32" t="s">
        <v>39</v>
      </c>
      <c r="J1095" s="32" t="s">
        <v>40</v>
      </c>
      <c r="K1095" s="32" t="s">
        <v>41</v>
      </c>
      <c r="L1095" s="32">
        <v>5</v>
      </c>
    </row>
    <row r="1096" spans="1:12" hidden="1" x14ac:dyDescent="0.3">
      <c r="A1096" s="39">
        <v>46157.657731481479</v>
      </c>
      <c r="B1096" s="32" t="s">
        <v>50</v>
      </c>
      <c r="C1096" s="32" t="s">
        <v>57</v>
      </c>
      <c r="E1096" s="32">
        <v>179</v>
      </c>
      <c r="F1096" s="32">
        <v>177</v>
      </c>
      <c r="G1096" s="32" t="s">
        <v>38</v>
      </c>
      <c r="H1096" s="32" t="s">
        <v>3813</v>
      </c>
      <c r="I1096" s="32" t="s">
        <v>51</v>
      </c>
      <c r="J1096" s="32" t="s">
        <v>55</v>
      </c>
    </row>
    <row r="1097" spans="1:12" hidden="1" x14ac:dyDescent="0.3">
      <c r="A1097" s="39">
        <v>46157.657557870371</v>
      </c>
      <c r="B1097" s="32" t="s">
        <v>54</v>
      </c>
      <c r="C1097" s="32">
        <v>51997390933</v>
      </c>
      <c r="E1097" s="32">
        <v>35</v>
      </c>
      <c r="F1097" s="32">
        <v>0</v>
      </c>
      <c r="G1097" s="32" t="s">
        <v>47</v>
      </c>
      <c r="H1097" s="32" t="s">
        <v>3814</v>
      </c>
      <c r="I1097" s="32" t="s">
        <v>46</v>
      </c>
      <c r="J1097" s="32" t="s">
        <v>55</v>
      </c>
    </row>
    <row r="1098" spans="1:12" hidden="1" x14ac:dyDescent="0.3">
      <c r="A1098" s="39">
        <v>46157.656446759262</v>
      </c>
      <c r="B1098" s="32" t="s">
        <v>54</v>
      </c>
      <c r="C1098" s="32">
        <v>18991287068</v>
      </c>
      <c r="E1098" s="32">
        <v>12</v>
      </c>
      <c r="F1098" s="32">
        <v>0</v>
      </c>
      <c r="G1098" s="32" t="s">
        <v>47</v>
      </c>
      <c r="H1098" s="32" t="s">
        <v>3815</v>
      </c>
      <c r="I1098" s="32" t="s">
        <v>46</v>
      </c>
      <c r="J1098" s="32" t="s">
        <v>55</v>
      </c>
    </row>
    <row r="1099" spans="1:12" hidden="1" x14ac:dyDescent="0.3">
      <c r="A1099" s="39">
        <v>46157.650416666664</v>
      </c>
      <c r="B1099" s="32">
        <v>44988255390</v>
      </c>
      <c r="C1099" s="32" t="s">
        <v>45</v>
      </c>
      <c r="D1099" s="32">
        <v>4430265054</v>
      </c>
      <c r="E1099" s="32">
        <v>1019</v>
      </c>
      <c r="F1099" s="32">
        <v>982</v>
      </c>
      <c r="G1099" s="32" t="s">
        <v>38</v>
      </c>
      <c r="H1099" s="32" t="s">
        <v>3816</v>
      </c>
      <c r="I1099" s="32" t="s">
        <v>39</v>
      </c>
      <c r="J1099" s="32" t="s">
        <v>40</v>
      </c>
      <c r="K1099" s="32" t="s">
        <v>41</v>
      </c>
      <c r="L1099" s="32">
        <v>5</v>
      </c>
    </row>
    <row r="1100" spans="1:12" hidden="1" x14ac:dyDescent="0.3">
      <c r="A1100" s="39">
        <v>46157.646550925929</v>
      </c>
      <c r="B1100" s="32" t="s">
        <v>54</v>
      </c>
      <c r="C1100" s="32">
        <v>22998582745</v>
      </c>
      <c r="E1100" s="32">
        <v>13</v>
      </c>
      <c r="F1100" s="32">
        <v>10</v>
      </c>
      <c r="G1100" s="32" t="s">
        <v>38</v>
      </c>
      <c r="H1100" s="32" t="s">
        <v>3817</v>
      </c>
      <c r="I1100" s="32" t="s">
        <v>46</v>
      </c>
      <c r="J1100" s="32" t="s">
        <v>55</v>
      </c>
    </row>
    <row r="1101" spans="1:12" hidden="1" x14ac:dyDescent="0.3">
      <c r="A1101" s="39">
        <v>46157.646331018521</v>
      </c>
      <c r="B1101" s="32" t="s">
        <v>50</v>
      </c>
      <c r="C1101" s="32" t="s">
        <v>57</v>
      </c>
      <c r="E1101" s="32">
        <v>809</v>
      </c>
      <c r="F1101" s="32">
        <v>805</v>
      </c>
      <c r="G1101" s="32" t="s">
        <v>38</v>
      </c>
      <c r="H1101" s="32" t="s">
        <v>3818</v>
      </c>
      <c r="I1101" s="32" t="s">
        <v>51</v>
      </c>
      <c r="J1101" s="32" t="s">
        <v>55</v>
      </c>
    </row>
    <row r="1102" spans="1:12" hidden="1" x14ac:dyDescent="0.3">
      <c r="A1102" s="39">
        <v>46157.645196759258</v>
      </c>
      <c r="B1102" s="32">
        <v>44997047212</v>
      </c>
      <c r="C1102" s="32" t="s">
        <v>43</v>
      </c>
      <c r="D1102" s="32">
        <v>4430265054</v>
      </c>
      <c r="E1102" s="32">
        <v>1148</v>
      </c>
      <c r="F1102" s="32">
        <v>1060</v>
      </c>
      <c r="G1102" s="32" t="s">
        <v>38</v>
      </c>
      <c r="H1102" s="32" t="s">
        <v>3819</v>
      </c>
      <c r="I1102" s="32" t="s">
        <v>39</v>
      </c>
      <c r="J1102" s="32" t="s">
        <v>40</v>
      </c>
      <c r="K1102" s="32" t="s">
        <v>41</v>
      </c>
      <c r="L1102" s="32">
        <v>5</v>
      </c>
    </row>
    <row r="1103" spans="1:12" hidden="1" x14ac:dyDescent="0.3">
      <c r="A1103" s="39">
        <v>46157.63689814815</v>
      </c>
      <c r="B1103" s="32" t="s">
        <v>54</v>
      </c>
      <c r="C1103" s="32">
        <v>19983318864</v>
      </c>
      <c r="E1103" s="32">
        <v>18</v>
      </c>
      <c r="F1103" s="32">
        <v>0</v>
      </c>
      <c r="G1103" s="32" t="s">
        <v>47</v>
      </c>
      <c r="H1103" s="32" t="s">
        <v>3820</v>
      </c>
      <c r="I1103" s="32" t="s">
        <v>46</v>
      </c>
      <c r="J1103" s="32" t="s">
        <v>55</v>
      </c>
    </row>
    <row r="1104" spans="1:12" hidden="1" x14ac:dyDescent="0.3">
      <c r="A1104" s="39">
        <v>46157.635347222225</v>
      </c>
      <c r="B1104" s="32">
        <v>4432321232</v>
      </c>
      <c r="C1104" s="32" t="s">
        <v>48</v>
      </c>
      <c r="D1104" s="32">
        <v>4430265054</v>
      </c>
      <c r="E1104" s="32">
        <v>490</v>
      </c>
      <c r="F1104" s="32">
        <v>467</v>
      </c>
      <c r="G1104" s="32" t="s">
        <v>38</v>
      </c>
      <c r="H1104" s="32" t="s">
        <v>3821</v>
      </c>
      <c r="I1104" s="32" t="s">
        <v>39</v>
      </c>
      <c r="J1104" s="32" t="s">
        <v>40</v>
      </c>
      <c r="K1104" s="32" t="s">
        <v>41</v>
      </c>
    </row>
    <row r="1105" spans="1:12" hidden="1" x14ac:dyDescent="0.3">
      <c r="A1105" s="39">
        <v>46157.631863425922</v>
      </c>
      <c r="B1105" s="32">
        <v>4436313773</v>
      </c>
      <c r="C1105" s="32" t="s">
        <v>44</v>
      </c>
      <c r="D1105" s="32">
        <v>4430265054</v>
      </c>
      <c r="E1105" s="32">
        <v>951</v>
      </c>
      <c r="F1105" s="32">
        <v>885</v>
      </c>
      <c r="G1105" s="32" t="s">
        <v>38</v>
      </c>
      <c r="H1105" s="32" t="s">
        <v>3822</v>
      </c>
      <c r="I1105" s="32" t="s">
        <v>39</v>
      </c>
      <c r="J1105" s="32" t="s">
        <v>40</v>
      </c>
      <c r="K1105" s="32" t="s">
        <v>41</v>
      </c>
      <c r="L1105" s="32">
        <v>5</v>
      </c>
    </row>
    <row r="1106" spans="1:12" hidden="1" x14ac:dyDescent="0.3">
      <c r="A1106" s="39">
        <v>46157.631504629629</v>
      </c>
      <c r="B1106" s="32">
        <v>4435228300</v>
      </c>
      <c r="C1106" s="32" t="s">
        <v>48</v>
      </c>
      <c r="D1106" s="32">
        <v>4430265054</v>
      </c>
      <c r="E1106" s="32">
        <v>322</v>
      </c>
      <c r="F1106" s="32">
        <v>268</v>
      </c>
      <c r="G1106" s="32" t="s">
        <v>38</v>
      </c>
      <c r="H1106" s="32" t="s">
        <v>3823</v>
      </c>
      <c r="I1106" s="32" t="s">
        <v>39</v>
      </c>
      <c r="J1106" s="32" t="s">
        <v>40</v>
      </c>
      <c r="K1106" s="32" t="s">
        <v>41</v>
      </c>
    </row>
    <row r="1107" spans="1:12" hidden="1" x14ac:dyDescent="0.3">
      <c r="A1107" s="39">
        <v>46157.629918981482</v>
      </c>
      <c r="B1107" s="32">
        <v>4130775695</v>
      </c>
      <c r="C1107" s="32" t="s">
        <v>45</v>
      </c>
      <c r="D1107" s="32">
        <v>4430265054</v>
      </c>
      <c r="E1107" s="32">
        <v>1587</v>
      </c>
      <c r="F1107" s="32">
        <v>1563</v>
      </c>
      <c r="G1107" s="32" t="s">
        <v>38</v>
      </c>
      <c r="H1107" s="32" t="s">
        <v>3824</v>
      </c>
      <c r="I1107" s="32" t="s">
        <v>39</v>
      </c>
      <c r="J1107" s="32" t="s">
        <v>40</v>
      </c>
      <c r="K1107" s="32" t="s">
        <v>41</v>
      </c>
      <c r="L1107" s="32">
        <v>5</v>
      </c>
    </row>
    <row r="1108" spans="1:12" hidden="1" x14ac:dyDescent="0.3">
      <c r="A1108" s="39">
        <v>46157.628946759258</v>
      </c>
      <c r="B1108" s="32" t="s">
        <v>54</v>
      </c>
      <c r="C1108" s="32">
        <v>75992078509</v>
      </c>
      <c r="E1108" s="32">
        <v>5</v>
      </c>
      <c r="F1108" s="32">
        <v>3</v>
      </c>
      <c r="G1108" s="32" t="s">
        <v>38</v>
      </c>
      <c r="H1108" s="32" t="s">
        <v>3825</v>
      </c>
      <c r="I1108" s="32" t="s">
        <v>46</v>
      </c>
      <c r="J1108" s="32" t="s">
        <v>55</v>
      </c>
    </row>
    <row r="1109" spans="1:12" hidden="1" x14ac:dyDescent="0.3">
      <c r="A1109" s="39">
        <v>46157.628078703703</v>
      </c>
      <c r="B1109" s="32">
        <v>4432524636</v>
      </c>
      <c r="C1109" s="32" t="s">
        <v>43</v>
      </c>
      <c r="D1109" s="32">
        <v>4430265054</v>
      </c>
      <c r="E1109" s="32">
        <v>730</v>
      </c>
      <c r="F1109" s="32">
        <v>652</v>
      </c>
      <c r="G1109" s="32" t="s">
        <v>38</v>
      </c>
      <c r="H1109" s="32" t="s">
        <v>3826</v>
      </c>
      <c r="I1109" s="32" t="s">
        <v>39</v>
      </c>
      <c r="J1109" s="32" t="s">
        <v>40</v>
      </c>
      <c r="K1109" s="32" t="s">
        <v>41</v>
      </c>
      <c r="L1109" s="32">
        <v>5</v>
      </c>
    </row>
    <row r="1110" spans="1:12" hidden="1" x14ac:dyDescent="0.3">
      <c r="A1110" s="39">
        <v>46157.627847222226</v>
      </c>
      <c r="B1110" s="32">
        <v>44991396687</v>
      </c>
      <c r="C1110" s="32" t="s">
        <v>44</v>
      </c>
      <c r="D1110" s="32">
        <v>4430265054</v>
      </c>
      <c r="E1110" s="32">
        <v>408</v>
      </c>
      <c r="F1110" s="32">
        <v>319</v>
      </c>
      <c r="G1110" s="32" t="s">
        <v>38</v>
      </c>
      <c r="H1110" s="32" t="s">
        <v>3827</v>
      </c>
      <c r="I1110" s="32" t="s">
        <v>39</v>
      </c>
      <c r="J1110" s="32" t="s">
        <v>40</v>
      </c>
      <c r="K1110" s="32" t="s">
        <v>41</v>
      </c>
    </row>
    <row r="1111" spans="1:12" hidden="1" x14ac:dyDescent="0.3">
      <c r="A1111" s="39">
        <v>46157.626574074071</v>
      </c>
      <c r="B1111" s="32" t="s">
        <v>57</v>
      </c>
      <c r="C1111" s="32">
        <v>41996175686</v>
      </c>
      <c r="E1111" s="32">
        <v>26</v>
      </c>
      <c r="F1111" s="32">
        <v>1</v>
      </c>
      <c r="G1111" s="32" t="s">
        <v>38</v>
      </c>
      <c r="H1111" s="32" t="s">
        <v>3828</v>
      </c>
      <c r="I1111" s="32" t="s">
        <v>46</v>
      </c>
      <c r="J1111" s="32" t="s">
        <v>55</v>
      </c>
    </row>
    <row r="1112" spans="1:12" hidden="1" x14ac:dyDescent="0.3">
      <c r="A1112" s="39">
        <v>46157.626203703701</v>
      </c>
      <c r="B1112" s="32" t="s">
        <v>54</v>
      </c>
      <c r="C1112" s="32">
        <v>8130342935</v>
      </c>
      <c r="E1112" s="32">
        <v>60</v>
      </c>
      <c r="F1112" s="32">
        <v>52</v>
      </c>
      <c r="G1112" s="32" t="s">
        <v>38</v>
      </c>
      <c r="H1112" s="32" t="s">
        <v>3829</v>
      </c>
      <c r="I1112" s="32" t="s">
        <v>46</v>
      </c>
      <c r="J1112" s="32" t="s">
        <v>55</v>
      </c>
    </row>
    <row r="1113" spans="1:12" hidden="1" x14ac:dyDescent="0.3">
      <c r="A1113" s="39">
        <v>46157.625358796293</v>
      </c>
      <c r="B1113" s="32" t="s">
        <v>54</v>
      </c>
      <c r="C1113" s="32">
        <v>86981240922</v>
      </c>
      <c r="E1113" s="32">
        <v>21</v>
      </c>
      <c r="F1113" s="32">
        <v>0</v>
      </c>
      <c r="G1113" s="32" t="s">
        <v>47</v>
      </c>
      <c r="H1113" s="32" t="s">
        <v>3830</v>
      </c>
      <c r="I1113" s="32" t="s">
        <v>46</v>
      </c>
      <c r="J1113" s="32" t="s">
        <v>55</v>
      </c>
    </row>
    <row r="1114" spans="1:12" hidden="1" x14ac:dyDescent="0.3">
      <c r="A1114" s="39">
        <v>46157.624212962961</v>
      </c>
      <c r="B1114" s="32">
        <v>44998464499</v>
      </c>
      <c r="C1114" s="32" t="s">
        <v>43</v>
      </c>
      <c r="D1114" s="32">
        <v>4430265054</v>
      </c>
      <c r="E1114" s="32">
        <v>223</v>
      </c>
      <c r="F1114" s="32">
        <v>167</v>
      </c>
      <c r="G1114" s="32" t="s">
        <v>38</v>
      </c>
      <c r="H1114" s="32" t="s">
        <v>3831</v>
      </c>
      <c r="I1114" s="32" t="s">
        <v>39</v>
      </c>
      <c r="J1114" s="32" t="s">
        <v>40</v>
      </c>
      <c r="K1114" s="32" t="s">
        <v>41</v>
      </c>
    </row>
    <row r="1115" spans="1:12" hidden="1" x14ac:dyDescent="0.3">
      <c r="A1115" s="39">
        <v>46157.623796296299</v>
      </c>
      <c r="B1115" s="32" t="s">
        <v>54</v>
      </c>
      <c r="C1115" s="32">
        <v>84996499571</v>
      </c>
      <c r="E1115" s="32">
        <v>24</v>
      </c>
      <c r="F1115" s="32">
        <v>5</v>
      </c>
      <c r="G1115" s="32" t="s">
        <v>38</v>
      </c>
      <c r="H1115" s="32" t="s">
        <v>3832</v>
      </c>
      <c r="I1115" s="32" t="s">
        <v>46</v>
      </c>
      <c r="J1115" s="32" t="s">
        <v>55</v>
      </c>
    </row>
    <row r="1116" spans="1:12" hidden="1" x14ac:dyDescent="0.3">
      <c r="A1116" s="39">
        <v>46157.623067129629</v>
      </c>
      <c r="B1116" s="32" t="s">
        <v>48</v>
      </c>
      <c r="C1116" s="32">
        <v>44998636008</v>
      </c>
      <c r="E1116" s="32">
        <v>48</v>
      </c>
      <c r="F1116" s="32">
        <v>28</v>
      </c>
      <c r="G1116" s="32" t="s">
        <v>38</v>
      </c>
      <c r="H1116" s="32" t="s">
        <v>3833</v>
      </c>
      <c r="I1116" s="32" t="s">
        <v>46</v>
      </c>
      <c r="J1116" s="32" t="s">
        <v>40</v>
      </c>
    </row>
    <row r="1117" spans="1:12" hidden="1" x14ac:dyDescent="0.3">
      <c r="A1117" s="39">
        <v>46157.62296296296</v>
      </c>
      <c r="B1117" s="32" t="s">
        <v>54</v>
      </c>
      <c r="C1117" s="32">
        <v>93991478466</v>
      </c>
      <c r="E1117" s="32">
        <v>4</v>
      </c>
      <c r="F1117" s="32">
        <v>1</v>
      </c>
      <c r="G1117" s="32" t="s">
        <v>38</v>
      </c>
      <c r="H1117" s="32" t="s">
        <v>3834</v>
      </c>
      <c r="I1117" s="32" t="s">
        <v>46</v>
      </c>
      <c r="J1117" s="32" t="s">
        <v>55</v>
      </c>
    </row>
    <row r="1118" spans="1:12" hidden="1" x14ac:dyDescent="0.3">
      <c r="A1118" s="39">
        <v>46157.622824074075</v>
      </c>
      <c r="B1118" s="32" t="s">
        <v>48</v>
      </c>
      <c r="C1118" s="32">
        <v>44998636008</v>
      </c>
      <c r="E1118" s="32">
        <v>43</v>
      </c>
      <c r="F1118" s="32">
        <v>28</v>
      </c>
      <c r="G1118" s="32" t="s">
        <v>38</v>
      </c>
      <c r="H1118" s="32" t="s">
        <v>3835</v>
      </c>
      <c r="I1118" s="32" t="s">
        <v>46</v>
      </c>
      <c r="J1118" s="32" t="s">
        <v>40</v>
      </c>
    </row>
    <row r="1119" spans="1:12" hidden="1" x14ac:dyDescent="0.3">
      <c r="A1119" s="39">
        <v>46157.621342592596</v>
      </c>
      <c r="B1119" s="32" t="s">
        <v>54</v>
      </c>
      <c r="C1119" s="32">
        <v>1532320000</v>
      </c>
      <c r="E1119" s="32">
        <v>41</v>
      </c>
      <c r="F1119" s="32">
        <v>0</v>
      </c>
      <c r="G1119" s="32" t="s">
        <v>47</v>
      </c>
      <c r="H1119" s="32" t="s">
        <v>3836</v>
      </c>
      <c r="I1119" s="32" t="s">
        <v>46</v>
      </c>
      <c r="J1119" s="32" t="s">
        <v>55</v>
      </c>
    </row>
    <row r="1120" spans="1:12" hidden="1" x14ac:dyDescent="0.3">
      <c r="A1120" s="39">
        <v>46157.620370370372</v>
      </c>
      <c r="B1120" s="32">
        <v>44988327245</v>
      </c>
      <c r="C1120" s="32">
        <v>4430265054</v>
      </c>
      <c r="D1120" s="32">
        <v>4430265054</v>
      </c>
      <c r="E1120" s="32">
        <v>8</v>
      </c>
      <c r="F1120" s="32">
        <v>8</v>
      </c>
      <c r="G1120" s="32" t="s">
        <v>52</v>
      </c>
      <c r="H1120" s="32" t="s">
        <v>3837</v>
      </c>
      <c r="I1120" s="32" t="s">
        <v>39</v>
      </c>
      <c r="J1120" s="32" t="s">
        <v>53</v>
      </c>
    </row>
    <row r="1121" spans="1:12" hidden="1" x14ac:dyDescent="0.3">
      <c r="A1121" s="39">
        <v>46157.620289351849</v>
      </c>
      <c r="B1121" s="32" t="s">
        <v>54</v>
      </c>
      <c r="C1121" s="32">
        <v>62982822382</v>
      </c>
      <c r="E1121" s="32">
        <v>27</v>
      </c>
      <c r="F1121" s="32">
        <v>2</v>
      </c>
      <c r="G1121" s="32" t="s">
        <v>38</v>
      </c>
      <c r="H1121" s="32" t="s">
        <v>3838</v>
      </c>
      <c r="I1121" s="32" t="s">
        <v>46</v>
      </c>
      <c r="J1121" s="32" t="s">
        <v>55</v>
      </c>
    </row>
    <row r="1122" spans="1:12" hidden="1" x14ac:dyDescent="0.3">
      <c r="A1122" s="39">
        <v>46157.61886574074</v>
      </c>
      <c r="B1122" s="32" t="s">
        <v>54</v>
      </c>
      <c r="C1122" s="32">
        <v>51993578080</v>
      </c>
      <c r="E1122" s="32">
        <v>16</v>
      </c>
      <c r="F1122" s="32">
        <v>0</v>
      </c>
      <c r="G1122" s="32" t="s">
        <v>47</v>
      </c>
      <c r="H1122" s="32" t="s">
        <v>3839</v>
      </c>
      <c r="I1122" s="32" t="s">
        <v>46</v>
      </c>
      <c r="J1122" s="32" t="s">
        <v>55</v>
      </c>
    </row>
    <row r="1123" spans="1:12" hidden="1" x14ac:dyDescent="0.3">
      <c r="A1123" s="39">
        <v>46157.617777777778</v>
      </c>
      <c r="B1123" s="32" t="s">
        <v>54</v>
      </c>
      <c r="C1123" s="32">
        <v>51989396141</v>
      </c>
      <c r="E1123" s="32">
        <v>10</v>
      </c>
      <c r="F1123" s="32">
        <v>5</v>
      </c>
      <c r="G1123" s="32" t="s">
        <v>38</v>
      </c>
      <c r="H1123" s="32" t="s">
        <v>3840</v>
      </c>
      <c r="I1123" s="32" t="s">
        <v>46</v>
      </c>
      <c r="J1123" s="32" t="s">
        <v>55</v>
      </c>
    </row>
    <row r="1124" spans="1:12" hidden="1" x14ac:dyDescent="0.3">
      <c r="A1124" s="39">
        <v>46157.617094907408</v>
      </c>
      <c r="B1124" s="32" t="s">
        <v>54</v>
      </c>
      <c r="C1124" s="32">
        <v>98998893182</v>
      </c>
      <c r="E1124" s="32">
        <v>4</v>
      </c>
      <c r="F1124" s="32">
        <v>0</v>
      </c>
      <c r="G1124" s="32" t="s">
        <v>47</v>
      </c>
      <c r="H1124" s="32" t="s">
        <v>3841</v>
      </c>
      <c r="I1124" s="32" t="s">
        <v>46</v>
      </c>
      <c r="J1124" s="32" t="s">
        <v>55</v>
      </c>
    </row>
    <row r="1125" spans="1:12" hidden="1" x14ac:dyDescent="0.3">
      <c r="A1125" s="39">
        <v>46157.61614583333</v>
      </c>
      <c r="B1125" s="32" t="s">
        <v>54</v>
      </c>
      <c r="C1125" s="32">
        <v>4333746160</v>
      </c>
      <c r="E1125" s="32">
        <v>15</v>
      </c>
      <c r="F1125" s="32">
        <v>1</v>
      </c>
      <c r="G1125" s="32" t="s">
        <v>38</v>
      </c>
      <c r="H1125" s="32" t="s">
        <v>3842</v>
      </c>
      <c r="I1125" s="32" t="s">
        <v>46</v>
      </c>
      <c r="J1125" s="32" t="s">
        <v>55</v>
      </c>
    </row>
    <row r="1126" spans="1:12" hidden="1" x14ac:dyDescent="0.3">
      <c r="A1126" s="39">
        <v>46157.61613425926</v>
      </c>
      <c r="B1126" s="32">
        <v>2222100098</v>
      </c>
      <c r="C1126" s="32" t="s">
        <v>45</v>
      </c>
      <c r="D1126" s="32">
        <v>4430265054</v>
      </c>
      <c r="E1126" s="32">
        <v>163</v>
      </c>
      <c r="F1126" s="32">
        <v>107</v>
      </c>
      <c r="G1126" s="32" t="s">
        <v>38</v>
      </c>
      <c r="H1126" s="32" t="s">
        <v>3843</v>
      </c>
      <c r="I1126" s="32" t="s">
        <v>39</v>
      </c>
      <c r="J1126" s="32" t="s">
        <v>40</v>
      </c>
      <c r="K1126" s="32" t="s">
        <v>41</v>
      </c>
    </row>
    <row r="1127" spans="1:12" hidden="1" x14ac:dyDescent="0.3">
      <c r="A1127" s="39">
        <v>46157.613981481481</v>
      </c>
      <c r="B1127" s="32" t="s">
        <v>54</v>
      </c>
      <c r="C1127" s="32">
        <v>81991162947</v>
      </c>
      <c r="E1127" s="32">
        <v>16</v>
      </c>
      <c r="F1127" s="32">
        <v>0</v>
      </c>
      <c r="G1127" s="32" t="s">
        <v>47</v>
      </c>
      <c r="H1127" s="32" t="s">
        <v>3844</v>
      </c>
      <c r="I1127" s="32" t="s">
        <v>46</v>
      </c>
      <c r="J1127" s="32" t="s">
        <v>55</v>
      </c>
    </row>
    <row r="1128" spans="1:12" hidden="1" x14ac:dyDescent="0.3">
      <c r="A1128" s="39">
        <v>46157.613842592589</v>
      </c>
      <c r="B1128" s="32" t="s">
        <v>45</v>
      </c>
      <c r="C1128" s="32">
        <v>11940738820</v>
      </c>
      <c r="E1128" s="32">
        <v>63</v>
      </c>
      <c r="F1128" s="32">
        <v>29</v>
      </c>
      <c r="G1128" s="32" t="s">
        <v>38</v>
      </c>
      <c r="H1128" s="32" t="s">
        <v>3845</v>
      </c>
      <c r="I1128" s="32" t="s">
        <v>46</v>
      </c>
      <c r="J1128" s="32" t="s">
        <v>40</v>
      </c>
    </row>
    <row r="1129" spans="1:12" hidden="1" x14ac:dyDescent="0.3">
      <c r="A1129" s="39">
        <v>46157.612708333334</v>
      </c>
      <c r="B1129" s="32" t="s">
        <v>54</v>
      </c>
      <c r="C1129" s="32">
        <v>81993657531</v>
      </c>
      <c r="E1129" s="32">
        <v>39</v>
      </c>
      <c r="F1129" s="32">
        <v>0</v>
      </c>
      <c r="G1129" s="32" t="s">
        <v>38</v>
      </c>
      <c r="H1129" s="32" t="s">
        <v>3846</v>
      </c>
      <c r="I1129" s="32" t="s">
        <v>46</v>
      </c>
      <c r="J1129" s="32" t="s">
        <v>55</v>
      </c>
    </row>
    <row r="1130" spans="1:12" hidden="1" x14ac:dyDescent="0.3">
      <c r="A1130" s="39">
        <v>46157.611956018518</v>
      </c>
      <c r="B1130" s="32" t="s">
        <v>54</v>
      </c>
      <c r="C1130" s="32">
        <v>62982180349</v>
      </c>
      <c r="E1130" s="32">
        <v>8</v>
      </c>
      <c r="F1130" s="32">
        <v>2</v>
      </c>
      <c r="G1130" s="32" t="s">
        <v>38</v>
      </c>
      <c r="H1130" s="32" t="s">
        <v>3847</v>
      </c>
      <c r="I1130" s="32" t="s">
        <v>46</v>
      </c>
      <c r="J1130" s="32" t="s">
        <v>55</v>
      </c>
    </row>
    <row r="1131" spans="1:12" hidden="1" x14ac:dyDescent="0.3">
      <c r="A1131" s="39">
        <v>46157.610868055555</v>
      </c>
      <c r="B1131" s="32" t="s">
        <v>54</v>
      </c>
      <c r="C1131" s="32">
        <v>11997660436</v>
      </c>
      <c r="E1131" s="32">
        <v>1</v>
      </c>
      <c r="F1131" s="32">
        <v>0</v>
      </c>
      <c r="G1131" s="32" t="s">
        <v>47</v>
      </c>
      <c r="H1131" s="32" t="s">
        <v>3848</v>
      </c>
      <c r="I1131" s="32" t="s">
        <v>46</v>
      </c>
      <c r="J1131" s="32" t="s">
        <v>55</v>
      </c>
    </row>
    <row r="1132" spans="1:12" hidden="1" x14ac:dyDescent="0.3">
      <c r="A1132" s="39">
        <v>46157.609537037039</v>
      </c>
      <c r="B1132" s="32">
        <v>4432321232</v>
      </c>
      <c r="C1132" s="32" t="s">
        <v>43</v>
      </c>
      <c r="D1132" s="32">
        <v>4430265054</v>
      </c>
      <c r="E1132" s="32">
        <v>769</v>
      </c>
      <c r="F1132" s="32">
        <v>748</v>
      </c>
      <c r="G1132" s="32" t="s">
        <v>38</v>
      </c>
      <c r="H1132" s="32" t="s">
        <v>3849</v>
      </c>
      <c r="I1132" s="32" t="s">
        <v>39</v>
      </c>
      <c r="J1132" s="32" t="s">
        <v>40</v>
      </c>
      <c r="K1132" s="32" t="s">
        <v>41</v>
      </c>
    </row>
    <row r="1133" spans="1:12" hidden="1" x14ac:dyDescent="0.3">
      <c r="A1133" s="39">
        <v>46157.6091087963</v>
      </c>
      <c r="B1133" s="32">
        <v>4432321371</v>
      </c>
      <c r="C1133" s="32">
        <v>4430265054</v>
      </c>
      <c r="D1133" s="32">
        <v>4430265054</v>
      </c>
      <c r="E1133" s="32">
        <v>15</v>
      </c>
      <c r="F1133" s="32">
        <v>14</v>
      </c>
      <c r="G1133" s="32" t="s">
        <v>52</v>
      </c>
      <c r="H1133" s="32" t="s">
        <v>3850</v>
      </c>
      <c r="I1133" s="32" t="s">
        <v>39</v>
      </c>
      <c r="J1133" s="32" t="s">
        <v>53</v>
      </c>
    </row>
    <row r="1134" spans="1:12" hidden="1" x14ac:dyDescent="0.3">
      <c r="A1134" s="39">
        <v>46157.607974537037</v>
      </c>
      <c r="B1134" s="32">
        <v>14997225372</v>
      </c>
      <c r="C1134" s="32" t="s">
        <v>45</v>
      </c>
      <c r="D1134" s="32">
        <v>4430265054</v>
      </c>
      <c r="E1134" s="32">
        <v>199</v>
      </c>
      <c r="F1134" s="32">
        <v>140</v>
      </c>
      <c r="G1134" s="32" t="s">
        <v>38</v>
      </c>
      <c r="H1134" s="32" t="s">
        <v>3851</v>
      </c>
      <c r="I1134" s="32" t="s">
        <v>39</v>
      </c>
      <c r="J1134" s="32" t="s">
        <v>40</v>
      </c>
      <c r="K1134" s="32" t="s">
        <v>41</v>
      </c>
      <c r="L1134" s="32">
        <v>5</v>
      </c>
    </row>
    <row r="1135" spans="1:12" hidden="1" x14ac:dyDescent="0.3">
      <c r="A1135" s="39">
        <v>46157.607662037037</v>
      </c>
      <c r="B1135" s="32" t="s">
        <v>45</v>
      </c>
      <c r="C1135" s="32">
        <v>11940738820</v>
      </c>
      <c r="E1135" s="32">
        <v>59</v>
      </c>
      <c r="F1135" s="32">
        <v>22</v>
      </c>
      <c r="G1135" s="32" t="s">
        <v>38</v>
      </c>
      <c r="H1135" s="32" t="s">
        <v>3852</v>
      </c>
      <c r="I1135" s="32" t="s">
        <v>46</v>
      </c>
      <c r="J1135" s="32" t="s">
        <v>40</v>
      </c>
    </row>
    <row r="1136" spans="1:12" hidden="1" x14ac:dyDescent="0.3">
      <c r="A1136" s="39">
        <v>46157.607349537036</v>
      </c>
      <c r="B1136" s="32" t="s">
        <v>45</v>
      </c>
      <c r="C1136" s="32">
        <v>11968505675</v>
      </c>
      <c r="E1136" s="32">
        <v>25</v>
      </c>
      <c r="F1136" s="32">
        <v>0</v>
      </c>
      <c r="G1136" s="32" t="s">
        <v>47</v>
      </c>
      <c r="H1136" s="32" t="s">
        <v>3853</v>
      </c>
      <c r="I1136" s="32" t="s">
        <v>46</v>
      </c>
      <c r="J1136" s="32" t="s">
        <v>40</v>
      </c>
    </row>
    <row r="1137" spans="1:12" hidden="1" x14ac:dyDescent="0.3">
      <c r="A1137" s="39">
        <v>46157.607048611113</v>
      </c>
      <c r="B1137" s="32" t="s">
        <v>54</v>
      </c>
      <c r="C1137" s="32">
        <v>33999918107</v>
      </c>
      <c r="E1137" s="32">
        <v>35</v>
      </c>
      <c r="F1137" s="32">
        <v>0</v>
      </c>
      <c r="G1137" s="32" t="s">
        <v>47</v>
      </c>
      <c r="H1137" s="32" t="s">
        <v>3854</v>
      </c>
      <c r="I1137" s="32" t="s">
        <v>46</v>
      </c>
      <c r="J1137" s="32" t="s">
        <v>55</v>
      </c>
    </row>
    <row r="1138" spans="1:12" hidden="1" x14ac:dyDescent="0.3">
      <c r="A1138" s="39">
        <v>46157.605891203704</v>
      </c>
      <c r="B1138" s="32" t="s">
        <v>43</v>
      </c>
      <c r="C1138" s="32">
        <v>4432321232</v>
      </c>
      <c r="E1138" s="32">
        <v>110</v>
      </c>
      <c r="F1138" s="32">
        <v>101</v>
      </c>
      <c r="G1138" s="32" t="s">
        <v>38</v>
      </c>
      <c r="H1138" s="32" t="s">
        <v>3855</v>
      </c>
      <c r="I1138" s="32" t="s">
        <v>46</v>
      </c>
      <c r="J1138" s="32" t="s">
        <v>40</v>
      </c>
    </row>
    <row r="1139" spans="1:12" hidden="1" x14ac:dyDescent="0.3">
      <c r="A1139" s="39">
        <v>46157.605810185189</v>
      </c>
      <c r="B1139" s="32" t="s">
        <v>43</v>
      </c>
      <c r="C1139" s="32">
        <v>4432321232</v>
      </c>
      <c r="E1139" s="32">
        <v>25</v>
      </c>
      <c r="F1139" s="32">
        <v>25</v>
      </c>
      <c r="G1139" s="32" t="s">
        <v>38</v>
      </c>
      <c r="H1139" s="32" t="s">
        <v>3856</v>
      </c>
      <c r="I1139" s="32" t="s">
        <v>46</v>
      </c>
      <c r="J1139" s="32" t="s">
        <v>40</v>
      </c>
    </row>
    <row r="1140" spans="1:12" hidden="1" x14ac:dyDescent="0.3">
      <c r="A1140" s="39">
        <v>46157.604421296295</v>
      </c>
      <c r="B1140" s="32">
        <v>4533011420</v>
      </c>
      <c r="C1140" s="32">
        <v>4531273169</v>
      </c>
      <c r="D1140" s="32">
        <v>4531273169</v>
      </c>
      <c r="E1140" s="32">
        <v>47</v>
      </c>
      <c r="F1140" s="32">
        <v>46</v>
      </c>
      <c r="G1140" s="32" t="s">
        <v>52</v>
      </c>
      <c r="H1140" s="32" t="s">
        <v>3857</v>
      </c>
      <c r="I1140" s="32" t="s">
        <v>39</v>
      </c>
      <c r="J1140" s="32" t="s">
        <v>53</v>
      </c>
      <c r="K1140" s="32" t="s">
        <v>41</v>
      </c>
    </row>
    <row r="1141" spans="1:12" hidden="1" x14ac:dyDescent="0.3">
      <c r="A1141" s="39">
        <v>46157.60434027778</v>
      </c>
      <c r="B1141" s="32">
        <v>2121123730</v>
      </c>
      <c r="C1141" s="32">
        <v>4531273159</v>
      </c>
      <c r="D1141" s="32">
        <v>4531273159</v>
      </c>
      <c r="E1141" s="32">
        <v>54</v>
      </c>
      <c r="F1141" s="32">
        <v>53</v>
      </c>
      <c r="G1141" s="32" t="s">
        <v>52</v>
      </c>
      <c r="H1141" s="32" t="s">
        <v>3858</v>
      </c>
      <c r="I1141" s="32" t="s">
        <v>39</v>
      </c>
      <c r="J1141" s="32" t="s">
        <v>53</v>
      </c>
      <c r="K1141" s="32" t="s">
        <v>41</v>
      </c>
    </row>
    <row r="1142" spans="1:12" hidden="1" x14ac:dyDescent="0.3">
      <c r="A1142" s="39">
        <v>46157.600023148145</v>
      </c>
      <c r="B1142" s="32">
        <v>4533042020</v>
      </c>
      <c r="C1142" s="32" t="s">
        <v>45</v>
      </c>
      <c r="D1142" s="32">
        <v>4531273176</v>
      </c>
      <c r="E1142" s="32">
        <v>47</v>
      </c>
      <c r="F1142" s="32">
        <v>11</v>
      </c>
      <c r="G1142" s="32" t="s">
        <v>38</v>
      </c>
      <c r="H1142" s="32" t="s">
        <v>3859</v>
      </c>
      <c r="I1142" s="32" t="s">
        <v>39</v>
      </c>
      <c r="J1142" s="32" t="s">
        <v>40</v>
      </c>
      <c r="K1142" s="32" t="s">
        <v>41</v>
      </c>
    </row>
    <row r="1143" spans="1:12" hidden="1" x14ac:dyDescent="0.3">
      <c r="A1143" s="39">
        <v>46157.595625000002</v>
      </c>
      <c r="B1143" s="32">
        <v>4330333542</v>
      </c>
      <c r="C1143" s="32" t="s">
        <v>44</v>
      </c>
      <c r="D1143" s="32">
        <v>4430265054</v>
      </c>
      <c r="E1143" s="32">
        <v>2093</v>
      </c>
      <c r="F1143" s="32">
        <v>2050</v>
      </c>
      <c r="G1143" s="32" t="s">
        <v>38</v>
      </c>
      <c r="H1143" s="32" t="s">
        <v>3860</v>
      </c>
      <c r="I1143" s="32" t="s">
        <v>39</v>
      </c>
      <c r="J1143" s="32" t="s">
        <v>40</v>
      </c>
      <c r="K1143" s="32" t="s">
        <v>41</v>
      </c>
    </row>
    <row r="1144" spans="1:12" hidden="1" x14ac:dyDescent="0.3">
      <c r="A1144" s="39">
        <v>46157.592013888891</v>
      </c>
      <c r="B1144" s="32">
        <v>44999647912</v>
      </c>
      <c r="C1144" s="32" t="s">
        <v>43</v>
      </c>
      <c r="D1144" s="32">
        <v>4430265054</v>
      </c>
      <c r="E1144" s="32">
        <v>935</v>
      </c>
      <c r="F1144" s="32">
        <v>911</v>
      </c>
      <c r="G1144" s="32" t="s">
        <v>38</v>
      </c>
      <c r="H1144" s="32" t="s">
        <v>3861</v>
      </c>
      <c r="I1144" s="32" t="s">
        <v>39</v>
      </c>
      <c r="J1144" s="32" t="s">
        <v>40</v>
      </c>
      <c r="K1144" s="32" t="s">
        <v>41</v>
      </c>
    </row>
    <row r="1145" spans="1:12" hidden="1" x14ac:dyDescent="0.3">
      <c r="A1145" s="39">
        <v>46157.590844907405</v>
      </c>
      <c r="B1145" s="32">
        <v>41999865917</v>
      </c>
      <c r="C1145" s="32" t="s">
        <v>45</v>
      </c>
      <c r="D1145" s="32">
        <v>4431268225</v>
      </c>
      <c r="E1145" s="32">
        <v>489</v>
      </c>
      <c r="F1145" s="32">
        <v>452</v>
      </c>
      <c r="G1145" s="32" t="s">
        <v>38</v>
      </c>
      <c r="H1145" s="32" t="s">
        <v>3862</v>
      </c>
      <c r="I1145" s="32" t="s">
        <v>39</v>
      </c>
      <c r="J1145" s="32" t="s">
        <v>40</v>
      </c>
      <c r="K1145" s="32" t="s">
        <v>41</v>
      </c>
      <c r="L1145" s="32">
        <v>5</v>
      </c>
    </row>
    <row r="1146" spans="1:12" hidden="1" x14ac:dyDescent="0.3">
      <c r="A1146" s="39">
        <v>46157.578252314815</v>
      </c>
      <c r="B1146" s="32" t="s">
        <v>48</v>
      </c>
      <c r="C1146" s="32">
        <v>4332529065</v>
      </c>
      <c r="E1146" s="32">
        <v>1605</v>
      </c>
      <c r="F1146" s="32">
        <v>1594</v>
      </c>
      <c r="G1146" s="32" t="s">
        <v>38</v>
      </c>
      <c r="H1146" s="32" t="s">
        <v>3863</v>
      </c>
      <c r="I1146" s="32" t="s">
        <v>46</v>
      </c>
      <c r="J1146" s="32" t="s">
        <v>40</v>
      </c>
    </row>
    <row r="1147" spans="1:12" hidden="1" x14ac:dyDescent="0.3">
      <c r="A1147" s="39">
        <v>46157.5780787037</v>
      </c>
      <c r="B1147" s="32" t="s">
        <v>43</v>
      </c>
      <c r="C1147" s="32">
        <v>44997650834</v>
      </c>
      <c r="E1147" s="32">
        <v>1023</v>
      </c>
      <c r="F1147" s="32">
        <v>1009</v>
      </c>
      <c r="G1147" s="32" t="s">
        <v>38</v>
      </c>
      <c r="H1147" s="32" t="s">
        <v>3864</v>
      </c>
      <c r="I1147" s="32" t="s">
        <v>46</v>
      </c>
      <c r="J1147" s="32" t="s">
        <v>40</v>
      </c>
      <c r="L1147" s="32">
        <v>5</v>
      </c>
    </row>
    <row r="1148" spans="1:12" hidden="1" x14ac:dyDescent="0.3">
      <c r="A1148" s="39">
        <v>46157.575243055559</v>
      </c>
      <c r="B1148" s="32" t="s">
        <v>43</v>
      </c>
      <c r="C1148" s="32">
        <v>4430256607</v>
      </c>
      <c r="E1148" s="32">
        <v>121</v>
      </c>
      <c r="F1148" s="32">
        <v>110</v>
      </c>
      <c r="G1148" s="32" t="s">
        <v>38</v>
      </c>
      <c r="H1148" s="32" t="s">
        <v>3865</v>
      </c>
      <c r="I1148" s="32" t="s">
        <v>46</v>
      </c>
      <c r="J1148" s="32" t="s">
        <v>40</v>
      </c>
    </row>
    <row r="1149" spans="1:12" hidden="1" x14ac:dyDescent="0.3">
      <c r="A1149" s="39">
        <v>46157.575196759259</v>
      </c>
      <c r="B1149" s="32" t="s">
        <v>48</v>
      </c>
      <c r="C1149" s="32">
        <v>44998636008</v>
      </c>
      <c r="E1149" s="32">
        <v>20</v>
      </c>
      <c r="F1149" s="32">
        <v>0</v>
      </c>
      <c r="G1149" s="32" t="s">
        <v>47</v>
      </c>
      <c r="H1149" s="32" t="s">
        <v>3866</v>
      </c>
      <c r="I1149" s="32" t="s">
        <v>46</v>
      </c>
      <c r="J1149" s="32" t="s">
        <v>40</v>
      </c>
    </row>
    <row r="1150" spans="1:12" hidden="1" x14ac:dyDescent="0.3">
      <c r="A1150" s="39">
        <v>46157.57508101852</v>
      </c>
      <c r="B1150" s="32" t="s">
        <v>48</v>
      </c>
      <c r="C1150" s="32">
        <v>44998636008</v>
      </c>
      <c r="E1150" s="32">
        <v>5</v>
      </c>
      <c r="F1150" s="32">
        <v>0</v>
      </c>
      <c r="G1150" s="32" t="s">
        <v>47</v>
      </c>
      <c r="H1150" s="32" t="s">
        <v>3867</v>
      </c>
      <c r="I1150" s="32" t="s">
        <v>46</v>
      </c>
      <c r="J1150" s="32" t="s">
        <v>40</v>
      </c>
    </row>
    <row r="1151" spans="1:12" hidden="1" x14ac:dyDescent="0.3">
      <c r="A1151" s="39">
        <v>46157.574895833335</v>
      </c>
      <c r="B1151" s="32">
        <v>4436313274</v>
      </c>
      <c r="C1151" s="32" t="s">
        <v>45</v>
      </c>
      <c r="D1151" s="32">
        <v>4430265054</v>
      </c>
      <c r="E1151" s="32">
        <v>568</v>
      </c>
      <c r="F1151" s="32">
        <v>482</v>
      </c>
      <c r="G1151" s="32" t="s">
        <v>38</v>
      </c>
      <c r="H1151" s="32" t="s">
        <v>3868</v>
      </c>
      <c r="I1151" s="32" t="s">
        <v>39</v>
      </c>
      <c r="J1151" s="32" t="s">
        <v>40</v>
      </c>
      <c r="K1151" s="32" t="s">
        <v>41</v>
      </c>
    </row>
    <row r="1152" spans="1:12" hidden="1" x14ac:dyDescent="0.3">
      <c r="A1152" s="39">
        <v>46157.574525462966</v>
      </c>
      <c r="B1152" s="32" t="s">
        <v>48</v>
      </c>
      <c r="C1152" s="32">
        <v>4430450100</v>
      </c>
      <c r="E1152" s="32">
        <v>43</v>
      </c>
      <c r="F1152" s="32">
        <v>22</v>
      </c>
      <c r="G1152" s="32" t="s">
        <v>38</v>
      </c>
      <c r="H1152" s="32" t="s">
        <v>3869</v>
      </c>
      <c r="I1152" s="32" t="s">
        <v>46</v>
      </c>
      <c r="J1152" s="32" t="s">
        <v>40</v>
      </c>
    </row>
    <row r="1153" spans="1:12" hidden="1" x14ac:dyDescent="0.3">
      <c r="A1153" s="39">
        <v>46157.573969907404</v>
      </c>
      <c r="B1153" s="32" t="s">
        <v>48</v>
      </c>
      <c r="C1153" s="32">
        <v>4430450100</v>
      </c>
      <c r="E1153" s="32">
        <v>31</v>
      </c>
      <c r="F1153" s="32">
        <v>0</v>
      </c>
      <c r="G1153" s="32" t="s">
        <v>47</v>
      </c>
      <c r="H1153" s="32" t="s">
        <v>3870</v>
      </c>
      <c r="I1153" s="32" t="s">
        <v>46</v>
      </c>
      <c r="J1153" s="32" t="s">
        <v>40</v>
      </c>
    </row>
    <row r="1154" spans="1:12" hidden="1" x14ac:dyDescent="0.3">
      <c r="A1154" s="39">
        <v>46157.573773148149</v>
      </c>
      <c r="B1154" s="32" t="s">
        <v>48</v>
      </c>
      <c r="C1154" s="32">
        <v>44997079838</v>
      </c>
      <c r="E1154" s="32">
        <v>6</v>
      </c>
      <c r="F1154" s="32">
        <v>0</v>
      </c>
      <c r="G1154" s="32" t="s">
        <v>47</v>
      </c>
      <c r="H1154" s="32" t="s">
        <v>3871</v>
      </c>
      <c r="I1154" s="32" t="s">
        <v>46</v>
      </c>
      <c r="J1154" s="32" t="s">
        <v>40</v>
      </c>
    </row>
    <row r="1155" spans="1:12" hidden="1" x14ac:dyDescent="0.3">
      <c r="A1155" s="39">
        <v>46157.572858796295</v>
      </c>
      <c r="B1155" s="32" t="s">
        <v>43</v>
      </c>
      <c r="C1155" s="32">
        <v>4430256607</v>
      </c>
      <c r="E1155" s="32">
        <v>218</v>
      </c>
      <c r="F1155" s="32">
        <v>206</v>
      </c>
      <c r="G1155" s="32" t="s">
        <v>38</v>
      </c>
      <c r="H1155" s="32" t="s">
        <v>3872</v>
      </c>
      <c r="I1155" s="32" t="s">
        <v>46</v>
      </c>
      <c r="J1155" s="32" t="s">
        <v>40</v>
      </c>
    </row>
    <row r="1156" spans="1:12" hidden="1" x14ac:dyDescent="0.3">
      <c r="A1156" s="39">
        <v>46157.571134259262</v>
      </c>
      <c r="B1156" s="32">
        <v>44988255390</v>
      </c>
      <c r="C1156" s="32" t="s">
        <v>45</v>
      </c>
      <c r="D1156" s="32">
        <v>4430265054</v>
      </c>
      <c r="E1156" s="32">
        <v>328</v>
      </c>
      <c r="F1156" s="32">
        <v>269</v>
      </c>
      <c r="G1156" s="32" t="s">
        <v>38</v>
      </c>
      <c r="H1156" s="32" t="s">
        <v>3873</v>
      </c>
      <c r="I1156" s="32" t="s">
        <v>39</v>
      </c>
      <c r="J1156" s="32" t="s">
        <v>40</v>
      </c>
      <c r="K1156" s="32" t="s">
        <v>41</v>
      </c>
    </row>
    <row r="1157" spans="1:12" hidden="1" x14ac:dyDescent="0.3">
      <c r="A1157" s="39">
        <v>46157.569652777776</v>
      </c>
      <c r="B1157" s="32">
        <v>4121413772</v>
      </c>
      <c r="C1157" s="32">
        <v>4531273162</v>
      </c>
      <c r="D1157" s="32">
        <v>4531273162</v>
      </c>
      <c r="E1157" s="32">
        <v>47</v>
      </c>
      <c r="F1157" s="32">
        <v>47</v>
      </c>
      <c r="G1157" s="32" t="s">
        <v>52</v>
      </c>
      <c r="H1157" s="32" t="s">
        <v>3874</v>
      </c>
      <c r="I1157" s="32" t="s">
        <v>39</v>
      </c>
      <c r="J1157" s="32" t="s">
        <v>53</v>
      </c>
      <c r="K1157" s="32" t="s">
        <v>41</v>
      </c>
    </row>
    <row r="1158" spans="1:12" hidden="1" x14ac:dyDescent="0.3">
      <c r="A1158" s="39">
        <v>46157.56832175926</v>
      </c>
      <c r="B1158" s="32" t="s">
        <v>43</v>
      </c>
      <c r="C1158" s="32">
        <v>44998761561</v>
      </c>
      <c r="E1158" s="32">
        <v>266</v>
      </c>
      <c r="F1158" s="32">
        <v>251</v>
      </c>
      <c r="G1158" s="32" t="s">
        <v>38</v>
      </c>
      <c r="H1158" s="32" t="s">
        <v>3875</v>
      </c>
      <c r="I1158" s="32" t="s">
        <v>46</v>
      </c>
      <c r="J1158" s="32" t="s">
        <v>40</v>
      </c>
      <c r="L1158" s="32">
        <v>5</v>
      </c>
    </row>
    <row r="1159" spans="1:12" hidden="1" x14ac:dyDescent="0.3">
      <c r="A1159" s="39">
        <v>46157.567893518521</v>
      </c>
      <c r="B1159" s="32" t="s">
        <v>43</v>
      </c>
      <c r="C1159" s="32">
        <v>44998761561</v>
      </c>
      <c r="E1159" s="32">
        <v>4</v>
      </c>
      <c r="F1159" s="32">
        <v>0</v>
      </c>
      <c r="G1159" s="32" t="s">
        <v>47</v>
      </c>
      <c r="H1159" s="32" t="s">
        <v>3876</v>
      </c>
      <c r="I1159" s="32" t="s">
        <v>46</v>
      </c>
      <c r="J1159" s="32" t="s">
        <v>40</v>
      </c>
    </row>
    <row r="1160" spans="1:12" hidden="1" x14ac:dyDescent="0.3">
      <c r="A1160" s="39">
        <v>46157.546307870369</v>
      </c>
      <c r="B1160" s="32">
        <v>44988327245</v>
      </c>
      <c r="C1160" s="32">
        <v>4430265054</v>
      </c>
      <c r="D1160" s="32">
        <v>4430265054</v>
      </c>
      <c r="E1160" s="32">
        <v>8</v>
      </c>
      <c r="F1160" s="32">
        <v>8</v>
      </c>
      <c r="G1160" s="32" t="s">
        <v>52</v>
      </c>
      <c r="H1160" s="32" t="s">
        <v>3877</v>
      </c>
      <c r="I1160" s="32" t="s">
        <v>39</v>
      </c>
      <c r="J1160" s="32" t="s">
        <v>53</v>
      </c>
    </row>
    <row r="1161" spans="1:12" hidden="1" x14ac:dyDescent="0.3">
      <c r="A1161" s="39">
        <v>46157.496157407404</v>
      </c>
      <c r="B1161" s="32">
        <v>4130760170</v>
      </c>
      <c r="C1161" s="32" t="s">
        <v>48</v>
      </c>
      <c r="D1161" s="32">
        <v>4430265054</v>
      </c>
      <c r="E1161" s="32">
        <v>158</v>
      </c>
      <c r="F1161" s="32">
        <v>158</v>
      </c>
      <c r="G1161" s="32" t="s">
        <v>38</v>
      </c>
      <c r="H1161" s="32" t="s">
        <v>3878</v>
      </c>
      <c r="I1161" s="32" t="s">
        <v>39</v>
      </c>
      <c r="J1161" s="32" t="s">
        <v>40</v>
      </c>
      <c r="K1161" s="32" t="s">
        <v>41</v>
      </c>
    </row>
    <row r="1162" spans="1:12" hidden="1" x14ac:dyDescent="0.3">
      <c r="A1162" s="39">
        <v>46157.485532407409</v>
      </c>
      <c r="B1162" s="32">
        <v>4533011420</v>
      </c>
      <c r="C1162" s="32">
        <v>4531273164</v>
      </c>
      <c r="D1162" s="32">
        <v>4531273164</v>
      </c>
      <c r="E1162" s="32">
        <v>36</v>
      </c>
      <c r="F1162" s="32">
        <v>36</v>
      </c>
      <c r="G1162" s="32" t="s">
        <v>52</v>
      </c>
      <c r="H1162" s="32" t="s">
        <v>3879</v>
      </c>
      <c r="I1162" s="32" t="s">
        <v>39</v>
      </c>
      <c r="J1162" s="32" t="s">
        <v>53</v>
      </c>
      <c r="K1162" s="32" t="s">
        <v>41</v>
      </c>
    </row>
    <row r="1163" spans="1:12" hidden="1" x14ac:dyDescent="0.3">
      <c r="A1163" s="39">
        <v>46157.478391203702</v>
      </c>
      <c r="B1163" s="32" t="s">
        <v>44</v>
      </c>
      <c r="C1163" s="32">
        <v>4430162384</v>
      </c>
      <c r="E1163" s="32">
        <v>12</v>
      </c>
      <c r="F1163" s="32">
        <v>6</v>
      </c>
      <c r="G1163" s="32" t="s">
        <v>38</v>
      </c>
      <c r="H1163" s="32" t="s">
        <v>3880</v>
      </c>
      <c r="I1163" s="32" t="s">
        <v>46</v>
      </c>
      <c r="J1163" s="32" t="s">
        <v>40</v>
      </c>
    </row>
    <row r="1164" spans="1:12" hidden="1" x14ac:dyDescent="0.3">
      <c r="A1164" s="39">
        <v>46157.478321759256</v>
      </c>
      <c r="B1164" s="32" t="s">
        <v>44</v>
      </c>
      <c r="C1164" s="32">
        <v>4430162384</v>
      </c>
      <c r="E1164" s="32">
        <v>25</v>
      </c>
      <c r="F1164" s="32">
        <v>25</v>
      </c>
      <c r="G1164" s="32" t="s">
        <v>38</v>
      </c>
      <c r="H1164" s="32" t="s">
        <v>3881</v>
      </c>
      <c r="I1164" s="32" t="s">
        <v>46</v>
      </c>
      <c r="J1164" s="32" t="s">
        <v>40</v>
      </c>
    </row>
    <row r="1165" spans="1:12" hidden="1" x14ac:dyDescent="0.3">
      <c r="A1165" s="39">
        <v>46157.476226851853</v>
      </c>
      <c r="B1165" s="32">
        <v>44999976008</v>
      </c>
      <c r="C1165" s="32" t="s">
        <v>45</v>
      </c>
      <c r="D1165" s="32">
        <v>4430265054</v>
      </c>
      <c r="E1165" s="32">
        <v>1096</v>
      </c>
      <c r="F1165" s="32">
        <v>1061</v>
      </c>
      <c r="G1165" s="32" t="s">
        <v>38</v>
      </c>
      <c r="H1165" s="32" t="s">
        <v>3882</v>
      </c>
      <c r="I1165" s="32" t="s">
        <v>39</v>
      </c>
      <c r="J1165" s="32" t="s">
        <v>40</v>
      </c>
      <c r="K1165" s="32" t="s">
        <v>41</v>
      </c>
    </row>
    <row r="1166" spans="1:12" hidden="1" x14ac:dyDescent="0.3">
      <c r="A1166" s="39">
        <v>46157.467627314814</v>
      </c>
      <c r="B1166" s="32">
        <v>4334234629</v>
      </c>
      <c r="C1166" s="32" t="s">
        <v>48</v>
      </c>
      <c r="D1166" s="32">
        <v>4430265054</v>
      </c>
      <c r="E1166" s="32">
        <v>355</v>
      </c>
      <c r="F1166" s="32">
        <v>337</v>
      </c>
      <c r="G1166" s="32" t="s">
        <v>38</v>
      </c>
      <c r="H1166" s="32" t="s">
        <v>3883</v>
      </c>
      <c r="I1166" s="32" t="s">
        <v>39</v>
      </c>
      <c r="J1166" s="32" t="s">
        <v>40</v>
      </c>
      <c r="K1166" s="32" t="s">
        <v>41</v>
      </c>
    </row>
    <row r="1167" spans="1:12" hidden="1" x14ac:dyDescent="0.3">
      <c r="A1167" s="39">
        <v>46157.465370370373</v>
      </c>
      <c r="B1167" s="32">
        <v>44998417005</v>
      </c>
      <c r="C1167" s="32" t="s">
        <v>43</v>
      </c>
      <c r="D1167" s="32">
        <v>4430265054</v>
      </c>
      <c r="E1167" s="32">
        <v>546</v>
      </c>
      <c r="F1167" s="32">
        <v>447</v>
      </c>
      <c r="G1167" s="32" t="s">
        <v>38</v>
      </c>
      <c r="H1167" s="32" t="s">
        <v>3884</v>
      </c>
      <c r="I1167" s="32" t="s">
        <v>39</v>
      </c>
      <c r="J1167" s="32" t="s">
        <v>40</v>
      </c>
      <c r="K1167" s="32" t="s">
        <v>41</v>
      </c>
    </row>
    <row r="1168" spans="1:12" hidden="1" x14ac:dyDescent="0.3">
      <c r="A1168" s="39">
        <v>46157.46533564815</v>
      </c>
      <c r="B1168" s="32">
        <v>11964449514</v>
      </c>
      <c r="C1168" s="32" t="s">
        <v>44</v>
      </c>
      <c r="D1168" s="32">
        <v>4431268225</v>
      </c>
      <c r="E1168" s="32">
        <v>361</v>
      </c>
      <c r="F1168" s="32">
        <v>277</v>
      </c>
      <c r="G1168" s="32" t="s">
        <v>38</v>
      </c>
      <c r="H1168" s="32" t="s">
        <v>3885</v>
      </c>
      <c r="I1168" s="32" t="s">
        <v>39</v>
      </c>
      <c r="J1168" s="32" t="s">
        <v>40</v>
      </c>
      <c r="K1168" s="32" t="s">
        <v>41</v>
      </c>
    </row>
    <row r="1169" spans="1:12" hidden="1" x14ac:dyDescent="0.3">
      <c r="A1169" s="39">
        <v>46157.46266203704</v>
      </c>
      <c r="B1169" s="32">
        <v>4432325260</v>
      </c>
      <c r="C1169" s="32">
        <v>4430265054</v>
      </c>
      <c r="D1169" s="32">
        <v>4430265054</v>
      </c>
      <c r="E1169" s="32">
        <v>52</v>
      </c>
      <c r="F1169" s="32">
        <v>51</v>
      </c>
      <c r="G1169" s="32" t="s">
        <v>52</v>
      </c>
      <c r="H1169" s="32" t="s">
        <v>3886</v>
      </c>
      <c r="I1169" s="32" t="s">
        <v>39</v>
      </c>
      <c r="J1169" s="32" t="s">
        <v>53</v>
      </c>
      <c r="K1169" s="32" t="s">
        <v>41</v>
      </c>
    </row>
    <row r="1170" spans="1:12" hidden="1" x14ac:dyDescent="0.3">
      <c r="A1170" s="39">
        <v>46157.4609375</v>
      </c>
      <c r="B1170" s="32" t="s">
        <v>45</v>
      </c>
      <c r="C1170" s="32">
        <v>44988255390</v>
      </c>
      <c r="E1170" s="32">
        <v>773</v>
      </c>
      <c r="F1170" s="32">
        <v>766</v>
      </c>
      <c r="G1170" s="32" t="s">
        <v>38</v>
      </c>
      <c r="H1170" s="32" t="s">
        <v>3887</v>
      </c>
      <c r="I1170" s="32" t="s">
        <v>46</v>
      </c>
      <c r="J1170" s="32" t="s">
        <v>40</v>
      </c>
      <c r="L1170" s="32">
        <v>5</v>
      </c>
    </row>
    <row r="1171" spans="1:12" hidden="1" x14ac:dyDescent="0.3">
      <c r="A1171" s="39">
        <v>46157.460729166669</v>
      </c>
      <c r="B1171" s="32" t="s">
        <v>45</v>
      </c>
      <c r="C1171" s="32">
        <v>44988255390</v>
      </c>
      <c r="E1171" s="32">
        <v>14</v>
      </c>
      <c r="F1171" s="32">
        <v>7</v>
      </c>
      <c r="G1171" s="32" t="s">
        <v>38</v>
      </c>
      <c r="H1171" s="32" t="s">
        <v>3888</v>
      </c>
      <c r="I1171" s="32" t="s">
        <v>46</v>
      </c>
      <c r="J1171" s="32" t="s">
        <v>40</v>
      </c>
    </row>
    <row r="1172" spans="1:12" hidden="1" x14ac:dyDescent="0.3">
      <c r="A1172" s="39">
        <v>46157.460648148146</v>
      </c>
      <c r="B1172" s="32" t="s">
        <v>45</v>
      </c>
      <c r="C1172" s="32">
        <v>44988255390</v>
      </c>
      <c r="E1172" s="32">
        <v>5</v>
      </c>
      <c r="F1172" s="32">
        <v>0</v>
      </c>
      <c r="G1172" s="32" t="s">
        <v>47</v>
      </c>
      <c r="H1172" s="32" t="s">
        <v>3889</v>
      </c>
      <c r="I1172" s="32" t="s">
        <v>46</v>
      </c>
      <c r="J1172" s="32" t="s">
        <v>40</v>
      </c>
    </row>
    <row r="1173" spans="1:12" hidden="1" x14ac:dyDescent="0.3">
      <c r="A1173" s="39">
        <v>46157.459247685183</v>
      </c>
      <c r="B1173" s="32">
        <v>44988327245</v>
      </c>
      <c r="C1173" s="32">
        <v>4430265054</v>
      </c>
      <c r="D1173" s="32">
        <v>4430265054</v>
      </c>
      <c r="E1173" s="32">
        <v>8</v>
      </c>
      <c r="F1173" s="32">
        <v>7</v>
      </c>
      <c r="G1173" s="32" t="s">
        <v>52</v>
      </c>
      <c r="H1173" s="32" t="s">
        <v>3890</v>
      </c>
      <c r="I1173" s="32" t="s">
        <v>39</v>
      </c>
      <c r="J1173" s="32" t="s">
        <v>53</v>
      </c>
    </row>
    <row r="1174" spans="1:12" hidden="1" x14ac:dyDescent="0.3">
      <c r="A1174" s="39">
        <v>46157.458692129629</v>
      </c>
      <c r="B1174" s="32">
        <v>44999647912</v>
      </c>
      <c r="C1174" s="32" t="s">
        <v>54</v>
      </c>
      <c r="D1174" s="32">
        <v>4430265054</v>
      </c>
      <c r="E1174" s="32">
        <v>311</v>
      </c>
      <c r="F1174" s="32">
        <v>286</v>
      </c>
      <c r="G1174" s="32" t="s">
        <v>38</v>
      </c>
      <c r="H1174" s="32" t="s">
        <v>3891</v>
      </c>
      <c r="I1174" s="32" t="s">
        <v>39</v>
      </c>
      <c r="J1174" s="32" t="s">
        <v>55</v>
      </c>
      <c r="K1174" s="32" t="s">
        <v>49</v>
      </c>
    </row>
    <row r="1175" spans="1:12" hidden="1" x14ac:dyDescent="0.3">
      <c r="A1175" s="39">
        <v>46157.458078703705</v>
      </c>
      <c r="B1175" s="32" t="s">
        <v>54</v>
      </c>
      <c r="C1175" s="32">
        <v>38991268453</v>
      </c>
      <c r="E1175" s="32">
        <v>5</v>
      </c>
      <c r="F1175" s="32">
        <v>1</v>
      </c>
      <c r="G1175" s="32" t="s">
        <v>38</v>
      </c>
      <c r="H1175" s="32" t="s">
        <v>3892</v>
      </c>
      <c r="I1175" s="32" t="s">
        <v>46</v>
      </c>
      <c r="J1175" s="32" t="s">
        <v>55</v>
      </c>
    </row>
    <row r="1176" spans="1:12" hidden="1" x14ac:dyDescent="0.3">
      <c r="A1176" s="39">
        <v>46157.458009259259</v>
      </c>
      <c r="B1176" s="32">
        <v>99984024914</v>
      </c>
      <c r="C1176" s="32" t="s">
        <v>57</v>
      </c>
      <c r="D1176" s="32">
        <v>4430265054</v>
      </c>
      <c r="E1176" s="32">
        <v>135</v>
      </c>
      <c r="F1176" s="32">
        <v>114</v>
      </c>
      <c r="G1176" s="32" t="s">
        <v>38</v>
      </c>
      <c r="H1176" s="32" t="s">
        <v>3893</v>
      </c>
      <c r="I1176" s="32" t="s">
        <v>39</v>
      </c>
      <c r="J1176" s="32" t="s">
        <v>55</v>
      </c>
      <c r="K1176" s="32" t="s">
        <v>49</v>
      </c>
    </row>
    <row r="1177" spans="1:12" hidden="1" x14ac:dyDescent="0.3">
      <c r="A1177" s="39">
        <v>46157.455324074072</v>
      </c>
      <c r="B1177" s="32" t="s">
        <v>54</v>
      </c>
      <c r="C1177" s="32">
        <v>82993077530</v>
      </c>
      <c r="E1177" s="32">
        <v>4</v>
      </c>
      <c r="F1177" s="32">
        <v>0</v>
      </c>
      <c r="G1177" s="32" t="s">
        <v>47</v>
      </c>
      <c r="H1177" s="32" t="s">
        <v>3894</v>
      </c>
      <c r="I1177" s="32" t="s">
        <v>46</v>
      </c>
      <c r="J1177" s="32" t="s">
        <v>55</v>
      </c>
    </row>
    <row r="1178" spans="1:12" hidden="1" x14ac:dyDescent="0.3">
      <c r="A1178" s="39">
        <v>46157.454432870371</v>
      </c>
      <c r="B1178" s="32">
        <v>4432541200</v>
      </c>
      <c r="C1178" s="32" t="s">
        <v>45</v>
      </c>
      <c r="D1178" s="32">
        <v>4430265054</v>
      </c>
      <c r="E1178" s="32">
        <v>498</v>
      </c>
      <c r="F1178" s="32">
        <v>463</v>
      </c>
      <c r="G1178" s="32" t="s">
        <v>38</v>
      </c>
      <c r="H1178" s="32" t="s">
        <v>3895</v>
      </c>
      <c r="I1178" s="32" t="s">
        <v>39</v>
      </c>
      <c r="J1178" s="32" t="s">
        <v>40</v>
      </c>
      <c r="K1178" s="32" t="s">
        <v>41</v>
      </c>
      <c r="L1178" s="32">
        <v>5</v>
      </c>
    </row>
    <row r="1179" spans="1:12" hidden="1" x14ac:dyDescent="0.3">
      <c r="A1179" s="39">
        <v>46157.454016203701</v>
      </c>
      <c r="B1179" s="32">
        <v>81983567163</v>
      </c>
      <c r="C1179" s="32" t="s">
        <v>44</v>
      </c>
      <c r="D1179" s="32">
        <v>4431268225</v>
      </c>
      <c r="E1179" s="32">
        <v>579</v>
      </c>
      <c r="F1179" s="32">
        <v>531</v>
      </c>
      <c r="G1179" s="32" t="s">
        <v>38</v>
      </c>
      <c r="H1179" s="32" t="s">
        <v>3896</v>
      </c>
      <c r="I1179" s="32" t="s">
        <v>39</v>
      </c>
      <c r="J1179" s="32" t="s">
        <v>40</v>
      </c>
      <c r="K1179" s="32" t="s">
        <v>41</v>
      </c>
      <c r="L1179" s="32">
        <v>5</v>
      </c>
    </row>
    <row r="1180" spans="1:12" hidden="1" x14ac:dyDescent="0.3">
      <c r="A1180" s="39">
        <v>46157.453611111108</v>
      </c>
      <c r="B1180" s="32">
        <v>44999451200</v>
      </c>
      <c r="C1180" s="32" t="s">
        <v>57</v>
      </c>
      <c r="D1180" s="32">
        <v>4430265054</v>
      </c>
      <c r="E1180" s="32">
        <v>251</v>
      </c>
      <c r="F1180" s="32">
        <v>225</v>
      </c>
      <c r="G1180" s="32" t="s">
        <v>38</v>
      </c>
      <c r="H1180" s="32" t="s">
        <v>3897</v>
      </c>
      <c r="I1180" s="32" t="s">
        <v>39</v>
      </c>
      <c r="J1180" s="32" t="s">
        <v>55</v>
      </c>
      <c r="K1180" s="32" t="s">
        <v>49</v>
      </c>
    </row>
    <row r="1181" spans="1:12" hidden="1" x14ac:dyDescent="0.3">
      <c r="A1181" s="39">
        <v>46157.453518518516</v>
      </c>
      <c r="B1181" s="32" t="s">
        <v>54</v>
      </c>
      <c r="C1181" s="32">
        <v>35991474338</v>
      </c>
      <c r="E1181" s="32">
        <v>1</v>
      </c>
      <c r="F1181" s="32">
        <v>0</v>
      </c>
      <c r="G1181" s="32" t="s">
        <v>47</v>
      </c>
      <c r="H1181" s="32" t="s">
        <v>3898</v>
      </c>
      <c r="I1181" s="32" t="s">
        <v>46</v>
      </c>
      <c r="J1181" s="32" t="s">
        <v>55</v>
      </c>
    </row>
    <row r="1182" spans="1:12" hidden="1" x14ac:dyDescent="0.3">
      <c r="A1182" s="39">
        <v>46157.452685185184</v>
      </c>
      <c r="B1182" s="32" t="s">
        <v>54</v>
      </c>
      <c r="C1182" s="32">
        <v>31994118520</v>
      </c>
      <c r="E1182" s="32">
        <v>12</v>
      </c>
      <c r="F1182" s="32">
        <v>2</v>
      </c>
      <c r="G1182" s="32" t="s">
        <v>38</v>
      </c>
      <c r="H1182" s="32" t="s">
        <v>3899</v>
      </c>
      <c r="I1182" s="32" t="s">
        <v>46</v>
      </c>
      <c r="J1182" s="32" t="s">
        <v>55</v>
      </c>
    </row>
    <row r="1183" spans="1:12" hidden="1" x14ac:dyDescent="0.3">
      <c r="A1183" s="39">
        <v>46157.451539351852</v>
      </c>
      <c r="B1183" s="32" t="s">
        <v>54</v>
      </c>
      <c r="C1183" s="32">
        <v>19992344577</v>
      </c>
      <c r="E1183" s="32">
        <v>14</v>
      </c>
      <c r="F1183" s="32">
        <v>0</v>
      </c>
      <c r="G1183" s="32" t="s">
        <v>47</v>
      </c>
      <c r="H1183" s="32" t="s">
        <v>3900</v>
      </c>
      <c r="I1183" s="32" t="s">
        <v>46</v>
      </c>
      <c r="J1183" s="32" t="s">
        <v>55</v>
      </c>
    </row>
    <row r="1184" spans="1:12" hidden="1" x14ac:dyDescent="0.3">
      <c r="A1184" s="39">
        <v>46157.450891203705</v>
      </c>
      <c r="B1184" s="32" t="s">
        <v>54</v>
      </c>
      <c r="C1184" s="32">
        <v>11983438745</v>
      </c>
      <c r="E1184" s="32">
        <v>7</v>
      </c>
      <c r="F1184" s="32">
        <v>0</v>
      </c>
      <c r="G1184" s="32" t="s">
        <v>47</v>
      </c>
      <c r="H1184" s="32" t="s">
        <v>3901</v>
      </c>
      <c r="I1184" s="32" t="s">
        <v>46</v>
      </c>
      <c r="J1184" s="32" t="s">
        <v>55</v>
      </c>
    </row>
    <row r="1185" spans="1:11" hidden="1" x14ac:dyDescent="0.3">
      <c r="A1185" s="39">
        <v>46157.450277777774</v>
      </c>
      <c r="B1185" s="32" t="s">
        <v>54</v>
      </c>
      <c r="C1185" s="32">
        <v>33999005712</v>
      </c>
      <c r="E1185" s="32">
        <v>11</v>
      </c>
      <c r="F1185" s="32">
        <v>5</v>
      </c>
      <c r="G1185" s="32" t="s">
        <v>38</v>
      </c>
      <c r="H1185" s="32" t="s">
        <v>3902</v>
      </c>
      <c r="I1185" s="32" t="s">
        <v>46</v>
      </c>
      <c r="J1185" s="32" t="s">
        <v>55</v>
      </c>
    </row>
    <row r="1186" spans="1:11" hidden="1" x14ac:dyDescent="0.3">
      <c r="A1186" s="39">
        <v>46157.448842592596</v>
      </c>
      <c r="B1186" s="32">
        <v>44998761561</v>
      </c>
      <c r="C1186" s="32" t="s">
        <v>43</v>
      </c>
      <c r="D1186" s="32">
        <v>4430265054</v>
      </c>
      <c r="E1186" s="32">
        <v>981</v>
      </c>
      <c r="F1186" s="32">
        <v>943</v>
      </c>
      <c r="G1186" s="32" t="s">
        <v>38</v>
      </c>
      <c r="H1186" s="32" t="s">
        <v>3903</v>
      </c>
      <c r="I1186" s="32" t="s">
        <v>39</v>
      </c>
      <c r="J1186" s="32" t="s">
        <v>40</v>
      </c>
      <c r="K1186" s="32" t="s">
        <v>41</v>
      </c>
    </row>
    <row r="1187" spans="1:11" hidden="1" x14ac:dyDescent="0.3">
      <c r="A1187" s="39">
        <v>46157.446898148148</v>
      </c>
      <c r="B1187" s="32" t="s">
        <v>48</v>
      </c>
      <c r="C1187" s="32">
        <v>41999717893</v>
      </c>
      <c r="E1187" s="32">
        <v>29</v>
      </c>
      <c r="F1187" s="32">
        <v>0</v>
      </c>
      <c r="G1187" s="32" t="s">
        <v>47</v>
      </c>
      <c r="H1187" s="32" t="s">
        <v>3904</v>
      </c>
      <c r="I1187" s="32" t="s">
        <v>46</v>
      </c>
      <c r="J1187" s="32" t="s">
        <v>40</v>
      </c>
    </row>
    <row r="1188" spans="1:11" hidden="1" x14ac:dyDescent="0.3">
      <c r="A1188" s="39">
        <v>46157.44636574074</v>
      </c>
      <c r="B1188" s="32">
        <v>4430162384</v>
      </c>
      <c r="C1188" s="32" t="s">
        <v>44</v>
      </c>
      <c r="D1188" s="32">
        <v>4430265054</v>
      </c>
      <c r="E1188" s="32">
        <v>320</v>
      </c>
      <c r="F1188" s="32">
        <v>235</v>
      </c>
      <c r="G1188" s="32" t="s">
        <v>38</v>
      </c>
      <c r="H1188" s="32" t="s">
        <v>3905</v>
      </c>
      <c r="I1188" s="32" t="s">
        <v>39</v>
      </c>
      <c r="J1188" s="32" t="s">
        <v>40</v>
      </c>
      <c r="K1188" s="32" t="s">
        <v>41</v>
      </c>
    </row>
    <row r="1189" spans="1:11" hidden="1" x14ac:dyDescent="0.3">
      <c r="A1189" s="39">
        <v>46157.445335648146</v>
      </c>
      <c r="B1189" s="32">
        <v>4432321371</v>
      </c>
      <c r="C1189" s="32" t="s">
        <v>43</v>
      </c>
      <c r="D1189" s="32">
        <v>4430265054</v>
      </c>
      <c r="E1189" s="32">
        <v>80</v>
      </c>
      <c r="F1189" s="32">
        <v>40</v>
      </c>
      <c r="G1189" s="32" t="s">
        <v>38</v>
      </c>
      <c r="H1189" s="32" t="s">
        <v>3906</v>
      </c>
      <c r="I1189" s="32" t="s">
        <v>39</v>
      </c>
      <c r="J1189" s="32" t="s">
        <v>40</v>
      </c>
      <c r="K1189" s="32" t="s">
        <v>41</v>
      </c>
    </row>
    <row r="1190" spans="1:11" hidden="1" x14ac:dyDescent="0.3">
      <c r="A1190" s="39">
        <v>46157.444664351853</v>
      </c>
      <c r="B1190" s="32">
        <v>4421028860</v>
      </c>
      <c r="C1190" s="32">
        <v>4430265054</v>
      </c>
      <c r="D1190" s="32">
        <v>4430265054</v>
      </c>
      <c r="E1190" s="32">
        <v>46</v>
      </c>
      <c r="F1190" s="32">
        <v>46</v>
      </c>
      <c r="G1190" s="32" t="s">
        <v>52</v>
      </c>
      <c r="H1190" s="32" t="s">
        <v>3907</v>
      </c>
      <c r="I1190" s="32" t="s">
        <v>39</v>
      </c>
      <c r="J1190" s="32" t="s">
        <v>53</v>
      </c>
      <c r="K1190" s="32" t="s">
        <v>41</v>
      </c>
    </row>
    <row r="1191" spans="1:11" hidden="1" x14ac:dyDescent="0.3">
      <c r="A1191" s="39">
        <v>46157.442881944444</v>
      </c>
      <c r="B1191" s="32" t="s">
        <v>54</v>
      </c>
      <c r="C1191" s="32">
        <v>63992746777</v>
      </c>
      <c r="E1191" s="32">
        <v>13</v>
      </c>
      <c r="F1191" s="32">
        <v>0</v>
      </c>
      <c r="G1191" s="32" t="s">
        <v>47</v>
      </c>
      <c r="H1191" s="32" t="s">
        <v>3908</v>
      </c>
      <c r="I1191" s="32" t="s">
        <v>46</v>
      </c>
      <c r="J1191" s="32" t="s">
        <v>55</v>
      </c>
    </row>
    <row r="1192" spans="1:11" hidden="1" x14ac:dyDescent="0.3">
      <c r="A1192" s="39">
        <v>46157.442164351851</v>
      </c>
      <c r="B1192" s="32" t="s">
        <v>54</v>
      </c>
      <c r="C1192" s="32">
        <v>85987253161</v>
      </c>
      <c r="E1192" s="32">
        <v>5</v>
      </c>
      <c r="F1192" s="32">
        <v>0</v>
      </c>
      <c r="G1192" s="32" t="s">
        <v>47</v>
      </c>
      <c r="H1192" s="32" t="s">
        <v>3909</v>
      </c>
      <c r="I1192" s="32" t="s">
        <v>46</v>
      </c>
      <c r="J1192" s="32" t="s">
        <v>55</v>
      </c>
    </row>
    <row r="1193" spans="1:11" hidden="1" x14ac:dyDescent="0.3">
      <c r="A1193" s="39">
        <v>46157.440798611111</v>
      </c>
      <c r="B1193" s="32">
        <v>4121414966</v>
      </c>
      <c r="C1193" s="32">
        <v>4531273176</v>
      </c>
      <c r="D1193" s="32">
        <v>4531273176</v>
      </c>
      <c r="E1193" s="32">
        <v>47</v>
      </c>
      <c r="F1193" s="32">
        <v>47</v>
      </c>
      <c r="G1193" s="32" t="s">
        <v>52</v>
      </c>
      <c r="H1193" s="32" t="s">
        <v>3910</v>
      </c>
      <c r="I1193" s="32" t="s">
        <v>39</v>
      </c>
      <c r="J1193" s="32" t="s">
        <v>53</v>
      </c>
      <c r="K1193" s="32" t="s">
        <v>41</v>
      </c>
    </row>
    <row r="1194" spans="1:11" hidden="1" x14ac:dyDescent="0.3">
      <c r="A1194" s="39">
        <v>46157.439780092594</v>
      </c>
      <c r="B1194" s="32" t="s">
        <v>43</v>
      </c>
      <c r="C1194" s="32">
        <v>4334232912</v>
      </c>
      <c r="E1194" s="32">
        <v>203</v>
      </c>
      <c r="F1194" s="32">
        <v>190</v>
      </c>
      <c r="G1194" s="32" t="s">
        <v>38</v>
      </c>
      <c r="H1194" s="32" t="s">
        <v>3911</v>
      </c>
      <c r="I1194" s="32" t="s">
        <v>46</v>
      </c>
      <c r="J1194" s="32" t="s">
        <v>40</v>
      </c>
    </row>
    <row r="1195" spans="1:11" hidden="1" x14ac:dyDescent="0.3">
      <c r="A1195" s="39">
        <v>46157.436793981484</v>
      </c>
      <c r="B1195" s="32">
        <v>4433231037</v>
      </c>
      <c r="C1195" s="32" t="s">
        <v>43</v>
      </c>
      <c r="D1195" s="32">
        <v>4430265054</v>
      </c>
      <c r="E1195" s="32">
        <v>121</v>
      </c>
      <c r="F1195" s="32">
        <v>87</v>
      </c>
      <c r="G1195" s="32" t="s">
        <v>38</v>
      </c>
      <c r="H1195" s="32" t="s">
        <v>3912</v>
      </c>
      <c r="I1195" s="32" t="s">
        <v>39</v>
      </c>
      <c r="J1195" s="32" t="s">
        <v>40</v>
      </c>
      <c r="K1195" s="32" t="s">
        <v>41</v>
      </c>
    </row>
    <row r="1196" spans="1:11" hidden="1" x14ac:dyDescent="0.3">
      <c r="A1196" s="39">
        <v>46157.434687499997</v>
      </c>
      <c r="B1196" s="32" t="s">
        <v>54</v>
      </c>
      <c r="C1196" s="32">
        <v>85988913281</v>
      </c>
      <c r="E1196" s="32">
        <v>16</v>
      </c>
      <c r="F1196" s="32">
        <v>0</v>
      </c>
      <c r="G1196" s="32" t="s">
        <v>47</v>
      </c>
      <c r="H1196" s="32" t="s">
        <v>3913</v>
      </c>
      <c r="I1196" s="32" t="s">
        <v>46</v>
      </c>
      <c r="J1196" s="32" t="s">
        <v>55</v>
      </c>
    </row>
    <row r="1197" spans="1:11" hidden="1" x14ac:dyDescent="0.3">
      <c r="A1197" s="39">
        <v>46157.434247685182</v>
      </c>
      <c r="B1197" s="32" t="s">
        <v>54</v>
      </c>
      <c r="C1197" s="32">
        <v>85987205703</v>
      </c>
      <c r="E1197" s="32">
        <v>5</v>
      </c>
      <c r="F1197" s="32">
        <v>3</v>
      </c>
      <c r="G1197" s="32" t="s">
        <v>38</v>
      </c>
      <c r="H1197" s="32" t="s">
        <v>3914</v>
      </c>
      <c r="I1197" s="32" t="s">
        <v>46</v>
      </c>
      <c r="J1197" s="32" t="s">
        <v>55</v>
      </c>
    </row>
    <row r="1198" spans="1:11" hidden="1" x14ac:dyDescent="0.3">
      <c r="A1198" s="39">
        <v>46157.43105324074</v>
      </c>
      <c r="B1198" s="32">
        <v>4432637197</v>
      </c>
      <c r="C1198" s="32" t="s">
        <v>44</v>
      </c>
      <c r="D1198" s="32">
        <v>4430265054</v>
      </c>
      <c r="E1198" s="32">
        <v>774</v>
      </c>
      <c r="F1198" s="32">
        <v>648</v>
      </c>
      <c r="G1198" s="32" t="s">
        <v>38</v>
      </c>
      <c r="H1198" s="32" t="s">
        <v>3915</v>
      </c>
      <c r="I1198" s="32" t="s">
        <v>39</v>
      </c>
      <c r="J1198" s="32" t="s">
        <v>40</v>
      </c>
      <c r="K1198" s="32" t="s">
        <v>41</v>
      </c>
    </row>
    <row r="1199" spans="1:11" hidden="1" x14ac:dyDescent="0.3">
      <c r="A1199" s="39">
        <v>46157.430694444447</v>
      </c>
      <c r="B1199" s="32" t="s">
        <v>54</v>
      </c>
      <c r="C1199" s="32">
        <v>84998634920</v>
      </c>
      <c r="E1199" s="32">
        <v>17</v>
      </c>
      <c r="F1199" s="32">
        <v>0</v>
      </c>
      <c r="G1199" s="32" t="s">
        <v>47</v>
      </c>
      <c r="H1199" s="32" t="s">
        <v>3916</v>
      </c>
      <c r="I1199" s="32" t="s">
        <v>46</v>
      </c>
      <c r="J1199" s="32" t="s">
        <v>55</v>
      </c>
    </row>
    <row r="1200" spans="1:11" hidden="1" x14ac:dyDescent="0.3">
      <c r="A1200" s="39">
        <v>46157.430185185185</v>
      </c>
      <c r="B1200" s="32" t="s">
        <v>54</v>
      </c>
      <c r="C1200" s="32">
        <v>5135023195</v>
      </c>
      <c r="E1200" s="32">
        <v>2</v>
      </c>
      <c r="F1200" s="32">
        <v>0</v>
      </c>
      <c r="G1200" s="32" t="s">
        <v>47</v>
      </c>
      <c r="H1200" s="32" t="s">
        <v>3917</v>
      </c>
      <c r="I1200" s="32" t="s">
        <v>46</v>
      </c>
      <c r="J1200" s="32" t="s">
        <v>55</v>
      </c>
    </row>
    <row r="1201" spans="1:12" hidden="1" x14ac:dyDescent="0.3">
      <c r="A1201" s="39">
        <v>46157.429074074076</v>
      </c>
      <c r="B1201" s="32" t="s">
        <v>54</v>
      </c>
      <c r="C1201" s="32">
        <v>21972153460</v>
      </c>
      <c r="E1201" s="32">
        <v>21</v>
      </c>
      <c r="F1201" s="32">
        <v>1</v>
      </c>
      <c r="G1201" s="32" t="s">
        <v>38</v>
      </c>
      <c r="H1201" s="32" t="s">
        <v>3918</v>
      </c>
      <c r="I1201" s="32" t="s">
        <v>46</v>
      </c>
      <c r="J1201" s="32" t="s">
        <v>55</v>
      </c>
    </row>
    <row r="1202" spans="1:12" hidden="1" x14ac:dyDescent="0.3">
      <c r="A1202" s="39">
        <v>46157.428564814814</v>
      </c>
      <c r="B1202" s="32" t="s">
        <v>54</v>
      </c>
      <c r="C1202" s="32">
        <v>71992131665</v>
      </c>
      <c r="E1202" s="32">
        <v>17</v>
      </c>
      <c r="F1202" s="32">
        <v>2</v>
      </c>
      <c r="G1202" s="32" t="s">
        <v>38</v>
      </c>
      <c r="H1202" s="32" t="s">
        <v>3919</v>
      </c>
      <c r="I1202" s="32" t="s">
        <v>46</v>
      </c>
      <c r="J1202" s="32" t="s">
        <v>55</v>
      </c>
    </row>
    <row r="1203" spans="1:12" hidden="1" x14ac:dyDescent="0.3">
      <c r="A1203" s="39">
        <v>46157.428101851852</v>
      </c>
      <c r="B1203" s="32">
        <v>44988255390</v>
      </c>
      <c r="C1203" s="32" t="s">
        <v>45</v>
      </c>
      <c r="D1203" s="32">
        <v>4430265054</v>
      </c>
      <c r="E1203" s="32">
        <v>1772</v>
      </c>
      <c r="F1203" s="32">
        <v>1736</v>
      </c>
      <c r="G1203" s="32" t="s">
        <v>38</v>
      </c>
      <c r="H1203" s="32" t="s">
        <v>3920</v>
      </c>
      <c r="I1203" s="32" t="s">
        <v>39</v>
      </c>
      <c r="J1203" s="32" t="s">
        <v>40</v>
      </c>
      <c r="K1203" s="32" t="s">
        <v>41</v>
      </c>
    </row>
    <row r="1204" spans="1:12" hidden="1" x14ac:dyDescent="0.3">
      <c r="A1204" s="39">
        <v>46157.425844907404</v>
      </c>
      <c r="B1204" s="32" t="s">
        <v>54</v>
      </c>
      <c r="C1204" s="32">
        <v>99984079873</v>
      </c>
      <c r="E1204" s="32">
        <v>25</v>
      </c>
      <c r="F1204" s="32">
        <v>1</v>
      </c>
      <c r="G1204" s="32" t="s">
        <v>38</v>
      </c>
      <c r="H1204" s="32" t="s">
        <v>3921</v>
      </c>
      <c r="I1204" s="32" t="s">
        <v>46</v>
      </c>
      <c r="J1204" s="32" t="s">
        <v>55</v>
      </c>
    </row>
    <row r="1205" spans="1:12" hidden="1" x14ac:dyDescent="0.3">
      <c r="A1205" s="39">
        <v>46157.424502314818</v>
      </c>
      <c r="B1205" s="32">
        <v>44998761561</v>
      </c>
      <c r="C1205" s="32" t="s">
        <v>43</v>
      </c>
      <c r="D1205" s="32">
        <v>4430265054</v>
      </c>
      <c r="E1205" s="32">
        <v>325</v>
      </c>
      <c r="F1205" s="32">
        <v>213</v>
      </c>
      <c r="G1205" s="32" t="s">
        <v>38</v>
      </c>
      <c r="H1205" s="32" t="s">
        <v>3922</v>
      </c>
      <c r="I1205" s="32" t="s">
        <v>39</v>
      </c>
      <c r="J1205" s="32" t="s">
        <v>40</v>
      </c>
      <c r="K1205" s="32" t="s">
        <v>41</v>
      </c>
      <c r="L1205" s="32">
        <v>5</v>
      </c>
    </row>
    <row r="1206" spans="1:12" hidden="1" x14ac:dyDescent="0.3">
      <c r="A1206" s="39">
        <v>46157.424050925925</v>
      </c>
      <c r="B1206" s="32">
        <v>44998068281</v>
      </c>
      <c r="C1206" s="32" t="s">
        <v>48</v>
      </c>
      <c r="D1206" s="32">
        <v>4431268225</v>
      </c>
      <c r="E1206" s="32">
        <v>1204</v>
      </c>
      <c r="F1206" s="32">
        <v>1204</v>
      </c>
      <c r="G1206" s="32" t="s">
        <v>38</v>
      </c>
      <c r="H1206" s="32" t="s">
        <v>3923</v>
      </c>
      <c r="I1206" s="32" t="s">
        <v>39</v>
      </c>
      <c r="J1206" s="32" t="s">
        <v>40</v>
      </c>
      <c r="K1206" s="32" t="s">
        <v>41</v>
      </c>
      <c r="L1206" s="32">
        <v>5</v>
      </c>
    </row>
    <row r="1207" spans="1:12" hidden="1" x14ac:dyDescent="0.3">
      <c r="A1207" s="39">
        <v>46157.423506944448</v>
      </c>
      <c r="B1207" s="32" t="s">
        <v>54</v>
      </c>
      <c r="C1207" s="32">
        <v>11968630614</v>
      </c>
      <c r="E1207" s="32">
        <v>6</v>
      </c>
      <c r="F1207" s="32">
        <v>0</v>
      </c>
      <c r="G1207" s="32" t="s">
        <v>47</v>
      </c>
      <c r="H1207" s="32" t="s">
        <v>3924</v>
      </c>
      <c r="I1207" s="32" t="s">
        <v>46</v>
      </c>
      <c r="J1207" s="32" t="s">
        <v>55</v>
      </c>
    </row>
    <row r="1208" spans="1:12" hidden="1" x14ac:dyDescent="0.3">
      <c r="A1208" s="39">
        <v>46157.423344907409</v>
      </c>
      <c r="B1208" s="32" t="s">
        <v>43</v>
      </c>
      <c r="C1208" s="32">
        <v>44998068281</v>
      </c>
      <c r="E1208" s="32">
        <v>34</v>
      </c>
      <c r="F1208" s="32">
        <v>0</v>
      </c>
      <c r="G1208" s="32" t="s">
        <v>47</v>
      </c>
      <c r="H1208" s="32" t="s">
        <v>3925</v>
      </c>
      <c r="I1208" s="32" t="s">
        <v>46</v>
      </c>
      <c r="J1208" s="32" t="s">
        <v>40</v>
      </c>
    </row>
    <row r="1209" spans="1:12" hidden="1" x14ac:dyDescent="0.3">
      <c r="A1209" s="39">
        <v>46157.42328703704</v>
      </c>
      <c r="B1209" s="32" t="s">
        <v>43</v>
      </c>
      <c r="C1209" s="32">
        <v>44998068281</v>
      </c>
      <c r="E1209" s="32">
        <v>4</v>
      </c>
      <c r="F1209" s="32">
        <v>0</v>
      </c>
      <c r="G1209" s="32" t="s">
        <v>47</v>
      </c>
      <c r="H1209" s="32" t="s">
        <v>3926</v>
      </c>
      <c r="I1209" s="32" t="s">
        <v>46</v>
      </c>
      <c r="J1209" s="32" t="s">
        <v>40</v>
      </c>
    </row>
    <row r="1210" spans="1:12" hidden="1" x14ac:dyDescent="0.3">
      <c r="A1210" s="39">
        <v>46157.421643518515</v>
      </c>
      <c r="B1210" s="32">
        <v>44998068281</v>
      </c>
      <c r="C1210" s="32" t="s">
        <v>43</v>
      </c>
      <c r="D1210" s="32">
        <v>4430265054</v>
      </c>
      <c r="E1210" s="32">
        <v>147</v>
      </c>
      <c r="F1210" s="32">
        <v>35</v>
      </c>
      <c r="G1210" s="32" t="s">
        <v>38</v>
      </c>
      <c r="H1210" s="32" t="s">
        <v>3927</v>
      </c>
      <c r="I1210" s="32" t="s">
        <v>39</v>
      </c>
      <c r="J1210" s="32" t="s">
        <v>40</v>
      </c>
      <c r="K1210" s="32" t="s">
        <v>41</v>
      </c>
    </row>
    <row r="1211" spans="1:12" hidden="1" x14ac:dyDescent="0.3">
      <c r="A1211" s="39">
        <v>46157.42150462963</v>
      </c>
      <c r="B1211" s="32" t="s">
        <v>54</v>
      </c>
      <c r="C1211" s="32">
        <v>11999499038</v>
      </c>
      <c r="E1211" s="32">
        <v>1</v>
      </c>
      <c r="F1211" s="32">
        <v>0</v>
      </c>
      <c r="G1211" s="32" t="s">
        <v>47</v>
      </c>
      <c r="H1211" s="32" t="s">
        <v>3928</v>
      </c>
      <c r="I1211" s="32" t="s">
        <v>46</v>
      </c>
      <c r="J1211" s="32" t="s">
        <v>55</v>
      </c>
    </row>
    <row r="1212" spans="1:12" hidden="1" x14ac:dyDescent="0.3">
      <c r="A1212" s="39">
        <v>46157.416412037041</v>
      </c>
      <c r="B1212" s="32" t="s">
        <v>54</v>
      </c>
      <c r="C1212" s="32">
        <v>31975719725</v>
      </c>
      <c r="E1212" s="32">
        <v>19</v>
      </c>
      <c r="F1212" s="32">
        <v>4</v>
      </c>
      <c r="G1212" s="32" t="s">
        <v>38</v>
      </c>
      <c r="H1212" s="32" t="s">
        <v>3929</v>
      </c>
      <c r="I1212" s="32" t="s">
        <v>46</v>
      </c>
      <c r="J1212" s="32" t="s">
        <v>55</v>
      </c>
    </row>
    <row r="1213" spans="1:12" hidden="1" x14ac:dyDescent="0.3">
      <c r="A1213" s="39">
        <v>46157.415150462963</v>
      </c>
      <c r="B1213" s="32" t="s">
        <v>54</v>
      </c>
      <c r="C1213" s="32">
        <v>99999848353</v>
      </c>
      <c r="E1213" s="32">
        <v>5</v>
      </c>
      <c r="F1213" s="32">
        <v>2</v>
      </c>
      <c r="G1213" s="32" t="s">
        <v>38</v>
      </c>
      <c r="H1213" s="32" t="s">
        <v>3930</v>
      </c>
      <c r="I1213" s="32" t="s">
        <v>46</v>
      </c>
      <c r="J1213" s="32" t="s">
        <v>55</v>
      </c>
    </row>
    <row r="1214" spans="1:12" hidden="1" x14ac:dyDescent="0.3">
      <c r="A1214" s="39">
        <v>46157.414293981485</v>
      </c>
      <c r="B1214" s="32" t="s">
        <v>54</v>
      </c>
      <c r="C1214" s="32">
        <v>44996178871</v>
      </c>
      <c r="E1214" s="32">
        <v>1</v>
      </c>
      <c r="F1214" s="32">
        <v>0</v>
      </c>
      <c r="G1214" s="32" t="s">
        <v>47</v>
      </c>
      <c r="H1214" s="32" t="s">
        <v>3931</v>
      </c>
      <c r="I1214" s="32" t="s">
        <v>46</v>
      </c>
      <c r="J1214" s="32" t="s">
        <v>55</v>
      </c>
    </row>
    <row r="1215" spans="1:12" hidden="1" x14ac:dyDescent="0.3">
      <c r="A1215" s="39">
        <v>46157.413229166668</v>
      </c>
      <c r="B1215" s="32" t="s">
        <v>54</v>
      </c>
      <c r="C1215" s="32">
        <v>11982956711</v>
      </c>
      <c r="E1215" s="32">
        <v>7</v>
      </c>
      <c r="F1215" s="32">
        <v>0</v>
      </c>
      <c r="G1215" s="32" t="s">
        <v>47</v>
      </c>
      <c r="H1215" s="32" t="s">
        <v>3932</v>
      </c>
      <c r="I1215" s="32" t="s">
        <v>46</v>
      </c>
      <c r="J1215" s="32" t="s">
        <v>55</v>
      </c>
    </row>
    <row r="1216" spans="1:12" hidden="1" x14ac:dyDescent="0.3">
      <c r="A1216" s="39">
        <v>46157.411354166667</v>
      </c>
      <c r="B1216" s="32" t="s">
        <v>43</v>
      </c>
      <c r="C1216" s="32">
        <v>6234347959</v>
      </c>
      <c r="E1216" s="32">
        <v>333</v>
      </c>
      <c r="F1216" s="32">
        <v>325</v>
      </c>
      <c r="G1216" s="32" t="s">
        <v>38</v>
      </c>
      <c r="H1216" s="32" t="s">
        <v>3933</v>
      </c>
      <c r="I1216" s="32" t="s">
        <v>46</v>
      </c>
      <c r="J1216" s="32" t="s">
        <v>40</v>
      </c>
      <c r="L1216" s="32">
        <v>5</v>
      </c>
    </row>
    <row r="1217" spans="1:11" hidden="1" x14ac:dyDescent="0.3">
      <c r="A1217" s="39">
        <v>46157.410439814812</v>
      </c>
      <c r="B1217" s="32" t="s">
        <v>54</v>
      </c>
      <c r="C1217" s="32">
        <v>31994307541</v>
      </c>
      <c r="E1217" s="32">
        <v>10</v>
      </c>
      <c r="F1217" s="32">
        <v>3</v>
      </c>
      <c r="G1217" s="32" t="s">
        <v>38</v>
      </c>
      <c r="H1217" s="32" t="s">
        <v>3934</v>
      </c>
      <c r="I1217" s="32" t="s">
        <v>46</v>
      </c>
      <c r="J1217" s="32" t="s">
        <v>55</v>
      </c>
    </row>
    <row r="1218" spans="1:11" hidden="1" x14ac:dyDescent="0.3">
      <c r="A1218" s="39">
        <v>46157.406840277778</v>
      </c>
      <c r="B1218" s="32">
        <v>43991364602</v>
      </c>
      <c r="C1218" s="32" t="s">
        <v>48</v>
      </c>
      <c r="D1218" s="32">
        <v>4430265054</v>
      </c>
      <c r="E1218" s="32">
        <v>357</v>
      </c>
      <c r="F1218" s="32">
        <v>356</v>
      </c>
      <c r="G1218" s="32" t="s">
        <v>38</v>
      </c>
      <c r="H1218" s="32" t="s">
        <v>3935</v>
      </c>
      <c r="I1218" s="32" t="s">
        <v>39</v>
      </c>
      <c r="J1218" s="32" t="s">
        <v>40</v>
      </c>
      <c r="K1218" s="32" t="s">
        <v>41</v>
      </c>
    </row>
    <row r="1219" spans="1:11" hidden="1" x14ac:dyDescent="0.3">
      <c r="A1219" s="39">
        <v>46157.404583333337</v>
      </c>
      <c r="B1219" s="32">
        <v>11940738820</v>
      </c>
      <c r="C1219" s="32" t="s">
        <v>45</v>
      </c>
      <c r="D1219" s="32">
        <v>4431268225</v>
      </c>
      <c r="E1219" s="32">
        <v>1475</v>
      </c>
      <c r="F1219" s="32">
        <v>1454</v>
      </c>
      <c r="G1219" s="32" t="s">
        <v>38</v>
      </c>
      <c r="H1219" s="32" t="s">
        <v>3936</v>
      </c>
      <c r="I1219" s="32" t="s">
        <v>39</v>
      </c>
      <c r="J1219" s="32" t="s">
        <v>40</v>
      </c>
      <c r="K1219" s="32" t="s">
        <v>41</v>
      </c>
    </row>
    <row r="1220" spans="1:11" hidden="1" x14ac:dyDescent="0.3">
      <c r="A1220" s="39">
        <v>46157.404583333337</v>
      </c>
      <c r="B1220" s="32">
        <v>4334232912</v>
      </c>
      <c r="C1220" s="32" t="s">
        <v>43</v>
      </c>
      <c r="D1220" s="32">
        <v>4430265054</v>
      </c>
      <c r="E1220" s="32">
        <v>248</v>
      </c>
      <c r="F1220" s="32">
        <v>199</v>
      </c>
      <c r="G1220" s="32" t="s">
        <v>38</v>
      </c>
      <c r="H1220" s="32" t="s">
        <v>3937</v>
      </c>
      <c r="I1220" s="32" t="s">
        <v>39</v>
      </c>
      <c r="J1220" s="32" t="s">
        <v>40</v>
      </c>
      <c r="K1220" s="32" t="s">
        <v>41</v>
      </c>
    </row>
    <row r="1221" spans="1:11" hidden="1" x14ac:dyDescent="0.3">
      <c r="A1221" s="39">
        <v>46157.401770833334</v>
      </c>
      <c r="B1221" s="32" t="s">
        <v>45</v>
      </c>
      <c r="C1221" s="32">
        <v>11940738820</v>
      </c>
      <c r="E1221" s="32">
        <v>23</v>
      </c>
      <c r="F1221" s="32">
        <v>0</v>
      </c>
      <c r="G1221" s="32" t="s">
        <v>47</v>
      </c>
      <c r="H1221" s="32" t="s">
        <v>3938</v>
      </c>
      <c r="I1221" s="32" t="s">
        <v>46</v>
      </c>
      <c r="J1221" s="32" t="s">
        <v>40</v>
      </c>
    </row>
    <row r="1222" spans="1:11" hidden="1" x14ac:dyDescent="0.3">
      <c r="A1222" s="39">
        <v>46157.401435185187</v>
      </c>
      <c r="B1222" s="32" t="s">
        <v>45</v>
      </c>
      <c r="C1222" s="32">
        <v>11940738820</v>
      </c>
      <c r="E1222" s="32">
        <v>55</v>
      </c>
      <c r="F1222" s="32">
        <v>33</v>
      </c>
      <c r="G1222" s="32" t="s">
        <v>38</v>
      </c>
      <c r="H1222" s="32" t="s">
        <v>3939</v>
      </c>
      <c r="I1222" s="32" t="s">
        <v>46</v>
      </c>
      <c r="J1222" s="32" t="s">
        <v>40</v>
      </c>
    </row>
    <row r="1223" spans="1:11" hidden="1" x14ac:dyDescent="0.3">
      <c r="A1223" s="39">
        <v>46157.401180555556</v>
      </c>
      <c r="B1223" s="32" t="s">
        <v>54</v>
      </c>
      <c r="C1223" s="32">
        <v>11973382151</v>
      </c>
      <c r="E1223" s="32">
        <v>9</v>
      </c>
      <c r="F1223" s="32">
        <v>0</v>
      </c>
      <c r="G1223" s="32" t="s">
        <v>47</v>
      </c>
      <c r="H1223" s="32" t="s">
        <v>3940</v>
      </c>
      <c r="I1223" s="32" t="s">
        <v>46</v>
      </c>
      <c r="J1223" s="32" t="s">
        <v>55</v>
      </c>
    </row>
    <row r="1224" spans="1:11" hidden="1" x14ac:dyDescent="0.3">
      <c r="A1224" s="39">
        <v>46157.399664351855</v>
      </c>
      <c r="B1224" s="32" t="s">
        <v>54</v>
      </c>
      <c r="C1224" s="32">
        <v>92992663990</v>
      </c>
      <c r="E1224" s="32">
        <v>10</v>
      </c>
      <c r="F1224" s="32">
        <v>2</v>
      </c>
      <c r="G1224" s="32" t="s">
        <v>38</v>
      </c>
      <c r="H1224" s="32" t="s">
        <v>3941</v>
      </c>
      <c r="I1224" s="32" t="s">
        <v>46</v>
      </c>
      <c r="J1224" s="32" t="s">
        <v>55</v>
      </c>
    </row>
    <row r="1225" spans="1:11" hidden="1" x14ac:dyDescent="0.3">
      <c r="A1225" s="39">
        <v>46157.399525462963</v>
      </c>
      <c r="B1225" s="32">
        <v>11940738820</v>
      </c>
      <c r="C1225" s="32" t="s">
        <v>45</v>
      </c>
      <c r="D1225" s="32">
        <v>4431268225</v>
      </c>
      <c r="E1225" s="32">
        <v>136</v>
      </c>
      <c r="F1225" s="32">
        <v>69</v>
      </c>
      <c r="G1225" s="32" t="s">
        <v>38</v>
      </c>
      <c r="H1225" s="32" t="s">
        <v>3942</v>
      </c>
      <c r="I1225" s="32" t="s">
        <v>39</v>
      </c>
      <c r="J1225" s="32" t="s">
        <v>40</v>
      </c>
      <c r="K1225" s="32" t="s">
        <v>41</v>
      </c>
    </row>
    <row r="1226" spans="1:11" hidden="1" x14ac:dyDescent="0.3">
      <c r="A1226" s="39">
        <v>46157.396365740744</v>
      </c>
      <c r="B1226" s="32" t="s">
        <v>54</v>
      </c>
      <c r="C1226" s="32">
        <v>17997470242</v>
      </c>
      <c r="E1226" s="32">
        <v>23</v>
      </c>
      <c r="F1226" s="32">
        <v>0</v>
      </c>
      <c r="G1226" s="32" t="s">
        <v>38</v>
      </c>
      <c r="H1226" s="32" t="s">
        <v>3943</v>
      </c>
      <c r="I1226" s="32" t="s">
        <v>46</v>
      </c>
      <c r="J1226" s="32" t="s">
        <v>55</v>
      </c>
    </row>
    <row r="1227" spans="1:11" hidden="1" x14ac:dyDescent="0.3">
      <c r="A1227" s="39">
        <v>46157.393761574072</v>
      </c>
      <c r="B1227" s="32">
        <v>4430562296</v>
      </c>
      <c r="C1227" s="32" t="s">
        <v>48</v>
      </c>
      <c r="D1227" s="32">
        <v>4430265054</v>
      </c>
      <c r="E1227" s="32">
        <v>354</v>
      </c>
      <c r="F1227" s="32">
        <v>354</v>
      </c>
      <c r="G1227" s="32" t="s">
        <v>38</v>
      </c>
      <c r="H1227" s="32" t="s">
        <v>3944</v>
      </c>
      <c r="I1227" s="32" t="s">
        <v>39</v>
      </c>
      <c r="J1227" s="32" t="s">
        <v>40</v>
      </c>
      <c r="K1227" s="32" t="s">
        <v>41</v>
      </c>
    </row>
    <row r="1228" spans="1:11" hidden="1" x14ac:dyDescent="0.3">
      <c r="A1228" s="39">
        <v>46157.393101851849</v>
      </c>
      <c r="B1228" s="32" t="s">
        <v>54</v>
      </c>
      <c r="C1228" s="32">
        <v>31983994301</v>
      </c>
      <c r="E1228" s="32">
        <v>28</v>
      </c>
      <c r="F1228" s="32">
        <v>8</v>
      </c>
      <c r="G1228" s="32" t="s">
        <v>38</v>
      </c>
      <c r="H1228" s="32" t="s">
        <v>3945</v>
      </c>
      <c r="I1228" s="32" t="s">
        <v>46</v>
      </c>
      <c r="J1228" s="32" t="s">
        <v>55</v>
      </c>
    </row>
    <row r="1229" spans="1:11" hidden="1" x14ac:dyDescent="0.3">
      <c r="A1229" s="39">
        <v>46157.390347222223</v>
      </c>
      <c r="B1229" s="32">
        <v>44999689445</v>
      </c>
      <c r="C1229" s="32" t="s">
        <v>45</v>
      </c>
      <c r="D1229" s="32">
        <v>4430265054</v>
      </c>
      <c r="E1229" s="32">
        <v>271</v>
      </c>
      <c r="F1229" s="32">
        <v>226</v>
      </c>
      <c r="G1229" s="32" t="s">
        <v>38</v>
      </c>
      <c r="H1229" s="32" t="s">
        <v>3946</v>
      </c>
      <c r="I1229" s="32" t="s">
        <v>39</v>
      </c>
      <c r="J1229" s="32" t="s">
        <v>40</v>
      </c>
      <c r="K1229" s="32" t="s">
        <v>41</v>
      </c>
    </row>
    <row r="1230" spans="1:11" hidden="1" x14ac:dyDescent="0.3">
      <c r="A1230" s="39">
        <v>46157.390115740738</v>
      </c>
      <c r="B1230" s="32" t="s">
        <v>54</v>
      </c>
      <c r="C1230" s="32">
        <v>8134539376</v>
      </c>
      <c r="E1230" s="32">
        <v>24</v>
      </c>
      <c r="F1230" s="32">
        <v>0</v>
      </c>
      <c r="G1230" s="32" t="s">
        <v>47</v>
      </c>
      <c r="H1230" s="32" t="s">
        <v>3947</v>
      </c>
      <c r="I1230" s="32" t="s">
        <v>46</v>
      </c>
      <c r="J1230" s="32" t="s">
        <v>55</v>
      </c>
    </row>
    <row r="1231" spans="1:11" hidden="1" x14ac:dyDescent="0.3">
      <c r="A1231" s="39">
        <v>46157.389085648145</v>
      </c>
      <c r="B1231" s="32" t="s">
        <v>54</v>
      </c>
      <c r="C1231" s="32">
        <v>69992006439</v>
      </c>
      <c r="E1231" s="32">
        <v>20</v>
      </c>
      <c r="F1231" s="32">
        <v>0</v>
      </c>
      <c r="G1231" s="32" t="s">
        <v>47</v>
      </c>
      <c r="H1231" s="32" t="s">
        <v>3948</v>
      </c>
      <c r="I1231" s="32" t="s">
        <v>46</v>
      </c>
      <c r="J1231" s="32" t="s">
        <v>55</v>
      </c>
    </row>
    <row r="1232" spans="1:11" hidden="1" x14ac:dyDescent="0.3">
      <c r="A1232" s="39">
        <v>46157.386724537035</v>
      </c>
      <c r="B1232" s="32" t="s">
        <v>54</v>
      </c>
      <c r="C1232" s="32">
        <v>11979788426</v>
      </c>
      <c r="E1232" s="32">
        <v>39</v>
      </c>
      <c r="F1232" s="32">
        <v>32</v>
      </c>
      <c r="G1232" s="32" t="s">
        <v>38</v>
      </c>
      <c r="H1232" s="32" t="s">
        <v>3949</v>
      </c>
      <c r="I1232" s="32" t="s">
        <v>46</v>
      </c>
      <c r="J1232" s="32" t="s">
        <v>55</v>
      </c>
    </row>
    <row r="1233" spans="1:12" hidden="1" x14ac:dyDescent="0.3">
      <c r="A1233" s="39">
        <v>46157.382106481484</v>
      </c>
      <c r="B1233" s="32" t="s">
        <v>54</v>
      </c>
      <c r="C1233" s="32">
        <v>44996420121</v>
      </c>
      <c r="E1233" s="32">
        <v>0</v>
      </c>
      <c r="F1233" s="32">
        <v>0</v>
      </c>
      <c r="G1233" s="32" t="s">
        <v>47</v>
      </c>
      <c r="H1233" s="32" t="s">
        <v>3950</v>
      </c>
      <c r="I1233" s="32" t="s">
        <v>46</v>
      </c>
      <c r="J1233" s="32" t="s">
        <v>55</v>
      </c>
    </row>
    <row r="1234" spans="1:12" hidden="1" x14ac:dyDescent="0.3">
      <c r="A1234" s="39">
        <v>46157.380601851852</v>
      </c>
      <c r="B1234" s="32" t="s">
        <v>54</v>
      </c>
      <c r="C1234" s="32">
        <v>88994468887</v>
      </c>
      <c r="E1234" s="32">
        <v>26</v>
      </c>
      <c r="F1234" s="32">
        <v>1</v>
      </c>
      <c r="G1234" s="32" t="s">
        <v>38</v>
      </c>
      <c r="H1234" s="32" t="s">
        <v>3951</v>
      </c>
      <c r="I1234" s="32" t="s">
        <v>46</v>
      </c>
      <c r="J1234" s="32" t="s">
        <v>55</v>
      </c>
    </row>
    <row r="1235" spans="1:12" hidden="1" x14ac:dyDescent="0.3">
      <c r="A1235" s="39">
        <v>46157.380335648151</v>
      </c>
      <c r="B1235" s="32" t="s">
        <v>54</v>
      </c>
      <c r="C1235" s="32">
        <v>88994468887</v>
      </c>
      <c r="E1235" s="32">
        <v>22</v>
      </c>
      <c r="F1235" s="32">
        <v>0</v>
      </c>
      <c r="G1235" s="32" t="s">
        <v>47</v>
      </c>
      <c r="H1235" s="32" t="s">
        <v>3952</v>
      </c>
      <c r="I1235" s="32" t="s">
        <v>46</v>
      </c>
      <c r="J1235" s="32" t="s">
        <v>55</v>
      </c>
    </row>
    <row r="1236" spans="1:12" hidden="1" x14ac:dyDescent="0.3">
      <c r="A1236" s="39">
        <v>46157.379155092596</v>
      </c>
      <c r="B1236" s="32">
        <v>4430289556</v>
      </c>
      <c r="C1236" s="32" t="s">
        <v>43</v>
      </c>
      <c r="D1236" s="32">
        <v>4430265054</v>
      </c>
      <c r="E1236" s="32">
        <v>1333</v>
      </c>
      <c r="F1236" s="32">
        <v>1270</v>
      </c>
      <c r="G1236" s="32" t="s">
        <v>38</v>
      </c>
      <c r="H1236" s="32" t="s">
        <v>3953</v>
      </c>
      <c r="I1236" s="32" t="s">
        <v>39</v>
      </c>
      <c r="J1236" s="32" t="s">
        <v>40</v>
      </c>
      <c r="K1236" s="32" t="s">
        <v>41</v>
      </c>
    </row>
    <row r="1237" spans="1:12" hidden="1" x14ac:dyDescent="0.3">
      <c r="A1237" s="39">
        <v>46157.378993055558</v>
      </c>
      <c r="B1237" s="32" t="s">
        <v>54</v>
      </c>
      <c r="C1237" s="32">
        <v>74999696108</v>
      </c>
      <c r="E1237" s="32">
        <v>16</v>
      </c>
      <c r="F1237" s="32">
        <v>7</v>
      </c>
      <c r="G1237" s="32" t="s">
        <v>38</v>
      </c>
      <c r="H1237" s="32" t="s">
        <v>3954</v>
      </c>
      <c r="I1237" s="32" t="s">
        <v>46</v>
      </c>
      <c r="J1237" s="32" t="s">
        <v>55</v>
      </c>
    </row>
    <row r="1238" spans="1:12" hidden="1" x14ac:dyDescent="0.3">
      <c r="A1238" s="39">
        <v>46157.378668981481</v>
      </c>
      <c r="B1238" s="32">
        <v>4432541200</v>
      </c>
      <c r="C1238" s="32" t="s">
        <v>48</v>
      </c>
      <c r="D1238" s="32">
        <v>4430265054</v>
      </c>
      <c r="E1238" s="32">
        <v>159</v>
      </c>
      <c r="F1238" s="32">
        <v>159</v>
      </c>
      <c r="G1238" s="32" t="s">
        <v>38</v>
      </c>
      <c r="H1238" s="32" t="s">
        <v>3955</v>
      </c>
      <c r="I1238" s="32" t="s">
        <v>39</v>
      </c>
      <c r="J1238" s="32" t="s">
        <v>40</v>
      </c>
      <c r="K1238" s="32" t="s">
        <v>41</v>
      </c>
      <c r="L1238" s="32">
        <v>5</v>
      </c>
    </row>
    <row r="1239" spans="1:12" hidden="1" x14ac:dyDescent="0.3">
      <c r="A1239" s="39">
        <v>46157.37767361111</v>
      </c>
      <c r="B1239" s="32" t="s">
        <v>54</v>
      </c>
      <c r="C1239" s="32">
        <v>81996319016</v>
      </c>
      <c r="E1239" s="32">
        <v>18</v>
      </c>
      <c r="F1239" s="32">
        <v>0</v>
      </c>
      <c r="G1239" s="32" t="s">
        <v>47</v>
      </c>
      <c r="H1239" s="32" t="s">
        <v>3956</v>
      </c>
      <c r="I1239" s="32" t="s">
        <v>46</v>
      </c>
      <c r="J1239" s="32" t="s">
        <v>55</v>
      </c>
    </row>
    <row r="1240" spans="1:12" hidden="1" x14ac:dyDescent="0.3">
      <c r="A1240" s="39">
        <v>46157.377326388887</v>
      </c>
      <c r="B1240" s="32">
        <v>11968505675</v>
      </c>
      <c r="C1240" s="32" t="s">
        <v>45</v>
      </c>
      <c r="D1240" s="32">
        <v>4430265054</v>
      </c>
      <c r="E1240" s="32">
        <v>315</v>
      </c>
      <c r="F1240" s="32">
        <v>263</v>
      </c>
      <c r="G1240" s="32" t="s">
        <v>38</v>
      </c>
      <c r="H1240" s="32" t="s">
        <v>3957</v>
      </c>
      <c r="I1240" s="32" t="s">
        <v>39</v>
      </c>
      <c r="J1240" s="32" t="s">
        <v>40</v>
      </c>
      <c r="K1240" s="32" t="s">
        <v>41</v>
      </c>
    </row>
    <row r="1241" spans="1:12" hidden="1" x14ac:dyDescent="0.3">
      <c r="A1241" s="39">
        <v>46157.375277777777</v>
      </c>
      <c r="B1241" s="32">
        <v>44997650834</v>
      </c>
      <c r="C1241" s="32" t="s">
        <v>45</v>
      </c>
      <c r="D1241" s="32">
        <v>4430265054</v>
      </c>
      <c r="E1241" s="32">
        <v>226</v>
      </c>
      <c r="F1241" s="32">
        <v>159</v>
      </c>
      <c r="G1241" s="32" t="s">
        <v>38</v>
      </c>
      <c r="H1241" s="32" t="s">
        <v>3958</v>
      </c>
      <c r="I1241" s="32" t="s">
        <v>39</v>
      </c>
      <c r="J1241" s="32" t="s">
        <v>40</v>
      </c>
      <c r="K1241" s="32" t="s">
        <v>41</v>
      </c>
      <c r="L1241" s="32">
        <v>5</v>
      </c>
    </row>
    <row r="1242" spans="1:12" hidden="1" x14ac:dyDescent="0.3">
      <c r="A1242" s="39">
        <v>46157.369768518518</v>
      </c>
      <c r="B1242" s="32">
        <v>6234347959</v>
      </c>
      <c r="C1242" s="32" t="s">
        <v>43</v>
      </c>
      <c r="D1242" s="32">
        <v>4430265054</v>
      </c>
      <c r="E1242" s="32">
        <v>846</v>
      </c>
      <c r="F1242" s="32">
        <v>826</v>
      </c>
      <c r="G1242" s="32" t="s">
        <v>38</v>
      </c>
      <c r="H1242" s="32" t="s">
        <v>3959</v>
      </c>
      <c r="I1242" s="32" t="s">
        <v>39</v>
      </c>
      <c r="J1242" s="32" t="s">
        <v>40</v>
      </c>
      <c r="K1242" s="32" t="s">
        <v>41</v>
      </c>
    </row>
    <row r="1243" spans="1:12" hidden="1" x14ac:dyDescent="0.3">
      <c r="A1243" s="39">
        <v>46157.362685185188</v>
      </c>
      <c r="B1243" s="32">
        <v>4432524636</v>
      </c>
      <c r="C1243" s="32" t="s">
        <v>44</v>
      </c>
      <c r="D1243" s="32">
        <v>4430265054</v>
      </c>
      <c r="E1243" s="32">
        <v>617</v>
      </c>
      <c r="F1243" s="32">
        <v>555</v>
      </c>
      <c r="G1243" s="32" t="s">
        <v>38</v>
      </c>
      <c r="H1243" s="32" t="s">
        <v>3960</v>
      </c>
      <c r="I1243" s="32" t="s">
        <v>39</v>
      </c>
      <c r="J1243" s="32" t="s">
        <v>40</v>
      </c>
      <c r="K1243" s="32" t="s">
        <v>41</v>
      </c>
      <c r="L1243" s="32">
        <v>5</v>
      </c>
    </row>
    <row r="1244" spans="1:12" hidden="1" x14ac:dyDescent="0.3">
      <c r="A1244" s="39">
        <v>46157.362187500003</v>
      </c>
      <c r="B1244" s="32">
        <v>44988325431</v>
      </c>
      <c r="C1244" s="32">
        <v>4430265054</v>
      </c>
      <c r="D1244" s="32">
        <v>4430265054</v>
      </c>
      <c r="E1244" s="32">
        <v>9</v>
      </c>
      <c r="F1244" s="32">
        <v>9</v>
      </c>
      <c r="G1244" s="32" t="s">
        <v>52</v>
      </c>
      <c r="H1244" s="32" t="s">
        <v>3961</v>
      </c>
      <c r="I1244" s="32" t="s">
        <v>39</v>
      </c>
      <c r="J1244" s="32" t="s">
        <v>53</v>
      </c>
    </row>
    <row r="1245" spans="1:12" hidden="1" x14ac:dyDescent="0.3">
      <c r="A1245" s="39">
        <v>46157.3591087963</v>
      </c>
      <c r="B1245" s="32">
        <v>43984810043</v>
      </c>
      <c r="C1245" s="32" t="s">
        <v>45</v>
      </c>
      <c r="D1245" s="32">
        <v>4430265054</v>
      </c>
      <c r="E1245" s="32">
        <v>1109</v>
      </c>
      <c r="F1245" s="32">
        <v>987</v>
      </c>
      <c r="G1245" s="32" t="s">
        <v>38</v>
      </c>
      <c r="H1245" s="32" t="s">
        <v>3962</v>
      </c>
      <c r="I1245" s="32" t="s">
        <v>39</v>
      </c>
      <c r="J1245" s="32" t="s">
        <v>40</v>
      </c>
      <c r="K1245" s="32" t="s">
        <v>41</v>
      </c>
    </row>
    <row r="1246" spans="1:12" hidden="1" x14ac:dyDescent="0.3">
      <c r="A1246" s="39">
        <v>46157.356736111113</v>
      </c>
      <c r="B1246" s="32" t="s">
        <v>45</v>
      </c>
      <c r="C1246" s="32">
        <v>44988129483</v>
      </c>
      <c r="E1246" s="32">
        <v>308</v>
      </c>
      <c r="F1246" s="32">
        <v>293</v>
      </c>
      <c r="G1246" s="32" t="s">
        <v>38</v>
      </c>
      <c r="H1246" s="32" t="s">
        <v>3963</v>
      </c>
      <c r="I1246" s="32" t="s">
        <v>46</v>
      </c>
      <c r="J1246" s="32" t="s">
        <v>40</v>
      </c>
    </row>
    <row r="1247" spans="1:12" hidden="1" x14ac:dyDescent="0.3">
      <c r="A1247" s="39">
        <v>46157.356516203705</v>
      </c>
      <c r="B1247" s="32">
        <v>44997123083</v>
      </c>
      <c r="C1247" s="32" t="s">
        <v>44</v>
      </c>
      <c r="D1247" s="32">
        <v>4430265054</v>
      </c>
      <c r="E1247" s="32">
        <v>483</v>
      </c>
      <c r="F1247" s="32">
        <v>442</v>
      </c>
      <c r="G1247" s="32" t="s">
        <v>38</v>
      </c>
      <c r="H1247" s="32" t="s">
        <v>3964</v>
      </c>
      <c r="I1247" s="32" t="s">
        <v>39</v>
      </c>
      <c r="J1247" s="32" t="s">
        <v>40</v>
      </c>
      <c r="K1247" s="32" t="s">
        <v>41</v>
      </c>
      <c r="L1247" s="32">
        <v>5</v>
      </c>
    </row>
    <row r="1248" spans="1:12" hidden="1" x14ac:dyDescent="0.3">
      <c r="A1248" s="39">
        <v>46157.356400462966</v>
      </c>
      <c r="B1248" s="32" t="s">
        <v>45</v>
      </c>
      <c r="C1248" s="32">
        <v>44999599335</v>
      </c>
      <c r="E1248" s="32">
        <v>45</v>
      </c>
      <c r="F1248" s="32">
        <v>30</v>
      </c>
      <c r="G1248" s="32" t="s">
        <v>38</v>
      </c>
      <c r="H1248" s="32" t="s">
        <v>3965</v>
      </c>
      <c r="I1248" s="32" t="s">
        <v>46</v>
      </c>
      <c r="J1248" s="32" t="s">
        <v>40</v>
      </c>
    </row>
    <row r="1249" spans="1:12" hidden="1" x14ac:dyDescent="0.3">
      <c r="A1249" s="39">
        <v>46157.355879629627</v>
      </c>
      <c r="B1249" s="32">
        <v>4432321232</v>
      </c>
      <c r="C1249" s="32" t="s">
        <v>43</v>
      </c>
      <c r="D1249" s="32">
        <v>4430265054</v>
      </c>
      <c r="E1249" s="32">
        <v>706</v>
      </c>
      <c r="F1249" s="32">
        <v>627</v>
      </c>
      <c r="G1249" s="32" t="s">
        <v>38</v>
      </c>
      <c r="H1249" s="32" t="s">
        <v>3966</v>
      </c>
      <c r="I1249" s="32" t="s">
        <v>39</v>
      </c>
      <c r="J1249" s="32" t="s">
        <v>40</v>
      </c>
      <c r="K1249" s="32" t="s">
        <v>41</v>
      </c>
    </row>
    <row r="1250" spans="1:12" hidden="1" x14ac:dyDescent="0.3">
      <c r="A1250" s="39">
        <v>46157.353564814817</v>
      </c>
      <c r="B1250" s="32" t="s">
        <v>45</v>
      </c>
      <c r="C1250" s="32">
        <v>4435231494</v>
      </c>
      <c r="E1250" s="32">
        <v>6</v>
      </c>
      <c r="F1250" s="32">
        <v>0</v>
      </c>
      <c r="G1250" s="32" t="s">
        <v>47</v>
      </c>
      <c r="H1250" s="32" t="s">
        <v>3967</v>
      </c>
      <c r="I1250" s="32" t="s">
        <v>46</v>
      </c>
      <c r="J1250" s="32" t="s">
        <v>40</v>
      </c>
    </row>
    <row r="1251" spans="1:12" hidden="1" x14ac:dyDescent="0.3">
      <c r="A1251" s="39">
        <v>46157.347881944443</v>
      </c>
      <c r="B1251" s="32">
        <v>44997123083</v>
      </c>
      <c r="C1251" s="32">
        <v>4430265054</v>
      </c>
      <c r="D1251" s="32">
        <v>4430265054</v>
      </c>
      <c r="E1251" s="32">
        <v>17</v>
      </c>
      <c r="F1251" s="32">
        <v>17</v>
      </c>
      <c r="G1251" s="32" t="s">
        <v>52</v>
      </c>
      <c r="H1251" s="32" t="s">
        <v>3968</v>
      </c>
      <c r="I1251" s="32" t="s">
        <v>39</v>
      </c>
      <c r="J1251" s="32" t="s">
        <v>53</v>
      </c>
    </row>
    <row r="1252" spans="1:12" hidden="1" x14ac:dyDescent="0.3">
      <c r="A1252" s="39">
        <v>46156.72859953704</v>
      </c>
      <c r="B1252" s="32" t="s">
        <v>43</v>
      </c>
      <c r="C1252" s="32">
        <v>44998555192</v>
      </c>
      <c r="E1252" s="32">
        <v>200</v>
      </c>
      <c r="F1252" s="32">
        <v>192</v>
      </c>
      <c r="G1252" s="32" t="s">
        <v>38</v>
      </c>
      <c r="H1252" s="32" t="s">
        <v>3969</v>
      </c>
      <c r="I1252" s="32" t="s">
        <v>46</v>
      </c>
      <c r="J1252" s="32" t="s">
        <v>40</v>
      </c>
    </row>
    <row r="1253" spans="1:12" hidden="1" x14ac:dyDescent="0.3">
      <c r="A1253" s="39">
        <v>46156.727870370371</v>
      </c>
      <c r="B1253" s="32">
        <v>44991814587</v>
      </c>
      <c r="C1253" s="32" t="s">
        <v>44</v>
      </c>
      <c r="D1253" s="32">
        <v>4430265054</v>
      </c>
      <c r="E1253" s="32">
        <v>415</v>
      </c>
      <c r="F1253" s="32">
        <v>355</v>
      </c>
      <c r="G1253" s="32" t="s">
        <v>38</v>
      </c>
      <c r="H1253" s="32" t="s">
        <v>3970</v>
      </c>
      <c r="I1253" s="32" t="s">
        <v>39</v>
      </c>
      <c r="J1253" s="32" t="s">
        <v>40</v>
      </c>
      <c r="K1253" s="32" t="s">
        <v>41</v>
      </c>
    </row>
    <row r="1254" spans="1:12" hidden="1" x14ac:dyDescent="0.3">
      <c r="A1254" s="39">
        <v>46156.726759259262</v>
      </c>
      <c r="B1254" s="32" t="s">
        <v>45</v>
      </c>
      <c r="C1254" s="32">
        <v>4430318516</v>
      </c>
      <c r="E1254" s="32">
        <v>223</v>
      </c>
      <c r="F1254" s="32">
        <v>205</v>
      </c>
      <c r="G1254" s="32" t="s">
        <v>38</v>
      </c>
      <c r="H1254" s="32" t="s">
        <v>3971</v>
      </c>
      <c r="I1254" s="32" t="s">
        <v>46</v>
      </c>
      <c r="J1254" s="32" t="s">
        <v>40</v>
      </c>
    </row>
    <row r="1255" spans="1:12" hidden="1" x14ac:dyDescent="0.3">
      <c r="A1255" s="39">
        <v>46156.716331018521</v>
      </c>
      <c r="B1255" s="32">
        <v>44999844110</v>
      </c>
      <c r="C1255" s="32" t="s">
        <v>45</v>
      </c>
      <c r="D1255" s="32">
        <v>4431268225</v>
      </c>
      <c r="E1255" s="32">
        <v>164</v>
      </c>
      <c r="F1255" s="32">
        <v>153</v>
      </c>
      <c r="G1255" s="32" t="s">
        <v>38</v>
      </c>
      <c r="H1255" s="32" t="s">
        <v>3972</v>
      </c>
      <c r="I1255" s="32" t="s">
        <v>39</v>
      </c>
      <c r="J1255" s="32" t="s">
        <v>40</v>
      </c>
      <c r="K1255" s="32" t="s">
        <v>41</v>
      </c>
    </row>
    <row r="1256" spans="1:12" hidden="1" x14ac:dyDescent="0.3">
      <c r="A1256" s="39">
        <v>46156.715682870374</v>
      </c>
      <c r="B1256" s="32" t="s">
        <v>45</v>
      </c>
      <c r="C1256" s="32">
        <v>44999844110</v>
      </c>
      <c r="E1256" s="32">
        <v>45</v>
      </c>
      <c r="F1256" s="32">
        <v>24</v>
      </c>
      <c r="G1256" s="32" t="s">
        <v>38</v>
      </c>
      <c r="H1256" s="32" t="s">
        <v>3973</v>
      </c>
      <c r="I1256" s="32" t="s">
        <v>46</v>
      </c>
      <c r="J1256" s="32" t="s">
        <v>40</v>
      </c>
    </row>
    <row r="1257" spans="1:12" hidden="1" x14ac:dyDescent="0.3">
      <c r="A1257" s="39">
        <v>46156.715613425928</v>
      </c>
      <c r="B1257" s="32" t="s">
        <v>45</v>
      </c>
      <c r="C1257" s="32">
        <v>44999844110</v>
      </c>
      <c r="E1257" s="32">
        <v>4</v>
      </c>
      <c r="F1257" s="32">
        <v>0</v>
      </c>
      <c r="G1257" s="32" t="s">
        <v>47</v>
      </c>
      <c r="H1257" s="32" t="s">
        <v>3974</v>
      </c>
      <c r="I1257" s="32" t="s">
        <v>46</v>
      </c>
      <c r="J1257" s="32" t="s">
        <v>40</v>
      </c>
    </row>
    <row r="1258" spans="1:12" hidden="1" x14ac:dyDescent="0.3">
      <c r="A1258" s="39">
        <v>46156.715138888889</v>
      </c>
      <c r="B1258" s="32" t="s">
        <v>45</v>
      </c>
      <c r="C1258" s="32">
        <v>4430266599</v>
      </c>
      <c r="E1258" s="32">
        <v>2</v>
      </c>
      <c r="F1258" s="32">
        <v>0</v>
      </c>
      <c r="G1258" s="32" t="s">
        <v>47</v>
      </c>
      <c r="H1258" s="32" t="s">
        <v>3975</v>
      </c>
      <c r="I1258" s="32" t="s">
        <v>46</v>
      </c>
      <c r="J1258" s="32" t="s">
        <v>40</v>
      </c>
    </row>
    <row r="1259" spans="1:12" hidden="1" x14ac:dyDescent="0.3">
      <c r="A1259" s="39">
        <v>46156.713703703703</v>
      </c>
      <c r="B1259" s="32">
        <v>1131515685</v>
      </c>
      <c r="C1259" s="32" t="s">
        <v>43</v>
      </c>
      <c r="D1259" s="32">
        <v>4430265054</v>
      </c>
      <c r="E1259" s="32">
        <v>721</v>
      </c>
      <c r="F1259" s="32">
        <v>549</v>
      </c>
      <c r="G1259" s="32" t="s">
        <v>38</v>
      </c>
      <c r="H1259" s="32" t="s">
        <v>3976</v>
      </c>
      <c r="I1259" s="32" t="s">
        <v>39</v>
      </c>
      <c r="J1259" s="32" t="s">
        <v>40</v>
      </c>
      <c r="K1259" s="32" t="s">
        <v>41</v>
      </c>
      <c r="L1259" s="32">
        <v>5</v>
      </c>
    </row>
    <row r="1260" spans="1:12" hidden="1" x14ac:dyDescent="0.3">
      <c r="A1260" s="39">
        <v>46156.712083333332</v>
      </c>
      <c r="B1260" s="32">
        <v>1131515685</v>
      </c>
      <c r="C1260" s="32" t="s">
        <v>45</v>
      </c>
      <c r="D1260" s="32">
        <v>4430265054</v>
      </c>
      <c r="E1260" s="32">
        <v>94</v>
      </c>
      <c r="F1260" s="32">
        <v>9</v>
      </c>
      <c r="G1260" s="32" t="s">
        <v>38</v>
      </c>
      <c r="H1260" s="32" t="s">
        <v>3977</v>
      </c>
      <c r="I1260" s="32" t="s">
        <v>39</v>
      </c>
      <c r="J1260" s="32" t="s">
        <v>40</v>
      </c>
      <c r="K1260" s="32" t="s">
        <v>41</v>
      </c>
    </row>
    <row r="1261" spans="1:12" hidden="1" x14ac:dyDescent="0.3">
      <c r="A1261" s="39">
        <v>46156.7109375</v>
      </c>
      <c r="B1261" s="32">
        <v>44998068281</v>
      </c>
      <c r="C1261" s="32" t="s">
        <v>43</v>
      </c>
      <c r="D1261" s="32">
        <v>4430265054</v>
      </c>
      <c r="E1261" s="32">
        <v>284</v>
      </c>
      <c r="F1261" s="32">
        <v>243</v>
      </c>
      <c r="G1261" s="32" t="s">
        <v>38</v>
      </c>
      <c r="H1261" s="32" t="s">
        <v>3978</v>
      </c>
      <c r="I1261" s="32" t="s">
        <v>39</v>
      </c>
      <c r="J1261" s="32" t="s">
        <v>40</v>
      </c>
      <c r="K1261" s="32" t="s">
        <v>41</v>
      </c>
    </row>
    <row r="1262" spans="1:12" hidden="1" x14ac:dyDescent="0.3">
      <c r="A1262" s="39">
        <v>46156.705729166664</v>
      </c>
      <c r="B1262" s="32">
        <v>44988182098</v>
      </c>
      <c r="C1262" s="32" t="s">
        <v>48</v>
      </c>
      <c r="D1262" s="32">
        <v>4430265054</v>
      </c>
      <c r="E1262" s="32">
        <v>245</v>
      </c>
      <c r="F1262" s="32">
        <v>167</v>
      </c>
      <c r="G1262" s="32" t="s">
        <v>38</v>
      </c>
      <c r="H1262" s="32" t="s">
        <v>3979</v>
      </c>
      <c r="I1262" s="32" t="s">
        <v>39</v>
      </c>
      <c r="J1262" s="32" t="s">
        <v>40</v>
      </c>
      <c r="K1262" s="32" t="s">
        <v>41</v>
      </c>
    </row>
    <row r="1263" spans="1:12" hidden="1" x14ac:dyDescent="0.3">
      <c r="A1263" s="39">
        <v>46156.705694444441</v>
      </c>
      <c r="B1263" s="32">
        <v>44997079838</v>
      </c>
      <c r="C1263" s="32" t="s">
        <v>45</v>
      </c>
      <c r="D1263" s="32">
        <v>4430265054</v>
      </c>
      <c r="E1263" s="32">
        <v>625</v>
      </c>
      <c r="F1263" s="32">
        <v>516</v>
      </c>
      <c r="G1263" s="32" t="s">
        <v>38</v>
      </c>
      <c r="H1263" s="32" t="s">
        <v>3980</v>
      </c>
      <c r="I1263" s="32" t="s">
        <v>39</v>
      </c>
      <c r="J1263" s="32" t="s">
        <v>40</v>
      </c>
      <c r="K1263" s="32" t="s">
        <v>41</v>
      </c>
    </row>
    <row r="1264" spans="1:12" hidden="1" x14ac:dyDescent="0.3">
      <c r="A1264" s="39">
        <v>46156.705138888887</v>
      </c>
      <c r="B1264" s="32">
        <v>91989363636</v>
      </c>
      <c r="C1264" s="32" t="s">
        <v>43</v>
      </c>
      <c r="D1264" s="32">
        <v>4430265054</v>
      </c>
      <c r="E1264" s="32">
        <v>188</v>
      </c>
      <c r="F1264" s="32">
        <v>129</v>
      </c>
      <c r="G1264" s="32" t="s">
        <v>38</v>
      </c>
      <c r="H1264" s="32" t="s">
        <v>3981</v>
      </c>
      <c r="I1264" s="32" t="s">
        <v>39</v>
      </c>
      <c r="J1264" s="32" t="s">
        <v>40</v>
      </c>
      <c r="K1264" s="32" t="s">
        <v>41</v>
      </c>
    </row>
    <row r="1265" spans="1:12" hidden="1" x14ac:dyDescent="0.3">
      <c r="A1265" s="39">
        <v>46156.701782407406</v>
      </c>
      <c r="B1265" s="32">
        <v>44998555192</v>
      </c>
      <c r="C1265" s="32" t="s">
        <v>43</v>
      </c>
      <c r="D1265" s="32">
        <v>4430265054</v>
      </c>
      <c r="E1265" s="32">
        <v>155</v>
      </c>
      <c r="F1265" s="32">
        <v>73</v>
      </c>
      <c r="G1265" s="32" t="s">
        <v>38</v>
      </c>
      <c r="H1265" s="32" t="s">
        <v>3982</v>
      </c>
      <c r="I1265" s="32" t="s">
        <v>39</v>
      </c>
      <c r="J1265" s="32" t="s">
        <v>40</v>
      </c>
      <c r="K1265" s="32" t="s">
        <v>41</v>
      </c>
    </row>
    <row r="1266" spans="1:12" hidden="1" x14ac:dyDescent="0.3">
      <c r="A1266" s="39">
        <v>46156.693969907406</v>
      </c>
      <c r="B1266" s="32" t="s">
        <v>43</v>
      </c>
      <c r="C1266" s="32">
        <v>4130760170</v>
      </c>
      <c r="E1266" s="32">
        <v>252</v>
      </c>
      <c r="F1266" s="32">
        <v>240</v>
      </c>
      <c r="G1266" s="32" t="s">
        <v>38</v>
      </c>
      <c r="H1266" s="32" t="s">
        <v>3983</v>
      </c>
      <c r="I1266" s="32" t="s">
        <v>46</v>
      </c>
      <c r="J1266" s="32" t="s">
        <v>40</v>
      </c>
    </row>
    <row r="1267" spans="1:12" hidden="1" x14ac:dyDescent="0.3">
      <c r="A1267" s="39">
        <v>46156.690520833334</v>
      </c>
      <c r="B1267" s="32">
        <v>31995957530</v>
      </c>
      <c r="C1267" s="32">
        <v>4430265054</v>
      </c>
      <c r="D1267" s="32">
        <v>4430265054</v>
      </c>
      <c r="E1267" s="32">
        <v>9</v>
      </c>
      <c r="F1267" s="32">
        <v>9</v>
      </c>
      <c r="G1267" s="32" t="s">
        <v>52</v>
      </c>
      <c r="H1267" s="32" t="s">
        <v>3984</v>
      </c>
      <c r="I1267" s="32" t="s">
        <v>39</v>
      </c>
      <c r="J1267" s="32" t="s">
        <v>53</v>
      </c>
    </row>
    <row r="1268" spans="1:12" hidden="1" x14ac:dyDescent="0.3">
      <c r="A1268" s="39">
        <v>46156.689965277779</v>
      </c>
      <c r="B1268" s="32" t="s">
        <v>48</v>
      </c>
      <c r="C1268" s="32">
        <v>44999828835</v>
      </c>
      <c r="E1268" s="32">
        <v>2</v>
      </c>
      <c r="F1268" s="32">
        <v>0</v>
      </c>
      <c r="G1268" s="32" t="s">
        <v>47</v>
      </c>
      <c r="H1268" s="32" t="s">
        <v>3985</v>
      </c>
      <c r="I1268" s="32" t="s">
        <v>46</v>
      </c>
      <c r="J1268" s="32" t="s">
        <v>40</v>
      </c>
    </row>
    <row r="1269" spans="1:12" hidden="1" x14ac:dyDescent="0.3">
      <c r="A1269" s="39">
        <v>46156.689432870371</v>
      </c>
      <c r="B1269" s="32" t="s">
        <v>48</v>
      </c>
      <c r="C1269" s="32">
        <v>44999828835</v>
      </c>
      <c r="E1269" s="32">
        <v>2</v>
      </c>
      <c r="F1269" s="32">
        <v>0</v>
      </c>
      <c r="G1269" s="32" t="s">
        <v>47</v>
      </c>
      <c r="H1269" s="32" t="s">
        <v>3986</v>
      </c>
      <c r="I1269" s="32" t="s">
        <v>46</v>
      </c>
      <c r="J1269" s="32" t="s">
        <v>40</v>
      </c>
    </row>
    <row r="1270" spans="1:12" hidden="1" x14ac:dyDescent="0.3">
      <c r="A1270" s="39">
        <v>46156.689363425925</v>
      </c>
      <c r="B1270" s="32" t="s">
        <v>48</v>
      </c>
      <c r="C1270" s="32">
        <v>44999825535</v>
      </c>
      <c r="E1270" s="32">
        <v>3</v>
      </c>
      <c r="F1270" s="32">
        <v>0</v>
      </c>
      <c r="G1270" s="32" t="s">
        <v>47</v>
      </c>
      <c r="H1270" s="32" t="s">
        <v>3987</v>
      </c>
      <c r="I1270" s="32" t="s">
        <v>46</v>
      </c>
      <c r="J1270" s="32" t="s">
        <v>40</v>
      </c>
    </row>
    <row r="1271" spans="1:12" hidden="1" x14ac:dyDescent="0.3">
      <c r="A1271" s="39">
        <v>46156.6875462963</v>
      </c>
      <c r="B1271" s="32">
        <v>44999859732</v>
      </c>
      <c r="C1271" s="32" t="s">
        <v>44</v>
      </c>
      <c r="D1271" s="32">
        <v>4430265054</v>
      </c>
      <c r="E1271" s="32">
        <v>1975</v>
      </c>
      <c r="F1271" s="32">
        <v>1910</v>
      </c>
      <c r="G1271" s="32" t="s">
        <v>38</v>
      </c>
      <c r="H1271" s="32" t="s">
        <v>3988</v>
      </c>
      <c r="I1271" s="32" t="s">
        <v>39</v>
      </c>
      <c r="J1271" s="32" t="s">
        <v>40</v>
      </c>
      <c r="K1271" s="32" t="s">
        <v>41</v>
      </c>
      <c r="L1271" s="32">
        <v>5</v>
      </c>
    </row>
    <row r="1272" spans="1:12" hidden="1" x14ac:dyDescent="0.3">
      <c r="A1272" s="39">
        <v>46156.686296296299</v>
      </c>
      <c r="B1272" s="32">
        <v>44988327245</v>
      </c>
      <c r="C1272" s="32">
        <v>4430265054</v>
      </c>
      <c r="D1272" s="32">
        <v>4430265054</v>
      </c>
      <c r="E1272" s="32">
        <v>8</v>
      </c>
      <c r="F1272" s="32">
        <v>8</v>
      </c>
      <c r="G1272" s="32" t="s">
        <v>52</v>
      </c>
      <c r="H1272" s="32" t="s">
        <v>3989</v>
      </c>
      <c r="I1272" s="32" t="s">
        <v>39</v>
      </c>
      <c r="J1272" s="32" t="s">
        <v>53</v>
      </c>
    </row>
    <row r="1273" spans="1:12" hidden="1" x14ac:dyDescent="0.3">
      <c r="A1273" s="39">
        <v>46156.679664351854</v>
      </c>
      <c r="B1273" s="32">
        <v>44997079838</v>
      </c>
      <c r="C1273" s="32" t="s">
        <v>48</v>
      </c>
      <c r="D1273" s="32">
        <v>4430265054</v>
      </c>
      <c r="E1273" s="32">
        <v>469</v>
      </c>
      <c r="F1273" s="32">
        <v>468</v>
      </c>
      <c r="G1273" s="32" t="s">
        <v>38</v>
      </c>
      <c r="H1273" s="32" t="s">
        <v>3990</v>
      </c>
      <c r="I1273" s="32" t="s">
        <v>39</v>
      </c>
      <c r="J1273" s="32" t="s">
        <v>40</v>
      </c>
      <c r="K1273" s="32" t="s">
        <v>41</v>
      </c>
      <c r="L1273" s="32">
        <v>5</v>
      </c>
    </row>
    <row r="1274" spans="1:12" hidden="1" x14ac:dyDescent="0.3">
      <c r="A1274" s="39">
        <v>46156.67491898148</v>
      </c>
      <c r="B1274" s="32">
        <v>4433235524</v>
      </c>
      <c r="C1274" s="32" t="s">
        <v>45</v>
      </c>
      <c r="D1274" s="32">
        <v>4430265054</v>
      </c>
      <c r="E1274" s="32">
        <v>356</v>
      </c>
      <c r="F1274" s="32">
        <v>272</v>
      </c>
      <c r="G1274" s="32" t="s">
        <v>38</v>
      </c>
      <c r="H1274" s="32" t="s">
        <v>3991</v>
      </c>
      <c r="I1274" s="32" t="s">
        <v>39</v>
      </c>
      <c r="J1274" s="32" t="s">
        <v>40</v>
      </c>
      <c r="K1274" s="32" t="s">
        <v>41</v>
      </c>
    </row>
    <row r="1275" spans="1:12" hidden="1" x14ac:dyDescent="0.3">
      <c r="A1275" s="39">
        <v>46156.674803240741</v>
      </c>
      <c r="B1275" s="32">
        <v>6234347959</v>
      </c>
      <c r="C1275" s="32" t="s">
        <v>45</v>
      </c>
      <c r="D1275" s="32">
        <v>4430265054</v>
      </c>
      <c r="E1275" s="32">
        <v>93</v>
      </c>
      <c r="F1275" s="32">
        <v>70</v>
      </c>
      <c r="G1275" s="32" t="s">
        <v>38</v>
      </c>
      <c r="H1275" s="32" t="s">
        <v>3992</v>
      </c>
      <c r="I1275" s="32" t="s">
        <v>39</v>
      </c>
      <c r="J1275" s="32" t="s">
        <v>40</v>
      </c>
      <c r="K1275" s="32" t="s">
        <v>41</v>
      </c>
    </row>
    <row r="1276" spans="1:12" hidden="1" x14ac:dyDescent="0.3">
      <c r="A1276" s="39">
        <v>46156.673206018517</v>
      </c>
      <c r="B1276" s="32">
        <v>44998068281</v>
      </c>
      <c r="C1276" s="32" t="s">
        <v>43</v>
      </c>
      <c r="D1276" s="32">
        <v>4430265054</v>
      </c>
      <c r="E1276" s="32">
        <v>1519</v>
      </c>
      <c r="F1276" s="32">
        <v>1492</v>
      </c>
      <c r="G1276" s="32" t="s">
        <v>38</v>
      </c>
      <c r="H1276" s="32" t="s">
        <v>3993</v>
      </c>
      <c r="I1276" s="32" t="s">
        <v>39</v>
      </c>
      <c r="J1276" s="32" t="s">
        <v>40</v>
      </c>
      <c r="K1276" s="32" t="s">
        <v>41</v>
      </c>
    </row>
    <row r="1277" spans="1:12" hidden="1" x14ac:dyDescent="0.3">
      <c r="A1277" s="39">
        <v>46156.672256944446</v>
      </c>
      <c r="B1277" s="32" t="s">
        <v>48</v>
      </c>
      <c r="C1277" s="32">
        <v>4330333542</v>
      </c>
      <c r="E1277" s="32">
        <v>428</v>
      </c>
      <c r="F1277" s="32">
        <v>406</v>
      </c>
      <c r="G1277" s="32" t="s">
        <v>38</v>
      </c>
      <c r="H1277" s="32" t="s">
        <v>3994</v>
      </c>
      <c r="I1277" s="32" t="s">
        <v>46</v>
      </c>
      <c r="J1277" s="32" t="s">
        <v>40</v>
      </c>
    </row>
    <row r="1278" spans="1:12" hidden="1" x14ac:dyDescent="0.3">
      <c r="A1278" s="39">
        <v>46156.669687499998</v>
      </c>
      <c r="B1278" s="32" t="s">
        <v>48</v>
      </c>
      <c r="C1278" s="32">
        <v>4432678662</v>
      </c>
      <c r="E1278" s="32">
        <v>26</v>
      </c>
      <c r="F1278" s="32">
        <v>5</v>
      </c>
      <c r="G1278" s="32" t="s">
        <v>38</v>
      </c>
      <c r="H1278" s="32" t="s">
        <v>3995</v>
      </c>
      <c r="I1278" s="32" t="s">
        <v>46</v>
      </c>
      <c r="J1278" s="32" t="s">
        <v>40</v>
      </c>
    </row>
    <row r="1279" spans="1:12" hidden="1" x14ac:dyDescent="0.3">
      <c r="A1279" s="39">
        <v>46156.669479166667</v>
      </c>
      <c r="B1279" s="32">
        <v>44991268050</v>
      </c>
      <c r="C1279" s="32" t="s">
        <v>48</v>
      </c>
      <c r="D1279" s="32">
        <v>4430265054</v>
      </c>
      <c r="E1279" s="32">
        <v>162</v>
      </c>
      <c r="F1279" s="32">
        <v>112</v>
      </c>
      <c r="G1279" s="32" t="s">
        <v>38</v>
      </c>
      <c r="H1279" s="32" t="s">
        <v>3996</v>
      </c>
      <c r="I1279" s="32" t="s">
        <v>39</v>
      </c>
      <c r="J1279" s="32" t="s">
        <v>40</v>
      </c>
      <c r="K1279" s="32" t="s">
        <v>41</v>
      </c>
    </row>
    <row r="1280" spans="1:12" hidden="1" x14ac:dyDescent="0.3">
      <c r="A1280" s="39">
        <v>46156.669293981482</v>
      </c>
      <c r="B1280" s="32" t="s">
        <v>48</v>
      </c>
      <c r="C1280" s="32">
        <v>4434990075</v>
      </c>
      <c r="E1280" s="32">
        <v>2</v>
      </c>
      <c r="F1280" s="32">
        <v>0</v>
      </c>
      <c r="G1280" s="32" t="s">
        <v>47</v>
      </c>
      <c r="H1280" s="32" t="s">
        <v>3997</v>
      </c>
      <c r="I1280" s="32" t="s">
        <v>46</v>
      </c>
      <c r="J1280" s="32" t="s">
        <v>40</v>
      </c>
    </row>
    <row r="1281" spans="1:12" hidden="1" x14ac:dyDescent="0.3">
      <c r="A1281" s="39">
        <v>46156.669224537036</v>
      </c>
      <c r="B1281" s="32" t="s">
        <v>48</v>
      </c>
      <c r="C1281" s="32">
        <v>4434990075</v>
      </c>
      <c r="E1281" s="32">
        <v>2</v>
      </c>
      <c r="F1281" s="32">
        <v>0</v>
      </c>
      <c r="G1281" s="32" t="s">
        <v>47</v>
      </c>
      <c r="H1281" s="32" t="s">
        <v>3998</v>
      </c>
      <c r="I1281" s="32" t="s">
        <v>46</v>
      </c>
      <c r="J1281" s="32" t="s">
        <v>40</v>
      </c>
    </row>
    <row r="1282" spans="1:12" hidden="1" x14ac:dyDescent="0.3">
      <c r="A1282" s="39">
        <v>46156.668449074074</v>
      </c>
      <c r="B1282" s="32">
        <v>4435228300</v>
      </c>
      <c r="C1282" s="32" t="s">
        <v>43</v>
      </c>
      <c r="D1282" s="32">
        <v>4430265054</v>
      </c>
      <c r="E1282" s="32">
        <v>408</v>
      </c>
      <c r="F1282" s="32">
        <v>389</v>
      </c>
      <c r="G1282" s="32" t="s">
        <v>38</v>
      </c>
      <c r="H1282" s="32" t="s">
        <v>3999</v>
      </c>
      <c r="I1282" s="32" t="s">
        <v>39</v>
      </c>
      <c r="J1282" s="32" t="s">
        <v>40</v>
      </c>
      <c r="K1282" s="32" t="s">
        <v>41</v>
      </c>
      <c r="L1282" s="32">
        <v>5</v>
      </c>
    </row>
    <row r="1283" spans="1:12" hidden="1" x14ac:dyDescent="0.3">
      <c r="A1283" s="39">
        <v>46156.667754629627</v>
      </c>
      <c r="B1283" s="32" t="s">
        <v>43</v>
      </c>
      <c r="C1283" s="32">
        <v>4130760170</v>
      </c>
      <c r="E1283" s="32">
        <v>32</v>
      </c>
      <c r="F1283" s="32">
        <v>0</v>
      </c>
      <c r="G1283" s="32" t="s">
        <v>47</v>
      </c>
      <c r="H1283" s="32" t="s">
        <v>4000</v>
      </c>
      <c r="I1283" s="32" t="s">
        <v>46</v>
      </c>
      <c r="J1283" s="32" t="s">
        <v>40</v>
      </c>
    </row>
    <row r="1284" spans="1:12" hidden="1" x14ac:dyDescent="0.3">
      <c r="A1284" s="39">
        <v>46156.667094907411</v>
      </c>
      <c r="B1284" s="32" t="s">
        <v>43</v>
      </c>
      <c r="C1284" s="32">
        <v>4130760170</v>
      </c>
      <c r="E1284" s="32">
        <v>32</v>
      </c>
      <c r="F1284" s="32">
        <v>0</v>
      </c>
      <c r="G1284" s="32" t="s">
        <v>47</v>
      </c>
      <c r="H1284" s="32" t="s">
        <v>4001</v>
      </c>
      <c r="I1284" s="32" t="s">
        <v>46</v>
      </c>
      <c r="J1284" s="32" t="s">
        <v>40</v>
      </c>
    </row>
    <row r="1285" spans="1:12" hidden="1" x14ac:dyDescent="0.3">
      <c r="A1285" s="39">
        <v>46156.666076388887</v>
      </c>
      <c r="B1285" s="32" t="s">
        <v>43</v>
      </c>
      <c r="C1285" s="32">
        <v>4130760170</v>
      </c>
      <c r="E1285" s="32">
        <v>114</v>
      </c>
      <c r="F1285" s="32">
        <v>103</v>
      </c>
      <c r="G1285" s="32" t="s">
        <v>38</v>
      </c>
      <c r="H1285" s="32" t="s">
        <v>4002</v>
      </c>
      <c r="I1285" s="32" t="s">
        <v>46</v>
      </c>
      <c r="J1285" s="32" t="s">
        <v>40</v>
      </c>
    </row>
    <row r="1286" spans="1:12" hidden="1" x14ac:dyDescent="0.3">
      <c r="A1286" s="39">
        <v>46156.665821759256</v>
      </c>
      <c r="B1286" s="32" t="s">
        <v>43</v>
      </c>
      <c r="C1286" s="32">
        <v>4130760170</v>
      </c>
      <c r="E1286" s="32">
        <v>17</v>
      </c>
      <c r="F1286" s="32">
        <v>6</v>
      </c>
      <c r="G1286" s="32" t="s">
        <v>38</v>
      </c>
      <c r="H1286" s="32" t="s">
        <v>4003</v>
      </c>
      <c r="I1286" s="32" t="s">
        <v>46</v>
      </c>
      <c r="J1286" s="32" t="s">
        <v>40</v>
      </c>
    </row>
    <row r="1287" spans="1:12" hidden="1" x14ac:dyDescent="0.3">
      <c r="A1287" s="39">
        <v>46156.665231481478</v>
      </c>
      <c r="B1287" s="32" t="s">
        <v>43</v>
      </c>
      <c r="C1287" s="32">
        <v>4130760170</v>
      </c>
      <c r="E1287" s="32">
        <v>48</v>
      </c>
      <c r="F1287" s="32">
        <v>0</v>
      </c>
      <c r="G1287" s="32" t="s">
        <v>47</v>
      </c>
      <c r="H1287" s="32" t="s">
        <v>4004</v>
      </c>
      <c r="I1287" s="32" t="s">
        <v>46</v>
      </c>
      <c r="J1287" s="32" t="s">
        <v>40</v>
      </c>
    </row>
    <row r="1288" spans="1:12" hidden="1" x14ac:dyDescent="0.3">
      <c r="A1288" s="39">
        <v>46156.664375</v>
      </c>
      <c r="B1288" s="32">
        <v>44999859732</v>
      </c>
      <c r="C1288" s="32" t="s">
        <v>44</v>
      </c>
      <c r="D1288" s="32">
        <v>4430265054</v>
      </c>
      <c r="E1288" s="32">
        <v>1502</v>
      </c>
      <c r="F1288" s="32">
        <v>1372</v>
      </c>
      <c r="G1288" s="32" t="s">
        <v>38</v>
      </c>
      <c r="H1288" s="32" t="s">
        <v>4005</v>
      </c>
      <c r="I1288" s="32" t="s">
        <v>39</v>
      </c>
      <c r="J1288" s="32" t="s">
        <v>40</v>
      </c>
      <c r="K1288" s="32" t="s">
        <v>41</v>
      </c>
      <c r="L1288" s="32">
        <v>5</v>
      </c>
    </row>
    <row r="1289" spans="1:12" hidden="1" x14ac:dyDescent="0.3">
      <c r="A1289" s="39">
        <v>46156.664085648146</v>
      </c>
      <c r="B1289" s="32" t="s">
        <v>57</v>
      </c>
      <c r="C1289" s="32">
        <v>44920008525</v>
      </c>
      <c r="E1289" s="32">
        <v>29</v>
      </c>
      <c r="F1289" s="32">
        <v>5</v>
      </c>
      <c r="G1289" s="32" t="s">
        <v>38</v>
      </c>
      <c r="H1289" s="32" t="s">
        <v>4006</v>
      </c>
      <c r="I1289" s="32" t="s">
        <v>46</v>
      </c>
      <c r="J1289" s="32" t="s">
        <v>55</v>
      </c>
    </row>
    <row r="1290" spans="1:12" hidden="1" x14ac:dyDescent="0.3">
      <c r="A1290" s="39">
        <v>46156.663090277776</v>
      </c>
      <c r="B1290" s="32" t="s">
        <v>57</v>
      </c>
      <c r="C1290" s="32">
        <v>44920008728</v>
      </c>
      <c r="E1290" s="32">
        <v>74</v>
      </c>
      <c r="F1290" s="32">
        <v>56</v>
      </c>
      <c r="G1290" s="32" t="s">
        <v>38</v>
      </c>
      <c r="H1290" s="32" t="s">
        <v>4007</v>
      </c>
      <c r="I1290" s="32" t="s">
        <v>46</v>
      </c>
      <c r="J1290" s="32" t="s">
        <v>55</v>
      </c>
    </row>
    <row r="1291" spans="1:12" hidden="1" x14ac:dyDescent="0.3">
      <c r="A1291" s="39">
        <v>46156.662870370368</v>
      </c>
      <c r="B1291" s="32" t="s">
        <v>57</v>
      </c>
      <c r="C1291" s="32">
        <v>4434551197</v>
      </c>
      <c r="E1291" s="32">
        <v>0</v>
      </c>
      <c r="F1291" s="32">
        <v>0</v>
      </c>
      <c r="G1291" s="32" t="s">
        <v>47</v>
      </c>
      <c r="H1291" s="32" t="s">
        <v>4008</v>
      </c>
      <c r="I1291" s="32" t="s">
        <v>46</v>
      </c>
      <c r="J1291" s="32" t="s">
        <v>55</v>
      </c>
    </row>
    <row r="1292" spans="1:12" hidden="1" x14ac:dyDescent="0.3">
      <c r="A1292" s="39">
        <v>46156.662789351853</v>
      </c>
      <c r="B1292" s="32" t="s">
        <v>57</v>
      </c>
      <c r="C1292" s="32">
        <v>4434551197</v>
      </c>
      <c r="E1292" s="32">
        <v>0</v>
      </c>
      <c r="F1292" s="32">
        <v>0</v>
      </c>
      <c r="G1292" s="32" t="s">
        <v>47</v>
      </c>
      <c r="H1292" s="32" t="s">
        <v>4009</v>
      </c>
      <c r="I1292" s="32" t="s">
        <v>46</v>
      </c>
      <c r="J1292" s="32" t="s">
        <v>55</v>
      </c>
    </row>
    <row r="1293" spans="1:12" hidden="1" x14ac:dyDescent="0.3">
      <c r="A1293" s="39">
        <v>46156.662523148145</v>
      </c>
      <c r="B1293" s="32" t="s">
        <v>54</v>
      </c>
      <c r="C1293" s="32">
        <v>13991793506</v>
      </c>
      <c r="E1293" s="32">
        <v>20</v>
      </c>
      <c r="F1293" s="32">
        <v>0</v>
      </c>
      <c r="G1293" s="32" t="s">
        <v>47</v>
      </c>
      <c r="H1293" s="32" t="s">
        <v>4010</v>
      </c>
      <c r="I1293" s="32" t="s">
        <v>46</v>
      </c>
      <c r="J1293" s="32" t="s">
        <v>55</v>
      </c>
    </row>
    <row r="1294" spans="1:12" hidden="1" x14ac:dyDescent="0.3">
      <c r="A1294" s="39">
        <v>46156.65896990741</v>
      </c>
      <c r="B1294" s="32">
        <v>1131043888</v>
      </c>
      <c r="C1294" s="32" t="s">
        <v>48</v>
      </c>
      <c r="D1294" s="32">
        <v>4430265054</v>
      </c>
      <c r="E1294" s="32">
        <v>359</v>
      </c>
      <c r="F1294" s="32">
        <v>281</v>
      </c>
      <c r="G1294" s="32" t="s">
        <v>38</v>
      </c>
      <c r="H1294" s="32" t="s">
        <v>4011</v>
      </c>
      <c r="I1294" s="32" t="s">
        <v>39</v>
      </c>
      <c r="J1294" s="32" t="s">
        <v>40</v>
      </c>
      <c r="K1294" s="32" t="s">
        <v>41</v>
      </c>
    </row>
    <row r="1295" spans="1:12" hidden="1" x14ac:dyDescent="0.3">
      <c r="A1295" s="39">
        <v>46156.658912037034</v>
      </c>
      <c r="B1295" s="32">
        <v>1131043888</v>
      </c>
      <c r="C1295" s="32">
        <v>4430265054</v>
      </c>
      <c r="D1295" s="32">
        <v>4430265054</v>
      </c>
      <c r="E1295" s="32">
        <v>1</v>
      </c>
      <c r="F1295" s="32">
        <v>0</v>
      </c>
      <c r="G1295" s="32" t="s">
        <v>52</v>
      </c>
      <c r="H1295" s="32" t="s">
        <v>4012</v>
      </c>
      <c r="I1295" s="32" t="s">
        <v>39</v>
      </c>
      <c r="J1295" s="32" t="s">
        <v>53</v>
      </c>
    </row>
    <row r="1296" spans="1:12" hidden="1" x14ac:dyDescent="0.3">
      <c r="A1296" s="39">
        <v>46156.658634259256</v>
      </c>
      <c r="B1296" s="32">
        <v>1131043888</v>
      </c>
      <c r="C1296" s="32">
        <v>4430265054</v>
      </c>
      <c r="D1296" s="32">
        <v>4430265054</v>
      </c>
      <c r="E1296" s="32">
        <v>21</v>
      </c>
      <c r="F1296" s="32">
        <v>20</v>
      </c>
      <c r="G1296" s="32" t="s">
        <v>52</v>
      </c>
      <c r="H1296" s="32" t="s">
        <v>4013</v>
      </c>
      <c r="I1296" s="32" t="s">
        <v>39</v>
      </c>
      <c r="J1296" s="32" t="s">
        <v>53</v>
      </c>
    </row>
    <row r="1297" spans="1:12" hidden="1" x14ac:dyDescent="0.3">
      <c r="A1297" s="39">
        <v>46156.658067129632</v>
      </c>
      <c r="B1297" s="32">
        <v>1131043888</v>
      </c>
      <c r="C1297" s="32">
        <v>4430265054</v>
      </c>
      <c r="D1297" s="32">
        <v>4430265054</v>
      </c>
      <c r="E1297" s="32">
        <v>33</v>
      </c>
      <c r="F1297" s="32">
        <v>33</v>
      </c>
      <c r="G1297" s="32" t="s">
        <v>52</v>
      </c>
      <c r="H1297" s="32" t="s">
        <v>4014</v>
      </c>
      <c r="I1297" s="32" t="s">
        <v>39</v>
      </c>
      <c r="J1297" s="32" t="s">
        <v>53</v>
      </c>
      <c r="K1297" s="32" t="s">
        <v>41</v>
      </c>
    </row>
    <row r="1298" spans="1:12" hidden="1" x14ac:dyDescent="0.3">
      <c r="A1298" s="39">
        <v>46156.653622685182</v>
      </c>
      <c r="B1298" s="32">
        <v>4432697000</v>
      </c>
      <c r="C1298" s="32" t="s">
        <v>45</v>
      </c>
      <c r="D1298" s="32">
        <v>4430265054</v>
      </c>
      <c r="E1298" s="32">
        <v>1798</v>
      </c>
      <c r="F1298" s="32">
        <v>1742</v>
      </c>
      <c r="G1298" s="32" t="s">
        <v>38</v>
      </c>
      <c r="H1298" s="32" t="s">
        <v>4015</v>
      </c>
      <c r="I1298" s="32" t="s">
        <v>39</v>
      </c>
      <c r="J1298" s="32" t="s">
        <v>40</v>
      </c>
      <c r="K1298" s="32" t="s">
        <v>41</v>
      </c>
    </row>
    <row r="1299" spans="1:12" hidden="1" x14ac:dyDescent="0.3">
      <c r="A1299" s="39">
        <v>46156.652546296296</v>
      </c>
      <c r="B1299" s="32" t="s">
        <v>43</v>
      </c>
      <c r="C1299" s="32">
        <v>4130760170</v>
      </c>
      <c r="E1299" s="32">
        <v>844</v>
      </c>
      <c r="F1299" s="32">
        <v>805</v>
      </c>
      <c r="G1299" s="32" t="s">
        <v>38</v>
      </c>
      <c r="H1299" s="32" t="s">
        <v>4016</v>
      </c>
      <c r="I1299" s="32" t="s">
        <v>46</v>
      </c>
      <c r="J1299" s="32" t="s">
        <v>40</v>
      </c>
    </row>
    <row r="1300" spans="1:12" hidden="1" x14ac:dyDescent="0.3">
      <c r="A1300" s="39">
        <v>46156.652280092596</v>
      </c>
      <c r="B1300" s="32" t="s">
        <v>43</v>
      </c>
      <c r="C1300" s="32">
        <v>4130760170</v>
      </c>
      <c r="E1300" s="32">
        <v>8</v>
      </c>
      <c r="F1300" s="32">
        <v>2</v>
      </c>
      <c r="G1300" s="32" t="s">
        <v>38</v>
      </c>
      <c r="H1300" s="32" t="s">
        <v>4017</v>
      </c>
      <c r="I1300" s="32" t="s">
        <v>46</v>
      </c>
      <c r="J1300" s="32" t="s">
        <v>40</v>
      </c>
    </row>
    <row r="1301" spans="1:12" hidden="1" x14ac:dyDescent="0.3">
      <c r="A1301" s="39">
        <v>46156.651759259257</v>
      </c>
      <c r="B1301" s="32" t="s">
        <v>43</v>
      </c>
      <c r="C1301" s="32">
        <v>4130760170</v>
      </c>
      <c r="E1301" s="32">
        <v>41</v>
      </c>
      <c r="F1301" s="32">
        <v>1</v>
      </c>
      <c r="G1301" s="32" t="s">
        <v>38</v>
      </c>
      <c r="H1301" s="32" t="s">
        <v>4018</v>
      </c>
      <c r="I1301" s="32" t="s">
        <v>46</v>
      </c>
      <c r="J1301" s="32" t="s">
        <v>40</v>
      </c>
    </row>
    <row r="1302" spans="1:12" hidden="1" x14ac:dyDescent="0.3">
      <c r="A1302" s="39">
        <v>46156.649513888886</v>
      </c>
      <c r="B1302" s="32">
        <v>4434212150</v>
      </c>
      <c r="C1302" s="32" t="s">
        <v>44</v>
      </c>
      <c r="D1302" s="32">
        <v>4430265054</v>
      </c>
      <c r="E1302" s="32">
        <v>1162</v>
      </c>
      <c r="F1302" s="32">
        <v>1098</v>
      </c>
      <c r="G1302" s="32" t="s">
        <v>38</v>
      </c>
      <c r="H1302" s="32" t="s">
        <v>4019</v>
      </c>
      <c r="I1302" s="32" t="s">
        <v>39</v>
      </c>
      <c r="J1302" s="32" t="s">
        <v>40</v>
      </c>
      <c r="K1302" s="32" t="s">
        <v>41</v>
      </c>
    </row>
    <row r="1303" spans="1:12" hidden="1" x14ac:dyDescent="0.3">
      <c r="A1303" s="39">
        <v>46156.646944444445</v>
      </c>
      <c r="B1303" s="32" t="s">
        <v>48</v>
      </c>
      <c r="C1303" s="32">
        <v>4430318515</v>
      </c>
      <c r="E1303" s="32">
        <v>990</v>
      </c>
      <c r="F1303" s="32">
        <v>981</v>
      </c>
      <c r="G1303" s="32" t="s">
        <v>38</v>
      </c>
      <c r="H1303" s="32" t="s">
        <v>4020</v>
      </c>
      <c r="I1303" s="32" t="s">
        <v>46</v>
      </c>
      <c r="J1303" s="32" t="s">
        <v>40</v>
      </c>
    </row>
    <row r="1304" spans="1:12" hidden="1" x14ac:dyDescent="0.3">
      <c r="A1304" s="39">
        <v>46156.646261574075</v>
      </c>
      <c r="B1304" s="32" t="s">
        <v>43</v>
      </c>
      <c r="C1304" s="32">
        <v>4436313773</v>
      </c>
      <c r="E1304" s="32">
        <v>345</v>
      </c>
      <c r="F1304" s="32">
        <v>336</v>
      </c>
      <c r="G1304" s="32" t="s">
        <v>38</v>
      </c>
      <c r="H1304" s="32" t="s">
        <v>4021</v>
      </c>
      <c r="I1304" s="32" t="s">
        <v>46</v>
      </c>
      <c r="J1304" s="32" t="s">
        <v>40</v>
      </c>
    </row>
    <row r="1305" spans="1:12" hidden="1" x14ac:dyDescent="0.3">
      <c r="A1305" s="39">
        <v>46156.646064814813</v>
      </c>
      <c r="B1305" s="32" t="s">
        <v>43</v>
      </c>
      <c r="C1305" s="32">
        <v>4436313773</v>
      </c>
      <c r="E1305" s="32">
        <v>6</v>
      </c>
      <c r="F1305" s="32">
        <v>0</v>
      </c>
      <c r="G1305" s="32" t="s">
        <v>47</v>
      </c>
      <c r="H1305" s="32" t="s">
        <v>4022</v>
      </c>
      <c r="I1305" s="32" t="s">
        <v>46</v>
      </c>
      <c r="J1305" s="32" t="s">
        <v>40</v>
      </c>
    </row>
    <row r="1306" spans="1:12" hidden="1" x14ac:dyDescent="0.3">
      <c r="A1306" s="39">
        <v>46156.645856481482</v>
      </c>
      <c r="B1306" s="32" t="s">
        <v>43</v>
      </c>
      <c r="C1306" s="32">
        <v>4436313773</v>
      </c>
      <c r="E1306" s="32">
        <v>25</v>
      </c>
      <c r="F1306" s="32">
        <v>24</v>
      </c>
      <c r="G1306" s="32" t="s">
        <v>38</v>
      </c>
      <c r="H1306" s="32" t="s">
        <v>4023</v>
      </c>
      <c r="I1306" s="32" t="s">
        <v>46</v>
      </c>
      <c r="J1306" s="32" t="s">
        <v>40</v>
      </c>
    </row>
    <row r="1307" spans="1:12" hidden="1" x14ac:dyDescent="0.3">
      <c r="A1307" s="39">
        <v>46156.638333333336</v>
      </c>
      <c r="B1307" s="32">
        <v>4121418164</v>
      </c>
      <c r="C1307" s="32">
        <v>4531273163</v>
      </c>
      <c r="D1307" s="32">
        <v>4531273163</v>
      </c>
      <c r="E1307" s="32">
        <v>47</v>
      </c>
      <c r="F1307" s="32">
        <v>47</v>
      </c>
      <c r="G1307" s="32" t="s">
        <v>52</v>
      </c>
      <c r="H1307" s="32" t="s">
        <v>4024</v>
      </c>
      <c r="I1307" s="32" t="s">
        <v>39</v>
      </c>
      <c r="J1307" s="32" t="s">
        <v>53</v>
      </c>
      <c r="K1307" s="32" t="s">
        <v>41</v>
      </c>
    </row>
    <row r="1308" spans="1:12" hidden="1" x14ac:dyDescent="0.3">
      <c r="A1308" s="39">
        <v>46156.629907407405</v>
      </c>
      <c r="B1308" s="32">
        <v>44997561804</v>
      </c>
      <c r="C1308" s="32" t="s">
        <v>56</v>
      </c>
      <c r="D1308" s="32">
        <v>4430265054</v>
      </c>
      <c r="E1308" s="32">
        <v>630</v>
      </c>
      <c r="F1308" s="32">
        <v>402</v>
      </c>
      <c r="G1308" s="32" t="s">
        <v>38</v>
      </c>
      <c r="H1308" s="32" t="s">
        <v>4025</v>
      </c>
      <c r="I1308" s="32" t="s">
        <v>39</v>
      </c>
      <c r="J1308" s="32" t="s">
        <v>53</v>
      </c>
      <c r="K1308" s="32" t="s">
        <v>41</v>
      </c>
    </row>
    <row r="1309" spans="1:12" hidden="1" x14ac:dyDescent="0.3">
      <c r="A1309" s="39">
        <v>46156.628657407404</v>
      </c>
      <c r="B1309" s="32">
        <v>4436313773</v>
      </c>
      <c r="C1309" s="32" t="s">
        <v>43</v>
      </c>
      <c r="D1309" s="32">
        <v>4430265054</v>
      </c>
      <c r="E1309" s="32">
        <v>573</v>
      </c>
      <c r="F1309" s="32">
        <v>540</v>
      </c>
      <c r="G1309" s="32" t="s">
        <v>38</v>
      </c>
      <c r="H1309" s="32" t="s">
        <v>4026</v>
      </c>
      <c r="I1309" s="32" t="s">
        <v>39</v>
      </c>
      <c r="J1309" s="32" t="s">
        <v>40</v>
      </c>
      <c r="K1309" s="32" t="s">
        <v>41</v>
      </c>
    </row>
    <row r="1310" spans="1:12" hidden="1" x14ac:dyDescent="0.3">
      <c r="A1310" s="39">
        <v>46156.627766203703</v>
      </c>
      <c r="B1310" s="32">
        <v>44998068281</v>
      </c>
      <c r="C1310" s="32" t="s">
        <v>44</v>
      </c>
      <c r="D1310" s="32">
        <v>4430265054</v>
      </c>
      <c r="E1310" s="32">
        <v>912</v>
      </c>
      <c r="F1310" s="32">
        <v>861</v>
      </c>
      <c r="G1310" s="32" t="s">
        <v>38</v>
      </c>
      <c r="H1310" s="32" t="s">
        <v>4027</v>
      </c>
      <c r="I1310" s="32" t="s">
        <v>39</v>
      </c>
      <c r="J1310" s="32" t="s">
        <v>40</v>
      </c>
      <c r="K1310" s="32" t="s">
        <v>41</v>
      </c>
      <c r="L1310" s="32">
        <v>5</v>
      </c>
    </row>
    <row r="1311" spans="1:12" hidden="1" x14ac:dyDescent="0.3">
      <c r="A1311" s="39">
        <v>46156.626018518517</v>
      </c>
      <c r="B1311" s="32" t="s">
        <v>43</v>
      </c>
      <c r="C1311" s="32">
        <v>4130760170</v>
      </c>
      <c r="E1311" s="32">
        <v>221</v>
      </c>
      <c r="F1311" s="32">
        <v>182</v>
      </c>
      <c r="G1311" s="32" t="s">
        <v>38</v>
      </c>
      <c r="H1311" s="32" t="s">
        <v>4028</v>
      </c>
      <c r="I1311" s="32" t="s">
        <v>46</v>
      </c>
      <c r="J1311" s="32" t="s">
        <v>40</v>
      </c>
    </row>
    <row r="1312" spans="1:12" hidden="1" x14ac:dyDescent="0.3">
      <c r="A1312" s="39">
        <v>46156.625173611108</v>
      </c>
      <c r="B1312" s="32">
        <v>4133491428</v>
      </c>
      <c r="C1312" s="32" t="s">
        <v>48</v>
      </c>
      <c r="D1312" s="32">
        <v>4430265054</v>
      </c>
      <c r="E1312" s="32">
        <v>908</v>
      </c>
      <c r="F1312" s="32">
        <v>797</v>
      </c>
      <c r="G1312" s="32" t="s">
        <v>38</v>
      </c>
      <c r="H1312" s="32" t="s">
        <v>4029</v>
      </c>
      <c r="I1312" s="32" t="s">
        <v>39</v>
      </c>
      <c r="J1312" s="32" t="s">
        <v>40</v>
      </c>
      <c r="K1312" s="32" t="s">
        <v>41</v>
      </c>
    </row>
    <row r="1313" spans="1:12" hidden="1" x14ac:dyDescent="0.3">
      <c r="A1313" s="39">
        <v>46156.621469907404</v>
      </c>
      <c r="B1313" s="32">
        <v>44984241715</v>
      </c>
      <c r="C1313" s="32" t="s">
        <v>44</v>
      </c>
      <c r="D1313" s="32">
        <v>4430265054</v>
      </c>
      <c r="E1313" s="32">
        <v>363</v>
      </c>
      <c r="F1313" s="32">
        <v>194</v>
      </c>
      <c r="G1313" s="32" t="s">
        <v>38</v>
      </c>
      <c r="H1313" s="32" t="s">
        <v>4030</v>
      </c>
      <c r="I1313" s="32" t="s">
        <v>39</v>
      </c>
      <c r="J1313" s="32" t="s">
        <v>40</v>
      </c>
      <c r="K1313" s="32" t="s">
        <v>41</v>
      </c>
      <c r="L1313" s="32">
        <v>5</v>
      </c>
    </row>
    <row r="1314" spans="1:12" hidden="1" x14ac:dyDescent="0.3">
      <c r="A1314" s="39">
        <v>46156.621168981481</v>
      </c>
      <c r="B1314" s="32">
        <v>44999844110</v>
      </c>
      <c r="C1314" s="32" t="s">
        <v>45</v>
      </c>
      <c r="D1314" s="32">
        <v>4430265054</v>
      </c>
      <c r="E1314" s="32">
        <v>2423</v>
      </c>
      <c r="F1314" s="32">
        <v>2404</v>
      </c>
      <c r="G1314" s="32" t="s">
        <v>38</v>
      </c>
      <c r="H1314" s="32" t="s">
        <v>4031</v>
      </c>
      <c r="I1314" s="32" t="s">
        <v>39</v>
      </c>
      <c r="J1314" s="32" t="s">
        <v>40</v>
      </c>
      <c r="K1314" s="32" t="s">
        <v>41</v>
      </c>
    </row>
    <row r="1315" spans="1:12" hidden="1" x14ac:dyDescent="0.3">
      <c r="A1315" s="39">
        <v>46156.619733796295</v>
      </c>
      <c r="B1315" s="32" t="s">
        <v>48</v>
      </c>
      <c r="C1315" s="32">
        <v>4133491428</v>
      </c>
      <c r="E1315" s="32">
        <v>4</v>
      </c>
      <c r="F1315" s="32">
        <v>0</v>
      </c>
      <c r="G1315" s="32" t="s">
        <v>47</v>
      </c>
      <c r="H1315" s="32" t="s">
        <v>4032</v>
      </c>
      <c r="I1315" s="32" t="s">
        <v>46</v>
      </c>
      <c r="J1315" s="32" t="s">
        <v>40</v>
      </c>
    </row>
    <row r="1316" spans="1:12" hidden="1" x14ac:dyDescent="0.3">
      <c r="A1316" s="39">
        <v>46156.619675925926</v>
      </c>
      <c r="B1316" s="32">
        <v>4432275634</v>
      </c>
      <c r="C1316" s="32" t="s">
        <v>48</v>
      </c>
      <c r="D1316" s="32">
        <v>4430265054</v>
      </c>
      <c r="E1316" s="32">
        <v>357</v>
      </c>
      <c r="F1316" s="32">
        <v>329</v>
      </c>
      <c r="G1316" s="32" t="s">
        <v>38</v>
      </c>
      <c r="H1316" s="32" t="s">
        <v>4033</v>
      </c>
      <c r="I1316" s="32" t="s">
        <v>39</v>
      </c>
      <c r="J1316" s="32" t="s">
        <v>40</v>
      </c>
      <c r="K1316" s="32" t="s">
        <v>41</v>
      </c>
    </row>
    <row r="1317" spans="1:12" hidden="1" x14ac:dyDescent="0.3">
      <c r="A1317" s="39">
        <v>46156.618206018517</v>
      </c>
      <c r="B1317" s="32">
        <v>4430288909</v>
      </c>
      <c r="C1317" s="32">
        <v>4430265054</v>
      </c>
      <c r="D1317" s="32">
        <v>4430265054</v>
      </c>
      <c r="E1317" s="32">
        <v>23</v>
      </c>
      <c r="F1317" s="32">
        <v>23</v>
      </c>
      <c r="G1317" s="32" t="s">
        <v>52</v>
      </c>
      <c r="H1317" s="32" t="s">
        <v>4034</v>
      </c>
      <c r="I1317" s="32" t="s">
        <v>39</v>
      </c>
      <c r="J1317" s="32" t="s">
        <v>53</v>
      </c>
      <c r="K1317" s="32" t="s">
        <v>41</v>
      </c>
    </row>
    <row r="1318" spans="1:12" hidden="1" x14ac:dyDescent="0.3">
      <c r="A1318" s="39">
        <v>46156.617893518516</v>
      </c>
      <c r="B1318" s="32">
        <v>4432275634</v>
      </c>
      <c r="C1318" s="32">
        <v>4430265054</v>
      </c>
      <c r="D1318" s="32">
        <v>4430265054</v>
      </c>
      <c r="E1318" s="32">
        <v>1</v>
      </c>
      <c r="F1318" s="32">
        <v>1</v>
      </c>
      <c r="G1318" s="32" t="s">
        <v>52</v>
      </c>
      <c r="H1318" s="32" t="s">
        <v>4035</v>
      </c>
      <c r="I1318" s="32" t="s">
        <v>39</v>
      </c>
      <c r="J1318" s="32" t="s">
        <v>53</v>
      </c>
    </row>
    <row r="1319" spans="1:12" hidden="1" x14ac:dyDescent="0.3">
      <c r="A1319" s="39">
        <v>46156.617222222223</v>
      </c>
      <c r="B1319" s="32">
        <v>44998068281</v>
      </c>
      <c r="C1319" s="32">
        <v>4430265054</v>
      </c>
      <c r="D1319" s="32">
        <v>4430265054</v>
      </c>
      <c r="E1319" s="32">
        <v>113</v>
      </c>
      <c r="F1319" s="32">
        <v>113</v>
      </c>
      <c r="G1319" s="32" t="s">
        <v>52</v>
      </c>
      <c r="H1319" s="32" t="s">
        <v>4036</v>
      </c>
      <c r="I1319" s="32" t="s">
        <v>39</v>
      </c>
      <c r="J1319" s="32" t="s">
        <v>53</v>
      </c>
      <c r="K1319" s="32" t="s">
        <v>41</v>
      </c>
    </row>
    <row r="1320" spans="1:12" hidden="1" x14ac:dyDescent="0.3">
      <c r="A1320" s="39">
        <v>46156.615613425929</v>
      </c>
      <c r="B1320" s="32">
        <v>4130760170</v>
      </c>
      <c r="C1320" s="32" t="s">
        <v>43</v>
      </c>
      <c r="D1320" s="32">
        <v>4430265054</v>
      </c>
      <c r="E1320" s="32">
        <v>690</v>
      </c>
      <c r="F1320" s="32">
        <v>666</v>
      </c>
      <c r="G1320" s="32" t="s">
        <v>38</v>
      </c>
      <c r="H1320" s="32" t="s">
        <v>4037</v>
      </c>
      <c r="I1320" s="32" t="s">
        <v>39</v>
      </c>
      <c r="J1320" s="32" t="s">
        <v>40</v>
      </c>
      <c r="K1320" s="32" t="s">
        <v>41</v>
      </c>
    </row>
    <row r="1321" spans="1:12" hidden="1" x14ac:dyDescent="0.3">
      <c r="A1321" s="39">
        <v>46156.615497685183</v>
      </c>
      <c r="B1321" s="32">
        <v>4330332823</v>
      </c>
      <c r="C1321" s="32" t="s">
        <v>44</v>
      </c>
      <c r="D1321" s="32">
        <v>4430265054</v>
      </c>
      <c r="E1321" s="32">
        <v>625</v>
      </c>
      <c r="F1321" s="32">
        <v>600</v>
      </c>
      <c r="G1321" s="32" t="s">
        <v>38</v>
      </c>
      <c r="H1321" s="32" t="s">
        <v>4038</v>
      </c>
      <c r="I1321" s="32" t="s">
        <v>39</v>
      </c>
      <c r="J1321" s="32" t="s">
        <v>40</v>
      </c>
      <c r="K1321" s="32" t="s">
        <v>41</v>
      </c>
    </row>
    <row r="1322" spans="1:12" hidden="1" x14ac:dyDescent="0.3">
      <c r="A1322" s="39">
        <v>46156.610995370371</v>
      </c>
      <c r="B1322" s="32" t="s">
        <v>45</v>
      </c>
      <c r="C1322" s="32">
        <v>41999865917</v>
      </c>
      <c r="E1322" s="32">
        <v>836</v>
      </c>
      <c r="F1322" s="32">
        <v>829</v>
      </c>
      <c r="G1322" s="32" t="s">
        <v>38</v>
      </c>
      <c r="H1322" s="32" t="s">
        <v>4039</v>
      </c>
      <c r="I1322" s="32" t="s">
        <v>46</v>
      </c>
      <c r="J1322" s="32" t="s">
        <v>40</v>
      </c>
    </row>
    <row r="1323" spans="1:12" hidden="1" x14ac:dyDescent="0.3">
      <c r="A1323" s="39">
        <v>46156.608159722222</v>
      </c>
      <c r="B1323" s="32" t="s">
        <v>48</v>
      </c>
      <c r="C1323" s="32">
        <v>4133491428</v>
      </c>
      <c r="E1323" s="32">
        <v>935</v>
      </c>
      <c r="F1323" s="32">
        <v>924</v>
      </c>
      <c r="G1323" s="32" t="s">
        <v>38</v>
      </c>
      <c r="H1323" s="32" t="s">
        <v>4040</v>
      </c>
      <c r="I1323" s="32" t="s">
        <v>46</v>
      </c>
      <c r="J1323" s="32" t="s">
        <v>40</v>
      </c>
    </row>
    <row r="1324" spans="1:12" hidden="1" x14ac:dyDescent="0.3">
      <c r="A1324" s="39">
        <v>46156.606851851851</v>
      </c>
      <c r="B1324" s="32">
        <v>4433013750</v>
      </c>
      <c r="C1324" s="32">
        <v>4430265054</v>
      </c>
      <c r="D1324" s="32">
        <v>4430265054</v>
      </c>
      <c r="E1324" s="32">
        <v>8</v>
      </c>
      <c r="F1324" s="32">
        <v>7</v>
      </c>
      <c r="G1324" s="32" t="s">
        <v>52</v>
      </c>
      <c r="H1324" s="32" t="s">
        <v>4041</v>
      </c>
      <c r="I1324" s="32" t="s">
        <v>39</v>
      </c>
      <c r="J1324" s="32" t="s">
        <v>53</v>
      </c>
    </row>
    <row r="1325" spans="1:12" hidden="1" x14ac:dyDescent="0.3">
      <c r="A1325" s="39">
        <v>46156.602581018517</v>
      </c>
      <c r="B1325" s="32">
        <v>44999856904</v>
      </c>
      <c r="C1325" s="32" t="s">
        <v>44</v>
      </c>
      <c r="D1325" s="32">
        <v>4430265054</v>
      </c>
      <c r="E1325" s="32">
        <v>195</v>
      </c>
      <c r="F1325" s="32">
        <v>148</v>
      </c>
      <c r="G1325" s="32" t="s">
        <v>38</v>
      </c>
      <c r="H1325" s="32" t="s">
        <v>4042</v>
      </c>
      <c r="I1325" s="32" t="s">
        <v>39</v>
      </c>
      <c r="J1325" s="32" t="s">
        <v>40</v>
      </c>
      <c r="K1325" s="32" t="s">
        <v>41</v>
      </c>
    </row>
    <row r="1326" spans="1:12" hidden="1" x14ac:dyDescent="0.3">
      <c r="A1326" s="39">
        <v>46156.60229166667</v>
      </c>
      <c r="B1326" s="32" t="s">
        <v>48</v>
      </c>
      <c r="C1326" s="32">
        <v>4130760170</v>
      </c>
      <c r="E1326" s="32">
        <v>271</v>
      </c>
      <c r="F1326" s="32">
        <v>229</v>
      </c>
      <c r="G1326" s="32" t="s">
        <v>38</v>
      </c>
      <c r="H1326" s="32" t="s">
        <v>4043</v>
      </c>
      <c r="I1326" s="32" t="s">
        <v>46</v>
      </c>
      <c r="J1326" s="32" t="s">
        <v>40</v>
      </c>
    </row>
    <row r="1327" spans="1:12" hidden="1" x14ac:dyDescent="0.3">
      <c r="A1327" s="39">
        <v>46156.602002314816</v>
      </c>
      <c r="B1327" s="32" t="s">
        <v>45</v>
      </c>
      <c r="C1327" s="32">
        <v>4430318516</v>
      </c>
      <c r="E1327" s="32">
        <v>455</v>
      </c>
      <c r="F1327" s="32">
        <v>445</v>
      </c>
      <c r="G1327" s="32" t="s">
        <v>38</v>
      </c>
      <c r="H1327" s="32" t="s">
        <v>4044</v>
      </c>
      <c r="I1327" s="32" t="s">
        <v>46</v>
      </c>
      <c r="J1327" s="32" t="s">
        <v>40</v>
      </c>
    </row>
    <row r="1328" spans="1:12" hidden="1" x14ac:dyDescent="0.3">
      <c r="A1328" s="39">
        <v>46156.60193287037</v>
      </c>
      <c r="B1328" s="32" t="s">
        <v>45</v>
      </c>
      <c r="C1328" s="32">
        <v>4430318516</v>
      </c>
      <c r="E1328" s="32">
        <v>25</v>
      </c>
      <c r="F1328" s="32">
        <v>25</v>
      </c>
      <c r="G1328" s="32" t="s">
        <v>38</v>
      </c>
      <c r="H1328" s="32" t="s">
        <v>4045</v>
      </c>
      <c r="I1328" s="32" t="s">
        <v>46</v>
      </c>
      <c r="J1328" s="32" t="s">
        <v>40</v>
      </c>
    </row>
    <row r="1329" spans="1:12" hidden="1" x14ac:dyDescent="0.3">
      <c r="A1329" s="39">
        <v>46156.600717592592</v>
      </c>
      <c r="B1329" s="32">
        <v>44997650834</v>
      </c>
      <c r="C1329" s="32" t="s">
        <v>43</v>
      </c>
      <c r="D1329" s="32">
        <v>4430265054</v>
      </c>
      <c r="E1329" s="32">
        <v>843</v>
      </c>
      <c r="F1329" s="32">
        <v>792</v>
      </c>
      <c r="G1329" s="32" t="s">
        <v>38</v>
      </c>
      <c r="H1329" s="32" t="s">
        <v>4046</v>
      </c>
      <c r="I1329" s="32" t="s">
        <v>39</v>
      </c>
      <c r="J1329" s="32" t="s">
        <v>40</v>
      </c>
      <c r="K1329" s="32" t="s">
        <v>41</v>
      </c>
      <c r="L1329" s="32">
        <v>5</v>
      </c>
    </row>
    <row r="1330" spans="1:12" hidden="1" x14ac:dyDescent="0.3">
      <c r="A1330" s="39">
        <v>46156.600682870368</v>
      </c>
      <c r="B1330" s="32">
        <v>4121413772</v>
      </c>
      <c r="C1330" s="32">
        <v>4531273161</v>
      </c>
      <c r="D1330" s="32">
        <v>4531273161</v>
      </c>
      <c r="E1330" s="32">
        <v>47</v>
      </c>
      <c r="F1330" s="32">
        <v>46</v>
      </c>
      <c r="G1330" s="32" t="s">
        <v>52</v>
      </c>
      <c r="H1330" s="32" t="s">
        <v>4047</v>
      </c>
      <c r="I1330" s="32" t="s">
        <v>39</v>
      </c>
      <c r="J1330" s="32" t="s">
        <v>53</v>
      </c>
      <c r="K1330" s="32" t="s">
        <v>41</v>
      </c>
    </row>
    <row r="1331" spans="1:12" hidden="1" x14ac:dyDescent="0.3">
      <c r="A1331" s="39">
        <v>46156.598310185182</v>
      </c>
      <c r="B1331" s="32" t="s">
        <v>44</v>
      </c>
      <c r="C1331" s="32">
        <v>4432321371</v>
      </c>
      <c r="E1331" s="32">
        <v>316</v>
      </c>
      <c r="F1331" s="32">
        <v>307</v>
      </c>
      <c r="G1331" s="32" t="s">
        <v>38</v>
      </c>
      <c r="H1331" s="32" t="s">
        <v>4048</v>
      </c>
      <c r="I1331" s="32" t="s">
        <v>46</v>
      </c>
      <c r="J1331" s="32" t="s">
        <v>40</v>
      </c>
    </row>
    <row r="1332" spans="1:12" hidden="1" x14ac:dyDescent="0.3">
      <c r="A1332" s="39">
        <v>46156.598182870373</v>
      </c>
      <c r="B1332" s="32" t="s">
        <v>44</v>
      </c>
      <c r="C1332" s="32">
        <v>4432321371</v>
      </c>
      <c r="E1332" s="32">
        <v>25</v>
      </c>
      <c r="F1332" s="32">
        <v>25</v>
      </c>
      <c r="G1332" s="32" t="s">
        <v>38</v>
      </c>
      <c r="H1332" s="32" t="s">
        <v>4049</v>
      </c>
      <c r="I1332" s="32" t="s">
        <v>46</v>
      </c>
      <c r="J1332" s="32" t="s">
        <v>40</v>
      </c>
    </row>
    <row r="1333" spans="1:12" hidden="1" x14ac:dyDescent="0.3">
      <c r="A1333" s="39">
        <v>46156.597870370373</v>
      </c>
      <c r="B1333" s="32">
        <v>4435226025</v>
      </c>
      <c r="C1333" s="32" t="s">
        <v>43</v>
      </c>
      <c r="D1333" s="32">
        <v>4430265054</v>
      </c>
      <c r="E1333" s="32">
        <v>194</v>
      </c>
      <c r="F1333" s="32">
        <v>158</v>
      </c>
      <c r="G1333" s="32" t="s">
        <v>38</v>
      </c>
      <c r="H1333" s="32" t="s">
        <v>4050</v>
      </c>
      <c r="I1333" s="32" t="s">
        <v>39</v>
      </c>
      <c r="J1333" s="32" t="s">
        <v>40</v>
      </c>
      <c r="K1333" s="32" t="s">
        <v>41</v>
      </c>
      <c r="L1333" s="32">
        <v>5</v>
      </c>
    </row>
    <row r="1334" spans="1:12" hidden="1" x14ac:dyDescent="0.3">
      <c r="A1334" s="39">
        <v>46156.597569444442</v>
      </c>
      <c r="B1334" s="32" t="s">
        <v>44</v>
      </c>
      <c r="C1334" s="32">
        <v>4334226481</v>
      </c>
      <c r="E1334" s="32">
        <v>30</v>
      </c>
      <c r="F1334" s="32">
        <v>18</v>
      </c>
      <c r="G1334" s="32" t="s">
        <v>38</v>
      </c>
      <c r="H1334" s="32" t="s">
        <v>4051</v>
      </c>
      <c r="I1334" s="32" t="s">
        <v>46</v>
      </c>
      <c r="J1334" s="32" t="s">
        <v>40</v>
      </c>
    </row>
    <row r="1335" spans="1:12" hidden="1" x14ac:dyDescent="0.3">
      <c r="A1335" s="39">
        <v>46156.595127314817</v>
      </c>
      <c r="B1335" s="32">
        <v>4430318516</v>
      </c>
      <c r="C1335" s="32" t="s">
        <v>45</v>
      </c>
      <c r="D1335" s="32">
        <v>4430265054</v>
      </c>
      <c r="E1335" s="32">
        <v>575</v>
      </c>
      <c r="F1335" s="32">
        <v>533</v>
      </c>
      <c r="G1335" s="32" t="s">
        <v>38</v>
      </c>
      <c r="H1335" s="32" t="s">
        <v>4052</v>
      </c>
      <c r="I1335" s="32" t="s">
        <v>39</v>
      </c>
      <c r="J1335" s="32" t="s">
        <v>40</v>
      </c>
      <c r="K1335" s="32" t="s">
        <v>41</v>
      </c>
    </row>
    <row r="1336" spans="1:12" hidden="1" x14ac:dyDescent="0.3">
      <c r="A1336" s="39">
        <v>46156.583692129629</v>
      </c>
      <c r="B1336" s="32">
        <v>44997561804</v>
      </c>
      <c r="C1336" s="32" t="s">
        <v>44</v>
      </c>
      <c r="D1336" s="32">
        <v>4430265054</v>
      </c>
      <c r="E1336" s="32">
        <v>374</v>
      </c>
      <c r="F1336" s="32">
        <v>339</v>
      </c>
      <c r="G1336" s="32" t="s">
        <v>38</v>
      </c>
      <c r="H1336" s="32" t="s">
        <v>4053</v>
      </c>
      <c r="I1336" s="32" t="s">
        <v>39</v>
      </c>
      <c r="J1336" s="32" t="s">
        <v>40</v>
      </c>
      <c r="K1336" s="32" t="s">
        <v>41</v>
      </c>
    </row>
    <row r="1337" spans="1:12" hidden="1" x14ac:dyDescent="0.3">
      <c r="A1337" s="39">
        <v>46156.583356481482</v>
      </c>
      <c r="B1337" s="32">
        <v>4430562296</v>
      </c>
      <c r="C1337" s="32" t="s">
        <v>45</v>
      </c>
      <c r="D1337" s="32">
        <v>4430265054</v>
      </c>
      <c r="E1337" s="32">
        <v>898</v>
      </c>
      <c r="F1337" s="32">
        <v>839</v>
      </c>
      <c r="G1337" s="32" t="s">
        <v>38</v>
      </c>
      <c r="H1337" s="32" t="s">
        <v>4054</v>
      </c>
      <c r="I1337" s="32" t="s">
        <v>39</v>
      </c>
      <c r="J1337" s="32" t="s">
        <v>40</v>
      </c>
      <c r="K1337" s="32" t="s">
        <v>41</v>
      </c>
    </row>
    <row r="1338" spans="1:12" hidden="1" x14ac:dyDescent="0.3">
      <c r="A1338" s="39">
        <v>46156.58011574074</v>
      </c>
      <c r="B1338" s="32" t="s">
        <v>43</v>
      </c>
      <c r="C1338" s="32">
        <v>4430459032</v>
      </c>
      <c r="E1338" s="32">
        <v>2</v>
      </c>
      <c r="F1338" s="32">
        <v>0</v>
      </c>
      <c r="G1338" s="32" t="s">
        <v>47</v>
      </c>
      <c r="H1338" s="32" t="s">
        <v>4055</v>
      </c>
      <c r="I1338" s="32" t="s">
        <v>46</v>
      </c>
      <c r="J1338" s="32" t="s">
        <v>40</v>
      </c>
    </row>
    <row r="1339" spans="1:12" hidden="1" x14ac:dyDescent="0.3">
      <c r="A1339" s="39">
        <v>46156.580023148148</v>
      </c>
      <c r="B1339" s="32" t="s">
        <v>43</v>
      </c>
      <c r="C1339" s="32">
        <v>4430459032</v>
      </c>
      <c r="E1339" s="32">
        <v>26</v>
      </c>
      <c r="F1339" s="32">
        <v>25</v>
      </c>
      <c r="G1339" s="32" t="s">
        <v>38</v>
      </c>
      <c r="H1339" s="32" t="s">
        <v>4056</v>
      </c>
      <c r="I1339" s="32" t="s">
        <v>46</v>
      </c>
      <c r="J1339" s="32" t="s">
        <v>40</v>
      </c>
    </row>
    <row r="1340" spans="1:12" hidden="1" x14ac:dyDescent="0.3">
      <c r="A1340" s="39">
        <v>46156.575902777775</v>
      </c>
      <c r="B1340" s="32">
        <v>44988327245</v>
      </c>
      <c r="C1340" s="32">
        <v>4430265054</v>
      </c>
      <c r="D1340" s="32">
        <v>4430265054</v>
      </c>
      <c r="E1340" s="32">
        <v>9</v>
      </c>
      <c r="F1340" s="32">
        <v>8</v>
      </c>
      <c r="G1340" s="32" t="s">
        <v>52</v>
      </c>
      <c r="H1340" s="32" t="s">
        <v>4057</v>
      </c>
      <c r="I1340" s="32" t="s">
        <v>39</v>
      </c>
      <c r="J1340" s="32" t="s">
        <v>53</v>
      </c>
    </row>
    <row r="1341" spans="1:12" hidden="1" x14ac:dyDescent="0.3">
      <c r="A1341" s="39">
        <v>46156.575462962966</v>
      </c>
      <c r="B1341" s="32">
        <v>4130760170</v>
      </c>
      <c r="C1341" s="32" t="s">
        <v>48</v>
      </c>
      <c r="D1341" s="32">
        <v>4430265054</v>
      </c>
      <c r="E1341" s="32">
        <v>1112</v>
      </c>
      <c r="F1341" s="32">
        <v>1021</v>
      </c>
      <c r="G1341" s="32" t="s">
        <v>38</v>
      </c>
      <c r="H1341" s="32" t="s">
        <v>4058</v>
      </c>
      <c r="I1341" s="32" t="s">
        <v>39</v>
      </c>
      <c r="J1341" s="32" t="s">
        <v>40</v>
      </c>
      <c r="K1341" s="32" t="s">
        <v>41</v>
      </c>
    </row>
    <row r="1342" spans="1:12" hidden="1" x14ac:dyDescent="0.3">
      <c r="A1342" s="39">
        <v>46156.57503472222</v>
      </c>
      <c r="B1342" s="32" t="s">
        <v>48</v>
      </c>
      <c r="C1342" s="32">
        <v>4330333542</v>
      </c>
      <c r="E1342" s="32">
        <v>42</v>
      </c>
      <c r="F1342" s="32">
        <v>34</v>
      </c>
      <c r="G1342" s="32" t="s">
        <v>38</v>
      </c>
      <c r="H1342" s="32" t="s">
        <v>4059</v>
      </c>
      <c r="I1342" s="32" t="s">
        <v>46</v>
      </c>
      <c r="J1342" s="32" t="s">
        <v>40</v>
      </c>
    </row>
    <row r="1343" spans="1:12" hidden="1" x14ac:dyDescent="0.3">
      <c r="A1343" s="39">
        <v>46156.57372685185</v>
      </c>
      <c r="B1343" s="32">
        <v>41999865917</v>
      </c>
      <c r="C1343" s="32" t="s">
        <v>45</v>
      </c>
      <c r="D1343" s="32">
        <v>4430265054</v>
      </c>
      <c r="E1343" s="32">
        <v>639</v>
      </c>
      <c r="F1343" s="32">
        <v>620</v>
      </c>
      <c r="G1343" s="32" t="s">
        <v>38</v>
      </c>
      <c r="H1343" s="32" t="s">
        <v>4060</v>
      </c>
      <c r="I1343" s="32" t="s">
        <v>39</v>
      </c>
      <c r="J1343" s="32" t="s">
        <v>40</v>
      </c>
      <c r="K1343" s="32" t="s">
        <v>41</v>
      </c>
    </row>
    <row r="1344" spans="1:12" hidden="1" x14ac:dyDescent="0.3">
      <c r="A1344" s="39">
        <v>46156.573020833333</v>
      </c>
      <c r="B1344" s="32">
        <v>4430318514</v>
      </c>
      <c r="C1344" s="32" t="s">
        <v>43</v>
      </c>
      <c r="D1344" s="32">
        <v>4430265054</v>
      </c>
      <c r="E1344" s="32">
        <v>434</v>
      </c>
      <c r="F1344" s="32">
        <v>382</v>
      </c>
      <c r="G1344" s="32" t="s">
        <v>38</v>
      </c>
      <c r="H1344" s="32" t="s">
        <v>4061</v>
      </c>
      <c r="I1344" s="32" t="s">
        <v>39</v>
      </c>
      <c r="J1344" s="32" t="s">
        <v>40</v>
      </c>
      <c r="K1344" s="32" t="s">
        <v>41</v>
      </c>
    </row>
    <row r="1345" spans="1:12" hidden="1" x14ac:dyDescent="0.3">
      <c r="A1345" s="39">
        <v>46156.571504629632</v>
      </c>
      <c r="B1345" s="32">
        <v>44998761561</v>
      </c>
      <c r="C1345" s="32" t="s">
        <v>48</v>
      </c>
      <c r="D1345" s="32">
        <v>4430265054</v>
      </c>
      <c r="E1345" s="32">
        <v>253</v>
      </c>
      <c r="F1345" s="32">
        <v>174</v>
      </c>
      <c r="G1345" s="32" t="s">
        <v>38</v>
      </c>
      <c r="H1345" s="32" t="s">
        <v>4062</v>
      </c>
      <c r="I1345" s="32" t="s">
        <v>39</v>
      </c>
      <c r="J1345" s="32" t="s">
        <v>40</v>
      </c>
      <c r="K1345" s="32" t="s">
        <v>41</v>
      </c>
      <c r="L1345" s="32">
        <v>5</v>
      </c>
    </row>
    <row r="1346" spans="1:12" hidden="1" x14ac:dyDescent="0.3">
      <c r="A1346" s="39">
        <v>46156.570810185185</v>
      </c>
      <c r="B1346" s="32">
        <v>1131043888</v>
      </c>
      <c r="C1346" s="32">
        <v>4430265054</v>
      </c>
      <c r="D1346" s="32">
        <v>4430265054</v>
      </c>
      <c r="E1346" s="32">
        <v>73</v>
      </c>
      <c r="F1346" s="32">
        <v>72</v>
      </c>
      <c r="G1346" s="32" t="s">
        <v>52</v>
      </c>
      <c r="H1346" s="32" t="s">
        <v>4063</v>
      </c>
      <c r="I1346" s="32" t="s">
        <v>39</v>
      </c>
      <c r="J1346" s="32" t="s">
        <v>53</v>
      </c>
      <c r="K1346" s="32" t="s">
        <v>41</v>
      </c>
    </row>
    <row r="1347" spans="1:12" hidden="1" x14ac:dyDescent="0.3">
      <c r="A1347" s="39">
        <v>46156.569745370369</v>
      </c>
      <c r="B1347" s="32">
        <v>44998761561</v>
      </c>
      <c r="C1347" s="32">
        <v>4430265054</v>
      </c>
      <c r="D1347" s="32">
        <v>4430265054</v>
      </c>
      <c r="E1347" s="32">
        <v>116</v>
      </c>
      <c r="F1347" s="32">
        <v>116</v>
      </c>
      <c r="G1347" s="32" t="s">
        <v>52</v>
      </c>
      <c r="H1347" s="32" t="s">
        <v>4064</v>
      </c>
      <c r="I1347" s="32" t="s">
        <v>39</v>
      </c>
      <c r="J1347" s="32" t="s">
        <v>53</v>
      </c>
      <c r="K1347" s="32" t="s">
        <v>41</v>
      </c>
    </row>
    <row r="1348" spans="1:12" hidden="1" x14ac:dyDescent="0.3">
      <c r="A1348" s="39">
        <v>46156.567361111112</v>
      </c>
      <c r="B1348" s="32">
        <v>1131043888</v>
      </c>
      <c r="C1348" s="32" t="s">
        <v>44</v>
      </c>
      <c r="D1348" s="32">
        <v>4430265054</v>
      </c>
      <c r="E1348" s="32">
        <v>825</v>
      </c>
      <c r="F1348" s="32">
        <v>631</v>
      </c>
      <c r="G1348" s="32" t="s">
        <v>38</v>
      </c>
      <c r="H1348" s="32" t="s">
        <v>4065</v>
      </c>
      <c r="I1348" s="32" t="s">
        <v>39</v>
      </c>
      <c r="J1348" s="32" t="s">
        <v>40</v>
      </c>
      <c r="K1348" s="32" t="s">
        <v>41</v>
      </c>
    </row>
    <row r="1349" spans="1:12" hidden="1" x14ac:dyDescent="0.3">
      <c r="A1349" s="39">
        <v>46156.566724537035</v>
      </c>
      <c r="B1349" s="32">
        <v>44999421976</v>
      </c>
      <c r="C1349" s="32" t="s">
        <v>48</v>
      </c>
      <c r="D1349" s="32">
        <v>4430265054</v>
      </c>
      <c r="E1349" s="32">
        <v>480</v>
      </c>
      <c r="F1349" s="32">
        <v>459</v>
      </c>
      <c r="G1349" s="32" t="s">
        <v>38</v>
      </c>
      <c r="H1349" s="32" t="s">
        <v>4066</v>
      </c>
      <c r="I1349" s="32" t="s">
        <v>39</v>
      </c>
      <c r="J1349" s="32" t="s">
        <v>40</v>
      </c>
      <c r="K1349" s="32" t="s">
        <v>41</v>
      </c>
    </row>
    <row r="1350" spans="1:12" hidden="1" x14ac:dyDescent="0.3">
      <c r="A1350" s="39">
        <v>46156.566412037035</v>
      </c>
      <c r="B1350" s="32">
        <v>1438780460</v>
      </c>
      <c r="C1350" s="32">
        <v>4531273169</v>
      </c>
      <c r="D1350" s="32">
        <v>4531273169</v>
      </c>
      <c r="E1350" s="32">
        <v>47</v>
      </c>
      <c r="F1350" s="32">
        <v>46</v>
      </c>
      <c r="G1350" s="32" t="s">
        <v>52</v>
      </c>
      <c r="H1350" s="32" t="s">
        <v>4067</v>
      </c>
      <c r="I1350" s="32" t="s">
        <v>39</v>
      </c>
      <c r="J1350" s="32" t="s">
        <v>53</v>
      </c>
      <c r="K1350" s="32" t="s">
        <v>41</v>
      </c>
    </row>
    <row r="1351" spans="1:12" hidden="1" x14ac:dyDescent="0.3">
      <c r="A1351" s="39">
        <v>46156.565162037034</v>
      </c>
      <c r="B1351" s="32">
        <v>4432321232</v>
      </c>
      <c r="C1351" s="32" t="s">
        <v>44</v>
      </c>
      <c r="D1351" s="32">
        <v>4430265054</v>
      </c>
      <c r="E1351" s="32">
        <v>363</v>
      </c>
      <c r="F1351" s="32">
        <v>339</v>
      </c>
      <c r="G1351" s="32" t="s">
        <v>38</v>
      </c>
      <c r="H1351" s="32" t="s">
        <v>4068</v>
      </c>
      <c r="I1351" s="32" t="s">
        <v>39</v>
      </c>
      <c r="J1351" s="32" t="s">
        <v>40</v>
      </c>
      <c r="K1351" s="32" t="s">
        <v>41</v>
      </c>
      <c r="L1351" s="32">
        <v>5</v>
      </c>
    </row>
    <row r="1352" spans="1:12" hidden="1" x14ac:dyDescent="0.3">
      <c r="A1352" s="39">
        <v>46156.564502314817</v>
      </c>
      <c r="B1352" s="32">
        <v>4430145172</v>
      </c>
      <c r="C1352" s="32" t="s">
        <v>43</v>
      </c>
      <c r="D1352" s="32">
        <v>4430265054</v>
      </c>
      <c r="E1352" s="32">
        <v>766</v>
      </c>
      <c r="F1352" s="32">
        <v>736</v>
      </c>
      <c r="G1352" s="32" t="s">
        <v>38</v>
      </c>
      <c r="H1352" s="32" t="s">
        <v>4069</v>
      </c>
      <c r="I1352" s="32" t="s">
        <v>39</v>
      </c>
      <c r="J1352" s="32" t="s">
        <v>40</v>
      </c>
      <c r="K1352" s="32" t="s">
        <v>41</v>
      </c>
    </row>
    <row r="1353" spans="1:12" hidden="1" x14ac:dyDescent="0.3">
      <c r="A1353" s="39">
        <v>46156.5627662037</v>
      </c>
      <c r="B1353" s="32" t="s">
        <v>45</v>
      </c>
      <c r="C1353" s="32">
        <v>4430291622</v>
      </c>
      <c r="E1353" s="32">
        <v>926</v>
      </c>
      <c r="F1353" s="32">
        <v>915</v>
      </c>
      <c r="G1353" s="32" t="s">
        <v>38</v>
      </c>
      <c r="H1353" s="32" t="s">
        <v>4070</v>
      </c>
      <c r="I1353" s="32" t="s">
        <v>46</v>
      </c>
      <c r="J1353" s="32" t="s">
        <v>40</v>
      </c>
    </row>
    <row r="1354" spans="1:12" hidden="1" x14ac:dyDescent="0.3">
      <c r="A1354" s="39">
        <v>46156.559907407405</v>
      </c>
      <c r="B1354" s="32">
        <v>44999421976</v>
      </c>
      <c r="C1354" s="32">
        <v>4430265054</v>
      </c>
      <c r="D1354" s="32">
        <v>4430265054</v>
      </c>
      <c r="E1354" s="32">
        <v>14</v>
      </c>
      <c r="F1354" s="32">
        <v>14</v>
      </c>
      <c r="G1354" s="32" t="s">
        <v>52</v>
      </c>
      <c r="H1354" s="32" t="s">
        <v>4071</v>
      </c>
      <c r="I1354" s="32" t="s">
        <v>39</v>
      </c>
      <c r="J1354" s="32" t="s">
        <v>53</v>
      </c>
    </row>
    <row r="1355" spans="1:12" hidden="1" x14ac:dyDescent="0.3">
      <c r="A1355" s="39">
        <v>46156.489062499997</v>
      </c>
      <c r="B1355" s="32">
        <v>4430141533</v>
      </c>
      <c r="C1355" s="32" t="s">
        <v>44</v>
      </c>
      <c r="D1355" s="32">
        <v>4430265054</v>
      </c>
      <c r="E1355" s="32">
        <v>536</v>
      </c>
      <c r="F1355" s="32">
        <v>498</v>
      </c>
      <c r="G1355" s="32" t="s">
        <v>38</v>
      </c>
      <c r="H1355" s="32" t="s">
        <v>4072</v>
      </c>
      <c r="I1355" s="32" t="s">
        <v>39</v>
      </c>
      <c r="J1355" s="32" t="s">
        <v>40</v>
      </c>
      <c r="K1355" s="32" t="s">
        <v>41</v>
      </c>
      <c r="L1355" s="32">
        <v>5</v>
      </c>
    </row>
    <row r="1356" spans="1:12" hidden="1" x14ac:dyDescent="0.3">
      <c r="A1356" s="39">
        <v>46156.481365740743</v>
      </c>
      <c r="B1356" s="32">
        <v>4130760170</v>
      </c>
      <c r="C1356" s="32" t="s">
        <v>43</v>
      </c>
      <c r="D1356" s="32">
        <v>4430265054</v>
      </c>
      <c r="E1356" s="32">
        <v>365</v>
      </c>
      <c r="F1356" s="32">
        <v>297</v>
      </c>
      <c r="G1356" s="32" t="s">
        <v>38</v>
      </c>
      <c r="H1356" s="32" t="s">
        <v>4073</v>
      </c>
      <c r="I1356" s="32" t="s">
        <v>39</v>
      </c>
      <c r="J1356" s="32" t="s">
        <v>40</v>
      </c>
      <c r="K1356" s="32" t="s">
        <v>41</v>
      </c>
    </row>
    <row r="1357" spans="1:12" hidden="1" x14ac:dyDescent="0.3">
      <c r="A1357" s="39">
        <v>46156.47997685185</v>
      </c>
      <c r="B1357" s="32" t="s">
        <v>48</v>
      </c>
      <c r="C1357" s="32">
        <v>4330333542</v>
      </c>
      <c r="E1357" s="32">
        <v>124</v>
      </c>
      <c r="F1357" s="32">
        <v>117</v>
      </c>
      <c r="G1357" s="32" t="s">
        <v>38</v>
      </c>
      <c r="H1357" s="32" t="s">
        <v>4074</v>
      </c>
      <c r="I1357" s="32" t="s">
        <v>46</v>
      </c>
      <c r="J1357" s="32" t="s">
        <v>40</v>
      </c>
    </row>
    <row r="1358" spans="1:12" hidden="1" x14ac:dyDescent="0.3">
      <c r="A1358" s="39">
        <v>46156.470729166664</v>
      </c>
      <c r="B1358" s="32">
        <v>4330333542</v>
      </c>
      <c r="C1358" s="32" t="s">
        <v>45</v>
      </c>
      <c r="D1358" s="32">
        <v>4430265054</v>
      </c>
      <c r="E1358" s="32">
        <v>837</v>
      </c>
      <c r="F1358" s="32">
        <v>577</v>
      </c>
      <c r="G1358" s="32" t="s">
        <v>38</v>
      </c>
      <c r="H1358" s="32" t="s">
        <v>4075</v>
      </c>
      <c r="I1358" s="32" t="s">
        <v>39</v>
      </c>
      <c r="J1358" s="32" t="s">
        <v>40</v>
      </c>
      <c r="K1358" s="32" t="s">
        <v>41</v>
      </c>
    </row>
    <row r="1359" spans="1:12" hidden="1" x14ac:dyDescent="0.3">
      <c r="A1359" s="39">
        <v>46156.469930555555</v>
      </c>
      <c r="B1359" s="32">
        <v>44999090169</v>
      </c>
      <c r="C1359" s="32" t="s">
        <v>44</v>
      </c>
      <c r="D1359" s="32">
        <v>4431268225</v>
      </c>
      <c r="E1359" s="32">
        <v>295</v>
      </c>
      <c r="F1359" s="32">
        <v>263</v>
      </c>
      <c r="G1359" s="32" t="s">
        <v>38</v>
      </c>
      <c r="H1359" s="32" t="s">
        <v>4076</v>
      </c>
      <c r="I1359" s="32" t="s">
        <v>39</v>
      </c>
      <c r="J1359" s="32" t="s">
        <v>40</v>
      </c>
      <c r="K1359" s="32" t="s">
        <v>41</v>
      </c>
    </row>
    <row r="1360" spans="1:12" hidden="1" x14ac:dyDescent="0.3">
      <c r="A1360" s="39">
        <v>46156.465428240743</v>
      </c>
      <c r="B1360" s="32">
        <v>4430291622</v>
      </c>
      <c r="C1360" s="32" t="s">
        <v>45</v>
      </c>
      <c r="D1360" s="32">
        <v>4430265054</v>
      </c>
      <c r="E1360" s="32">
        <v>375</v>
      </c>
      <c r="F1360" s="32">
        <v>332</v>
      </c>
      <c r="G1360" s="32" t="s">
        <v>38</v>
      </c>
      <c r="H1360" s="32" t="s">
        <v>4077</v>
      </c>
      <c r="I1360" s="32" t="s">
        <v>39</v>
      </c>
      <c r="J1360" s="32" t="s">
        <v>40</v>
      </c>
      <c r="K1360" s="32" t="s">
        <v>41</v>
      </c>
    </row>
    <row r="1361" spans="1:11" hidden="1" x14ac:dyDescent="0.3">
      <c r="A1361" s="39">
        <v>46156.462164351855</v>
      </c>
      <c r="B1361" s="32">
        <v>4133491428</v>
      </c>
      <c r="C1361" s="32" t="s">
        <v>43</v>
      </c>
      <c r="D1361" s="32">
        <v>4430265054</v>
      </c>
      <c r="E1361" s="32">
        <v>504</v>
      </c>
      <c r="F1361" s="32">
        <v>475</v>
      </c>
      <c r="G1361" s="32" t="s">
        <v>38</v>
      </c>
      <c r="H1361" s="32" t="s">
        <v>4078</v>
      </c>
      <c r="I1361" s="32" t="s">
        <v>39</v>
      </c>
      <c r="J1361" s="32" t="s">
        <v>40</v>
      </c>
      <c r="K1361" s="32" t="s">
        <v>41</v>
      </c>
    </row>
    <row r="1362" spans="1:11" hidden="1" x14ac:dyDescent="0.3">
      <c r="A1362" s="39">
        <v>46156.460162037038</v>
      </c>
      <c r="B1362" s="32">
        <v>44999090169</v>
      </c>
      <c r="C1362" s="32" t="s">
        <v>43</v>
      </c>
      <c r="D1362" s="32">
        <v>4431268225</v>
      </c>
      <c r="E1362" s="32">
        <v>61</v>
      </c>
      <c r="F1362" s="32">
        <v>4</v>
      </c>
      <c r="G1362" s="32" t="s">
        <v>38</v>
      </c>
      <c r="H1362" s="32" t="s">
        <v>4079</v>
      </c>
      <c r="I1362" s="32" t="s">
        <v>39</v>
      </c>
      <c r="J1362" s="32" t="s">
        <v>40</v>
      </c>
      <c r="K1362" s="32" t="s">
        <v>41</v>
      </c>
    </row>
    <row r="1363" spans="1:11" hidden="1" x14ac:dyDescent="0.3">
      <c r="A1363" s="39">
        <v>46156.458124999997</v>
      </c>
      <c r="B1363" s="32">
        <v>44999090169</v>
      </c>
      <c r="C1363" s="32">
        <v>4431268225</v>
      </c>
      <c r="D1363" s="32">
        <v>4431268225</v>
      </c>
      <c r="E1363" s="32">
        <v>11</v>
      </c>
      <c r="F1363" s="32">
        <v>10</v>
      </c>
      <c r="G1363" s="32" t="s">
        <v>52</v>
      </c>
      <c r="H1363" s="32" t="s">
        <v>4080</v>
      </c>
      <c r="I1363" s="32" t="s">
        <v>39</v>
      </c>
      <c r="J1363" s="32" t="s">
        <v>53</v>
      </c>
    </row>
    <row r="1364" spans="1:11" hidden="1" x14ac:dyDescent="0.3">
      <c r="A1364" s="39">
        <v>46156.455266203702</v>
      </c>
      <c r="B1364" s="32">
        <v>1438780460</v>
      </c>
      <c r="C1364" s="32">
        <v>4531273176</v>
      </c>
      <c r="D1364" s="32">
        <v>4531273176</v>
      </c>
      <c r="E1364" s="32">
        <v>47</v>
      </c>
      <c r="F1364" s="32">
        <v>46</v>
      </c>
      <c r="G1364" s="32" t="s">
        <v>52</v>
      </c>
      <c r="H1364" s="32" t="s">
        <v>4081</v>
      </c>
      <c r="I1364" s="32" t="s">
        <v>39</v>
      </c>
      <c r="J1364" s="32" t="s">
        <v>53</v>
      </c>
      <c r="K1364" s="32" t="s">
        <v>41</v>
      </c>
    </row>
    <row r="1365" spans="1:11" hidden="1" x14ac:dyDescent="0.3">
      <c r="A1365" s="39">
        <v>46156.448796296296</v>
      </c>
      <c r="B1365" s="32" t="s">
        <v>44</v>
      </c>
      <c r="C1365" s="32">
        <v>44999090169</v>
      </c>
      <c r="E1365" s="32">
        <v>37</v>
      </c>
      <c r="F1365" s="32">
        <v>0</v>
      </c>
      <c r="G1365" s="32" t="s">
        <v>47</v>
      </c>
      <c r="H1365" s="32" t="s">
        <v>4082</v>
      </c>
      <c r="I1365" s="32" t="s">
        <v>46</v>
      </c>
      <c r="J1365" s="32" t="s">
        <v>40</v>
      </c>
    </row>
    <row r="1366" spans="1:11" hidden="1" x14ac:dyDescent="0.3">
      <c r="A1366" s="39">
        <v>46156.448333333334</v>
      </c>
      <c r="B1366" s="32" t="s">
        <v>44</v>
      </c>
      <c r="C1366" s="32">
        <v>44999090169</v>
      </c>
      <c r="E1366" s="32">
        <v>68</v>
      </c>
      <c r="F1366" s="32">
        <v>31</v>
      </c>
      <c r="G1366" s="32" t="s">
        <v>38</v>
      </c>
      <c r="H1366" s="32" t="s">
        <v>4083</v>
      </c>
      <c r="I1366" s="32" t="s">
        <v>46</v>
      </c>
      <c r="J1366" s="32" t="s">
        <v>40</v>
      </c>
    </row>
    <row r="1367" spans="1:11" hidden="1" x14ac:dyDescent="0.3">
      <c r="A1367" s="39">
        <v>46156.448275462964</v>
      </c>
      <c r="B1367" s="32" t="s">
        <v>44</v>
      </c>
      <c r="C1367" s="32">
        <v>4434531529</v>
      </c>
      <c r="E1367" s="32">
        <v>3</v>
      </c>
      <c r="F1367" s="32">
        <v>0</v>
      </c>
      <c r="G1367" s="32" t="s">
        <v>47</v>
      </c>
      <c r="H1367" s="32" t="s">
        <v>4084</v>
      </c>
      <c r="I1367" s="32" t="s">
        <v>46</v>
      </c>
      <c r="J1367" s="32" t="s">
        <v>40</v>
      </c>
    </row>
    <row r="1368" spans="1:11" hidden="1" x14ac:dyDescent="0.3">
      <c r="A1368" s="39">
        <v>46156.448194444441</v>
      </c>
      <c r="B1368" s="32" t="s">
        <v>44</v>
      </c>
      <c r="C1368" s="32">
        <v>4434531529</v>
      </c>
      <c r="E1368" s="32">
        <v>4</v>
      </c>
      <c r="F1368" s="32">
        <v>0</v>
      </c>
      <c r="G1368" s="32" t="s">
        <v>47</v>
      </c>
      <c r="H1368" s="32" t="s">
        <v>4085</v>
      </c>
      <c r="I1368" s="32" t="s">
        <v>46</v>
      </c>
      <c r="J1368" s="32" t="s">
        <v>40</v>
      </c>
    </row>
    <row r="1369" spans="1:11" hidden="1" x14ac:dyDescent="0.3">
      <c r="A1369" s="39">
        <v>46156.447708333333</v>
      </c>
      <c r="B1369" s="32" t="s">
        <v>44</v>
      </c>
      <c r="C1369" s="32">
        <v>44999090169</v>
      </c>
      <c r="E1369" s="32">
        <v>67</v>
      </c>
      <c r="F1369" s="32">
        <v>29</v>
      </c>
      <c r="G1369" s="32" t="s">
        <v>38</v>
      </c>
      <c r="H1369" s="32" t="s">
        <v>4086</v>
      </c>
      <c r="I1369" s="32" t="s">
        <v>46</v>
      </c>
      <c r="J1369" s="32" t="s">
        <v>40</v>
      </c>
    </row>
    <row r="1370" spans="1:11" hidden="1" x14ac:dyDescent="0.3">
      <c r="A1370" s="39">
        <v>46156.44730324074</v>
      </c>
      <c r="B1370" s="32">
        <v>41999717893</v>
      </c>
      <c r="C1370" s="32" t="s">
        <v>44</v>
      </c>
      <c r="D1370" s="32">
        <v>4430265054</v>
      </c>
      <c r="E1370" s="32">
        <v>1187</v>
      </c>
      <c r="F1370" s="32">
        <v>974</v>
      </c>
      <c r="G1370" s="32" t="s">
        <v>38</v>
      </c>
      <c r="H1370" s="32" t="s">
        <v>4087</v>
      </c>
      <c r="I1370" s="32" t="s">
        <v>39</v>
      </c>
      <c r="J1370" s="32" t="s">
        <v>40</v>
      </c>
      <c r="K1370" s="32" t="s">
        <v>41</v>
      </c>
    </row>
    <row r="1371" spans="1:11" hidden="1" x14ac:dyDescent="0.3">
      <c r="A1371" s="39">
        <v>46156.445902777778</v>
      </c>
      <c r="B1371" s="32">
        <v>99984024914</v>
      </c>
      <c r="C1371" s="32" t="s">
        <v>57</v>
      </c>
      <c r="D1371" s="32">
        <v>4430265054</v>
      </c>
      <c r="E1371" s="32">
        <v>78</v>
      </c>
      <c r="F1371" s="32">
        <v>56</v>
      </c>
      <c r="G1371" s="32" t="s">
        <v>38</v>
      </c>
      <c r="H1371" s="32" t="s">
        <v>4088</v>
      </c>
      <c r="I1371" s="32" t="s">
        <v>39</v>
      </c>
      <c r="J1371" s="32" t="s">
        <v>55</v>
      </c>
      <c r="K1371" s="32" t="s">
        <v>49</v>
      </c>
    </row>
    <row r="1372" spans="1:11" hidden="1" x14ac:dyDescent="0.3">
      <c r="A1372" s="39">
        <v>46156.443923611114</v>
      </c>
      <c r="B1372" s="32">
        <v>4533042020</v>
      </c>
      <c r="C1372" s="32">
        <v>4531273162</v>
      </c>
      <c r="D1372" s="32">
        <v>4531273162</v>
      </c>
      <c r="E1372" s="32">
        <v>48</v>
      </c>
      <c r="F1372" s="32">
        <v>47</v>
      </c>
      <c r="G1372" s="32" t="s">
        <v>52</v>
      </c>
      <c r="H1372" s="32" t="s">
        <v>4089</v>
      </c>
      <c r="I1372" s="32" t="s">
        <v>39</v>
      </c>
      <c r="J1372" s="32" t="s">
        <v>53</v>
      </c>
      <c r="K1372" s="32" t="s">
        <v>41</v>
      </c>
    </row>
    <row r="1373" spans="1:11" hidden="1" x14ac:dyDescent="0.3">
      <c r="A1373" s="39">
        <v>46156.441701388889</v>
      </c>
      <c r="B1373" s="32" t="s">
        <v>44</v>
      </c>
      <c r="C1373" s="32">
        <v>44999090169</v>
      </c>
      <c r="E1373" s="32">
        <v>80</v>
      </c>
      <c r="F1373" s="32">
        <v>40</v>
      </c>
      <c r="G1373" s="32" t="s">
        <v>38</v>
      </c>
      <c r="H1373" s="32" t="s">
        <v>4090</v>
      </c>
      <c r="I1373" s="32" t="s">
        <v>46</v>
      </c>
      <c r="J1373" s="32" t="s">
        <v>40</v>
      </c>
    </row>
    <row r="1374" spans="1:11" hidden="1" x14ac:dyDescent="0.3">
      <c r="A1374" s="39">
        <v>46156.441238425927</v>
      </c>
      <c r="B1374" s="32" t="s">
        <v>44</v>
      </c>
      <c r="C1374" s="32">
        <v>44999090169</v>
      </c>
      <c r="E1374" s="32">
        <v>39</v>
      </c>
      <c r="F1374" s="32">
        <v>0</v>
      </c>
      <c r="G1374" s="32" t="s">
        <v>47</v>
      </c>
      <c r="H1374" s="32" t="s">
        <v>4091</v>
      </c>
      <c r="I1374" s="32" t="s">
        <v>46</v>
      </c>
      <c r="J1374" s="32" t="s">
        <v>40</v>
      </c>
    </row>
    <row r="1375" spans="1:11" hidden="1" x14ac:dyDescent="0.3">
      <c r="A1375" s="39">
        <v>46156.441157407404</v>
      </c>
      <c r="B1375" s="32" t="s">
        <v>44</v>
      </c>
      <c r="C1375" s="32">
        <v>44999090169</v>
      </c>
      <c r="E1375" s="32">
        <v>6</v>
      </c>
      <c r="F1375" s="32">
        <v>0</v>
      </c>
      <c r="G1375" s="32" t="s">
        <v>47</v>
      </c>
      <c r="H1375" s="32" t="s">
        <v>4092</v>
      </c>
      <c r="I1375" s="32" t="s">
        <v>46</v>
      </c>
      <c r="J1375" s="32" t="s">
        <v>40</v>
      </c>
    </row>
    <row r="1376" spans="1:11" hidden="1" x14ac:dyDescent="0.3">
      <c r="A1376" s="39">
        <v>46156.441064814811</v>
      </c>
      <c r="B1376" s="32">
        <v>2222100098</v>
      </c>
      <c r="C1376" s="32" t="s">
        <v>45</v>
      </c>
      <c r="D1376" s="32">
        <v>4430265054</v>
      </c>
      <c r="E1376" s="32">
        <v>188</v>
      </c>
      <c r="F1376" s="32">
        <v>113</v>
      </c>
      <c r="G1376" s="32" t="s">
        <v>38</v>
      </c>
      <c r="H1376" s="32" t="s">
        <v>4093</v>
      </c>
      <c r="I1376" s="32" t="s">
        <v>39</v>
      </c>
      <c r="J1376" s="32" t="s">
        <v>40</v>
      </c>
      <c r="K1376" s="32" t="s">
        <v>41</v>
      </c>
    </row>
    <row r="1377" spans="1:12" hidden="1" x14ac:dyDescent="0.3">
      <c r="A1377" s="39">
        <v>46156.439942129633</v>
      </c>
      <c r="B1377" s="32" t="s">
        <v>43</v>
      </c>
      <c r="C1377" s="32">
        <v>4430291622</v>
      </c>
      <c r="E1377" s="32">
        <v>532</v>
      </c>
      <c r="F1377" s="32">
        <v>521</v>
      </c>
      <c r="G1377" s="32" t="s">
        <v>38</v>
      </c>
      <c r="H1377" s="32" t="s">
        <v>4094</v>
      </c>
      <c r="I1377" s="32" t="s">
        <v>46</v>
      </c>
      <c r="J1377" s="32" t="s">
        <v>40</v>
      </c>
    </row>
    <row r="1378" spans="1:12" hidden="1" x14ac:dyDescent="0.3">
      <c r="A1378" s="39">
        <v>46156.434479166666</v>
      </c>
      <c r="B1378" s="32">
        <v>4430291622</v>
      </c>
      <c r="C1378" s="32" t="s">
        <v>44</v>
      </c>
      <c r="D1378" s="32">
        <v>4430265054</v>
      </c>
      <c r="E1378" s="32">
        <v>140</v>
      </c>
      <c r="F1378" s="32">
        <v>66</v>
      </c>
      <c r="G1378" s="32" t="s">
        <v>38</v>
      </c>
      <c r="H1378" s="32" t="s">
        <v>4095</v>
      </c>
      <c r="I1378" s="32" t="s">
        <v>39</v>
      </c>
      <c r="J1378" s="32" t="s">
        <v>40</v>
      </c>
      <c r="K1378" s="32" t="s">
        <v>41</v>
      </c>
    </row>
    <row r="1379" spans="1:12" hidden="1" x14ac:dyDescent="0.3">
      <c r="A1379" s="39">
        <v>46156.434363425928</v>
      </c>
      <c r="B1379" s="32" t="s">
        <v>45</v>
      </c>
      <c r="C1379" s="32">
        <v>4436312588</v>
      </c>
      <c r="E1379" s="32">
        <v>506</v>
      </c>
      <c r="F1379" s="32">
        <v>497</v>
      </c>
      <c r="G1379" s="32" t="s">
        <v>38</v>
      </c>
      <c r="H1379" s="32" t="s">
        <v>4096</v>
      </c>
      <c r="I1379" s="32" t="s">
        <v>46</v>
      </c>
      <c r="J1379" s="32" t="s">
        <v>40</v>
      </c>
    </row>
    <row r="1380" spans="1:12" hidden="1" x14ac:dyDescent="0.3">
      <c r="A1380" s="39">
        <v>46156.434247685182</v>
      </c>
      <c r="B1380" s="32" t="s">
        <v>45</v>
      </c>
      <c r="C1380" s="32">
        <v>4436312588</v>
      </c>
      <c r="E1380" s="32">
        <v>25</v>
      </c>
      <c r="F1380" s="32">
        <v>25</v>
      </c>
      <c r="G1380" s="32" t="s">
        <v>38</v>
      </c>
      <c r="H1380" s="32" t="s">
        <v>4097</v>
      </c>
      <c r="I1380" s="32" t="s">
        <v>46</v>
      </c>
      <c r="J1380" s="32" t="s">
        <v>40</v>
      </c>
    </row>
    <row r="1381" spans="1:12" x14ac:dyDescent="0.3">
      <c r="A1381" s="39">
        <v>46156.432557870372</v>
      </c>
      <c r="B1381" s="32" t="s">
        <v>44</v>
      </c>
      <c r="C1381" s="32">
        <v>4334226481</v>
      </c>
      <c r="E1381" s="32">
        <v>133</v>
      </c>
      <c r="F1381" s="32">
        <v>125</v>
      </c>
      <c r="G1381" s="32" t="s">
        <v>38</v>
      </c>
      <c r="H1381" s="32" t="s">
        <v>4098</v>
      </c>
      <c r="I1381" s="32" t="s">
        <v>46</v>
      </c>
      <c r="J1381" s="32" t="s">
        <v>40</v>
      </c>
      <c r="L1381" s="32">
        <v>5</v>
      </c>
    </row>
    <row r="1382" spans="1:12" hidden="1" x14ac:dyDescent="0.3">
      <c r="A1382" s="39">
        <v>46156.417083333334</v>
      </c>
      <c r="B1382" s="32">
        <v>83988398480</v>
      </c>
      <c r="C1382" s="32" t="s">
        <v>43</v>
      </c>
      <c r="D1382" s="32">
        <v>4430265054</v>
      </c>
      <c r="E1382" s="32">
        <v>95</v>
      </c>
      <c r="F1382" s="32">
        <v>81</v>
      </c>
      <c r="G1382" s="32" t="s">
        <v>38</v>
      </c>
      <c r="H1382" s="32" t="s">
        <v>4099</v>
      </c>
      <c r="I1382" s="32" t="s">
        <v>39</v>
      </c>
      <c r="J1382" s="32" t="s">
        <v>40</v>
      </c>
      <c r="K1382" s="32" t="s">
        <v>41</v>
      </c>
      <c r="L1382" s="32">
        <v>5</v>
      </c>
    </row>
    <row r="1383" spans="1:12" hidden="1" x14ac:dyDescent="0.3">
      <c r="A1383" s="39">
        <v>46156.413784722223</v>
      </c>
      <c r="B1383" s="32">
        <v>4436312588</v>
      </c>
      <c r="C1383" s="32" t="s">
        <v>45</v>
      </c>
      <c r="D1383" s="32">
        <v>4430265054</v>
      </c>
      <c r="E1383" s="32">
        <v>1017</v>
      </c>
      <c r="F1383" s="32">
        <v>902</v>
      </c>
      <c r="G1383" s="32" t="s">
        <v>38</v>
      </c>
      <c r="H1383" s="32" t="s">
        <v>4100</v>
      </c>
      <c r="I1383" s="32" t="s">
        <v>39</v>
      </c>
      <c r="J1383" s="32" t="s">
        <v>40</v>
      </c>
      <c r="K1383" s="32" t="s">
        <v>41</v>
      </c>
    </row>
    <row r="1384" spans="1:12" hidden="1" x14ac:dyDescent="0.3">
      <c r="A1384" s="39">
        <v>46156.409351851849</v>
      </c>
      <c r="B1384" s="32" t="s">
        <v>43</v>
      </c>
      <c r="C1384" s="32">
        <v>4430291622</v>
      </c>
      <c r="E1384" s="32">
        <v>124</v>
      </c>
      <c r="F1384" s="32">
        <v>113</v>
      </c>
      <c r="G1384" s="32" t="s">
        <v>38</v>
      </c>
      <c r="H1384" s="32" t="s">
        <v>4101</v>
      </c>
      <c r="I1384" s="32" t="s">
        <v>46</v>
      </c>
      <c r="J1384" s="32" t="s">
        <v>40</v>
      </c>
    </row>
    <row r="1385" spans="1:12" hidden="1" x14ac:dyDescent="0.3">
      <c r="A1385" s="39">
        <v>46156.409270833334</v>
      </c>
      <c r="B1385" s="32" t="s">
        <v>43</v>
      </c>
      <c r="C1385" s="32">
        <v>4430291622</v>
      </c>
      <c r="E1385" s="32">
        <v>26</v>
      </c>
      <c r="F1385" s="32">
        <v>25</v>
      </c>
      <c r="G1385" s="32" t="s">
        <v>38</v>
      </c>
      <c r="H1385" s="32" t="s">
        <v>4102</v>
      </c>
      <c r="I1385" s="32" t="s">
        <v>46</v>
      </c>
      <c r="J1385" s="32" t="s">
        <v>40</v>
      </c>
    </row>
    <row r="1386" spans="1:12" hidden="1" x14ac:dyDescent="0.3">
      <c r="A1386" s="39">
        <v>46156.401759259257</v>
      </c>
      <c r="B1386" s="32">
        <v>4334226481</v>
      </c>
      <c r="C1386" s="32" t="s">
        <v>44</v>
      </c>
      <c r="D1386" s="32">
        <v>4430265054</v>
      </c>
      <c r="E1386" s="32">
        <v>362</v>
      </c>
      <c r="F1386" s="32">
        <v>325</v>
      </c>
      <c r="G1386" s="32" t="s">
        <v>38</v>
      </c>
      <c r="H1386" s="32" t="s">
        <v>4103</v>
      </c>
      <c r="I1386" s="32" t="s">
        <v>39</v>
      </c>
      <c r="J1386" s="32" t="s">
        <v>40</v>
      </c>
      <c r="K1386" s="32" t="s">
        <v>41</v>
      </c>
    </row>
    <row r="1387" spans="1:12" hidden="1" x14ac:dyDescent="0.3">
      <c r="A1387" s="39">
        <v>46156.401064814818</v>
      </c>
      <c r="B1387" s="32">
        <v>44988325431</v>
      </c>
      <c r="C1387" s="32">
        <v>4430265054</v>
      </c>
      <c r="D1387" s="32">
        <v>4430265054</v>
      </c>
      <c r="E1387" s="32">
        <v>8</v>
      </c>
      <c r="F1387" s="32">
        <v>7</v>
      </c>
      <c r="G1387" s="32" t="s">
        <v>52</v>
      </c>
      <c r="H1387" s="32" t="s">
        <v>4104</v>
      </c>
      <c r="I1387" s="32" t="s">
        <v>39</v>
      </c>
      <c r="J1387" s="32" t="s">
        <v>53</v>
      </c>
    </row>
    <row r="1388" spans="1:12" hidden="1" x14ac:dyDescent="0.3">
      <c r="A1388" s="39">
        <v>46156.396701388891</v>
      </c>
      <c r="B1388" s="32">
        <v>4430291622</v>
      </c>
      <c r="C1388" s="32" t="s">
        <v>43</v>
      </c>
      <c r="D1388" s="32">
        <v>4430265054</v>
      </c>
      <c r="E1388" s="32">
        <v>516</v>
      </c>
      <c r="F1388" s="32">
        <v>471</v>
      </c>
      <c r="G1388" s="32" t="s">
        <v>38</v>
      </c>
      <c r="H1388" s="32" t="s">
        <v>4105</v>
      </c>
      <c r="I1388" s="32" t="s">
        <v>39</v>
      </c>
      <c r="J1388" s="32" t="s">
        <v>40</v>
      </c>
      <c r="K1388" s="32" t="s">
        <v>41</v>
      </c>
    </row>
    <row r="1389" spans="1:12" hidden="1" x14ac:dyDescent="0.3">
      <c r="A1389" s="39">
        <v>46156.394247685188</v>
      </c>
      <c r="B1389" s="32">
        <v>4430414545</v>
      </c>
      <c r="C1389" s="32">
        <v>4430265054</v>
      </c>
      <c r="D1389" s="32">
        <v>4430265054</v>
      </c>
      <c r="E1389" s="32">
        <v>46</v>
      </c>
      <c r="F1389" s="32">
        <v>45</v>
      </c>
      <c r="G1389" s="32" t="s">
        <v>52</v>
      </c>
      <c r="H1389" s="32" t="s">
        <v>4106</v>
      </c>
      <c r="I1389" s="32" t="s">
        <v>39</v>
      </c>
      <c r="J1389" s="32" t="s">
        <v>53</v>
      </c>
      <c r="K1389" s="32" t="s">
        <v>41</v>
      </c>
    </row>
    <row r="1390" spans="1:12" hidden="1" x14ac:dyDescent="0.3">
      <c r="A1390" s="39">
        <v>46156.392129629632</v>
      </c>
      <c r="B1390" s="32">
        <v>44998761561</v>
      </c>
      <c r="C1390" s="32" t="s">
        <v>48</v>
      </c>
      <c r="D1390" s="32">
        <v>4430265054</v>
      </c>
      <c r="E1390" s="32">
        <v>252</v>
      </c>
      <c r="F1390" s="32">
        <v>150</v>
      </c>
      <c r="G1390" s="32" t="s">
        <v>38</v>
      </c>
      <c r="H1390" s="32" t="s">
        <v>4107</v>
      </c>
      <c r="I1390" s="32" t="s">
        <v>39</v>
      </c>
      <c r="J1390" s="32" t="s">
        <v>40</v>
      </c>
      <c r="K1390" s="32" t="s">
        <v>41</v>
      </c>
      <c r="L1390" s="32">
        <v>5</v>
      </c>
    </row>
    <row r="1391" spans="1:12" hidden="1" x14ac:dyDescent="0.3">
      <c r="A1391" s="39">
        <v>46156.390879629631</v>
      </c>
      <c r="B1391" s="32">
        <v>44984571792</v>
      </c>
      <c r="C1391" s="32" t="s">
        <v>43</v>
      </c>
      <c r="D1391" s="32">
        <v>4430265054</v>
      </c>
      <c r="E1391" s="32">
        <v>528</v>
      </c>
      <c r="F1391" s="32">
        <v>497</v>
      </c>
      <c r="G1391" s="32" t="s">
        <v>38</v>
      </c>
      <c r="H1391" s="32" t="s">
        <v>4108</v>
      </c>
      <c r="I1391" s="32" t="s">
        <v>39</v>
      </c>
      <c r="J1391" s="32" t="s">
        <v>40</v>
      </c>
      <c r="K1391" s="32" t="s">
        <v>41</v>
      </c>
    </row>
    <row r="1392" spans="1:12" hidden="1" x14ac:dyDescent="0.3">
      <c r="A1392" s="39">
        <v>46156.384837962964</v>
      </c>
      <c r="B1392" s="32">
        <v>4436372125</v>
      </c>
      <c r="C1392" s="32" t="s">
        <v>45</v>
      </c>
      <c r="D1392" s="32">
        <v>4430265054</v>
      </c>
      <c r="E1392" s="32">
        <v>1698</v>
      </c>
      <c r="F1392" s="32">
        <v>1676</v>
      </c>
      <c r="G1392" s="32" t="s">
        <v>38</v>
      </c>
      <c r="H1392" s="32" t="s">
        <v>4109</v>
      </c>
      <c r="I1392" s="32" t="s">
        <v>39</v>
      </c>
      <c r="J1392" s="32" t="s">
        <v>40</v>
      </c>
      <c r="K1392" s="32" t="s">
        <v>41</v>
      </c>
    </row>
    <row r="1393" spans="1:12" hidden="1" x14ac:dyDescent="0.3">
      <c r="A1393" s="39">
        <v>46156.382511574076</v>
      </c>
      <c r="B1393" s="32">
        <v>44998761561</v>
      </c>
      <c r="C1393" s="32" t="s">
        <v>43</v>
      </c>
      <c r="D1393" s="32">
        <v>4430265054</v>
      </c>
      <c r="E1393" s="32">
        <v>216</v>
      </c>
      <c r="F1393" s="32">
        <v>171</v>
      </c>
      <c r="G1393" s="32" t="s">
        <v>38</v>
      </c>
      <c r="H1393" s="32" t="s">
        <v>4110</v>
      </c>
      <c r="I1393" s="32" t="s">
        <v>39</v>
      </c>
      <c r="J1393" s="32" t="s">
        <v>40</v>
      </c>
      <c r="K1393" s="32" t="s">
        <v>41</v>
      </c>
    </row>
    <row r="1394" spans="1:12" hidden="1" x14ac:dyDescent="0.3">
      <c r="A1394" s="39">
        <v>46156.370104166665</v>
      </c>
      <c r="B1394" s="32">
        <v>4432321371</v>
      </c>
      <c r="C1394" s="32" t="s">
        <v>44</v>
      </c>
      <c r="D1394" s="32">
        <v>4430265054</v>
      </c>
      <c r="E1394" s="32">
        <v>1861</v>
      </c>
      <c r="F1394" s="32">
        <v>1843</v>
      </c>
      <c r="G1394" s="32" t="s">
        <v>38</v>
      </c>
      <c r="H1394" s="32" t="s">
        <v>4111</v>
      </c>
      <c r="I1394" s="32" t="s">
        <v>39</v>
      </c>
      <c r="J1394" s="32" t="s">
        <v>40</v>
      </c>
      <c r="K1394" s="32" t="s">
        <v>41</v>
      </c>
    </row>
    <row r="1395" spans="1:12" hidden="1" x14ac:dyDescent="0.3">
      <c r="A1395" s="39">
        <v>46156.369722222225</v>
      </c>
      <c r="B1395" s="32">
        <v>44998100737</v>
      </c>
      <c r="C1395" s="32" t="s">
        <v>44</v>
      </c>
      <c r="D1395" s="32">
        <v>4430265054</v>
      </c>
      <c r="E1395" s="32">
        <v>92</v>
      </c>
      <c r="F1395" s="32">
        <v>63</v>
      </c>
      <c r="G1395" s="32" t="s">
        <v>38</v>
      </c>
      <c r="H1395" s="32" t="s">
        <v>4112</v>
      </c>
      <c r="I1395" s="32" t="s">
        <v>39</v>
      </c>
      <c r="J1395" s="32" t="s">
        <v>40</v>
      </c>
      <c r="K1395" s="32" t="s">
        <v>41</v>
      </c>
    </row>
    <row r="1396" spans="1:12" hidden="1" x14ac:dyDescent="0.3">
      <c r="A1396" s="39">
        <v>46156.369340277779</v>
      </c>
      <c r="B1396" s="32">
        <v>99984024914</v>
      </c>
      <c r="C1396" s="32" t="s">
        <v>57</v>
      </c>
      <c r="D1396" s="32">
        <v>4430265054</v>
      </c>
      <c r="E1396" s="32">
        <v>460</v>
      </c>
      <c r="F1396" s="32">
        <v>441</v>
      </c>
      <c r="G1396" s="32" t="s">
        <v>38</v>
      </c>
      <c r="H1396" s="32" t="s">
        <v>4113</v>
      </c>
      <c r="I1396" s="32" t="s">
        <v>39</v>
      </c>
      <c r="J1396" s="32" t="s">
        <v>55</v>
      </c>
      <c r="K1396" s="32" t="s">
        <v>49</v>
      </c>
    </row>
    <row r="1397" spans="1:12" hidden="1" x14ac:dyDescent="0.3">
      <c r="A1397" s="39">
        <v>46156.369050925925</v>
      </c>
      <c r="B1397" s="32">
        <v>99984024914</v>
      </c>
      <c r="C1397" s="32">
        <v>4430265054</v>
      </c>
      <c r="D1397" s="32">
        <v>4430265054</v>
      </c>
      <c r="E1397" s="32">
        <v>17</v>
      </c>
      <c r="F1397" s="32">
        <v>17</v>
      </c>
      <c r="G1397" s="32" t="s">
        <v>52</v>
      </c>
      <c r="H1397" s="32" t="s">
        <v>4114</v>
      </c>
      <c r="I1397" s="32" t="s">
        <v>39</v>
      </c>
      <c r="J1397" s="32" t="s">
        <v>53</v>
      </c>
    </row>
    <row r="1398" spans="1:12" hidden="1" x14ac:dyDescent="0.3">
      <c r="A1398" s="39">
        <v>46156.366238425922</v>
      </c>
      <c r="B1398" s="32">
        <v>99984024914</v>
      </c>
      <c r="C1398" s="32" t="s">
        <v>57</v>
      </c>
      <c r="D1398" s="32">
        <v>4430265054</v>
      </c>
      <c r="E1398" s="32">
        <v>211</v>
      </c>
      <c r="F1398" s="32">
        <v>185</v>
      </c>
      <c r="G1398" s="32" t="s">
        <v>38</v>
      </c>
      <c r="H1398" s="32" t="s">
        <v>4115</v>
      </c>
      <c r="I1398" s="32" t="s">
        <v>39</v>
      </c>
      <c r="J1398" s="32" t="s">
        <v>55</v>
      </c>
      <c r="K1398" s="32" t="s">
        <v>49</v>
      </c>
    </row>
    <row r="1399" spans="1:12" hidden="1" x14ac:dyDescent="0.3">
      <c r="A1399" s="39">
        <v>46156.360266203701</v>
      </c>
      <c r="B1399" s="32">
        <v>44998555192</v>
      </c>
      <c r="C1399" s="32" t="s">
        <v>44</v>
      </c>
      <c r="D1399" s="32">
        <v>4430265054</v>
      </c>
      <c r="E1399" s="32">
        <v>66</v>
      </c>
      <c r="F1399" s="32">
        <v>43</v>
      </c>
      <c r="G1399" s="32" t="s">
        <v>38</v>
      </c>
      <c r="H1399" s="32" t="s">
        <v>4116</v>
      </c>
      <c r="I1399" s="32" t="s">
        <v>39</v>
      </c>
      <c r="J1399" s="32" t="s">
        <v>40</v>
      </c>
      <c r="K1399" s="32" t="s">
        <v>41</v>
      </c>
    </row>
    <row r="1400" spans="1:12" hidden="1" x14ac:dyDescent="0.3">
      <c r="A1400" s="39">
        <v>46156.357893518521</v>
      </c>
      <c r="B1400" s="32" t="s">
        <v>44</v>
      </c>
      <c r="C1400" s="32">
        <v>4432321371</v>
      </c>
      <c r="E1400" s="32">
        <v>0</v>
      </c>
      <c r="F1400" s="32">
        <v>0</v>
      </c>
      <c r="G1400" s="32" t="s">
        <v>47</v>
      </c>
      <c r="H1400" s="32" t="s">
        <v>4117</v>
      </c>
      <c r="I1400" s="32" t="s">
        <v>46</v>
      </c>
      <c r="J1400" s="32" t="s">
        <v>40</v>
      </c>
    </row>
    <row r="1401" spans="1:12" hidden="1" x14ac:dyDescent="0.3">
      <c r="A1401" s="39">
        <v>46156.357754629629</v>
      </c>
      <c r="B1401" s="32" t="s">
        <v>44</v>
      </c>
      <c r="C1401" s="32">
        <v>4432321371</v>
      </c>
      <c r="E1401" s="32">
        <v>1</v>
      </c>
      <c r="F1401" s="32">
        <v>0</v>
      </c>
      <c r="G1401" s="32" t="s">
        <v>47</v>
      </c>
      <c r="H1401" s="32" t="s">
        <v>4118</v>
      </c>
      <c r="I1401" s="32" t="s">
        <v>46</v>
      </c>
      <c r="J1401" s="32" t="s">
        <v>40</v>
      </c>
    </row>
    <row r="1402" spans="1:12" hidden="1" x14ac:dyDescent="0.3">
      <c r="A1402" s="39">
        <v>46156.357673611114</v>
      </c>
      <c r="B1402" s="32" t="s">
        <v>44</v>
      </c>
      <c r="C1402" s="32">
        <v>4432321371</v>
      </c>
      <c r="E1402" s="32">
        <v>1</v>
      </c>
      <c r="F1402" s="32">
        <v>0</v>
      </c>
      <c r="G1402" s="32" t="s">
        <v>47</v>
      </c>
      <c r="H1402" s="32" t="s">
        <v>4119</v>
      </c>
      <c r="I1402" s="32" t="s">
        <v>46</v>
      </c>
      <c r="J1402" s="32" t="s">
        <v>40</v>
      </c>
    </row>
    <row r="1403" spans="1:12" hidden="1" x14ac:dyDescent="0.3">
      <c r="A1403" s="39">
        <v>46156.35765046296</v>
      </c>
      <c r="B1403" s="32">
        <v>4434231198</v>
      </c>
      <c r="C1403" s="32" t="s">
        <v>45</v>
      </c>
      <c r="D1403" s="32">
        <v>4430265054</v>
      </c>
      <c r="E1403" s="32">
        <v>1629</v>
      </c>
      <c r="F1403" s="32">
        <v>1564</v>
      </c>
      <c r="G1403" s="32" t="s">
        <v>38</v>
      </c>
      <c r="H1403" s="32" t="s">
        <v>4120</v>
      </c>
      <c r="I1403" s="32" t="s">
        <v>39</v>
      </c>
      <c r="J1403" s="32" t="s">
        <v>40</v>
      </c>
      <c r="K1403" s="32" t="s">
        <v>41</v>
      </c>
      <c r="L1403" s="32">
        <v>5</v>
      </c>
    </row>
    <row r="1404" spans="1:12" hidden="1" x14ac:dyDescent="0.3">
      <c r="A1404" s="39">
        <v>46156.35728009259</v>
      </c>
      <c r="B1404" s="32" t="s">
        <v>44</v>
      </c>
      <c r="C1404" s="32">
        <v>4432321371</v>
      </c>
      <c r="E1404" s="32">
        <v>61</v>
      </c>
      <c r="F1404" s="32">
        <v>52</v>
      </c>
      <c r="G1404" s="32" t="s">
        <v>38</v>
      </c>
      <c r="H1404" s="32" t="s">
        <v>4121</v>
      </c>
      <c r="I1404" s="32" t="s">
        <v>46</v>
      </c>
      <c r="J1404" s="32" t="s">
        <v>40</v>
      </c>
    </row>
    <row r="1405" spans="1:12" hidden="1" x14ac:dyDescent="0.3">
      <c r="A1405" s="39">
        <v>46156.345185185186</v>
      </c>
      <c r="B1405" s="32" t="s">
        <v>44</v>
      </c>
      <c r="C1405" s="32">
        <v>4432321371</v>
      </c>
      <c r="E1405" s="32">
        <v>127</v>
      </c>
      <c r="F1405" s="32">
        <v>118</v>
      </c>
      <c r="G1405" s="32" t="s">
        <v>38</v>
      </c>
      <c r="H1405" s="32" t="s">
        <v>4122</v>
      </c>
      <c r="I1405" s="32" t="s">
        <v>46</v>
      </c>
      <c r="J1405" s="32" t="s">
        <v>40</v>
      </c>
    </row>
    <row r="1406" spans="1:12" hidden="1" x14ac:dyDescent="0.3">
      <c r="A1406" s="39">
        <v>46155.7346412037</v>
      </c>
      <c r="B1406" s="32">
        <v>44998802935</v>
      </c>
      <c r="C1406" s="32" t="s">
        <v>44</v>
      </c>
      <c r="D1406" s="32">
        <v>4431268225</v>
      </c>
      <c r="E1406" s="32">
        <v>353</v>
      </c>
      <c r="F1406" s="32">
        <v>320</v>
      </c>
      <c r="G1406" s="32" t="s">
        <v>38</v>
      </c>
      <c r="H1406" s="32" t="s">
        <v>4123</v>
      </c>
      <c r="I1406" s="32" t="s">
        <v>39</v>
      </c>
      <c r="J1406" s="32" t="s">
        <v>40</v>
      </c>
      <c r="K1406" s="32" t="s">
        <v>41</v>
      </c>
      <c r="L1406" s="32">
        <v>5</v>
      </c>
    </row>
    <row r="1407" spans="1:12" hidden="1" x14ac:dyDescent="0.3">
      <c r="A1407" s="39">
        <v>46155.730624999997</v>
      </c>
      <c r="B1407" s="32">
        <v>44998802935</v>
      </c>
      <c r="C1407" s="32" t="s">
        <v>43</v>
      </c>
      <c r="D1407" s="32">
        <v>4431268225</v>
      </c>
      <c r="E1407" s="32">
        <v>120</v>
      </c>
      <c r="F1407" s="32">
        <v>98</v>
      </c>
      <c r="G1407" s="32" t="s">
        <v>38</v>
      </c>
      <c r="H1407" s="32" t="s">
        <v>4124</v>
      </c>
      <c r="I1407" s="32" t="s">
        <v>39</v>
      </c>
      <c r="J1407" s="32" t="s">
        <v>40</v>
      </c>
      <c r="K1407" s="32" t="s">
        <v>41</v>
      </c>
    </row>
    <row r="1408" spans="1:12" hidden="1" x14ac:dyDescent="0.3">
      <c r="A1408" s="39">
        <v>46155.723969907405</v>
      </c>
      <c r="B1408" s="32">
        <v>4432697000</v>
      </c>
      <c r="C1408" s="32" t="s">
        <v>44</v>
      </c>
      <c r="D1408" s="32">
        <v>4430265054</v>
      </c>
      <c r="E1408" s="32">
        <v>420</v>
      </c>
      <c r="F1408" s="32">
        <v>380</v>
      </c>
      <c r="G1408" s="32" t="s">
        <v>38</v>
      </c>
      <c r="H1408" s="32" t="s">
        <v>4125</v>
      </c>
      <c r="I1408" s="32" t="s">
        <v>39</v>
      </c>
      <c r="J1408" s="32" t="s">
        <v>40</v>
      </c>
      <c r="K1408" s="32" t="s">
        <v>41</v>
      </c>
    </row>
    <row r="1409" spans="1:12" hidden="1" x14ac:dyDescent="0.3">
      <c r="A1409" s="39">
        <v>46155.72247685185</v>
      </c>
      <c r="B1409" s="32">
        <v>44988255390</v>
      </c>
      <c r="C1409" s="32" t="s">
        <v>45</v>
      </c>
      <c r="D1409" s="32">
        <v>4430265054</v>
      </c>
      <c r="E1409" s="32">
        <v>998</v>
      </c>
      <c r="F1409" s="32">
        <v>926</v>
      </c>
      <c r="G1409" s="32" t="s">
        <v>38</v>
      </c>
      <c r="H1409" s="32" t="s">
        <v>4126</v>
      </c>
      <c r="I1409" s="32" t="s">
        <v>39</v>
      </c>
      <c r="J1409" s="32" t="s">
        <v>40</v>
      </c>
      <c r="K1409" s="32" t="s">
        <v>41</v>
      </c>
      <c r="L1409" s="32">
        <v>5</v>
      </c>
    </row>
    <row r="1410" spans="1:12" hidden="1" x14ac:dyDescent="0.3">
      <c r="A1410" s="39">
        <v>46155.72042824074</v>
      </c>
      <c r="B1410" s="32">
        <v>44988229700</v>
      </c>
      <c r="C1410" s="32" t="s">
        <v>43</v>
      </c>
      <c r="D1410" s="32">
        <v>4430265054</v>
      </c>
      <c r="E1410" s="32">
        <v>519</v>
      </c>
      <c r="F1410" s="32">
        <v>384</v>
      </c>
      <c r="G1410" s="32" t="s">
        <v>38</v>
      </c>
      <c r="H1410" s="32" t="s">
        <v>4127</v>
      </c>
      <c r="I1410" s="32" t="s">
        <v>39</v>
      </c>
      <c r="J1410" s="32" t="s">
        <v>40</v>
      </c>
      <c r="K1410" s="32" t="s">
        <v>41</v>
      </c>
      <c r="L1410" s="32">
        <v>5</v>
      </c>
    </row>
    <row r="1411" spans="1:12" hidden="1" x14ac:dyDescent="0.3">
      <c r="A1411" s="39">
        <v>46155.716203703705</v>
      </c>
      <c r="B1411" s="32" t="s">
        <v>44</v>
      </c>
      <c r="C1411" s="32">
        <v>4432321371</v>
      </c>
      <c r="E1411" s="32">
        <v>204</v>
      </c>
      <c r="F1411" s="32">
        <v>195</v>
      </c>
      <c r="G1411" s="32" t="s">
        <v>38</v>
      </c>
      <c r="H1411" s="32" t="s">
        <v>4128</v>
      </c>
      <c r="I1411" s="32" t="s">
        <v>46</v>
      </c>
      <c r="J1411" s="32" t="s">
        <v>40</v>
      </c>
    </row>
    <row r="1412" spans="1:12" hidden="1" x14ac:dyDescent="0.3">
      <c r="A1412" s="39">
        <v>46155.715856481482</v>
      </c>
      <c r="B1412" s="32" t="s">
        <v>43</v>
      </c>
      <c r="C1412" s="32">
        <v>4435226025</v>
      </c>
      <c r="E1412" s="32">
        <v>273</v>
      </c>
      <c r="F1412" s="32">
        <v>262</v>
      </c>
      <c r="G1412" s="32" t="s">
        <v>38</v>
      </c>
      <c r="H1412" s="32" t="s">
        <v>4129</v>
      </c>
      <c r="I1412" s="32" t="s">
        <v>46</v>
      </c>
      <c r="J1412" s="32" t="s">
        <v>40</v>
      </c>
    </row>
    <row r="1413" spans="1:12" hidden="1" x14ac:dyDescent="0.3">
      <c r="A1413" s="39">
        <v>46155.705254629633</v>
      </c>
      <c r="B1413" s="32">
        <v>4435226025</v>
      </c>
      <c r="C1413" s="32" t="s">
        <v>43</v>
      </c>
      <c r="D1413" s="32">
        <v>4430265054</v>
      </c>
      <c r="E1413" s="32">
        <v>388</v>
      </c>
      <c r="F1413" s="32">
        <v>351</v>
      </c>
      <c r="G1413" s="32" t="s">
        <v>38</v>
      </c>
      <c r="H1413" s="32" t="s">
        <v>4130</v>
      </c>
      <c r="I1413" s="32" t="s">
        <v>39</v>
      </c>
      <c r="J1413" s="32" t="s">
        <v>40</v>
      </c>
      <c r="K1413" s="32" t="s">
        <v>41</v>
      </c>
    </row>
    <row r="1414" spans="1:12" hidden="1" x14ac:dyDescent="0.3">
      <c r="A1414" s="39">
        <v>46155.704328703701</v>
      </c>
      <c r="B1414" s="32">
        <v>44988229700</v>
      </c>
      <c r="C1414" s="32" t="s">
        <v>48</v>
      </c>
      <c r="D1414" s="32">
        <v>4430265054</v>
      </c>
      <c r="E1414" s="32">
        <v>587</v>
      </c>
      <c r="F1414" s="32">
        <v>586</v>
      </c>
      <c r="G1414" s="32" t="s">
        <v>38</v>
      </c>
      <c r="H1414" s="32" t="s">
        <v>4131</v>
      </c>
      <c r="I1414" s="32" t="s">
        <v>39</v>
      </c>
      <c r="J1414" s="32" t="s">
        <v>40</v>
      </c>
      <c r="K1414" s="32" t="s">
        <v>41</v>
      </c>
      <c r="L1414" s="32">
        <v>5</v>
      </c>
    </row>
    <row r="1415" spans="1:12" hidden="1" x14ac:dyDescent="0.3">
      <c r="A1415" s="39">
        <v>46155.698217592595</v>
      </c>
      <c r="B1415" s="32" t="s">
        <v>44</v>
      </c>
      <c r="C1415" s="32">
        <v>4432321371</v>
      </c>
      <c r="E1415" s="32">
        <v>2</v>
      </c>
      <c r="F1415" s="32">
        <v>0</v>
      </c>
      <c r="G1415" s="32" t="s">
        <v>47</v>
      </c>
      <c r="H1415" s="32" t="s">
        <v>4132</v>
      </c>
      <c r="I1415" s="32" t="s">
        <v>46</v>
      </c>
      <c r="J1415" s="32" t="s">
        <v>40</v>
      </c>
    </row>
    <row r="1416" spans="1:12" hidden="1" x14ac:dyDescent="0.3">
      <c r="A1416" s="39">
        <v>46155.698182870372</v>
      </c>
      <c r="B1416" s="32" t="s">
        <v>44</v>
      </c>
      <c r="C1416" s="32">
        <v>4432321371</v>
      </c>
      <c r="E1416" s="32">
        <v>1</v>
      </c>
      <c r="F1416" s="32">
        <v>0</v>
      </c>
      <c r="G1416" s="32" t="s">
        <v>47</v>
      </c>
      <c r="H1416" s="32" t="s">
        <v>4133</v>
      </c>
      <c r="I1416" s="32" t="s">
        <v>46</v>
      </c>
      <c r="J1416" s="32" t="s">
        <v>40</v>
      </c>
    </row>
    <row r="1417" spans="1:12" hidden="1" x14ac:dyDescent="0.3">
      <c r="A1417" s="39">
        <v>46155.698101851849</v>
      </c>
      <c r="B1417" s="32" t="s">
        <v>44</v>
      </c>
      <c r="C1417" s="32">
        <v>4432321371</v>
      </c>
      <c r="E1417" s="32">
        <v>1</v>
      </c>
      <c r="F1417" s="32">
        <v>0</v>
      </c>
      <c r="G1417" s="32" t="s">
        <v>47</v>
      </c>
      <c r="H1417" s="32" t="s">
        <v>4134</v>
      </c>
      <c r="I1417" s="32" t="s">
        <v>46</v>
      </c>
      <c r="J1417" s="32" t="s">
        <v>40</v>
      </c>
    </row>
    <row r="1418" spans="1:12" hidden="1" x14ac:dyDescent="0.3">
      <c r="A1418" s="39">
        <v>46155.69803240741</v>
      </c>
      <c r="B1418" s="32" t="s">
        <v>44</v>
      </c>
      <c r="C1418" s="32">
        <v>4432321371</v>
      </c>
      <c r="E1418" s="32">
        <v>26</v>
      </c>
      <c r="F1418" s="32">
        <v>25</v>
      </c>
      <c r="G1418" s="32" t="s">
        <v>38</v>
      </c>
      <c r="H1418" s="32" t="s">
        <v>4135</v>
      </c>
      <c r="I1418" s="32" t="s">
        <v>46</v>
      </c>
      <c r="J1418" s="32" t="s">
        <v>40</v>
      </c>
    </row>
    <row r="1419" spans="1:12" hidden="1" x14ac:dyDescent="0.3">
      <c r="A1419" s="39">
        <v>46155.696296296293</v>
      </c>
      <c r="B1419" s="32" t="s">
        <v>44</v>
      </c>
      <c r="C1419" s="32">
        <v>4432321371</v>
      </c>
      <c r="E1419" s="32">
        <v>156</v>
      </c>
      <c r="F1419" s="32">
        <v>148</v>
      </c>
      <c r="G1419" s="32" t="s">
        <v>38</v>
      </c>
      <c r="H1419" s="32" t="s">
        <v>4136</v>
      </c>
      <c r="I1419" s="32" t="s">
        <v>46</v>
      </c>
      <c r="J1419" s="32" t="s">
        <v>40</v>
      </c>
    </row>
    <row r="1420" spans="1:12" hidden="1" x14ac:dyDescent="0.3">
      <c r="A1420" s="39">
        <v>46155.696215277778</v>
      </c>
      <c r="B1420" s="32" t="s">
        <v>44</v>
      </c>
      <c r="C1420" s="32">
        <v>4432321371</v>
      </c>
      <c r="E1420" s="32">
        <v>25</v>
      </c>
      <c r="F1420" s="32">
        <v>25</v>
      </c>
      <c r="G1420" s="32" t="s">
        <v>38</v>
      </c>
      <c r="H1420" s="32" t="s">
        <v>4137</v>
      </c>
      <c r="I1420" s="32" t="s">
        <v>46</v>
      </c>
      <c r="J1420" s="32" t="s">
        <v>40</v>
      </c>
    </row>
    <row r="1421" spans="1:12" hidden="1" x14ac:dyDescent="0.3">
      <c r="A1421" s="39">
        <v>46155.695416666669</v>
      </c>
      <c r="B1421" s="32">
        <v>91989363636</v>
      </c>
      <c r="C1421" s="32" t="s">
        <v>43</v>
      </c>
      <c r="D1421" s="32">
        <v>4430265054</v>
      </c>
      <c r="E1421" s="32">
        <v>404</v>
      </c>
      <c r="F1421" s="32">
        <v>357</v>
      </c>
      <c r="G1421" s="32" t="s">
        <v>38</v>
      </c>
      <c r="H1421" s="32" t="s">
        <v>4138</v>
      </c>
      <c r="I1421" s="32" t="s">
        <v>39</v>
      </c>
      <c r="J1421" s="32" t="s">
        <v>40</v>
      </c>
      <c r="K1421" s="32" t="s">
        <v>41</v>
      </c>
    </row>
    <row r="1422" spans="1:12" hidden="1" x14ac:dyDescent="0.3">
      <c r="A1422" s="39">
        <v>46155.673298611109</v>
      </c>
      <c r="B1422" s="32">
        <v>44988325431</v>
      </c>
      <c r="C1422" s="32">
        <v>4430265054</v>
      </c>
      <c r="D1422" s="32">
        <v>4430265054</v>
      </c>
      <c r="E1422" s="32">
        <v>8</v>
      </c>
      <c r="F1422" s="32">
        <v>8</v>
      </c>
      <c r="G1422" s="32" t="s">
        <v>52</v>
      </c>
      <c r="H1422" s="32" t="s">
        <v>4139</v>
      </c>
      <c r="I1422" s="32" t="s">
        <v>39</v>
      </c>
      <c r="J1422" s="32" t="s">
        <v>53</v>
      </c>
    </row>
    <row r="1423" spans="1:12" hidden="1" x14ac:dyDescent="0.3">
      <c r="A1423" s="39">
        <v>46155.672847222224</v>
      </c>
      <c r="B1423" s="32">
        <v>44984241715</v>
      </c>
      <c r="C1423" s="32" t="s">
        <v>43</v>
      </c>
      <c r="D1423" s="32">
        <v>4430265054</v>
      </c>
      <c r="E1423" s="32">
        <v>275</v>
      </c>
      <c r="F1423" s="32">
        <v>217</v>
      </c>
      <c r="G1423" s="32" t="s">
        <v>38</v>
      </c>
      <c r="H1423" s="32" t="s">
        <v>4140</v>
      </c>
      <c r="I1423" s="32" t="s">
        <v>39</v>
      </c>
      <c r="J1423" s="32" t="s">
        <v>40</v>
      </c>
      <c r="K1423" s="32" t="s">
        <v>41</v>
      </c>
    </row>
    <row r="1424" spans="1:12" hidden="1" x14ac:dyDescent="0.3">
      <c r="A1424" s="39">
        <v>46155.670127314814</v>
      </c>
      <c r="B1424" s="32">
        <v>4121414966</v>
      </c>
      <c r="C1424" s="32" t="s">
        <v>45</v>
      </c>
      <c r="D1424" s="32">
        <v>4531273162</v>
      </c>
      <c r="E1424" s="32">
        <v>47</v>
      </c>
      <c r="F1424" s="32">
        <v>10</v>
      </c>
      <c r="G1424" s="32" t="s">
        <v>38</v>
      </c>
      <c r="H1424" s="32" t="s">
        <v>4141</v>
      </c>
      <c r="I1424" s="32" t="s">
        <v>39</v>
      </c>
      <c r="J1424" s="32" t="s">
        <v>40</v>
      </c>
      <c r="K1424" s="32" t="s">
        <v>41</v>
      </c>
    </row>
    <row r="1425" spans="1:12" hidden="1" x14ac:dyDescent="0.3">
      <c r="A1425" s="39">
        <v>46155.66196759259</v>
      </c>
      <c r="B1425" s="32">
        <v>91989363636</v>
      </c>
      <c r="C1425" s="32" t="s">
        <v>44</v>
      </c>
      <c r="D1425" s="32">
        <v>4430265054</v>
      </c>
      <c r="E1425" s="32">
        <v>726</v>
      </c>
      <c r="F1425" s="32">
        <v>671</v>
      </c>
      <c r="G1425" s="32" t="s">
        <v>38</v>
      </c>
      <c r="H1425" s="32" t="s">
        <v>4142</v>
      </c>
      <c r="I1425" s="32" t="s">
        <v>39</v>
      </c>
      <c r="J1425" s="32" t="s">
        <v>40</v>
      </c>
      <c r="K1425" s="32" t="s">
        <v>41</v>
      </c>
      <c r="L1425" s="32">
        <v>5</v>
      </c>
    </row>
    <row r="1426" spans="1:12" hidden="1" x14ac:dyDescent="0.3">
      <c r="A1426" s="39">
        <v>46155.660810185182</v>
      </c>
      <c r="B1426" s="32">
        <v>91989363636</v>
      </c>
      <c r="C1426" s="32" t="s">
        <v>44</v>
      </c>
      <c r="D1426" s="32">
        <v>4430265054</v>
      </c>
      <c r="E1426" s="32">
        <v>96</v>
      </c>
      <c r="F1426" s="32">
        <v>5</v>
      </c>
      <c r="G1426" s="32" t="s">
        <v>38</v>
      </c>
      <c r="H1426" s="32" t="s">
        <v>4143</v>
      </c>
      <c r="I1426" s="32" t="s">
        <v>39</v>
      </c>
      <c r="J1426" s="32" t="s">
        <v>40</v>
      </c>
      <c r="K1426" s="32" t="s">
        <v>41</v>
      </c>
    </row>
    <row r="1427" spans="1:12" hidden="1" x14ac:dyDescent="0.3">
      <c r="A1427" s="39">
        <v>46155.655902777777</v>
      </c>
      <c r="B1427" s="32">
        <v>4435226025</v>
      </c>
      <c r="C1427" s="32" t="s">
        <v>45</v>
      </c>
      <c r="D1427" s="32">
        <v>4430265054</v>
      </c>
      <c r="E1427" s="32">
        <v>1111</v>
      </c>
      <c r="F1427" s="32">
        <v>1089</v>
      </c>
      <c r="G1427" s="32" t="s">
        <v>38</v>
      </c>
      <c r="H1427" s="32" t="s">
        <v>4144</v>
      </c>
      <c r="I1427" s="32" t="s">
        <v>39</v>
      </c>
      <c r="J1427" s="32" t="s">
        <v>40</v>
      </c>
      <c r="K1427" s="32" t="s">
        <v>41</v>
      </c>
      <c r="L1427" s="32">
        <v>5</v>
      </c>
    </row>
    <row r="1428" spans="1:12" hidden="1" x14ac:dyDescent="0.3">
      <c r="A1428" s="39">
        <v>46155.648553240739</v>
      </c>
      <c r="B1428" s="32">
        <v>44998555192</v>
      </c>
      <c r="C1428" s="32" t="s">
        <v>44</v>
      </c>
      <c r="D1428" s="32">
        <v>4430265054</v>
      </c>
      <c r="E1428" s="32">
        <v>117</v>
      </c>
      <c r="F1428" s="32">
        <v>78</v>
      </c>
      <c r="G1428" s="32" t="s">
        <v>38</v>
      </c>
      <c r="H1428" s="32" t="s">
        <v>4145</v>
      </c>
      <c r="I1428" s="32" t="s">
        <v>39</v>
      </c>
      <c r="J1428" s="32" t="s">
        <v>40</v>
      </c>
      <c r="K1428" s="32" t="s">
        <v>41</v>
      </c>
    </row>
    <row r="1429" spans="1:12" hidden="1" x14ac:dyDescent="0.3">
      <c r="A1429" s="39">
        <v>46155.647268518522</v>
      </c>
      <c r="B1429" s="32">
        <v>4431337559</v>
      </c>
      <c r="C1429" s="32" t="s">
        <v>43</v>
      </c>
      <c r="D1429" s="32">
        <v>4430265054</v>
      </c>
      <c r="E1429" s="32">
        <v>427</v>
      </c>
      <c r="F1429" s="32">
        <v>390</v>
      </c>
      <c r="G1429" s="32" t="s">
        <v>38</v>
      </c>
      <c r="H1429" s="32" t="s">
        <v>4146</v>
      </c>
      <c r="I1429" s="32" t="s">
        <v>39</v>
      </c>
      <c r="J1429" s="32" t="s">
        <v>40</v>
      </c>
      <c r="K1429" s="32" t="s">
        <v>41</v>
      </c>
    </row>
    <row r="1430" spans="1:12" hidden="1" x14ac:dyDescent="0.3">
      <c r="A1430" s="39">
        <v>46155.646678240744</v>
      </c>
      <c r="B1430" s="32" t="s">
        <v>54</v>
      </c>
      <c r="C1430" s="32">
        <v>34999633010</v>
      </c>
      <c r="E1430" s="32">
        <v>14</v>
      </c>
      <c r="F1430" s="32">
        <v>10</v>
      </c>
      <c r="G1430" s="32" t="s">
        <v>38</v>
      </c>
      <c r="H1430" s="32" t="s">
        <v>4147</v>
      </c>
      <c r="I1430" s="32" t="s">
        <v>46</v>
      </c>
      <c r="J1430" s="32" t="s">
        <v>55</v>
      </c>
    </row>
    <row r="1431" spans="1:12" hidden="1" x14ac:dyDescent="0.3">
      <c r="A1431" s="39">
        <v>46155.645196759258</v>
      </c>
      <c r="B1431" s="32">
        <v>44999844110</v>
      </c>
      <c r="C1431" s="32" t="s">
        <v>45</v>
      </c>
      <c r="D1431" s="32">
        <v>4431268225</v>
      </c>
      <c r="E1431" s="32">
        <v>522</v>
      </c>
      <c r="F1431" s="32">
        <v>515</v>
      </c>
      <c r="G1431" s="32" t="s">
        <v>38</v>
      </c>
      <c r="H1431" s="32" t="s">
        <v>4148</v>
      </c>
      <c r="I1431" s="32" t="s">
        <v>39</v>
      </c>
      <c r="J1431" s="32" t="s">
        <v>40</v>
      </c>
      <c r="K1431" s="32" t="s">
        <v>41</v>
      </c>
    </row>
    <row r="1432" spans="1:12" hidden="1" x14ac:dyDescent="0.3">
      <c r="A1432" s="39">
        <v>46155.637511574074</v>
      </c>
      <c r="B1432" s="32">
        <v>44998721566</v>
      </c>
      <c r="C1432" s="32" t="s">
        <v>44</v>
      </c>
      <c r="D1432" s="32">
        <v>4430265054</v>
      </c>
      <c r="E1432" s="32">
        <v>691</v>
      </c>
      <c r="F1432" s="32">
        <v>650</v>
      </c>
      <c r="G1432" s="32" t="s">
        <v>38</v>
      </c>
      <c r="H1432" s="32" t="s">
        <v>4149</v>
      </c>
      <c r="I1432" s="32" t="s">
        <v>39</v>
      </c>
      <c r="J1432" s="32" t="s">
        <v>40</v>
      </c>
      <c r="K1432" s="32" t="s">
        <v>41</v>
      </c>
    </row>
    <row r="1433" spans="1:12" hidden="1" x14ac:dyDescent="0.3">
      <c r="A1433" s="39">
        <v>46155.633391203701</v>
      </c>
      <c r="B1433" s="32">
        <v>91989363636</v>
      </c>
      <c r="C1433" s="32" t="s">
        <v>48</v>
      </c>
      <c r="D1433" s="32">
        <v>4430265054</v>
      </c>
      <c r="E1433" s="32">
        <v>425</v>
      </c>
      <c r="F1433" s="32">
        <v>424</v>
      </c>
      <c r="G1433" s="32" t="s">
        <v>38</v>
      </c>
      <c r="H1433" s="32" t="s">
        <v>4150</v>
      </c>
      <c r="I1433" s="32" t="s">
        <v>39</v>
      </c>
      <c r="J1433" s="32" t="s">
        <v>40</v>
      </c>
      <c r="K1433" s="32" t="s">
        <v>41</v>
      </c>
    </row>
    <row r="1434" spans="1:12" hidden="1" x14ac:dyDescent="0.3">
      <c r="A1434" s="39">
        <v>46155.633263888885</v>
      </c>
      <c r="B1434" s="32" t="s">
        <v>54</v>
      </c>
      <c r="C1434" s="32">
        <v>11999298525</v>
      </c>
      <c r="E1434" s="32">
        <v>1</v>
      </c>
      <c r="F1434" s="32">
        <v>0</v>
      </c>
      <c r="G1434" s="32" t="s">
        <v>47</v>
      </c>
      <c r="H1434" s="32" t="s">
        <v>4151</v>
      </c>
      <c r="I1434" s="32" t="s">
        <v>46</v>
      </c>
      <c r="J1434" s="32" t="s">
        <v>55</v>
      </c>
    </row>
    <row r="1435" spans="1:12" hidden="1" x14ac:dyDescent="0.3">
      <c r="A1435" s="39">
        <v>46155.633101851854</v>
      </c>
      <c r="B1435" s="32">
        <v>12997611769</v>
      </c>
      <c r="C1435" s="32" t="s">
        <v>48</v>
      </c>
      <c r="D1435" s="32">
        <v>4430265054</v>
      </c>
      <c r="E1435" s="32">
        <v>224</v>
      </c>
      <c r="F1435" s="32">
        <v>224</v>
      </c>
      <c r="G1435" s="32" t="s">
        <v>38</v>
      </c>
      <c r="H1435" s="32" t="s">
        <v>4152</v>
      </c>
      <c r="I1435" s="32" t="s">
        <v>39</v>
      </c>
      <c r="J1435" s="32" t="s">
        <v>40</v>
      </c>
      <c r="K1435" s="32" t="s">
        <v>41</v>
      </c>
      <c r="L1435" s="32">
        <v>5</v>
      </c>
    </row>
    <row r="1436" spans="1:12" hidden="1" x14ac:dyDescent="0.3">
      <c r="A1436" s="39">
        <v>46155.632106481484</v>
      </c>
      <c r="B1436" s="32">
        <v>91989363636</v>
      </c>
      <c r="C1436" s="32">
        <v>4430265054</v>
      </c>
      <c r="D1436" s="32">
        <v>4430265054</v>
      </c>
      <c r="E1436" s="32">
        <v>17</v>
      </c>
      <c r="F1436" s="32">
        <v>16</v>
      </c>
      <c r="G1436" s="32" t="s">
        <v>52</v>
      </c>
      <c r="H1436" s="32" t="s">
        <v>4153</v>
      </c>
      <c r="I1436" s="32" t="s">
        <v>39</v>
      </c>
      <c r="J1436" s="32" t="s">
        <v>53</v>
      </c>
    </row>
    <row r="1437" spans="1:12" hidden="1" x14ac:dyDescent="0.3">
      <c r="A1437" s="39">
        <v>46155.631469907406</v>
      </c>
      <c r="B1437" s="32">
        <v>44984241715</v>
      </c>
      <c r="C1437" s="32" t="s">
        <v>43</v>
      </c>
      <c r="D1437" s="32">
        <v>4430265054</v>
      </c>
      <c r="E1437" s="32">
        <v>541</v>
      </c>
      <c r="F1437" s="32">
        <v>490</v>
      </c>
      <c r="G1437" s="32" t="s">
        <v>38</v>
      </c>
      <c r="H1437" s="32" t="s">
        <v>4154</v>
      </c>
      <c r="I1437" s="32" t="s">
        <v>39</v>
      </c>
      <c r="J1437" s="32" t="s">
        <v>40</v>
      </c>
      <c r="K1437" s="32" t="s">
        <v>41</v>
      </c>
    </row>
    <row r="1438" spans="1:12" hidden="1" x14ac:dyDescent="0.3">
      <c r="A1438" s="39">
        <v>46155.624247685184</v>
      </c>
      <c r="B1438" s="32">
        <v>4330333558</v>
      </c>
      <c r="C1438" s="32" t="s">
        <v>45</v>
      </c>
      <c r="D1438" s="32">
        <v>4430265054</v>
      </c>
      <c r="E1438" s="32">
        <v>1647</v>
      </c>
      <c r="F1438" s="32">
        <v>1606</v>
      </c>
      <c r="G1438" s="32" t="s">
        <v>38</v>
      </c>
      <c r="H1438" s="32" t="s">
        <v>4155</v>
      </c>
      <c r="I1438" s="32" t="s">
        <v>39</v>
      </c>
      <c r="J1438" s="32" t="s">
        <v>40</v>
      </c>
      <c r="K1438" s="32" t="s">
        <v>41</v>
      </c>
      <c r="L1438" s="32">
        <v>5</v>
      </c>
    </row>
    <row r="1439" spans="1:12" hidden="1" x14ac:dyDescent="0.3">
      <c r="A1439" s="39">
        <v>46155.623796296299</v>
      </c>
      <c r="B1439" s="32" t="s">
        <v>54</v>
      </c>
      <c r="C1439" s="32">
        <v>4334618877</v>
      </c>
      <c r="E1439" s="32">
        <v>34</v>
      </c>
      <c r="F1439" s="32">
        <v>33</v>
      </c>
      <c r="G1439" s="32" t="s">
        <v>38</v>
      </c>
      <c r="H1439" s="32" t="s">
        <v>4156</v>
      </c>
      <c r="I1439" s="32" t="s">
        <v>46</v>
      </c>
      <c r="J1439" s="32" t="s">
        <v>55</v>
      </c>
    </row>
    <row r="1440" spans="1:12" hidden="1" x14ac:dyDescent="0.3">
      <c r="A1440" s="39">
        <v>46155.618125000001</v>
      </c>
      <c r="B1440" s="32">
        <v>44999844110</v>
      </c>
      <c r="C1440" s="32" t="s">
        <v>45</v>
      </c>
      <c r="D1440" s="32">
        <v>4431268225</v>
      </c>
      <c r="E1440" s="32">
        <v>61</v>
      </c>
      <c r="F1440" s="32">
        <v>49</v>
      </c>
      <c r="G1440" s="32" t="s">
        <v>38</v>
      </c>
      <c r="H1440" s="32" t="s">
        <v>4157</v>
      </c>
      <c r="I1440" s="32" t="s">
        <v>39</v>
      </c>
      <c r="J1440" s="32" t="s">
        <v>40</v>
      </c>
      <c r="K1440" s="32" t="s">
        <v>41</v>
      </c>
    </row>
    <row r="1441" spans="1:12" hidden="1" x14ac:dyDescent="0.3">
      <c r="A1441" s="39">
        <v>46155.617685185185</v>
      </c>
      <c r="B1441" s="32" t="s">
        <v>45</v>
      </c>
      <c r="C1441" s="32">
        <v>44999844110</v>
      </c>
      <c r="E1441" s="32">
        <v>27</v>
      </c>
      <c r="F1441" s="32">
        <v>23</v>
      </c>
      <c r="G1441" s="32" t="s">
        <v>38</v>
      </c>
      <c r="H1441" s="32" t="s">
        <v>4158</v>
      </c>
      <c r="I1441" s="32" t="s">
        <v>46</v>
      </c>
      <c r="J1441" s="32" t="s">
        <v>40</v>
      </c>
    </row>
    <row r="1442" spans="1:12" hidden="1" x14ac:dyDescent="0.3">
      <c r="A1442" s="39">
        <v>46155.617615740739</v>
      </c>
      <c r="B1442" s="32" t="s">
        <v>45</v>
      </c>
      <c r="C1442" s="32">
        <v>44999844110</v>
      </c>
      <c r="E1442" s="32">
        <v>4</v>
      </c>
      <c r="F1442" s="32">
        <v>0</v>
      </c>
      <c r="G1442" s="32" t="s">
        <v>47</v>
      </c>
      <c r="H1442" s="32" t="s">
        <v>4159</v>
      </c>
      <c r="I1442" s="32" t="s">
        <v>46</v>
      </c>
      <c r="J1442" s="32" t="s">
        <v>40</v>
      </c>
    </row>
    <row r="1443" spans="1:12" hidden="1" x14ac:dyDescent="0.3">
      <c r="A1443" s="39">
        <v>46155.610300925924</v>
      </c>
      <c r="B1443" s="32" t="s">
        <v>54</v>
      </c>
      <c r="C1443" s="32">
        <v>94992582941</v>
      </c>
      <c r="E1443" s="32">
        <v>44</v>
      </c>
      <c r="F1443" s="32">
        <v>21</v>
      </c>
      <c r="G1443" s="32" t="s">
        <v>38</v>
      </c>
      <c r="H1443" s="32" t="s">
        <v>4160</v>
      </c>
      <c r="I1443" s="32" t="s">
        <v>46</v>
      </c>
      <c r="J1443" s="32" t="s">
        <v>55</v>
      </c>
    </row>
    <row r="1444" spans="1:12" hidden="1" x14ac:dyDescent="0.3">
      <c r="A1444" s="39">
        <v>46155.609189814815</v>
      </c>
      <c r="B1444" s="32" t="s">
        <v>54</v>
      </c>
      <c r="C1444" s="32">
        <v>4530352300</v>
      </c>
      <c r="E1444" s="32">
        <v>31</v>
      </c>
      <c r="F1444" s="32">
        <v>29</v>
      </c>
      <c r="G1444" s="32" t="s">
        <v>38</v>
      </c>
      <c r="H1444" s="32" t="s">
        <v>4161</v>
      </c>
      <c r="I1444" s="32" t="s">
        <v>46</v>
      </c>
      <c r="J1444" s="32" t="s">
        <v>55</v>
      </c>
    </row>
    <row r="1445" spans="1:12" hidden="1" x14ac:dyDescent="0.3">
      <c r="A1445" s="39">
        <v>46155.605219907404</v>
      </c>
      <c r="B1445" s="32">
        <v>12997611769</v>
      </c>
      <c r="C1445" s="32" t="s">
        <v>48</v>
      </c>
      <c r="D1445" s="32">
        <v>4430265054</v>
      </c>
      <c r="E1445" s="32">
        <v>594</v>
      </c>
      <c r="F1445" s="32">
        <v>594</v>
      </c>
      <c r="G1445" s="32" t="s">
        <v>38</v>
      </c>
      <c r="H1445" s="32" t="s">
        <v>4162</v>
      </c>
      <c r="I1445" s="32" t="s">
        <v>39</v>
      </c>
      <c r="J1445" s="32" t="s">
        <v>40</v>
      </c>
      <c r="K1445" s="32" t="s">
        <v>41</v>
      </c>
      <c r="L1445" s="32">
        <v>5</v>
      </c>
    </row>
    <row r="1446" spans="1:12" hidden="1" x14ac:dyDescent="0.3">
      <c r="A1446" s="39">
        <v>46155.60083333333</v>
      </c>
      <c r="B1446" s="32">
        <v>91989363636</v>
      </c>
      <c r="C1446" s="32" t="s">
        <v>43</v>
      </c>
      <c r="D1446" s="32">
        <v>4430265054</v>
      </c>
      <c r="E1446" s="32">
        <v>246</v>
      </c>
      <c r="F1446" s="32">
        <v>112</v>
      </c>
      <c r="G1446" s="32" t="s">
        <v>38</v>
      </c>
      <c r="H1446" s="32" t="s">
        <v>4163</v>
      </c>
      <c r="I1446" s="32" t="s">
        <v>39</v>
      </c>
      <c r="J1446" s="32" t="s">
        <v>40</v>
      </c>
      <c r="K1446" s="32" t="s">
        <v>41</v>
      </c>
    </row>
    <row r="1447" spans="1:12" hidden="1" x14ac:dyDescent="0.3">
      <c r="A1447" s="39">
        <v>46155.600104166668</v>
      </c>
      <c r="B1447" s="32">
        <v>41995116206</v>
      </c>
      <c r="C1447" s="32" t="s">
        <v>44</v>
      </c>
      <c r="D1447" s="32">
        <v>4430265054</v>
      </c>
      <c r="E1447" s="32">
        <v>344</v>
      </c>
      <c r="F1447" s="32">
        <v>208</v>
      </c>
      <c r="G1447" s="32" t="s">
        <v>38</v>
      </c>
      <c r="H1447" s="32" t="s">
        <v>4164</v>
      </c>
      <c r="I1447" s="32" t="s">
        <v>39</v>
      </c>
      <c r="J1447" s="32" t="s">
        <v>40</v>
      </c>
      <c r="K1447" s="32" t="s">
        <v>41</v>
      </c>
      <c r="L1447" s="32">
        <v>5</v>
      </c>
    </row>
    <row r="1448" spans="1:12" hidden="1" x14ac:dyDescent="0.3">
      <c r="A1448" s="39">
        <v>46155.595648148148</v>
      </c>
      <c r="B1448" s="32">
        <v>44984241715</v>
      </c>
      <c r="C1448" s="32">
        <v>4430265054</v>
      </c>
      <c r="D1448" s="32">
        <v>4430265054</v>
      </c>
      <c r="E1448" s="32">
        <v>91</v>
      </c>
      <c r="F1448" s="32">
        <v>90</v>
      </c>
      <c r="G1448" s="32" t="s">
        <v>52</v>
      </c>
      <c r="H1448" s="32" t="s">
        <v>4165</v>
      </c>
      <c r="I1448" s="32" t="s">
        <v>39</v>
      </c>
      <c r="J1448" s="32" t="s">
        <v>53</v>
      </c>
      <c r="K1448" s="32" t="s">
        <v>41</v>
      </c>
    </row>
    <row r="1449" spans="1:12" hidden="1" x14ac:dyDescent="0.3">
      <c r="A1449" s="39">
        <v>46155.593935185185</v>
      </c>
      <c r="B1449" s="32">
        <v>4430459032</v>
      </c>
      <c r="C1449" s="32" t="s">
        <v>43</v>
      </c>
      <c r="D1449" s="32">
        <v>4430265054</v>
      </c>
      <c r="E1449" s="32">
        <v>674</v>
      </c>
      <c r="F1449" s="32">
        <v>651</v>
      </c>
      <c r="G1449" s="32" t="s">
        <v>38</v>
      </c>
      <c r="H1449" s="32" t="s">
        <v>4166</v>
      </c>
      <c r="I1449" s="32" t="s">
        <v>39</v>
      </c>
      <c r="J1449" s="32" t="s">
        <v>40</v>
      </c>
      <c r="K1449" s="32" t="s">
        <v>41</v>
      </c>
    </row>
    <row r="1450" spans="1:12" hidden="1" x14ac:dyDescent="0.3">
      <c r="A1450" s="39">
        <v>46155.591493055559</v>
      </c>
      <c r="B1450" s="32">
        <v>43999317663</v>
      </c>
      <c r="C1450" s="32" t="s">
        <v>44</v>
      </c>
      <c r="D1450" s="32">
        <v>4430265054</v>
      </c>
      <c r="E1450" s="32">
        <v>770</v>
      </c>
      <c r="F1450" s="32">
        <v>684</v>
      </c>
      <c r="G1450" s="32" t="s">
        <v>38</v>
      </c>
      <c r="H1450" s="32" t="s">
        <v>4167</v>
      </c>
      <c r="I1450" s="32" t="s">
        <v>39</v>
      </c>
      <c r="J1450" s="32" t="s">
        <v>40</v>
      </c>
      <c r="K1450" s="32" t="s">
        <v>41</v>
      </c>
      <c r="L1450" s="32">
        <v>5</v>
      </c>
    </row>
    <row r="1451" spans="1:12" hidden="1" x14ac:dyDescent="0.3">
      <c r="A1451" s="39">
        <v>46155.590949074074</v>
      </c>
      <c r="B1451" s="32">
        <v>44998721566</v>
      </c>
      <c r="C1451" s="32">
        <v>4430265054</v>
      </c>
      <c r="D1451" s="32">
        <v>4430265054</v>
      </c>
      <c r="E1451" s="32">
        <v>58</v>
      </c>
      <c r="F1451" s="32">
        <v>58</v>
      </c>
      <c r="G1451" s="32" t="s">
        <v>52</v>
      </c>
      <c r="H1451" s="32" t="s">
        <v>4168</v>
      </c>
      <c r="I1451" s="32" t="s">
        <v>39</v>
      </c>
      <c r="J1451" s="32" t="s">
        <v>53</v>
      </c>
      <c r="K1451" s="32" t="s">
        <v>41</v>
      </c>
    </row>
    <row r="1452" spans="1:12" hidden="1" x14ac:dyDescent="0.3">
      <c r="A1452" s="39">
        <v>46155.590543981481</v>
      </c>
      <c r="B1452" s="32">
        <v>44984241715</v>
      </c>
      <c r="C1452" s="32">
        <v>4430265054</v>
      </c>
      <c r="D1452" s="32">
        <v>4430265054</v>
      </c>
      <c r="E1452" s="32">
        <v>60</v>
      </c>
      <c r="F1452" s="32">
        <v>60</v>
      </c>
      <c r="G1452" s="32" t="s">
        <v>52</v>
      </c>
      <c r="H1452" s="32" t="s">
        <v>4169</v>
      </c>
      <c r="I1452" s="32" t="s">
        <v>39</v>
      </c>
      <c r="J1452" s="32" t="s">
        <v>53</v>
      </c>
      <c r="K1452" s="32" t="s">
        <v>41</v>
      </c>
    </row>
    <row r="1453" spans="1:12" hidden="1" x14ac:dyDescent="0.3">
      <c r="A1453" s="39">
        <v>46155.590370370373</v>
      </c>
      <c r="B1453" s="32">
        <v>44999844110</v>
      </c>
      <c r="C1453" s="32" t="s">
        <v>45</v>
      </c>
      <c r="D1453" s="32">
        <v>4430265054</v>
      </c>
      <c r="E1453" s="32">
        <v>560</v>
      </c>
      <c r="F1453" s="32">
        <v>526</v>
      </c>
      <c r="G1453" s="32" t="s">
        <v>38</v>
      </c>
      <c r="H1453" s="32" t="s">
        <v>4170</v>
      </c>
      <c r="I1453" s="32" t="s">
        <v>39</v>
      </c>
      <c r="J1453" s="32" t="s">
        <v>40</v>
      </c>
      <c r="K1453" s="32" t="s">
        <v>41</v>
      </c>
    </row>
    <row r="1454" spans="1:12" hidden="1" x14ac:dyDescent="0.3">
      <c r="A1454" s="39">
        <v>46155.585081018522</v>
      </c>
      <c r="B1454" s="32">
        <v>2121123730</v>
      </c>
      <c r="C1454" s="32">
        <v>4531273164</v>
      </c>
      <c r="D1454" s="32">
        <v>4531273164</v>
      </c>
      <c r="E1454" s="32">
        <v>48</v>
      </c>
      <c r="F1454" s="32">
        <v>47</v>
      </c>
      <c r="G1454" s="32" t="s">
        <v>52</v>
      </c>
      <c r="H1454" s="32" t="s">
        <v>4171</v>
      </c>
      <c r="I1454" s="32" t="s">
        <v>39</v>
      </c>
      <c r="J1454" s="32" t="s">
        <v>53</v>
      </c>
      <c r="K1454" s="32" t="s">
        <v>41</v>
      </c>
    </row>
    <row r="1455" spans="1:12" hidden="1" x14ac:dyDescent="0.3">
      <c r="A1455" s="39">
        <v>46155.58320601852</v>
      </c>
      <c r="B1455" s="32">
        <v>12997611769</v>
      </c>
      <c r="C1455" s="32" t="s">
        <v>48</v>
      </c>
      <c r="D1455" s="32">
        <v>4430265054</v>
      </c>
      <c r="E1455" s="32">
        <v>1192</v>
      </c>
      <c r="F1455" s="32">
        <v>1191</v>
      </c>
      <c r="G1455" s="32" t="s">
        <v>38</v>
      </c>
      <c r="H1455" s="32" t="s">
        <v>4172</v>
      </c>
      <c r="I1455" s="32" t="s">
        <v>39</v>
      </c>
      <c r="J1455" s="32" t="s">
        <v>40</v>
      </c>
      <c r="K1455" s="32" t="s">
        <v>41</v>
      </c>
      <c r="L1455" s="32">
        <v>5</v>
      </c>
    </row>
    <row r="1456" spans="1:12" hidden="1" x14ac:dyDescent="0.3">
      <c r="A1456" s="39">
        <v>46155.576296296298</v>
      </c>
      <c r="B1456" s="32">
        <v>44999670264</v>
      </c>
      <c r="C1456" s="32">
        <v>4430265054</v>
      </c>
      <c r="D1456" s="32">
        <v>4430265054</v>
      </c>
      <c r="E1456" s="32">
        <v>125</v>
      </c>
      <c r="F1456" s="32">
        <v>125</v>
      </c>
      <c r="G1456" s="32" t="s">
        <v>52</v>
      </c>
      <c r="H1456" s="32" t="s">
        <v>4173</v>
      </c>
      <c r="I1456" s="32" t="s">
        <v>39</v>
      </c>
      <c r="J1456" s="32" t="s">
        <v>53</v>
      </c>
      <c r="K1456" s="32" t="s">
        <v>41</v>
      </c>
    </row>
    <row r="1457" spans="1:12" hidden="1" x14ac:dyDescent="0.3">
      <c r="A1457" s="39">
        <v>46155.575127314813</v>
      </c>
      <c r="B1457" s="32">
        <v>4431337559</v>
      </c>
      <c r="C1457" s="32" t="s">
        <v>43</v>
      </c>
      <c r="D1457" s="32">
        <v>4430265054</v>
      </c>
      <c r="E1457" s="32">
        <v>403</v>
      </c>
      <c r="F1457" s="32">
        <v>375</v>
      </c>
      <c r="G1457" s="32" t="s">
        <v>38</v>
      </c>
      <c r="H1457" s="32" t="s">
        <v>4174</v>
      </c>
      <c r="I1457" s="32" t="s">
        <v>39</v>
      </c>
      <c r="J1457" s="32" t="s">
        <v>40</v>
      </c>
      <c r="K1457" s="32" t="s">
        <v>41</v>
      </c>
    </row>
    <row r="1458" spans="1:12" hidden="1" x14ac:dyDescent="0.3">
      <c r="A1458" s="39">
        <v>46155.571967592594</v>
      </c>
      <c r="B1458" s="32">
        <v>41988796768</v>
      </c>
      <c r="C1458" s="32" t="s">
        <v>48</v>
      </c>
      <c r="D1458" s="32">
        <v>4430265054</v>
      </c>
      <c r="E1458" s="32">
        <v>505</v>
      </c>
      <c r="F1458" s="32">
        <v>431</v>
      </c>
      <c r="G1458" s="32" t="s">
        <v>38</v>
      </c>
      <c r="H1458" s="32" t="s">
        <v>4175</v>
      </c>
      <c r="I1458" s="32" t="s">
        <v>39</v>
      </c>
      <c r="J1458" s="32" t="s">
        <v>40</v>
      </c>
      <c r="K1458" s="32" t="s">
        <v>41</v>
      </c>
    </row>
    <row r="1459" spans="1:12" hidden="1" x14ac:dyDescent="0.3">
      <c r="A1459" s="39">
        <v>46155.571562500001</v>
      </c>
      <c r="B1459" s="32">
        <v>44998721566</v>
      </c>
      <c r="C1459" s="32">
        <v>4430265054</v>
      </c>
      <c r="D1459" s="32">
        <v>4430265054</v>
      </c>
      <c r="E1459" s="32">
        <v>97</v>
      </c>
      <c r="F1459" s="32">
        <v>97</v>
      </c>
      <c r="G1459" s="32" t="s">
        <v>52</v>
      </c>
      <c r="H1459" s="32" t="s">
        <v>4176</v>
      </c>
      <c r="I1459" s="32" t="s">
        <v>39</v>
      </c>
      <c r="J1459" s="32" t="s">
        <v>53</v>
      </c>
      <c r="K1459" s="32" t="s">
        <v>41</v>
      </c>
    </row>
    <row r="1460" spans="1:12" hidden="1" x14ac:dyDescent="0.3">
      <c r="A1460" s="39">
        <v>46155.569467592592</v>
      </c>
      <c r="B1460" s="32">
        <v>44998761561</v>
      </c>
      <c r="C1460" s="32" t="s">
        <v>48</v>
      </c>
      <c r="D1460" s="32">
        <v>4430265054</v>
      </c>
      <c r="E1460" s="32">
        <v>291</v>
      </c>
      <c r="F1460" s="32">
        <v>239</v>
      </c>
      <c r="G1460" s="32" t="s">
        <v>38</v>
      </c>
      <c r="H1460" s="32" t="s">
        <v>4177</v>
      </c>
      <c r="I1460" s="32" t="s">
        <v>39</v>
      </c>
      <c r="J1460" s="32" t="s">
        <v>40</v>
      </c>
      <c r="K1460" s="32" t="s">
        <v>41</v>
      </c>
    </row>
    <row r="1461" spans="1:12" hidden="1" x14ac:dyDescent="0.3">
      <c r="A1461" s="39">
        <v>46155.567499999997</v>
      </c>
      <c r="B1461" s="32">
        <v>44998555192</v>
      </c>
      <c r="C1461" s="32" t="s">
        <v>43</v>
      </c>
      <c r="D1461" s="32">
        <v>4430265054</v>
      </c>
      <c r="E1461" s="32">
        <v>656</v>
      </c>
      <c r="F1461" s="32">
        <v>619</v>
      </c>
      <c r="G1461" s="32" t="s">
        <v>38</v>
      </c>
      <c r="H1461" s="32" t="s">
        <v>4178</v>
      </c>
      <c r="I1461" s="32" t="s">
        <v>39</v>
      </c>
      <c r="J1461" s="32" t="s">
        <v>40</v>
      </c>
      <c r="K1461" s="32" t="s">
        <v>41</v>
      </c>
    </row>
    <row r="1462" spans="1:12" hidden="1" x14ac:dyDescent="0.3">
      <c r="A1462" s="39">
        <v>46155.565833333334</v>
      </c>
      <c r="B1462" s="32">
        <v>44999090169</v>
      </c>
      <c r="C1462" s="32" t="s">
        <v>44</v>
      </c>
      <c r="D1462" s="32">
        <v>4430265054</v>
      </c>
      <c r="E1462" s="32">
        <v>1773</v>
      </c>
      <c r="F1462" s="32">
        <v>1689</v>
      </c>
      <c r="G1462" s="32" t="s">
        <v>38</v>
      </c>
      <c r="H1462" s="32" t="s">
        <v>4179</v>
      </c>
      <c r="I1462" s="32" t="s">
        <v>39</v>
      </c>
      <c r="J1462" s="32" t="s">
        <v>40</v>
      </c>
      <c r="K1462" s="32" t="s">
        <v>41</v>
      </c>
    </row>
    <row r="1463" spans="1:12" hidden="1" x14ac:dyDescent="0.3">
      <c r="A1463" s="39">
        <v>46155.564444444448</v>
      </c>
      <c r="B1463" s="32">
        <v>44991213399</v>
      </c>
      <c r="C1463" s="32" t="s">
        <v>45</v>
      </c>
      <c r="D1463" s="32">
        <v>4430265054</v>
      </c>
      <c r="E1463" s="32">
        <v>962</v>
      </c>
      <c r="F1463" s="32">
        <v>843</v>
      </c>
      <c r="G1463" s="32" t="s">
        <v>38</v>
      </c>
      <c r="H1463" s="32" t="s">
        <v>4180</v>
      </c>
      <c r="I1463" s="32" t="s">
        <v>39</v>
      </c>
      <c r="J1463" s="32" t="s">
        <v>40</v>
      </c>
      <c r="K1463" s="32" t="s">
        <v>41</v>
      </c>
    </row>
    <row r="1464" spans="1:12" hidden="1" x14ac:dyDescent="0.3">
      <c r="A1464" s="39">
        <v>46155.563692129632</v>
      </c>
      <c r="B1464" s="32">
        <v>4121413772</v>
      </c>
      <c r="C1464" s="32" t="s">
        <v>45</v>
      </c>
      <c r="D1464" s="32">
        <v>4531273161</v>
      </c>
      <c r="E1464" s="32">
        <v>46</v>
      </c>
      <c r="F1464" s="32">
        <v>8</v>
      </c>
      <c r="G1464" s="32" t="s">
        <v>38</v>
      </c>
      <c r="H1464" s="32" t="s">
        <v>4181</v>
      </c>
      <c r="I1464" s="32" t="s">
        <v>39</v>
      </c>
      <c r="J1464" s="32" t="s">
        <v>40</v>
      </c>
      <c r="K1464" s="32" t="s">
        <v>41</v>
      </c>
    </row>
    <row r="1465" spans="1:12" hidden="1" x14ac:dyDescent="0.3">
      <c r="A1465" s="39">
        <v>46155.562465277777</v>
      </c>
      <c r="B1465" s="32">
        <v>44998721566</v>
      </c>
      <c r="C1465" s="32">
        <v>4430265054</v>
      </c>
      <c r="D1465" s="32">
        <v>4430265054</v>
      </c>
      <c r="E1465" s="32">
        <v>29</v>
      </c>
      <c r="F1465" s="32">
        <v>28</v>
      </c>
      <c r="G1465" s="32" t="s">
        <v>52</v>
      </c>
      <c r="H1465" s="32" t="s">
        <v>4182</v>
      </c>
      <c r="I1465" s="32" t="s">
        <v>39</v>
      </c>
      <c r="J1465" s="32" t="s">
        <v>53</v>
      </c>
    </row>
    <row r="1466" spans="1:12" hidden="1" x14ac:dyDescent="0.3">
      <c r="A1466" s="39">
        <v>46155.557928240742</v>
      </c>
      <c r="B1466" s="32">
        <v>44988325431</v>
      </c>
      <c r="C1466" s="32">
        <v>4430265054</v>
      </c>
      <c r="D1466" s="32">
        <v>4430265054</v>
      </c>
      <c r="E1466" s="32">
        <v>9</v>
      </c>
      <c r="F1466" s="32">
        <v>8</v>
      </c>
      <c r="G1466" s="32" t="s">
        <v>52</v>
      </c>
      <c r="H1466" s="32" t="s">
        <v>4183</v>
      </c>
      <c r="I1466" s="32" t="s">
        <v>39</v>
      </c>
      <c r="J1466" s="32" t="s">
        <v>53</v>
      </c>
    </row>
    <row r="1467" spans="1:12" hidden="1" x14ac:dyDescent="0.3">
      <c r="A1467" s="39">
        <v>46155.556840277779</v>
      </c>
      <c r="B1467" s="32">
        <v>44998555192</v>
      </c>
      <c r="C1467" s="32">
        <v>4430265054</v>
      </c>
      <c r="D1467" s="32">
        <v>4430265054</v>
      </c>
      <c r="E1467" s="32">
        <v>17</v>
      </c>
      <c r="F1467" s="32">
        <v>16</v>
      </c>
      <c r="G1467" s="32" t="s">
        <v>52</v>
      </c>
      <c r="H1467" s="32" t="s">
        <v>4184</v>
      </c>
      <c r="I1467" s="32" t="s">
        <v>39</v>
      </c>
      <c r="J1467" s="32" t="s">
        <v>53</v>
      </c>
    </row>
    <row r="1468" spans="1:12" hidden="1" x14ac:dyDescent="0.3">
      <c r="A1468" s="39">
        <v>46155.556504629632</v>
      </c>
      <c r="B1468" s="32">
        <v>44991213399</v>
      </c>
      <c r="C1468" s="32">
        <v>4430265054</v>
      </c>
      <c r="D1468" s="32">
        <v>4430265054</v>
      </c>
      <c r="E1468" s="32">
        <v>7</v>
      </c>
      <c r="F1468" s="32">
        <v>7</v>
      </c>
      <c r="G1468" s="32" t="s">
        <v>52</v>
      </c>
      <c r="H1468" s="32" t="s">
        <v>4185</v>
      </c>
      <c r="I1468" s="32" t="s">
        <v>39</v>
      </c>
      <c r="J1468" s="32" t="s">
        <v>53</v>
      </c>
    </row>
    <row r="1469" spans="1:12" hidden="1" x14ac:dyDescent="0.3">
      <c r="A1469" s="39">
        <v>46155.500324074077</v>
      </c>
      <c r="B1469" s="32" t="s">
        <v>50</v>
      </c>
      <c r="C1469" s="32" t="s">
        <v>57</v>
      </c>
      <c r="E1469" s="32">
        <v>281</v>
      </c>
      <c r="F1469" s="32">
        <v>277</v>
      </c>
      <c r="G1469" s="32" t="s">
        <v>38</v>
      </c>
      <c r="H1469" s="32" t="s">
        <v>4186</v>
      </c>
      <c r="I1469" s="32" t="s">
        <v>51</v>
      </c>
      <c r="J1469" s="32" t="s">
        <v>55</v>
      </c>
    </row>
    <row r="1470" spans="1:12" hidden="1" x14ac:dyDescent="0.3">
      <c r="A1470" s="39">
        <v>46155.491053240738</v>
      </c>
      <c r="B1470" s="32">
        <v>44998640313</v>
      </c>
      <c r="C1470" s="32">
        <v>4430265054</v>
      </c>
      <c r="D1470" s="32">
        <v>4430265054</v>
      </c>
      <c r="E1470" s="32">
        <v>44</v>
      </c>
      <c r="F1470" s="32">
        <v>44</v>
      </c>
      <c r="G1470" s="32" t="s">
        <v>52</v>
      </c>
      <c r="H1470" s="32" t="s">
        <v>4187</v>
      </c>
      <c r="I1470" s="32" t="s">
        <v>39</v>
      </c>
      <c r="J1470" s="32" t="s">
        <v>53</v>
      </c>
      <c r="K1470" s="32" t="s">
        <v>41</v>
      </c>
    </row>
    <row r="1471" spans="1:12" hidden="1" x14ac:dyDescent="0.3">
      <c r="A1471" s="39">
        <v>46155.473773148151</v>
      </c>
      <c r="B1471" s="32">
        <v>44998802935</v>
      </c>
      <c r="C1471" s="32" t="s">
        <v>45</v>
      </c>
      <c r="D1471" s="32">
        <v>4431268225</v>
      </c>
      <c r="E1471" s="32">
        <v>944</v>
      </c>
      <c r="F1471" s="32">
        <v>915</v>
      </c>
      <c r="G1471" s="32" t="s">
        <v>38</v>
      </c>
      <c r="H1471" s="32" t="s">
        <v>4188</v>
      </c>
      <c r="I1471" s="32" t="s">
        <v>39</v>
      </c>
      <c r="J1471" s="32" t="s">
        <v>40</v>
      </c>
      <c r="K1471" s="32" t="s">
        <v>41</v>
      </c>
      <c r="L1471" s="32">
        <v>5</v>
      </c>
    </row>
    <row r="1472" spans="1:12" hidden="1" x14ac:dyDescent="0.3">
      <c r="A1472" s="39">
        <v>46155.470034722224</v>
      </c>
      <c r="B1472" s="32">
        <v>1131515685</v>
      </c>
      <c r="C1472" s="32" t="s">
        <v>48</v>
      </c>
      <c r="D1472" s="32">
        <v>4430265054</v>
      </c>
      <c r="E1472" s="32">
        <v>587</v>
      </c>
      <c r="F1472" s="32">
        <v>525</v>
      </c>
      <c r="G1472" s="32" t="s">
        <v>38</v>
      </c>
      <c r="H1472" s="32" t="s">
        <v>4189</v>
      </c>
      <c r="I1472" s="32" t="s">
        <v>39</v>
      </c>
      <c r="J1472" s="32" t="s">
        <v>40</v>
      </c>
      <c r="K1472" s="32" t="s">
        <v>41</v>
      </c>
    </row>
    <row r="1473" spans="1:12" hidden="1" x14ac:dyDescent="0.3">
      <c r="A1473" s="39">
        <v>46155.469826388886</v>
      </c>
      <c r="B1473" s="32">
        <v>4434239353</v>
      </c>
      <c r="C1473" s="32" t="s">
        <v>44</v>
      </c>
      <c r="D1473" s="32">
        <v>4430265054</v>
      </c>
      <c r="E1473" s="32">
        <v>1417</v>
      </c>
      <c r="F1473" s="32">
        <v>1338</v>
      </c>
      <c r="G1473" s="32" t="s">
        <v>38</v>
      </c>
      <c r="H1473" s="32" t="s">
        <v>4190</v>
      </c>
      <c r="I1473" s="32" t="s">
        <v>39</v>
      </c>
      <c r="J1473" s="32" t="s">
        <v>40</v>
      </c>
      <c r="K1473" s="32" t="s">
        <v>41</v>
      </c>
    </row>
    <row r="1474" spans="1:12" hidden="1" x14ac:dyDescent="0.3">
      <c r="A1474" s="39">
        <v>46155.4684375</v>
      </c>
      <c r="B1474" s="32">
        <v>4435226025</v>
      </c>
      <c r="C1474" s="32" t="s">
        <v>43</v>
      </c>
      <c r="D1474" s="32">
        <v>4430265054</v>
      </c>
      <c r="E1474" s="32">
        <v>382</v>
      </c>
      <c r="F1474" s="32">
        <v>334</v>
      </c>
      <c r="G1474" s="32" t="s">
        <v>38</v>
      </c>
      <c r="H1474" s="32" t="s">
        <v>4191</v>
      </c>
      <c r="I1474" s="32" t="s">
        <v>39</v>
      </c>
      <c r="J1474" s="32" t="s">
        <v>40</v>
      </c>
      <c r="K1474" s="32" t="s">
        <v>41</v>
      </c>
    </row>
    <row r="1475" spans="1:12" hidden="1" x14ac:dyDescent="0.3">
      <c r="A1475" s="39">
        <v>46155.463206018518</v>
      </c>
      <c r="B1475" s="32">
        <v>4431337559</v>
      </c>
      <c r="C1475" s="32" t="s">
        <v>45</v>
      </c>
      <c r="D1475" s="32">
        <v>4430265054</v>
      </c>
      <c r="E1475" s="32">
        <v>262</v>
      </c>
      <c r="F1475" s="32">
        <v>214</v>
      </c>
      <c r="G1475" s="32" t="s">
        <v>38</v>
      </c>
      <c r="H1475" s="32" t="s">
        <v>4192</v>
      </c>
      <c r="I1475" s="32" t="s">
        <v>39</v>
      </c>
      <c r="J1475" s="32" t="s">
        <v>40</v>
      </c>
      <c r="K1475" s="32" t="s">
        <v>41</v>
      </c>
    </row>
    <row r="1476" spans="1:12" hidden="1" x14ac:dyDescent="0.3">
      <c r="A1476" s="39">
        <v>46155.456828703704</v>
      </c>
      <c r="B1476" s="32">
        <v>44991181415</v>
      </c>
      <c r="C1476" s="32" t="s">
        <v>43</v>
      </c>
      <c r="D1476" s="32">
        <v>4430265054</v>
      </c>
      <c r="E1476" s="32">
        <v>64</v>
      </c>
      <c r="F1476" s="32">
        <v>45</v>
      </c>
      <c r="G1476" s="32" t="s">
        <v>38</v>
      </c>
      <c r="H1476" s="32" t="s">
        <v>4193</v>
      </c>
      <c r="I1476" s="32" t="s">
        <v>39</v>
      </c>
      <c r="J1476" s="32" t="s">
        <v>40</v>
      </c>
      <c r="K1476" s="32" t="s">
        <v>41</v>
      </c>
    </row>
    <row r="1477" spans="1:12" hidden="1" x14ac:dyDescent="0.3">
      <c r="A1477" s="39">
        <v>46155.455752314818</v>
      </c>
      <c r="B1477" s="32" t="s">
        <v>57</v>
      </c>
      <c r="C1477" s="32">
        <v>31995957530</v>
      </c>
      <c r="E1477" s="32">
        <v>83</v>
      </c>
      <c r="F1477" s="32">
        <v>76</v>
      </c>
      <c r="G1477" s="32" t="s">
        <v>38</v>
      </c>
      <c r="H1477" s="32" t="s">
        <v>4194</v>
      </c>
      <c r="I1477" s="32" t="s">
        <v>46</v>
      </c>
      <c r="J1477" s="32" t="s">
        <v>55</v>
      </c>
    </row>
    <row r="1478" spans="1:12" hidden="1" x14ac:dyDescent="0.3">
      <c r="A1478" s="39">
        <v>46155.455682870372</v>
      </c>
      <c r="B1478" s="32" t="s">
        <v>57</v>
      </c>
      <c r="C1478" s="32">
        <v>31995957530</v>
      </c>
      <c r="E1478" s="32">
        <v>1</v>
      </c>
      <c r="F1478" s="32">
        <v>0</v>
      </c>
      <c r="G1478" s="32" t="s">
        <v>47</v>
      </c>
      <c r="H1478" s="32" t="s">
        <v>4195</v>
      </c>
      <c r="I1478" s="32" t="s">
        <v>46</v>
      </c>
      <c r="J1478" s="32" t="s">
        <v>55</v>
      </c>
    </row>
    <row r="1479" spans="1:12" hidden="1" x14ac:dyDescent="0.3">
      <c r="A1479" s="39">
        <v>46155.455405092594</v>
      </c>
      <c r="B1479" s="32">
        <v>83988398480</v>
      </c>
      <c r="C1479" s="32" t="s">
        <v>48</v>
      </c>
      <c r="D1479" s="32">
        <v>4430265054</v>
      </c>
      <c r="E1479" s="32">
        <v>210</v>
      </c>
      <c r="F1479" s="32">
        <v>210</v>
      </c>
      <c r="G1479" s="32" t="s">
        <v>38</v>
      </c>
      <c r="H1479" s="32" t="s">
        <v>4196</v>
      </c>
      <c r="I1479" s="32" t="s">
        <v>39</v>
      </c>
      <c r="J1479" s="32" t="s">
        <v>40</v>
      </c>
      <c r="K1479" s="32" t="s">
        <v>41</v>
      </c>
    </row>
    <row r="1480" spans="1:12" hidden="1" x14ac:dyDescent="0.3">
      <c r="A1480" s="39">
        <v>46155.452905092592</v>
      </c>
      <c r="B1480" s="32">
        <v>31995957530</v>
      </c>
      <c r="C1480" s="32">
        <v>4430265054</v>
      </c>
      <c r="D1480" s="32">
        <v>4430265054</v>
      </c>
      <c r="E1480" s="32">
        <v>68</v>
      </c>
      <c r="F1480" s="32">
        <v>68</v>
      </c>
      <c r="G1480" s="32" t="s">
        <v>52</v>
      </c>
      <c r="H1480" s="32" t="s">
        <v>4197</v>
      </c>
      <c r="I1480" s="32" t="s">
        <v>39</v>
      </c>
      <c r="J1480" s="32" t="s">
        <v>53</v>
      </c>
      <c r="K1480" s="32" t="s">
        <v>49</v>
      </c>
    </row>
    <row r="1481" spans="1:12" hidden="1" x14ac:dyDescent="0.3">
      <c r="A1481" s="39">
        <v>46155.450972222221</v>
      </c>
      <c r="B1481" s="32">
        <v>44991181415</v>
      </c>
      <c r="C1481" s="32" t="s">
        <v>50</v>
      </c>
      <c r="D1481" s="32">
        <v>4430265054</v>
      </c>
      <c r="E1481" s="32">
        <v>236</v>
      </c>
      <c r="F1481" s="32">
        <v>215</v>
      </c>
      <c r="G1481" s="32" t="s">
        <v>38</v>
      </c>
      <c r="H1481" s="32" t="s">
        <v>4198</v>
      </c>
      <c r="I1481" s="32" t="s">
        <v>39</v>
      </c>
      <c r="J1481" s="32" t="s">
        <v>55</v>
      </c>
      <c r="K1481" s="32" t="s">
        <v>49</v>
      </c>
    </row>
    <row r="1482" spans="1:12" hidden="1" x14ac:dyDescent="0.3">
      <c r="A1482" s="39">
        <v>46155.450937499998</v>
      </c>
      <c r="B1482" s="32">
        <v>41997840159</v>
      </c>
      <c r="C1482" s="32" t="s">
        <v>44</v>
      </c>
      <c r="D1482" s="32">
        <v>4431268225</v>
      </c>
      <c r="E1482" s="32">
        <v>764</v>
      </c>
      <c r="F1482" s="32">
        <v>700</v>
      </c>
      <c r="G1482" s="32" t="s">
        <v>38</v>
      </c>
      <c r="H1482" s="32" t="s">
        <v>4199</v>
      </c>
      <c r="I1482" s="32" t="s">
        <v>39</v>
      </c>
      <c r="J1482" s="32" t="s">
        <v>40</v>
      </c>
      <c r="K1482" s="32" t="s">
        <v>41</v>
      </c>
      <c r="L1482" s="32">
        <v>5</v>
      </c>
    </row>
    <row r="1483" spans="1:12" hidden="1" x14ac:dyDescent="0.3">
      <c r="A1483" s="39">
        <v>46155.448761574073</v>
      </c>
      <c r="B1483" s="32">
        <v>2121123730</v>
      </c>
      <c r="C1483" s="32">
        <v>4531273172</v>
      </c>
      <c r="D1483" s="32">
        <v>4531273172</v>
      </c>
      <c r="E1483" s="32">
        <v>7</v>
      </c>
      <c r="F1483" s="32">
        <v>6</v>
      </c>
      <c r="G1483" s="32" t="s">
        <v>52</v>
      </c>
      <c r="H1483" s="32" t="s">
        <v>4200</v>
      </c>
      <c r="I1483" s="32" t="s">
        <v>39</v>
      </c>
      <c r="J1483" s="32" t="s">
        <v>53</v>
      </c>
    </row>
    <row r="1484" spans="1:12" hidden="1" x14ac:dyDescent="0.3">
      <c r="A1484" s="39">
        <v>46155.448182870372</v>
      </c>
      <c r="B1484" s="32">
        <v>44999451200</v>
      </c>
      <c r="C1484" s="32" t="s">
        <v>57</v>
      </c>
      <c r="D1484" s="32">
        <v>4430265054</v>
      </c>
      <c r="E1484" s="32">
        <v>279</v>
      </c>
      <c r="F1484" s="32">
        <v>256</v>
      </c>
      <c r="G1484" s="32" t="s">
        <v>38</v>
      </c>
      <c r="H1484" s="32" t="s">
        <v>4201</v>
      </c>
      <c r="I1484" s="32" t="s">
        <v>39</v>
      </c>
      <c r="J1484" s="32" t="s">
        <v>55</v>
      </c>
      <c r="K1484" s="32" t="s">
        <v>49</v>
      </c>
    </row>
    <row r="1485" spans="1:12" hidden="1" x14ac:dyDescent="0.3">
      <c r="A1485" s="39">
        <v>46155.447291666664</v>
      </c>
      <c r="B1485" s="32">
        <v>44991381017</v>
      </c>
      <c r="C1485" s="32" t="s">
        <v>43</v>
      </c>
      <c r="D1485" s="32">
        <v>4430265054</v>
      </c>
      <c r="E1485" s="32">
        <v>733</v>
      </c>
      <c r="F1485" s="32">
        <v>681</v>
      </c>
      <c r="G1485" s="32" t="s">
        <v>38</v>
      </c>
      <c r="H1485" s="32" t="s">
        <v>4202</v>
      </c>
      <c r="I1485" s="32" t="s">
        <v>39</v>
      </c>
      <c r="J1485" s="32" t="s">
        <v>40</v>
      </c>
      <c r="K1485" s="32" t="s">
        <v>41</v>
      </c>
    </row>
    <row r="1486" spans="1:12" hidden="1" x14ac:dyDescent="0.3">
      <c r="A1486" s="39">
        <v>46155.443530092591</v>
      </c>
      <c r="B1486" s="32">
        <v>14997225372</v>
      </c>
      <c r="C1486" s="32" t="s">
        <v>45</v>
      </c>
      <c r="D1486" s="32">
        <v>4430265054</v>
      </c>
      <c r="E1486" s="32">
        <v>1217</v>
      </c>
      <c r="F1486" s="32">
        <v>1177</v>
      </c>
      <c r="G1486" s="32" t="s">
        <v>38</v>
      </c>
      <c r="H1486" s="32" t="s">
        <v>4203</v>
      </c>
      <c r="I1486" s="32" t="s">
        <v>39</v>
      </c>
      <c r="J1486" s="32" t="s">
        <v>40</v>
      </c>
      <c r="K1486" s="32" t="s">
        <v>41</v>
      </c>
      <c r="L1486" s="32">
        <v>5</v>
      </c>
    </row>
    <row r="1487" spans="1:12" hidden="1" x14ac:dyDescent="0.3">
      <c r="A1487" s="39">
        <v>46155.44321759259</v>
      </c>
      <c r="B1487" s="32" t="s">
        <v>54</v>
      </c>
      <c r="C1487" s="32">
        <v>21996361691</v>
      </c>
      <c r="E1487" s="32">
        <v>24</v>
      </c>
      <c r="F1487" s="32">
        <v>6</v>
      </c>
      <c r="G1487" s="32" t="s">
        <v>38</v>
      </c>
      <c r="H1487" s="32" t="s">
        <v>4204</v>
      </c>
      <c r="I1487" s="32" t="s">
        <v>46</v>
      </c>
      <c r="J1487" s="32" t="s">
        <v>55</v>
      </c>
    </row>
    <row r="1488" spans="1:12" hidden="1" x14ac:dyDescent="0.3">
      <c r="A1488" s="39">
        <v>46155.441643518519</v>
      </c>
      <c r="B1488" s="32">
        <v>4130760170</v>
      </c>
      <c r="C1488" s="32">
        <v>4430265054</v>
      </c>
      <c r="D1488" s="32">
        <v>4430265054</v>
      </c>
      <c r="E1488" s="32">
        <v>2</v>
      </c>
      <c r="F1488" s="32">
        <v>1</v>
      </c>
      <c r="G1488" s="32" t="s">
        <v>52</v>
      </c>
      <c r="H1488" s="32" t="s">
        <v>4205</v>
      </c>
      <c r="I1488" s="32" t="s">
        <v>39</v>
      </c>
      <c r="J1488" s="32" t="s">
        <v>53</v>
      </c>
    </row>
    <row r="1489" spans="1:12" hidden="1" x14ac:dyDescent="0.3">
      <c r="A1489" s="39">
        <v>46155.440185185187</v>
      </c>
      <c r="B1489" s="32" t="s">
        <v>54</v>
      </c>
      <c r="C1489" s="32">
        <v>24998111551</v>
      </c>
      <c r="E1489" s="32">
        <v>4</v>
      </c>
      <c r="F1489" s="32">
        <v>0</v>
      </c>
      <c r="G1489" s="32" t="s">
        <v>47</v>
      </c>
      <c r="H1489" s="32" t="s">
        <v>4206</v>
      </c>
      <c r="I1489" s="32" t="s">
        <v>46</v>
      </c>
      <c r="J1489" s="32" t="s">
        <v>55</v>
      </c>
    </row>
    <row r="1490" spans="1:12" hidden="1" x14ac:dyDescent="0.3">
      <c r="A1490" s="39">
        <v>46155.437974537039</v>
      </c>
      <c r="B1490" s="32">
        <v>11947305571</v>
      </c>
      <c r="C1490" s="32" t="s">
        <v>45</v>
      </c>
      <c r="D1490" s="32">
        <v>4430265054</v>
      </c>
      <c r="E1490" s="32">
        <v>275</v>
      </c>
      <c r="F1490" s="32">
        <v>256</v>
      </c>
      <c r="G1490" s="32" t="s">
        <v>38</v>
      </c>
      <c r="H1490" s="32" t="s">
        <v>4207</v>
      </c>
      <c r="I1490" s="32" t="s">
        <v>39</v>
      </c>
      <c r="J1490" s="32" t="s">
        <v>40</v>
      </c>
      <c r="K1490" s="32" t="s">
        <v>41</v>
      </c>
      <c r="L1490" s="32">
        <v>5</v>
      </c>
    </row>
    <row r="1491" spans="1:12" hidden="1" x14ac:dyDescent="0.3">
      <c r="A1491" s="39">
        <v>46155.433287037034</v>
      </c>
      <c r="B1491" s="32">
        <v>44998802935</v>
      </c>
      <c r="C1491" s="32" t="s">
        <v>43</v>
      </c>
      <c r="D1491" s="32">
        <v>4431268225</v>
      </c>
      <c r="E1491" s="32">
        <v>1020</v>
      </c>
      <c r="F1491" s="32">
        <v>948</v>
      </c>
      <c r="G1491" s="32" t="s">
        <v>38</v>
      </c>
      <c r="H1491" s="32" t="s">
        <v>4208</v>
      </c>
      <c r="I1491" s="32" t="s">
        <v>39</v>
      </c>
      <c r="J1491" s="32" t="s">
        <v>40</v>
      </c>
      <c r="K1491" s="32" t="s">
        <v>41</v>
      </c>
      <c r="L1491" s="32">
        <v>5</v>
      </c>
    </row>
    <row r="1492" spans="1:12" hidden="1" x14ac:dyDescent="0.3">
      <c r="A1492" s="39">
        <v>46155.429166666669</v>
      </c>
      <c r="B1492" s="32" t="s">
        <v>50</v>
      </c>
      <c r="C1492" s="32" t="s">
        <v>57</v>
      </c>
      <c r="E1492" s="32">
        <v>152</v>
      </c>
      <c r="F1492" s="32">
        <v>148</v>
      </c>
      <c r="G1492" s="32" t="s">
        <v>38</v>
      </c>
      <c r="H1492" s="32" t="s">
        <v>4209</v>
      </c>
      <c r="I1492" s="32" t="s">
        <v>51</v>
      </c>
      <c r="J1492" s="32" t="s">
        <v>55</v>
      </c>
    </row>
    <row r="1493" spans="1:12" hidden="1" x14ac:dyDescent="0.3">
      <c r="A1493" s="39">
        <v>46155.428425925929</v>
      </c>
      <c r="B1493" s="32" t="s">
        <v>45</v>
      </c>
      <c r="C1493" s="32">
        <v>44988255390</v>
      </c>
      <c r="E1493" s="32">
        <v>16</v>
      </c>
      <c r="F1493" s="32">
        <v>0</v>
      </c>
      <c r="G1493" s="32" t="s">
        <v>47</v>
      </c>
      <c r="H1493" s="32" t="s">
        <v>4210</v>
      </c>
      <c r="I1493" s="32" t="s">
        <v>46</v>
      </c>
      <c r="J1493" s="32" t="s">
        <v>40</v>
      </c>
    </row>
    <row r="1494" spans="1:12" hidden="1" x14ac:dyDescent="0.3">
      <c r="A1494" s="39">
        <v>46155.428333333337</v>
      </c>
      <c r="B1494" s="32" t="s">
        <v>45</v>
      </c>
      <c r="C1494" s="32">
        <v>44988255390</v>
      </c>
      <c r="E1494" s="32">
        <v>5</v>
      </c>
      <c r="F1494" s="32">
        <v>0</v>
      </c>
      <c r="G1494" s="32" t="s">
        <v>47</v>
      </c>
      <c r="H1494" s="32" t="s">
        <v>4211</v>
      </c>
      <c r="I1494" s="32" t="s">
        <v>46</v>
      </c>
      <c r="J1494" s="32" t="s">
        <v>40</v>
      </c>
    </row>
    <row r="1495" spans="1:12" hidden="1" x14ac:dyDescent="0.3">
      <c r="A1495" s="39">
        <v>46155.423472222225</v>
      </c>
      <c r="B1495" s="32">
        <v>91989363636</v>
      </c>
      <c r="C1495" s="32" t="s">
        <v>44</v>
      </c>
      <c r="D1495" s="32">
        <v>4430265054</v>
      </c>
      <c r="E1495" s="32">
        <v>368</v>
      </c>
      <c r="F1495" s="32">
        <v>314</v>
      </c>
      <c r="G1495" s="32" t="s">
        <v>38</v>
      </c>
      <c r="H1495" s="32" t="s">
        <v>4212</v>
      </c>
      <c r="I1495" s="32" t="s">
        <v>39</v>
      </c>
      <c r="J1495" s="32" t="s">
        <v>40</v>
      </c>
      <c r="K1495" s="32" t="s">
        <v>41</v>
      </c>
      <c r="L1495" s="32">
        <v>5</v>
      </c>
    </row>
    <row r="1496" spans="1:12" hidden="1" x14ac:dyDescent="0.3">
      <c r="A1496" s="39">
        <v>46155.41851851852</v>
      </c>
      <c r="B1496" s="32">
        <v>44988255390</v>
      </c>
      <c r="C1496" s="32" t="s">
        <v>45</v>
      </c>
      <c r="D1496" s="32">
        <v>4430265054</v>
      </c>
      <c r="E1496" s="32">
        <v>874</v>
      </c>
      <c r="F1496" s="32">
        <v>780</v>
      </c>
      <c r="G1496" s="32" t="s">
        <v>38</v>
      </c>
      <c r="H1496" s="32" t="s">
        <v>4213</v>
      </c>
      <c r="I1496" s="32" t="s">
        <v>39</v>
      </c>
      <c r="J1496" s="32" t="s">
        <v>40</v>
      </c>
      <c r="K1496" s="32" t="s">
        <v>41</v>
      </c>
    </row>
    <row r="1497" spans="1:12" hidden="1" x14ac:dyDescent="0.3">
      <c r="A1497" s="39">
        <v>46155.412245370368</v>
      </c>
      <c r="B1497" s="32">
        <v>44999530704</v>
      </c>
      <c r="C1497" s="32" t="s">
        <v>44</v>
      </c>
      <c r="D1497" s="32">
        <v>4430265054</v>
      </c>
      <c r="E1497" s="32">
        <v>128</v>
      </c>
      <c r="F1497" s="32">
        <v>92</v>
      </c>
      <c r="G1497" s="32" t="s">
        <v>38</v>
      </c>
      <c r="H1497" s="32" t="s">
        <v>4214</v>
      </c>
      <c r="I1497" s="32" t="s">
        <v>39</v>
      </c>
      <c r="J1497" s="32" t="s">
        <v>40</v>
      </c>
      <c r="K1497" s="32" t="s">
        <v>41</v>
      </c>
      <c r="L1497" s="32">
        <v>5</v>
      </c>
    </row>
    <row r="1498" spans="1:12" hidden="1" x14ac:dyDescent="0.3">
      <c r="A1498" s="39">
        <v>46155.411678240744</v>
      </c>
      <c r="B1498" s="32">
        <v>44998802935</v>
      </c>
      <c r="C1498" s="32" t="s">
        <v>45</v>
      </c>
      <c r="D1498" s="32">
        <v>4431268225</v>
      </c>
      <c r="E1498" s="32">
        <v>160</v>
      </c>
      <c r="F1498" s="32">
        <v>100</v>
      </c>
      <c r="G1498" s="32" t="s">
        <v>38</v>
      </c>
      <c r="H1498" s="32" t="s">
        <v>4215</v>
      </c>
      <c r="I1498" s="32" t="s">
        <v>39</v>
      </c>
      <c r="J1498" s="32" t="s">
        <v>40</v>
      </c>
      <c r="K1498" s="32" t="s">
        <v>41</v>
      </c>
      <c r="L1498" s="32">
        <v>5</v>
      </c>
    </row>
    <row r="1499" spans="1:12" hidden="1" x14ac:dyDescent="0.3">
      <c r="A1499" s="39">
        <v>46155.403865740744</v>
      </c>
      <c r="B1499" s="32">
        <v>44998640313</v>
      </c>
      <c r="C1499" s="32" t="s">
        <v>44</v>
      </c>
      <c r="D1499" s="32">
        <v>4430265054</v>
      </c>
      <c r="E1499" s="32">
        <v>249</v>
      </c>
      <c r="F1499" s="32">
        <v>200</v>
      </c>
      <c r="G1499" s="32" t="s">
        <v>38</v>
      </c>
      <c r="H1499" s="32" t="s">
        <v>4216</v>
      </c>
      <c r="I1499" s="32" t="s">
        <v>39</v>
      </c>
      <c r="J1499" s="32" t="s">
        <v>40</v>
      </c>
      <c r="K1499" s="32" t="s">
        <v>41</v>
      </c>
    </row>
    <row r="1500" spans="1:12" hidden="1" x14ac:dyDescent="0.3">
      <c r="A1500" s="39">
        <v>46155.40179398148</v>
      </c>
      <c r="B1500" s="32">
        <v>44988328358</v>
      </c>
      <c r="C1500" s="32">
        <v>4430265054</v>
      </c>
      <c r="D1500" s="32">
        <v>4430265054</v>
      </c>
      <c r="E1500" s="32">
        <v>9</v>
      </c>
      <c r="F1500" s="32">
        <v>8</v>
      </c>
      <c r="G1500" s="32" t="s">
        <v>52</v>
      </c>
      <c r="H1500" s="32" t="s">
        <v>4217</v>
      </c>
      <c r="I1500" s="32" t="s">
        <v>39</v>
      </c>
      <c r="J1500" s="32" t="s">
        <v>53</v>
      </c>
    </row>
    <row r="1501" spans="1:12" hidden="1" x14ac:dyDescent="0.3">
      <c r="A1501" s="39">
        <v>46155.397662037038</v>
      </c>
      <c r="B1501" s="32">
        <v>11990144272</v>
      </c>
      <c r="C1501" s="32" t="s">
        <v>43</v>
      </c>
      <c r="D1501" s="32">
        <v>4431268225</v>
      </c>
      <c r="E1501" s="32">
        <v>1407</v>
      </c>
      <c r="F1501" s="32">
        <v>1371</v>
      </c>
      <c r="G1501" s="32" t="s">
        <v>38</v>
      </c>
      <c r="H1501" s="32" t="s">
        <v>4218</v>
      </c>
      <c r="I1501" s="32" t="s">
        <v>39</v>
      </c>
      <c r="J1501" s="32" t="s">
        <v>40</v>
      </c>
      <c r="K1501" s="32" t="s">
        <v>41</v>
      </c>
      <c r="L1501" s="32">
        <v>5</v>
      </c>
    </row>
    <row r="1502" spans="1:12" hidden="1" x14ac:dyDescent="0.3">
      <c r="A1502" s="39">
        <v>46155.396574074075</v>
      </c>
      <c r="B1502" s="32">
        <v>91989363636</v>
      </c>
      <c r="C1502" s="32">
        <v>4430265054</v>
      </c>
      <c r="D1502" s="32">
        <v>4430265054</v>
      </c>
      <c r="E1502" s="32">
        <v>85</v>
      </c>
      <c r="F1502" s="32">
        <v>84</v>
      </c>
      <c r="G1502" s="32" t="s">
        <v>52</v>
      </c>
      <c r="H1502" s="32" t="s">
        <v>4219</v>
      </c>
      <c r="I1502" s="32" t="s">
        <v>39</v>
      </c>
      <c r="J1502" s="32" t="s">
        <v>53</v>
      </c>
      <c r="K1502" s="32" t="s">
        <v>41</v>
      </c>
    </row>
    <row r="1503" spans="1:12" hidden="1" x14ac:dyDescent="0.3">
      <c r="A1503" s="39">
        <v>46155.394432870373</v>
      </c>
      <c r="B1503" s="32">
        <v>44999090169</v>
      </c>
      <c r="C1503" s="32" t="s">
        <v>44</v>
      </c>
      <c r="D1503" s="32">
        <v>4430265054</v>
      </c>
      <c r="E1503" s="32">
        <v>611</v>
      </c>
      <c r="F1503" s="32">
        <v>560</v>
      </c>
      <c r="G1503" s="32" t="s">
        <v>38</v>
      </c>
      <c r="H1503" s="32" t="s">
        <v>4220</v>
      </c>
      <c r="I1503" s="32" t="s">
        <v>39</v>
      </c>
      <c r="J1503" s="32" t="s">
        <v>40</v>
      </c>
      <c r="K1503" s="32" t="s">
        <v>41</v>
      </c>
    </row>
    <row r="1504" spans="1:12" hidden="1" x14ac:dyDescent="0.3">
      <c r="A1504" s="39">
        <v>46155.393657407411</v>
      </c>
      <c r="B1504" s="32">
        <v>44999670264</v>
      </c>
      <c r="C1504" s="32" t="s">
        <v>43</v>
      </c>
      <c r="D1504" s="32">
        <v>4430265054</v>
      </c>
      <c r="E1504" s="32">
        <v>193</v>
      </c>
      <c r="F1504" s="32">
        <v>139</v>
      </c>
      <c r="G1504" s="32" t="s">
        <v>38</v>
      </c>
      <c r="H1504" s="32" t="s">
        <v>4221</v>
      </c>
      <c r="I1504" s="32" t="s">
        <v>39</v>
      </c>
      <c r="J1504" s="32" t="s">
        <v>40</v>
      </c>
      <c r="K1504" s="32" t="s">
        <v>41</v>
      </c>
    </row>
    <row r="1505" spans="1:12" hidden="1" x14ac:dyDescent="0.3">
      <c r="A1505" s="39">
        <v>46155.392592592594</v>
      </c>
      <c r="B1505" s="32">
        <v>62991155122</v>
      </c>
      <c r="C1505" s="32" t="s">
        <v>45</v>
      </c>
      <c r="D1505" s="32">
        <v>4430265054</v>
      </c>
      <c r="E1505" s="32">
        <v>587</v>
      </c>
      <c r="F1505" s="32">
        <v>553</v>
      </c>
      <c r="G1505" s="32" t="s">
        <v>38</v>
      </c>
      <c r="H1505" s="32" t="s">
        <v>4222</v>
      </c>
      <c r="I1505" s="32" t="s">
        <v>39</v>
      </c>
      <c r="J1505" s="32" t="s">
        <v>40</v>
      </c>
      <c r="K1505" s="32" t="s">
        <v>41</v>
      </c>
      <c r="L1505" s="32">
        <v>5</v>
      </c>
    </row>
    <row r="1506" spans="1:12" hidden="1" x14ac:dyDescent="0.3">
      <c r="A1506" s="39">
        <v>46155.385891203703</v>
      </c>
      <c r="B1506" s="32" t="s">
        <v>44</v>
      </c>
      <c r="C1506" s="32">
        <v>4436351138</v>
      </c>
      <c r="E1506" s="32">
        <v>91</v>
      </c>
      <c r="F1506" s="32">
        <v>79</v>
      </c>
      <c r="G1506" s="32" t="s">
        <v>38</v>
      </c>
      <c r="H1506" s="32" t="s">
        <v>4223</v>
      </c>
      <c r="I1506" s="32" t="s">
        <v>46</v>
      </c>
      <c r="J1506" s="32" t="s">
        <v>40</v>
      </c>
    </row>
    <row r="1507" spans="1:12" hidden="1" x14ac:dyDescent="0.3">
      <c r="A1507" s="39">
        <v>46155.385787037034</v>
      </c>
      <c r="B1507" s="32" t="s">
        <v>44</v>
      </c>
      <c r="C1507" s="32">
        <v>4436351138</v>
      </c>
      <c r="E1507" s="32">
        <v>26</v>
      </c>
      <c r="F1507" s="32">
        <v>25</v>
      </c>
      <c r="G1507" s="32" t="s">
        <v>38</v>
      </c>
      <c r="H1507" s="32" t="s">
        <v>4224</v>
      </c>
      <c r="I1507" s="32" t="s">
        <v>46</v>
      </c>
      <c r="J1507" s="32" t="s">
        <v>40</v>
      </c>
    </row>
    <row r="1508" spans="1:12" hidden="1" x14ac:dyDescent="0.3">
      <c r="A1508" s="39">
        <v>46155.374791666669</v>
      </c>
      <c r="B1508" s="32" t="s">
        <v>43</v>
      </c>
      <c r="C1508" s="32">
        <v>4436281154</v>
      </c>
      <c r="E1508" s="32">
        <v>25</v>
      </c>
      <c r="F1508" s="32">
        <v>25</v>
      </c>
      <c r="G1508" s="32" t="s">
        <v>38</v>
      </c>
      <c r="H1508" s="32" t="s">
        <v>4225</v>
      </c>
      <c r="I1508" s="32" t="s">
        <v>46</v>
      </c>
      <c r="J1508" s="32" t="s">
        <v>40</v>
      </c>
    </row>
    <row r="1509" spans="1:12" hidden="1" x14ac:dyDescent="0.3">
      <c r="A1509" s="39">
        <v>46155.374756944446</v>
      </c>
      <c r="B1509" s="32" t="s">
        <v>43</v>
      </c>
      <c r="C1509" s="32">
        <v>4436281154</v>
      </c>
      <c r="E1509" s="32">
        <v>1</v>
      </c>
      <c r="F1509" s="32">
        <v>0</v>
      </c>
      <c r="G1509" s="32" t="s">
        <v>47</v>
      </c>
      <c r="H1509" s="32" t="s">
        <v>4226</v>
      </c>
      <c r="I1509" s="32" t="s">
        <v>46</v>
      </c>
      <c r="J1509" s="32" t="s">
        <v>40</v>
      </c>
    </row>
    <row r="1510" spans="1:12" hidden="1" x14ac:dyDescent="0.3">
      <c r="A1510" s="39">
        <v>46155.374155092592</v>
      </c>
      <c r="B1510" s="32">
        <v>11990144272</v>
      </c>
      <c r="C1510" s="32">
        <v>4431268225</v>
      </c>
      <c r="D1510" s="32">
        <v>4431268225</v>
      </c>
      <c r="E1510" s="32">
        <v>44</v>
      </c>
      <c r="F1510" s="32">
        <v>43</v>
      </c>
      <c r="G1510" s="32" t="s">
        <v>52</v>
      </c>
      <c r="H1510" s="32" t="s">
        <v>4227</v>
      </c>
      <c r="I1510" s="32" t="s">
        <v>39</v>
      </c>
      <c r="J1510" s="32" t="s">
        <v>53</v>
      </c>
      <c r="K1510" s="32" t="s">
        <v>41</v>
      </c>
    </row>
    <row r="1511" spans="1:12" hidden="1" x14ac:dyDescent="0.3">
      <c r="A1511" s="39">
        <v>46155.363738425927</v>
      </c>
      <c r="B1511" s="32">
        <v>4133491428</v>
      </c>
      <c r="C1511" s="32" t="s">
        <v>43</v>
      </c>
      <c r="D1511" s="32">
        <v>4430265054</v>
      </c>
      <c r="E1511" s="32">
        <v>269</v>
      </c>
      <c r="F1511" s="32">
        <v>241</v>
      </c>
      <c r="G1511" s="32" t="s">
        <v>38</v>
      </c>
      <c r="H1511" s="32" t="s">
        <v>4228</v>
      </c>
      <c r="I1511" s="32" t="s">
        <v>39</v>
      </c>
      <c r="J1511" s="32" t="s">
        <v>40</v>
      </c>
      <c r="K1511" s="32" t="s">
        <v>41</v>
      </c>
    </row>
    <row r="1512" spans="1:12" hidden="1" x14ac:dyDescent="0.3">
      <c r="A1512" s="39">
        <v>46155.36278935185</v>
      </c>
      <c r="B1512" s="32">
        <v>44999503337</v>
      </c>
      <c r="C1512" s="32" t="s">
        <v>44</v>
      </c>
      <c r="D1512" s="32">
        <v>4430265054</v>
      </c>
      <c r="E1512" s="32">
        <v>279</v>
      </c>
      <c r="F1512" s="32">
        <v>214</v>
      </c>
      <c r="G1512" s="32" t="s">
        <v>38</v>
      </c>
      <c r="H1512" s="32" t="s">
        <v>4229</v>
      </c>
      <c r="I1512" s="32" t="s">
        <v>39</v>
      </c>
      <c r="J1512" s="32" t="s">
        <v>40</v>
      </c>
      <c r="K1512" s="32" t="s">
        <v>41</v>
      </c>
      <c r="L1512" s="32">
        <v>5</v>
      </c>
    </row>
    <row r="1513" spans="1:12" hidden="1" x14ac:dyDescent="0.3">
      <c r="A1513" s="39">
        <v>46155.357604166667</v>
      </c>
      <c r="B1513" s="32">
        <v>4430162384</v>
      </c>
      <c r="C1513" s="32" t="s">
        <v>45</v>
      </c>
      <c r="D1513" s="32">
        <v>4430265054</v>
      </c>
      <c r="E1513" s="32">
        <v>683</v>
      </c>
      <c r="F1513" s="32">
        <v>644</v>
      </c>
      <c r="G1513" s="32" t="s">
        <v>38</v>
      </c>
      <c r="H1513" s="32" t="s">
        <v>4230</v>
      </c>
      <c r="I1513" s="32" t="s">
        <v>39</v>
      </c>
      <c r="J1513" s="32" t="s">
        <v>40</v>
      </c>
      <c r="K1513" s="32" t="s">
        <v>41</v>
      </c>
      <c r="L1513" s="32">
        <v>5</v>
      </c>
    </row>
    <row r="1514" spans="1:12" hidden="1" x14ac:dyDescent="0.3">
      <c r="A1514" s="39">
        <v>46154.809351851851</v>
      </c>
      <c r="B1514" s="32">
        <v>44997187778</v>
      </c>
      <c r="C1514" s="32">
        <v>4430265054</v>
      </c>
      <c r="D1514" s="32">
        <v>4430265054</v>
      </c>
      <c r="E1514" s="32">
        <v>4</v>
      </c>
      <c r="F1514" s="32">
        <v>3</v>
      </c>
      <c r="G1514" s="32" t="s">
        <v>52</v>
      </c>
      <c r="H1514" s="32" t="s">
        <v>4231</v>
      </c>
      <c r="I1514" s="32" t="s">
        <v>39</v>
      </c>
      <c r="J1514" s="32" t="s">
        <v>53</v>
      </c>
    </row>
    <row r="1515" spans="1:12" hidden="1" x14ac:dyDescent="0.3">
      <c r="A1515" s="39">
        <v>46154.736990740741</v>
      </c>
      <c r="B1515" s="32">
        <v>44988328358</v>
      </c>
      <c r="C1515" s="32">
        <v>4430265054</v>
      </c>
      <c r="D1515" s="32">
        <v>4430265054</v>
      </c>
      <c r="E1515" s="32">
        <v>9</v>
      </c>
      <c r="F1515" s="32">
        <v>9</v>
      </c>
      <c r="G1515" s="32" t="s">
        <v>52</v>
      </c>
      <c r="H1515" s="32" t="s">
        <v>4232</v>
      </c>
      <c r="I1515" s="32" t="s">
        <v>39</v>
      </c>
      <c r="J1515" s="32" t="s">
        <v>53</v>
      </c>
    </row>
    <row r="1516" spans="1:12" hidden="1" x14ac:dyDescent="0.3">
      <c r="A1516" s="39">
        <v>46154.733124999999</v>
      </c>
      <c r="B1516" s="32" t="s">
        <v>50</v>
      </c>
      <c r="C1516" s="32" t="s">
        <v>57</v>
      </c>
      <c r="E1516" s="32">
        <v>397</v>
      </c>
      <c r="F1516" s="32">
        <v>393</v>
      </c>
      <c r="G1516" s="32" t="s">
        <v>38</v>
      </c>
      <c r="H1516" s="32" t="s">
        <v>4233</v>
      </c>
      <c r="I1516" s="32" t="s">
        <v>51</v>
      </c>
      <c r="J1516" s="32" t="s">
        <v>55</v>
      </c>
    </row>
    <row r="1517" spans="1:12" hidden="1" x14ac:dyDescent="0.3">
      <c r="A1517" s="39">
        <v>46154.72420138889</v>
      </c>
      <c r="B1517" s="32" t="s">
        <v>43</v>
      </c>
      <c r="C1517" s="32">
        <v>4436281154</v>
      </c>
      <c r="E1517" s="32">
        <v>5</v>
      </c>
      <c r="F1517" s="32">
        <v>0</v>
      </c>
      <c r="G1517" s="32" t="s">
        <v>47</v>
      </c>
      <c r="H1517" s="32" t="s">
        <v>4234</v>
      </c>
      <c r="I1517" s="32" t="s">
        <v>46</v>
      </c>
      <c r="J1517" s="32" t="s">
        <v>40</v>
      </c>
    </row>
    <row r="1518" spans="1:12" hidden="1" x14ac:dyDescent="0.3">
      <c r="A1518" s="39">
        <v>46154.724085648151</v>
      </c>
      <c r="B1518" s="32" t="s">
        <v>43</v>
      </c>
      <c r="C1518" s="32">
        <v>4436281154</v>
      </c>
      <c r="E1518" s="32">
        <v>25</v>
      </c>
      <c r="F1518" s="32">
        <v>25</v>
      </c>
      <c r="G1518" s="32" t="s">
        <v>38</v>
      </c>
      <c r="H1518" s="32" t="s">
        <v>4235</v>
      </c>
      <c r="I1518" s="32" t="s">
        <v>46</v>
      </c>
      <c r="J1518" s="32" t="s">
        <v>40</v>
      </c>
    </row>
    <row r="1519" spans="1:12" hidden="1" x14ac:dyDescent="0.3">
      <c r="A1519" s="39">
        <v>46154.723240740743</v>
      </c>
      <c r="B1519" s="32">
        <v>91989363636</v>
      </c>
      <c r="C1519" s="32" t="s">
        <v>43</v>
      </c>
      <c r="D1519" s="32">
        <v>4430265054</v>
      </c>
      <c r="E1519" s="32">
        <v>453</v>
      </c>
      <c r="F1519" s="32">
        <v>328</v>
      </c>
      <c r="G1519" s="32" t="s">
        <v>38</v>
      </c>
      <c r="H1519" s="32" t="s">
        <v>4236</v>
      </c>
      <c r="I1519" s="32" t="s">
        <v>39</v>
      </c>
      <c r="J1519" s="32" t="s">
        <v>40</v>
      </c>
      <c r="K1519" s="32" t="s">
        <v>41</v>
      </c>
    </row>
    <row r="1520" spans="1:12" hidden="1" x14ac:dyDescent="0.3">
      <c r="A1520" s="39">
        <v>46154.719988425924</v>
      </c>
      <c r="B1520" s="32">
        <v>44988067937</v>
      </c>
      <c r="C1520" s="32" t="s">
        <v>37</v>
      </c>
      <c r="D1520" s="32">
        <v>4430265054</v>
      </c>
      <c r="E1520" s="32">
        <v>349</v>
      </c>
      <c r="F1520" s="32">
        <v>274</v>
      </c>
      <c r="G1520" s="32" t="s">
        <v>38</v>
      </c>
      <c r="H1520" s="32" t="s">
        <v>4237</v>
      </c>
      <c r="I1520" s="32" t="s">
        <v>39</v>
      </c>
      <c r="J1520" s="32" t="s">
        <v>40</v>
      </c>
      <c r="K1520" s="32" t="s">
        <v>41</v>
      </c>
    </row>
    <row r="1521" spans="1:12" hidden="1" x14ac:dyDescent="0.3">
      <c r="A1521" s="39">
        <v>46154.71503472222</v>
      </c>
      <c r="B1521" s="32">
        <v>1131043888</v>
      </c>
      <c r="C1521" s="32" t="s">
        <v>45</v>
      </c>
      <c r="D1521" s="32">
        <v>4430265054</v>
      </c>
      <c r="E1521" s="32">
        <v>692</v>
      </c>
      <c r="F1521" s="32">
        <v>547</v>
      </c>
      <c r="G1521" s="32" t="s">
        <v>38</v>
      </c>
      <c r="H1521" s="32" t="s">
        <v>4238</v>
      </c>
      <c r="I1521" s="32" t="s">
        <v>39</v>
      </c>
      <c r="J1521" s="32" t="s">
        <v>40</v>
      </c>
      <c r="K1521" s="32" t="s">
        <v>41</v>
      </c>
      <c r="L1521" s="32">
        <v>5</v>
      </c>
    </row>
    <row r="1522" spans="1:12" hidden="1" x14ac:dyDescent="0.3">
      <c r="A1522" s="39">
        <v>46154.703750000001</v>
      </c>
      <c r="B1522" s="32" t="s">
        <v>45</v>
      </c>
      <c r="C1522" s="32">
        <v>14997225372</v>
      </c>
      <c r="E1522" s="32">
        <v>38</v>
      </c>
      <c r="F1522" s="32">
        <v>28</v>
      </c>
      <c r="G1522" s="32" t="s">
        <v>38</v>
      </c>
      <c r="H1522" s="32" t="s">
        <v>4239</v>
      </c>
      <c r="I1522" s="32" t="s">
        <v>46</v>
      </c>
      <c r="J1522" s="32" t="s">
        <v>40</v>
      </c>
    </row>
    <row r="1523" spans="1:12" hidden="1" x14ac:dyDescent="0.3">
      <c r="A1523" s="39">
        <v>46154.703055555554</v>
      </c>
      <c r="B1523" s="32">
        <v>44988255390</v>
      </c>
      <c r="C1523" s="32" t="s">
        <v>43</v>
      </c>
      <c r="D1523" s="32">
        <v>4430265054</v>
      </c>
      <c r="E1523" s="32">
        <v>1332</v>
      </c>
      <c r="F1523" s="32">
        <v>1277</v>
      </c>
      <c r="G1523" s="32" t="s">
        <v>38</v>
      </c>
      <c r="H1523" s="32" t="s">
        <v>4240</v>
      </c>
      <c r="I1523" s="32" t="s">
        <v>39</v>
      </c>
      <c r="J1523" s="32" t="s">
        <v>40</v>
      </c>
      <c r="K1523" s="32" t="s">
        <v>41</v>
      </c>
    </row>
    <row r="1524" spans="1:12" hidden="1" x14ac:dyDescent="0.3">
      <c r="A1524" s="39">
        <v>46154.700300925928</v>
      </c>
      <c r="B1524" s="32">
        <v>4430191401</v>
      </c>
      <c r="C1524" s="32" t="s">
        <v>37</v>
      </c>
      <c r="D1524" s="32">
        <v>4430265054</v>
      </c>
      <c r="E1524" s="32">
        <v>900</v>
      </c>
      <c r="F1524" s="32">
        <v>766</v>
      </c>
      <c r="G1524" s="32" t="s">
        <v>38</v>
      </c>
      <c r="H1524" s="32" t="s">
        <v>4241</v>
      </c>
      <c r="I1524" s="32" t="s">
        <v>39</v>
      </c>
      <c r="J1524" s="32" t="s">
        <v>40</v>
      </c>
      <c r="K1524" s="32" t="s">
        <v>41</v>
      </c>
    </row>
    <row r="1525" spans="1:12" hidden="1" x14ac:dyDescent="0.3">
      <c r="A1525" s="39">
        <v>46154.699502314812</v>
      </c>
      <c r="B1525" s="32">
        <v>4121418164</v>
      </c>
      <c r="C1525" s="32" t="s">
        <v>45</v>
      </c>
      <c r="D1525" s="32">
        <v>4531273169</v>
      </c>
      <c r="E1525" s="32">
        <v>46</v>
      </c>
      <c r="F1525" s="32">
        <v>12</v>
      </c>
      <c r="G1525" s="32" t="s">
        <v>38</v>
      </c>
      <c r="H1525" s="32" t="s">
        <v>4242</v>
      </c>
      <c r="I1525" s="32" t="s">
        <v>39</v>
      </c>
      <c r="J1525" s="32" t="s">
        <v>40</v>
      </c>
      <c r="K1525" s="32" t="s">
        <v>41</v>
      </c>
    </row>
    <row r="1526" spans="1:12" hidden="1" x14ac:dyDescent="0.3">
      <c r="A1526" s="39">
        <v>46154.685300925928</v>
      </c>
      <c r="B1526" s="32">
        <v>44991213399</v>
      </c>
      <c r="C1526" s="32" t="s">
        <v>43</v>
      </c>
      <c r="D1526" s="32">
        <v>4430265054</v>
      </c>
      <c r="E1526" s="32">
        <v>225</v>
      </c>
      <c r="F1526" s="32">
        <v>196</v>
      </c>
      <c r="G1526" s="32" t="s">
        <v>38</v>
      </c>
      <c r="H1526" s="32" t="s">
        <v>4243</v>
      </c>
      <c r="I1526" s="32" t="s">
        <v>39</v>
      </c>
      <c r="J1526" s="32" t="s">
        <v>40</v>
      </c>
      <c r="K1526" s="32" t="s">
        <v>41</v>
      </c>
    </row>
    <row r="1527" spans="1:12" hidden="1" x14ac:dyDescent="0.3">
      <c r="A1527" s="39">
        <v>46154.679282407407</v>
      </c>
      <c r="B1527" s="32" t="s">
        <v>57</v>
      </c>
      <c r="C1527" s="32">
        <v>4432263417</v>
      </c>
      <c r="E1527" s="32">
        <v>88</v>
      </c>
      <c r="F1527" s="32">
        <v>77</v>
      </c>
      <c r="G1527" s="32" t="s">
        <v>38</v>
      </c>
      <c r="H1527" s="32" t="s">
        <v>4244</v>
      </c>
      <c r="I1527" s="32" t="s">
        <v>46</v>
      </c>
      <c r="J1527" s="32" t="s">
        <v>55</v>
      </c>
    </row>
    <row r="1528" spans="1:12" hidden="1" x14ac:dyDescent="0.3">
      <c r="A1528" s="39">
        <v>46154.679178240738</v>
      </c>
      <c r="B1528" s="32">
        <v>4436281154</v>
      </c>
      <c r="C1528" s="32" t="s">
        <v>43</v>
      </c>
      <c r="D1528" s="32">
        <v>4430265054</v>
      </c>
      <c r="E1528" s="32">
        <v>147</v>
      </c>
      <c r="F1528" s="32">
        <v>122</v>
      </c>
      <c r="G1528" s="32" t="s">
        <v>38</v>
      </c>
      <c r="H1528" s="32" t="s">
        <v>4245</v>
      </c>
      <c r="I1528" s="32" t="s">
        <v>39</v>
      </c>
      <c r="J1528" s="32" t="s">
        <v>40</v>
      </c>
      <c r="K1528" s="32" t="s">
        <v>41</v>
      </c>
    </row>
    <row r="1529" spans="1:12" hidden="1" x14ac:dyDescent="0.3">
      <c r="A1529" s="39">
        <v>46154.678402777776</v>
      </c>
      <c r="B1529" s="32">
        <v>4330332823</v>
      </c>
      <c r="C1529" s="32" t="s">
        <v>37</v>
      </c>
      <c r="D1529" s="32">
        <v>4430265054</v>
      </c>
      <c r="E1529" s="32">
        <v>1367</v>
      </c>
      <c r="F1529" s="32">
        <v>1324</v>
      </c>
      <c r="G1529" s="32" t="s">
        <v>38</v>
      </c>
      <c r="H1529" s="32" t="s">
        <v>4246</v>
      </c>
      <c r="I1529" s="32" t="s">
        <v>39</v>
      </c>
      <c r="J1529" s="32" t="s">
        <v>40</v>
      </c>
      <c r="K1529" s="32" t="s">
        <v>41</v>
      </c>
    </row>
    <row r="1530" spans="1:12" hidden="1" x14ac:dyDescent="0.3">
      <c r="A1530" s="39">
        <v>46154.674039351848</v>
      </c>
      <c r="B1530" s="32" t="s">
        <v>57</v>
      </c>
      <c r="C1530" s="32">
        <v>4430410411</v>
      </c>
      <c r="E1530" s="32">
        <v>76</v>
      </c>
      <c r="F1530" s="32">
        <v>63</v>
      </c>
      <c r="G1530" s="32" t="s">
        <v>38</v>
      </c>
      <c r="H1530" s="32" t="s">
        <v>4247</v>
      </c>
      <c r="I1530" s="32" t="s">
        <v>46</v>
      </c>
      <c r="J1530" s="32" t="s">
        <v>55</v>
      </c>
    </row>
    <row r="1531" spans="1:12" hidden="1" x14ac:dyDescent="0.3">
      <c r="A1531" s="39">
        <v>46154.673344907409</v>
      </c>
      <c r="B1531" s="32">
        <v>4430317020</v>
      </c>
      <c r="C1531" s="32" t="s">
        <v>44</v>
      </c>
      <c r="D1531" s="32">
        <v>4430265054</v>
      </c>
      <c r="E1531" s="32">
        <v>1773</v>
      </c>
      <c r="F1531" s="32">
        <v>1773</v>
      </c>
      <c r="G1531" s="32" t="s">
        <v>38</v>
      </c>
      <c r="H1531" s="32" t="s">
        <v>4248</v>
      </c>
      <c r="I1531" s="32" t="s">
        <v>39</v>
      </c>
      <c r="J1531" s="32" t="s">
        <v>40</v>
      </c>
      <c r="K1531" s="32" t="s">
        <v>41</v>
      </c>
    </row>
    <row r="1532" spans="1:12" hidden="1" x14ac:dyDescent="0.3">
      <c r="A1532" s="39">
        <v>46154.673275462963</v>
      </c>
      <c r="B1532" s="32" t="s">
        <v>57</v>
      </c>
      <c r="C1532" s="32">
        <v>4430410411</v>
      </c>
      <c r="E1532" s="32">
        <v>19</v>
      </c>
      <c r="F1532" s="32">
        <v>4</v>
      </c>
      <c r="G1532" s="32" t="s">
        <v>38</v>
      </c>
      <c r="H1532" s="32" t="s">
        <v>4249</v>
      </c>
      <c r="I1532" s="32" t="s">
        <v>46</v>
      </c>
      <c r="J1532" s="32" t="s">
        <v>55</v>
      </c>
    </row>
    <row r="1533" spans="1:12" hidden="1" x14ac:dyDescent="0.3">
      <c r="A1533" s="39">
        <v>46154.672106481485</v>
      </c>
      <c r="B1533" s="32">
        <v>18996339700</v>
      </c>
      <c r="C1533" s="32" t="s">
        <v>43</v>
      </c>
      <c r="D1533" s="32">
        <v>4430265054</v>
      </c>
      <c r="E1533" s="32">
        <v>338</v>
      </c>
      <c r="F1533" s="32">
        <v>317</v>
      </c>
      <c r="G1533" s="32" t="s">
        <v>38</v>
      </c>
      <c r="H1533" s="32" t="s">
        <v>4250</v>
      </c>
      <c r="I1533" s="32" t="s">
        <v>39</v>
      </c>
      <c r="J1533" s="32" t="s">
        <v>40</v>
      </c>
      <c r="K1533" s="32" t="s">
        <v>41</v>
      </c>
      <c r="L1533" s="32">
        <v>5</v>
      </c>
    </row>
    <row r="1534" spans="1:12" hidden="1" x14ac:dyDescent="0.3">
      <c r="A1534" s="39">
        <v>46154.669548611113</v>
      </c>
      <c r="B1534" s="32">
        <v>14997225372</v>
      </c>
      <c r="C1534" s="32" t="s">
        <v>45</v>
      </c>
      <c r="D1534" s="32">
        <v>4430265054</v>
      </c>
      <c r="E1534" s="32">
        <v>1107</v>
      </c>
      <c r="F1534" s="32">
        <v>1083</v>
      </c>
      <c r="G1534" s="32" t="s">
        <v>38</v>
      </c>
      <c r="H1534" s="32" t="s">
        <v>4251</v>
      </c>
      <c r="I1534" s="32" t="s">
        <v>39</v>
      </c>
      <c r="J1534" s="32" t="s">
        <v>40</v>
      </c>
      <c r="K1534" s="32" t="s">
        <v>41</v>
      </c>
    </row>
    <row r="1535" spans="1:12" hidden="1" x14ac:dyDescent="0.3">
      <c r="A1535" s="39">
        <v>46154.669328703705</v>
      </c>
      <c r="B1535" s="32" t="s">
        <v>57</v>
      </c>
      <c r="C1535" s="32">
        <v>44998894442</v>
      </c>
      <c r="E1535" s="32">
        <v>16</v>
      </c>
      <c r="F1535" s="32">
        <v>0</v>
      </c>
      <c r="G1535" s="32" t="s">
        <v>47</v>
      </c>
      <c r="H1535" s="32" t="s">
        <v>4252</v>
      </c>
      <c r="I1535" s="32" t="s">
        <v>46</v>
      </c>
      <c r="J1535" s="32" t="s">
        <v>55</v>
      </c>
    </row>
    <row r="1536" spans="1:12" hidden="1" x14ac:dyDescent="0.3">
      <c r="A1536" s="39">
        <v>46154.668888888889</v>
      </c>
      <c r="B1536" s="32" t="s">
        <v>57</v>
      </c>
      <c r="C1536" s="32">
        <v>44998894442</v>
      </c>
      <c r="E1536" s="32">
        <v>25</v>
      </c>
      <c r="F1536" s="32">
        <v>0</v>
      </c>
      <c r="G1536" s="32" t="s">
        <v>47</v>
      </c>
      <c r="H1536" s="32" t="s">
        <v>4253</v>
      </c>
      <c r="I1536" s="32" t="s">
        <v>46</v>
      </c>
      <c r="J1536" s="32" t="s">
        <v>55</v>
      </c>
    </row>
    <row r="1537" spans="1:11" hidden="1" x14ac:dyDescent="0.3">
      <c r="A1537" s="39">
        <v>46154.668865740743</v>
      </c>
      <c r="B1537" s="32" t="s">
        <v>43</v>
      </c>
      <c r="C1537" s="32">
        <v>41995061279</v>
      </c>
      <c r="E1537" s="32">
        <v>47</v>
      </c>
      <c r="F1537" s="32">
        <v>35</v>
      </c>
      <c r="G1537" s="32" t="s">
        <v>38</v>
      </c>
      <c r="H1537" s="32" t="s">
        <v>4254</v>
      </c>
      <c r="I1537" s="32" t="s">
        <v>46</v>
      </c>
      <c r="J1537" s="32" t="s">
        <v>40</v>
      </c>
    </row>
    <row r="1538" spans="1:11" hidden="1" x14ac:dyDescent="0.3">
      <c r="A1538" s="39">
        <v>46154.668495370373</v>
      </c>
      <c r="B1538" s="32" t="s">
        <v>57</v>
      </c>
      <c r="C1538" s="32">
        <v>4430279797</v>
      </c>
      <c r="E1538" s="32">
        <v>26</v>
      </c>
      <c r="F1538" s="32">
        <v>25</v>
      </c>
      <c r="G1538" s="32" t="s">
        <v>38</v>
      </c>
      <c r="H1538" s="32" t="s">
        <v>4255</v>
      </c>
      <c r="I1538" s="32" t="s">
        <v>46</v>
      </c>
      <c r="J1538" s="32" t="s">
        <v>55</v>
      </c>
    </row>
    <row r="1539" spans="1:11" hidden="1" x14ac:dyDescent="0.3">
      <c r="A1539" s="39">
        <v>46154.668483796297</v>
      </c>
      <c r="B1539" s="32">
        <v>4436313773</v>
      </c>
      <c r="C1539" s="32" t="s">
        <v>37</v>
      </c>
      <c r="D1539" s="32">
        <v>4430265054</v>
      </c>
      <c r="E1539" s="32">
        <v>395</v>
      </c>
      <c r="F1539" s="32">
        <v>336</v>
      </c>
      <c r="G1539" s="32" t="s">
        <v>38</v>
      </c>
      <c r="H1539" s="32" t="s">
        <v>4256</v>
      </c>
      <c r="I1539" s="32" t="s">
        <v>39</v>
      </c>
      <c r="J1539" s="32" t="s">
        <v>40</v>
      </c>
      <c r="K1539" s="32" t="s">
        <v>41</v>
      </c>
    </row>
    <row r="1540" spans="1:11" hidden="1" x14ac:dyDescent="0.3">
      <c r="A1540" s="39">
        <v>46154.667858796296</v>
      </c>
      <c r="B1540" s="32" t="s">
        <v>50</v>
      </c>
      <c r="C1540" s="32">
        <v>4532541802</v>
      </c>
      <c r="E1540" s="32">
        <v>324</v>
      </c>
      <c r="F1540" s="32">
        <v>323</v>
      </c>
      <c r="G1540" s="32" t="s">
        <v>38</v>
      </c>
      <c r="H1540" s="32" t="s">
        <v>4257</v>
      </c>
      <c r="I1540" s="32" t="s">
        <v>46</v>
      </c>
      <c r="J1540" s="32" t="s">
        <v>55</v>
      </c>
    </row>
    <row r="1541" spans="1:11" hidden="1" x14ac:dyDescent="0.3">
      <c r="A1541" s="39">
        <v>46154.667187500003</v>
      </c>
      <c r="B1541" s="32">
        <v>44999629349</v>
      </c>
      <c r="C1541" s="32">
        <v>4430265054</v>
      </c>
      <c r="D1541" s="32">
        <v>4430265054</v>
      </c>
      <c r="E1541" s="32">
        <v>84</v>
      </c>
      <c r="F1541" s="32">
        <v>83</v>
      </c>
      <c r="G1541" s="32" t="s">
        <v>52</v>
      </c>
      <c r="H1541" s="32" t="s">
        <v>4258</v>
      </c>
      <c r="I1541" s="32" t="s">
        <v>39</v>
      </c>
      <c r="J1541" s="32" t="s">
        <v>53</v>
      </c>
      <c r="K1541" s="32" t="s">
        <v>41</v>
      </c>
    </row>
    <row r="1542" spans="1:11" hidden="1" x14ac:dyDescent="0.3">
      <c r="A1542" s="39">
        <v>46154.667083333334</v>
      </c>
      <c r="B1542" s="32" t="s">
        <v>43</v>
      </c>
      <c r="C1542" s="32">
        <v>3432424736</v>
      </c>
      <c r="E1542" s="32">
        <v>106</v>
      </c>
      <c r="F1542" s="32">
        <v>105</v>
      </c>
      <c r="G1542" s="32" t="s">
        <v>38</v>
      </c>
      <c r="H1542" s="32" t="s">
        <v>4259</v>
      </c>
      <c r="I1542" s="32" t="s">
        <v>46</v>
      </c>
      <c r="J1542" s="32" t="s">
        <v>40</v>
      </c>
    </row>
    <row r="1543" spans="1:11" hidden="1" x14ac:dyDescent="0.3">
      <c r="A1543" s="39">
        <v>46154.666435185187</v>
      </c>
      <c r="B1543" s="32" t="s">
        <v>54</v>
      </c>
      <c r="C1543" s="32">
        <v>11993451841</v>
      </c>
      <c r="E1543" s="32">
        <v>17</v>
      </c>
      <c r="F1543" s="32">
        <v>1</v>
      </c>
      <c r="G1543" s="32" t="s">
        <v>38</v>
      </c>
      <c r="H1543" s="32" t="s">
        <v>4260</v>
      </c>
      <c r="I1543" s="32" t="s">
        <v>46</v>
      </c>
      <c r="J1543" s="32" t="s">
        <v>55</v>
      </c>
    </row>
    <row r="1544" spans="1:11" hidden="1" x14ac:dyDescent="0.3">
      <c r="A1544" s="39">
        <v>46154.66578703704</v>
      </c>
      <c r="B1544" s="32">
        <v>4121413772</v>
      </c>
      <c r="C1544" s="32" t="s">
        <v>45</v>
      </c>
      <c r="D1544" s="32">
        <v>4430265054</v>
      </c>
      <c r="E1544" s="32">
        <v>46</v>
      </c>
      <c r="F1544" s="32">
        <v>11</v>
      </c>
      <c r="G1544" s="32" t="s">
        <v>38</v>
      </c>
      <c r="H1544" s="32" t="s">
        <v>4261</v>
      </c>
      <c r="I1544" s="32" t="s">
        <v>39</v>
      </c>
      <c r="J1544" s="32" t="s">
        <v>40</v>
      </c>
      <c r="K1544" s="32" t="s">
        <v>41</v>
      </c>
    </row>
    <row r="1545" spans="1:11" hidden="1" x14ac:dyDescent="0.3">
      <c r="A1545" s="39">
        <v>46154.663854166669</v>
      </c>
      <c r="B1545" s="32">
        <v>4432637197</v>
      </c>
      <c r="C1545" s="32" t="s">
        <v>37</v>
      </c>
      <c r="D1545" s="32">
        <v>4430265054</v>
      </c>
      <c r="E1545" s="32">
        <v>324</v>
      </c>
      <c r="F1545" s="32">
        <v>238</v>
      </c>
      <c r="G1545" s="32" t="s">
        <v>38</v>
      </c>
      <c r="H1545" s="32" t="s">
        <v>4262</v>
      </c>
      <c r="I1545" s="32" t="s">
        <v>39</v>
      </c>
      <c r="J1545" s="32" t="s">
        <v>40</v>
      </c>
      <c r="K1545" s="32" t="s">
        <v>41</v>
      </c>
    </row>
    <row r="1546" spans="1:11" hidden="1" x14ac:dyDescent="0.3">
      <c r="A1546" s="39">
        <v>46154.657384259262</v>
      </c>
      <c r="B1546" s="32" t="s">
        <v>57</v>
      </c>
      <c r="C1546" s="32">
        <v>4430284942</v>
      </c>
      <c r="E1546" s="32">
        <v>97</v>
      </c>
      <c r="F1546" s="32">
        <v>91</v>
      </c>
      <c r="G1546" s="32" t="s">
        <v>38</v>
      </c>
      <c r="H1546" s="32" t="s">
        <v>4263</v>
      </c>
      <c r="I1546" s="32" t="s">
        <v>46</v>
      </c>
      <c r="J1546" s="32" t="s">
        <v>55</v>
      </c>
    </row>
    <row r="1547" spans="1:11" hidden="1" x14ac:dyDescent="0.3">
      <c r="A1547" s="39">
        <v>46154.656712962962</v>
      </c>
      <c r="B1547" s="32" t="s">
        <v>57</v>
      </c>
      <c r="C1547" s="32">
        <v>41999287236</v>
      </c>
      <c r="E1547" s="32">
        <v>51</v>
      </c>
      <c r="F1547" s="32">
        <v>14</v>
      </c>
      <c r="G1547" s="32" t="s">
        <v>38</v>
      </c>
      <c r="H1547" s="32" t="s">
        <v>4264</v>
      </c>
      <c r="I1547" s="32" t="s">
        <v>46</v>
      </c>
      <c r="J1547" s="32" t="s">
        <v>55</v>
      </c>
    </row>
    <row r="1548" spans="1:11" hidden="1" x14ac:dyDescent="0.3">
      <c r="A1548" s="39">
        <v>46154.656400462962</v>
      </c>
      <c r="B1548" s="32" t="s">
        <v>57</v>
      </c>
      <c r="C1548" s="32">
        <v>41995010487</v>
      </c>
      <c r="E1548" s="32">
        <v>18</v>
      </c>
      <c r="F1548" s="32">
        <v>4</v>
      </c>
      <c r="G1548" s="32" t="s">
        <v>38</v>
      </c>
      <c r="H1548" s="32" t="s">
        <v>4265</v>
      </c>
      <c r="I1548" s="32" t="s">
        <v>46</v>
      </c>
      <c r="J1548" s="32" t="s">
        <v>55</v>
      </c>
    </row>
    <row r="1549" spans="1:11" hidden="1" x14ac:dyDescent="0.3">
      <c r="A1549" s="39">
        <v>46154.655902777777</v>
      </c>
      <c r="B1549" s="32" t="s">
        <v>57</v>
      </c>
      <c r="C1549" s="32">
        <v>4130104590</v>
      </c>
      <c r="E1549" s="32">
        <v>25</v>
      </c>
      <c r="F1549" s="32">
        <v>14</v>
      </c>
      <c r="G1549" s="32" t="s">
        <v>38</v>
      </c>
      <c r="H1549" s="32" t="s">
        <v>4266</v>
      </c>
      <c r="I1549" s="32" t="s">
        <v>46</v>
      </c>
      <c r="J1549" s="32" t="s">
        <v>55</v>
      </c>
    </row>
    <row r="1550" spans="1:11" hidden="1" x14ac:dyDescent="0.3">
      <c r="A1550" s="39">
        <v>46154.655763888892</v>
      </c>
      <c r="B1550" s="32" t="s">
        <v>57</v>
      </c>
      <c r="C1550" s="32">
        <v>4130221762</v>
      </c>
      <c r="E1550" s="32">
        <v>1</v>
      </c>
      <c r="F1550" s="32">
        <v>0</v>
      </c>
      <c r="G1550" s="32" t="s">
        <v>47</v>
      </c>
      <c r="H1550" s="32" t="s">
        <v>4267</v>
      </c>
      <c r="I1550" s="32" t="s">
        <v>46</v>
      </c>
      <c r="J1550" s="32" t="s">
        <v>55</v>
      </c>
    </row>
    <row r="1551" spans="1:11" hidden="1" x14ac:dyDescent="0.3">
      <c r="A1551" s="39">
        <v>46154.654236111113</v>
      </c>
      <c r="B1551" s="32">
        <v>4430284942</v>
      </c>
      <c r="C1551" s="32" t="s">
        <v>44</v>
      </c>
      <c r="D1551" s="32">
        <v>4430265054</v>
      </c>
      <c r="E1551" s="32">
        <v>250</v>
      </c>
      <c r="F1551" s="32">
        <v>150</v>
      </c>
      <c r="G1551" s="32" t="s">
        <v>38</v>
      </c>
      <c r="H1551" s="32" t="s">
        <v>4268</v>
      </c>
      <c r="I1551" s="32" t="s">
        <v>39</v>
      </c>
      <c r="J1551" s="32" t="s">
        <v>40</v>
      </c>
      <c r="K1551" s="32" t="s">
        <v>41</v>
      </c>
    </row>
    <row r="1552" spans="1:11" hidden="1" x14ac:dyDescent="0.3">
      <c r="A1552" s="39">
        <v>46154.649016203701</v>
      </c>
      <c r="B1552" s="32">
        <v>4433542435</v>
      </c>
      <c r="C1552" s="32" t="s">
        <v>48</v>
      </c>
      <c r="D1552" s="32">
        <v>4430265054</v>
      </c>
      <c r="E1552" s="32">
        <v>213</v>
      </c>
      <c r="F1552" s="32">
        <v>111</v>
      </c>
      <c r="G1552" s="32" t="s">
        <v>38</v>
      </c>
      <c r="H1552" s="32" t="s">
        <v>4269</v>
      </c>
      <c r="I1552" s="32" t="s">
        <v>39</v>
      </c>
      <c r="J1552" s="32" t="s">
        <v>40</v>
      </c>
      <c r="K1552" s="32" t="s">
        <v>41</v>
      </c>
    </row>
    <row r="1553" spans="1:12" hidden="1" x14ac:dyDescent="0.3">
      <c r="A1553" s="39">
        <v>46154.648356481484</v>
      </c>
      <c r="B1553" s="32">
        <v>62994086124</v>
      </c>
      <c r="C1553" s="32" t="s">
        <v>43</v>
      </c>
      <c r="D1553" s="32">
        <v>4430265054</v>
      </c>
      <c r="E1553" s="32">
        <v>1164</v>
      </c>
      <c r="F1553" s="32">
        <v>1150</v>
      </c>
      <c r="G1553" s="32" t="s">
        <v>38</v>
      </c>
      <c r="H1553" s="32" t="s">
        <v>4270</v>
      </c>
      <c r="I1553" s="32" t="s">
        <v>39</v>
      </c>
      <c r="J1553" s="32" t="s">
        <v>40</v>
      </c>
      <c r="K1553" s="32" t="s">
        <v>41</v>
      </c>
      <c r="L1553" s="32">
        <v>5</v>
      </c>
    </row>
    <row r="1554" spans="1:12" hidden="1" x14ac:dyDescent="0.3">
      <c r="A1554" s="39">
        <v>46154.648043981484</v>
      </c>
      <c r="B1554" s="32" t="s">
        <v>50</v>
      </c>
      <c r="C1554" s="32" t="s">
        <v>57</v>
      </c>
      <c r="E1554" s="32">
        <v>71</v>
      </c>
      <c r="F1554" s="32">
        <v>67</v>
      </c>
      <c r="G1554" s="32" t="s">
        <v>38</v>
      </c>
      <c r="H1554" s="32" t="s">
        <v>4271</v>
      </c>
      <c r="I1554" s="32" t="s">
        <v>51</v>
      </c>
      <c r="J1554" s="32" t="s">
        <v>55</v>
      </c>
    </row>
    <row r="1555" spans="1:12" hidden="1" x14ac:dyDescent="0.3">
      <c r="A1555" s="39">
        <v>46154.648032407407</v>
      </c>
      <c r="B1555" s="32" t="s">
        <v>43</v>
      </c>
      <c r="C1555" s="32">
        <v>44998555192</v>
      </c>
      <c r="E1555" s="32">
        <v>62</v>
      </c>
      <c r="F1555" s="32">
        <v>54</v>
      </c>
      <c r="G1555" s="32" t="s">
        <v>38</v>
      </c>
      <c r="H1555" s="32" t="s">
        <v>4272</v>
      </c>
      <c r="I1555" s="32" t="s">
        <v>46</v>
      </c>
      <c r="J1555" s="32" t="s">
        <v>40</v>
      </c>
      <c r="L1555" s="32">
        <v>5</v>
      </c>
    </row>
    <row r="1556" spans="1:12" hidden="1" x14ac:dyDescent="0.3">
      <c r="A1556" s="39">
        <v>46154.647835648146</v>
      </c>
      <c r="B1556" s="32" t="s">
        <v>43</v>
      </c>
      <c r="C1556" s="32">
        <v>44998555192</v>
      </c>
      <c r="E1556" s="32">
        <v>5</v>
      </c>
      <c r="F1556" s="32">
        <v>0</v>
      </c>
      <c r="G1556" s="32" t="s">
        <v>47</v>
      </c>
      <c r="H1556" s="32" t="s">
        <v>4273</v>
      </c>
      <c r="I1556" s="32" t="s">
        <v>46</v>
      </c>
      <c r="J1556" s="32" t="s">
        <v>40</v>
      </c>
    </row>
    <row r="1557" spans="1:12" hidden="1" x14ac:dyDescent="0.3">
      <c r="A1557" s="39">
        <v>46154.646840277775</v>
      </c>
      <c r="B1557" s="32">
        <v>44988067937</v>
      </c>
      <c r="C1557" s="32" t="s">
        <v>37</v>
      </c>
      <c r="D1557" s="32">
        <v>4430265054</v>
      </c>
      <c r="E1557" s="32">
        <v>789</v>
      </c>
      <c r="F1557" s="32">
        <v>655</v>
      </c>
      <c r="G1557" s="32" t="s">
        <v>38</v>
      </c>
      <c r="H1557" s="32" t="s">
        <v>4274</v>
      </c>
      <c r="I1557" s="32" t="s">
        <v>39</v>
      </c>
      <c r="J1557" s="32" t="s">
        <v>40</v>
      </c>
      <c r="K1557" s="32" t="s">
        <v>41</v>
      </c>
    </row>
    <row r="1558" spans="1:12" hidden="1" x14ac:dyDescent="0.3">
      <c r="A1558" s="39">
        <v>46154.646041666667</v>
      </c>
      <c r="B1558" s="32">
        <v>62994086124</v>
      </c>
      <c r="C1558" s="32">
        <v>4430265054</v>
      </c>
      <c r="D1558" s="32">
        <v>4430265054</v>
      </c>
      <c r="E1558" s="32">
        <v>38</v>
      </c>
      <c r="F1558" s="32">
        <v>37</v>
      </c>
      <c r="G1558" s="32" t="s">
        <v>52</v>
      </c>
      <c r="H1558" s="32" t="s">
        <v>4275</v>
      </c>
      <c r="I1558" s="32" t="s">
        <v>39</v>
      </c>
      <c r="J1558" s="32" t="s">
        <v>53</v>
      </c>
      <c r="K1558" s="32" t="s">
        <v>41</v>
      </c>
    </row>
    <row r="1559" spans="1:12" hidden="1" x14ac:dyDescent="0.3">
      <c r="A1559" s="39">
        <v>46154.645821759259</v>
      </c>
      <c r="B1559" s="32" t="s">
        <v>57</v>
      </c>
      <c r="C1559" s="32">
        <v>4430284942</v>
      </c>
      <c r="E1559" s="32">
        <v>181</v>
      </c>
      <c r="F1559" s="32">
        <v>171</v>
      </c>
      <c r="G1559" s="32" t="s">
        <v>38</v>
      </c>
      <c r="H1559" s="32" t="s">
        <v>4276</v>
      </c>
      <c r="I1559" s="32" t="s">
        <v>46</v>
      </c>
      <c r="J1559" s="32" t="s">
        <v>55</v>
      </c>
    </row>
    <row r="1560" spans="1:12" hidden="1" x14ac:dyDescent="0.3">
      <c r="A1560" s="39">
        <v>46154.644942129627</v>
      </c>
      <c r="B1560" s="32">
        <v>62994086124</v>
      </c>
      <c r="C1560" s="32">
        <v>4430265054</v>
      </c>
      <c r="D1560" s="32">
        <v>4430265054</v>
      </c>
      <c r="E1560" s="32">
        <v>18</v>
      </c>
      <c r="F1560" s="32">
        <v>18</v>
      </c>
      <c r="G1560" s="32" t="s">
        <v>52</v>
      </c>
      <c r="H1560" s="32" t="s">
        <v>4277</v>
      </c>
      <c r="I1560" s="32" t="s">
        <v>39</v>
      </c>
      <c r="J1560" s="32" t="s">
        <v>53</v>
      </c>
    </row>
    <row r="1561" spans="1:12" hidden="1" x14ac:dyDescent="0.3">
      <c r="A1561" s="39">
        <v>46154.643449074072</v>
      </c>
      <c r="B1561" s="32" t="s">
        <v>37</v>
      </c>
      <c r="C1561" s="32">
        <v>4430191401</v>
      </c>
      <c r="E1561" s="32">
        <v>113</v>
      </c>
      <c r="F1561" s="32">
        <v>109</v>
      </c>
      <c r="G1561" s="32" t="s">
        <v>38</v>
      </c>
      <c r="H1561" s="32" t="s">
        <v>4278</v>
      </c>
      <c r="I1561" s="32" t="s">
        <v>46</v>
      </c>
      <c r="J1561" s="32" t="s">
        <v>40</v>
      </c>
    </row>
    <row r="1562" spans="1:12" hidden="1" x14ac:dyDescent="0.3">
      <c r="A1562" s="39">
        <v>46154.643206018518</v>
      </c>
      <c r="B1562" s="32" t="s">
        <v>37</v>
      </c>
      <c r="C1562" s="32">
        <v>4436312588</v>
      </c>
      <c r="E1562" s="32">
        <v>12</v>
      </c>
      <c r="F1562" s="32">
        <v>0</v>
      </c>
      <c r="G1562" s="32" t="s">
        <v>47</v>
      </c>
      <c r="H1562" s="32" t="s">
        <v>4279</v>
      </c>
      <c r="I1562" s="32" t="s">
        <v>46</v>
      </c>
      <c r="J1562" s="32" t="s">
        <v>40</v>
      </c>
    </row>
    <row r="1563" spans="1:12" hidden="1" x14ac:dyDescent="0.3">
      <c r="A1563" s="39">
        <v>46154.64266203704</v>
      </c>
      <c r="B1563" s="32" t="s">
        <v>37</v>
      </c>
      <c r="C1563" s="32">
        <v>4436313773</v>
      </c>
      <c r="E1563" s="32">
        <v>7</v>
      </c>
      <c r="F1563" s="32">
        <v>0</v>
      </c>
      <c r="G1563" s="32" t="s">
        <v>47</v>
      </c>
      <c r="H1563" s="32" t="s">
        <v>4280</v>
      </c>
      <c r="I1563" s="32" t="s">
        <v>46</v>
      </c>
      <c r="J1563" s="32" t="s">
        <v>40</v>
      </c>
    </row>
    <row r="1564" spans="1:12" hidden="1" x14ac:dyDescent="0.3">
      <c r="A1564" s="39">
        <v>46154.642534722225</v>
      </c>
      <c r="B1564" s="32" t="s">
        <v>37</v>
      </c>
      <c r="C1564" s="32">
        <v>4436313773</v>
      </c>
      <c r="E1564" s="32">
        <v>25</v>
      </c>
      <c r="F1564" s="32">
        <v>24</v>
      </c>
      <c r="G1564" s="32" t="s">
        <v>38</v>
      </c>
      <c r="H1564" s="32" t="s">
        <v>4281</v>
      </c>
      <c r="I1564" s="32" t="s">
        <v>46</v>
      </c>
      <c r="J1564" s="32" t="s">
        <v>40</v>
      </c>
    </row>
    <row r="1565" spans="1:12" hidden="1" x14ac:dyDescent="0.3">
      <c r="A1565" s="39">
        <v>46154.642372685186</v>
      </c>
      <c r="B1565" s="32" t="s">
        <v>37</v>
      </c>
      <c r="C1565" s="32">
        <v>4436313773</v>
      </c>
      <c r="E1565" s="32">
        <v>6</v>
      </c>
      <c r="F1565" s="32">
        <v>0</v>
      </c>
      <c r="G1565" s="32" t="s">
        <v>47</v>
      </c>
      <c r="H1565" s="32" t="s">
        <v>4282</v>
      </c>
      <c r="I1565" s="32" t="s">
        <v>46</v>
      </c>
      <c r="J1565" s="32" t="s">
        <v>40</v>
      </c>
    </row>
    <row r="1566" spans="1:12" hidden="1" x14ac:dyDescent="0.3">
      <c r="A1566" s="39">
        <v>46154.641840277778</v>
      </c>
      <c r="B1566" s="32">
        <v>44991113954</v>
      </c>
      <c r="C1566" s="32" t="s">
        <v>44</v>
      </c>
      <c r="D1566" s="32">
        <v>4430265054</v>
      </c>
      <c r="E1566" s="32">
        <v>1069</v>
      </c>
      <c r="F1566" s="32">
        <v>891</v>
      </c>
      <c r="G1566" s="32" t="s">
        <v>38</v>
      </c>
      <c r="H1566" s="32" t="s">
        <v>4283</v>
      </c>
      <c r="I1566" s="32" t="s">
        <v>39</v>
      </c>
      <c r="J1566" s="32" t="s">
        <v>40</v>
      </c>
      <c r="K1566" s="32" t="s">
        <v>41</v>
      </c>
    </row>
    <row r="1567" spans="1:12" hidden="1" x14ac:dyDescent="0.3">
      <c r="A1567" s="39">
        <v>46154.637395833335</v>
      </c>
      <c r="B1567" s="32">
        <v>4436312588</v>
      </c>
      <c r="C1567" s="32" t="s">
        <v>45</v>
      </c>
      <c r="D1567" s="32">
        <v>4430265054</v>
      </c>
      <c r="E1567" s="32">
        <v>2009</v>
      </c>
      <c r="F1567" s="32">
        <v>1958</v>
      </c>
      <c r="G1567" s="32" t="s">
        <v>38</v>
      </c>
      <c r="H1567" s="32" t="s">
        <v>4284</v>
      </c>
      <c r="I1567" s="32" t="s">
        <v>39</v>
      </c>
      <c r="J1567" s="32" t="s">
        <v>40</v>
      </c>
      <c r="K1567" s="32" t="s">
        <v>41</v>
      </c>
    </row>
    <row r="1568" spans="1:12" hidden="1" x14ac:dyDescent="0.3">
      <c r="A1568" s="39">
        <v>46154.636805555558</v>
      </c>
      <c r="B1568" s="32">
        <v>4521017510</v>
      </c>
      <c r="C1568" s="32">
        <v>4531273176</v>
      </c>
      <c r="D1568" s="32">
        <v>4531273176</v>
      </c>
      <c r="E1568" s="32">
        <v>47</v>
      </c>
      <c r="F1568" s="32">
        <v>46</v>
      </c>
      <c r="G1568" s="32" t="s">
        <v>52</v>
      </c>
      <c r="H1568" s="32" t="s">
        <v>4285</v>
      </c>
      <c r="I1568" s="32" t="s">
        <v>39</v>
      </c>
      <c r="J1568" s="32" t="s">
        <v>53</v>
      </c>
      <c r="K1568" s="32" t="s">
        <v>41</v>
      </c>
    </row>
    <row r="1569" spans="1:12" hidden="1" x14ac:dyDescent="0.3">
      <c r="A1569" s="39">
        <v>46154.635381944441</v>
      </c>
      <c r="B1569" s="32" t="s">
        <v>54</v>
      </c>
      <c r="C1569" s="32">
        <v>92991226895</v>
      </c>
      <c r="E1569" s="32">
        <v>41</v>
      </c>
      <c r="F1569" s="32">
        <v>1</v>
      </c>
      <c r="G1569" s="32" t="s">
        <v>38</v>
      </c>
      <c r="H1569" s="32" t="s">
        <v>4286</v>
      </c>
      <c r="I1569" s="32" t="s">
        <v>46</v>
      </c>
      <c r="J1569" s="32" t="s">
        <v>55</v>
      </c>
    </row>
    <row r="1570" spans="1:12" hidden="1" x14ac:dyDescent="0.3">
      <c r="A1570" s="39">
        <v>46154.634594907409</v>
      </c>
      <c r="B1570" s="32">
        <v>4436313773</v>
      </c>
      <c r="C1570" s="32">
        <v>4430265054</v>
      </c>
      <c r="D1570" s="32">
        <v>4430265054</v>
      </c>
      <c r="E1570" s="32">
        <v>62</v>
      </c>
      <c r="F1570" s="32">
        <v>62</v>
      </c>
      <c r="G1570" s="32" t="s">
        <v>52</v>
      </c>
      <c r="H1570" s="32" t="s">
        <v>4287</v>
      </c>
      <c r="I1570" s="32" t="s">
        <v>39</v>
      </c>
      <c r="J1570" s="32" t="s">
        <v>53</v>
      </c>
      <c r="K1570" s="32" t="s">
        <v>41</v>
      </c>
    </row>
    <row r="1571" spans="1:12" hidden="1" x14ac:dyDescent="0.3">
      <c r="A1571" s="39">
        <v>46154.633275462962</v>
      </c>
      <c r="B1571" s="32" t="s">
        <v>54</v>
      </c>
      <c r="C1571" s="32">
        <v>44988233337</v>
      </c>
      <c r="E1571" s="32">
        <v>0</v>
      </c>
      <c r="F1571" s="32">
        <v>0</v>
      </c>
      <c r="G1571" s="32" t="s">
        <v>47</v>
      </c>
      <c r="H1571" s="32" t="s">
        <v>4288</v>
      </c>
      <c r="I1571" s="32" t="s">
        <v>46</v>
      </c>
      <c r="J1571" s="32" t="s">
        <v>55</v>
      </c>
    </row>
    <row r="1572" spans="1:12" hidden="1" x14ac:dyDescent="0.3">
      <c r="A1572" s="39">
        <v>46154.633194444446</v>
      </c>
      <c r="B1572" s="32" t="s">
        <v>54</v>
      </c>
      <c r="C1572" s="32">
        <v>44988233337</v>
      </c>
      <c r="E1572" s="32">
        <v>0</v>
      </c>
      <c r="F1572" s="32">
        <v>0</v>
      </c>
      <c r="G1572" s="32" t="s">
        <v>47</v>
      </c>
      <c r="H1572" s="32" t="s">
        <v>4289</v>
      </c>
      <c r="I1572" s="32" t="s">
        <v>46</v>
      </c>
      <c r="J1572" s="32" t="s">
        <v>55</v>
      </c>
    </row>
    <row r="1573" spans="1:12" hidden="1" x14ac:dyDescent="0.3">
      <c r="A1573" s="39">
        <v>46154.632673611108</v>
      </c>
      <c r="B1573" s="32" t="s">
        <v>54</v>
      </c>
      <c r="C1573" s="32">
        <v>45998384804</v>
      </c>
      <c r="E1573" s="32">
        <v>40</v>
      </c>
      <c r="F1573" s="32">
        <v>2</v>
      </c>
      <c r="G1573" s="32" t="s">
        <v>38</v>
      </c>
      <c r="H1573" s="32" t="s">
        <v>4290</v>
      </c>
      <c r="I1573" s="32" t="s">
        <v>46</v>
      </c>
      <c r="J1573" s="32" t="s">
        <v>55</v>
      </c>
    </row>
    <row r="1574" spans="1:12" hidden="1" x14ac:dyDescent="0.3">
      <c r="A1574" s="39">
        <v>46154.632141203707</v>
      </c>
      <c r="B1574" s="32" t="s">
        <v>54</v>
      </c>
      <c r="C1574" s="32">
        <v>51995052994</v>
      </c>
      <c r="E1574" s="32">
        <v>10</v>
      </c>
      <c r="F1574" s="32">
        <v>3</v>
      </c>
      <c r="G1574" s="32" t="s">
        <v>38</v>
      </c>
      <c r="H1574" s="32" t="s">
        <v>4291</v>
      </c>
      <c r="I1574" s="32" t="s">
        <v>46</v>
      </c>
      <c r="J1574" s="32" t="s">
        <v>55</v>
      </c>
    </row>
    <row r="1575" spans="1:12" hidden="1" x14ac:dyDescent="0.3">
      <c r="A1575" s="39">
        <v>46154.631990740738</v>
      </c>
      <c r="B1575" s="32">
        <v>4435228300</v>
      </c>
      <c r="C1575" s="32" t="s">
        <v>44</v>
      </c>
      <c r="D1575" s="32">
        <v>4430265054</v>
      </c>
      <c r="E1575" s="32">
        <v>470</v>
      </c>
      <c r="F1575" s="32">
        <v>407</v>
      </c>
      <c r="G1575" s="32" t="s">
        <v>38</v>
      </c>
      <c r="H1575" s="32" t="s">
        <v>4292</v>
      </c>
      <c r="I1575" s="32" t="s">
        <v>39</v>
      </c>
      <c r="J1575" s="32" t="s">
        <v>40</v>
      </c>
      <c r="K1575" s="32" t="s">
        <v>41</v>
      </c>
      <c r="L1575" s="32">
        <v>5</v>
      </c>
    </row>
    <row r="1576" spans="1:12" hidden="1" x14ac:dyDescent="0.3">
      <c r="A1576" s="39">
        <v>46154.630868055552</v>
      </c>
      <c r="B1576" s="32">
        <v>43999317663</v>
      </c>
      <c r="C1576" s="32" t="s">
        <v>37</v>
      </c>
      <c r="D1576" s="32">
        <v>4430265054</v>
      </c>
      <c r="E1576" s="32">
        <v>557</v>
      </c>
      <c r="F1576" s="32">
        <v>530</v>
      </c>
      <c r="G1576" s="32" t="s">
        <v>38</v>
      </c>
      <c r="H1576" s="32" t="s">
        <v>4293</v>
      </c>
      <c r="I1576" s="32" t="s">
        <v>39</v>
      </c>
      <c r="J1576" s="32" t="s">
        <v>40</v>
      </c>
      <c r="K1576" s="32" t="s">
        <v>41</v>
      </c>
    </row>
    <row r="1577" spans="1:12" hidden="1" x14ac:dyDescent="0.3">
      <c r="A1577" s="39">
        <v>46154.630659722221</v>
      </c>
      <c r="B1577" s="32" t="s">
        <v>54</v>
      </c>
      <c r="C1577" s="32">
        <v>11996213026</v>
      </c>
      <c r="E1577" s="32">
        <v>1</v>
      </c>
      <c r="F1577" s="32">
        <v>0</v>
      </c>
      <c r="G1577" s="32" t="s">
        <v>47</v>
      </c>
      <c r="H1577" s="32" t="s">
        <v>4294</v>
      </c>
      <c r="I1577" s="32" t="s">
        <v>46</v>
      </c>
      <c r="J1577" s="32" t="s">
        <v>55</v>
      </c>
    </row>
    <row r="1578" spans="1:12" hidden="1" x14ac:dyDescent="0.3">
      <c r="A1578" s="39">
        <v>46154.628738425927</v>
      </c>
      <c r="B1578" s="32">
        <v>4432672194</v>
      </c>
      <c r="C1578" s="32" t="s">
        <v>44</v>
      </c>
      <c r="D1578" s="32">
        <v>4430265054</v>
      </c>
      <c r="E1578" s="32">
        <v>118</v>
      </c>
      <c r="F1578" s="32">
        <v>44</v>
      </c>
      <c r="G1578" s="32" t="s">
        <v>38</v>
      </c>
      <c r="H1578" s="32" t="s">
        <v>4295</v>
      </c>
      <c r="I1578" s="32" t="s">
        <v>39</v>
      </c>
      <c r="J1578" s="32" t="s">
        <v>40</v>
      </c>
      <c r="K1578" s="32" t="s">
        <v>41</v>
      </c>
    </row>
    <row r="1579" spans="1:12" hidden="1" x14ac:dyDescent="0.3">
      <c r="A1579" s="39">
        <v>46154.628136574072</v>
      </c>
      <c r="B1579" s="32">
        <v>6434538540</v>
      </c>
      <c r="C1579" s="32" t="s">
        <v>45</v>
      </c>
      <c r="D1579" s="32">
        <v>4430265054</v>
      </c>
      <c r="E1579" s="32">
        <v>698</v>
      </c>
      <c r="F1579" s="32">
        <v>598</v>
      </c>
      <c r="G1579" s="32" t="s">
        <v>38</v>
      </c>
      <c r="H1579" s="32" t="s">
        <v>4296</v>
      </c>
      <c r="I1579" s="32" t="s">
        <v>39</v>
      </c>
      <c r="J1579" s="32" t="s">
        <v>40</v>
      </c>
      <c r="K1579" s="32" t="s">
        <v>41</v>
      </c>
      <c r="L1579" s="32">
        <v>5</v>
      </c>
    </row>
    <row r="1580" spans="1:12" hidden="1" x14ac:dyDescent="0.3">
      <c r="A1580" s="39">
        <v>46154.625740740739</v>
      </c>
      <c r="B1580" s="32" t="s">
        <v>57</v>
      </c>
      <c r="C1580" s="32">
        <v>4433231120</v>
      </c>
      <c r="E1580" s="32">
        <v>543</v>
      </c>
      <c r="F1580" s="32">
        <v>528</v>
      </c>
      <c r="G1580" s="32" t="s">
        <v>38</v>
      </c>
      <c r="H1580" s="32" t="s">
        <v>4297</v>
      </c>
      <c r="I1580" s="32" t="s">
        <v>46</v>
      </c>
      <c r="J1580" s="32" t="s">
        <v>55</v>
      </c>
    </row>
    <row r="1581" spans="1:12" hidden="1" x14ac:dyDescent="0.3">
      <c r="A1581" s="39">
        <v>46154.625590277778</v>
      </c>
      <c r="B1581" s="32" t="s">
        <v>57</v>
      </c>
      <c r="C1581" s="32">
        <v>4433234339</v>
      </c>
      <c r="E1581" s="32">
        <v>0</v>
      </c>
      <c r="F1581" s="32">
        <v>0</v>
      </c>
      <c r="G1581" s="32" t="s">
        <v>47</v>
      </c>
      <c r="H1581" s="32" t="s">
        <v>4298</v>
      </c>
      <c r="I1581" s="32" t="s">
        <v>46</v>
      </c>
      <c r="J1581" s="32" t="s">
        <v>55</v>
      </c>
    </row>
    <row r="1582" spans="1:12" hidden="1" x14ac:dyDescent="0.3">
      <c r="A1582" s="39">
        <v>46154.625428240739</v>
      </c>
      <c r="B1582" s="32" t="s">
        <v>57</v>
      </c>
      <c r="C1582" s="32">
        <v>44998750100</v>
      </c>
      <c r="E1582" s="32">
        <v>2</v>
      </c>
      <c r="F1582" s="32">
        <v>0</v>
      </c>
      <c r="G1582" s="32" t="s">
        <v>47</v>
      </c>
      <c r="H1582" s="32" t="s">
        <v>4299</v>
      </c>
      <c r="I1582" s="32" t="s">
        <v>46</v>
      </c>
      <c r="J1582" s="32" t="s">
        <v>55</v>
      </c>
    </row>
    <row r="1583" spans="1:12" hidden="1" x14ac:dyDescent="0.3">
      <c r="A1583" s="39">
        <v>46154.624618055554</v>
      </c>
      <c r="B1583" s="32" t="s">
        <v>57</v>
      </c>
      <c r="C1583" s="32">
        <v>4433234339</v>
      </c>
      <c r="E1583" s="32">
        <v>0</v>
      </c>
      <c r="F1583" s="32">
        <v>0</v>
      </c>
      <c r="G1583" s="32" t="s">
        <v>47</v>
      </c>
      <c r="H1583" s="32" t="s">
        <v>4300</v>
      </c>
      <c r="I1583" s="32" t="s">
        <v>46</v>
      </c>
      <c r="J1583" s="32" t="s">
        <v>55</v>
      </c>
    </row>
    <row r="1584" spans="1:12" hidden="1" x14ac:dyDescent="0.3">
      <c r="A1584" s="39">
        <v>46154.624282407407</v>
      </c>
      <c r="B1584" s="32" t="s">
        <v>57</v>
      </c>
      <c r="C1584" s="32">
        <v>4433231120</v>
      </c>
      <c r="E1584" s="32">
        <v>22</v>
      </c>
      <c r="F1584" s="32">
        <v>7</v>
      </c>
      <c r="G1584" s="32" t="s">
        <v>38</v>
      </c>
      <c r="H1584" s="32" t="s">
        <v>4301</v>
      </c>
      <c r="I1584" s="32" t="s">
        <v>46</v>
      </c>
      <c r="J1584" s="32" t="s">
        <v>55</v>
      </c>
    </row>
    <row r="1585" spans="1:12" hidden="1" x14ac:dyDescent="0.3">
      <c r="A1585" s="39">
        <v>46154.622685185182</v>
      </c>
      <c r="B1585" s="32" t="s">
        <v>57</v>
      </c>
      <c r="C1585" s="32">
        <v>44999416670</v>
      </c>
      <c r="E1585" s="32">
        <v>18</v>
      </c>
      <c r="F1585" s="32">
        <v>2</v>
      </c>
      <c r="G1585" s="32" t="s">
        <v>38</v>
      </c>
      <c r="H1585" s="32" t="s">
        <v>4302</v>
      </c>
      <c r="I1585" s="32" t="s">
        <v>46</v>
      </c>
      <c r="J1585" s="32" t="s">
        <v>55</v>
      </c>
    </row>
    <row r="1586" spans="1:12" hidden="1" x14ac:dyDescent="0.3">
      <c r="A1586" s="39">
        <v>46154.622094907405</v>
      </c>
      <c r="B1586" s="32" t="s">
        <v>57</v>
      </c>
      <c r="C1586" s="32">
        <v>44999416670</v>
      </c>
      <c r="E1586" s="32">
        <v>31</v>
      </c>
      <c r="F1586" s="32">
        <v>2</v>
      </c>
      <c r="G1586" s="32" t="s">
        <v>38</v>
      </c>
      <c r="H1586" s="32" t="s">
        <v>4303</v>
      </c>
      <c r="I1586" s="32" t="s">
        <v>46</v>
      </c>
      <c r="J1586" s="32" t="s">
        <v>55</v>
      </c>
    </row>
    <row r="1587" spans="1:12" hidden="1" x14ac:dyDescent="0.3">
      <c r="A1587" s="39">
        <v>46154.621828703705</v>
      </c>
      <c r="B1587" s="32" t="s">
        <v>57</v>
      </c>
      <c r="C1587" s="32">
        <v>4432322101</v>
      </c>
      <c r="E1587" s="32">
        <v>1</v>
      </c>
      <c r="F1587" s="32">
        <v>0</v>
      </c>
      <c r="G1587" s="32" t="s">
        <v>47</v>
      </c>
      <c r="H1587" s="32" t="s">
        <v>4304</v>
      </c>
      <c r="I1587" s="32" t="s">
        <v>46</v>
      </c>
      <c r="J1587" s="32" t="s">
        <v>55</v>
      </c>
    </row>
    <row r="1588" spans="1:12" hidden="1" x14ac:dyDescent="0.3">
      <c r="A1588" s="39">
        <v>46154.621215277781</v>
      </c>
      <c r="B1588" s="32" t="s">
        <v>57</v>
      </c>
      <c r="C1588" s="32">
        <v>44999976008</v>
      </c>
      <c r="E1588" s="32">
        <v>26</v>
      </c>
      <c r="F1588" s="32">
        <v>3</v>
      </c>
      <c r="G1588" s="32" t="s">
        <v>38</v>
      </c>
      <c r="H1588" s="32" t="s">
        <v>4305</v>
      </c>
      <c r="I1588" s="32" t="s">
        <v>46</v>
      </c>
      <c r="J1588" s="32" t="s">
        <v>55</v>
      </c>
    </row>
    <row r="1589" spans="1:12" hidden="1" x14ac:dyDescent="0.3">
      <c r="A1589" s="39">
        <v>46154.620613425926</v>
      </c>
      <c r="B1589" s="32">
        <v>4435226025</v>
      </c>
      <c r="C1589" s="32" t="s">
        <v>44</v>
      </c>
      <c r="D1589" s="32">
        <v>4430265054</v>
      </c>
      <c r="E1589" s="32">
        <v>656</v>
      </c>
      <c r="F1589" s="32">
        <v>581</v>
      </c>
      <c r="G1589" s="32" t="s">
        <v>38</v>
      </c>
      <c r="H1589" s="32" t="s">
        <v>4306</v>
      </c>
      <c r="I1589" s="32" t="s">
        <v>39</v>
      </c>
      <c r="J1589" s="32" t="s">
        <v>40</v>
      </c>
      <c r="K1589" s="32" t="s">
        <v>41</v>
      </c>
    </row>
    <row r="1590" spans="1:12" hidden="1" x14ac:dyDescent="0.3">
      <c r="A1590" s="39">
        <v>46154.620428240742</v>
      </c>
      <c r="B1590" s="32" t="s">
        <v>57</v>
      </c>
      <c r="C1590" s="32">
        <v>4432641415</v>
      </c>
      <c r="E1590" s="32">
        <v>50</v>
      </c>
      <c r="F1590" s="32">
        <v>8</v>
      </c>
      <c r="G1590" s="32" t="s">
        <v>38</v>
      </c>
      <c r="H1590" s="32" t="s">
        <v>4307</v>
      </c>
      <c r="I1590" s="32" t="s">
        <v>46</v>
      </c>
      <c r="J1590" s="32" t="s">
        <v>55</v>
      </c>
    </row>
    <row r="1591" spans="1:12" hidden="1" x14ac:dyDescent="0.3">
      <c r="A1591" s="39">
        <v>46154.618576388886</v>
      </c>
      <c r="B1591" s="32">
        <v>44998555192</v>
      </c>
      <c r="C1591" s="32" t="s">
        <v>43</v>
      </c>
      <c r="D1591" s="32">
        <v>4430265054</v>
      </c>
      <c r="E1591" s="32">
        <v>1157</v>
      </c>
      <c r="F1591" s="32">
        <v>1131</v>
      </c>
      <c r="G1591" s="32" t="s">
        <v>38</v>
      </c>
      <c r="H1591" s="32" t="s">
        <v>4308</v>
      </c>
      <c r="I1591" s="32" t="s">
        <v>39</v>
      </c>
      <c r="J1591" s="32" t="s">
        <v>40</v>
      </c>
      <c r="K1591" s="32" t="s">
        <v>41</v>
      </c>
    </row>
    <row r="1592" spans="1:12" hidden="1" x14ac:dyDescent="0.3">
      <c r="A1592" s="39">
        <v>46154.6175</v>
      </c>
      <c r="B1592" s="32">
        <v>4430459001</v>
      </c>
      <c r="C1592" s="32" t="s">
        <v>37</v>
      </c>
      <c r="D1592" s="32">
        <v>4430265054</v>
      </c>
      <c r="E1592" s="32">
        <v>474</v>
      </c>
      <c r="F1592" s="32">
        <v>401</v>
      </c>
      <c r="G1592" s="32" t="s">
        <v>38</v>
      </c>
      <c r="H1592" s="32" t="s">
        <v>4309</v>
      </c>
      <c r="I1592" s="32" t="s">
        <v>39</v>
      </c>
      <c r="J1592" s="32" t="s">
        <v>40</v>
      </c>
      <c r="K1592" s="32" t="s">
        <v>41</v>
      </c>
      <c r="L1592" s="32">
        <v>5</v>
      </c>
    </row>
    <row r="1593" spans="1:12" hidden="1" x14ac:dyDescent="0.3">
      <c r="A1593" s="39">
        <v>46154.617106481484</v>
      </c>
      <c r="B1593" s="32" t="s">
        <v>57</v>
      </c>
      <c r="C1593" s="32">
        <v>1239422063</v>
      </c>
      <c r="E1593" s="32">
        <v>25</v>
      </c>
      <c r="F1593" s="32">
        <v>21</v>
      </c>
      <c r="G1593" s="32" t="s">
        <v>38</v>
      </c>
      <c r="H1593" s="32" t="s">
        <v>4310</v>
      </c>
      <c r="I1593" s="32" t="s">
        <v>46</v>
      </c>
      <c r="J1593" s="32" t="s">
        <v>55</v>
      </c>
    </row>
    <row r="1594" spans="1:12" hidden="1" x14ac:dyDescent="0.3">
      <c r="A1594" s="39">
        <v>46154.615717592591</v>
      </c>
      <c r="B1594" s="32">
        <v>4330333542</v>
      </c>
      <c r="C1594" s="32" t="s">
        <v>45</v>
      </c>
      <c r="D1594" s="32">
        <v>4430265054</v>
      </c>
      <c r="E1594" s="32">
        <v>395</v>
      </c>
      <c r="F1594" s="32">
        <v>311</v>
      </c>
      <c r="G1594" s="32" t="s">
        <v>38</v>
      </c>
      <c r="H1594" s="32" t="s">
        <v>4311</v>
      </c>
      <c r="I1594" s="32" t="s">
        <v>39</v>
      </c>
      <c r="J1594" s="32" t="s">
        <v>40</v>
      </c>
      <c r="K1594" s="32" t="s">
        <v>41</v>
      </c>
      <c r="L1594" s="32">
        <v>5</v>
      </c>
    </row>
    <row r="1595" spans="1:12" hidden="1" x14ac:dyDescent="0.3">
      <c r="A1595" s="39">
        <v>46154.615381944444</v>
      </c>
      <c r="B1595" s="32" t="s">
        <v>56</v>
      </c>
      <c r="C1595" s="32">
        <v>4431232999</v>
      </c>
      <c r="E1595" s="32">
        <v>134</v>
      </c>
      <c r="F1595" s="32">
        <v>127</v>
      </c>
      <c r="G1595" s="32" t="s">
        <v>38</v>
      </c>
      <c r="H1595" s="32" t="s">
        <v>4312</v>
      </c>
      <c r="I1595" s="32" t="s">
        <v>46</v>
      </c>
      <c r="J1595" s="32" t="s">
        <v>53</v>
      </c>
    </row>
    <row r="1596" spans="1:12" hidden="1" x14ac:dyDescent="0.3">
      <c r="A1596" s="39">
        <v>46154.615254629629</v>
      </c>
      <c r="B1596" s="32" t="s">
        <v>56</v>
      </c>
      <c r="C1596" s="32">
        <v>4431232999</v>
      </c>
      <c r="E1596" s="32">
        <v>9</v>
      </c>
      <c r="F1596" s="32">
        <v>8</v>
      </c>
      <c r="G1596" s="32" t="s">
        <v>38</v>
      </c>
      <c r="H1596" s="32" t="s">
        <v>4313</v>
      </c>
      <c r="I1596" s="32" t="s">
        <v>46</v>
      </c>
      <c r="J1596" s="32" t="s">
        <v>53</v>
      </c>
    </row>
    <row r="1597" spans="1:12" hidden="1" x14ac:dyDescent="0.3">
      <c r="A1597" s="39">
        <v>46154.609988425924</v>
      </c>
      <c r="B1597" s="32">
        <v>4121413772</v>
      </c>
      <c r="C1597" s="32" t="s">
        <v>44</v>
      </c>
      <c r="D1597" s="32">
        <v>4531273172</v>
      </c>
      <c r="E1597" s="32">
        <v>47</v>
      </c>
      <c r="F1597" s="32">
        <v>11</v>
      </c>
      <c r="G1597" s="32" t="s">
        <v>38</v>
      </c>
      <c r="H1597" s="32" t="s">
        <v>4314</v>
      </c>
      <c r="I1597" s="32" t="s">
        <v>39</v>
      </c>
      <c r="J1597" s="32" t="s">
        <v>40</v>
      </c>
      <c r="K1597" s="32" t="s">
        <v>41</v>
      </c>
    </row>
    <row r="1598" spans="1:12" hidden="1" x14ac:dyDescent="0.3">
      <c r="A1598" s="39">
        <v>46154.609537037039</v>
      </c>
      <c r="B1598" s="32" t="s">
        <v>57</v>
      </c>
      <c r="C1598" s="32">
        <v>1155904488</v>
      </c>
      <c r="E1598" s="32">
        <v>8</v>
      </c>
      <c r="F1598" s="32">
        <v>0</v>
      </c>
      <c r="G1598" s="32" t="s">
        <v>47</v>
      </c>
      <c r="H1598" s="32" t="s">
        <v>4315</v>
      </c>
      <c r="I1598" s="32" t="s">
        <v>46</v>
      </c>
      <c r="J1598" s="32" t="s">
        <v>55</v>
      </c>
    </row>
    <row r="1599" spans="1:12" hidden="1" x14ac:dyDescent="0.3">
      <c r="A1599" s="39">
        <v>46154.608981481484</v>
      </c>
      <c r="B1599" s="32">
        <v>44988328358</v>
      </c>
      <c r="C1599" s="32">
        <v>4430265054</v>
      </c>
      <c r="D1599" s="32">
        <v>4430265054</v>
      </c>
      <c r="E1599" s="32">
        <v>8</v>
      </c>
      <c r="F1599" s="32">
        <v>7</v>
      </c>
      <c r="G1599" s="32" t="s">
        <v>52</v>
      </c>
      <c r="H1599" s="32" t="s">
        <v>4316</v>
      </c>
      <c r="I1599" s="32" t="s">
        <v>39</v>
      </c>
      <c r="J1599" s="32" t="s">
        <v>53</v>
      </c>
    </row>
    <row r="1600" spans="1:12" hidden="1" x14ac:dyDescent="0.3">
      <c r="A1600" s="39">
        <v>46154.607488425929</v>
      </c>
      <c r="B1600" s="32" t="s">
        <v>37</v>
      </c>
      <c r="C1600" s="32">
        <v>44991234625</v>
      </c>
      <c r="E1600" s="32">
        <v>412</v>
      </c>
      <c r="F1600" s="32">
        <v>406</v>
      </c>
      <c r="G1600" s="32" t="s">
        <v>38</v>
      </c>
      <c r="H1600" s="32" t="s">
        <v>4317</v>
      </c>
      <c r="I1600" s="32" t="s">
        <v>46</v>
      </c>
      <c r="J1600" s="32" t="s">
        <v>40</v>
      </c>
    </row>
    <row r="1601" spans="1:12" hidden="1" x14ac:dyDescent="0.3">
      <c r="A1601" s="39">
        <v>46154.607349537036</v>
      </c>
      <c r="B1601" s="32" t="s">
        <v>37</v>
      </c>
      <c r="C1601" s="32">
        <v>44991234625</v>
      </c>
      <c r="E1601" s="32">
        <v>4</v>
      </c>
      <c r="F1601" s="32">
        <v>0</v>
      </c>
      <c r="G1601" s="32" t="s">
        <v>47</v>
      </c>
      <c r="H1601" s="32" t="s">
        <v>4318</v>
      </c>
      <c r="I1601" s="32" t="s">
        <v>46</v>
      </c>
      <c r="J1601" s="32" t="s">
        <v>40</v>
      </c>
    </row>
    <row r="1602" spans="1:12" hidden="1" x14ac:dyDescent="0.3">
      <c r="A1602" s="39">
        <v>46154.607187499998</v>
      </c>
      <c r="B1602" s="32" t="s">
        <v>37</v>
      </c>
      <c r="C1602" s="32">
        <v>44991234625</v>
      </c>
      <c r="E1602" s="32">
        <v>6</v>
      </c>
      <c r="F1602" s="32">
        <v>0</v>
      </c>
      <c r="G1602" s="32" t="s">
        <v>47</v>
      </c>
      <c r="H1602" s="32" t="s">
        <v>4319</v>
      </c>
      <c r="I1602" s="32" t="s">
        <v>46</v>
      </c>
      <c r="J1602" s="32" t="s">
        <v>40</v>
      </c>
    </row>
    <row r="1603" spans="1:12" hidden="1" x14ac:dyDescent="0.3">
      <c r="A1603" s="39">
        <v>46154.607106481482</v>
      </c>
      <c r="B1603" s="32" t="s">
        <v>37</v>
      </c>
      <c r="C1603" s="32">
        <v>4433321380</v>
      </c>
      <c r="E1603" s="32">
        <v>5</v>
      </c>
      <c r="F1603" s="32">
        <v>0</v>
      </c>
      <c r="G1603" s="32" t="s">
        <v>47</v>
      </c>
      <c r="H1603" s="32" t="s">
        <v>4320</v>
      </c>
      <c r="I1603" s="32" t="s">
        <v>46</v>
      </c>
      <c r="J1603" s="32" t="s">
        <v>40</v>
      </c>
    </row>
    <row r="1604" spans="1:12" hidden="1" x14ac:dyDescent="0.3">
      <c r="A1604" s="39">
        <v>46154.606828703705</v>
      </c>
      <c r="B1604" s="32" t="s">
        <v>37</v>
      </c>
      <c r="C1604" s="32">
        <v>44991234625</v>
      </c>
      <c r="E1604" s="32">
        <v>51</v>
      </c>
      <c r="F1604" s="32">
        <v>31</v>
      </c>
      <c r="G1604" s="32" t="s">
        <v>38</v>
      </c>
      <c r="H1604" s="32" t="s">
        <v>4321</v>
      </c>
      <c r="I1604" s="32" t="s">
        <v>46</v>
      </c>
      <c r="J1604" s="32" t="s">
        <v>40</v>
      </c>
    </row>
    <row r="1605" spans="1:12" hidden="1" x14ac:dyDescent="0.3">
      <c r="A1605" s="39">
        <v>46154.606631944444</v>
      </c>
      <c r="B1605" s="32" t="s">
        <v>37</v>
      </c>
      <c r="C1605" s="32">
        <v>44991234625</v>
      </c>
      <c r="E1605" s="32">
        <v>12</v>
      </c>
      <c r="F1605" s="32">
        <v>0</v>
      </c>
      <c r="G1605" s="32" t="s">
        <v>47</v>
      </c>
      <c r="H1605" s="32" t="s">
        <v>4322</v>
      </c>
      <c r="I1605" s="32" t="s">
        <v>46</v>
      </c>
      <c r="J1605" s="32" t="s">
        <v>40</v>
      </c>
    </row>
    <row r="1606" spans="1:12" hidden="1" x14ac:dyDescent="0.3">
      <c r="A1606" s="39">
        <v>46154.606249999997</v>
      </c>
      <c r="B1606" s="32" t="s">
        <v>37</v>
      </c>
      <c r="C1606" s="32">
        <v>44991234625</v>
      </c>
      <c r="E1606" s="32">
        <v>29</v>
      </c>
      <c r="F1606" s="32">
        <v>8</v>
      </c>
      <c r="G1606" s="32" t="s">
        <v>38</v>
      </c>
      <c r="H1606" s="32" t="s">
        <v>4323</v>
      </c>
      <c r="I1606" s="32" t="s">
        <v>46</v>
      </c>
      <c r="J1606" s="32" t="s">
        <v>40</v>
      </c>
    </row>
    <row r="1607" spans="1:12" hidden="1" x14ac:dyDescent="0.3">
      <c r="A1607" s="39">
        <v>46154.605428240742</v>
      </c>
      <c r="B1607" s="32" t="s">
        <v>37</v>
      </c>
      <c r="C1607" s="32">
        <v>44991234625</v>
      </c>
      <c r="E1607" s="32">
        <v>52</v>
      </c>
      <c r="F1607" s="32">
        <v>31</v>
      </c>
      <c r="G1607" s="32" t="s">
        <v>38</v>
      </c>
      <c r="H1607" s="32" t="s">
        <v>4324</v>
      </c>
      <c r="I1607" s="32" t="s">
        <v>46</v>
      </c>
      <c r="J1607" s="32" t="s">
        <v>40</v>
      </c>
    </row>
    <row r="1608" spans="1:12" hidden="1" x14ac:dyDescent="0.3">
      <c r="A1608" s="39">
        <v>46154.605358796296</v>
      </c>
      <c r="B1608" s="32" t="s">
        <v>37</v>
      </c>
      <c r="C1608" s="32">
        <v>44991234625</v>
      </c>
      <c r="E1608" s="32">
        <v>4</v>
      </c>
      <c r="F1608" s="32">
        <v>0</v>
      </c>
      <c r="G1608" s="32" t="s">
        <v>47</v>
      </c>
      <c r="H1608" s="32" t="s">
        <v>4325</v>
      </c>
      <c r="I1608" s="32" t="s">
        <v>46</v>
      </c>
      <c r="J1608" s="32" t="s">
        <v>40</v>
      </c>
    </row>
    <row r="1609" spans="1:12" hidden="1" x14ac:dyDescent="0.3">
      <c r="A1609" s="39">
        <v>46154.603773148148</v>
      </c>
      <c r="B1609" s="32" t="s">
        <v>43</v>
      </c>
      <c r="C1609" s="32">
        <v>41998909974</v>
      </c>
      <c r="E1609" s="32">
        <v>1288</v>
      </c>
      <c r="F1609" s="32">
        <v>1280</v>
      </c>
      <c r="G1609" s="32" t="s">
        <v>38</v>
      </c>
      <c r="H1609" s="32" t="s">
        <v>4326</v>
      </c>
      <c r="I1609" s="32" t="s">
        <v>46</v>
      </c>
      <c r="J1609" s="32" t="s">
        <v>40</v>
      </c>
      <c r="L1609" s="32">
        <v>5</v>
      </c>
    </row>
    <row r="1610" spans="1:12" hidden="1" x14ac:dyDescent="0.3">
      <c r="A1610" s="39">
        <v>46154.602766203701</v>
      </c>
      <c r="B1610" s="32">
        <v>4430562296</v>
      </c>
      <c r="C1610" s="32" t="s">
        <v>48</v>
      </c>
      <c r="D1610" s="32">
        <v>4430265054</v>
      </c>
      <c r="E1610" s="32">
        <v>890</v>
      </c>
      <c r="F1610" s="32">
        <v>818</v>
      </c>
      <c r="G1610" s="32" t="s">
        <v>38</v>
      </c>
      <c r="H1610" s="32" t="s">
        <v>4327</v>
      </c>
      <c r="I1610" s="32" t="s">
        <v>39</v>
      </c>
      <c r="J1610" s="32" t="s">
        <v>40</v>
      </c>
      <c r="K1610" s="32" t="s">
        <v>41</v>
      </c>
    </row>
    <row r="1611" spans="1:12" hidden="1" x14ac:dyDescent="0.3">
      <c r="A1611" s="39">
        <v>46154.594618055555</v>
      </c>
      <c r="B1611" s="32">
        <v>44988255390</v>
      </c>
      <c r="C1611" s="32" t="s">
        <v>43</v>
      </c>
      <c r="D1611" s="32">
        <v>4430265054</v>
      </c>
      <c r="E1611" s="32">
        <v>189</v>
      </c>
      <c r="F1611" s="32">
        <v>129</v>
      </c>
      <c r="G1611" s="32" t="s">
        <v>38</v>
      </c>
      <c r="H1611" s="32" t="s">
        <v>4328</v>
      </c>
      <c r="I1611" s="32" t="s">
        <v>39</v>
      </c>
      <c r="J1611" s="32" t="s">
        <v>40</v>
      </c>
      <c r="K1611" s="32" t="s">
        <v>41</v>
      </c>
    </row>
    <row r="1612" spans="1:12" hidden="1" x14ac:dyDescent="0.3">
      <c r="A1612" s="39">
        <v>46154.594502314816</v>
      </c>
      <c r="B1612" s="32" t="s">
        <v>48</v>
      </c>
      <c r="C1612" s="32">
        <v>44998555192</v>
      </c>
      <c r="E1612" s="32">
        <v>175</v>
      </c>
      <c r="F1612" s="32">
        <v>159</v>
      </c>
      <c r="G1612" s="32" t="s">
        <v>38</v>
      </c>
      <c r="H1612" s="32" t="s">
        <v>4329</v>
      </c>
      <c r="I1612" s="32" t="s">
        <v>46</v>
      </c>
      <c r="J1612" s="32" t="s">
        <v>40</v>
      </c>
    </row>
    <row r="1613" spans="1:12" hidden="1" x14ac:dyDescent="0.3">
      <c r="A1613" s="39">
        <v>46154.594490740739</v>
      </c>
      <c r="B1613" s="32" t="s">
        <v>44</v>
      </c>
      <c r="C1613" s="32">
        <v>4432321371</v>
      </c>
      <c r="E1613" s="32">
        <v>694</v>
      </c>
      <c r="F1613" s="32">
        <v>686</v>
      </c>
      <c r="G1613" s="32" t="s">
        <v>38</v>
      </c>
      <c r="H1613" s="32" t="s">
        <v>4330</v>
      </c>
      <c r="I1613" s="32" t="s">
        <v>46</v>
      </c>
      <c r="J1613" s="32" t="s">
        <v>40</v>
      </c>
    </row>
    <row r="1614" spans="1:12" hidden="1" x14ac:dyDescent="0.3">
      <c r="A1614" s="39">
        <v>46154.594421296293</v>
      </c>
      <c r="B1614" s="32" t="s">
        <v>44</v>
      </c>
      <c r="C1614" s="32">
        <v>4432321371</v>
      </c>
      <c r="E1614" s="32">
        <v>26</v>
      </c>
      <c r="F1614" s="32">
        <v>25</v>
      </c>
      <c r="G1614" s="32" t="s">
        <v>38</v>
      </c>
      <c r="H1614" s="32" t="s">
        <v>4331</v>
      </c>
      <c r="I1614" s="32" t="s">
        <v>46</v>
      </c>
      <c r="J1614" s="32" t="s">
        <v>40</v>
      </c>
    </row>
    <row r="1615" spans="1:12" hidden="1" x14ac:dyDescent="0.3">
      <c r="A1615" s="39">
        <v>46154.585335648146</v>
      </c>
      <c r="B1615" s="32">
        <v>44999917849</v>
      </c>
      <c r="C1615" s="32" t="s">
        <v>44</v>
      </c>
      <c r="D1615" s="32">
        <v>4430265054</v>
      </c>
      <c r="E1615" s="32">
        <v>125</v>
      </c>
      <c r="F1615" s="32">
        <v>75</v>
      </c>
      <c r="G1615" s="32" t="s">
        <v>38</v>
      </c>
      <c r="H1615" s="32" t="s">
        <v>4332</v>
      </c>
      <c r="I1615" s="32" t="s">
        <v>39</v>
      </c>
      <c r="J1615" s="32" t="s">
        <v>40</v>
      </c>
      <c r="K1615" s="32" t="s">
        <v>41</v>
      </c>
    </row>
    <row r="1616" spans="1:12" hidden="1" x14ac:dyDescent="0.3">
      <c r="A1616" s="39">
        <v>46154.581863425927</v>
      </c>
      <c r="B1616" s="32">
        <v>4435226025</v>
      </c>
      <c r="C1616" s="32" t="s">
        <v>48</v>
      </c>
      <c r="D1616" s="32">
        <v>4430265054</v>
      </c>
      <c r="E1616" s="32">
        <v>792</v>
      </c>
      <c r="F1616" s="32">
        <v>774</v>
      </c>
      <c r="G1616" s="32" t="s">
        <v>38</v>
      </c>
      <c r="H1616" s="32" t="s">
        <v>4333</v>
      </c>
      <c r="I1616" s="32" t="s">
        <v>39</v>
      </c>
      <c r="J1616" s="32" t="s">
        <v>40</v>
      </c>
      <c r="K1616" s="32" t="s">
        <v>41</v>
      </c>
    </row>
    <row r="1617" spans="1:12" hidden="1" x14ac:dyDescent="0.3">
      <c r="A1617" s="39">
        <v>46154.579733796294</v>
      </c>
      <c r="B1617" s="32">
        <v>4121418164</v>
      </c>
      <c r="C1617" s="32" t="s">
        <v>48</v>
      </c>
      <c r="D1617" s="32">
        <v>4531273163</v>
      </c>
      <c r="E1617" s="32">
        <v>47</v>
      </c>
      <c r="F1617" s="32">
        <v>3</v>
      </c>
      <c r="G1617" s="32" t="s">
        <v>38</v>
      </c>
      <c r="H1617" s="32" t="s">
        <v>4334</v>
      </c>
      <c r="I1617" s="32" t="s">
        <v>39</v>
      </c>
      <c r="J1617" s="32" t="s">
        <v>40</v>
      </c>
      <c r="K1617" s="32" t="s">
        <v>41</v>
      </c>
    </row>
    <row r="1618" spans="1:12" hidden="1" x14ac:dyDescent="0.3">
      <c r="A1618" s="39">
        <v>46154.578090277777</v>
      </c>
      <c r="B1618" s="32">
        <v>4432524652</v>
      </c>
      <c r="C1618" s="32" t="s">
        <v>43</v>
      </c>
      <c r="D1618" s="32">
        <v>4430265054</v>
      </c>
      <c r="E1618" s="32">
        <v>1119</v>
      </c>
      <c r="F1618" s="32">
        <v>1076</v>
      </c>
      <c r="G1618" s="32" t="s">
        <v>38</v>
      </c>
      <c r="H1618" s="32" t="s">
        <v>4335</v>
      </c>
      <c r="I1618" s="32" t="s">
        <v>39</v>
      </c>
      <c r="J1618" s="32" t="s">
        <v>40</v>
      </c>
      <c r="K1618" s="32" t="s">
        <v>41</v>
      </c>
      <c r="L1618" s="32">
        <v>5</v>
      </c>
    </row>
    <row r="1619" spans="1:12" hidden="1" x14ac:dyDescent="0.3">
      <c r="A1619" s="39">
        <v>46154.570092592592</v>
      </c>
      <c r="B1619" s="32">
        <v>4430289386</v>
      </c>
      <c r="C1619" s="32" t="s">
        <v>44</v>
      </c>
      <c r="D1619" s="32">
        <v>4430265054</v>
      </c>
      <c r="E1619" s="32">
        <v>1111</v>
      </c>
      <c r="F1619" s="32">
        <v>817</v>
      </c>
      <c r="G1619" s="32" t="s">
        <v>38</v>
      </c>
      <c r="H1619" s="32" t="s">
        <v>4336</v>
      </c>
      <c r="I1619" s="32" t="s">
        <v>39</v>
      </c>
      <c r="J1619" s="32" t="s">
        <v>40</v>
      </c>
      <c r="K1619" s="32" t="s">
        <v>41</v>
      </c>
    </row>
    <row r="1620" spans="1:12" hidden="1" x14ac:dyDescent="0.3">
      <c r="A1620" s="39">
        <v>46154.56832175926</v>
      </c>
      <c r="B1620" s="32" t="s">
        <v>48</v>
      </c>
      <c r="C1620" s="32">
        <v>4430562296</v>
      </c>
      <c r="E1620" s="32">
        <v>564</v>
      </c>
      <c r="F1620" s="32">
        <v>553</v>
      </c>
      <c r="G1620" s="32" t="s">
        <v>38</v>
      </c>
      <c r="H1620" s="32" t="s">
        <v>4337</v>
      </c>
      <c r="I1620" s="32" t="s">
        <v>46</v>
      </c>
      <c r="J1620" s="32" t="s">
        <v>40</v>
      </c>
    </row>
    <row r="1621" spans="1:12" hidden="1" x14ac:dyDescent="0.3">
      <c r="A1621" s="39">
        <v>46154.568229166667</v>
      </c>
      <c r="B1621" s="32" t="s">
        <v>48</v>
      </c>
      <c r="C1621" s="32">
        <v>4430562296</v>
      </c>
      <c r="E1621" s="32">
        <v>25</v>
      </c>
      <c r="F1621" s="32">
        <v>24</v>
      </c>
      <c r="G1621" s="32" t="s">
        <v>38</v>
      </c>
      <c r="H1621" s="32" t="s">
        <v>4338</v>
      </c>
      <c r="I1621" s="32" t="s">
        <v>46</v>
      </c>
      <c r="J1621" s="32" t="s">
        <v>40</v>
      </c>
    </row>
    <row r="1622" spans="1:12" hidden="1" x14ac:dyDescent="0.3">
      <c r="A1622" s="39">
        <v>46154.567893518521</v>
      </c>
      <c r="B1622" s="32">
        <v>4436351138</v>
      </c>
      <c r="C1622" s="32" t="s">
        <v>44</v>
      </c>
      <c r="D1622" s="32">
        <v>4430265054</v>
      </c>
      <c r="E1622" s="32">
        <v>403</v>
      </c>
      <c r="F1622" s="32">
        <v>380</v>
      </c>
      <c r="G1622" s="32" t="s">
        <v>38</v>
      </c>
      <c r="H1622" s="32" t="s">
        <v>4339</v>
      </c>
      <c r="I1622" s="32" t="s">
        <v>39</v>
      </c>
      <c r="J1622" s="32" t="s">
        <v>40</v>
      </c>
      <c r="K1622" s="32" t="s">
        <v>41</v>
      </c>
    </row>
    <row r="1623" spans="1:12" hidden="1" x14ac:dyDescent="0.3">
      <c r="A1623" s="39">
        <v>46154.566469907404</v>
      </c>
      <c r="B1623" s="32">
        <v>11985836640</v>
      </c>
      <c r="C1623" s="32" t="s">
        <v>45</v>
      </c>
      <c r="D1623" s="32">
        <v>4430265054</v>
      </c>
      <c r="E1623" s="32">
        <v>1731</v>
      </c>
      <c r="F1623" s="32">
        <v>1697</v>
      </c>
      <c r="G1623" s="32" t="s">
        <v>38</v>
      </c>
      <c r="H1623" s="32" t="s">
        <v>4340</v>
      </c>
      <c r="I1623" s="32" t="s">
        <v>39</v>
      </c>
      <c r="J1623" s="32" t="s">
        <v>40</v>
      </c>
      <c r="K1623" s="32" t="s">
        <v>41</v>
      </c>
      <c r="L1623" s="32">
        <v>5</v>
      </c>
    </row>
    <row r="1624" spans="1:12" hidden="1" x14ac:dyDescent="0.3">
      <c r="A1624" s="39">
        <v>46154.566157407404</v>
      </c>
      <c r="B1624" s="32" t="s">
        <v>43</v>
      </c>
      <c r="C1624" s="32">
        <v>44988255390</v>
      </c>
      <c r="E1624" s="32">
        <v>1051</v>
      </c>
      <c r="F1624" s="32">
        <v>1040</v>
      </c>
      <c r="G1624" s="32" t="s">
        <v>38</v>
      </c>
      <c r="H1624" s="32" t="s">
        <v>4341</v>
      </c>
      <c r="I1624" s="32" t="s">
        <v>46</v>
      </c>
      <c r="J1624" s="32" t="s">
        <v>40</v>
      </c>
    </row>
    <row r="1625" spans="1:12" hidden="1" x14ac:dyDescent="0.3">
      <c r="A1625" s="39">
        <v>46154.566087962965</v>
      </c>
      <c r="B1625" s="32" t="s">
        <v>43</v>
      </c>
      <c r="C1625" s="32">
        <v>44988255390</v>
      </c>
      <c r="E1625" s="32">
        <v>5</v>
      </c>
      <c r="F1625" s="32">
        <v>0</v>
      </c>
      <c r="G1625" s="32" t="s">
        <v>47</v>
      </c>
      <c r="H1625" s="32" t="s">
        <v>4342</v>
      </c>
      <c r="I1625" s="32" t="s">
        <v>46</v>
      </c>
      <c r="J1625" s="32" t="s">
        <v>40</v>
      </c>
    </row>
    <row r="1626" spans="1:12" hidden="1" x14ac:dyDescent="0.3">
      <c r="A1626" s="39">
        <v>46154.564259259256</v>
      </c>
      <c r="B1626" s="32">
        <v>44998555192</v>
      </c>
      <c r="C1626" s="32" t="s">
        <v>43</v>
      </c>
      <c r="D1626" s="32">
        <v>4430265054</v>
      </c>
      <c r="E1626" s="32">
        <v>124</v>
      </c>
      <c r="F1626" s="32">
        <v>95</v>
      </c>
      <c r="G1626" s="32" t="s">
        <v>38</v>
      </c>
      <c r="H1626" s="32" t="s">
        <v>4343</v>
      </c>
      <c r="I1626" s="32" t="s">
        <v>39</v>
      </c>
      <c r="J1626" s="32" t="s">
        <v>40</v>
      </c>
      <c r="K1626" s="32" t="s">
        <v>41</v>
      </c>
    </row>
    <row r="1627" spans="1:12" hidden="1" x14ac:dyDescent="0.3">
      <c r="A1627" s="39">
        <v>46154.564004629632</v>
      </c>
      <c r="B1627" s="32" t="s">
        <v>43</v>
      </c>
      <c r="C1627" s="32">
        <v>41998909974</v>
      </c>
      <c r="E1627" s="32">
        <v>30</v>
      </c>
      <c r="F1627" s="32">
        <v>22</v>
      </c>
      <c r="G1627" s="32" t="s">
        <v>38</v>
      </c>
      <c r="H1627" s="32" t="s">
        <v>4344</v>
      </c>
      <c r="I1627" s="32" t="s">
        <v>46</v>
      </c>
      <c r="J1627" s="32" t="s">
        <v>40</v>
      </c>
    </row>
    <row r="1628" spans="1:12" hidden="1" x14ac:dyDescent="0.3">
      <c r="A1628" s="39">
        <v>46154.562905092593</v>
      </c>
      <c r="B1628" s="32">
        <v>4430562296</v>
      </c>
      <c r="C1628" s="32" t="s">
        <v>48</v>
      </c>
      <c r="D1628" s="32">
        <v>4430265054</v>
      </c>
      <c r="E1628" s="32">
        <v>451</v>
      </c>
      <c r="F1628" s="32">
        <v>415</v>
      </c>
      <c r="G1628" s="32" t="s">
        <v>38</v>
      </c>
      <c r="H1628" s="32" t="s">
        <v>4345</v>
      </c>
      <c r="I1628" s="32" t="s">
        <v>39</v>
      </c>
      <c r="J1628" s="32" t="s">
        <v>40</v>
      </c>
      <c r="K1628" s="32" t="s">
        <v>41</v>
      </c>
    </row>
    <row r="1629" spans="1:12" hidden="1" x14ac:dyDescent="0.3">
      <c r="A1629" s="39">
        <v>46154.562650462962</v>
      </c>
      <c r="B1629" s="32">
        <v>44991234625</v>
      </c>
      <c r="C1629" s="32" t="s">
        <v>37</v>
      </c>
      <c r="D1629" s="32">
        <v>4430265054</v>
      </c>
      <c r="E1629" s="32">
        <v>2065</v>
      </c>
      <c r="F1629" s="32">
        <v>2016</v>
      </c>
      <c r="G1629" s="32" t="s">
        <v>38</v>
      </c>
      <c r="H1629" s="32" t="s">
        <v>4346</v>
      </c>
      <c r="I1629" s="32" t="s">
        <v>39</v>
      </c>
      <c r="J1629" s="32" t="s">
        <v>40</v>
      </c>
      <c r="K1629" s="32" t="s">
        <v>41</v>
      </c>
      <c r="L1629" s="32">
        <v>5</v>
      </c>
    </row>
    <row r="1630" spans="1:12" hidden="1" x14ac:dyDescent="0.3">
      <c r="A1630" s="39">
        <v>46154.558472222219</v>
      </c>
      <c r="B1630" s="32">
        <v>44991234625</v>
      </c>
      <c r="C1630" s="32">
        <v>4430265054</v>
      </c>
      <c r="D1630" s="32">
        <v>4430265054</v>
      </c>
      <c r="E1630" s="32">
        <v>12</v>
      </c>
      <c r="F1630" s="32">
        <v>11</v>
      </c>
      <c r="G1630" s="32" t="s">
        <v>52</v>
      </c>
      <c r="H1630" s="32" t="s">
        <v>4347</v>
      </c>
      <c r="I1630" s="32" t="s">
        <v>39</v>
      </c>
      <c r="J1630" s="32" t="s">
        <v>53</v>
      </c>
    </row>
    <row r="1631" spans="1:12" hidden="1" x14ac:dyDescent="0.3">
      <c r="A1631" s="39">
        <v>46154.553506944445</v>
      </c>
      <c r="B1631" s="32">
        <v>6236387459</v>
      </c>
      <c r="C1631" s="32">
        <v>4430265054</v>
      </c>
      <c r="D1631" s="32">
        <v>4430265054</v>
      </c>
      <c r="E1631" s="32">
        <v>29</v>
      </c>
      <c r="F1631" s="32">
        <v>28</v>
      </c>
      <c r="G1631" s="32" t="s">
        <v>52</v>
      </c>
      <c r="H1631" s="32" t="s">
        <v>4348</v>
      </c>
      <c r="I1631" s="32" t="s">
        <v>39</v>
      </c>
      <c r="J1631" s="32" t="s">
        <v>53</v>
      </c>
    </row>
    <row r="1632" spans="1:12" hidden="1" x14ac:dyDescent="0.3">
      <c r="A1632" s="39">
        <v>46154.490798611114</v>
      </c>
      <c r="B1632" s="32">
        <v>4121413772</v>
      </c>
      <c r="C1632" s="32" t="s">
        <v>45</v>
      </c>
      <c r="D1632" s="32">
        <v>4531273161</v>
      </c>
      <c r="E1632" s="32">
        <v>46</v>
      </c>
      <c r="F1632" s="32">
        <v>7</v>
      </c>
      <c r="G1632" s="32" t="s">
        <v>38</v>
      </c>
      <c r="H1632" s="32" t="s">
        <v>4349</v>
      </c>
      <c r="I1632" s="32" t="s">
        <v>39</v>
      </c>
      <c r="J1632" s="32" t="s">
        <v>40</v>
      </c>
      <c r="K1632" s="32" t="s">
        <v>41</v>
      </c>
    </row>
    <row r="1633" spans="1:12" hidden="1" x14ac:dyDescent="0.3">
      <c r="A1633" s="39">
        <v>46154.484386574077</v>
      </c>
      <c r="B1633" s="32">
        <v>44984321102</v>
      </c>
      <c r="C1633" s="32" t="s">
        <v>44</v>
      </c>
      <c r="D1633" s="32">
        <v>4430265054</v>
      </c>
      <c r="E1633" s="32">
        <v>1280</v>
      </c>
      <c r="F1633" s="32">
        <v>1246</v>
      </c>
      <c r="G1633" s="32" t="s">
        <v>38</v>
      </c>
      <c r="H1633" s="32" t="s">
        <v>4350</v>
      </c>
      <c r="I1633" s="32" t="s">
        <v>39</v>
      </c>
      <c r="J1633" s="32" t="s">
        <v>40</v>
      </c>
      <c r="K1633" s="32" t="s">
        <v>41</v>
      </c>
      <c r="L1633" s="32">
        <v>5</v>
      </c>
    </row>
    <row r="1634" spans="1:12" hidden="1" x14ac:dyDescent="0.3">
      <c r="A1634" s="39">
        <v>46154.477650462963</v>
      </c>
      <c r="B1634" s="32">
        <v>4121418164</v>
      </c>
      <c r="C1634" s="32">
        <v>4531273159</v>
      </c>
      <c r="D1634" s="32">
        <v>4531273159</v>
      </c>
      <c r="E1634" s="32">
        <v>47</v>
      </c>
      <c r="F1634" s="32">
        <v>46</v>
      </c>
      <c r="G1634" s="32" t="s">
        <v>52</v>
      </c>
      <c r="H1634" s="32" t="s">
        <v>4351</v>
      </c>
      <c r="I1634" s="32" t="s">
        <v>39</v>
      </c>
      <c r="J1634" s="32" t="s">
        <v>53</v>
      </c>
      <c r="K1634" s="32" t="s">
        <v>41</v>
      </c>
    </row>
    <row r="1635" spans="1:12" hidden="1" x14ac:dyDescent="0.3">
      <c r="A1635" s="39">
        <v>46154.469537037039</v>
      </c>
      <c r="B1635" s="32">
        <v>41998909974</v>
      </c>
      <c r="C1635" s="32" t="s">
        <v>43</v>
      </c>
      <c r="D1635" s="32">
        <v>4430265054</v>
      </c>
      <c r="E1635" s="32">
        <v>339</v>
      </c>
      <c r="F1635" s="32">
        <v>300</v>
      </c>
      <c r="G1635" s="32" t="s">
        <v>38</v>
      </c>
      <c r="H1635" s="32" t="s">
        <v>4352</v>
      </c>
      <c r="I1635" s="32" t="s">
        <v>39</v>
      </c>
      <c r="J1635" s="32" t="s">
        <v>40</v>
      </c>
      <c r="K1635" s="32" t="s">
        <v>41</v>
      </c>
    </row>
    <row r="1636" spans="1:12" hidden="1" x14ac:dyDescent="0.3">
      <c r="A1636" s="39">
        <v>46154.468599537038</v>
      </c>
      <c r="B1636" s="32">
        <v>43999965552</v>
      </c>
      <c r="C1636" s="32" t="s">
        <v>37</v>
      </c>
      <c r="D1636" s="32">
        <v>4430265054</v>
      </c>
      <c r="E1636" s="32">
        <v>2453</v>
      </c>
      <c r="F1636" s="32">
        <v>2409</v>
      </c>
      <c r="G1636" s="32" t="s">
        <v>38</v>
      </c>
      <c r="H1636" s="32" t="s">
        <v>4353</v>
      </c>
      <c r="I1636" s="32" t="s">
        <v>39</v>
      </c>
      <c r="J1636" s="32" t="s">
        <v>40</v>
      </c>
      <c r="K1636" s="32" t="s">
        <v>41</v>
      </c>
      <c r="L1636" s="32">
        <v>5</v>
      </c>
    </row>
    <row r="1637" spans="1:12" hidden="1" x14ac:dyDescent="0.3">
      <c r="A1637" s="39">
        <v>46154.467222222222</v>
      </c>
      <c r="B1637" s="32">
        <v>4430282545</v>
      </c>
      <c r="C1637" s="32" t="s">
        <v>45</v>
      </c>
      <c r="D1637" s="32">
        <v>4430265054</v>
      </c>
      <c r="E1637" s="32">
        <v>1679</v>
      </c>
      <c r="F1637" s="32">
        <v>1593</v>
      </c>
      <c r="G1637" s="32" t="s">
        <v>38</v>
      </c>
      <c r="H1637" s="32" t="s">
        <v>4354</v>
      </c>
      <c r="I1637" s="32" t="s">
        <v>39</v>
      </c>
      <c r="J1637" s="32" t="s">
        <v>40</v>
      </c>
      <c r="K1637" s="32" t="s">
        <v>41</v>
      </c>
      <c r="L1637" s="32">
        <v>5</v>
      </c>
    </row>
    <row r="1638" spans="1:12" hidden="1" x14ac:dyDescent="0.3">
      <c r="A1638" s="39">
        <v>46154.466550925928</v>
      </c>
      <c r="B1638" s="32" t="s">
        <v>48</v>
      </c>
      <c r="C1638" s="32">
        <v>44998555192</v>
      </c>
      <c r="E1638" s="32">
        <v>182</v>
      </c>
      <c r="F1638" s="32">
        <v>165</v>
      </c>
      <c r="G1638" s="32" t="s">
        <v>38</v>
      </c>
      <c r="H1638" s="32" t="s">
        <v>4355</v>
      </c>
      <c r="I1638" s="32" t="s">
        <v>46</v>
      </c>
      <c r="J1638" s="32" t="s">
        <v>40</v>
      </c>
    </row>
    <row r="1639" spans="1:12" hidden="1" x14ac:dyDescent="0.3">
      <c r="A1639" s="39">
        <v>46154.46266203704</v>
      </c>
      <c r="B1639" s="32">
        <v>44988255390</v>
      </c>
      <c r="C1639" s="32" t="s">
        <v>43</v>
      </c>
      <c r="D1639" s="32">
        <v>4430265054</v>
      </c>
      <c r="E1639" s="32">
        <v>289</v>
      </c>
      <c r="F1639" s="32">
        <v>253</v>
      </c>
      <c r="G1639" s="32" t="s">
        <v>38</v>
      </c>
      <c r="H1639" s="32" t="s">
        <v>4356</v>
      </c>
      <c r="I1639" s="32" t="s">
        <v>39</v>
      </c>
      <c r="J1639" s="32" t="s">
        <v>40</v>
      </c>
      <c r="K1639" s="32" t="s">
        <v>41</v>
      </c>
    </row>
    <row r="1640" spans="1:12" hidden="1" x14ac:dyDescent="0.3">
      <c r="A1640" s="39">
        <v>46154.462164351855</v>
      </c>
      <c r="B1640" s="32">
        <v>44988255390</v>
      </c>
      <c r="C1640" s="32">
        <v>4430265054</v>
      </c>
      <c r="D1640" s="32">
        <v>4430265054</v>
      </c>
      <c r="E1640" s="32">
        <v>22</v>
      </c>
      <c r="F1640" s="32">
        <v>22</v>
      </c>
      <c r="G1640" s="32" t="s">
        <v>52</v>
      </c>
      <c r="H1640" s="32" t="s">
        <v>4357</v>
      </c>
      <c r="I1640" s="32" t="s">
        <v>39</v>
      </c>
      <c r="J1640" s="32" t="s">
        <v>53</v>
      </c>
    </row>
    <row r="1641" spans="1:12" hidden="1" x14ac:dyDescent="0.3">
      <c r="A1641" s="39">
        <v>46154.4609837963</v>
      </c>
      <c r="B1641" s="32">
        <v>4121414966</v>
      </c>
      <c r="C1641" s="32" t="s">
        <v>43</v>
      </c>
      <c r="D1641" s="32">
        <v>4531273162</v>
      </c>
      <c r="E1641" s="32">
        <v>47</v>
      </c>
      <c r="F1641" s="32">
        <v>9</v>
      </c>
      <c r="G1641" s="32" t="s">
        <v>38</v>
      </c>
      <c r="H1641" s="32" t="s">
        <v>4358</v>
      </c>
      <c r="I1641" s="32" t="s">
        <v>39</v>
      </c>
      <c r="J1641" s="32" t="s">
        <v>40</v>
      </c>
      <c r="K1641" s="32" t="s">
        <v>41</v>
      </c>
    </row>
    <row r="1642" spans="1:12" hidden="1" x14ac:dyDescent="0.3">
      <c r="A1642" s="39">
        <v>46154.455925925926</v>
      </c>
      <c r="B1642" s="32">
        <v>4430162384</v>
      </c>
      <c r="C1642" s="32" t="s">
        <v>43</v>
      </c>
      <c r="D1642" s="32">
        <v>4430265054</v>
      </c>
      <c r="E1642" s="32">
        <v>141</v>
      </c>
      <c r="F1642" s="32">
        <v>126</v>
      </c>
      <c r="G1642" s="32" t="s">
        <v>38</v>
      </c>
      <c r="H1642" s="32" t="s">
        <v>4359</v>
      </c>
      <c r="I1642" s="32" t="s">
        <v>39</v>
      </c>
      <c r="J1642" s="32" t="s">
        <v>40</v>
      </c>
      <c r="K1642" s="32" t="s">
        <v>41</v>
      </c>
    </row>
    <row r="1643" spans="1:12" hidden="1" x14ac:dyDescent="0.3">
      <c r="A1643" s="39">
        <v>46154.454814814817</v>
      </c>
      <c r="B1643" s="32">
        <v>4430162376</v>
      </c>
      <c r="C1643" s="32">
        <v>4430265054</v>
      </c>
      <c r="D1643" s="32">
        <v>4430265054</v>
      </c>
      <c r="E1643" s="32">
        <v>73</v>
      </c>
      <c r="F1643" s="32">
        <v>73</v>
      </c>
      <c r="G1643" s="32" t="s">
        <v>52</v>
      </c>
      <c r="H1643" s="32" t="s">
        <v>4360</v>
      </c>
      <c r="I1643" s="32" t="s">
        <v>39</v>
      </c>
      <c r="J1643" s="32" t="s">
        <v>53</v>
      </c>
      <c r="K1643" s="32" t="s">
        <v>41</v>
      </c>
    </row>
    <row r="1644" spans="1:12" hidden="1" x14ac:dyDescent="0.3">
      <c r="A1644" s="39">
        <v>46154.454583333332</v>
      </c>
      <c r="B1644" s="32">
        <v>41999195082</v>
      </c>
      <c r="C1644" s="32" t="s">
        <v>37</v>
      </c>
      <c r="D1644" s="32">
        <v>4430265054</v>
      </c>
      <c r="E1644" s="32">
        <v>1007</v>
      </c>
      <c r="F1644" s="32">
        <v>940</v>
      </c>
      <c r="G1644" s="32" t="s">
        <v>38</v>
      </c>
      <c r="H1644" s="32" t="s">
        <v>4361</v>
      </c>
      <c r="I1644" s="32" t="s">
        <v>39</v>
      </c>
      <c r="J1644" s="32" t="s">
        <v>40</v>
      </c>
      <c r="K1644" s="32" t="s">
        <v>41</v>
      </c>
    </row>
    <row r="1645" spans="1:12" hidden="1" x14ac:dyDescent="0.3">
      <c r="A1645" s="39">
        <v>46154.45385416667</v>
      </c>
      <c r="B1645" s="32" t="s">
        <v>54</v>
      </c>
      <c r="C1645" s="32">
        <v>37991365919</v>
      </c>
      <c r="E1645" s="32">
        <v>4</v>
      </c>
      <c r="F1645" s="32">
        <v>1</v>
      </c>
      <c r="G1645" s="32" t="s">
        <v>38</v>
      </c>
      <c r="H1645" s="32" t="s">
        <v>4362</v>
      </c>
      <c r="I1645" s="32" t="s">
        <v>46</v>
      </c>
      <c r="J1645" s="32" t="s">
        <v>55</v>
      </c>
    </row>
    <row r="1646" spans="1:12" hidden="1" x14ac:dyDescent="0.3">
      <c r="A1646" s="39">
        <v>46154.45349537037</v>
      </c>
      <c r="B1646" s="32">
        <v>4121414966</v>
      </c>
      <c r="C1646" s="32">
        <v>4531273164</v>
      </c>
      <c r="D1646" s="32">
        <v>4531273164</v>
      </c>
      <c r="E1646" s="32">
        <v>48</v>
      </c>
      <c r="F1646" s="32">
        <v>48</v>
      </c>
      <c r="G1646" s="32" t="s">
        <v>52</v>
      </c>
      <c r="H1646" s="32" t="s">
        <v>4363</v>
      </c>
      <c r="I1646" s="32" t="s">
        <v>39</v>
      </c>
      <c r="J1646" s="32" t="s">
        <v>53</v>
      </c>
      <c r="K1646" s="32" t="s">
        <v>41</v>
      </c>
    </row>
    <row r="1647" spans="1:12" hidden="1" x14ac:dyDescent="0.3">
      <c r="A1647" s="39">
        <v>46154.448819444442</v>
      </c>
      <c r="B1647" s="32" t="s">
        <v>48</v>
      </c>
      <c r="C1647" s="32">
        <v>4436249360</v>
      </c>
      <c r="E1647" s="32">
        <v>134</v>
      </c>
      <c r="F1647" s="32">
        <v>122</v>
      </c>
      <c r="G1647" s="32" t="s">
        <v>38</v>
      </c>
      <c r="H1647" s="32" t="s">
        <v>4364</v>
      </c>
      <c r="I1647" s="32" t="s">
        <v>46</v>
      </c>
      <c r="J1647" s="32" t="s">
        <v>40</v>
      </c>
    </row>
    <row r="1648" spans="1:12" hidden="1" x14ac:dyDescent="0.3">
      <c r="A1648" s="39">
        <v>46154.44121527778</v>
      </c>
      <c r="B1648" s="32" t="s">
        <v>50</v>
      </c>
      <c r="C1648" s="32">
        <v>44998340386</v>
      </c>
      <c r="E1648" s="32">
        <v>13</v>
      </c>
      <c r="F1648" s="32">
        <v>0</v>
      </c>
      <c r="G1648" s="32" t="s">
        <v>47</v>
      </c>
      <c r="H1648" s="32" t="s">
        <v>4365</v>
      </c>
      <c r="I1648" s="32" t="s">
        <v>46</v>
      </c>
      <c r="J1648" s="32" t="s">
        <v>55</v>
      </c>
    </row>
    <row r="1649" spans="1:11" hidden="1" x14ac:dyDescent="0.3">
      <c r="A1649" s="39">
        <v>46154.429988425924</v>
      </c>
      <c r="B1649" s="32" t="s">
        <v>44</v>
      </c>
      <c r="C1649" s="32">
        <v>44998555192</v>
      </c>
      <c r="E1649" s="32">
        <v>58</v>
      </c>
      <c r="F1649" s="32">
        <v>51</v>
      </c>
      <c r="G1649" s="32" t="s">
        <v>38</v>
      </c>
      <c r="H1649" s="32" t="s">
        <v>4366</v>
      </c>
      <c r="I1649" s="32" t="s">
        <v>46</v>
      </c>
      <c r="J1649" s="32" t="s">
        <v>40</v>
      </c>
    </row>
    <row r="1650" spans="1:11" hidden="1" x14ac:dyDescent="0.3">
      <c r="A1650" s="39">
        <v>46154.428622685184</v>
      </c>
      <c r="B1650" s="32">
        <v>4430153709</v>
      </c>
      <c r="C1650" s="32" t="s">
        <v>45</v>
      </c>
      <c r="D1650" s="32">
        <v>4430265054</v>
      </c>
      <c r="E1650" s="32">
        <v>3146</v>
      </c>
      <c r="F1650" s="32">
        <v>3005</v>
      </c>
      <c r="G1650" s="32" t="s">
        <v>38</v>
      </c>
      <c r="H1650" s="32" t="s">
        <v>4367</v>
      </c>
      <c r="I1650" s="32" t="s">
        <v>39</v>
      </c>
      <c r="J1650" s="32" t="s">
        <v>40</v>
      </c>
      <c r="K1650" s="32" t="s">
        <v>41</v>
      </c>
    </row>
    <row r="1651" spans="1:11" hidden="1" x14ac:dyDescent="0.3">
      <c r="A1651" s="39">
        <v>46154.428171296298</v>
      </c>
      <c r="B1651" s="32" t="s">
        <v>37</v>
      </c>
      <c r="C1651" s="32">
        <v>41995061279</v>
      </c>
      <c r="E1651" s="32">
        <v>208</v>
      </c>
      <c r="F1651" s="32">
        <v>200</v>
      </c>
      <c r="G1651" s="32" t="s">
        <v>38</v>
      </c>
      <c r="H1651" s="32" t="s">
        <v>4368</v>
      </c>
      <c r="I1651" s="32" t="s">
        <v>46</v>
      </c>
      <c r="J1651" s="32" t="s">
        <v>40</v>
      </c>
    </row>
    <row r="1652" spans="1:11" hidden="1" x14ac:dyDescent="0.3">
      <c r="A1652" s="39">
        <v>46154.426562499997</v>
      </c>
      <c r="B1652" s="32" t="s">
        <v>44</v>
      </c>
      <c r="C1652" s="32">
        <v>44998555192</v>
      </c>
      <c r="E1652" s="32">
        <v>16</v>
      </c>
      <c r="F1652" s="32">
        <v>0</v>
      </c>
      <c r="G1652" s="32" t="s">
        <v>47</v>
      </c>
      <c r="H1652" s="32" t="s">
        <v>4369</v>
      </c>
      <c r="I1652" s="32" t="s">
        <v>46</v>
      </c>
      <c r="J1652" s="32" t="s">
        <v>40</v>
      </c>
    </row>
    <row r="1653" spans="1:11" hidden="1" x14ac:dyDescent="0.3">
      <c r="A1653" s="39">
        <v>46154.420011574075</v>
      </c>
      <c r="B1653" s="32" t="s">
        <v>37</v>
      </c>
      <c r="C1653" s="32">
        <v>41995061279</v>
      </c>
      <c r="E1653" s="32">
        <v>48</v>
      </c>
      <c r="F1653" s="32">
        <v>36</v>
      </c>
      <c r="G1653" s="32" t="s">
        <v>38</v>
      </c>
      <c r="H1653" s="32" t="s">
        <v>4370</v>
      </c>
      <c r="I1653" s="32" t="s">
        <v>46</v>
      </c>
      <c r="J1653" s="32" t="s">
        <v>40</v>
      </c>
    </row>
    <row r="1654" spans="1:11" hidden="1" x14ac:dyDescent="0.3">
      <c r="A1654" s="39">
        <v>46154.419479166667</v>
      </c>
      <c r="B1654" s="32" t="s">
        <v>37</v>
      </c>
      <c r="C1654" s="32">
        <v>41995061279</v>
      </c>
      <c r="E1654" s="32">
        <v>6</v>
      </c>
      <c r="F1654" s="32">
        <v>0</v>
      </c>
      <c r="G1654" s="32" t="s">
        <v>47</v>
      </c>
      <c r="H1654" s="32" t="s">
        <v>4371</v>
      </c>
      <c r="I1654" s="32" t="s">
        <v>46</v>
      </c>
      <c r="J1654" s="32" t="s">
        <v>40</v>
      </c>
    </row>
    <row r="1655" spans="1:11" hidden="1" x14ac:dyDescent="0.3">
      <c r="A1655" s="39">
        <v>46154.419305555559</v>
      </c>
      <c r="B1655" s="32">
        <v>41995061279</v>
      </c>
      <c r="C1655" s="32">
        <v>4430265054</v>
      </c>
      <c r="D1655" s="32">
        <v>4430265054</v>
      </c>
      <c r="E1655" s="32">
        <v>37</v>
      </c>
      <c r="F1655" s="32">
        <v>37</v>
      </c>
      <c r="G1655" s="32" t="s">
        <v>52</v>
      </c>
      <c r="H1655" s="32" t="s">
        <v>4372</v>
      </c>
      <c r="I1655" s="32" t="s">
        <v>39</v>
      </c>
      <c r="J1655" s="32" t="s">
        <v>53</v>
      </c>
      <c r="K1655" s="32" t="s">
        <v>41</v>
      </c>
    </row>
    <row r="1656" spans="1:11" hidden="1" x14ac:dyDescent="0.3">
      <c r="A1656" s="39">
        <v>46154.419224537036</v>
      </c>
      <c r="B1656" s="32">
        <v>41995061279</v>
      </c>
      <c r="C1656" s="32">
        <v>4430265054</v>
      </c>
      <c r="D1656" s="32">
        <v>4430265054</v>
      </c>
      <c r="E1656" s="32">
        <v>2</v>
      </c>
      <c r="F1656" s="32">
        <v>2</v>
      </c>
      <c r="G1656" s="32" t="s">
        <v>52</v>
      </c>
      <c r="H1656" s="32" t="s">
        <v>4373</v>
      </c>
      <c r="I1656" s="32" t="s">
        <v>39</v>
      </c>
      <c r="J1656" s="32" t="s">
        <v>53</v>
      </c>
    </row>
    <row r="1657" spans="1:11" hidden="1" x14ac:dyDescent="0.3">
      <c r="A1657" s="39">
        <v>46154.418680555558</v>
      </c>
      <c r="B1657" s="32">
        <v>4436313773</v>
      </c>
      <c r="C1657" s="32" t="s">
        <v>37</v>
      </c>
      <c r="D1657" s="32">
        <v>4430265054</v>
      </c>
      <c r="E1657" s="32">
        <v>692</v>
      </c>
      <c r="F1657" s="32">
        <v>437</v>
      </c>
      <c r="G1657" s="32" t="s">
        <v>38</v>
      </c>
      <c r="H1657" s="32" t="s">
        <v>4374</v>
      </c>
      <c r="I1657" s="32" t="s">
        <v>39</v>
      </c>
      <c r="J1657" s="32" t="s">
        <v>40</v>
      </c>
      <c r="K1657" s="32" t="s">
        <v>41</v>
      </c>
    </row>
    <row r="1658" spans="1:11" hidden="1" x14ac:dyDescent="0.3">
      <c r="A1658" s="39">
        <v>46154.414814814816</v>
      </c>
      <c r="B1658" s="32">
        <v>41995061279</v>
      </c>
      <c r="C1658" s="32" t="s">
        <v>37</v>
      </c>
      <c r="D1658" s="32">
        <v>4430265054</v>
      </c>
      <c r="E1658" s="32">
        <v>376</v>
      </c>
      <c r="F1658" s="32">
        <v>295</v>
      </c>
      <c r="G1658" s="32" t="s">
        <v>38</v>
      </c>
      <c r="H1658" s="32" t="s">
        <v>4375</v>
      </c>
      <c r="I1658" s="32" t="s">
        <v>39</v>
      </c>
      <c r="J1658" s="32" t="s">
        <v>40</v>
      </c>
      <c r="K1658" s="32" t="s">
        <v>41</v>
      </c>
    </row>
    <row r="1659" spans="1:11" hidden="1" x14ac:dyDescent="0.3">
      <c r="A1659" s="39">
        <v>46154.41138888889</v>
      </c>
      <c r="B1659" s="32" t="s">
        <v>48</v>
      </c>
      <c r="C1659" s="32">
        <v>4436249360</v>
      </c>
      <c r="E1659" s="32">
        <v>309</v>
      </c>
      <c r="F1659" s="32">
        <v>297</v>
      </c>
      <c r="G1659" s="32" t="s">
        <v>38</v>
      </c>
      <c r="H1659" s="32" t="s">
        <v>4376</v>
      </c>
      <c r="I1659" s="32" t="s">
        <v>46</v>
      </c>
      <c r="J1659" s="32" t="s">
        <v>40</v>
      </c>
    </row>
    <row r="1660" spans="1:11" hidden="1" x14ac:dyDescent="0.3">
      <c r="A1660" s="39">
        <v>46154.406805555554</v>
      </c>
      <c r="B1660" s="32">
        <v>44998555192</v>
      </c>
      <c r="C1660" s="32" t="s">
        <v>37</v>
      </c>
      <c r="D1660" s="32">
        <v>4430265054</v>
      </c>
      <c r="E1660" s="32">
        <v>201</v>
      </c>
      <c r="F1660" s="32">
        <v>112</v>
      </c>
      <c r="G1660" s="32" t="s">
        <v>38</v>
      </c>
      <c r="H1660" s="32" t="s">
        <v>4377</v>
      </c>
      <c r="I1660" s="32" t="s">
        <v>39</v>
      </c>
      <c r="J1660" s="32" t="s">
        <v>40</v>
      </c>
      <c r="K1660" s="32" t="s">
        <v>41</v>
      </c>
    </row>
    <row r="1661" spans="1:11" hidden="1" x14ac:dyDescent="0.3">
      <c r="A1661" s="39">
        <v>46154.404965277776</v>
      </c>
      <c r="B1661" s="32" t="s">
        <v>37</v>
      </c>
      <c r="C1661" s="32">
        <v>44984361000</v>
      </c>
      <c r="E1661" s="32">
        <v>82</v>
      </c>
      <c r="F1661" s="32">
        <v>79</v>
      </c>
      <c r="G1661" s="32" t="s">
        <v>38</v>
      </c>
      <c r="H1661" s="32" t="s">
        <v>4378</v>
      </c>
      <c r="I1661" s="32" t="s">
        <v>46</v>
      </c>
      <c r="J1661" s="32" t="s">
        <v>40</v>
      </c>
    </row>
    <row r="1662" spans="1:11" hidden="1" x14ac:dyDescent="0.3">
      <c r="A1662" s="39">
        <v>46154.404282407406</v>
      </c>
      <c r="B1662" s="32" t="s">
        <v>37</v>
      </c>
      <c r="C1662" s="32">
        <v>44984198651</v>
      </c>
      <c r="E1662" s="32">
        <v>19</v>
      </c>
      <c r="F1662" s="32">
        <v>0</v>
      </c>
      <c r="G1662" s="32" t="s">
        <v>47</v>
      </c>
      <c r="H1662" s="32" t="s">
        <v>4379</v>
      </c>
      <c r="I1662" s="32" t="s">
        <v>46</v>
      </c>
      <c r="J1662" s="32" t="s">
        <v>40</v>
      </c>
    </row>
    <row r="1663" spans="1:11" hidden="1" x14ac:dyDescent="0.3">
      <c r="A1663" s="39">
        <v>46154.401273148149</v>
      </c>
      <c r="B1663" s="32">
        <v>4432637197</v>
      </c>
      <c r="C1663" s="32" t="s">
        <v>45</v>
      </c>
      <c r="D1663" s="32">
        <v>4430265054</v>
      </c>
      <c r="E1663" s="32">
        <v>1784</v>
      </c>
      <c r="F1663" s="32">
        <v>1749</v>
      </c>
      <c r="G1663" s="32" t="s">
        <v>38</v>
      </c>
      <c r="H1663" s="32" t="s">
        <v>4380</v>
      </c>
      <c r="I1663" s="32" t="s">
        <v>39</v>
      </c>
      <c r="J1663" s="32" t="s">
        <v>40</v>
      </c>
      <c r="K1663" s="32" t="s">
        <v>41</v>
      </c>
    </row>
    <row r="1664" spans="1:11" hidden="1" x14ac:dyDescent="0.3">
      <c r="A1664" s="39">
        <v>46154.398043981484</v>
      </c>
      <c r="B1664" s="32" t="s">
        <v>37</v>
      </c>
      <c r="C1664" s="32">
        <v>4430314943</v>
      </c>
      <c r="E1664" s="32">
        <v>43</v>
      </c>
      <c r="F1664" s="32">
        <v>0</v>
      </c>
      <c r="G1664" s="32" t="s">
        <v>47</v>
      </c>
      <c r="H1664" s="32" t="s">
        <v>4381</v>
      </c>
      <c r="I1664" s="32" t="s">
        <v>46</v>
      </c>
      <c r="J1664" s="32" t="s">
        <v>40</v>
      </c>
    </row>
    <row r="1665" spans="1:12" hidden="1" x14ac:dyDescent="0.3">
      <c r="A1665" s="39">
        <v>46154.387453703705</v>
      </c>
      <c r="B1665" s="32">
        <v>4532541802</v>
      </c>
      <c r="C1665" s="32" t="s">
        <v>43</v>
      </c>
      <c r="D1665" s="32">
        <v>4430265054</v>
      </c>
      <c r="E1665" s="32">
        <v>196</v>
      </c>
      <c r="F1665" s="32">
        <v>159</v>
      </c>
      <c r="G1665" s="32" t="s">
        <v>38</v>
      </c>
      <c r="H1665" s="32" t="s">
        <v>4382</v>
      </c>
      <c r="I1665" s="32" t="s">
        <v>39</v>
      </c>
      <c r="J1665" s="32" t="s">
        <v>40</v>
      </c>
      <c r="K1665" s="32" t="s">
        <v>41</v>
      </c>
    </row>
    <row r="1666" spans="1:12" hidden="1" x14ac:dyDescent="0.3">
      <c r="A1666" s="39">
        <v>46154.382997685185</v>
      </c>
      <c r="B1666" s="32" t="s">
        <v>44</v>
      </c>
      <c r="C1666" s="32">
        <v>44998555192</v>
      </c>
      <c r="E1666" s="32">
        <v>667</v>
      </c>
      <c r="F1666" s="32">
        <v>657</v>
      </c>
      <c r="G1666" s="32" t="s">
        <v>38</v>
      </c>
      <c r="H1666" s="32" t="s">
        <v>4383</v>
      </c>
      <c r="I1666" s="32" t="s">
        <v>46</v>
      </c>
      <c r="J1666" s="32" t="s">
        <v>40</v>
      </c>
    </row>
    <row r="1667" spans="1:12" hidden="1" x14ac:dyDescent="0.3">
      <c r="A1667" s="39">
        <v>46154.382939814815</v>
      </c>
      <c r="B1667" s="32" t="s">
        <v>44</v>
      </c>
      <c r="C1667" s="32">
        <v>44998555192</v>
      </c>
      <c r="E1667" s="32">
        <v>4</v>
      </c>
      <c r="F1667" s="32">
        <v>0</v>
      </c>
      <c r="G1667" s="32" t="s">
        <v>47</v>
      </c>
      <c r="H1667" s="32" t="s">
        <v>4384</v>
      </c>
      <c r="I1667" s="32" t="s">
        <v>46</v>
      </c>
      <c r="J1667" s="32" t="s">
        <v>40</v>
      </c>
    </row>
    <row r="1668" spans="1:12" hidden="1" x14ac:dyDescent="0.3">
      <c r="A1668" s="39">
        <v>46154.380543981482</v>
      </c>
      <c r="B1668" s="32" t="s">
        <v>50</v>
      </c>
      <c r="C1668" s="32">
        <v>44999543026</v>
      </c>
      <c r="E1668" s="32">
        <v>6</v>
      </c>
      <c r="F1668" s="32">
        <v>0</v>
      </c>
      <c r="G1668" s="32" t="s">
        <v>47</v>
      </c>
      <c r="H1668" s="32" t="s">
        <v>4385</v>
      </c>
      <c r="I1668" s="32" t="s">
        <v>46</v>
      </c>
      <c r="J1668" s="32" t="s">
        <v>55</v>
      </c>
    </row>
    <row r="1669" spans="1:12" hidden="1" x14ac:dyDescent="0.3">
      <c r="A1669" s="39">
        <v>46154.38</v>
      </c>
      <c r="B1669" s="32" t="s">
        <v>50</v>
      </c>
      <c r="C1669" s="32">
        <v>44999543026</v>
      </c>
      <c r="E1669" s="32">
        <v>45</v>
      </c>
      <c r="F1669" s="32">
        <v>8</v>
      </c>
      <c r="G1669" s="32" t="s">
        <v>38</v>
      </c>
      <c r="H1669" s="32" t="s">
        <v>4386</v>
      </c>
      <c r="I1669" s="32" t="s">
        <v>46</v>
      </c>
      <c r="J1669" s="32" t="s">
        <v>55</v>
      </c>
    </row>
    <row r="1670" spans="1:12" hidden="1" x14ac:dyDescent="0.3">
      <c r="A1670" s="39">
        <v>46154.379918981482</v>
      </c>
      <c r="B1670" s="32" t="s">
        <v>50</v>
      </c>
      <c r="C1670" s="32">
        <v>44999543026</v>
      </c>
      <c r="E1670" s="32">
        <v>0</v>
      </c>
      <c r="F1670" s="32">
        <v>0</v>
      </c>
      <c r="G1670" s="32" t="s">
        <v>47</v>
      </c>
      <c r="H1670" s="32" t="s">
        <v>4387</v>
      </c>
      <c r="I1670" s="32" t="s">
        <v>46</v>
      </c>
      <c r="J1670" s="32" t="s">
        <v>55</v>
      </c>
    </row>
    <row r="1671" spans="1:12" hidden="1" x14ac:dyDescent="0.3">
      <c r="A1671" s="39">
        <v>46154.377858796295</v>
      </c>
      <c r="B1671" s="32" t="s">
        <v>50</v>
      </c>
      <c r="C1671" s="32" t="s">
        <v>57</v>
      </c>
      <c r="E1671" s="32">
        <v>138</v>
      </c>
      <c r="F1671" s="32">
        <v>134</v>
      </c>
      <c r="G1671" s="32" t="s">
        <v>38</v>
      </c>
      <c r="H1671" s="32" t="s">
        <v>4388</v>
      </c>
      <c r="I1671" s="32" t="s">
        <v>51</v>
      </c>
      <c r="J1671" s="32" t="s">
        <v>55</v>
      </c>
    </row>
    <row r="1672" spans="1:12" hidden="1" x14ac:dyDescent="0.3">
      <c r="A1672" s="39">
        <v>46154.375497685185</v>
      </c>
      <c r="B1672" s="32">
        <v>4133491428</v>
      </c>
      <c r="C1672" s="32" t="s">
        <v>43</v>
      </c>
      <c r="D1672" s="32">
        <v>4430265054</v>
      </c>
      <c r="E1672" s="32">
        <v>899</v>
      </c>
      <c r="F1672" s="32">
        <v>886</v>
      </c>
      <c r="G1672" s="32" t="s">
        <v>38</v>
      </c>
      <c r="H1672" s="32" t="s">
        <v>4389</v>
      </c>
      <c r="I1672" s="32" t="s">
        <v>39</v>
      </c>
      <c r="J1672" s="32" t="s">
        <v>40</v>
      </c>
      <c r="K1672" s="32" t="s">
        <v>41</v>
      </c>
    </row>
    <row r="1673" spans="1:12" hidden="1" x14ac:dyDescent="0.3">
      <c r="A1673" s="39">
        <v>46154.374525462961</v>
      </c>
      <c r="B1673" s="32">
        <v>44998555192</v>
      </c>
      <c r="C1673" s="32" t="s">
        <v>44</v>
      </c>
      <c r="D1673" s="32">
        <v>4430265054</v>
      </c>
      <c r="E1673" s="32">
        <v>407</v>
      </c>
      <c r="F1673" s="32">
        <v>345</v>
      </c>
      <c r="G1673" s="32" t="s">
        <v>38</v>
      </c>
      <c r="H1673" s="32" t="s">
        <v>4390</v>
      </c>
      <c r="I1673" s="32" t="s">
        <v>39</v>
      </c>
      <c r="J1673" s="32" t="s">
        <v>40</v>
      </c>
      <c r="K1673" s="32" t="s">
        <v>41</v>
      </c>
    </row>
    <row r="1674" spans="1:12" hidden="1" x14ac:dyDescent="0.3">
      <c r="A1674" s="39">
        <v>46154.371319444443</v>
      </c>
      <c r="B1674" s="32">
        <v>73982188717</v>
      </c>
      <c r="C1674" s="32" t="s">
        <v>43</v>
      </c>
      <c r="D1674" s="32">
        <v>4430265054</v>
      </c>
      <c r="E1674" s="32">
        <v>129</v>
      </c>
      <c r="F1674" s="32">
        <v>106</v>
      </c>
      <c r="G1674" s="32" t="s">
        <v>38</v>
      </c>
      <c r="H1674" s="32" t="s">
        <v>4391</v>
      </c>
      <c r="I1674" s="32" t="s">
        <v>39</v>
      </c>
      <c r="J1674" s="32" t="s">
        <v>40</v>
      </c>
      <c r="K1674" s="32" t="s">
        <v>41</v>
      </c>
    </row>
    <row r="1675" spans="1:12" hidden="1" x14ac:dyDescent="0.3">
      <c r="A1675" s="39">
        <v>46154.363009259258</v>
      </c>
      <c r="B1675" s="32">
        <v>44988255390</v>
      </c>
      <c r="C1675" s="32" t="s">
        <v>37</v>
      </c>
      <c r="D1675" s="32">
        <v>4430265054</v>
      </c>
      <c r="E1675" s="32">
        <v>2203</v>
      </c>
      <c r="F1675" s="32">
        <v>2167</v>
      </c>
      <c r="G1675" s="32" t="s">
        <v>38</v>
      </c>
      <c r="H1675" s="32" t="s">
        <v>4392</v>
      </c>
      <c r="I1675" s="32" t="s">
        <v>39</v>
      </c>
      <c r="J1675" s="32" t="s">
        <v>40</v>
      </c>
      <c r="K1675" s="32" t="s">
        <v>41</v>
      </c>
    </row>
    <row r="1676" spans="1:12" hidden="1" x14ac:dyDescent="0.3">
      <c r="A1676" s="39">
        <v>46154.361689814818</v>
      </c>
      <c r="B1676" s="32" t="s">
        <v>37</v>
      </c>
      <c r="C1676" s="32">
        <v>44984361000</v>
      </c>
      <c r="E1676" s="32">
        <v>39</v>
      </c>
      <c r="F1676" s="32">
        <v>36</v>
      </c>
      <c r="G1676" s="32" t="s">
        <v>38</v>
      </c>
      <c r="H1676" s="32" t="s">
        <v>4393</v>
      </c>
      <c r="I1676" s="32" t="s">
        <v>46</v>
      </c>
      <c r="J1676" s="32" t="s">
        <v>40</v>
      </c>
    </row>
    <row r="1677" spans="1:12" hidden="1" x14ac:dyDescent="0.3">
      <c r="A1677" s="39">
        <v>46154.361458333333</v>
      </c>
      <c r="B1677" s="32">
        <v>4430562296</v>
      </c>
      <c r="C1677" s="32" t="s">
        <v>48</v>
      </c>
      <c r="D1677" s="32">
        <v>4430265054</v>
      </c>
      <c r="E1677" s="32">
        <v>198</v>
      </c>
      <c r="F1677" s="32">
        <v>163</v>
      </c>
      <c r="G1677" s="32" t="s">
        <v>38</v>
      </c>
      <c r="H1677" s="32" t="s">
        <v>4394</v>
      </c>
      <c r="I1677" s="32" t="s">
        <v>39</v>
      </c>
      <c r="J1677" s="32" t="s">
        <v>40</v>
      </c>
      <c r="K1677" s="32" t="s">
        <v>41</v>
      </c>
    </row>
    <row r="1678" spans="1:12" hidden="1" x14ac:dyDescent="0.3">
      <c r="A1678" s="39">
        <v>46154.360972222225</v>
      </c>
      <c r="B1678" s="32" t="s">
        <v>37</v>
      </c>
      <c r="C1678" s="32">
        <v>44984198651</v>
      </c>
      <c r="E1678" s="32">
        <v>35</v>
      </c>
      <c r="F1678" s="32">
        <v>0</v>
      </c>
      <c r="G1678" s="32" t="s">
        <v>47</v>
      </c>
      <c r="H1678" s="32" t="s">
        <v>4395</v>
      </c>
      <c r="I1678" s="32" t="s">
        <v>46</v>
      </c>
      <c r="J1678" s="32" t="s">
        <v>40</v>
      </c>
    </row>
    <row r="1679" spans="1:12" hidden="1" x14ac:dyDescent="0.3">
      <c r="A1679" s="39">
        <v>46154.358159722222</v>
      </c>
      <c r="B1679" s="32">
        <v>44999497001</v>
      </c>
      <c r="C1679" s="32" t="s">
        <v>45</v>
      </c>
      <c r="D1679" s="32">
        <v>4430265054</v>
      </c>
      <c r="E1679" s="32">
        <v>161</v>
      </c>
      <c r="F1679" s="32">
        <v>109</v>
      </c>
      <c r="G1679" s="32" t="s">
        <v>38</v>
      </c>
      <c r="H1679" s="32" t="s">
        <v>4396</v>
      </c>
      <c r="I1679" s="32" t="s">
        <v>39</v>
      </c>
      <c r="J1679" s="32" t="s">
        <v>40</v>
      </c>
      <c r="K1679" s="32" t="s">
        <v>41</v>
      </c>
    </row>
    <row r="1680" spans="1:12" hidden="1" x14ac:dyDescent="0.3">
      <c r="A1680" s="39">
        <v>46154.355671296296</v>
      </c>
      <c r="B1680" s="32">
        <v>4430317020</v>
      </c>
      <c r="C1680" s="32" t="s">
        <v>44</v>
      </c>
      <c r="D1680" s="32">
        <v>4430265054</v>
      </c>
      <c r="E1680" s="32">
        <v>1017</v>
      </c>
      <c r="F1680" s="32">
        <v>911</v>
      </c>
      <c r="G1680" s="32" t="s">
        <v>38</v>
      </c>
      <c r="H1680" s="32" t="s">
        <v>4397</v>
      </c>
      <c r="I1680" s="32" t="s">
        <v>39</v>
      </c>
      <c r="J1680" s="32" t="s">
        <v>40</v>
      </c>
      <c r="K1680" s="32" t="s">
        <v>41</v>
      </c>
      <c r="L1680" s="32">
        <v>5</v>
      </c>
    </row>
    <row r="1681" spans="1:12" hidden="1" x14ac:dyDescent="0.3">
      <c r="A1681" s="39">
        <v>46154.349918981483</v>
      </c>
      <c r="B1681" s="32">
        <v>4430315826</v>
      </c>
      <c r="C1681" s="32">
        <v>4430265054</v>
      </c>
      <c r="D1681" s="32">
        <v>4430265054</v>
      </c>
      <c r="E1681" s="32">
        <v>28</v>
      </c>
      <c r="F1681" s="32">
        <v>28</v>
      </c>
      <c r="G1681" s="32" t="s">
        <v>52</v>
      </c>
      <c r="H1681" s="32" t="s">
        <v>4398</v>
      </c>
      <c r="I1681" s="32" t="s">
        <v>39</v>
      </c>
      <c r="J1681" s="32" t="s">
        <v>53</v>
      </c>
    </row>
    <row r="1682" spans="1:12" hidden="1" x14ac:dyDescent="0.3">
      <c r="A1682" s="39">
        <v>46154.342581018522</v>
      </c>
      <c r="B1682" s="32" t="s">
        <v>45</v>
      </c>
      <c r="C1682" s="32">
        <v>4532541802</v>
      </c>
      <c r="E1682" s="32">
        <v>120</v>
      </c>
      <c r="F1682" s="32">
        <v>118</v>
      </c>
      <c r="G1682" s="32" t="s">
        <v>38</v>
      </c>
      <c r="H1682" s="32" t="s">
        <v>4399</v>
      </c>
      <c r="I1682" s="32" t="s">
        <v>46</v>
      </c>
      <c r="J1682" s="32" t="s">
        <v>40</v>
      </c>
    </row>
    <row r="1683" spans="1:12" hidden="1" x14ac:dyDescent="0.3">
      <c r="A1683" s="39">
        <v>46154.342372685183</v>
      </c>
      <c r="B1683" s="32" t="s">
        <v>37</v>
      </c>
      <c r="C1683" s="32">
        <v>41999195082</v>
      </c>
      <c r="E1683" s="32">
        <v>7</v>
      </c>
      <c r="F1683" s="32">
        <v>0</v>
      </c>
      <c r="G1683" s="32" t="s">
        <v>47</v>
      </c>
      <c r="H1683" s="32" t="s">
        <v>4400</v>
      </c>
      <c r="I1683" s="32" t="s">
        <v>46</v>
      </c>
      <c r="J1683" s="32" t="s">
        <v>40</v>
      </c>
    </row>
    <row r="1684" spans="1:12" hidden="1" x14ac:dyDescent="0.3">
      <c r="A1684" s="39">
        <v>46153.72146990741</v>
      </c>
      <c r="B1684" s="32" t="s">
        <v>54</v>
      </c>
      <c r="C1684" s="32">
        <v>62992282799</v>
      </c>
      <c r="E1684" s="32">
        <v>38</v>
      </c>
      <c r="F1684" s="32">
        <v>29</v>
      </c>
      <c r="G1684" s="32" t="s">
        <v>38</v>
      </c>
      <c r="H1684" s="32" t="s">
        <v>4401</v>
      </c>
      <c r="I1684" s="32" t="s">
        <v>46</v>
      </c>
      <c r="J1684" s="32" t="s">
        <v>55</v>
      </c>
    </row>
    <row r="1685" spans="1:12" hidden="1" x14ac:dyDescent="0.3">
      <c r="A1685" s="39">
        <v>46153.720648148148</v>
      </c>
      <c r="B1685" s="32">
        <v>4430459032</v>
      </c>
      <c r="C1685" s="32" t="s">
        <v>43</v>
      </c>
      <c r="D1685" s="32">
        <v>4430265054</v>
      </c>
      <c r="E1685" s="32">
        <v>179</v>
      </c>
      <c r="F1685" s="32">
        <v>167</v>
      </c>
      <c r="G1685" s="32" t="s">
        <v>38</v>
      </c>
      <c r="H1685" s="32" t="s">
        <v>4402</v>
      </c>
      <c r="I1685" s="32" t="s">
        <v>39</v>
      </c>
      <c r="J1685" s="32" t="s">
        <v>40</v>
      </c>
      <c r="K1685" s="32" t="s">
        <v>41</v>
      </c>
      <c r="L1685" s="32">
        <v>5</v>
      </c>
    </row>
    <row r="1686" spans="1:12" hidden="1" x14ac:dyDescent="0.3">
      <c r="A1686" s="39">
        <v>46153.720277777778</v>
      </c>
      <c r="B1686" s="32" t="s">
        <v>54</v>
      </c>
      <c r="C1686" s="32">
        <v>11971896719</v>
      </c>
      <c r="E1686" s="32">
        <v>40</v>
      </c>
      <c r="F1686" s="32">
        <v>3</v>
      </c>
      <c r="G1686" s="32" t="s">
        <v>38</v>
      </c>
      <c r="H1686" s="32" t="s">
        <v>4403</v>
      </c>
      <c r="I1686" s="32" t="s">
        <v>46</v>
      </c>
      <c r="J1686" s="32" t="s">
        <v>55</v>
      </c>
    </row>
    <row r="1687" spans="1:12" hidden="1" x14ac:dyDescent="0.3">
      <c r="A1687" s="39">
        <v>46153.718738425923</v>
      </c>
      <c r="B1687" s="32">
        <v>44999680829</v>
      </c>
      <c r="C1687" s="32" t="s">
        <v>37</v>
      </c>
      <c r="D1687" s="32">
        <v>4430265054</v>
      </c>
      <c r="E1687" s="32">
        <v>1103</v>
      </c>
      <c r="F1687" s="32">
        <v>1068</v>
      </c>
      <c r="G1687" s="32" t="s">
        <v>38</v>
      </c>
      <c r="H1687" s="32" t="s">
        <v>4404</v>
      </c>
      <c r="I1687" s="32" t="s">
        <v>39</v>
      </c>
      <c r="J1687" s="32" t="s">
        <v>40</v>
      </c>
      <c r="K1687" s="32" t="s">
        <v>41</v>
      </c>
    </row>
    <row r="1688" spans="1:12" hidden="1" x14ac:dyDescent="0.3">
      <c r="A1688" s="39">
        <v>46153.718101851853</v>
      </c>
      <c r="B1688" s="32" t="s">
        <v>48</v>
      </c>
      <c r="C1688" s="32">
        <v>4436249360</v>
      </c>
      <c r="E1688" s="32">
        <v>206</v>
      </c>
      <c r="F1688" s="32">
        <v>192</v>
      </c>
      <c r="G1688" s="32" t="s">
        <v>38</v>
      </c>
      <c r="H1688" s="32" t="s">
        <v>4405</v>
      </c>
      <c r="I1688" s="32" t="s">
        <v>46</v>
      </c>
      <c r="J1688" s="32" t="s">
        <v>40</v>
      </c>
    </row>
    <row r="1689" spans="1:12" hidden="1" x14ac:dyDescent="0.3">
      <c r="A1689" s="39">
        <v>46153.717118055552</v>
      </c>
      <c r="B1689" s="32" t="s">
        <v>54</v>
      </c>
      <c r="C1689" s="32">
        <v>98984843002</v>
      </c>
      <c r="E1689" s="32">
        <v>18</v>
      </c>
      <c r="F1689" s="32">
        <v>0</v>
      </c>
      <c r="G1689" s="32" t="s">
        <v>47</v>
      </c>
      <c r="H1689" s="32" t="s">
        <v>4406</v>
      </c>
      <c r="I1689" s="32" t="s">
        <v>46</v>
      </c>
      <c r="J1689" s="32" t="s">
        <v>55</v>
      </c>
    </row>
    <row r="1690" spans="1:12" hidden="1" x14ac:dyDescent="0.3">
      <c r="A1690" s="39">
        <v>46153.716458333336</v>
      </c>
      <c r="B1690" s="32">
        <v>44999449519</v>
      </c>
      <c r="C1690" s="32" t="s">
        <v>45</v>
      </c>
      <c r="D1690" s="32">
        <v>4430265054</v>
      </c>
      <c r="E1690" s="32">
        <v>333</v>
      </c>
      <c r="F1690" s="32">
        <v>309</v>
      </c>
      <c r="G1690" s="32" t="s">
        <v>38</v>
      </c>
      <c r="H1690" s="32" t="s">
        <v>4407</v>
      </c>
      <c r="I1690" s="32" t="s">
        <v>39</v>
      </c>
      <c r="J1690" s="32" t="s">
        <v>40</v>
      </c>
      <c r="K1690" s="32" t="s">
        <v>41</v>
      </c>
      <c r="L1690" s="32">
        <v>5</v>
      </c>
    </row>
    <row r="1691" spans="1:12" hidden="1" x14ac:dyDescent="0.3">
      <c r="A1691" s="39">
        <v>46153.716354166667</v>
      </c>
      <c r="B1691" s="32" t="s">
        <v>54</v>
      </c>
      <c r="C1691" s="32">
        <v>1432458374</v>
      </c>
      <c r="E1691" s="32">
        <v>7</v>
      </c>
      <c r="F1691" s="32">
        <v>0</v>
      </c>
      <c r="G1691" s="32" t="s">
        <v>47</v>
      </c>
      <c r="H1691" s="32" t="s">
        <v>4408</v>
      </c>
      <c r="I1691" s="32" t="s">
        <v>46</v>
      </c>
      <c r="J1691" s="32" t="s">
        <v>55</v>
      </c>
    </row>
    <row r="1692" spans="1:12" hidden="1" x14ac:dyDescent="0.3">
      <c r="A1692" s="39">
        <v>46153.716099537036</v>
      </c>
      <c r="B1692" s="32">
        <v>44999449519</v>
      </c>
      <c r="C1692" s="32">
        <v>4430265054</v>
      </c>
      <c r="D1692" s="32">
        <v>4430265054</v>
      </c>
      <c r="E1692" s="32">
        <v>25</v>
      </c>
      <c r="F1692" s="32">
        <v>25</v>
      </c>
      <c r="G1692" s="32" t="s">
        <v>52</v>
      </c>
      <c r="H1692" s="32" t="s">
        <v>4409</v>
      </c>
      <c r="I1692" s="32" t="s">
        <v>39</v>
      </c>
      <c r="J1692" s="32" t="s">
        <v>53</v>
      </c>
    </row>
    <row r="1693" spans="1:12" hidden="1" x14ac:dyDescent="0.3">
      <c r="A1693" s="39">
        <v>46153.715925925928</v>
      </c>
      <c r="B1693" s="32">
        <v>44999680829</v>
      </c>
      <c r="C1693" s="32" t="s">
        <v>37</v>
      </c>
      <c r="D1693" s="32">
        <v>4430265054</v>
      </c>
      <c r="E1693" s="32">
        <v>243</v>
      </c>
      <c r="F1693" s="32">
        <v>205</v>
      </c>
      <c r="G1693" s="32" t="s">
        <v>38</v>
      </c>
      <c r="H1693" s="32" t="s">
        <v>4410</v>
      </c>
      <c r="I1693" s="32" t="s">
        <v>39</v>
      </c>
      <c r="J1693" s="32" t="s">
        <v>40</v>
      </c>
      <c r="K1693" s="32" t="s">
        <v>41</v>
      </c>
    </row>
    <row r="1694" spans="1:12" hidden="1" x14ac:dyDescent="0.3">
      <c r="A1694" s="39">
        <v>46153.715729166666</v>
      </c>
      <c r="B1694" s="32">
        <v>44999449519</v>
      </c>
      <c r="C1694" s="32">
        <v>4430265054</v>
      </c>
      <c r="D1694" s="32">
        <v>4430265054</v>
      </c>
      <c r="E1694" s="32">
        <v>25</v>
      </c>
      <c r="F1694" s="32">
        <v>24</v>
      </c>
      <c r="G1694" s="32" t="s">
        <v>52</v>
      </c>
      <c r="H1694" s="32" t="s">
        <v>4411</v>
      </c>
      <c r="I1694" s="32" t="s">
        <v>39</v>
      </c>
      <c r="J1694" s="32" t="s">
        <v>53</v>
      </c>
    </row>
    <row r="1695" spans="1:12" hidden="1" x14ac:dyDescent="0.3">
      <c r="A1695" s="39">
        <v>46153.710520833331</v>
      </c>
      <c r="B1695" s="32" t="s">
        <v>43</v>
      </c>
      <c r="C1695" s="32">
        <v>44998640313</v>
      </c>
      <c r="E1695" s="32">
        <v>594</v>
      </c>
      <c r="F1695" s="32">
        <v>587</v>
      </c>
      <c r="G1695" s="32" t="s">
        <v>38</v>
      </c>
      <c r="H1695" s="32" t="s">
        <v>4412</v>
      </c>
      <c r="I1695" s="32" t="s">
        <v>46</v>
      </c>
      <c r="J1695" s="32" t="s">
        <v>40</v>
      </c>
    </row>
    <row r="1696" spans="1:12" hidden="1" x14ac:dyDescent="0.3">
      <c r="A1696" s="39">
        <v>46153.710405092592</v>
      </c>
      <c r="B1696" s="32">
        <v>44988255390</v>
      </c>
      <c r="C1696" s="32" t="s">
        <v>44</v>
      </c>
      <c r="D1696" s="32">
        <v>4430265054</v>
      </c>
      <c r="E1696" s="32">
        <v>1528</v>
      </c>
      <c r="F1696" s="32">
        <v>1487</v>
      </c>
      <c r="G1696" s="32" t="s">
        <v>38</v>
      </c>
      <c r="H1696" s="32" t="s">
        <v>4413</v>
      </c>
      <c r="I1696" s="32" t="s">
        <v>39</v>
      </c>
      <c r="J1696" s="32" t="s">
        <v>40</v>
      </c>
      <c r="K1696" s="32" t="s">
        <v>41</v>
      </c>
    </row>
    <row r="1697" spans="1:12" hidden="1" x14ac:dyDescent="0.3">
      <c r="A1697" s="39">
        <v>46153.709131944444</v>
      </c>
      <c r="B1697" s="32" t="s">
        <v>43</v>
      </c>
      <c r="C1697" s="32">
        <v>44998640313</v>
      </c>
      <c r="E1697" s="32">
        <v>35</v>
      </c>
      <c r="F1697" s="32">
        <v>0</v>
      </c>
      <c r="G1697" s="32" t="s">
        <v>47</v>
      </c>
      <c r="H1697" s="32" t="s">
        <v>4414</v>
      </c>
      <c r="I1697" s="32" t="s">
        <v>46</v>
      </c>
      <c r="J1697" s="32" t="s">
        <v>40</v>
      </c>
    </row>
    <row r="1698" spans="1:12" hidden="1" x14ac:dyDescent="0.3">
      <c r="A1698" s="39">
        <v>46153.708819444444</v>
      </c>
      <c r="B1698" s="32" t="s">
        <v>44</v>
      </c>
      <c r="C1698" s="32">
        <v>4430145172</v>
      </c>
      <c r="E1698" s="32">
        <v>25</v>
      </c>
      <c r="F1698" s="32">
        <v>25</v>
      </c>
      <c r="G1698" s="32" t="s">
        <v>38</v>
      </c>
      <c r="H1698" s="32" t="s">
        <v>4415</v>
      </c>
      <c r="I1698" s="32" t="s">
        <v>46</v>
      </c>
      <c r="J1698" s="32" t="s">
        <v>40</v>
      </c>
    </row>
    <row r="1699" spans="1:12" hidden="1" x14ac:dyDescent="0.3">
      <c r="A1699" s="39">
        <v>46153.70689814815</v>
      </c>
      <c r="B1699" s="32" t="s">
        <v>48</v>
      </c>
      <c r="C1699" s="32">
        <v>4436249360</v>
      </c>
      <c r="E1699" s="32">
        <v>613</v>
      </c>
      <c r="F1699" s="32">
        <v>602</v>
      </c>
      <c r="G1699" s="32" t="s">
        <v>38</v>
      </c>
      <c r="H1699" s="32" t="s">
        <v>4416</v>
      </c>
      <c r="I1699" s="32" t="s">
        <v>46</v>
      </c>
      <c r="J1699" s="32" t="s">
        <v>40</v>
      </c>
    </row>
    <row r="1700" spans="1:12" hidden="1" x14ac:dyDescent="0.3">
      <c r="A1700" s="39">
        <v>46153.705474537041</v>
      </c>
      <c r="B1700" s="32">
        <v>1438780460</v>
      </c>
      <c r="C1700" s="32">
        <v>4531273173</v>
      </c>
      <c r="D1700" s="32">
        <v>4531273173</v>
      </c>
      <c r="E1700" s="32">
        <v>26</v>
      </c>
      <c r="F1700" s="32">
        <v>25</v>
      </c>
      <c r="G1700" s="32" t="s">
        <v>52</v>
      </c>
      <c r="H1700" s="32" t="s">
        <v>4417</v>
      </c>
      <c r="I1700" s="32" t="s">
        <v>39</v>
      </c>
      <c r="J1700" s="32" t="s">
        <v>53</v>
      </c>
    </row>
    <row r="1701" spans="1:12" hidden="1" x14ac:dyDescent="0.3">
      <c r="A1701" s="39">
        <v>46153.701851851853</v>
      </c>
      <c r="B1701" s="32">
        <v>44997235101</v>
      </c>
      <c r="C1701" s="32">
        <v>4430265054</v>
      </c>
      <c r="D1701" s="32">
        <v>4430265054</v>
      </c>
      <c r="E1701" s="32">
        <v>36</v>
      </c>
      <c r="F1701" s="32">
        <v>36</v>
      </c>
      <c r="G1701" s="32" t="s">
        <v>52</v>
      </c>
      <c r="H1701" s="32" t="s">
        <v>4418</v>
      </c>
      <c r="I1701" s="32" t="s">
        <v>39</v>
      </c>
      <c r="J1701" s="32" t="s">
        <v>53</v>
      </c>
      <c r="K1701" s="32" t="s">
        <v>41</v>
      </c>
    </row>
    <row r="1702" spans="1:12" hidden="1" x14ac:dyDescent="0.3">
      <c r="A1702" s="39">
        <v>46153.699687499997</v>
      </c>
      <c r="B1702" s="32">
        <v>4533042020</v>
      </c>
      <c r="C1702" s="32">
        <v>4531273161</v>
      </c>
      <c r="D1702" s="32">
        <v>4531273161</v>
      </c>
      <c r="E1702" s="32">
        <v>47</v>
      </c>
      <c r="F1702" s="32">
        <v>46</v>
      </c>
      <c r="G1702" s="32" t="s">
        <v>52</v>
      </c>
      <c r="H1702" s="32" t="s">
        <v>4419</v>
      </c>
      <c r="I1702" s="32" t="s">
        <v>39</v>
      </c>
      <c r="J1702" s="32" t="s">
        <v>53</v>
      </c>
      <c r="K1702" s="32" t="s">
        <v>41</v>
      </c>
    </row>
    <row r="1703" spans="1:12" hidden="1" x14ac:dyDescent="0.3">
      <c r="A1703" s="39">
        <v>46153.698344907411</v>
      </c>
      <c r="B1703" s="32">
        <v>44991234625</v>
      </c>
      <c r="C1703" s="32" t="s">
        <v>37</v>
      </c>
      <c r="D1703" s="32">
        <v>4430265054</v>
      </c>
      <c r="E1703" s="32">
        <v>1208</v>
      </c>
      <c r="F1703" s="32">
        <v>1165</v>
      </c>
      <c r="G1703" s="32" t="s">
        <v>38</v>
      </c>
      <c r="H1703" s="32" t="s">
        <v>4420</v>
      </c>
      <c r="I1703" s="32" t="s">
        <v>39</v>
      </c>
      <c r="J1703" s="32" t="s">
        <v>40</v>
      </c>
      <c r="K1703" s="32" t="s">
        <v>41</v>
      </c>
    </row>
    <row r="1704" spans="1:12" hidden="1" x14ac:dyDescent="0.3">
      <c r="A1704" s="39">
        <v>46153.697754629633</v>
      </c>
      <c r="B1704" s="32" t="s">
        <v>44</v>
      </c>
      <c r="C1704" s="32">
        <v>4430145172</v>
      </c>
      <c r="E1704" s="32">
        <v>26</v>
      </c>
      <c r="F1704" s="32">
        <v>25</v>
      </c>
      <c r="G1704" s="32" t="s">
        <v>38</v>
      </c>
      <c r="H1704" s="32" t="s">
        <v>4421</v>
      </c>
      <c r="I1704" s="32" t="s">
        <v>46</v>
      </c>
      <c r="J1704" s="32" t="s">
        <v>40</v>
      </c>
    </row>
    <row r="1705" spans="1:12" hidden="1" x14ac:dyDescent="0.3">
      <c r="A1705" s="39">
        <v>46153.69158564815</v>
      </c>
      <c r="B1705" s="32">
        <v>91989363636</v>
      </c>
      <c r="C1705" s="32" t="s">
        <v>45</v>
      </c>
      <c r="D1705" s="32">
        <v>4430265054</v>
      </c>
      <c r="E1705" s="32">
        <v>940</v>
      </c>
      <c r="F1705" s="32">
        <v>846</v>
      </c>
      <c r="G1705" s="32" t="s">
        <v>38</v>
      </c>
      <c r="H1705" s="32" t="s">
        <v>4422</v>
      </c>
      <c r="I1705" s="32" t="s">
        <v>39</v>
      </c>
      <c r="J1705" s="32" t="s">
        <v>40</v>
      </c>
      <c r="K1705" s="32" t="s">
        <v>41</v>
      </c>
      <c r="L1705" s="32">
        <v>5</v>
      </c>
    </row>
    <row r="1706" spans="1:12" hidden="1" x14ac:dyDescent="0.3">
      <c r="A1706" s="39">
        <v>46153.690717592595</v>
      </c>
      <c r="B1706" s="32">
        <v>91989363636</v>
      </c>
      <c r="C1706" s="32" t="s">
        <v>37</v>
      </c>
      <c r="D1706" s="32">
        <v>4430265054</v>
      </c>
      <c r="E1706" s="32">
        <v>59</v>
      </c>
      <c r="F1706" s="32">
        <v>7</v>
      </c>
      <c r="G1706" s="32" t="s">
        <v>38</v>
      </c>
      <c r="H1706" s="32" t="s">
        <v>4423</v>
      </c>
      <c r="I1706" s="32" t="s">
        <v>39</v>
      </c>
      <c r="J1706" s="32" t="s">
        <v>40</v>
      </c>
      <c r="K1706" s="32" t="s">
        <v>41</v>
      </c>
    </row>
    <row r="1707" spans="1:12" hidden="1" x14ac:dyDescent="0.3">
      <c r="A1707" s="39">
        <v>46153.685960648145</v>
      </c>
      <c r="B1707" s="32" t="s">
        <v>45</v>
      </c>
      <c r="C1707" s="32">
        <v>4430479697</v>
      </c>
      <c r="E1707" s="32">
        <v>358</v>
      </c>
      <c r="F1707" s="32">
        <v>351</v>
      </c>
      <c r="G1707" s="32" t="s">
        <v>38</v>
      </c>
      <c r="H1707" s="32" t="s">
        <v>4424</v>
      </c>
      <c r="I1707" s="32" t="s">
        <v>46</v>
      </c>
      <c r="J1707" s="32" t="s">
        <v>40</v>
      </c>
    </row>
    <row r="1708" spans="1:12" hidden="1" x14ac:dyDescent="0.3">
      <c r="A1708" s="39">
        <v>46153.685868055552</v>
      </c>
      <c r="B1708" s="32" t="s">
        <v>45</v>
      </c>
      <c r="C1708" s="32">
        <v>4430479697</v>
      </c>
      <c r="E1708" s="32">
        <v>25</v>
      </c>
      <c r="F1708" s="32">
        <v>24</v>
      </c>
      <c r="G1708" s="32" t="s">
        <v>38</v>
      </c>
      <c r="H1708" s="32" t="s">
        <v>4425</v>
      </c>
      <c r="I1708" s="32" t="s">
        <v>46</v>
      </c>
      <c r="J1708" s="32" t="s">
        <v>40</v>
      </c>
    </row>
    <row r="1709" spans="1:12" hidden="1" x14ac:dyDescent="0.3">
      <c r="A1709" s="39">
        <v>46153.684513888889</v>
      </c>
      <c r="B1709" s="32">
        <v>91985176746</v>
      </c>
      <c r="C1709" s="32" t="s">
        <v>37</v>
      </c>
      <c r="D1709" s="32">
        <v>4430265054</v>
      </c>
      <c r="E1709" s="32">
        <v>117</v>
      </c>
      <c r="F1709" s="32">
        <v>4</v>
      </c>
      <c r="G1709" s="32" t="s">
        <v>38</v>
      </c>
      <c r="H1709" s="32" t="s">
        <v>4426</v>
      </c>
      <c r="I1709" s="32" t="s">
        <v>39</v>
      </c>
      <c r="J1709" s="32" t="s">
        <v>40</v>
      </c>
      <c r="K1709" s="32" t="s">
        <v>41</v>
      </c>
    </row>
    <row r="1710" spans="1:12" hidden="1" x14ac:dyDescent="0.3">
      <c r="A1710" s="39">
        <v>46153.680185185185</v>
      </c>
      <c r="B1710" s="32">
        <v>4533011420</v>
      </c>
      <c r="C1710" s="32" t="s">
        <v>43</v>
      </c>
      <c r="D1710" s="32">
        <v>4531273164</v>
      </c>
      <c r="E1710" s="32">
        <v>47</v>
      </c>
      <c r="F1710" s="32">
        <v>6</v>
      </c>
      <c r="G1710" s="32" t="s">
        <v>38</v>
      </c>
      <c r="H1710" s="32" t="s">
        <v>4427</v>
      </c>
      <c r="I1710" s="32" t="s">
        <v>39</v>
      </c>
      <c r="J1710" s="32" t="s">
        <v>40</v>
      </c>
      <c r="K1710" s="32" t="s">
        <v>41</v>
      </c>
    </row>
    <row r="1711" spans="1:12" hidden="1" x14ac:dyDescent="0.3">
      <c r="A1711" s="39">
        <v>46153.679826388892</v>
      </c>
      <c r="B1711" s="32">
        <v>4430282545</v>
      </c>
      <c r="C1711" s="32" t="s">
        <v>37</v>
      </c>
      <c r="D1711" s="32">
        <v>4430265054</v>
      </c>
      <c r="E1711" s="32">
        <v>435</v>
      </c>
      <c r="F1711" s="32">
        <v>412</v>
      </c>
      <c r="G1711" s="32" t="s">
        <v>38</v>
      </c>
      <c r="H1711" s="32" t="s">
        <v>4428</v>
      </c>
      <c r="I1711" s="32" t="s">
        <v>39</v>
      </c>
      <c r="J1711" s="32" t="s">
        <v>40</v>
      </c>
      <c r="K1711" s="32" t="s">
        <v>41</v>
      </c>
    </row>
    <row r="1712" spans="1:12" hidden="1" x14ac:dyDescent="0.3">
      <c r="A1712" s="39">
        <v>46153.67796296296</v>
      </c>
      <c r="B1712" s="32">
        <v>91985176746</v>
      </c>
      <c r="C1712" s="32" t="s">
        <v>37</v>
      </c>
      <c r="D1712" s="32">
        <v>4430265054</v>
      </c>
      <c r="E1712" s="32">
        <v>20</v>
      </c>
      <c r="F1712" s="32">
        <v>5</v>
      </c>
      <c r="G1712" s="32" t="s">
        <v>38</v>
      </c>
      <c r="H1712" s="32" t="s">
        <v>4429</v>
      </c>
      <c r="I1712" s="32" t="s">
        <v>39</v>
      </c>
      <c r="J1712" s="32" t="s">
        <v>40</v>
      </c>
      <c r="K1712" s="32" t="s">
        <v>41</v>
      </c>
    </row>
    <row r="1713" spans="1:12" hidden="1" x14ac:dyDescent="0.3">
      <c r="A1713" s="39">
        <v>46153.675798611112</v>
      </c>
      <c r="B1713" s="32" t="s">
        <v>44</v>
      </c>
      <c r="C1713" s="32">
        <v>44999670264</v>
      </c>
      <c r="E1713" s="32">
        <v>92</v>
      </c>
      <c r="F1713" s="32">
        <v>80</v>
      </c>
      <c r="G1713" s="32" t="s">
        <v>38</v>
      </c>
      <c r="H1713" s="32" t="s">
        <v>4430</v>
      </c>
      <c r="I1713" s="32" t="s">
        <v>46</v>
      </c>
      <c r="J1713" s="32" t="s">
        <v>40</v>
      </c>
    </row>
    <row r="1714" spans="1:12" hidden="1" x14ac:dyDescent="0.3">
      <c r="A1714" s="39">
        <v>46153.675740740742</v>
      </c>
      <c r="B1714" s="32" t="s">
        <v>44</v>
      </c>
      <c r="C1714" s="32">
        <v>44999670264</v>
      </c>
      <c r="E1714" s="32">
        <v>4</v>
      </c>
      <c r="F1714" s="32">
        <v>0</v>
      </c>
      <c r="G1714" s="32" t="s">
        <v>47</v>
      </c>
      <c r="H1714" s="32" t="s">
        <v>4431</v>
      </c>
      <c r="I1714" s="32" t="s">
        <v>46</v>
      </c>
      <c r="J1714" s="32" t="s">
        <v>40</v>
      </c>
    </row>
    <row r="1715" spans="1:12" hidden="1" x14ac:dyDescent="0.3">
      <c r="A1715" s="39">
        <v>46153.672384259262</v>
      </c>
      <c r="B1715" s="32">
        <v>4430479697</v>
      </c>
      <c r="C1715" s="32" t="s">
        <v>45</v>
      </c>
      <c r="D1715" s="32">
        <v>4430265054</v>
      </c>
      <c r="E1715" s="32">
        <v>963</v>
      </c>
      <c r="F1715" s="32">
        <v>925</v>
      </c>
      <c r="G1715" s="32" t="s">
        <v>38</v>
      </c>
      <c r="H1715" s="32" t="s">
        <v>4432</v>
      </c>
      <c r="I1715" s="32" t="s">
        <v>39</v>
      </c>
      <c r="J1715" s="32" t="s">
        <v>40</v>
      </c>
      <c r="K1715" s="32" t="s">
        <v>41</v>
      </c>
    </row>
    <row r="1716" spans="1:12" hidden="1" x14ac:dyDescent="0.3">
      <c r="A1716" s="39">
        <v>46153.668067129627</v>
      </c>
      <c r="B1716" s="32">
        <v>44999646909</v>
      </c>
      <c r="C1716" s="32">
        <v>4430265054</v>
      </c>
      <c r="D1716" s="32">
        <v>4430265054</v>
      </c>
      <c r="E1716" s="32">
        <v>25</v>
      </c>
      <c r="F1716" s="32">
        <v>24</v>
      </c>
      <c r="G1716" s="32" t="s">
        <v>52</v>
      </c>
      <c r="H1716" s="32" t="s">
        <v>4433</v>
      </c>
      <c r="I1716" s="32" t="s">
        <v>39</v>
      </c>
      <c r="J1716" s="32" t="s">
        <v>53</v>
      </c>
    </row>
    <row r="1717" spans="1:12" hidden="1" x14ac:dyDescent="0.3">
      <c r="A1717" s="39">
        <v>46153.654537037037</v>
      </c>
      <c r="B1717" s="32" t="s">
        <v>48</v>
      </c>
      <c r="C1717" s="32">
        <v>4436249360</v>
      </c>
      <c r="E1717" s="32">
        <v>252</v>
      </c>
      <c r="F1717" s="32">
        <v>242</v>
      </c>
      <c r="G1717" s="32" t="s">
        <v>38</v>
      </c>
      <c r="H1717" s="32" t="s">
        <v>4434</v>
      </c>
      <c r="I1717" s="32" t="s">
        <v>46</v>
      </c>
      <c r="J1717" s="32" t="s">
        <v>40</v>
      </c>
    </row>
    <row r="1718" spans="1:12" hidden="1" x14ac:dyDescent="0.3">
      <c r="A1718" s="39">
        <v>46153.646608796298</v>
      </c>
      <c r="B1718" s="32" t="s">
        <v>48</v>
      </c>
      <c r="C1718" s="32">
        <v>4436249360</v>
      </c>
      <c r="E1718" s="32">
        <v>130</v>
      </c>
      <c r="F1718" s="32">
        <v>115</v>
      </c>
      <c r="G1718" s="32" t="s">
        <v>38</v>
      </c>
      <c r="H1718" s="32" t="s">
        <v>4435</v>
      </c>
      <c r="I1718" s="32" t="s">
        <v>46</v>
      </c>
      <c r="J1718" s="32" t="s">
        <v>40</v>
      </c>
    </row>
    <row r="1719" spans="1:12" hidden="1" x14ac:dyDescent="0.3">
      <c r="A1719" s="39">
        <v>46153.63958333333</v>
      </c>
      <c r="B1719" s="32">
        <v>3432424736</v>
      </c>
      <c r="C1719" s="32">
        <v>4430265054</v>
      </c>
      <c r="D1719" s="32">
        <v>4430265054</v>
      </c>
      <c r="E1719" s="32">
        <v>3</v>
      </c>
      <c r="F1719" s="32">
        <v>2</v>
      </c>
      <c r="G1719" s="32" t="s">
        <v>52</v>
      </c>
      <c r="H1719" s="32" t="s">
        <v>4436</v>
      </c>
      <c r="I1719" s="32" t="s">
        <v>39</v>
      </c>
      <c r="J1719" s="32" t="s">
        <v>53</v>
      </c>
    </row>
    <row r="1720" spans="1:12" hidden="1" x14ac:dyDescent="0.3">
      <c r="A1720" s="39">
        <v>46153.636064814818</v>
      </c>
      <c r="B1720" s="32" t="s">
        <v>48</v>
      </c>
      <c r="C1720" s="32">
        <v>4434230642</v>
      </c>
      <c r="E1720" s="32">
        <v>539</v>
      </c>
      <c r="F1720" s="32">
        <v>530</v>
      </c>
      <c r="G1720" s="32" t="s">
        <v>38</v>
      </c>
      <c r="H1720" s="32" t="s">
        <v>4437</v>
      </c>
      <c r="I1720" s="32" t="s">
        <v>46</v>
      </c>
      <c r="J1720" s="32" t="s">
        <v>40</v>
      </c>
    </row>
    <row r="1721" spans="1:12" hidden="1" x14ac:dyDescent="0.3">
      <c r="A1721" s="39">
        <v>46153.636018518519</v>
      </c>
      <c r="B1721" s="32" t="s">
        <v>48</v>
      </c>
      <c r="C1721" s="32">
        <v>4434230642</v>
      </c>
      <c r="E1721" s="32">
        <v>25</v>
      </c>
      <c r="F1721" s="32">
        <v>25</v>
      </c>
      <c r="G1721" s="32" t="s">
        <v>38</v>
      </c>
      <c r="H1721" s="32" t="s">
        <v>4438</v>
      </c>
      <c r="I1721" s="32" t="s">
        <v>46</v>
      </c>
      <c r="J1721" s="32" t="s">
        <v>40</v>
      </c>
    </row>
    <row r="1722" spans="1:12" hidden="1" x14ac:dyDescent="0.3">
      <c r="A1722" s="39">
        <v>46153.627650462964</v>
      </c>
      <c r="B1722" s="32">
        <v>1131043888</v>
      </c>
      <c r="C1722" s="32" t="s">
        <v>37</v>
      </c>
      <c r="D1722" s="32">
        <v>4430265054</v>
      </c>
      <c r="E1722" s="32">
        <v>747</v>
      </c>
      <c r="F1722" s="32">
        <v>574</v>
      </c>
      <c r="G1722" s="32" t="s">
        <v>38</v>
      </c>
      <c r="H1722" s="32" t="s">
        <v>4439</v>
      </c>
      <c r="I1722" s="32" t="s">
        <v>39</v>
      </c>
      <c r="J1722" s="32" t="s">
        <v>40</v>
      </c>
      <c r="K1722" s="32" t="s">
        <v>41</v>
      </c>
      <c r="L1722" s="32">
        <v>5</v>
      </c>
    </row>
    <row r="1723" spans="1:12" hidden="1" x14ac:dyDescent="0.3">
      <c r="A1723" s="39">
        <v>46153.627141203702</v>
      </c>
      <c r="B1723" s="32">
        <v>1131043888</v>
      </c>
      <c r="C1723" s="32">
        <v>4430265054</v>
      </c>
      <c r="D1723" s="32">
        <v>4430265054</v>
      </c>
      <c r="E1723" s="32">
        <v>22</v>
      </c>
      <c r="F1723" s="32">
        <v>21</v>
      </c>
      <c r="G1723" s="32" t="s">
        <v>52</v>
      </c>
      <c r="H1723" s="32" t="s">
        <v>4440</v>
      </c>
      <c r="I1723" s="32" t="s">
        <v>39</v>
      </c>
      <c r="J1723" s="32" t="s">
        <v>53</v>
      </c>
    </row>
    <row r="1724" spans="1:12" hidden="1" x14ac:dyDescent="0.3">
      <c r="A1724" s="39">
        <v>46153.623888888891</v>
      </c>
      <c r="B1724" s="32">
        <v>93991495484</v>
      </c>
      <c r="C1724" s="32" t="s">
        <v>43</v>
      </c>
      <c r="D1724" s="32">
        <v>4430265054</v>
      </c>
      <c r="E1724" s="32">
        <v>601</v>
      </c>
      <c r="F1724" s="32">
        <v>496</v>
      </c>
      <c r="G1724" s="32" t="s">
        <v>38</v>
      </c>
      <c r="H1724" s="32" t="s">
        <v>4441</v>
      </c>
      <c r="I1724" s="32" t="s">
        <v>39</v>
      </c>
      <c r="J1724" s="32" t="s">
        <v>40</v>
      </c>
      <c r="K1724" s="32" t="s">
        <v>41</v>
      </c>
      <c r="L1724" s="32">
        <v>5</v>
      </c>
    </row>
    <row r="1725" spans="1:12" hidden="1" x14ac:dyDescent="0.3">
      <c r="A1725" s="39">
        <v>46153.622499999998</v>
      </c>
      <c r="B1725" s="32" t="s">
        <v>48</v>
      </c>
      <c r="C1725" s="32">
        <v>43996490165</v>
      </c>
      <c r="E1725" s="32">
        <v>35</v>
      </c>
      <c r="F1725" s="32">
        <v>0</v>
      </c>
      <c r="G1725" s="32" t="s">
        <v>47</v>
      </c>
      <c r="H1725" s="32" t="s">
        <v>4442</v>
      </c>
      <c r="I1725" s="32" t="s">
        <v>46</v>
      </c>
      <c r="J1725" s="32" t="s">
        <v>40</v>
      </c>
    </row>
    <row r="1726" spans="1:12" hidden="1" x14ac:dyDescent="0.3">
      <c r="A1726" s="39">
        <v>46153.621712962966</v>
      </c>
      <c r="B1726" s="32" t="s">
        <v>48</v>
      </c>
      <c r="C1726" s="32">
        <v>43996490165</v>
      </c>
      <c r="E1726" s="32">
        <v>15</v>
      </c>
      <c r="F1726" s="32">
        <v>0</v>
      </c>
      <c r="G1726" s="32" t="s">
        <v>47</v>
      </c>
      <c r="H1726" s="32" t="s">
        <v>4443</v>
      </c>
      <c r="I1726" s="32" t="s">
        <v>46</v>
      </c>
      <c r="J1726" s="32" t="s">
        <v>40</v>
      </c>
    </row>
    <row r="1727" spans="1:12" hidden="1" x14ac:dyDescent="0.3">
      <c r="A1727" s="39">
        <v>46153.614930555559</v>
      </c>
      <c r="B1727" s="32">
        <v>4432321371</v>
      </c>
      <c r="C1727" s="32" t="s">
        <v>44</v>
      </c>
      <c r="D1727" s="32">
        <v>4430265054</v>
      </c>
      <c r="E1727" s="32">
        <v>1631</v>
      </c>
      <c r="F1727" s="32">
        <v>1581</v>
      </c>
      <c r="G1727" s="32" t="s">
        <v>38</v>
      </c>
      <c r="H1727" s="32" t="s">
        <v>4444</v>
      </c>
      <c r="I1727" s="32" t="s">
        <v>39</v>
      </c>
      <c r="J1727" s="32" t="s">
        <v>40</v>
      </c>
      <c r="K1727" s="32" t="s">
        <v>41</v>
      </c>
    </row>
    <row r="1728" spans="1:12" hidden="1" x14ac:dyDescent="0.3">
      <c r="A1728" s="39">
        <v>46153.614618055559</v>
      </c>
      <c r="B1728" s="32" t="s">
        <v>57</v>
      </c>
      <c r="C1728" s="32">
        <v>4532541996</v>
      </c>
      <c r="E1728" s="32">
        <v>1277</v>
      </c>
      <c r="F1728" s="32">
        <v>1260</v>
      </c>
      <c r="G1728" s="32" t="s">
        <v>38</v>
      </c>
      <c r="H1728" s="32" t="s">
        <v>4445</v>
      </c>
      <c r="I1728" s="32" t="s">
        <v>46</v>
      </c>
      <c r="J1728" s="32" t="s">
        <v>55</v>
      </c>
    </row>
    <row r="1729" spans="1:12" hidden="1" x14ac:dyDescent="0.3">
      <c r="A1729" s="39">
        <v>46153.613356481481</v>
      </c>
      <c r="B1729" s="32">
        <v>67992169496</v>
      </c>
      <c r="C1729" s="32" t="s">
        <v>45</v>
      </c>
      <c r="D1729" s="32">
        <v>4430265054</v>
      </c>
      <c r="E1729" s="32">
        <v>1745</v>
      </c>
      <c r="F1729" s="32">
        <v>1733</v>
      </c>
      <c r="G1729" s="32" t="s">
        <v>38</v>
      </c>
      <c r="H1729" s="32" t="s">
        <v>4446</v>
      </c>
      <c r="I1729" s="32" t="s">
        <v>39</v>
      </c>
      <c r="J1729" s="32" t="s">
        <v>40</v>
      </c>
      <c r="K1729" s="32" t="s">
        <v>41</v>
      </c>
      <c r="L1729" s="32">
        <v>5</v>
      </c>
    </row>
    <row r="1730" spans="1:12" hidden="1" x14ac:dyDescent="0.3">
      <c r="A1730" s="39">
        <v>46153.611793981479</v>
      </c>
      <c r="B1730" s="32">
        <v>44991113954</v>
      </c>
      <c r="C1730" s="32" t="s">
        <v>37</v>
      </c>
      <c r="D1730" s="32">
        <v>4430265054</v>
      </c>
      <c r="E1730" s="32">
        <v>1057</v>
      </c>
      <c r="F1730" s="32">
        <v>1025</v>
      </c>
      <c r="G1730" s="32" t="s">
        <v>38</v>
      </c>
      <c r="H1730" s="32" t="s">
        <v>4447</v>
      </c>
      <c r="I1730" s="32" t="s">
        <v>39</v>
      </c>
      <c r="J1730" s="32" t="s">
        <v>40</v>
      </c>
      <c r="K1730" s="32" t="s">
        <v>41</v>
      </c>
    </row>
    <row r="1731" spans="1:12" hidden="1" x14ac:dyDescent="0.3">
      <c r="A1731" s="39">
        <v>46153.61136574074</v>
      </c>
      <c r="B1731" s="32">
        <v>41995061279</v>
      </c>
      <c r="C1731" s="32">
        <v>4430265054</v>
      </c>
      <c r="D1731" s="32">
        <v>4430265054</v>
      </c>
      <c r="E1731" s="32">
        <v>33</v>
      </c>
      <c r="F1731" s="32">
        <v>33</v>
      </c>
      <c r="G1731" s="32" t="s">
        <v>52</v>
      </c>
      <c r="H1731" s="32" t="s">
        <v>4448</v>
      </c>
      <c r="I1731" s="32" t="s">
        <v>39</v>
      </c>
      <c r="J1731" s="32" t="s">
        <v>53</v>
      </c>
      <c r="K1731" s="32" t="s">
        <v>41</v>
      </c>
    </row>
    <row r="1732" spans="1:12" hidden="1" x14ac:dyDescent="0.3">
      <c r="A1732" s="39">
        <v>46153.611087962963</v>
      </c>
      <c r="B1732" s="32">
        <v>41995061279</v>
      </c>
      <c r="C1732" s="32">
        <v>4430265054</v>
      </c>
      <c r="D1732" s="32">
        <v>4430265054</v>
      </c>
      <c r="E1732" s="32">
        <v>18</v>
      </c>
      <c r="F1732" s="32">
        <v>17</v>
      </c>
      <c r="G1732" s="32" t="s">
        <v>52</v>
      </c>
      <c r="H1732" s="32" t="s">
        <v>4449</v>
      </c>
      <c r="I1732" s="32" t="s">
        <v>39</v>
      </c>
      <c r="J1732" s="32" t="s">
        <v>53</v>
      </c>
    </row>
    <row r="1733" spans="1:12" hidden="1" x14ac:dyDescent="0.3">
      <c r="A1733" s="39">
        <v>46153.61078703704</v>
      </c>
      <c r="B1733" s="32">
        <v>41995061279</v>
      </c>
      <c r="C1733" s="32">
        <v>4430265054</v>
      </c>
      <c r="D1733" s="32">
        <v>4430265054</v>
      </c>
      <c r="E1733" s="32">
        <v>19</v>
      </c>
      <c r="F1733" s="32">
        <v>18</v>
      </c>
      <c r="G1733" s="32" t="s">
        <v>52</v>
      </c>
      <c r="H1733" s="32" t="s">
        <v>4450</v>
      </c>
      <c r="I1733" s="32" t="s">
        <v>39</v>
      </c>
      <c r="J1733" s="32" t="s">
        <v>53</v>
      </c>
    </row>
    <row r="1734" spans="1:12" hidden="1" x14ac:dyDescent="0.3">
      <c r="A1734" s="39">
        <v>46153.61005787037</v>
      </c>
      <c r="B1734" s="32">
        <v>41995061279</v>
      </c>
      <c r="C1734" s="32" t="s">
        <v>37</v>
      </c>
      <c r="D1734" s="32">
        <v>4430265054</v>
      </c>
      <c r="E1734" s="32">
        <v>57</v>
      </c>
      <c r="F1734" s="32">
        <v>28</v>
      </c>
      <c r="G1734" s="32" t="s">
        <v>38</v>
      </c>
      <c r="H1734" s="32" t="s">
        <v>4451</v>
      </c>
      <c r="I1734" s="32" t="s">
        <v>39</v>
      </c>
      <c r="J1734" s="32" t="s">
        <v>40</v>
      </c>
      <c r="K1734" s="32" t="s">
        <v>41</v>
      </c>
    </row>
    <row r="1735" spans="1:12" hidden="1" x14ac:dyDescent="0.3">
      <c r="A1735" s="39">
        <v>46153.609456018516</v>
      </c>
      <c r="B1735" s="32">
        <v>3432424736</v>
      </c>
      <c r="C1735" s="32" t="s">
        <v>43</v>
      </c>
      <c r="D1735" s="32">
        <v>4430265054</v>
      </c>
      <c r="E1735" s="32">
        <v>301</v>
      </c>
      <c r="F1735" s="32">
        <v>250</v>
      </c>
      <c r="G1735" s="32" t="s">
        <v>38</v>
      </c>
      <c r="H1735" s="32" t="s">
        <v>4452</v>
      </c>
      <c r="I1735" s="32" t="s">
        <v>39</v>
      </c>
      <c r="J1735" s="32" t="s">
        <v>40</v>
      </c>
      <c r="K1735" s="32" t="s">
        <v>41</v>
      </c>
    </row>
    <row r="1736" spans="1:12" hidden="1" x14ac:dyDescent="0.3">
      <c r="A1736" s="39">
        <v>46153.606388888889</v>
      </c>
      <c r="B1736" s="32">
        <v>93991495484</v>
      </c>
      <c r="C1736" s="32" t="s">
        <v>45</v>
      </c>
      <c r="D1736" s="32">
        <v>4430265054</v>
      </c>
      <c r="E1736" s="32">
        <v>411</v>
      </c>
      <c r="F1736" s="32">
        <v>251</v>
      </c>
      <c r="G1736" s="32" t="s">
        <v>38</v>
      </c>
      <c r="H1736" s="32" t="s">
        <v>4453</v>
      </c>
      <c r="I1736" s="32" t="s">
        <v>39</v>
      </c>
      <c r="J1736" s="32" t="s">
        <v>40</v>
      </c>
      <c r="K1736" s="32" t="s">
        <v>41</v>
      </c>
      <c r="L1736" s="32">
        <v>5</v>
      </c>
    </row>
    <row r="1737" spans="1:12" hidden="1" x14ac:dyDescent="0.3">
      <c r="A1737" s="39">
        <v>46153.599328703705</v>
      </c>
      <c r="B1737" s="32">
        <v>4436249360</v>
      </c>
      <c r="C1737" s="32" t="s">
        <v>48</v>
      </c>
      <c r="D1737" s="32">
        <v>4430265054</v>
      </c>
      <c r="E1737" s="32">
        <v>907</v>
      </c>
      <c r="F1737" s="32">
        <v>864</v>
      </c>
      <c r="G1737" s="32" t="s">
        <v>38</v>
      </c>
      <c r="H1737" s="32" t="s">
        <v>4454</v>
      </c>
      <c r="I1737" s="32" t="s">
        <v>39</v>
      </c>
      <c r="J1737" s="32" t="s">
        <v>40</v>
      </c>
      <c r="K1737" s="32" t="s">
        <v>41</v>
      </c>
    </row>
    <row r="1738" spans="1:12" hidden="1" x14ac:dyDescent="0.3">
      <c r="A1738" s="39">
        <v>46153.593888888892</v>
      </c>
      <c r="B1738" s="32">
        <v>4430153709</v>
      </c>
      <c r="C1738" s="32" t="s">
        <v>44</v>
      </c>
      <c r="D1738" s="32">
        <v>4430265054</v>
      </c>
      <c r="E1738" s="32">
        <v>129</v>
      </c>
      <c r="F1738" s="32">
        <v>84</v>
      </c>
      <c r="G1738" s="32" t="s">
        <v>38</v>
      </c>
      <c r="H1738" s="32" t="s">
        <v>4455</v>
      </c>
      <c r="I1738" s="32" t="s">
        <v>39</v>
      </c>
      <c r="J1738" s="32" t="s">
        <v>40</v>
      </c>
      <c r="K1738" s="32" t="s">
        <v>41</v>
      </c>
    </row>
    <row r="1739" spans="1:12" hidden="1" x14ac:dyDescent="0.3">
      <c r="A1739" s="39">
        <v>46153.592557870368</v>
      </c>
      <c r="B1739" s="32">
        <v>4430153709</v>
      </c>
      <c r="C1739" s="32">
        <v>4430265054</v>
      </c>
      <c r="D1739" s="32">
        <v>4430265054</v>
      </c>
      <c r="E1739" s="32">
        <v>23</v>
      </c>
      <c r="F1739" s="32">
        <v>23</v>
      </c>
      <c r="G1739" s="32" t="s">
        <v>52</v>
      </c>
      <c r="H1739" s="32" t="s">
        <v>4456</v>
      </c>
      <c r="I1739" s="32" t="s">
        <v>39</v>
      </c>
      <c r="J1739" s="32" t="s">
        <v>53</v>
      </c>
      <c r="K1739" s="32" t="s">
        <v>41</v>
      </c>
    </row>
    <row r="1740" spans="1:12" hidden="1" x14ac:dyDescent="0.3">
      <c r="A1740" s="39">
        <v>46153.592407407406</v>
      </c>
      <c r="B1740" s="32">
        <v>4130775695</v>
      </c>
      <c r="C1740" s="32" t="s">
        <v>43</v>
      </c>
      <c r="D1740" s="32">
        <v>4430265054</v>
      </c>
      <c r="E1740" s="32">
        <v>668</v>
      </c>
      <c r="F1740" s="32">
        <v>645</v>
      </c>
      <c r="G1740" s="32" t="s">
        <v>38</v>
      </c>
      <c r="H1740" s="32" t="s">
        <v>4457</v>
      </c>
      <c r="I1740" s="32" t="s">
        <v>39</v>
      </c>
      <c r="J1740" s="32" t="s">
        <v>40</v>
      </c>
      <c r="K1740" s="32" t="s">
        <v>41</v>
      </c>
      <c r="L1740" s="32">
        <v>5</v>
      </c>
    </row>
    <row r="1741" spans="1:12" hidden="1" x14ac:dyDescent="0.3">
      <c r="A1741" s="39">
        <v>46153.591921296298</v>
      </c>
      <c r="B1741" s="32">
        <v>4430562296</v>
      </c>
      <c r="C1741" s="32" t="s">
        <v>48</v>
      </c>
      <c r="D1741" s="32">
        <v>4430265054</v>
      </c>
      <c r="E1741" s="32">
        <v>420</v>
      </c>
      <c r="F1741" s="32">
        <v>377</v>
      </c>
      <c r="G1741" s="32" t="s">
        <v>38</v>
      </c>
      <c r="H1741" s="32" t="s">
        <v>4458</v>
      </c>
      <c r="I1741" s="32" t="s">
        <v>39</v>
      </c>
      <c r="J1741" s="32" t="s">
        <v>40</v>
      </c>
      <c r="K1741" s="32" t="s">
        <v>41</v>
      </c>
    </row>
    <row r="1742" spans="1:12" hidden="1" x14ac:dyDescent="0.3">
      <c r="A1742" s="39">
        <v>46153.588055555556</v>
      </c>
      <c r="B1742" s="32" t="s">
        <v>45</v>
      </c>
      <c r="C1742" s="32">
        <v>44999654761</v>
      </c>
      <c r="E1742" s="32">
        <v>635</v>
      </c>
      <c r="F1742" s="32">
        <v>611</v>
      </c>
      <c r="G1742" s="32" t="s">
        <v>38</v>
      </c>
      <c r="H1742" s="32" t="s">
        <v>4459</v>
      </c>
      <c r="I1742" s="32" t="s">
        <v>46</v>
      </c>
      <c r="J1742" s="32" t="s">
        <v>40</v>
      </c>
      <c r="L1742" s="32">
        <v>5</v>
      </c>
    </row>
    <row r="1743" spans="1:12" hidden="1" x14ac:dyDescent="0.3">
      <c r="A1743" s="39">
        <v>46153.580694444441</v>
      </c>
      <c r="B1743" s="32">
        <v>1131043888</v>
      </c>
      <c r="C1743" s="32" t="s">
        <v>45</v>
      </c>
      <c r="D1743" s="32">
        <v>4430265054</v>
      </c>
      <c r="E1743" s="32">
        <v>603</v>
      </c>
      <c r="F1743" s="32">
        <v>581</v>
      </c>
      <c r="G1743" s="32" t="s">
        <v>38</v>
      </c>
      <c r="H1743" s="32" t="s">
        <v>4460</v>
      </c>
      <c r="I1743" s="32" t="s">
        <v>39</v>
      </c>
      <c r="J1743" s="32" t="s">
        <v>40</v>
      </c>
      <c r="K1743" s="32" t="s">
        <v>41</v>
      </c>
      <c r="L1743" s="32">
        <v>5</v>
      </c>
    </row>
    <row r="1744" spans="1:12" hidden="1" x14ac:dyDescent="0.3">
      <c r="A1744" s="39">
        <v>46153.573530092595</v>
      </c>
      <c r="B1744" s="32" t="s">
        <v>43</v>
      </c>
      <c r="C1744" s="32">
        <v>11990144272</v>
      </c>
      <c r="E1744" s="32">
        <v>171</v>
      </c>
      <c r="F1744" s="32">
        <v>160</v>
      </c>
      <c r="G1744" s="32" t="s">
        <v>38</v>
      </c>
      <c r="H1744" s="32" t="s">
        <v>4461</v>
      </c>
      <c r="I1744" s="32" t="s">
        <v>46</v>
      </c>
      <c r="J1744" s="32" t="s">
        <v>40</v>
      </c>
      <c r="L1744" s="32">
        <v>5</v>
      </c>
    </row>
    <row r="1745" spans="1:12" hidden="1" x14ac:dyDescent="0.3">
      <c r="A1745" s="39">
        <v>46153.572222222225</v>
      </c>
      <c r="B1745" s="32">
        <v>4430145172</v>
      </c>
      <c r="C1745" s="32" t="s">
        <v>44</v>
      </c>
      <c r="D1745" s="32">
        <v>4430265054</v>
      </c>
      <c r="E1745" s="32">
        <v>614</v>
      </c>
      <c r="F1745" s="32">
        <v>589</v>
      </c>
      <c r="G1745" s="32" t="s">
        <v>38</v>
      </c>
      <c r="H1745" s="32" t="s">
        <v>4462</v>
      </c>
      <c r="I1745" s="32" t="s">
        <v>39</v>
      </c>
      <c r="J1745" s="32" t="s">
        <v>40</v>
      </c>
      <c r="K1745" s="32" t="s">
        <v>41</v>
      </c>
    </row>
    <row r="1746" spans="1:12" hidden="1" x14ac:dyDescent="0.3">
      <c r="A1746" s="39">
        <v>46153.571817129632</v>
      </c>
      <c r="B1746" s="32" t="s">
        <v>45</v>
      </c>
      <c r="C1746" s="32">
        <v>4532541802</v>
      </c>
      <c r="E1746" s="32">
        <v>168</v>
      </c>
      <c r="F1746" s="32">
        <v>167</v>
      </c>
      <c r="G1746" s="32" t="s">
        <v>38</v>
      </c>
      <c r="H1746" s="32" t="s">
        <v>4463</v>
      </c>
      <c r="I1746" s="32" t="s">
        <v>46</v>
      </c>
      <c r="J1746" s="32" t="s">
        <v>40</v>
      </c>
    </row>
    <row r="1747" spans="1:12" hidden="1" x14ac:dyDescent="0.3">
      <c r="A1747" s="39">
        <v>46153.57099537037</v>
      </c>
      <c r="B1747" s="32">
        <v>11990144272</v>
      </c>
      <c r="C1747" s="32" t="s">
        <v>43</v>
      </c>
      <c r="D1747" s="32">
        <v>4431268225</v>
      </c>
      <c r="E1747" s="32">
        <v>215</v>
      </c>
      <c r="F1747" s="32">
        <v>197</v>
      </c>
      <c r="G1747" s="32" t="s">
        <v>38</v>
      </c>
      <c r="H1747" s="32" t="s">
        <v>4464</v>
      </c>
      <c r="I1747" s="32" t="s">
        <v>39</v>
      </c>
      <c r="J1747" s="32" t="s">
        <v>40</v>
      </c>
      <c r="K1747" s="32" t="s">
        <v>41</v>
      </c>
    </row>
    <row r="1748" spans="1:12" hidden="1" x14ac:dyDescent="0.3">
      <c r="A1748" s="39">
        <v>46153.569016203706</v>
      </c>
      <c r="B1748" s="32" t="s">
        <v>43</v>
      </c>
      <c r="C1748" s="32">
        <v>1131515685</v>
      </c>
      <c r="E1748" s="32">
        <v>46</v>
      </c>
      <c r="F1748" s="32">
        <v>36</v>
      </c>
      <c r="G1748" s="32" t="s">
        <v>38</v>
      </c>
      <c r="H1748" s="32" t="s">
        <v>4465</v>
      </c>
      <c r="I1748" s="32" t="s">
        <v>46</v>
      </c>
      <c r="J1748" s="32" t="s">
        <v>40</v>
      </c>
    </row>
    <row r="1749" spans="1:12" hidden="1" x14ac:dyDescent="0.3">
      <c r="A1749" s="39">
        <v>46153.566388888888</v>
      </c>
      <c r="B1749" s="32">
        <v>4434231198</v>
      </c>
      <c r="C1749" s="32" t="s">
        <v>37</v>
      </c>
      <c r="D1749" s="32">
        <v>4430265054</v>
      </c>
      <c r="E1749" s="32">
        <v>2597</v>
      </c>
      <c r="F1749" s="32">
        <v>2569</v>
      </c>
      <c r="G1749" s="32" t="s">
        <v>38</v>
      </c>
      <c r="H1749" s="32" t="s">
        <v>4466</v>
      </c>
      <c r="I1749" s="32" t="s">
        <v>39</v>
      </c>
      <c r="J1749" s="32" t="s">
        <v>40</v>
      </c>
      <c r="K1749" s="32" t="s">
        <v>41</v>
      </c>
      <c r="L1749" s="32">
        <v>5</v>
      </c>
    </row>
    <row r="1750" spans="1:12" hidden="1" x14ac:dyDescent="0.3">
      <c r="A1750" s="39">
        <v>46153.56391203704</v>
      </c>
      <c r="B1750" s="32" t="s">
        <v>43</v>
      </c>
      <c r="C1750" s="32">
        <v>11934552189</v>
      </c>
      <c r="E1750" s="32">
        <v>2</v>
      </c>
      <c r="F1750" s="32">
        <v>0</v>
      </c>
      <c r="G1750" s="32" t="s">
        <v>47</v>
      </c>
      <c r="H1750" s="32" t="s">
        <v>4467</v>
      </c>
      <c r="I1750" s="32" t="s">
        <v>46</v>
      </c>
      <c r="J1750" s="32" t="s">
        <v>40</v>
      </c>
    </row>
    <row r="1751" spans="1:12" hidden="1" x14ac:dyDescent="0.3">
      <c r="A1751" s="39">
        <v>46153.563333333332</v>
      </c>
      <c r="B1751" s="32">
        <v>11990144272</v>
      </c>
      <c r="C1751" s="32">
        <v>4431268225</v>
      </c>
      <c r="D1751" s="32">
        <v>4431268225</v>
      </c>
      <c r="E1751" s="32">
        <v>75</v>
      </c>
      <c r="F1751" s="32">
        <v>74</v>
      </c>
      <c r="G1751" s="32" t="s">
        <v>52</v>
      </c>
      <c r="H1751" s="32" t="s">
        <v>4468</v>
      </c>
      <c r="I1751" s="32" t="s">
        <v>39</v>
      </c>
      <c r="J1751" s="32" t="s">
        <v>53</v>
      </c>
      <c r="K1751" s="32" t="s">
        <v>41</v>
      </c>
    </row>
    <row r="1752" spans="1:12" hidden="1" x14ac:dyDescent="0.3">
      <c r="A1752" s="39">
        <v>46153.483449074076</v>
      </c>
      <c r="B1752" s="32">
        <v>44988255390</v>
      </c>
      <c r="C1752" s="32" t="s">
        <v>43</v>
      </c>
      <c r="D1752" s="32">
        <v>4430265054</v>
      </c>
      <c r="E1752" s="32">
        <v>133</v>
      </c>
      <c r="F1752" s="32">
        <v>95</v>
      </c>
      <c r="G1752" s="32" t="s">
        <v>38</v>
      </c>
      <c r="H1752" s="32" t="s">
        <v>4469</v>
      </c>
      <c r="I1752" s="32" t="s">
        <v>39</v>
      </c>
      <c r="J1752" s="32" t="s">
        <v>40</v>
      </c>
      <c r="K1752" s="32" t="s">
        <v>41</v>
      </c>
    </row>
    <row r="1753" spans="1:12" hidden="1" x14ac:dyDescent="0.3">
      <c r="A1753" s="39">
        <v>46153.482557870368</v>
      </c>
      <c r="B1753" s="32" t="s">
        <v>43</v>
      </c>
      <c r="C1753" s="32">
        <v>11934552189</v>
      </c>
      <c r="E1753" s="32">
        <v>2</v>
      </c>
      <c r="F1753" s="32">
        <v>0</v>
      </c>
      <c r="G1753" s="32" t="s">
        <v>47</v>
      </c>
      <c r="H1753" s="32" t="s">
        <v>4470</v>
      </c>
      <c r="I1753" s="32" t="s">
        <v>46</v>
      </c>
      <c r="J1753" s="32" t="s">
        <v>40</v>
      </c>
    </row>
    <row r="1754" spans="1:12" hidden="1" x14ac:dyDescent="0.3">
      <c r="A1754" s="39">
        <v>46153.482268518521</v>
      </c>
      <c r="B1754" s="32">
        <v>11982333621</v>
      </c>
      <c r="C1754" s="32" t="s">
        <v>37</v>
      </c>
      <c r="D1754" s="32">
        <v>4430265054</v>
      </c>
      <c r="E1754" s="32">
        <v>1083</v>
      </c>
      <c r="F1754" s="32">
        <v>980</v>
      </c>
      <c r="G1754" s="32" t="s">
        <v>38</v>
      </c>
      <c r="H1754" s="32" t="s">
        <v>4471</v>
      </c>
      <c r="I1754" s="32" t="s">
        <v>39</v>
      </c>
      <c r="J1754" s="32" t="s">
        <v>40</v>
      </c>
      <c r="K1754" s="32" t="s">
        <v>41</v>
      </c>
      <c r="L1754" s="32">
        <v>5</v>
      </c>
    </row>
    <row r="1755" spans="1:12" hidden="1" x14ac:dyDescent="0.3">
      <c r="A1755" s="39">
        <v>46153.481666666667</v>
      </c>
      <c r="B1755" s="32">
        <v>4432206400</v>
      </c>
      <c r="C1755" s="32" t="s">
        <v>45</v>
      </c>
      <c r="D1755" s="32">
        <v>4430265054</v>
      </c>
      <c r="E1755" s="32">
        <v>1200</v>
      </c>
      <c r="F1755" s="32">
        <v>1182</v>
      </c>
      <c r="G1755" s="32" t="s">
        <v>38</v>
      </c>
      <c r="H1755" s="32" t="s">
        <v>4472</v>
      </c>
      <c r="I1755" s="32" t="s">
        <v>39</v>
      </c>
      <c r="J1755" s="32" t="s">
        <v>40</v>
      </c>
      <c r="K1755" s="32" t="s">
        <v>41</v>
      </c>
      <c r="L1755" s="32">
        <v>5</v>
      </c>
    </row>
    <row r="1756" spans="1:12" hidden="1" x14ac:dyDescent="0.3">
      <c r="A1756" s="39">
        <v>46153.477743055555</v>
      </c>
      <c r="B1756" s="32">
        <v>1128787060</v>
      </c>
      <c r="C1756" s="32" t="s">
        <v>43</v>
      </c>
      <c r="D1756" s="32">
        <v>4430265054</v>
      </c>
      <c r="E1756" s="32">
        <v>307</v>
      </c>
      <c r="F1756" s="32">
        <v>283</v>
      </c>
      <c r="G1756" s="32" t="s">
        <v>38</v>
      </c>
      <c r="H1756" s="32" t="s">
        <v>4473</v>
      </c>
      <c r="I1756" s="32" t="s">
        <v>39</v>
      </c>
      <c r="J1756" s="32" t="s">
        <v>40</v>
      </c>
      <c r="K1756" s="32" t="s">
        <v>49</v>
      </c>
    </row>
    <row r="1757" spans="1:12" hidden="1" x14ac:dyDescent="0.3">
      <c r="A1757" s="39">
        <v>46153.475243055553</v>
      </c>
      <c r="B1757" s="32">
        <v>4121418164</v>
      </c>
      <c r="C1757" s="32">
        <v>4531273159</v>
      </c>
      <c r="D1757" s="32">
        <v>4531273159</v>
      </c>
      <c r="E1757" s="32">
        <v>47</v>
      </c>
      <c r="F1757" s="32">
        <v>46</v>
      </c>
      <c r="G1757" s="32" t="s">
        <v>52</v>
      </c>
      <c r="H1757" s="32" t="s">
        <v>4474</v>
      </c>
      <c r="I1757" s="32" t="s">
        <v>39</v>
      </c>
      <c r="J1757" s="32" t="s">
        <v>53</v>
      </c>
      <c r="K1757" s="32" t="s">
        <v>41</v>
      </c>
    </row>
    <row r="1758" spans="1:12" hidden="1" x14ac:dyDescent="0.3">
      <c r="A1758" s="39">
        <v>46153.47246527778</v>
      </c>
      <c r="B1758" s="32" t="s">
        <v>54</v>
      </c>
      <c r="C1758" s="32">
        <v>74999037680</v>
      </c>
      <c r="E1758" s="32">
        <v>5</v>
      </c>
      <c r="F1758" s="32">
        <v>0</v>
      </c>
      <c r="G1758" s="32" t="s">
        <v>47</v>
      </c>
      <c r="H1758" s="32" t="s">
        <v>4475</v>
      </c>
      <c r="I1758" s="32" t="s">
        <v>46</v>
      </c>
      <c r="J1758" s="32" t="s">
        <v>55</v>
      </c>
    </row>
    <row r="1759" spans="1:12" hidden="1" x14ac:dyDescent="0.3">
      <c r="A1759" s="39">
        <v>46153.469976851855</v>
      </c>
      <c r="B1759" s="32">
        <v>44999770237</v>
      </c>
      <c r="C1759" s="32" t="s">
        <v>37</v>
      </c>
      <c r="D1759" s="32">
        <v>4430265054</v>
      </c>
      <c r="E1759" s="32">
        <v>218</v>
      </c>
      <c r="F1759" s="32">
        <v>153</v>
      </c>
      <c r="G1759" s="32" t="s">
        <v>38</v>
      </c>
      <c r="H1759" s="32" t="s">
        <v>4476</v>
      </c>
      <c r="I1759" s="32" t="s">
        <v>39</v>
      </c>
      <c r="J1759" s="32" t="s">
        <v>40</v>
      </c>
      <c r="K1759" s="32" t="s">
        <v>41</v>
      </c>
    </row>
    <row r="1760" spans="1:12" hidden="1" x14ac:dyDescent="0.3">
      <c r="A1760" s="39">
        <v>46153.468090277776</v>
      </c>
      <c r="B1760" s="32">
        <v>4532541802</v>
      </c>
      <c r="C1760" s="32" t="s">
        <v>45</v>
      </c>
      <c r="D1760" s="32">
        <v>4430265054</v>
      </c>
      <c r="E1760" s="32">
        <v>622</v>
      </c>
      <c r="F1760" s="32">
        <v>597</v>
      </c>
      <c r="G1760" s="32" t="s">
        <v>38</v>
      </c>
      <c r="H1760" s="32" t="s">
        <v>4477</v>
      </c>
      <c r="I1760" s="32" t="s">
        <v>39</v>
      </c>
      <c r="J1760" s="32" t="s">
        <v>40</v>
      </c>
      <c r="K1760" s="32" t="s">
        <v>41</v>
      </c>
    </row>
    <row r="1761" spans="1:12" hidden="1" x14ac:dyDescent="0.3">
      <c r="A1761" s="39">
        <v>46153.459421296298</v>
      </c>
      <c r="B1761" s="32">
        <v>4432206400</v>
      </c>
      <c r="C1761" s="32" t="s">
        <v>45</v>
      </c>
      <c r="D1761" s="32">
        <v>4430265054</v>
      </c>
      <c r="E1761" s="32">
        <v>409</v>
      </c>
      <c r="F1761" s="32">
        <v>396</v>
      </c>
      <c r="G1761" s="32" t="s">
        <v>38</v>
      </c>
      <c r="H1761" s="32" t="s">
        <v>4478</v>
      </c>
      <c r="I1761" s="32" t="s">
        <v>39</v>
      </c>
      <c r="J1761" s="32" t="s">
        <v>40</v>
      </c>
      <c r="K1761" s="32" t="s">
        <v>41</v>
      </c>
    </row>
    <row r="1762" spans="1:12" hidden="1" x14ac:dyDescent="0.3">
      <c r="A1762" s="39">
        <v>46153.458993055552</v>
      </c>
      <c r="B1762" s="32">
        <v>44999670264</v>
      </c>
      <c r="C1762" s="32" t="s">
        <v>44</v>
      </c>
      <c r="D1762" s="32">
        <v>4430265054</v>
      </c>
      <c r="E1762" s="32">
        <v>325</v>
      </c>
      <c r="F1762" s="32">
        <v>290</v>
      </c>
      <c r="G1762" s="32" t="s">
        <v>38</v>
      </c>
      <c r="H1762" s="32" t="s">
        <v>4479</v>
      </c>
      <c r="I1762" s="32" t="s">
        <v>39</v>
      </c>
      <c r="J1762" s="32" t="s">
        <v>40</v>
      </c>
      <c r="K1762" s="32" t="s">
        <v>41</v>
      </c>
    </row>
    <row r="1763" spans="1:12" hidden="1" x14ac:dyDescent="0.3">
      <c r="A1763" s="39">
        <v>46153.457488425927</v>
      </c>
      <c r="B1763" s="32">
        <v>4432206400</v>
      </c>
      <c r="C1763" s="32" t="s">
        <v>45</v>
      </c>
      <c r="D1763" s="32">
        <v>4430265054</v>
      </c>
      <c r="E1763" s="32">
        <v>113</v>
      </c>
      <c r="F1763" s="32">
        <v>64</v>
      </c>
      <c r="G1763" s="32" t="s">
        <v>38</v>
      </c>
      <c r="H1763" s="32" t="s">
        <v>4480</v>
      </c>
      <c r="I1763" s="32" t="s">
        <v>39</v>
      </c>
      <c r="J1763" s="32" t="s">
        <v>40</v>
      </c>
      <c r="K1763" s="32" t="s">
        <v>41</v>
      </c>
    </row>
    <row r="1764" spans="1:12" hidden="1" x14ac:dyDescent="0.3">
      <c r="A1764" s="39">
        <v>46153.457037037035</v>
      </c>
      <c r="B1764" s="32">
        <v>4432272377</v>
      </c>
      <c r="C1764" s="32" t="s">
        <v>43</v>
      </c>
      <c r="D1764" s="32">
        <v>4430265054</v>
      </c>
      <c r="E1764" s="32">
        <v>526</v>
      </c>
      <c r="F1764" s="32">
        <v>497</v>
      </c>
      <c r="G1764" s="32" t="s">
        <v>38</v>
      </c>
      <c r="H1764" s="32" t="s">
        <v>4481</v>
      </c>
      <c r="I1764" s="32" t="s">
        <v>39</v>
      </c>
      <c r="J1764" s="32" t="s">
        <v>40</v>
      </c>
      <c r="K1764" s="32" t="s">
        <v>41</v>
      </c>
    </row>
    <row r="1765" spans="1:12" hidden="1" x14ac:dyDescent="0.3">
      <c r="A1765" s="39">
        <v>46153.455636574072</v>
      </c>
      <c r="B1765" s="32">
        <v>4533042020</v>
      </c>
      <c r="C1765" s="32" t="s">
        <v>37</v>
      </c>
      <c r="D1765" s="32">
        <v>4531273176</v>
      </c>
      <c r="E1765" s="32">
        <v>61</v>
      </c>
      <c r="F1765" s="32">
        <v>9</v>
      </c>
      <c r="G1765" s="32" t="s">
        <v>38</v>
      </c>
      <c r="H1765" s="32" t="s">
        <v>4482</v>
      </c>
      <c r="I1765" s="32" t="s">
        <v>39</v>
      </c>
      <c r="J1765" s="32" t="s">
        <v>40</v>
      </c>
      <c r="K1765" s="32" t="s">
        <v>41</v>
      </c>
    </row>
    <row r="1766" spans="1:12" hidden="1" x14ac:dyDescent="0.3">
      <c r="A1766" s="39">
        <v>46153.45517361111</v>
      </c>
      <c r="B1766" s="32">
        <v>4436249360</v>
      </c>
      <c r="C1766" s="32" t="s">
        <v>44</v>
      </c>
      <c r="D1766" s="32">
        <v>4430265054</v>
      </c>
      <c r="E1766" s="32">
        <v>94</v>
      </c>
      <c r="F1766" s="32">
        <v>51</v>
      </c>
      <c r="G1766" s="32" t="s">
        <v>38</v>
      </c>
      <c r="H1766" s="32" t="s">
        <v>4483</v>
      </c>
      <c r="I1766" s="32" t="s">
        <v>39</v>
      </c>
      <c r="J1766" s="32" t="s">
        <v>40</v>
      </c>
      <c r="K1766" s="32" t="s">
        <v>41</v>
      </c>
    </row>
    <row r="1767" spans="1:12" hidden="1" x14ac:dyDescent="0.3">
      <c r="A1767" s="39">
        <v>46153.454062500001</v>
      </c>
      <c r="B1767" s="32">
        <v>4532541802</v>
      </c>
      <c r="C1767" s="32" t="s">
        <v>45</v>
      </c>
      <c r="D1767" s="32">
        <v>4430265054</v>
      </c>
      <c r="E1767" s="32">
        <v>232</v>
      </c>
      <c r="F1767" s="32">
        <v>194</v>
      </c>
      <c r="G1767" s="32" t="s">
        <v>38</v>
      </c>
      <c r="H1767" s="32" t="s">
        <v>4484</v>
      </c>
      <c r="I1767" s="32" t="s">
        <v>39</v>
      </c>
      <c r="J1767" s="32" t="s">
        <v>40</v>
      </c>
      <c r="K1767" s="32" t="s">
        <v>41</v>
      </c>
    </row>
    <row r="1768" spans="1:12" hidden="1" x14ac:dyDescent="0.3">
      <c r="A1768" s="39">
        <v>46153.451006944444</v>
      </c>
      <c r="B1768" s="32" t="s">
        <v>57</v>
      </c>
      <c r="C1768" s="32">
        <v>41999114329</v>
      </c>
      <c r="E1768" s="32">
        <v>694</v>
      </c>
      <c r="F1768" s="32">
        <v>678</v>
      </c>
      <c r="G1768" s="32" t="s">
        <v>38</v>
      </c>
      <c r="H1768" s="32" t="s">
        <v>4485</v>
      </c>
      <c r="I1768" s="32" t="s">
        <v>46</v>
      </c>
      <c r="J1768" s="32" t="s">
        <v>55</v>
      </c>
    </row>
    <row r="1769" spans="1:12" hidden="1" x14ac:dyDescent="0.3">
      <c r="A1769" s="39">
        <v>46153.450486111113</v>
      </c>
      <c r="B1769" s="32" t="s">
        <v>54</v>
      </c>
      <c r="C1769" s="32">
        <v>11957982915</v>
      </c>
      <c r="E1769" s="32">
        <v>15</v>
      </c>
      <c r="F1769" s="32">
        <v>3</v>
      </c>
      <c r="G1769" s="32" t="s">
        <v>38</v>
      </c>
      <c r="H1769" s="32" t="s">
        <v>4486</v>
      </c>
      <c r="I1769" s="32" t="s">
        <v>46</v>
      </c>
      <c r="J1769" s="32" t="s">
        <v>55</v>
      </c>
    </row>
    <row r="1770" spans="1:12" hidden="1" x14ac:dyDescent="0.3">
      <c r="A1770" s="39">
        <v>46153.448692129627</v>
      </c>
      <c r="B1770" s="32">
        <v>4430256607</v>
      </c>
      <c r="C1770" s="32" t="s">
        <v>37</v>
      </c>
      <c r="D1770" s="32">
        <v>4430265054</v>
      </c>
      <c r="E1770" s="32">
        <v>517</v>
      </c>
      <c r="F1770" s="32">
        <v>492</v>
      </c>
      <c r="G1770" s="32" t="s">
        <v>38</v>
      </c>
      <c r="H1770" s="32" t="s">
        <v>4487</v>
      </c>
      <c r="I1770" s="32" t="s">
        <v>39</v>
      </c>
      <c r="J1770" s="32" t="s">
        <v>40</v>
      </c>
      <c r="K1770" s="32" t="s">
        <v>41</v>
      </c>
    </row>
    <row r="1771" spans="1:12" hidden="1" x14ac:dyDescent="0.3">
      <c r="A1771" s="39">
        <v>46153.445231481484</v>
      </c>
      <c r="B1771" s="32" t="s">
        <v>37</v>
      </c>
      <c r="C1771" s="32">
        <v>4432541200</v>
      </c>
      <c r="E1771" s="32">
        <v>109</v>
      </c>
      <c r="F1771" s="32">
        <v>103</v>
      </c>
      <c r="G1771" s="32" t="s">
        <v>38</v>
      </c>
      <c r="H1771" s="32" t="s">
        <v>4488</v>
      </c>
      <c r="I1771" s="32" t="s">
        <v>46</v>
      </c>
      <c r="J1771" s="32" t="s">
        <v>40</v>
      </c>
    </row>
    <row r="1772" spans="1:12" hidden="1" x14ac:dyDescent="0.3">
      <c r="A1772" s="39">
        <v>46153.442569444444</v>
      </c>
      <c r="B1772" s="32">
        <v>44997215491</v>
      </c>
      <c r="C1772" s="32" t="s">
        <v>43</v>
      </c>
      <c r="D1772" s="32">
        <v>4430265054</v>
      </c>
      <c r="E1772" s="32">
        <v>731</v>
      </c>
      <c r="F1772" s="32">
        <v>691</v>
      </c>
      <c r="G1772" s="32" t="s">
        <v>38</v>
      </c>
      <c r="H1772" s="32" t="s">
        <v>4489</v>
      </c>
      <c r="I1772" s="32" t="s">
        <v>39</v>
      </c>
      <c r="J1772" s="32" t="s">
        <v>40</v>
      </c>
      <c r="K1772" s="32" t="s">
        <v>41</v>
      </c>
      <c r="L1772" s="32">
        <v>5</v>
      </c>
    </row>
    <row r="1773" spans="1:12" hidden="1" x14ac:dyDescent="0.3">
      <c r="A1773" s="39">
        <v>46153.441747685189</v>
      </c>
      <c r="B1773" s="32">
        <v>4436291247</v>
      </c>
      <c r="C1773" s="32" t="s">
        <v>44</v>
      </c>
      <c r="D1773" s="32">
        <v>4430265054</v>
      </c>
      <c r="E1773" s="32">
        <v>355</v>
      </c>
      <c r="F1773" s="32">
        <v>264</v>
      </c>
      <c r="G1773" s="32" t="s">
        <v>38</v>
      </c>
      <c r="H1773" s="32" t="s">
        <v>4490</v>
      </c>
      <c r="I1773" s="32" t="s">
        <v>39</v>
      </c>
      <c r="J1773" s="32" t="s">
        <v>40</v>
      </c>
      <c r="K1773" s="32" t="s">
        <v>41</v>
      </c>
    </row>
    <row r="1774" spans="1:12" hidden="1" x14ac:dyDescent="0.3">
      <c r="A1774" s="39">
        <v>46153.435162037036</v>
      </c>
      <c r="B1774" s="32">
        <v>4334234629</v>
      </c>
      <c r="C1774" s="32" t="s">
        <v>44</v>
      </c>
      <c r="D1774" s="32">
        <v>4430265054</v>
      </c>
      <c r="E1774" s="32">
        <v>314</v>
      </c>
      <c r="F1774" s="32">
        <v>290</v>
      </c>
      <c r="G1774" s="32" t="s">
        <v>38</v>
      </c>
      <c r="H1774" s="32" t="s">
        <v>4491</v>
      </c>
      <c r="I1774" s="32" t="s">
        <v>39</v>
      </c>
      <c r="J1774" s="32" t="s">
        <v>40</v>
      </c>
      <c r="K1774" s="32" t="s">
        <v>41</v>
      </c>
    </row>
    <row r="1775" spans="1:12" hidden="1" x14ac:dyDescent="0.3">
      <c r="A1775" s="39">
        <v>46153.434641203705</v>
      </c>
      <c r="B1775" s="32" t="s">
        <v>57</v>
      </c>
      <c r="C1775" s="32">
        <v>4430284942</v>
      </c>
      <c r="E1775" s="32">
        <v>57</v>
      </c>
      <c r="F1775" s="32">
        <v>37</v>
      </c>
      <c r="G1775" s="32" t="s">
        <v>38</v>
      </c>
      <c r="H1775" s="32" t="s">
        <v>4492</v>
      </c>
      <c r="I1775" s="32" t="s">
        <v>46</v>
      </c>
      <c r="J1775" s="32" t="s">
        <v>55</v>
      </c>
    </row>
    <row r="1776" spans="1:12" hidden="1" x14ac:dyDescent="0.3">
      <c r="A1776" s="39">
        <v>46153.434293981481</v>
      </c>
      <c r="B1776" s="32" t="s">
        <v>57</v>
      </c>
      <c r="C1776" s="32">
        <v>44999827212</v>
      </c>
      <c r="E1776" s="32">
        <v>6</v>
      </c>
      <c r="F1776" s="32">
        <v>0</v>
      </c>
      <c r="G1776" s="32" t="s">
        <v>47</v>
      </c>
      <c r="H1776" s="32" t="s">
        <v>4493</v>
      </c>
      <c r="I1776" s="32" t="s">
        <v>46</v>
      </c>
      <c r="J1776" s="32" t="s">
        <v>55</v>
      </c>
    </row>
    <row r="1777" spans="1:12" hidden="1" x14ac:dyDescent="0.3">
      <c r="A1777" s="39">
        <v>46153.434120370373</v>
      </c>
      <c r="B1777" s="32" t="s">
        <v>57</v>
      </c>
      <c r="C1777" s="32">
        <v>4436751083</v>
      </c>
      <c r="E1777" s="32">
        <v>8</v>
      </c>
      <c r="F1777" s="32">
        <v>0</v>
      </c>
      <c r="G1777" s="32" t="s">
        <v>47</v>
      </c>
      <c r="H1777" s="32" t="s">
        <v>4494</v>
      </c>
      <c r="I1777" s="32" t="s">
        <v>46</v>
      </c>
      <c r="J1777" s="32" t="s">
        <v>55</v>
      </c>
    </row>
    <row r="1778" spans="1:12" hidden="1" x14ac:dyDescent="0.3">
      <c r="A1778" s="39">
        <v>46153.434027777781</v>
      </c>
      <c r="B1778" s="32" t="s">
        <v>57</v>
      </c>
      <c r="C1778" s="32">
        <v>4436151083</v>
      </c>
      <c r="E1778" s="32">
        <v>1</v>
      </c>
      <c r="F1778" s="32">
        <v>0</v>
      </c>
      <c r="G1778" s="32" t="s">
        <v>47</v>
      </c>
      <c r="H1778" s="32" t="s">
        <v>4495</v>
      </c>
      <c r="I1778" s="32" t="s">
        <v>46</v>
      </c>
      <c r="J1778" s="32" t="s">
        <v>55</v>
      </c>
    </row>
    <row r="1779" spans="1:12" hidden="1" x14ac:dyDescent="0.3">
      <c r="A1779" s="39">
        <v>46153.433900462966</v>
      </c>
      <c r="B1779" s="32">
        <v>4434239353</v>
      </c>
      <c r="C1779" s="32" t="s">
        <v>45</v>
      </c>
      <c r="D1779" s="32">
        <v>4430265054</v>
      </c>
      <c r="E1779" s="32">
        <v>1028</v>
      </c>
      <c r="F1779" s="32">
        <v>1007</v>
      </c>
      <c r="G1779" s="32" t="s">
        <v>38</v>
      </c>
      <c r="H1779" s="32" t="s">
        <v>4496</v>
      </c>
      <c r="I1779" s="32" t="s">
        <v>39</v>
      </c>
      <c r="J1779" s="32" t="s">
        <v>40</v>
      </c>
      <c r="K1779" s="32" t="s">
        <v>41</v>
      </c>
    </row>
    <row r="1780" spans="1:12" hidden="1" x14ac:dyDescent="0.3">
      <c r="A1780" s="39">
        <v>46153.431157407409</v>
      </c>
      <c r="B1780" s="32">
        <v>83988398480</v>
      </c>
      <c r="C1780" s="32" t="s">
        <v>37</v>
      </c>
      <c r="D1780" s="32">
        <v>4430265054</v>
      </c>
      <c r="E1780" s="32">
        <v>905</v>
      </c>
      <c r="F1780" s="32">
        <v>893</v>
      </c>
      <c r="G1780" s="32" t="s">
        <v>38</v>
      </c>
      <c r="H1780" s="32" t="s">
        <v>4497</v>
      </c>
      <c r="I1780" s="32" t="s">
        <v>39</v>
      </c>
      <c r="J1780" s="32" t="s">
        <v>40</v>
      </c>
      <c r="K1780" s="32" t="s">
        <v>41</v>
      </c>
    </row>
    <row r="1781" spans="1:12" hidden="1" x14ac:dyDescent="0.3">
      <c r="A1781" s="39">
        <v>46153.430011574077</v>
      </c>
      <c r="B1781" s="32">
        <v>4432697000</v>
      </c>
      <c r="C1781" s="32" t="s">
        <v>43</v>
      </c>
      <c r="D1781" s="32">
        <v>4430265054</v>
      </c>
      <c r="E1781" s="32">
        <v>506</v>
      </c>
      <c r="F1781" s="32">
        <v>464</v>
      </c>
      <c r="G1781" s="32" t="s">
        <v>38</v>
      </c>
      <c r="H1781" s="32" t="s">
        <v>4498</v>
      </c>
      <c r="I1781" s="32" t="s">
        <v>39</v>
      </c>
      <c r="J1781" s="32" t="s">
        <v>40</v>
      </c>
      <c r="K1781" s="32" t="s">
        <v>41</v>
      </c>
    </row>
    <row r="1782" spans="1:12" hidden="1" x14ac:dyDescent="0.3">
      <c r="A1782" s="39">
        <v>46153.427199074074</v>
      </c>
      <c r="B1782" s="32" t="s">
        <v>57</v>
      </c>
      <c r="C1782" s="32">
        <v>4433231120</v>
      </c>
      <c r="E1782" s="32">
        <v>46</v>
      </c>
      <c r="F1782" s="32">
        <v>29</v>
      </c>
      <c r="G1782" s="32" t="s">
        <v>38</v>
      </c>
      <c r="H1782" s="32" t="s">
        <v>4499</v>
      </c>
      <c r="I1782" s="32" t="s">
        <v>46</v>
      </c>
      <c r="J1782" s="32" t="s">
        <v>55</v>
      </c>
    </row>
    <row r="1783" spans="1:12" hidden="1" x14ac:dyDescent="0.3">
      <c r="A1783" s="39">
        <v>46153.423541666663</v>
      </c>
      <c r="B1783" s="32">
        <v>44988255390</v>
      </c>
      <c r="C1783" s="32" t="s">
        <v>45</v>
      </c>
      <c r="D1783" s="32">
        <v>4430265054</v>
      </c>
      <c r="E1783" s="32">
        <v>713</v>
      </c>
      <c r="F1783" s="32">
        <v>673</v>
      </c>
      <c r="G1783" s="32" t="s">
        <v>38</v>
      </c>
      <c r="H1783" s="32" t="s">
        <v>4500</v>
      </c>
      <c r="I1783" s="32" t="s">
        <v>39</v>
      </c>
      <c r="J1783" s="32" t="s">
        <v>40</v>
      </c>
      <c r="K1783" s="32" t="s">
        <v>41</v>
      </c>
    </row>
    <row r="1784" spans="1:12" hidden="1" x14ac:dyDescent="0.3">
      <c r="A1784" s="39">
        <v>46153.421574074076</v>
      </c>
      <c r="B1784" s="32" t="s">
        <v>57</v>
      </c>
      <c r="C1784" s="32">
        <v>4432322642</v>
      </c>
      <c r="E1784" s="32">
        <v>28</v>
      </c>
      <c r="F1784" s="32">
        <v>14</v>
      </c>
      <c r="G1784" s="32" t="s">
        <v>38</v>
      </c>
      <c r="H1784" s="32" t="s">
        <v>4501</v>
      </c>
      <c r="I1784" s="32" t="s">
        <v>46</v>
      </c>
      <c r="J1784" s="32" t="s">
        <v>55</v>
      </c>
    </row>
    <row r="1785" spans="1:12" hidden="1" x14ac:dyDescent="0.3">
      <c r="A1785" s="39">
        <v>46153.419791666667</v>
      </c>
      <c r="B1785" s="32" t="s">
        <v>57</v>
      </c>
      <c r="C1785" s="32">
        <v>44999416670</v>
      </c>
      <c r="E1785" s="32">
        <v>43</v>
      </c>
      <c r="F1785" s="32">
        <v>3</v>
      </c>
      <c r="G1785" s="32" t="s">
        <v>38</v>
      </c>
      <c r="H1785" s="32" t="s">
        <v>4502</v>
      </c>
      <c r="I1785" s="32" t="s">
        <v>46</v>
      </c>
      <c r="J1785" s="32" t="s">
        <v>55</v>
      </c>
    </row>
    <row r="1786" spans="1:12" hidden="1" x14ac:dyDescent="0.3">
      <c r="A1786" s="39">
        <v>46153.419652777775</v>
      </c>
      <c r="B1786" s="32" t="s">
        <v>57</v>
      </c>
      <c r="C1786" s="32">
        <v>4432322101</v>
      </c>
      <c r="E1786" s="32">
        <v>1</v>
      </c>
      <c r="F1786" s="32">
        <v>0</v>
      </c>
      <c r="G1786" s="32" t="s">
        <v>47</v>
      </c>
      <c r="H1786" s="32" t="s">
        <v>4503</v>
      </c>
      <c r="I1786" s="32" t="s">
        <v>46</v>
      </c>
      <c r="J1786" s="32" t="s">
        <v>55</v>
      </c>
    </row>
    <row r="1787" spans="1:12" hidden="1" x14ac:dyDescent="0.3">
      <c r="A1787" s="39">
        <v>46153.419525462959</v>
      </c>
      <c r="B1787" s="32" t="s">
        <v>57</v>
      </c>
      <c r="C1787" s="32">
        <v>4432322101</v>
      </c>
      <c r="E1787" s="32">
        <v>1</v>
      </c>
      <c r="F1787" s="32">
        <v>0</v>
      </c>
      <c r="G1787" s="32" t="s">
        <v>47</v>
      </c>
      <c r="H1787" s="32" t="s">
        <v>4504</v>
      </c>
      <c r="I1787" s="32" t="s">
        <v>46</v>
      </c>
      <c r="J1787" s="32" t="s">
        <v>55</v>
      </c>
    </row>
    <row r="1788" spans="1:12" hidden="1" x14ac:dyDescent="0.3">
      <c r="A1788" s="39">
        <v>46153.41300925926</v>
      </c>
      <c r="B1788" s="32">
        <v>44999497001</v>
      </c>
      <c r="C1788" s="32" t="s">
        <v>48</v>
      </c>
      <c r="D1788" s="32">
        <v>4430265054</v>
      </c>
      <c r="E1788" s="32">
        <v>229</v>
      </c>
      <c r="F1788" s="32">
        <v>228</v>
      </c>
      <c r="G1788" s="32" t="s">
        <v>38</v>
      </c>
      <c r="H1788" s="32" t="s">
        <v>4505</v>
      </c>
      <c r="I1788" s="32" t="s">
        <v>39</v>
      </c>
      <c r="J1788" s="32" t="s">
        <v>40</v>
      </c>
      <c r="K1788" s="32" t="s">
        <v>41</v>
      </c>
    </row>
    <row r="1789" spans="1:12" hidden="1" x14ac:dyDescent="0.3">
      <c r="A1789" s="39">
        <v>46153.411435185182</v>
      </c>
      <c r="B1789" s="32" t="s">
        <v>57</v>
      </c>
      <c r="C1789" s="32">
        <v>4432641415</v>
      </c>
      <c r="E1789" s="32">
        <v>53</v>
      </c>
      <c r="F1789" s="32">
        <v>15</v>
      </c>
      <c r="G1789" s="32" t="s">
        <v>38</v>
      </c>
      <c r="H1789" s="32" t="s">
        <v>4506</v>
      </c>
      <c r="I1789" s="32" t="s">
        <v>46</v>
      </c>
      <c r="J1789" s="32" t="s">
        <v>55</v>
      </c>
    </row>
    <row r="1790" spans="1:12" hidden="1" x14ac:dyDescent="0.3">
      <c r="A1790" s="39">
        <v>46153.408842592595</v>
      </c>
      <c r="B1790" s="32">
        <v>43996490165</v>
      </c>
      <c r="C1790" s="32" t="s">
        <v>43</v>
      </c>
      <c r="D1790" s="32">
        <v>4430265054</v>
      </c>
      <c r="E1790" s="32">
        <v>384</v>
      </c>
      <c r="F1790" s="32">
        <v>367</v>
      </c>
      <c r="G1790" s="32" t="s">
        <v>38</v>
      </c>
      <c r="H1790" s="32" t="s">
        <v>4507</v>
      </c>
      <c r="I1790" s="32" t="s">
        <v>39</v>
      </c>
      <c r="J1790" s="32" t="s">
        <v>40</v>
      </c>
      <c r="K1790" s="32" t="s">
        <v>41</v>
      </c>
    </row>
    <row r="1791" spans="1:12" hidden="1" x14ac:dyDescent="0.3">
      <c r="A1791" s="39">
        <v>46153.40724537037</v>
      </c>
      <c r="B1791" s="32">
        <v>4430451163</v>
      </c>
      <c r="C1791" s="32" t="s">
        <v>45</v>
      </c>
      <c r="D1791" s="32">
        <v>4430265054</v>
      </c>
      <c r="E1791" s="32">
        <v>811</v>
      </c>
      <c r="F1791" s="32">
        <v>714</v>
      </c>
      <c r="G1791" s="32" t="s">
        <v>38</v>
      </c>
      <c r="H1791" s="32" t="s">
        <v>4508</v>
      </c>
      <c r="I1791" s="32" t="s">
        <v>39</v>
      </c>
      <c r="J1791" s="32" t="s">
        <v>40</v>
      </c>
      <c r="K1791" s="32" t="s">
        <v>41</v>
      </c>
      <c r="L1791" s="32">
        <v>5</v>
      </c>
    </row>
    <row r="1792" spans="1:12" hidden="1" x14ac:dyDescent="0.3">
      <c r="A1792" s="39">
        <v>46153.407210648147</v>
      </c>
      <c r="B1792" s="32" t="s">
        <v>45</v>
      </c>
      <c r="C1792" s="32">
        <v>44999654761</v>
      </c>
      <c r="E1792" s="32">
        <v>49</v>
      </c>
      <c r="F1792" s="32">
        <v>11</v>
      </c>
      <c r="G1792" s="32" t="s">
        <v>38</v>
      </c>
      <c r="H1792" s="32" t="s">
        <v>4509</v>
      </c>
      <c r="I1792" s="32" t="s">
        <v>46</v>
      </c>
      <c r="J1792" s="32" t="s">
        <v>40</v>
      </c>
    </row>
    <row r="1793" spans="1:12" hidden="1" x14ac:dyDescent="0.3">
      <c r="A1793" s="39">
        <v>46153.405682870369</v>
      </c>
      <c r="B1793" s="32" t="s">
        <v>45</v>
      </c>
      <c r="C1793" s="32">
        <v>44999654761</v>
      </c>
      <c r="E1793" s="32">
        <v>67</v>
      </c>
      <c r="F1793" s="32">
        <v>30</v>
      </c>
      <c r="G1793" s="32" t="s">
        <v>38</v>
      </c>
      <c r="H1793" s="32" t="s">
        <v>4510</v>
      </c>
      <c r="I1793" s="32" t="s">
        <v>46</v>
      </c>
      <c r="J1793" s="32" t="s">
        <v>40</v>
      </c>
    </row>
    <row r="1794" spans="1:12" hidden="1" x14ac:dyDescent="0.3">
      <c r="A1794" s="39">
        <v>46153.40388888889</v>
      </c>
      <c r="B1794" s="32">
        <v>41995061279</v>
      </c>
      <c r="C1794" s="32" t="s">
        <v>43</v>
      </c>
      <c r="D1794" s="32">
        <v>4430265054</v>
      </c>
      <c r="E1794" s="32">
        <v>111</v>
      </c>
      <c r="F1794" s="32">
        <v>82</v>
      </c>
      <c r="G1794" s="32" t="s">
        <v>38</v>
      </c>
      <c r="H1794" s="32" t="s">
        <v>4511</v>
      </c>
      <c r="I1794" s="32" t="s">
        <v>39</v>
      </c>
      <c r="J1794" s="32" t="s">
        <v>40</v>
      </c>
      <c r="K1794" s="32" t="s">
        <v>41</v>
      </c>
    </row>
    <row r="1795" spans="1:12" hidden="1" x14ac:dyDescent="0.3">
      <c r="A1795" s="39">
        <v>46153.399687500001</v>
      </c>
      <c r="B1795" s="32">
        <v>4430562296</v>
      </c>
      <c r="C1795" s="32" t="s">
        <v>45</v>
      </c>
      <c r="D1795" s="32">
        <v>4430265054</v>
      </c>
      <c r="E1795" s="32">
        <v>299</v>
      </c>
      <c r="F1795" s="32">
        <v>257</v>
      </c>
      <c r="G1795" s="32" t="s">
        <v>38</v>
      </c>
      <c r="H1795" s="32" t="s">
        <v>4512</v>
      </c>
      <c r="I1795" s="32" t="s">
        <v>39</v>
      </c>
      <c r="J1795" s="32" t="s">
        <v>40</v>
      </c>
      <c r="K1795" s="32" t="s">
        <v>41</v>
      </c>
    </row>
    <row r="1796" spans="1:12" hidden="1" x14ac:dyDescent="0.3">
      <c r="A1796" s="39">
        <v>46153.392187500001</v>
      </c>
      <c r="B1796" s="32">
        <v>4432525112</v>
      </c>
      <c r="C1796" s="32" t="s">
        <v>37</v>
      </c>
      <c r="D1796" s="32">
        <v>4430265054</v>
      </c>
      <c r="E1796" s="32">
        <v>2077</v>
      </c>
      <c r="F1796" s="32">
        <v>1989</v>
      </c>
      <c r="G1796" s="32" t="s">
        <v>38</v>
      </c>
      <c r="H1796" s="32" t="s">
        <v>4513</v>
      </c>
      <c r="I1796" s="32" t="s">
        <v>39</v>
      </c>
      <c r="J1796" s="32" t="s">
        <v>40</v>
      </c>
      <c r="K1796" s="32" t="s">
        <v>41</v>
      </c>
      <c r="L1796" s="32">
        <v>5</v>
      </c>
    </row>
    <row r="1797" spans="1:12" hidden="1" x14ac:dyDescent="0.3">
      <c r="A1797" s="39">
        <v>46153.389490740738</v>
      </c>
      <c r="B1797" s="32">
        <v>4130775695</v>
      </c>
      <c r="C1797" s="32" t="s">
        <v>48</v>
      </c>
      <c r="D1797" s="32">
        <v>4430265054</v>
      </c>
      <c r="E1797" s="32">
        <v>281</v>
      </c>
      <c r="F1797" s="32">
        <v>280</v>
      </c>
      <c r="G1797" s="32" t="s">
        <v>38</v>
      </c>
      <c r="H1797" s="32" t="s">
        <v>4514</v>
      </c>
      <c r="I1797" s="32" t="s">
        <v>39</v>
      </c>
      <c r="J1797" s="32" t="s">
        <v>40</v>
      </c>
      <c r="K1797" s="32" t="s">
        <v>41</v>
      </c>
    </row>
    <row r="1798" spans="1:12" hidden="1" x14ac:dyDescent="0.3">
      <c r="A1798" s="39">
        <v>46153.387731481482</v>
      </c>
      <c r="B1798" s="32" t="s">
        <v>50</v>
      </c>
      <c r="C1798" s="32" t="s">
        <v>57</v>
      </c>
      <c r="E1798" s="32">
        <v>473</v>
      </c>
      <c r="F1798" s="32">
        <v>471</v>
      </c>
      <c r="G1798" s="32" t="s">
        <v>38</v>
      </c>
      <c r="H1798" s="32" t="s">
        <v>4515</v>
      </c>
      <c r="I1798" s="32" t="s">
        <v>51</v>
      </c>
      <c r="J1798" s="32" t="s">
        <v>55</v>
      </c>
    </row>
    <row r="1799" spans="1:12" hidden="1" x14ac:dyDescent="0.3">
      <c r="A1799" s="39">
        <v>46153.386643518519</v>
      </c>
      <c r="B1799" s="32">
        <v>41999853283</v>
      </c>
      <c r="C1799" s="32" t="s">
        <v>43</v>
      </c>
      <c r="D1799" s="32">
        <v>4430265054</v>
      </c>
      <c r="E1799" s="32">
        <v>1005</v>
      </c>
      <c r="F1799" s="32">
        <v>983</v>
      </c>
      <c r="G1799" s="32" t="s">
        <v>38</v>
      </c>
      <c r="H1799" s="32" t="s">
        <v>4516</v>
      </c>
      <c r="I1799" s="32" t="s">
        <v>39</v>
      </c>
      <c r="J1799" s="32" t="s">
        <v>40</v>
      </c>
      <c r="K1799" s="32" t="s">
        <v>41</v>
      </c>
      <c r="L1799" s="32">
        <v>5</v>
      </c>
    </row>
    <row r="1800" spans="1:12" hidden="1" x14ac:dyDescent="0.3">
      <c r="A1800" s="39">
        <v>46153.385497685187</v>
      </c>
      <c r="B1800" s="32">
        <v>44999497001</v>
      </c>
      <c r="C1800" s="32" t="s">
        <v>44</v>
      </c>
      <c r="D1800" s="32">
        <v>4430265054</v>
      </c>
      <c r="E1800" s="32">
        <v>379</v>
      </c>
      <c r="F1800" s="32">
        <v>264</v>
      </c>
      <c r="G1800" s="32" t="s">
        <v>38</v>
      </c>
      <c r="H1800" s="32" t="s">
        <v>4517</v>
      </c>
      <c r="I1800" s="32" t="s">
        <v>39</v>
      </c>
      <c r="J1800" s="32" t="s">
        <v>40</v>
      </c>
      <c r="K1800" s="32" t="s">
        <v>41</v>
      </c>
    </row>
    <row r="1801" spans="1:12" hidden="1" x14ac:dyDescent="0.3">
      <c r="A1801" s="39">
        <v>46153.367418981485</v>
      </c>
      <c r="B1801" s="32">
        <v>44998100737</v>
      </c>
      <c r="C1801" s="32" t="s">
        <v>37</v>
      </c>
      <c r="D1801" s="32">
        <v>4430265054</v>
      </c>
      <c r="E1801" s="32">
        <v>617</v>
      </c>
      <c r="F1801" s="32">
        <v>600</v>
      </c>
      <c r="G1801" s="32" t="s">
        <v>38</v>
      </c>
      <c r="H1801" s="32" t="s">
        <v>4518</v>
      </c>
      <c r="I1801" s="32" t="s">
        <v>39</v>
      </c>
      <c r="J1801" s="32" t="s">
        <v>40</v>
      </c>
      <c r="K1801" s="32" t="s">
        <v>41</v>
      </c>
    </row>
    <row r="1802" spans="1:12" hidden="1" x14ac:dyDescent="0.3">
      <c r="A1802" s="39">
        <v>46153.362500000003</v>
      </c>
      <c r="B1802" s="32" t="s">
        <v>37</v>
      </c>
      <c r="C1802" s="32">
        <v>41999195082</v>
      </c>
      <c r="E1802" s="32">
        <v>20</v>
      </c>
      <c r="F1802" s="32">
        <v>0</v>
      </c>
      <c r="G1802" s="32" t="s">
        <v>47</v>
      </c>
      <c r="H1802" s="32" t="s">
        <v>4519</v>
      </c>
      <c r="I1802" s="32" t="s">
        <v>46</v>
      </c>
      <c r="J1802" s="32" t="s">
        <v>40</v>
      </c>
    </row>
    <row r="1803" spans="1:12" hidden="1" x14ac:dyDescent="0.3">
      <c r="A1803" s="39">
        <v>46153.35864583333</v>
      </c>
      <c r="B1803" s="32">
        <v>44999497001</v>
      </c>
      <c r="C1803" s="32" t="s">
        <v>44</v>
      </c>
      <c r="D1803" s="32">
        <v>4430265054</v>
      </c>
      <c r="E1803" s="32">
        <v>1485</v>
      </c>
      <c r="F1803" s="32">
        <v>1413</v>
      </c>
      <c r="G1803" s="32" t="s">
        <v>38</v>
      </c>
      <c r="H1803" s="32" t="s">
        <v>4520</v>
      </c>
      <c r="I1803" s="32" t="s">
        <v>39</v>
      </c>
      <c r="J1803" s="32" t="s">
        <v>40</v>
      </c>
      <c r="K1803" s="32" t="s">
        <v>41</v>
      </c>
      <c r="L1803" s="32">
        <v>5</v>
      </c>
    </row>
    <row r="1804" spans="1:12" hidden="1" x14ac:dyDescent="0.3">
      <c r="A1804" s="39">
        <v>46151.335763888892</v>
      </c>
      <c r="B1804" s="32">
        <v>44999693394</v>
      </c>
      <c r="C1804" s="32">
        <v>4430265054</v>
      </c>
      <c r="D1804" s="32">
        <v>4430265054</v>
      </c>
      <c r="E1804" s="32">
        <v>8</v>
      </c>
      <c r="F1804" s="32">
        <v>7</v>
      </c>
      <c r="G1804" s="32" t="s">
        <v>52</v>
      </c>
      <c r="H1804" s="32" t="s">
        <v>4521</v>
      </c>
      <c r="I1804" s="32" t="s">
        <v>39</v>
      </c>
      <c r="J1804" s="32" t="s">
        <v>53</v>
      </c>
    </row>
    <row r="1805" spans="1:12" hidden="1" x14ac:dyDescent="0.3">
      <c r="A1805" s="39">
        <v>46151.334027777775</v>
      </c>
      <c r="B1805" s="32">
        <v>44997173109</v>
      </c>
      <c r="C1805" s="32">
        <v>4430265054</v>
      </c>
      <c r="D1805" s="32">
        <v>4430265054</v>
      </c>
      <c r="E1805" s="32">
        <v>8</v>
      </c>
      <c r="F1805" s="32">
        <v>7</v>
      </c>
      <c r="G1805" s="32" t="s">
        <v>52</v>
      </c>
      <c r="H1805" s="32" t="s">
        <v>4522</v>
      </c>
      <c r="I1805" s="32" t="s">
        <v>39</v>
      </c>
      <c r="J1805" s="32" t="s">
        <v>53</v>
      </c>
    </row>
    <row r="1806" spans="1:12" hidden="1" x14ac:dyDescent="0.3">
      <c r="A1806" s="39">
        <v>46150.747141203705</v>
      </c>
      <c r="B1806" s="32" t="s">
        <v>44</v>
      </c>
      <c r="C1806" s="32">
        <v>4430162384</v>
      </c>
      <c r="E1806" s="32">
        <v>12</v>
      </c>
      <c r="F1806" s="32">
        <v>6</v>
      </c>
      <c r="G1806" s="32" t="s">
        <v>38</v>
      </c>
      <c r="H1806" s="32" t="s">
        <v>4523</v>
      </c>
      <c r="I1806" s="32" t="s">
        <v>46</v>
      </c>
      <c r="J1806" s="32" t="s">
        <v>40</v>
      </c>
    </row>
    <row r="1807" spans="1:12" hidden="1" x14ac:dyDescent="0.3">
      <c r="A1807" s="39">
        <v>46150.746944444443</v>
      </c>
      <c r="B1807" s="32" t="s">
        <v>44</v>
      </c>
      <c r="C1807" s="32">
        <v>4430162384</v>
      </c>
      <c r="E1807" s="32">
        <v>11</v>
      </c>
      <c r="F1807" s="32">
        <v>5</v>
      </c>
      <c r="G1807" s="32" t="s">
        <v>38</v>
      </c>
      <c r="H1807" s="32" t="s">
        <v>4524</v>
      </c>
      <c r="I1807" s="32" t="s">
        <v>46</v>
      </c>
      <c r="J1807" s="32" t="s">
        <v>40</v>
      </c>
    </row>
    <row r="1808" spans="1:12" hidden="1" x14ac:dyDescent="0.3">
      <c r="A1808" s="39">
        <v>46150.746793981481</v>
      </c>
      <c r="B1808" s="32" t="s">
        <v>44</v>
      </c>
      <c r="C1808" s="32">
        <v>4430162384</v>
      </c>
      <c r="E1808" s="32">
        <v>11</v>
      </c>
      <c r="F1808" s="32">
        <v>5</v>
      </c>
      <c r="G1808" s="32" t="s">
        <v>38</v>
      </c>
      <c r="H1808" s="32" t="s">
        <v>4525</v>
      </c>
      <c r="I1808" s="32" t="s">
        <v>46</v>
      </c>
      <c r="J1808" s="32" t="s">
        <v>40</v>
      </c>
    </row>
    <row r="1809" spans="1:12" hidden="1" x14ac:dyDescent="0.3">
      <c r="A1809" s="39">
        <v>46150.746724537035</v>
      </c>
      <c r="B1809" s="32" t="s">
        <v>44</v>
      </c>
      <c r="C1809" s="32">
        <v>4430162384</v>
      </c>
      <c r="E1809" s="32">
        <v>25</v>
      </c>
      <c r="F1809" s="32">
        <v>25</v>
      </c>
      <c r="G1809" s="32" t="s">
        <v>38</v>
      </c>
      <c r="H1809" s="32" t="s">
        <v>4526</v>
      </c>
      <c r="I1809" s="32" t="s">
        <v>46</v>
      </c>
      <c r="J1809" s="32" t="s">
        <v>40</v>
      </c>
    </row>
    <row r="1810" spans="1:12" hidden="1" x14ac:dyDescent="0.3">
      <c r="A1810" s="39">
        <v>46150.74559027778</v>
      </c>
      <c r="B1810" s="32">
        <v>3432424736</v>
      </c>
      <c r="C1810" s="32" t="s">
        <v>37</v>
      </c>
      <c r="D1810" s="32">
        <v>4430265054</v>
      </c>
      <c r="E1810" s="32">
        <v>559</v>
      </c>
      <c r="F1810" s="32">
        <v>519</v>
      </c>
      <c r="G1810" s="32" t="s">
        <v>38</v>
      </c>
      <c r="H1810" s="32" t="s">
        <v>4527</v>
      </c>
      <c r="I1810" s="32" t="s">
        <v>39</v>
      </c>
      <c r="J1810" s="32" t="s">
        <v>40</v>
      </c>
      <c r="K1810" s="32" t="s">
        <v>41</v>
      </c>
    </row>
    <row r="1811" spans="1:12" hidden="1" x14ac:dyDescent="0.3">
      <c r="A1811" s="39">
        <v>46150.744444444441</v>
      </c>
      <c r="B1811" s="32">
        <v>4430316847</v>
      </c>
      <c r="C1811" s="32" t="s">
        <v>43</v>
      </c>
      <c r="D1811" s="32">
        <v>4430265054</v>
      </c>
      <c r="E1811" s="32">
        <v>280</v>
      </c>
      <c r="F1811" s="32">
        <v>184</v>
      </c>
      <c r="G1811" s="32" t="s">
        <v>38</v>
      </c>
      <c r="H1811" s="32" t="s">
        <v>4528</v>
      </c>
      <c r="I1811" s="32" t="s">
        <v>39</v>
      </c>
      <c r="J1811" s="32" t="s">
        <v>40</v>
      </c>
      <c r="K1811" s="32" t="s">
        <v>41</v>
      </c>
    </row>
    <row r="1812" spans="1:12" hidden="1" x14ac:dyDescent="0.3">
      <c r="A1812" s="39">
        <v>46150.743287037039</v>
      </c>
      <c r="B1812" s="32" t="s">
        <v>50</v>
      </c>
      <c r="C1812" s="32">
        <v>44997187778</v>
      </c>
      <c r="E1812" s="32">
        <v>43</v>
      </c>
      <c r="F1812" s="32">
        <v>35</v>
      </c>
      <c r="G1812" s="32" t="s">
        <v>38</v>
      </c>
      <c r="H1812" s="32" t="s">
        <v>4529</v>
      </c>
      <c r="I1812" s="32" t="s">
        <v>46</v>
      </c>
      <c r="J1812" s="32" t="s">
        <v>55</v>
      </c>
    </row>
    <row r="1813" spans="1:12" hidden="1" x14ac:dyDescent="0.3">
      <c r="A1813" s="39">
        <v>46150.730462962965</v>
      </c>
      <c r="B1813" s="32" t="s">
        <v>37</v>
      </c>
      <c r="C1813" s="32">
        <v>41999195082</v>
      </c>
      <c r="E1813" s="32">
        <v>10</v>
      </c>
      <c r="F1813" s="32">
        <v>0</v>
      </c>
      <c r="G1813" s="32" t="s">
        <v>47</v>
      </c>
      <c r="H1813" s="32" t="s">
        <v>4530</v>
      </c>
      <c r="I1813" s="32" t="s">
        <v>46</v>
      </c>
      <c r="J1813" s="32" t="s">
        <v>40</v>
      </c>
    </row>
    <row r="1814" spans="1:12" hidden="1" x14ac:dyDescent="0.3">
      <c r="A1814" s="39">
        <v>46150.726944444446</v>
      </c>
      <c r="B1814" s="32">
        <v>4330333558</v>
      </c>
      <c r="C1814" s="32" t="s">
        <v>45</v>
      </c>
      <c r="D1814" s="32">
        <v>4430265054</v>
      </c>
      <c r="E1814" s="32">
        <v>151</v>
      </c>
      <c r="F1814" s="32">
        <v>109</v>
      </c>
      <c r="G1814" s="32" t="s">
        <v>38</v>
      </c>
      <c r="H1814" s="32" t="s">
        <v>4531</v>
      </c>
      <c r="I1814" s="32" t="s">
        <v>39</v>
      </c>
      <c r="J1814" s="32" t="s">
        <v>40</v>
      </c>
      <c r="K1814" s="32" t="s">
        <v>41</v>
      </c>
      <c r="L1814" s="32">
        <v>5</v>
      </c>
    </row>
    <row r="1815" spans="1:12" hidden="1" x14ac:dyDescent="0.3">
      <c r="A1815" s="39">
        <v>46150.718842592592</v>
      </c>
      <c r="B1815" s="32" t="s">
        <v>45</v>
      </c>
      <c r="C1815" s="32">
        <v>44988255390</v>
      </c>
      <c r="E1815" s="32">
        <v>63</v>
      </c>
      <c r="F1815" s="32">
        <v>53</v>
      </c>
      <c r="G1815" s="32" t="s">
        <v>38</v>
      </c>
      <c r="H1815" s="32" t="s">
        <v>4532</v>
      </c>
      <c r="I1815" s="32" t="s">
        <v>46</v>
      </c>
      <c r="J1815" s="32" t="s">
        <v>40</v>
      </c>
    </row>
    <row r="1816" spans="1:12" hidden="1" x14ac:dyDescent="0.3">
      <c r="A1816" s="39">
        <v>46150.717974537038</v>
      </c>
      <c r="B1816" s="32" t="s">
        <v>37</v>
      </c>
      <c r="C1816" s="32">
        <v>44988182098</v>
      </c>
      <c r="E1816" s="32">
        <v>76</v>
      </c>
      <c r="F1816" s="32">
        <v>62</v>
      </c>
      <c r="G1816" s="32" t="s">
        <v>38</v>
      </c>
      <c r="H1816" s="32" t="s">
        <v>4533</v>
      </c>
      <c r="I1816" s="32" t="s">
        <v>46</v>
      </c>
      <c r="J1816" s="32" t="s">
        <v>40</v>
      </c>
    </row>
    <row r="1817" spans="1:12" hidden="1" x14ac:dyDescent="0.3">
      <c r="A1817" s="39">
        <v>46150.71733796296</v>
      </c>
      <c r="B1817" s="32" t="s">
        <v>37</v>
      </c>
      <c r="C1817" s="32">
        <v>4430314943</v>
      </c>
      <c r="E1817" s="32">
        <v>47</v>
      </c>
      <c r="F1817" s="32">
        <v>0</v>
      </c>
      <c r="G1817" s="32" t="s">
        <v>47</v>
      </c>
      <c r="H1817" s="32" t="s">
        <v>4534</v>
      </c>
      <c r="I1817" s="32" t="s">
        <v>46</v>
      </c>
      <c r="J1817" s="32" t="s">
        <v>40</v>
      </c>
    </row>
    <row r="1818" spans="1:12" hidden="1" x14ac:dyDescent="0.3">
      <c r="A1818" s="39">
        <v>46150.716238425928</v>
      </c>
      <c r="B1818" s="32" t="s">
        <v>45</v>
      </c>
      <c r="C1818" s="32">
        <v>4330333558</v>
      </c>
      <c r="E1818" s="32">
        <v>200</v>
      </c>
      <c r="F1818" s="32">
        <v>189</v>
      </c>
      <c r="G1818" s="32" t="s">
        <v>38</v>
      </c>
      <c r="H1818" s="32" t="s">
        <v>4535</v>
      </c>
      <c r="I1818" s="32" t="s">
        <v>46</v>
      </c>
      <c r="J1818" s="32" t="s">
        <v>40</v>
      </c>
    </row>
    <row r="1819" spans="1:12" hidden="1" x14ac:dyDescent="0.3">
      <c r="A1819" s="39">
        <v>46150.715763888889</v>
      </c>
      <c r="B1819" s="32" t="s">
        <v>45</v>
      </c>
      <c r="C1819" s="32">
        <v>4430333558</v>
      </c>
      <c r="E1819" s="32">
        <v>41</v>
      </c>
      <c r="F1819" s="32">
        <v>31</v>
      </c>
      <c r="G1819" s="32" t="s">
        <v>38</v>
      </c>
      <c r="H1819" s="32" t="s">
        <v>4536</v>
      </c>
      <c r="I1819" s="32" t="s">
        <v>46</v>
      </c>
      <c r="J1819" s="32" t="s">
        <v>40</v>
      </c>
    </row>
    <row r="1820" spans="1:12" hidden="1" x14ac:dyDescent="0.3">
      <c r="A1820" s="39">
        <v>46150.711041666669</v>
      </c>
      <c r="B1820" s="32">
        <v>44988255390</v>
      </c>
      <c r="C1820" s="32" t="s">
        <v>44</v>
      </c>
      <c r="D1820" s="32">
        <v>4430265054</v>
      </c>
      <c r="E1820" s="32">
        <v>470</v>
      </c>
      <c r="F1820" s="32">
        <v>273</v>
      </c>
      <c r="G1820" s="32" t="s">
        <v>38</v>
      </c>
      <c r="H1820" s="32" t="s">
        <v>4537</v>
      </c>
      <c r="I1820" s="32" t="s">
        <v>39</v>
      </c>
      <c r="J1820" s="32" t="s">
        <v>40</v>
      </c>
      <c r="K1820" s="32" t="s">
        <v>41</v>
      </c>
    </row>
    <row r="1821" spans="1:12" hidden="1" x14ac:dyDescent="0.3">
      <c r="A1821" s="39">
        <v>46150.711006944446</v>
      </c>
      <c r="B1821" s="32" t="s">
        <v>43</v>
      </c>
      <c r="C1821" s="32">
        <v>43984810043</v>
      </c>
      <c r="E1821" s="32">
        <v>159</v>
      </c>
      <c r="F1821" s="32">
        <v>134</v>
      </c>
      <c r="G1821" s="32" t="s">
        <v>38</v>
      </c>
      <c r="H1821" s="32" t="s">
        <v>4538</v>
      </c>
      <c r="I1821" s="32" t="s">
        <v>46</v>
      </c>
      <c r="J1821" s="32" t="s">
        <v>40</v>
      </c>
      <c r="L1821" s="32">
        <v>5</v>
      </c>
    </row>
    <row r="1822" spans="1:12" hidden="1" x14ac:dyDescent="0.3">
      <c r="A1822" s="39">
        <v>46150.705196759256</v>
      </c>
      <c r="B1822" s="32">
        <v>44991814587</v>
      </c>
      <c r="C1822" s="32" t="s">
        <v>44</v>
      </c>
      <c r="D1822" s="32">
        <v>4430265054</v>
      </c>
      <c r="E1822" s="32">
        <v>512</v>
      </c>
      <c r="F1822" s="32">
        <v>450</v>
      </c>
      <c r="G1822" s="32" t="s">
        <v>38</v>
      </c>
      <c r="H1822" s="32" t="s">
        <v>4539</v>
      </c>
      <c r="I1822" s="32" t="s">
        <v>39</v>
      </c>
      <c r="J1822" s="32" t="s">
        <v>40</v>
      </c>
      <c r="K1822" s="32" t="s">
        <v>41</v>
      </c>
    </row>
    <row r="1823" spans="1:12" hidden="1" x14ac:dyDescent="0.3">
      <c r="A1823" s="39">
        <v>46150.699803240743</v>
      </c>
      <c r="B1823" s="32">
        <v>14997225372</v>
      </c>
      <c r="C1823" s="32" t="s">
        <v>43</v>
      </c>
      <c r="D1823" s="32">
        <v>4430265054</v>
      </c>
      <c r="E1823" s="32">
        <v>519</v>
      </c>
      <c r="F1823" s="32">
        <v>446</v>
      </c>
      <c r="G1823" s="32" t="s">
        <v>38</v>
      </c>
      <c r="H1823" s="32" t="s">
        <v>4540</v>
      </c>
      <c r="I1823" s="32" t="s">
        <v>39</v>
      </c>
      <c r="J1823" s="32" t="s">
        <v>40</v>
      </c>
      <c r="K1823" s="32" t="s">
        <v>41</v>
      </c>
    </row>
    <row r="1824" spans="1:12" hidden="1" x14ac:dyDescent="0.3">
      <c r="A1824" s="39">
        <v>46150.697384259256</v>
      </c>
      <c r="B1824" s="32">
        <v>44988255390</v>
      </c>
      <c r="C1824" s="32" t="s">
        <v>37</v>
      </c>
      <c r="D1824" s="32">
        <v>4430265054</v>
      </c>
      <c r="E1824" s="32">
        <v>415</v>
      </c>
      <c r="F1824" s="32">
        <v>335</v>
      </c>
      <c r="G1824" s="32" t="s">
        <v>38</v>
      </c>
      <c r="H1824" s="32" t="s">
        <v>4541</v>
      </c>
      <c r="I1824" s="32" t="s">
        <v>39</v>
      </c>
      <c r="J1824" s="32" t="s">
        <v>40</v>
      </c>
      <c r="K1824" s="32" t="s">
        <v>41</v>
      </c>
    </row>
    <row r="1825" spans="1:12" hidden="1" x14ac:dyDescent="0.3">
      <c r="A1825" s="39">
        <v>46150.692569444444</v>
      </c>
      <c r="B1825" s="32" t="s">
        <v>37</v>
      </c>
      <c r="C1825" s="32">
        <v>44988182098</v>
      </c>
      <c r="E1825" s="32">
        <v>14</v>
      </c>
      <c r="F1825" s="32">
        <v>0</v>
      </c>
      <c r="G1825" s="32" t="s">
        <v>47</v>
      </c>
      <c r="H1825" s="32" t="s">
        <v>4542</v>
      </c>
      <c r="I1825" s="32" t="s">
        <v>46</v>
      </c>
      <c r="J1825" s="32" t="s">
        <v>40</v>
      </c>
    </row>
    <row r="1826" spans="1:12" hidden="1" x14ac:dyDescent="0.3">
      <c r="A1826" s="39">
        <v>46150.686342592591</v>
      </c>
      <c r="B1826" s="32" t="s">
        <v>37</v>
      </c>
      <c r="C1826" s="32">
        <v>44988182098</v>
      </c>
      <c r="E1826" s="32">
        <v>9</v>
      </c>
      <c r="F1826" s="32">
        <v>0</v>
      </c>
      <c r="G1826" s="32" t="s">
        <v>47</v>
      </c>
      <c r="H1826" s="32" t="s">
        <v>4543</v>
      </c>
      <c r="I1826" s="32" t="s">
        <v>46</v>
      </c>
      <c r="J1826" s="32" t="s">
        <v>40</v>
      </c>
    </row>
    <row r="1827" spans="1:12" hidden="1" x14ac:dyDescent="0.3">
      <c r="A1827" s="39">
        <v>46150.686006944445</v>
      </c>
      <c r="B1827" s="32" t="s">
        <v>37</v>
      </c>
      <c r="C1827" s="32">
        <v>44988182098</v>
      </c>
      <c r="E1827" s="32">
        <v>12</v>
      </c>
      <c r="F1827" s="32">
        <v>0</v>
      </c>
      <c r="G1827" s="32" t="s">
        <v>47</v>
      </c>
      <c r="H1827" s="32" t="s">
        <v>4544</v>
      </c>
      <c r="I1827" s="32" t="s">
        <v>46</v>
      </c>
      <c r="J1827" s="32" t="s">
        <v>40</v>
      </c>
    </row>
    <row r="1828" spans="1:12" hidden="1" x14ac:dyDescent="0.3">
      <c r="A1828" s="39">
        <v>46150.685567129629</v>
      </c>
      <c r="B1828" s="32" t="s">
        <v>37</v>
      </c>
      <c r="C1828" s="32">
        <v>44988182098</v>
      </c>
      <c r="E1828" s="32">
        <v>13</v>
      </c>
      <c r="F1828" s="32">
        <v>0</v>
      </c>
      <c r="G1828" s="32" t="s">
        <v>47</v>
      </c>
      <c r="H1828" s="32" t="s">
        <v>4545</v>
      </c>
      <c r="I1828" s="32" t="s">
        <v>46</v>
      </c>
      <c r="J1828" s="32" t="s">
        <v>40</v>
      </c>
    </row>
    <row r="1829" spans="1:12" hidden="1" x14ac:dyDescent="0.3">
      <c r="A1829" s="39">
        <v>46150.684652777774</v>
      </c>
      <c r="B1829" s="32" t="s">
        <v>37</v>
      </c>
      <c r="C1829" s="32">
        <v>4430314943</v>
      </c>
      <c r="E1829" s="32">
        <v>70</v>
      </c>
      <c r="F1829" s="32">
        <v>0</v>
      </c>
      <c r="G1829" s="32" t="s">
        <v>47</v>
      </c>
      <c r="H1829" s="32" t="s">
        <v>4546</v>
      </c>
      <c r="I1829" s="32" t="s">
        <v>46</v>
      </c>
      <c r="J1829" s="32" t="s">
        <v>40</v>
      </c>
    </row>
    <row r="1830" spans="1:12" hidden="1" x14ac:dyDescent="0.3">
      <c r="A1830" s="39">
        <v>46150.684062499997</v>
      </c>
      <c r="B1830" s="32" t="s">
        <v>37</v>
      </c>
      <c r="C1830" s="32">
        <v>41999195082</v>
      </c>
      <c r="E1830" s="32">
        <v>26</v>
      </c>
      <c r="F1830" s="32">
        <v>0</v>
      </c>
      <c r="G1830" s="32" t="s">
        <v>47</v>
      </c>
      <c r="H1830" s="32" t="s">
        <v>4547</v>
      </c>
      <c r="I1830" s="32" t="s">
        <v>46</v>
      </c>
      <c r="J1830" s="32" t="s">
        <v>40</v>
      </c>
    </row>
    <row r="1831" spans="1:12" hidden="1" x14ac:dyDescent="0.3">
      <c r="A1831" s="39">
        <v>46150.682175925926</v>
      </c>
      <c r="B1831" s="32">
        <v>93991495484</v>
      </c>
      <c r="C1831" s="32" t="s">
        <v>43</v>
      </c>
      <c r="D1831" s="32">
        <v>4430265054</v>
      </c>
      <c r="E1831" s="32">
        <v>982</v>
      </c>
      <c r="F1831" s="32">
        <v>935</v>
      </c>
      <c r="G1831" s="32" t="s">
        <v>38</v>
      </c>
      <c r="H1831" s="32" t="s">
        <v>4548</v>
      </c>
      <c r="I1831" s="32" t="s">
        <v>39</v>
      </c>
      <c r="J1831" s="32" t="s">
        <v>40</v>
      </c>
      <c r="K1831" s="32" t="s">
        <v>41</v>
      </c>
      <c r="L1831" s="32">
        <v>5</v>
      </c>
    </row>
    <row r="1832" spans="1:12" hidden="1" x14ac:dyDescent="0.3">
      <c r="A1832" s="39">
        <v>46150.675150462965</v>
      </c>
      <c r="B1832" s="32" t="s">
        <v>45</v>
      </c>
      <c r="C1832" s="32">
        <v>44988255390</v>
      </c>
      <c r="E1832" s="32">
        <v>827</v>
      </c>
      <c r="F1832" s="32">
        <v>818</v>
      </c>
      <c r="G1832" s="32" t="s">
        <v>38</v>
      </c>
      <c r="H1832" s="32" t="s">
        <v>4549</v>
      </c>
      <c r="I1832" s="32" t="s">
        <v>46</v>
      </c>
      <c r="J1832" s="32" t="s">
        <v>40</v>
      </c>
    </row>
    <row r="1833" spans="1:12" hidden="1" x14ac:dyDescent="0.3">
      <c r="A1833" s="39">
        <v>46150.674270833333</v>
      </c>
      <c r="B1833" s="32" t="s">
        <v>43</v>
      </c>
      <c r="C1833" s="32">
        <v>4430289496</v>
      </c>
      <c r="E1833" s="32">
        <v>217</v>
      </c>
      <c r="F1833" s="32">
        <v>211</v>
      </c>
      <c r="G1833" s="32" t="s">
        <v>38</v>
      </c>
      <c r="H1833" s="32" t="s">
        <v>4550</v>
      </c>
      <c r="I1833" s="32" t="s">
        <v>46</v>
      </c>
      <c r="J1833" s="32" t="s">
        <v>40</v>
      </c>
    </row>
    <row r="1834" spans="1:12" hidden="1" x14ac:dyDescent="0.3">
      <c r="A1834" s="39">
        <v>46150.673495370371</v>
      </c>
      <c r="B1834" s="32">
        <v>4430162384</v>
      </c>
      <c r="C1834" s="32" t="s">
        <v>44</v>
      </c>
      <c r="D1834" s="32">
        <v>4430265054</v>
      </c>
      <c r="E1834" s="32">
        <v>963</v>
      </c>
      <c r="F1834" s="32">
        <v>905</v>
      </c>
      <c r="G1834" s="32" t="s">
        <v>38</v>
      </c>
      <c r="H1834" s="32" t="s">
        <v>4551</v>
      </c>
      <c r="I1834" s="32" t="s">
        <v>39</v>
      </c>
      <c r="J1834" s="32" t="s">
        <v>40</v>
      </c>
      <c r="K1834" s="32" t="s">
        <v>41</v>
      </c>
    </row>
    <row r="1835" spans="1:12" hidden="1" x14ac:dyDescent="0.3">
      <c r="A1835" s="39">
        <v>46150.672835648147</v>
      </c>
      <c r="B1835" s="32" t="s">
        <v>45</v>
      </c>
      <c r="C1835" s="32">
        <v>44988255390</v>
      </c>
      <c r="E1835" s="32">
        <v>53</v>
      </c>
      <c r="F1835" s="32">
        <v>44</v>
      </c>
      <c r="G1835" s="32" t="s">
        <v>38</v>
      </c>
      <c r="H1835" s="32" t="s">
        <v>4552</v>
      </c>
      <c r="I1835" s="32" t="s">
        <v>46</v>
      </c>
      <c r="J1835" s="32" t="s">
        <v>40</v>
      </c>
    </row>
    <row r="1836" spans="1:12" hidden="1" x14ac:dyDescent="0.3">
      <c r="A1836" s="39">
        <v>46150.672777777778</v>
      </c>
      <c r="B1836" s="32" t="s">
        <v>45</v>
      </c>
      <c r="C1836" s="32">
        <v>44988255390</v>
      </c>
      <c r="E1836" s="32">
        <v>3</v>
      </c>
      <c r="F1836" s="32">
        <v>0</v>
      </c>
      <c r="G1836" s="32" t="s">
        <v>47</v>
      </c>
      <c r="H1836" s="32" t="s">
        <v>4553</v>
      </c>
      <c r="I1836" s="32" t="s">
        <v>46</v>
      </c>
      <c r="J1836" s="32" t="s">
        <v>40</v>
      </c>
    </row>
    <row r="1837" spans="1:12" hidden="1" x14ac:dyDescent="0.3">
      <c r="A1837" s="39">
        <v>46150.672731481478</v>
      </c>
      <c r="B1837" s="32" t="s">
        <v>50</v>
      </c>
      <c r="C1837" s="32" t="s">
        <v>54</v>
      </c>
      <c r="E1837" s="32">
        <v>14</v>
      </c>
      <c r="F1837" s="32">
        <v>4</v>
      </c>
      <c r="G1837" s="32" t="s">
        <v>38</v>
      </c>
      <c r="H1837" s="32" t="s">
        <v>4554</v>
      </c>
      <c r="I1837" s="32" t="s">
        <v>51</v>
      </c>
      <c r="J1837" s="32" t="s">
        <v>55</v>
      </c>
    </row>
    <row r="1838" spans="1:12" hidden="1" x14ac:dyDescent="0.3">
      <c r="A1838" s="39">
        <v>46150.666539351849</v>
      </c>
      <c r="B1838" s="32">
        <v>44988255390</v>
      </c>
      <c r="C1838" s="32">
        <v>4430265054</v>
      </c>
      <c r="D1838" s="32">
        <v>4430265054</v>
      </c>
      <c r="E1838" s="32">
        <v>126</v>
      </c>
      <c r="F1838" s="32">
        <v>125</v>
      </c>
      <c r="G1838" s="32" t="s">
        <v>52</v>
      </c>
      <c r="H1838" s="32" t="s">
        <v>4555</v>
      </c>
      <c r="I1838" s="32" t="s">
        <v>39</v>
      </c>
      <c r="J1838" s="32" t="s">
        <v>53</v>
      </c>
      <c r="K1838" s="32" t="s">
        <v>41</v>
      </c>
    </row>
    <row r="1839" spans="1:12" hidden="1" x14ac:dyDescent="0.3">
      <c r="A1839" s="39">
        <v>46150.665358796294</v>
      </c>
      <c r="B1839" s="32">
        <v>44984361000</v>
      </c>
      <c r="C1839" s="32" t="s">
        <v>37</v>
      </c>
      <c r="D1839" s="32">
        <v>4430265054</v>
      </c>
      <c r="E1839" s="32">
        <v>1462</v>
      </c>
      <c r="F1839" s="32">
        <v>952</v>
      </c>
      <c r="G1839" s="32" t="s">
        <v>38</v>
      </c>
      <c r="H1839" s="32" t="s">
        <v>4556</v>
      </c>
      <c r="I1839" s="32" t="s">
        <v>39</v>
      </c>
      <c r="J1839" s="32" t="s">
        <v>40</v>
      </c>
      <c r="K1839" s="32" t="s">
        <v>41</v>
      </c>
    </row>
    <row r="1840" spans="1:12" hidden="1" x14ac:dyDescent="0.3">
      <c r="A1840" s="39">
        <v>46150.66170138889</v>
      </c>
      <c r="B1840" s="32">
        <v>44984361000</v>
      </c>
      <c r="C1840" s="32">
        <v>4430265054</v>
      </c>
      <c r="D1840" s="32">
        <v>4430265054</v>
      </c>
      <c r="E1840" s="32">
        <v>147</v>
      </c>
      <c r="F1840" s="32">
        <v>146</v>
      </c>
      <c r="G1840" s="32" t="s">
        <v>52</v>
      </c>
      <c r="H1840" s="32" t="s">
        <v>4557</v>
      </c>
      <c r="I1840" s="32" t="s">
        <v>39</v>
      </c>
      <c r="J1840" s="32" t="s">
        <v>53</v>
      </c>
      <c r="K1840" s="32" t="s">
        <v>41</v>
      </c>
    </row>
    <row r="1841" spans="1:12" hidden="1" x14ac:dyDescent="0.3">
      <c r="A1841" s="39">
        <v>46150.654236111113</v>
      </c>
      <c r="B1841" s="32">
        <v>44988255390</v>
      </c>
      <c r="C1841" s="32" t="s">
        <v>45</v>
      </c>
      <c r="D1841" s="32">
        <v>4430265054</v>
      </c>
      <c r="E1841" s="32">
        <v>1033</v>
      </c>
      <c r="F1841" s="32">
        <v>961</v>
      </c>
      <c r="G1841" s="32" t="s">
        <v>38</v>
      </c>
      <c r="H1841" s="32" t="s">
        <v>4558</v>
      </c>
      <c r="I1841" s="32" t="s">
        <v>39</v>
      </c>
      <c r="J1841" s="32" t="s">
        <v>40</v>
      </c>
      <c r="K1841" s="32" t="s">
        <v>41</v>
      </c>
    </row>
    <row r="1842" spans="1:12" hidden="1" x14ac:dyDescent="0.3">
      <c r="A1842" s="39">
        <v>46150.654062499998</v>
      </c>
      <c r="B1842" s="32">
        <v>44988067937</v>
      </c>
      <c r="C1842" s="32" t="s">
        <v>44</v>
      </c>
      <c r="D1842" s="32">
        <v>4430265054</v>
      </c>
      <c r="E1842" s="32">
        <v>993</v>
      </c>
      <c r="F1842" s="32">
        <v>941</v>
      </c>
      <c r="G1842" s="32" t="s">
        <v>38</v>
      </c>
      <c r="H1842" s="32" t="s">
        <v>4559</v>
      </c>
      <c r="I1842" s="32" t="s">
        <v>39</v>
      </c>
      <c r="J1842" s="32" t="s">
        <v>40</v>
      </c>
      <c r="K1842" s="32" t="s">
        <v>41</v>
      </c>
    </row>
    <row r="1843" spans="1:12" hidden="1" x14ac:dyDescent="0.3">
      <c r="A1843" s="39">
        <v>46150.651365740741</v>
      </c>
      <c r="B1843" s="32">
        <v>93991495484</v>
      </c>
      <c r="C1843" s="32" t="s">
        <v>37</v>
      </c>
      <c r="D1843" s="32">
        <v>4430265054</v>
      </c>
      <c r="E1843" s="32">
        <v>967</v>
      </c>
      <c r="F1843" s="32">
        <v>929</v>
      </c>
      <c r="G1843" s="32" t="s">
        <v>38</v>
      </c>
      <c r="H1843" s="32" t="s">
        <v>4560</v>
      </c>
      <c r="I1843" s="32" t="s">
        <v>39</v>
      </c>
      <c r="J1843" s="32" t="s">
        <v>40</v>
      </c>
      <c r="K1843" s="32" t="s">
        <v>41</v>
      </c>
    </row>
    <row r="1844" spans="1:12" hidden="1" x14ac:dyDescent="0.3">
      <c r="A1844" s="39">
        <v>46150.648229166669</v>
      </c>
      <c r="B1844" s="32" t="s">
        <v>37</v>
      </c>
      <c r="C1844" s="32">
        <v>41999195082</v>
      </c>
      <c r="E1844" s="32">
        <v>35</v>
      </c>
      <c r="F1844" s="32">
        <v>0</v>
      </c>
      <c r="G1844" s="32" t="s">
        <v>47</v>
      </c>
      <c r="H1844" s="32" t="s">
        <v>4561</v>
      </c>
      <c r="I1844" s="32" t="s">
        <v>46</v>
      </c>
      <c r="J1844" s="32" t="s">
        <v>40</v>
      </c>
    </row>
    <row r="1845" spans="1:12" hidden="1" x14ac:dyDescent="0.3">
      <c r="A1845" s="39">
        <v>46150.638726851852</v>
      </c>
      <c r="B1845" s="32">
        <v>4435226025</v>
      </c>
      <c r="C1845" s="32" t="s">
        <v>45</v>
      </c>
      <c r="D1845" s="32">
        <v>4430265054</v>
      </c>
      <c r="E1845" s="32">
        <v>114</v>
      </c>
      <c r="F1845" s="32">
        <v>72</v>
      </c>
      <c r="G1845" s="32" t="s">
        <v>38</v>
      </c>
      <c r="H1845" s="32" t="s">
        <v>4562</v>
      </c>
      <c r="I1845" s="32" t="s">
        <v>39</v>
      </c>
      <c r="J1845" s="32" t="s">
        <v>40</v>
      </c>
      <c r="K1845" s="32" t="s">
        <v>41</v>
      </c>
    </row>
    <row r="1846" spans="1:12" hidden="1" x14ac:dyDescent="0.3">
      <c r="A1846" s="39">
        <v>46150.635381944441</v>
      </c>
      <c r="B1846" s="32">
        <v>4430284942</v>
      </c>
      <c r="C1846" s="32">
        <v>4430265054</v>
      </c>
      <c r="D1846" s="32">
        <v>4430265054</v>
      </c>
      <c r="E1846" s="32">
        <v>46</v>
      </c>
      <c r="F1846" s="32">
        <v>46</v>
      </c>
      <c r="G1846" s="32" t="s">
        <v>52</v>
      </c>
      <c r="H1846" s="32" t="s">
        <v>4563</v>
      </c>
      <c r="I1846" s="32" t="s">
        <v>39</v>
      </c>
      <c r="J1846" s="32" t="s">
        <v>53</v>
      </c>
      <c r="K1846" s="32" t="s">
        <v>41</v>
      </c>
    </row>
    <row r="1847" spans="1:12" hidden="1" x14ac:dyDescent="0.3">
      <c r="A1847" s="39">
        <v>46150.635127314818</v>
      </c>
      <c r="B1847" s="32">
        <v>4330333542</v>
      </c>
      <c r="C1847" s="32" t="s">
        <v>44</v>
      </c>
      <c r="D1847" s="32">
        <v>4430265054</v>
      </c>
      <c r="E1847" s="32">
        <v>475</v>
      </c>
      <c r="F1847" s="32">
        <v>436</v>
      </c>
      <c r="G1847" s="32" t="s">
        <v>38</v>
      </c>
      <c r="H1847" s="32" t="s">
        <v>4564</v>
      </c>
      <c r="I1847" s="32" t="s">
        <v>39</v>
      </c>
      <c r="J1847" s="32" t="s">
        <v>40</v>
      </c>
      <c r="K1847" s="32" t="s">
        <v>41</v>
      </c>
    </row>
    <row r="1848" spans="1:12" hidden="1" x14ac:dyDescent="0.3">
      <c r="A1848" s="39">
        <v>46150.633229166669</v>
      </c>
      <c r="B1848" s="32">
        <v>44998849102</v>
      </c>
      <c r="C1848" s="32" t="s">
        <v>43</v>
      </c>
      <c r="D1848" s="32">
        <v>4430265054</v>
      </c>
      <c r="E1848" s="32">
        <v>1026</v>
      </c>
      <c r="F1848" s="32">
        <v>969</v>
      </c>
      <c r="G1848" s="32" t="s">
        <v>38</v>
      </c>
      <c r="H1848" s="32" t="s">
        <v>4565</v>
      </c>
      <c r="I1848" s="32" t="s">
        <v>39</v>
      </c>
      <c r="J1848" s="32" t="s">
        <v>40</v>
      </c>
      <c r="K1848" s="32" t="s">
        <v>41</v>
      </c>
    </row>
    <row r="1849" spans="1:12" hidden="1" x14ac:dyDescent="0.3">
      <c r="A1849" s="39">
        <v>46150.630949074075</v>
      </c>
      <c r="B1849" s="32">
        <v>4130760170</v>
      </c>
      <c r="C1849" s="32" t="s">
        <v>37</v>
      </c>
      <c r="D1849" s="32">
        <v>4430265054</v>
      </c>
      <c r="E1849" s="32">
        <v>521</v>
      </c>
      <c r="F1849" s="32">
        <v>434</v>
      </c>
      <c r="G1849" s="32" t="s">
        <v>38</v>
      </c>
      <c r="H1849" s="32" t="s">
        <v>4566</v>
      </c>
      <c r="I1849" s="32" t="s">
        <v>39</v>
      </c>
      <c r="J1849" s="32" t="s">
        <v>40</v>
      </c>
      <c r="K1849" s="32" t="s">
        <v>41</v>
      </c>
      <c r="L1849" s="32">
        <v>5</v>
      </c>
    </row>
    <row r="1850" spans="1:12" hidden="1" x14ac:dyDescent="0.3">
      <c r="A1850" s="39">
        <v>46150.629502314812</v>
      </c>
      <c r="B1850" s="32" t="s">
        <v>48</v>
      </c>
      <c r="C1850" s="32">
        <v>4430314943</v>
      </c>
      <c r="E1850" s="32">
        <v>75</v>
      </c>
      <c r="F1850" s="32">
        <v>0</v>
      </c>
      <c r="G1850" s="32" t="s">
        <v>47</v>
      </c>
      <c r="H1850" s="32" t="s">
        <v>4567</v>
      </c>
      <c r="I1850" s="32" t="s">
        <v>46</v>
      </c>
      <c r="J1850" s="32" t="s">
        <v>40</v>
      </c>
    </row>
    <row r="1851" spans="1:12" hidden="1" x14ac:dyDescent="0.3">
      <c r="A1851" s="39">
        <v>46150.628159722219</v>
      </c>
      <c r="B1851" s="32" t="s">
        <v>37</v>
      </c>
      <c r="C1851" s="32">
        <v>41999195082</v>
      </c>
      <c r="E1851" s="32">
        <v>34</v>
      </c>
      <c r="F1851" s="32">
        <v>0</v>
      </c>
      <c r="G1851" s="32" t="s">
        <v>47</v>
      </c>
      <c r="H1851" s="32" t="s">
        <v>4568</v>
      </c>
      <c r="I1851" s="32" t="s">
        <v>46</v>
      </c>
      <c r="J1851" s="32" t="s">
        <v>40</v>
      </c>
    </row>
    <row r="1852" spans="1:12" hidden="1" x14ac:dyDescent="0.3">
      <c r="A1852" s="39">
        <v>46150.626238425924</v>
      </c>
      <c r="B1852" s="32" t="s">
        <v>37</v>
      </c>
      <c r="C1852" s="32">
        <v>41999195082</v>
      </c>
      <c r="E1852" s="32">
        <v>36</v>
      </c>
      <c r="F1852" s="32">
        <v>0</v>
      </c>
      <c r="G1852" s="32" t="s">
        <v>47</v>
      </c>
      <c r="H1852" s="32" t="s">
        <v>4569</v>
      </c>
      <c r="I1852" s="32" t="s">
        <v>46</v>
      </c>
      <c r="J1852" s="32" t="s">
        <v>40</v>
      </c>
    </row>
    <row r="1853" spans="1:12" hidden="1" x14ac:dyDescent="0.3">
      <c r="A1853" s="39">
        <v>46150.62568287037</v>
      </c>
      <c r="B1853" s="32">
        <v>11947305571</v>
      </c>
      <c r="C1853" s="32" t="s">
        <v>48</v>
      </c>
      <c r="D1853" s="32">
        <v>4430265054</v>
      </c>
      <c r="E1853" s="32">
        <v>217</v>
      </c>
      <c r="F1853" s="32">
        <v>131</v>
      </c>
      <c r="G1853" s="32" t="s">
        <v>38</v>
      </c>
      <c r="H1853" s="32" t="s">
        <v>4570</v>
      </c>
      <c r="I1853" s="32" t="s">
        <v>39</v>
      </c>
      <c r="J1853" s="32" t="s">
        <v>40</v>
      </c>
      <c r="K1853" s="32" t="s">
        <v>41</v>
      </c>
    </row>
    <row r="1854" spans="1:12" hidden="1" x14ac:dyDescent="0.3">
      <c r="A1854" s="39">
        <v>46150.625416666669</v>
      </c>
      <c r="B1854" s="32">
        <v>4430459032</v>
      </c>
      <c r="C1854" s="32" t="s">
        <v>44</v>
      </c>
      <c r="D1854" s="32">
        <v>4430265054</v>
      </c>
      <c r="E1854" s="32">
        <v>505</v>
      </c>
      <c r="F1854" s="32">
        <v>492</v>
      </c>
      <c r="G1854" s="32" t="s">
        <v>38</v>
      </c>
      <c r="H1854" s="32" t="s">
        <v>4571</v>
      </c>
      <c r="I1854" s="32" t="s">
        <v>39</v>
      </c>
      <c r="J1854" s="32" t="s">
        <v>40</v>
      </c>
      <c r="K1854" s="32" t="s">
        <v>41</v>
      </c>
    </row>
    <row r="1855" spans="1:12" hidden="1" x14ac:dyDescent="0.3">
      <c r="A1855" s="39">
        <v>46150.624849537038</v>
      </c>
      <c r="B1855" s="32" t="s">
        <v>37</v>
      </c>
      <c r="C1855" s="32">
        <v>41999195082</v>
      </c>
      <c r="E1855" s="32">
        <v>39</v>
      </c>
      <c r="F1855" s="32">
        <v>0</v>
      </c>
      <c r="G1855" s="32" t="s">
        <v>47</v>
      </c>
      <c r="H1855" s="32" t="s">
        <v>4572</v>
      </c>
      <c r="I1855" s="32" t="s">
        <v>46</v>
      </c>
      <c r="J1855" s="32" t="s">
        <v>40</v>
      </c>
    </row>
    <row r="1856" spans="1:12" hidden="1" x14ac:dyDescent="0.3">
      <c r="A1856" s="39">
        <v>46150.623749999999</v>
      </c>
      <c r="B1856" s="32" t="s">
        <v>37</v>
      </c>
      <c r="C1856" s="32">
        <v>41991817542</v>
      </c>
      <c r="E1856" s="32">
        <v>71</v>
      </c>
      <c r="F1856" s="32">
        <v>48</v>
      </c>
      <c r="G1856" s="32" t="s">
        <v>38</v>
      </c>
      <c r="H1856" s="32" t="s">
        <v>4573</v>
      </c>
      <c r="I1856" s="32" t="s">
        <v>46</v>
      </c>
      <c r="J1856" s="32" t="s">
        <v>40</v>
      </c>
    </row>
    <row r="1857" spans="1:12" hidden="1" x14ac:dyDescent="0.3">
      <c r="A1857" s="39">
        <v>46150.623229166667</v>
      </c>
      <c r="B1857" s="32">
        <v>4435228300</v>
      </c>
      <c r="C1857" s="32" t="s">
        <v>48</v>
      </c>
      <c r="D1857" s="32">
        <v>4430265054</v>
      </c>
      <c r="E1857" s="32">
        <v>290</v>
      </c>
      <c r="F1857" s="32">
        <v>225</v>
      </c>
      <c r="G1857" s="32" t="s">
        <v>38</v>
      </c>
      <c r="H1857" s="32" t="s">
        <v>4574</v>
      </c>
      <c r="I1857" s="32" t="s">
        <v>39</v>
      </c>
      <c r="J1857" s="32" t="s">
        <v>40</v>
      </c>
      <c r="K1857" s="32" t="s">
        <v>41</v>
      </c>
    </row>
    <row r="1858" spans="1:12" hidden="1" x14ac:dyDescent="0.3">
      <c r="A1858" s="39">
        <v>46150.622893518521</v>
      </c>
      <c r="B1858" s="32">
        <v>43984810043</v>
      </c>
      <c r="C1858" s="32" t="s">
        <v>43</v>
      </c>
      <c r="D1858" s="32">
        <v>4430265054</v>
      </c>
      <c r="E1858" s="32">
        <v>609</v>
      </c>
      <c r="F1858" s="32">
        <v>506</v>
      </c>
      <c r="G1858" s="32" t="s">
        <v>38</v>
      </c>
      <c r="H1858" s="32" t="s">
        <v>4575</v>
      </c>
      <c r="I1858" s="32" t="s">
        <v>39</v>
      </c>
      <c r="J1858" s="32" t="s">
        <v>40</v>
      </c>
      <c r="K1858" s="32" t="s">
        <v>41</v>
      </c>
    </row>
    <row r="1859" spans="1:12" hidden="1" x14ac:dyDescent="0.3">
      <c r="A1859" s="39">
        <v>46150.622511574074</v>
      </c>
      <c r="B1859" s="32">
        <v>4435226025</v>
      </c>
      <c r="C1859" s="32">
        <v>4430265054</v>
      </c>
      <c r="D1859" s="32">
        <v>4430265054</v>
      </c>
      <c r="E1859" s="32">
        <v>6</v>
      </c>
      <c r="F1859" s="32">
        <v>5</v>
      </c>
      <c r="G1859" s="32" t="s">
        <v>52</v>
      </c>
      <c r="H1859" s="32" t="s">
        <v>4576</v>
      </c>
      <c r="I1859" s="32" t="s">
        <v>39</v>
      </c>
      <c r="J1859" s="32" t="s">
        <v>53</v>
      </c>
    </row>
    <row r="1860" spans="1:12" hidden="1" x14ac:dyDescent="0.3">
      <c r="A1860" s="39">
        <v>46150.622129629628</v>
      </c>
      <c r="B1860" s="32">
        <v>44998846988</v>
      </c>
      <c r="C1860" s="32" t="s">
        <v>45</v>
      </c>
      <c r="D1860" s="32">
        <v>4430265054</v>
      </c>
      <c r="E1860" s="32">
        <v>1227</v>
      </c>
      <c r="F1860" s="32">
        <v>1195</v>
      </c>
      <c r="G1860" s="32" t="s">
        <v>38</v>
      </c>
      <c r="H1860" s="32" t="s">
        <v>4577</v>
      </c>
      <c r="I1860" s="32" t="s">
        <v>39</v>
      </c>
      <c r="J1860" s="32" t="s">
        <v>40</v>
      </c>
      <c r="K1860" s="32" t="s">
        <v>41</v>
      </c>
      <c r="L1860" s="32">
        <v>5</v>
      </c>
    </row>
    <row r="1861" spans="1:12" hidden="1" x14ac:dyDescent="0.3">
      <c r="A1861" s="39">
        <v>46150.614664351851</v>
      </c>
      <c r="B1861" s="32" t="s">
        <v>43</v>
      </c>
      <c r="C1861" s="32">
        <v>4430289496</v>
      </c>
      <c r="E1861" s="32">
        <v>71</v>
      </c>
      <c r="F1861" s="32">
        <v>66</v>
      </c>
      <c r="G1861" s="32" t="s">
        <v>38</v>
      </c>
      <c r="H1861" s="32" t="s">
        <v>4578</v>
      </c>
      <c r="I1861" s="32" t="s">
        <v>46</v>
      </c>
      <c r="J1861" s="32" t="s">
        <v>40</v>
      </c>
    </row>
    <row r="1862" spans="1:12" hidden="1" x14ac:dyDescent="0.3">
      <c r="A1862" s="39">
        <v>46150.609398148146</v>
      </c>
      <c r="B1862" s="32">
        <v>4433015977</v>
      </c>
      <c r="C1862" s="32">
        <v>4430265054</v>
      </c>
      <c r="D1862" s="32">
        <v>4430265054</v>
      </c>
      <c r="E1862" s="32">
        <v>9</v>
      </c>
      <c r="F1862" s="32">
        <v>8</v>
      </c>
      <c r="G1862" s="32" t="s">
        <v>52</v>
      </c>
      <c r="H1862" s="32" t="s">
        <v>4579</v>
      </c>
      <c r="I1862" s="32" t="s">
        <v>39</v>
      </c>
      <c r="J1862" s="32" t="s">
        <v>53</v>
      </c>
    </row>
    <row r="1863" spans="1:12" hidden="1" x14ac:dyDescent="0.3">
      <c r="A1863" s="39">
        <v>46150.594826388886</v>
      </c>
      <c r="B1863" s="32">
        <v>4430284942</v>
      </c>
      <c r="C1863" s="32">
        <v>4430265054</v>
      </c>
      <c r="D1863" s="32">
        <v>4430265054</v>
      </c>
      <c r="E1863" s="32">
        <v>22</v>
      </c>
      <c r="F1863" s="32">
        <v>22</v>
      </c>
      <c r="G1863" s="32" t="s">
        <v>52</v>
      </c>
      <c r="H1863" s="32" t="s">
        <v>4580</v>
      </c>
      <c r="I1863" s="32" t="s">
        <v>39</v>
      </c>
      <c r="J1863" s="32" t="s">
        <v>53</v>
      </c>
      <c r="K1863" s="32" t="s">
        <v>41</v>
      </c>
    </row>
    <row r="1864" spans="1:12" hidden="1" x14ac:dyDescent="0.3">
      <c r="A1864" s="39">
        <v>46150.594178240739</v>
      </c>
      <c r="B1864" s="32" t="s">
        <v>44</v>
      </c>
      <c r="C1864" s="32">
        <v>4436351835</v>
      </c>
      <c r="E1864" s="32">
        <v>407</v>
      </c>
      <c r="F1864" s="32">
        <v>404</v>
      </c>
      <c r="G1864" s="32" t="s">
        <v>38</v>
      </c>
      <c r="H1864" s="32" t="s">
        <v>4581</v>
      </c>
      <c r="I1864" s="32" t="s">
        <v>46</v>
      </c>
      <c r="J1864" s="32" t="s">
        <v>40</v>
      </c>
    </row>
    <row r="1865" spans="1:12" hidden="1" x14ac:dyDescent="0.3">
      <c r="A1865" s="39">
        <v>46150.594143518516</v>
      </c>
      <c r="B1865" s="32" t="s">
        <v>44</v>
      </c>
      <c r="C1865" s="32">
        <v>4436351835</v>
      </c>
      <c r="E1865" s="32">
        <v>25</v>
      </c>
      <c r="F1865" s="32">
        <v>25</v>
      </c>
      <c r="G1865" s="32" t="s">
        <v>38</v>
      </c>
      <c r="H1865" s="32" t="s">
        <v>4582</v>
      </c>
      <c r="I1865" s="32" t="s">
        <v>46</v>
      </c>
      <c r="J1865" s="32" t="s">
        <v>40</v>
      </c>
    </row>
    <row r="1866" spans="1:12" hidden="1" x14ac:dyDescent="0.3">
      <c r="A1866" s="39">
        <v>46150.591585648152</v>
      </c>
      <c r="B1866" s="32">
        <v>4436351835</v>
      </c>
      <c r="C1866" s="32" t="s">
        <v>44</v>
      </c>
      <c r="D1866" s="32">
        <v>4430265054</v>
      </c>
      <c r="E1866" s="32">
        <v>214</v>
      </c>
      <c r="F1866" s="32">
        <v>123</v>
      </c>
      <c r="G1866" s="32" t="s">
        <v>38</v>
      </c>
      <c r="H1866" s="32" t="s">
        <v>4583</v>
      </c>
      <c r="I1866" s="32" t="s">
        <v>39</v>
      </c>
      <c r="J1866" s="32" t="s">
        <v>40</v>
      </c>
      <c r="K1866" s="32" t="s">
        <v>41</v>
      </c>
    </row>
    <row r="1867" spans="1:12" hidden="1" x14ac:dyDescent="0.3">
      <c r="A1867" s="39">
        <v>46150.585057870368</v>
      </c>
      <c r="B1867" s="32">
        <v>4436313274</v>
      </c>
      <c r="C1867" s="32" t="s">
        <v>37</v>
      </c>
      <c r="D1867" s="32">
        <v>4430265054</v>
      </c>
      <c r="E1867" s="32">
        <v>413</v>
      </c>
      <c r="F1867" s="32">
        <v>374</v>
      </c>
      <c r="G1867" s="32" t="s">
        <v>38</v>
      </c>
      <c r="H1867" s="32" t="s">
        <v>4584</v>
      </c>
      <c r="I1867" s="32" t="s">
        <v>39</v>
      </c>
      <c r="J1867" s="32" t="s">
        <v>40</v>
      </c>
      <c r="K1867" s="32" t="s">
        <v>41</v>
      </c>
    </row>
    <row r="1868" spans="1:12" hidden="1" x14ac:dyDescent="0.3">
      <c r="A1868" s="39">
        <v>46150.583402777775</v>
      </c>
      <c r="B1868" s="32">
        <v>4130775695</v>
      </c>
      <c r="C1868" s="32" t="s">
        <v>48</v>
      </c>
      <c r="D1868" s="32">
        <v>4430265054</v>
      </c>
      <c r="E1868" s="32">
        <v>614</v>
      </c>
      <c r="F1868" s="32">
        <v>614</v>
      </c>
      <c r="G1868" s="32" t="s">
        <v>38</v>
      </c>
      <c r="H1868" s="32" t="s">
        <v>4585</v>
      </c>
      <c r="I1868" s="32" t="s">
        <v>39</v>
      </c>
      <c r="J1868" s="32" t="s">
        <v>40</v>
      </c>
      <c r="K1868" s="32" t="s">
        <v>41</v>
      </c>
    </row>
    <row r="1869" spans="1:12" hidden="1" x14ac:dyDescent="0.3">
      <c r="A1869" s="39">
        <v>46150.574976851851</v>
      </c>
      <c r="B1869" s="32" t="s">
        <v>45</v>
      </c>
      <c r="C1869" s="32">
        <v>44999654761</v>
      </c>
      <c r="E1869" s="32">
        <v>1615</v>
      </c>
      <c r="F1869" s="32">
        <v>1598</v>
      </c>
      <c r="G1869" s="32" t="s">
        <v>38</v>
      </c>
      <c r="H1869" s="32" t="s">
        <v>4586</v>
      </c>
      <c r="I1869" s="32" t="s">
        <v>46</v>
      </c>
      <c r="J1869" s="32" t="s">
        <v>40</v>
      </c>
    </row>
    <row r="1870" spans="1:12" hidden="1" x14ac:dyDescent="0.3">
      <c r="A1870" s="39">
        <v>46150.567916666667</v>
      </c>
      <c r="B1870" s="32" t="s">
        <v>56</v>
      </c>
      <c r="E1870" s="32">
        <v>1</v>
      </c>
      <c r="F1870" s="32">
        <v>0</v>
      </c>
      <c r="G1870" s="32" t="s">
        <v>47</v>
      </c>
      <c r="H1870" s="32" t="s">
        <v>4587</v>
      </c>
      <c r="I1870" s="32" t="s">
        <v>46</v>
      </c>
      <c r="J1870" s="32" t="s">
        <v>53</v>
      </c>
    </row>
    <row r="1871" spans="1:12" hidden="1" x14ac:dyDescent="0.3">
      <c r="A1871" s="39">
        <v>46150.567777777775</v>
      </c>
      <c r="B1871" s="32" t="s">
        <v>56</v>
      </c>
      <c r="E1871" s="32">
        <v>2</v>
      </c>
      <c r="F1871" s="32">
        <v>0</v>
      </c>
      <c r="G1871" s="32" t="s">
        <v>47</v>
      </c>
      <c r="H1871" s="32" t="s">
        <v>4588</v>
      </c>
      <c r="I1871" s="32" t="s">
        <v>46</v>
      </c>
      <c r="J1871" s="32" t="s">
        <v>53</v>
      </c>
    </row>
    <row r="1872" spans="1:12" hidden="1" x14ac:dyDescent="0.3">
      <c r="A1872" s="39">
        <v>46150.567696759259</v>
      </c>
      <c r="B1872" s="32" t="s">
        <v>56</v>
      </c>
      <c r="E1872" s="32">
        <v>1</v>
      </c>
      <c r="F1872" s="32">
        <v>0</v>
      </c>
      <c r="G1872" s="32" t="s">
        <v>47</v>
      </c>
      <c r="H1872" s="32" t="s">
        <v>4589</v>
      </c>
      <c r="I1872" s="32" t="s">
        <v>46</v>
      </c>
      <c r="J1872" s="32" t="s">
        <v>53</v>
      </c>
    </row>
    <row r="1873" spans="1:12" hidden="1" x14ac:dyDescent="0.3">
      <c r="A1873" s="39">
        <v>46150.56763888889</v>
      </c>
      <c r="B1873" s="32">
        <v>4121413772</v>
      </c>
      <c r="C1873" s="32" t="s">
        <v>45</v>
      </c>
      <c r="D1873" s="32">
        <v>4531273173</v>
      </c>
      <c r="E1873" s="32">
        <v>46</v>
      </c>
      <c r="F1873" s="32">
        <v>9</v>
      </c>
      <c r="G1873" s="32" t="s">
        <v>38</v>
      </c>
      <c r="H1873" s="32" t="s">
        <v>4590</v>
      </c>
      <c r="I1873" s="32" t="s">
        <v>39</v>
      </c>
      <c r="J1873" s="32" t="s">
        <v>40</v>
      </c>
      <c r="K1873" s="32" t="s">
        <v>41</v>
      </c>
    </row>
    <row r="1874" spans="1:12" hidden="1" x14ac:dyDescent="0.3">
      <c r="A1874" s="39">
        <v>46150.566446759258</v>
      </c>
      <c r="B1874" s="32">
        <v>2121123730</v>
      </c>
      <c r="C1874" s="32" t="s">
        <v>45</v>
      </c>
      <c r="D1874" s="32">
        <v>4531273162</v>
      </c>
      <c r="E1874" s="32">
        <v>47</v>
      </c>
      <c r="F1874" s="32">
        <v>8</v>
      </c>
      <c r="G1874" s="32" t="s">
        <v>38</v>
      </c>
      <c r="H1874" s="32" t="s">
        <v>4591</v>
      </c>
      <c r="I1874" s="32" t="s">
        <v>39</v>
      </c>
      <c r="J1874" s="32" t="s">
        <v>40</v>
      </c>
      <c r="K1874" s="32" t="s">
        <v>41</v>
      </c>
    </row>
    <row r="1875" spans="1:12" hidden="1" x14ac:dyDescent="0.3">
      <c r="A1875" s="39">
        <v>46150.563379629632</v>
      </c>
      <c r="B1875" s="32" t="s">
        <v>45</v>
      </c>
      <c r="C1875" s="32">
        <v>1000</v>
      </c>
      <c r="E1875" s="32">
        <v>40</v>
      </c>
      <c r="F1875" s="32">
        <v>6</v>
      </c>
      <c r="G1875" s="32" t="s">
        <v>38</v>
      </c>
      <c r="H1875" s="32" t="s">
        <v>4592</v>
      </c>
      <c r="I1875" s="32" t="s">
        <v>46</v>
      </c>
      <c r="J1875" s="32" t="s">
        <v>40</v>
      </c>
    </row>
    <row r="1876" spans="1:12" hidden="1" x14ac:dyDescent="0.3">
      <c r="A1876" s="39">
        <v>46150.563009259262</v>
      </c>
      <c r="B1876" s="32">
        <v>4430562296</v>
      </c>
      <c r="C1876" s="32" t="s">
        <v>48</v>
      </c>
      <c r="D1876" s="32">
        <v>4430265054</v>
      </c>
      <c r="E1876" s="32">
        <v>234</v>
      </c>
      <c r="F1876" s="32">
        <v>233</v>
      </c>
      <c r="G1876" s="32" t="s">
        <v>38</v>
      </c>
      <c r="H1876" s="32" t="s">
        <v>4593</v>
      </c>
      <c r="I1876" s="32" t="s">
        <v>39</v>
      </c>
      <c r="J1876" s="32" t="s">
        <v>40</v>
      </c>
      <c r="K1876" s="32" t="s">
        <v>41</v>
      </c>
    </row>
    <row r="1877" spans="1:12" hidden="1" x14ac:dyDescent="0.3">
      <c r="A1877" s="39">
        <v>46150.559837962966</v>
      </c>
      <c r="B1877" s="32" t="s">
        <v>45</v>
      </c>
      <c r="C1877" s="32">
        <v>44999654761</v>
      </c>
      <c r="E1877" s="32">
        <v>36</v>
      </c>
      <c r="F1877" s="32">
        <v>0</v>
      </c>
      <c r="G1877" s="32" t="s">
        <v>47</v>
      </c>
      <c r="H1877" s="32" t="s">
        <v>4594</v>
      </c>
      <c r="I1877" s="32" t="s">
        <v>46</v>
      </c>
      <c r="J1877" s="32" t="s">
        <v>40</v>
      </c>
    </row>
    <row r="1878" spans="1:12" hidden="1" x14ac:dyDescent="0.3">
      <c r="A1878" s="39">
        <v>46150.494097222225</v>
      </c>
      <c r="B1878" s="32">
        <v>4421032926</v>
      </c>
      <c r="C1878" s="32">
        <v>4430265054</v>
      </c>
      <c r="D1878" s="32">
        <v>4430265054</v>
      </c>
      <c r="E1878" s="32">
        <v>3</v>
      </c>
      <c r="F1878" s="32">
        <v>2</v>
      </c>
      <c r="G1878" s="32" t="s">
        <v>52</v>
      </c>
      <c r="H1878" s="32" t="s">
        <v>4595</v>
      </c>
      <c r="I1878" s="32" t="s">
        <v>39</v>
      </c>
      <c r="J1878" s="32" t="s">
        <v>53</v>
      </c>
    </row>
    <row r="1879" spans="1:12" hidden="1" x14ac:dyDescent="0.3">
      <c r="A1879" s="39">
        <v>46150.49046296296</v>
      </c>
      <c r="B1879" s="32">
        <v>43988030048</v>
      </c>
      <c r="C1879" s="32" t="s">
        <v>45</v>
      </c>
      <c r="D1879" s="32">
        <v>4430265054</v>
      </c>
      <c r="E1879" s="32">
        <v>531</v>
      </c>
      <c r="F1879" s="32">
        <v>434</v>
      </c>
      <c r="G1879" s="32" t="s">
        <v>38</v>
      </c>
      <c r="H1879" s="32" t="s">
        <v>4596</v>
      </c>
      <c r="I1879" s="32" t="s">
        <v>39</v>
      </c>
      <c r="J1879" s="32" t="s">
        <v>40</v>
      </c>
      <c r="K1879" s="32" t="s">
        <v>41</v>
      </c>
      <c r="L1879" s="32">
        <v>5</v>
      </c>
    </row>
    <row r="1880" spans="1:12" hidden="1" x14ac:dyDescent="0.3">
      <c r="A1880" s="39">
        <v>46150.488009259258</v>
      </c>
      <c r="B1880" s="32">
        <v>43988030048</v>
      </c>
      <c r="C1880" s="32">
        <v>4430265054</v>
      </c>
      <c r="D1880" s="32">
        <v>4430265054</v>
      </c>
      <c r="E1880" s="32">
        <v>15</v>
      </c>
      <c r="F1880" s="32">
        <v>14</v>
      </c>
      <c r="G1880" s="32" t="s">
        <v>52</v>
      </c>
      <c r="H1880" s="32" t="s">
        <v>4597</v>
      </c>
      <c r="I1880" s="32" t="s">
        <v>39</v>
      </c>
      <c r="J1880" s="32" t="s">
        <v>53</v>
      </c>
    </row>
    <row r="1881" spans="1:12" hidden="1" x14ac:dyDescent="0.3">
      <c r="A1881" s="39">
        <v>46150.484907407408</v>
      </c>
      <c r="B1881" s="32">
        <v>4121414966</v>
      </c>
      <c r="C1881" s="32" t="s">
        <v>43</v>
      </c>
      <c r="D1881" s="32">
        <v>4531273161</v>
      </c>
      <c r="E1881" s="32">
        <v>47</v>
      </c>
      <c r="F1881" s="32">
        <v>6</v>
      </c>
      <c r="G1881" s="32" t="s">
        <v>38</v>
      </c>
      <c r="H1881" s="32" t="s">
        <v>4598</v>
      </c>
      <c r="I1881" s="32" t="s">
        <v>39</v>
      </c>
      <c r="J1881" s="32" t="s">
        <v>40</v>
      </c>
      <c r="K1881" s="32" t="s">
        <v>41</v>
      </c>
    </row>
    <row r="1882" spans="1:12" hidden="1" x14ac:dyDescent="0.3">
      <c r="A1882" s="39">
        <v>46150.482060185182</v>
      </c>
      <c r="B1882" s="32">
        <v>44997735525</v>
      </c>
      <c r="C1882" s="32" t="s">
        <v>37</v>
      </c>
      <c r="D1882" s="32">
        <v>4430265054</v>
      </c>
      <c r="E1882" s="32">
        <v>363</v>
      </c>
      <c r="F1882" s="32">
        <v>308</v>
      </c>
      <c r="G1882" s="32" t="s">
        <v>38</v>
      </c>
      <c r="H1882" s="32" t="s">
        <v>4599</v>
      </c>
      <c r="I1882" s="32" t="s">
        <v>39</v>
      </c>
      <c r="J1882" s="32" t="s">
        <v>40</v>
      </c>
      <c r="K1882" s="32" t="s">
        <v>41</v>
      </c>
    </row>
    <row r="1883" spans="1:12" hidden="1" x14ac:dyDescent="0.3">
      <c r="A1883" s="39">
        <v>46150.480821759258</v>
      </c>
      <c r="B1883" s="32">
        <v>4130760170</v>
      </c>
      <c r="C1883" s="32" t="s">
        <v>45</v>
      </c>
      <c r="D1883" s="32">
        <v>4430265054</v>
      </c>
      <c r="E1883" s="32">
        <v>697</v>
      </c>
      <c r="F1883" s="32">
        <v>675</v>
      </c>
      <c r="G1883" s="32" t="s">
        <v>38</v>
      </c>
      <c r="H1883" s="32" t="s">
        <v>4600</v>
      </c>
      <c r="I1883" s="32" t="s">
        <v>39</v>
      </c>
      <c r="J1883" s="32" t="s">
        <v>40</v>
      </c>
      <c r="K1883" s="32" t="s">
        <v>41</v>
      </c>
      <c r="L1883" s="32">
        <v>5</v>
      </c>
    </row>
    <row r="1884" spans="1:12" hidden="1" x14ac:dyDescent="0.3">
      <c r="A1884" s="39">
        <v>46150.477407407408</v>
      </c>
      <c r="B1884" s="32">
        <v>4521017510</v>
      </c>
      <c r="C1884" s="32">
        <v>4531273172</v>
      </c>
      <c r="D1884" s="32">
        <v>4531273172</v>
      </c>
      <c r="E1884" s="32">
        <v>47</v>
      </c>
      <c r="F1884" s="32">
        <v>47</v>
      </c>
      <c r="G1884" s="32" t="s">
        <v>52</v>
      </c>
      <c r="H1884" s="32" t="s">
        <v>4601</v>
      </c>
      <c r="I1884" s="32" t="s">
        <v>39</v>
      </c>
      <c r="J1884" s="32" t="s">
        <v>53</v>
      </c>
      <c r="K1884" s="32" t="s">
        <v>41</v>
      </c>
    </row>
    <row r="1885" spans="1:12" hidden="1" x14ac:dyDescent="0.3">
      <c r="A1885" s="39">
        <v>46150.477071759262</v>
      </c>
      <c r="B1885" s="32">
        <v>44997426611</v>
      </c>
      <c r="C1885" s="32" t="s">
        <v>57</v>
      </c>
      <c r="D1885" s="32">
        <v>4430265054</v>
      </c>
      <c r="E1885" s="32">
        <v>2046</v>
      </c>
      <c r="F1885" s="32">
        <v>2023</v>
      </c>
      <c r="G1885" s="32" t="s">
        <v>38</v>
      </c>
      <c r="H1885" s="32" t="s">
        <v>4602</v>
      </c>
      <c r="I1885" s="32" t="s">
        <v>39</v>
      </c>
      <c r="J1885" s="32" t="s">
        <v>55</v>
      </c>
      <c r="K1885" s="32" t="s">
        <v>49</v>
      </c>
    </row>
    <row r="1886" spans="1:12" hidden="1" x14ac:dyDescent="0.3">
      <c r="A1886" s="39">
        <v>46150.476018518515</v>
      </c>
      <c r="B1886" s="32" t="s">
        <v>45</v>
      </c>
      <c r="C1886" s="32">
        <v>44999654761</v>
      </c>
      <c r="E1886" s="32">
        <v>67</v>
      </c>
      <c r="F1886" s="32">
        <v>29</v>
      </c>
      <c r="G1886" s="32" t="s">
        <v>38</v>
      </c>
      <c r="H1886" s="32" t="s">
        <v>4603</v>
      </c>
      <c r="I1886" s="32" t="s">
        <v>46</v>
      </c>
      <c r="J1886" s="32" t="s">
        <v>40</v>
      </c>
    </row>
    <row r="1887" spans="1:12" hidden="1" x14ac:dyDescent="0.3">
      <c r="A1887" s="39">
        <v>46150.475254629629</v>
      </c>
      <c r="B1887" s="32" t="s">
        <v>45</v>
      </c>
      <c r="C1887" s="32">
        <v>4434221055</v>
      </c>
      <c r="E1887" s="32">
        <v>31</v>
      </c>
      <c r="F1887" s="32">
        <v>0</v>
      </c>
      <c r="G1887" s="32" t="s">
        <v>47</v>
      </c>
      <c r="H1887" s="32" t="s">
        <v>4604</v>
      </c>
      <c r="I1887" s="32" t="s">
        <v>46</v>
      </c>
      <c r="J1887" s="32" t="s">
        <v>40</v>
      </c>
    </row>
    <row r="1888" spans="1:12" hidden="1" x14ac:dyDescent="0.3">
      <c r="A1888" s="39">
        <v>46150.473668981482</v>
      </c>
      <c r="B1888" s="32" t="s">
        <v>45</v>
      </c>
      <c r="C1888" s="32">
        <v>44999654761</v>
      </c>
      <c r="E1888" s="32">
        <v>68</v>
      </c>
      <c r="F1888" s="32">
        <v>30</v>
      </c>
      <c r="G1888" s="32" t="s">
        <v>38</v>
      </c>
      <c r="H1888" s="32" t="s">
        <v>4605</v>
      </c>
      <c r="I1888" s="32" t="s">
        <v>46</v>
      </c>
      <c r="J1888" s="32" t="s">
        <v>40</v>
      </c>
    </row>
    <row r="1889" spans="1:12" hidden="1" x14ac:dyDescent="0.3">
      <c r="A1889" s="39">
        <v>46150.461655092593</v>
      </c>
      <c r="B1889" s="32" t="s">
        <v>37</v>
      </c>
      <c r="C1889" s="32">
        <v>4330261969</v>
      </c>
      <c r="E1889" s="32">
        <v>960</v>
      </c>
      <c r="F1889" s="32">
        <v>952</v>
      </c>
      <c r="G1889" s="32" t="s">
        <v>38</v>
      </c>
      <c r="H1889" s="32" t="s">
        <v>4606</v>
      </c>
      <c r="I1889" s="32" t="s">
        <v>46</v>
      </c>
      <c r="J1889" s="32" t="s">
        <v>40</v>
      </c>
    </row>
    <row r="1890" spans="1:12" hidden="1" x14ac:dyDescent="0.3">
      <c r="A1890" s="39">
        <v>46150.459722222222</v>
      </c>
      <c r="B1890" s="32">
        <v>4521017510</v>
      </c>
      <c r="C1890" s="32">
        <v>4531273169</v>
      </c>
      <c r="D1890" s="32">
        <v>4531273169</v>
      </c>
      <c r="E1890" s="32">
        <v>47</v>
      </c>
      <c r="F1890" s="32">
        <v>46</v>
      </c>
      <c r="G1890" s="32" t="s">
        <v>52</v>
      </c>
      <c r="H1890" s="32" t="s">
        <v>4607</v>
      </c>
      <c r="I1890" s="32" t="s">
        <v>39</v>
      </c>
      <c r="J1890" s="32" t="s">
        <v>53</v>
      </c>
      <c r="K1890" s="32" t="s">
        <v>41</v>
      </c>
    </row>
    <row r="1891" spans="1:12" hidden="1" x14ac:dyDescent="0.3">
      <c r="A1891" s="39">
        <v>46150.455243055556</v>
      </c>
      <c r="B1891" s="32" t="s">
        <v>45</v>
      </c>
      <c r="C1891" s="32">
        <v>44984198651</v>
      </c>
      <c r="E1891" s="32">
        <v>6</v>
      </c>
      <c r="F1891" s="32">
        <v>0</v>
      </c>
      <c r="G1891" s="32" t="s">
        <v>47</v>
      </c>
      <c r="H1891" s="32" t="s">
        <v>4608</v>
      </c>
      <c r="I1891" s="32" t="s">
        <v>46</v>
      </c>
      <c r="J1891" s="32" t="s">
        <v>40</v>
      </c>
    </row>
    <row r="1892" spans="1:12" hidden="1" x14ac:dyDescent="0.3">
      <c r="A1892" s="39">
        <v>46150.455081018517</v>
      </c>
      <c r="B1892" s="32" t="s">
        <v>45</v>
      </c>
      <c r="C1892" s="32">
        <v>44984198651</v>
      </c>
      <c r="E1892" s="32">
        <v>5</v>
      </c>
      <c r="F1892" s="32">
        <v>0</v>
      </c>
      <c r="G1892" s="32" t="s">
        <v>47</v>
      </c>
      <c r="H1892" s="32" t="s">
        <v>4609</v>
      </c>
      <c r="I1892" s="32" t="s">
        <v>46</v>
      </c>
      <c r="J1892" s="32" t="s">
        <v>40</v>
      </c>
    </row>
    <row r="1893" spans="1:12" hidden="1" x14ac:dyDescent="0.3">
      <c r="A1893" s="39">
        <v>46150.453043981484</v>
      </c>
      <c r="B1893" s="32">
        <v>4430450103</v>
      </c>
      <c r="C1893" s="32" t="s">
        <v>43</v>
      </c>
      <c r="D1893" s="32">
        <v>4430265054</v>
      </c>
      <c r="E1893" s="32">
        <v>328</v>
      </c>
      <c r="F1893" s="32">
        <v>269</v>
      </c>
      <c r="G1893" s="32" t="s">
        <v>38</v>
      </c>
      <c r="H1893" s="32" t="s">
        <v>4610</v>
      </c>
      <c r="I1893" s="32" t="s">
        <v>39</v>
      </c>
      <c r="J1893" s="32" t="s">
        <v>40</v>
      </c>
      <c r="K1893" s="32" t="s">
        <v>41</v>
      </c>
      <c r="L1893" s="32">
        <v>5</v>
      </c>
    </row>
    <row r="1894" spans="1:12" hidden="1" x14ac:dyDescent="0.3">
      <c r="A1894" s="39">
        <v>46150.448587962965</v>
      </c>
      <c r="B1894" s="32">
        <v>4433015976</v>
      </c>
      <c r="C1894" s="32">
        <v>4430265054</v>
      </c>
      <c r="D1894" s="32">
        <v>4430265054</v>
      </c>
      <c r="E1894" s="32">
        <v>3</v>
      </c>
      <c r="F1894" s="32">
        <v>3</v>
      </c>
      <c r="G1894" s="32" t="s">
        <v>52</v>
      </c>
      <c r="H1894" s="32" t="s">
        <v>4611</v>
      </c>
      <c r="I1894" s="32" t="s">
        <v>39</v>
      </c>
      <c r="J1894" s="32" t="s">
        <v>53</v>
      </c>
    </row>
    <row r="1895" spans="1:12" hidden="1" x14ac:dyDescent="0.3">
      <c r="A1895" s="39">
        <v>46150.447800925926</v>
      </c>
      <c r="B1895" s="32">
        <v>4430289496</v>
      </c>
      <c r="C1895" s="32" t="s">
        <v>43</v>
      </c>
      <c r="D1895" s="32">
        <v>4430265054</v>
      </c>
      <c r="E1895" s="32">
        <v>475</v>
      </c>
      <c r="F1895" s="32">
        <v>428</v>
      </c>
      <c r="G1895" s="32" t="s">
        <v>38</v>
      </c>
      <c r="H1895" s="32" t="s">
        <v>4612</v>
      </c>
      <c r="I1895" s="32" t="s">
        <v>39</v>
      </c>
      <c r="J1895" s="32" t="s">
        <v>40</v>
      </c>
      <c r="K1895" s="32" t="s">
        <v>41</v>
      </c>
    </row>
    <row r="1896" spans="1:12" hidden="1" x14ac:dyDescent="0.3">
      <c r="A1896" s="39">
        <v>46150.446516203701</v>
      </c>
      <c r="B1896" s="32">
        <v>43984040334</v>
      </c>
      <c r="C1896" s="32" t="s">
        <v>48</v>
      </c>
      <c r="D1896" s="32">
        <v>4430265054</v>
      </c>
      <c r="E1896" s="32">
        <v>532</v>
      </c>
      <c r="F1896" s="32">
        <v>510</v>
      </c>
      <c r="G1896" s="32" t="s">
        <v>38</v>
      </c>
      <c r="H1896" s="32" t="s">
        <v>4613</v>
      </c>
      <c r="I1896" s="32" t="s">
        <v>39</v>
      </c>
      <c r="J1896" s="32" t="s">
        <v>40</v>
      </c>
      <c r="K1896" s="32" t="s">
        <v>41</v>
      </c>
    </row>
    <row r="1897" spans="1:12" hidden="1" x14ac:dyDescent="0.3">
      <c r="A1897" s="39">
        <v>46150.446284722224</v>
      </c>
      <c r="B1897" s="32">
        <v>4121418164</v>
      </c>
      <c r="C1897" s="32">
        <v>4531273159</v>
      </c>
      <c r="D1897" s="32">
        <v>4531273159</v>
      </c>
      <c r="E1897" s="32">
        <v>49</v>
      </c>
      <c r="F1897" s="32">
        <v>49</v>
      </c>
      <c r="G1897" s="32" t="s">
        <v>52</v>
      </c>
      <c r="H1897" s="32" t="s">
        <v>4614</v>
      </c>
      <c r="I1897" s="32" t="s">
        <v>39</v>
      </c>
      <c r="J1897" s="32" t="s">
        <v>53</v>
      </c>
      <c r="K1897" s="32" t="s">
        <v>41</v>
      </c>
    </row>
    <row r="1898" spans="1:12" hidden="1" x14ac:dyDescent="0.3">
      <c r="A1898" s="39">
        <v>46150.438981481479</v>
      </c>
      <c r="B1898" s="32">
        <v>4430141092</v>
      </c>
      <c r="C1898" s="32" t="s">
        <v>48</v>
      </c>
      <c r="D1898" s="32">
        <v>4430265054</v>
      </c>
      <c r="E1898" s="32">
        <v>177</v>
      </c>
      <c r="F1898" s="32">
        <v>92</v>
      </c>
      <c r="G1898" s="32" t="s">
        <v>38</v>
      </c>
      <c r="H1898" s="32" t="s">
        <v>4615</v>
      </c>
      <c r="I1898" s="32" t="s">
        <v>39</v>
      </c>
      <c r="J1898" s="32" t="s">
        <v>40</v>
      </c>
      <c r="K1898" s="32" t="s">
        <v>41</v>
      </c>
    </row>
    <row r="1899" spans="1:12" hidden="1" x14ac:dyDescent="0.3">
      <c r="A1899" s="39">
        <v>46150.438946759263</v>
      </c>
      <c r="B1899" s="32">
        <v>44998849102</v>
      </c>
      <c r="C1899" s="32" t="s">
        <v>45</v>
      </c>
      <c r="D1899" s="32">
        <v>4430265054</v>
      </c>
      <c r="E1899" s="32">
        <v>1182</v>
      </c>
      <c r="F1899" s="32">
        <v>1172</v>
      </c>
      <c r="G1899" s="32" t="s">
        <v>38</v>
      </c>
      <c r="H1899" s="32" t="s">
        <v>4616</v>
      </c>
      <c r="I1899" s="32" t="s">
        <v>39</v>
      </c>
      <c r="J1899" s="32" t="s">
        <v>40</v>
      </c>
      <c r="K1899" s="32" t="s">
        <v>41</v>
      </c>
    </row>
    <row r="1900" spans="1:12" hidden="1" x14ac:dyDescent="0.3">
      <c r="A1900" s="39">
        <v>46150.438518518517</v>
      </c>
      <c r="B1900" s="32">
        <v>4330261969</v>
      </c>
      <c r="C1900" s="32" t="s">
        <v>37</v>
      </c>
      <c r="D1900" s="32">
        <v>4430265054</v>
      </c>
      <c r="E1900" s="32">
        <v>874</v>
      </c>
      <c r="F1900" s="32">
        <v>836</v>
      </c>
      <c r="G1900" s="32" t="s">
        <v>38</v>
      </c>
      <c r="H1900" s="32" t="s">
        <v>4617</v>
      </c>
      <c r="I1900" s="32" t="s">
        <v>39</v>
      </c>
      <c r="J1900" s="32" t="s">
        <v>40</v>
      </c>
      <c r="K1900" s="32" t="s">
        <v>41</v>
      </c>
    </row>
    <row r="1901" spans="1:12" hidden="1" x14ac:dyDescent="0.3">
      <c r="A1901" s="39">
        <v>46150.43341435185</v>
      </c>
      <c r="B1901" s="32">
        <v>93991495484</v>
      </c>
      <c r="C1901" s="32" t="s">
        <v>44</v>
      </c>
      <c r="D1901" s="32">
        <v>4430265054</v>
      </c>
      <c r="E1901" s="32">
        <v>915</v>
      </c>
      <c r="F1901" s="32">
        <v>835</v>
      </c>
      <c r="G1901" s="32" t="s">
        <v>38</v>
      </c>
      <c r="H1901" s="32" t="s">
        <v>4618</v>
      </c>
      <c r="I1901" s="32" t="s">
        <v>39</v>
      </c>
      <c r="J1901" s="32" t="s">
        <v>40</v>
      </c>
      <c r="K1901" s="32" t="s">
        <v>41</v>
      </c>
      <c r="L1901" s="32">
        <v>5</v>
      </c>
    </row>
    <row r="1902" spans="1:12" hidden="1" x14ac:dyDescent="0.3">
      <c r="A1902" s="39">
        <v>46150.43074074074</v>
      </c>
      <c r="B1902" s="32">
        <v>62994086124</v>
      </c>
      <c r="C1902" s="32" t="s">
        <v>43</v>
      </c>
      <c r="D1902" s="32">
        <v>4430265054</v>
      </c>
      <c r="E1902" s="32">
        <v>852</v>
      </c>
      <c r="F1902" s="32">
        <v>835</v>
      </c>
      <c r="G1902" s="32" t="s">
        <v>38</v>
      </c>
      <c r="H1902" s="32" t="s">
        <v>4619</v>
      </c>
      <c r="I1902" s="32" t="s">
        <v>39</v>
      </c>
      <c r="J1902" s="32" t="s">
        <v>40</v>
      </c>
      <c r="K1902" s="32" t="s">
        <v>41</v>
      </c>
      <c r="L1902" s="32">
        <v>5</v>
      </c>
    </row>
    <row r="1903" spans="1:12" hidden="1" x14ac:dyDescent="0.3">
      <c r="A1903" s="39">
        <v>46150.430671296293</v>
      </c>
      <c r="B1903" s="32" t="s">
        <v>57</v>
      </c>
      <c r="C1903" s="32">
        <v>3131956099</v>
      </c>
      <c r="E1903" s="32">
        <v>55</v>
      </c>
      <c r="F1903" s="32">
        <v>41</v>
      </c>
      <c r="G1903" s="32" t="s">
        <v>38</v>
      </c>
      <c r="H1903" s="32" t="s">
        <v>4620</v>
      </c>
      <c r="I1903" s="32" t="s">
        <v>46</v>
      </c>
      <c r="J1903" s="32" t="s">
        <v>55</v>
      </c>
    </row>
    <row r="1904" spans="1:12" hidden="1" x14ac:dyDescent="0.3">
      <c r="A1904" s="39">
        <v>46150.430486111109</v>
      </c>
      <c r="B1904" s="32" t="s">
        <v>57</v>
      </c>
      <c r="C1904" s="32">
        <v>3137956099</v>
      </c>
      <c r="E1904" s="32">
        <v>7</v>
      </c>
      <c r="F1904" s="32">
        <v>0</v>
      </c>
      <c r="G1904" s="32" t="s">
        <v>47</v>
      </c>
      <c r="H1904" s="32" t="s">
        <v>4621</v>
      </c>
      <c r="I1904" s="32" t="s">
        <v>46</v>
      </c>
      <c r="J1904" s="32" t="s">
        <v>55</v>
      </c>
    </row>
    <row r="1905" spans="1:11" hidden="1" x14ac:dyDescent="0.3">
      <c r="A1905" s="39">
        <v>46150.419062499997</v>
      </c>
      <c r="B1905" s="32">
        <v>77999014770</v>
      </c>
      <c r="C1905" s="32" t="s">
        <v>44</v>
      </c>
      <c r="D1905" s="32">
        <v>4430265054</v>
      </c>
      <c r="E1905" s="32">
        <v>662</v>
      </c>
      <c r="F1905" s="32">
        <v>617</v>
      </c>
      <c r="G1905" s="32" t="s">
        <v>38</v>
      </c>
      <c r="H1905" s="32" t="s">
        <v>4622</v>
      </c>
      <c r="I1905" s="32" t="s">
        <v>39</v>
      </c>
      <c r="J1905" s="32" t="s">
        <v>40</v>
      </c>
      <c r="K1905" s="32" t="s">
        <v>41</v>
      </c>
    </row>
    <row r="1906" spans="1:11" hidden="1" x14ac:dyDescent="0.3">
      <c r="A1906" s="39">
        <v>46150.416550925926</v>
      </c>
      <c r="B1906" s="32" t="s">
        <v>57</v>
      </c>
      <c r="C1906" s="32">
        <v>4440047808</v>
      </c>
      <c r="E1906" s="32">
        <v>1183</v>
      </c>
      <c r="F1906" s="32">
        <v>1182</v>
      </c>
      <c r="G1906" s="32" t="s">
        <v>38</v>
      </c>
      <c r="H1906" s="32" t="s">
        <v>4623</v>
      </c>
      <c r="I1906" s="32" t="s">
        <v>46</v>
      </c>
      <c r="J1906" s="32" t="s">
        <v>55</v>
      </c>
    </row>
    <row r="1907" spans="1:11" hidden="1" x14ac:dyDescent="0.3">
      <c r="A1907" s="39">
        <v>46150.416527777779</v>
      </c>
      <c r="B1907" s="32">
        <v>44984198651</v>
      </c>
      <c r="C1907" s="32" t="s">
        <v>45</v>
      </c>
      <c r="D1907" s="32">
        <v>4430265054</v>
      </c>
      <c r="E1907" s="32">
        <v>1773</v>
      </c>
      <c r="F1907" s="32">
        <v>1750</v>
      </c>
      <c r="G1907" s="32" t="s">
        <v>38</v>
      </c>
      <c r="H1907" s="32" t="s">
        <v>4624</v>
      </c>
      <c r="I1907" s="32" t="s">
        <v>39</v>
      </c>
      <c r="J1907" s="32" t="s">
        <v>40</v>
      </c>
      <c r="K1907" s="32" t="s">
        <v>41</v>
      </c>
    </row>
    <row r="1908" spans="1:11" hidden="1" x14ac:dyDescent="0.3">
      <c r="A1908" s="39">
        <v>46150.415266203701</v>
      </c>
      <c r="B1908" s="32" t="s">
        <v>57</v>
      </c>
      <c r="C1908" s="32">
        <v>4440047808</v>
      </c>
      <c r="E1908" s="32">
        <v>108</v>
      </c>
      <c r="F1908" s="32">
        <v>107</v>
      </c>
      <c r="G1908" s="32" t="s">
        <v>38</v>
      </c>
      <c r="H1908" s="32" t="s">
        <v>4625</v>
      </c>
      <c r="I1908" s="32" t="s">
        <v>46</v>
      </c>
      <c r="J1908" s="32" t="s">
        <v>55</v>
      </c>
    </row>
    <row r="1909" spans="1:11" hidden="1" x14ac:dyDescent="0.3">
      <c r="A1909" s="39">
        <v>46150.409733796296</v>
      </c>
      <c r="B1909" s="32">
        <v>4434239353</v>
      </c>
      <c r="C1909" s="32" t="s">
        <v>43</v>
      </c>
      <c r="D1909" s="32">
        <v>4430265054</v>
      </c>
      <c r="E1909" s="32">
        <v>1429</v>
      </c>
      <c r="F1909" s="32">
        <v>1410</v>
      </c>
      <c r="G1909" s="32" t="s">
        <v>38</v>
      </c>
      <c r="H1909" s="32" t="s">
        <v>4626</v>
      </c>
      <c r="I1909" s="32" t="s">
        <v>39</v>
      </c>
      <c r="J1909" s="32" t="s">
        <v>40</v>
      </c>
      <c r="K1909" s="32" t="s">
        <v>41</v>
      </c>
    </row>
    <row r="1910" spans="1:11" hidden="1" x14ac:dyDescent="0.3">
      <c r="A1910" s="39">
        <v>46150.406990740739</v>
      </c>
      <c r="B1910" s="32">
        <v>11934552189</v>
      </c>
      <c r="C1910" s="32" t="s">
        <v>37</v>
      </c>
      <c r="D1910" s="32">
        <v>4430265054</v>
      </c>
      <c r="E1910" s="32">
        <v>1789</v>
      </c>
      <c r="F1910" s="32">
        <v>1659</v>
      </c>
      <c r="G1910" s="32" t="s">
        <v>38</v>
      </c>
      <c r="H1910" s="32" t="s">
        <v>4627</v>
      </c>
      <c r="I1910" s="32" t="s">
        <v>39</v>
      </c>
      <c r="J1910" s="32" t="s">
        <v>40</v>
      </c>
      <c r="K1910" s="32" t="s">
        <v>41</v>
      </c>
    </row>
    <row r="1911" spans="1:11" hidden="1" x14ac:dyDescent="0.3">
      <c r="A1911" s="39">
        <v>46150.406967592593</v>
      </c>
      <c r="B1911" s="32" t="s">
        <v>54</v>
      </c>
      <c r="C1911" s="32">
        <v>4436293259</v>
      </c>
      <c r="E1911" s="32">
        <v>399</v>
      </c>
      <c r="F1911" s="32">
        <v>392</v>
      </c>
      <c r="G1911" s="32" t="s">
        <v>38</v>
      </c>
      <c r="H1911" s="32" t="s">
        <v>4628</v>
      </c>
      <c r="I1911" s="32" t="s">
        <v>46</v>
      </c>
      <c r="J1911" s="32" t="s">
        <v>55</v>
      </c>
    </row>
    <row r="1912" spans="1:11" hidden="1" x14ac:dyDescent="0.3">
      <c r="A1912" s="39">
        <v>46150.406828703701</v>
      </c>
      <c r="B1912" s="32" t="s">
        <v>54</v>
      </c>
      <c r="C1912" s="32">
        <v>4436293259</v>
      </c>
      <c r="E1912" s="32">
        <v>8</v>
      </c>
      <c r="F1912" s="32">
        <v>8</v>
      </c>
      <c r="G1912" s="32" t="s">
        <v>38</v>
      </c>
      <c r="H1912" s="32" t="s">
        <v>4629</v>
      </c>
      <c r="I1912" s="32" t="s">
        <v>46</v>
      </c>
      <c r="J1912" s="32" t="s">
        <v>55</v>
      </c>
    </row>
    <row r="1913" spans="1:11" hidden="1" x14ac:dyDescent="0.3">
      <c r="A1913" s="39">
        <v>46150.405856481484</v>
      </c>
      <c r="B1913" s="32">
        <v>77999014770</v>
      </c>
      <c r="C1913" s="32">
        <v>4430265054</v>
      </c>
      <c r="D1913" s="32">
        <v>4430265054</v>
      </c>
      <c r="E1913" s="32">
        <v>6</v>
      </c>
      <c r="F1913" s="32">
        <v>6</v>
      </c>
      <c r="G1913" s="32" t="s">
        <v>52</v>
      </c>
      <c r="H1913" s="32" t="s">
        <v>4630</v>
      </c>
      <c r="I1913" s="32" t="s">
        <v>39</v>
      </c>
      <c r="J1913" s="32" t="s">
        <v>53</v>
      </c>
    </row>
    <row r="1914" spans="1:11" hidden="1" x14ac:dyDescent="0.3">
      <c r="A1914" s="39">
        <v>46150.403449074074</v>
      </c>
      <c r="B1914" s="32">
        <v>4421032923</v>
      </c>
      <c r="C1914" s="32">
        <v>4430265054</v>
      </c>
      <c r="D1914" s="32">
        <v>4430265054</v>
      </c>
      <c r="E1914" s="32">
        <v>3</v>
      </c>
      <c r="F1914" s="32">
        <v>3</v>
      </c>
      <c r="G1914" s="32" t="s">
        <v>52</v>
      </c>
      <c r="H1914" s="32" t="s">
        <v>4631</v>
      </c>
      <c r="I1914" s="32" t="s">
        <v>39</v>
      </c>
      <c r="J1914" s="32" t="s">
        <v>53</v>
      </c>
    </row>
    <row r="1915" spans="1:11" hidden="1" x14ac:dyDescent="0.3">
      <c r="A1915" s="39">
        <v>46150.402233796296</v>
      </c>
      <c r="B1915" s="32">
        <v>44988255390</v>
      </c>
      <c r="C1915" s="32" t="s">
        <v>45</v>
      </c>
      <c r="D1915" s="32">
        <v>4430265054</v>
      </c>
      <c r="E1915" s="32">
        <v>549</v>
      </c>
      <c r="F1915" s="32">
        <v>509</v>
      </c>
      <c r="G1915" s="32" t="s">
        <v>38</v>
      </c>
      <c r="H1915" s="32" t="s">
        <v>4632</v>
      </c>
      <c r="I1915" s="32" t="s">
        <v>39</v>
      </c>
      <c r="J1915" s="32" t="s">
        <v>40</v>
      </c>
      <c r="K1915" s="32" t="s">
        <v>41</v>
      </c>
    </row>
    <row r="1916" spans="1:11" hidden="1" x14ac:dyDescent="0.3">
      <c r="A1916" s="39">
        <v>46150.394768518519</v>
      </c>
      <c r="B1916" s="32" t="s">
        <v>44</v>
      </c>
      <c r="C1916" s="32">
        <v>44999670264</v>
      </c>
      <c r="E1916" s="32">
        <v>53</v>
      </c>
      <c r="F1916" s="32">
        <v>47</v>
      </c>
      <c r="G1916" s="32" t="s">
        <v>38</v>
      </c>
      <c r="H1916" s="32" t="s">
        <v>4633</v>
      </c>
      <c r="I1916" s="32" t="s">
        <v>46</v>
      </c>
      <c r="J1916" s="32" t="s">
        <v>40</v>
      </c>
    </row>
    <row r="1917" spans="1:11" hidden="1" x14ac:dyDescent="0.3">
      <c r="A1917" s="39">
        <v>46150.39471064815</v>
      </c>
      <c r="B1917" s="32" t="s">
        <v>44</v>
      </c>
      <c r="C1917" s="32">
        <v>44999670264</v>
      </c>
      <c r="E1917" s="32">
        <v>4</v>
      </c>
      <c r="F1917" s="32">
        <v>0</v>
      </c>
      <c r="G1917" s="32" t="s">
        <v>47</v>
      </c>
      <c r="H1917" s="32" t="s">
        <v>4634</v>
      </c>
      <c r="I1917" s="32" t="s">
        <v>46</v>
      </c>
      <c r="J1917" s="32" t="s">
        <v>40</v>
      </c>
    </row>
    <row r="1918" spans="1:11" hidden="1" x14ac:dyDescent="0.3">
      <c r="A1918" s="39">
        <v>46150.392500000002</v>
      </c>
      <c r="B1918" s="32">
        <v>44999670264</v>
      </c>
      <c r="C1918" s="32" t="s">
        <v>44</v>
      </c>
      <c r="D1918" s="32">
        <v>4430265054</v>
      </c>
      <c r="E1918" s="32">
        <v>188</v>
      </c>
      <c r="F1918" s="32">
        <v>152</v>
      </c>
      <c r="G1918" s="32" t="s">
        <v>38</v>
      </c>
      <c r="H1918" s="32" t="s">
        <v>4635</v>
      </c>
      <c r="I1918" s="32" t="s">
        <v>39</v>
      </c>
      <c r="J1918" s="32" t="s">
        <v>40</v>
      </c>
      <c r="K1918" s="32" t="s">
        <v>41</v>
      </c>
    </row>
    <row r="1919" spans="1:11" hidden="1" x14ac:dyDescent="0.3">
      <c r="A1919" s="39">
        <v>46150.391597222224</v>
      </c>
      <c r="B1919" s="32">
        <v>41992013248</v>
      </c>
      <c r="C1919" s="32" t="s">
        <v>43</v>
      </c>
      <c r="D1919" s="32">
        <v>4430265054</v>
      </c>
      <c r="E1919" s="32">
        <v>208</v>
      </c>
      <c r="F1919" s="32">
        <v>151</v>
      </c>
      <c r="G1919" s="32" t="s">
        <v>38</v>
      </c>
      <c r="H1919" s="32" t="s">
        <v>4636</v>
      </c>
      <c r="I1919" s="32" t="s">
        <v>39</v>
      </c>
      <c r="J1919" s="32" t="s">
        <v>40</v>
      </c>
      <c r="K1919" s="32" t="s">
        <v>41</v>
      </c>
    </row>
    <row r="1920" spans="1:11" hidden="1" x14ac:dyDescent="0.3">
      <c r="A1920" s="39">
        <v>46150.38826388889</v>
      </c>
      <c r="B1920" s="32">
        <v>44988067937</v>
      </c>
      <c r="C1920" s="32" t="s">
        <v>37</v>
      </c>
      <c r="D1920" s="32">
        <v>4430265054</v>
      </c>
      <c r="E1920" s="32">
        <v>597</v>
      </c>
      <c r="F1920" s="32">
        <v>542</v>
      </c>
      <c r="G1920" s="32" t="s">
        <v>38</v>
      </c>
      <c r="H1920" s="32" t="s">
        <v>4637</v>
      </c>
      <c r="I1920" s="32" t="s">
        <v>39</v>
      </c>
      <c r="J1920" s="32" t="s">
        <v>40</v>
      </c>
      <c r="K1920" s="32" t="s">
        <v>41</v>
      </c>
    </row>
    <row r="1921" spans="1:12" hidden="1" x14ac:dyDescent="0.3">
      <c r="A1921" s="39">
        <v>46150.384212962963</v>
      </c>
      <c r="B1921" s="32" t="s">
        <v>57</v>
      </c>
      <c r="C1921" s="32">
        <v>44999416670</v>
      </c>
      <c r="E1921" s="32">
        <v>26</v>
      </c>
      <c r="F1921" s="32">
        <v>2</v>
      </c>
      <c r="G1921" s="32" t="s">
        <v>38</v>
      </c>
      <c r="H1921" s="32" t="s">
        <v>4638</v>
      </c>
      <c r="I1921" s="32" t="s">
        <v>46</v>
      </c>
      <c r="J1921" s="32" t="s">
        <v>55</v>
      </c>
    </row>
    <row r="1922" spans="1:12" hidden="1" x14ac:dyDescent="0.3">
      <c r="A1922" s="39">
        <v>46150.384050925924</v>
      </c>
      <c r="B1922" s="32" t="s">
        <v>57</v>
      </c>
      <c r="C1922" s="32">
        <v>4432322101</v>
      </c>
      <c r="E1922" s="32">
        <v>1</v>
      </c>
      <c r="F1922" s="32">
        <v>0</v>
      </c>
      <c r="G1922" s="32" t="s">
        <v>47</v>
      </c>
      <c r="H1922" s="32" t="s">
        <v>4639</v>
      </c>
      <c r="I1922" s="32" t="s">
        <v>46</v>
      </c>
      <c r="J1922" s="32" t="s">
        <v>55</v>
      </c>
    </row>
    <row r="1923" spans="1:12" hidden="1" x14ac:dyDescent="0.3">
      <c r="A1923" s="39">
        <v>46150.382581018515</v>
      </c>
      <c r="B1923" s="32" t="s">
        <v>57</v>
      </c>
      <c r="C1923" s="32">
        <v>44999976008</v>
      </c>
      <c r="E1923" s="32">
        <v>12</v>
      </c>
      <c r="F1923" s="32">
        <v>7</v>
      </c>
      <c r="G1923" s="32" t="s">
        <v>38</v>
      </c>
      <c r="H1923" s="32" t="s">
        <v>4640</v>
      </c>
      <c r="I1923" s="32" t="s">
        <v>46</v>
      </c>
      <c r="J1923" s="32" t="s">
        <v>55</v>
      </c>
    </row>
    <row r="1924" spans="1:12" hidden="1" x14ac:dyDescent="0.3">
      <c r="A1924" s="39">
        <v>46150.382430555554</v>
      </c>
      <c r="B1924" s="32" t="s">
        <v>57</v>
      </c>
      <c r="C1924" s="32">
        <v>4432651415</v>
      </c>
      <c r="E1924" s="32">
        <v>1</v>
      </c>
      <c r="F1924" s="32">
        <v>0</v>
      </c>
      <c r="G1924" s="32" t="s">
        <v>47</v>
      </c>
      <c r="H1924" s="32" t="s">
        <v>4641</v>
      </c>
      <c r="I1924" s="32" t="s">
        <v>46</v>
      </c>
      <c r="J1924" s="32" t="s">
        <v>55</v>
      </c>
    </row>
    <row r="1925" spans="1:12" hidden="1" x14ac:dyDescent="0.3">
      <c r="A1925" s="39">
        <v>46150.380185185182</v>
      </c>
      <c r="B1925" s="32">
        <v>4430284942</v>
      </c>
      <c r="C1925" s="32" t="s">
        <v>45</v>
      </c>
      <c r="D1925" s="32">
        <v>4430265054</v>
      </c>
      <c r="E1925" s="32">
        <v>103</v>
      </c>
      <c r="F1925" s="32">
        <v>35</v>
      </c>
      <c r="G1925" s="32" t="s">
        <v>38</v>
      </c>
      <c r="H1925" s="32" t="s">
        <v>4642</v>
      </c>
      <c r="I1925" s="32" t="s">
        <v>39</v>
      </c>
      <c r="J1925" s="32" t="s">
        <v>40</v>
      </c>
      <c r="K1925" s="32" t="s">
        <v>41</v>
      </c>
    </row>
    <row r="1926" spans="1:12" hidden="1" x14ac:dyDescent="0.3">
      <c r="A1926" s="39">
        <v>46150.37537037037</v>
      </c>
      <c r="B1926" s="32">
        <v>77999014770</v>
      </c>
      <c r="C1926" s="32" t="s">
        <v>45</v>
      </c>
      <c r="D1926" s="32">
        <v>4430265054</v>
      </c>
      <c r="E1926" s="32">
        <v>383</v>
      </c>
      <c r="F1926" s="32">
        <v>351</v>
      </c>
      <c r="G1926" s="32" t="s">
        <v>38</v>
      </c>
      <c r="H1926" s="32" t="s">
        <v>4643</v>
      </c>
      <c r="I1926" s="32" t="s">
        <v>39</v>
      </c>
      <c r="J1926" s="32" t="s">
        <v>40</v>
      </c>
      <c r="K1926" s="32" t="s">
        <v>41</v>
      </c>
    </row>
    <row r="1927" spans="1:12" hidden="1" x14ac:dyDescent="0.3">
      <c r="A1927" s="39">
        <v>46150.373368055552</v>
      </c>
      <c r="B1927" s="32">
        <v>4430162384</v>
      </c>
      <c r="C1927" s="32" t="s">
        <v>43</v>
      </c>
      <c r="D1927" s="32">
        <v>4430265054</v>
      </c>
      <c r="E1927" s="32">
        <v>445</v>
      </c>
      <c r="F1927" s="32">
        <v>408</v>
      </c>
      <c r="G1927" s="32" t="s">
        <v>38</v>
      </c>
      <c r="H1927" s="32" t="s">
        <v>4644</v>
      </c>
      <c r="I1927" s="32" t="s">
        <v>39</v>
      </c>
      <c r="J1927" s="32" t="s">
        <v>40</v>
      </c>
      <c r="K1927" s="32" t="s">
        <v>41</v>
      </c>
    </row>
    <row r="1928" spans="1:12" hidden="1" x14ac:dyDescent="0.3">
      <c r="A1928" s="39">
        <v>46150.362384259257</v>
      </c>
      <c r="B1928" s="32">
        <v>4430468254</v>
      </c>
      <c r="C1928" s="32" t="s">
        <v>44</v>
      </c>
      <c r="D1928" s="32">
        <v>4430265054</v>
      </c>
      <c r="E1928" s="32">
        <v>412</v>
      </c>
      <c r="F1928" s="32">
        <v>376</v>
      </c>
      <c r="G1928" s="32" t="s">
        <v>38</v>
      </c>
      <c r="H1928" s="32" t="s">
        <v>4645</v>
      </c>
      <c r="I1928" s="32" t="s">
        <v>39</v>
      </c>
      <c r="J1928" s="32" t="s">
        <v>40</v>
      </c>
      <c r="K1928" s="32" t="s">
        <v>41</v>
      </c>
      <c r="L1928" s="32">
        <v>5</v>
      </c>
    </row>
    <row r="1929" spans="1:12" hidden="1" x14ac:dyDescent="0.3">
      <c r="A1929" s="39">
        <v>46150.355636574073</v>
      </c>
      <c r="B1929" s="32">
        <v>4430468254</v>
      </c>
      <c r="C1929" s="32">
        <v>4430265054</v>
      </c>
      <c r="D1929" s="32">
        <v>4430265054</v>
      </c>
      <c r="E1929" s="32">
        <v>19</v>
      </c>
      <c r="F1929" s="32">
        <v>18</v>
      </c>
      <c r="G1929" s="32" t="s">
        <v>52</v>
      </c>
      <c r="H1929" s="32" t="s">
        <v>4646</v>
      </c>
      <c r="I1929" s="32" t="s">
        <v>39</v>
      </c>
      <c r="J1929" s="32" t="s">
        <v>53</v>
      </c>
    </row>
    <row r="1930" spans="1:12" hidden="1" x14ac:dyDescent="0.3">
      <c r="A1930" s="39">
        <v>46150.354814814818</v>
      </c>
      <c r="B1930" s="32">
        <v>44999497001</v>
      </c>
      <c r="C1930" s="32" t="s">
        <v>44</v>
      </c>
      <c r="D1930" s="32">
        <v>4430265054</v>
      </c>
      <c r="E1930" s="32">
        <v>404</v>
      </c>
      <c r="F1930" s="32">
        <v>347</v>
      </c>
      <c r="G1930" s="32" t="s">
        <v>38</v>
      </c>
      <c r="H1930" s="32" t="s">
        <v>4647</v>
      </c>
      <c r="I1930" s="32" t="s">
        <v>39</v>
      </c>
      <c r="J1930" s="32" t="s">
        <v>40</v>
      </c>
      <c r="K1930" s="32" t="s">
        <v>41</v>
      </c>
    </row>
    <row r="1931" spans="1:12" hidden="1" x14ac:dyDescent="0.3">
      <c r="A1931" s="39">
        <v>46150.351041666669</v>
      </c>
      <c r="B1931" s="32">
        <v>4430468254</v>
      </c>
      <c r="C1931" s="32">
        <v>4430265054</v>
      </c>
      <c r="D1931" s="32">
        <v>4430265054</v>
      </c>
      <c r="E1931" s="32">
        <v>9</v>
      </c>
      <c r="F1931" s="32">
        <v>8</v>
      </c>
      <c r="G1931" s="32" t="s">
        <v>52</v>
      </c>
      <c r="H1931" s="32" t="s">
        <v>4648</v>
      </c>
      <c r="I1931" s="32" t="s">
        <v>39</v>
      </c>
      <c r="J1931" s="32" t="s">
        <v>53</v>
      </c>
    </row>
    <row r="1932" spans="1:12" hidden="1" x14ac:dyDescent="0.3">
      <c r="A1932" s="39">
        <v>46150.349444444444</v>
      </c>
      <c r="B1932" s="32">
        <v>4430468254</v>
      </c>
      <c r="C1932" s="32">
        <v>4430265054</v>
      </c>
      <c r="D1932" s="32">
        <v>4430265054</v>
      </c>
      <c r="E1932" s="32">
        <v>29</v>
      </c>
      <c r="F1932" s="32">
        <v>29</v>
      </c>
      <c r="G1932" s="32" t="s">
        <v>52</v>
      </c>
      <c r="H1932" s="32" t="s">
        <v>4649</v>
      </c>
      <c r="I1932" s="32" t="s">
        <v>39</v>
      </c>
      <c r="J1932" s="32" t="s">
        <v>53</v>
      </c>
    </row>
    <row r="1933" spans="1:12" hidden="1" x14ac:dyDescent="0.3">
      <c r="A1933" s="39">
        <v>46150.343240740738</v>
      </c>
      <c r="B1933" s="32">
        <v>44999670264</v>
      </c>
      <c r="C1933" s="32">
        <v>4430265054</v>
      </c>
      <c r="D1933" s="32">
        <v>4430265054</v>
      </c>
      <c r="E1933" s="32">
        <v>13</v>
      </c>
      <c r="F1933" s="32">
        <v>13</v>
      </c>
      <c r="G1933" s="32" t="s">
        <v>52</v>
      </c>
      <c r="H1933" s="32" t="s">
        <v>4650</v>
      </c>
      <c r="I1933" s="32" t="s">
        <v>39</v>
      </c>
      <c r="J1933" s="32" t="s">
        <v>53</v>
      </c>
    </row>
    <row r="1934" spans="1:12" hidden="1" x14ac:dyDescent="0.3">
      <c r="A1934" s="39">
        <v>46150.341851851852</v>
      </c>
      <c r="B1934" s="32">
        <v>44999931196</v>
      </c>
      <c r="C1934" s="32">
        <v>4430265054</v>
      </c>
      <c r="D1934" s="32">
        <v>4430265054</v>
      </c>
      <c r="E1934" s="32">
        <v>8</v>
      </c>
      <c r="F1934" s="32">
        <v>7</v>
      </c>
      <c r="G1934" s="32" t="s">
        <v>52</v>
      </c>
      <c r="H1934" s="32" t="s">
        <v>4651</v>
      </c>
      <c r="I1934" s="32" t="s">
        <v>39</v>
      </c>
      <c r="J1934" s="32" t="s">
        <v>53</v>
      </c>
    </row>
    <row r="1935" spans="1:12" hidden="1" x14ac:dyDescent="0.3">
      <c r="A1935" s="39">
        <v>46150.335428240738</v>
      </c>
      <c r="B1935" s="32">
        <v>44999053206</v>
      </c>
      <c r="C1935" s="32">
        <v>4430265054</v>
      </c>
      <c r="D1935" s="32">
        <v>4430265054</v>
      </c>
      <c r="E1935" s="32">
        <v>8</v>
      </c>
      <c r="F1935" s="32">
        <v>8</v>
      </c>
      <c r="G1935" s="32" t="s">
        <v>52</v>
      </c>
      <c r="H1935" s="32" t="s">
        <v>4652</v>
      </c>
      <c r="I1935" s="32" t="s">
        <v>39</v>
      </c>
      <c r="J1935" s="32" t="s">
        <v>53</v>
      </c>
    </row>
    <row r="1936" spans="1:12" hidden="1" x14ac:dyDescent="0.3">
      <c r="A1936" s="39">
        <v>46149.747685185182</v>
      </c>
      <c r="B1936" s="32">
        <v>1120504310</v>
      </c>
      <c r="C1936" s="32">
        <v>4430265054</v>
      </c>
      <c r="D1936" s="32">
        <v>4430265054</v>
      </c>
      <c r="E1936" s="32">
        <v>20</v>
      </c>
      <c r="F1936" s="32">
        <v>19</v>
      </c>
      <c r="G1936" s="32" t="s">
        <v>52</v>
      </c>
      <c r="H1936" s="32" t="s">
        <v>4653</v>
      </c>
      <c r="I1936" s="32" t="s">
        <v>39</v>
      </c>
      <c r="J1936" s="32" t="s">
        <v>53</v>
      </c>
    </row>
    <row r="1937" spans="1:12" hidden="1" x14ac:dyDescent="0.3">
      <c r="A1937" s="39">
        <v>46149.741990740738</v>
      </c>
      <c r="B1937" s="32" t="s">
        <v>37</v>
      </c>
      <c r="C1937" s="32">
        <v>44998581219</v>
      </c>
      <c r="E1937" s="32">
        <v>339</v>
      </c>
      <c r="F1937" s="32">
        <v>324</v>
      </c>
      <c r="G1937" s="32" t="s">
        <v>38</v>
      </c>
      <c r="H1937" s="32" t="s">
        <v>4654</v>
      </c>
      <c r="I1937" s="32" t="s">
        <v>46</v>
      </c>
      <c r="J1937" s="32" t="s">
        <v>40</v>
      </c>
      <c r="L1937" s="32">
        <v>5</v>
      </c>
    </row>
    <row r="1938" spans="1:12" hidden="1" x14ac:dyDescent="0.3">
      <c r="A1938" s="39">
        <v>46149.738530092596</v>
      </c>
      <c r="B1938" s="32">
        <v>44988255390</v>
      </c>
      <c r="C1938" s="32" t="s">
        <v>43</v>
      </c>
      <c r="D1938" s="32">
        <v>4430265054</v>
      </c>
      <c r="E1938" s="32">
        <v>596</v>
      </c>
      <c r="F1938" s="32">
        <v>558</v>
      </c>
      <c r="G1938" s="32" t="s">
        <v>38</v>
      </c>
      <c r="H1938" s="32" t="s">
        <v>4655</v>
      </c>
      <c r="I1938" s="32" t="s">
        <v>39</v>
      </c>
      <c r="J1938" s="32" t="s">
        <v>40</v>
      </c>
      <c r="K1938" s="32" t="s">
        <v>41</v>
      </c>
    </row>
    <row r="1939" spans="1:12" hidden="1" x14ac:dyDescent="0.3">
      <c r="A1939" s="39">
        <v>46149.736261574071</v>
      </c>
      <c r="B1939" s="32" t="s">
        <v>54</v>
      </c>
      <c r="C1939" s="32">
        <v>27997833345</v>
      </c>
      <c r="E1939" s="32">
        <v>21</v>
      </c>
      <c r="F1939" s="32">
        <v>0</v>
      </c>
      <c r="G1939" s="32" t="s">
        <v>47</v>
      </c>
      <c r="H1939" s="32" t="s">
        <v>4656</v>
      </c>
      <c r="I1939" s="32" t="s">
        <v>46</v>
      </c>
      <c r="J1939" s="32" t="s">
        <v>55</v>
      </c>
    </row>
    <row r="1940" spans="1:12" hidden="1" x14ac:dyDescent="0.3">
      <c r="A1940" s="39">
        <v>46149.735775462963</v>
      </c>
      <c r="B1940" s="32" t="s">
        <v>54</v>
      </c>
      <c r="C1940" s="32">
        <v>67999773622</v>
      </c>
      <c r="E1940" s="32">
        <v>6</v>
      </c>
      <c r="F1940" s="32">
        <v>2</v>
      </c>
      <c r="G1940" s="32" t="s">
        <v>38</v>
      </c>
      <c r="H1940" s="32" t="s">
        <v>4657</v>
      </c>
      <c r="I1940" s="32" t="s">
        <v>46</v>
      </c>
      <c r="J1940" s="32" t="s">
        <v>55</v>
      </c>
    </row>
    <row r="1941" spans="1:12" hidden="1" x14ac:dyDescent="0.3">
      <c r="A1941" s="39">
        <v>46149.734351851854</v>
      </c>
      <c r="B1941" s="32" t="s">
        <v>54</v>
      </c>
      <c r="C1941" s="32">
        <v>1123569877</v>
      </c>
      <c r="E1941" s="32">
        <v>22</v>
      </c>
      <c r="F1941" s="32">
        <v>0</v>
      </c>
      <c r="G1941" s="32" t="s">
        <v>47</v>
      </c>
      <c r="H1941" s="32" t="s">
        <v>4658</v>
      </c>
      <c r="I1941" s="32" t="s">
        <v>46</v>
      </c>
      <c r="J1941" s="32" t="s">
        <v>55</v>
      </c>
    </row>
    <row r="1942" spans="1:12" hidden="1" x14ac:dyDescent="0.3">
      <c r="A1942" s="39">
        <v>46149.733703703707</v>
      </c>
      <c r="B1942" s="32">
        <v>4430468268</v>
      </c>
      <c r="C1942" s="32" t="s">
        <v>43</v>
      </c>
      <c r="D1942" s="32">
        <v>4430265054</v>
      </c>
      <c r="E1942" s="32">
        <v>201</v>
      </c>
      <c r="F1942" s="32">
        <v>176</v>
      </c>
      <c r="G1942" s="32" t="s">
        <v>38</v>
      </c>
      <c r="H1942" s="32" t="s">
        <v>4659</v>
      </c>
      <c r="I1942" s="32" t="s">
        <v>39</v>
      </c>
      <c r="J1942" s="32" t="s">
        <v>40</v>
      </c>
      <c r="K1942" s="32" t="s">
        <v>41</v>
      </c>
      <c r="L1942" s="32">
        <v>5</v>
      </c>
    </row>
    <row r="1943" spans="1:12" hidden="1" x14ac:dyDescent="0.3">
      <c r="A1943" s="39">
        <v>46149.73164351852</v>
      </c>
      <c r="B1943" s="32" t="s">
        <v>54</v>
      </c>
      <c r="C1943" s="32">
        <v>31972002021</v>
      </c>
      <c r="E1943" s="32">
        <v>13</v>
      </c>
      <c r="F1943" s="32">
        <v>1</v>
      </c>
      <c r="G1943" s="32" t="s">
        <v>38</v>
      </c>
      <c r="H1943" s="32" t="s">
        <v>4660</v>
      </c>
      <c r="I1943" s="32" t="s">
        <v>46</v>
      </c>
      <c r="J1943" s="32" t="s">
        <v>55</v>
      </c>
    </row>
    <row r="1944" spans="1:12" hidden="1" x14ac:dyDescent="0.3">
      <c r="A1944" s="39">
        <v>46149.730706018519</v>
      </c>
      <c r="B1944" s="32" t="s">
        <v>54</v>
      </c>
      <c r="C1944" s="32">
        <v>11989984220</v>
      </c>
      <c r="E1944" s="32">
        <v>28</v>
      </c>
      <c r="F1944" s="32">
        <v>0</v>
      </c>
      <c r="G1944" s="32" t="s">
        <v>47</v>
      </c>
      <c r="H1944" s="32" t="s">
        <v>4661</v>
      </c>
      <c r="I1944" s="32" t="s">
        <v>46</v>
      </c>
      <c r="J1944" s="32" t="s">
        <v>55</v>
      </c>
    </row>
    <row r="1945" spans="1:12" hidden="1" x14ac:dyDescent="0.3">
      <c r="A1945" s="39">
        <v>46149.730092592596</v>
      </c>
      <c r="B1945" s="32" t="s">
        <v>54</v>
      </c>
      <c r="C1945" s="32">
        <v>2126884415</v>
      </c>
      <c r="E1945" s="32">
        <v>10</v>
      </c>
      <c r="F1945" s="32">
        <v>0</v>
      </c>
      <c r="G1945" s="32" t="s">
        <v>47</v>
      </c>
      <c r="H1945" s="32" t="s">
        <v>4662</v>
      </c>
      <c r="I1945" s="32" t="s">
        <v>46</v>
      </c>
      <c r="J1945" s="32" t="s">
        <v>55</v>
      </c>
    </row>
    <row r="1946" spans="1:12" hidden="1" x14ac:dyDescent="0.3">
      <c r="A1946" s="39">
        <v>46149.729351851849</v>
      </c>
      <c r="B1946" s="32" t="s">
        <v>54</v>
      </c>
      <c r="C1946" s="32">
        <v>88992318402</v>
      </c>
      <c r="E1946" s="32">
        <v>6</v>
      </c>
      <c r="F1946" s="32">
        <v>2</v>
      </c>
      <c r="G1946" s="32" t="s">
        <v>38</v>
      </c>
      <c r="H1946" s="32" t="s">
        <v>4663</v>
      </c>
      <c r="I1946" s="32" t="s">
        <v>46</v>
      </c>
      <c r="J1946" s="32" t="s">
        <v>55</v>
      </c>
    </row>
    <row r="1947" spans="1:12" hidden="1" x14ac:dyDescent="0.3">
      <c r="A1947" s="39">
        <v>46149.727407407408</v>
      </c>
      <c r="B1947" s="32">
        <v>44998581219</v>
      </c>
      <c r="C1947" s="32" t="s">
        <v>43</v>
      </c>
      <c r="D1947" s="32">
        <v>4430265054</v>
      </c>
      <c r="E1947" s="32">
        <v>114</v>
      </c>
      <c r="F1947" s="32">
        <v>56</v>
      </c>
      <c r="G1947" s="32" t="s">
        <v>38</v>
      </c>
      <c r="H1947" s="32" t="s">
        <v>4664</v>
      </c>
      <c r="I1947" s="32" t="s">
        <v>39</v>
      </c>
      <c r="J1947" s="32" t="s">
        <v>40</v>
      </c>
      <c r="K1947" s="32" t="s">
        <v>41</v>
      </c>
    </row>
    <row r="1948" spans="1:12" hidden="1" x14ac:dyDescent="0.3">
      <c r="A1948" s="39">
        <v>46149.727326388886</v>
      </c>
      <c r="B1948" s="32">
        <v>44988067937</v>
      </c>
      <c r="C1948" s="32" t="s">
        <v>45</v>
      </c>
      <c r="D1948" s="32">
        <v>4430265054</v>
      </c>
      <c r="E1948" s="32">
        <v>893</v>
      </c>
      <c r="F1948" s="32">
        <v>852</v>
      </c>
      <c r="G1948" s="32" t="s">
        <v>38</v>
      </c>
      <c r="H1948" s="32" t="s">
        <v>4665</v>
      </c>
      <c r="I1948" s="32" t="s">
        <v>39</v>
      </c>
      <c r="J1948" s="32" t="s">
        <v>40</v>
      </c>
      <c r="K1948" s="32" t="s">
        <v>41</v>
      </c>
    </row>
    <row r="1949" spans="1:12" hidden="1" x14ac:dyDescent="0.3">
      <c r="A1949" s="39">
        <v>46149.726736111108</v>
      </c>
      <c r="B1949" s="32">
        <v>44998581219</v>
      </c>
      <c r="C1949" s="32">
        <v>4430265054</v>
      </c>
      <c r="D1949" s="32">
        <v>4430265054</v>
      </c>
      <c r="E1949" s="32">
        <v>24</v>
      </c>
      <c r="F1949" s="32">
        <v>23</v>
      </c>
      <c r="G1949" s="32" t="s">
        <v>52</v>
      </c>
      <c r="H1949" s="32" t="s">
        <v>4666</v>
      </c>
      <c r="I1949" s="32" t="s">
        <v>39</v>
      </c>
      <c r="J1949" s="32" t="s">
        <v>53</v>
      </c>
      <c r="K1949" s="32" t="s">
        <v>41</v>
      </c>
    </row>
    <row r="1950" spans="1:12" hidden="1" x14ac:dyDescent="0.3">
      <c r="A1950" s="39">
        <v>46149.725960648146</v>
      </c>
      <c r="B1950" s="32">
        <v>44999670264</v>
      </c>
      <c r="C1950" s="32" t="s">
        <v>37</v>
      </c>
      <c r="D1950" s="32">
        <v>4430265054</v>
      </c>
      <c r="E1950" s="32">
        <v>1161</v>
      </c>
      <c r="F1950" s="32">
        <v>1076</v>
      </c>
      <c r="G1950" s="32" t="s">
        <v>38</v>
      </c>
      <c r="H1950" s="32" t="s">
        <v>4667</v>
      </c>
      <c r="I1950" s="32" t="s">
        <v>39</v>
      </c>
      <c r="J1950" s="32" t="s">
        <v>40</v>
      </c>
      <c r="K1950" s="32" t="s">
        <v>41</v>
      </c>
    </row>
    <row r="1951" spans="1:12" hidden="1" x14ac:dyDescent="0.3">
      <c r="A1951" s="39">
        <v>46149.724317129629</v>
      </c>
      <c r="B1951" s="32" t="s">
        <v>54</v>
      </c>
      <c r="C1951" s="32">
        <v>67991050596</v>
      </c>
      <c r="E1951" s="32">
        <v>13</v>
      </c>
      <c r="F1951" s="32">
        <v>7</v>
      </c>
      <c r="G1951" s="32" t="s">
        <v>38</v>
      </c>
      <c r="H1951" s="32" t="s">
        <v>4668</v>
      </c>
      <c r="I1951" s="32" t="s">
        <v>46</v>
      </c>
      <c r="J1951" s="32" t="s">
        <v>55</v>
      </c>
    </row>
    <row r="1952" spans="1:12" hidden="1" x14ac:dyDescent="0.3">
      <c r="A1952" s="39">
        <v>46149.72246527778</v>
      </c>
      <c r="B1952" s="32" t="s">
        <v>54</v>
      </c>
      <c r="C1952" s="32">
        <v>15996983731</v>
      </c>
      <c r="E1952" s="32">
        <v>11</v>
      </c>
      <c r="F1952" s="32">
        <v>0</v>
      </c>
      <c r="G1952" s="32" t="s">
        <v>47</v>
      </c>
      <c r="H1952" s="32" t="s">
        <v>4669</v>
      </c>
      <c r="I1952" s="32" t="s">
        <v>46</v>
      </c>
      <c r="J1952" s="32" t="s">
        <v>55</v>
      </c>
    </row>
    <row r="1953" spans="1:13" hidden="1" x14ac:dyDescent="0.3">
      <c r="A1953" s="39">
        <v>46149.720416666663</v>
      </c>
      <c r="B1953" s="32">
        <v>44984198651</v>
      </c>
      <c r="C1953" s="32" t="s">
        <v>37</v>
      </c>
      <c r="D1953" s="32">
        <v>4430265054</v>
      </c>
      <c r="E1953" s="32">
        <v>392</v>
      </c>
      <c r="F1953" s="32">
        <v>378</v>
      </c>
      <c r="G1953" s="32" t="s">
        <v>38</v>
      </c>
      <c r="H1953" s="32" t="s">
        <v>4670</v>
      </c>
      <c r="I1953" s="32" t="s">
        <v>39</v>
      </c>
      <c r="J1953" s="32" t="s">
        <v>40</v>
      </c>
      <c r="K1953" s="32" t="s">
        <v>41</v>
      </c>
    </row>
    <row r="1954" spans="1:13" hidden="1" x14ac:dyDescent="0.3">
      <c r="A1954" s="39">
        <v>46149.720370370371</v>
      </c>
      <c r="B1954" s="32" t="s">
        <v>54</v>
      </c>
      <c r="C1954" s="32">
        <v>34991047418</v>
      </c>
      <c r="E1954" s="32">
        <v>17</v>
      </c>
      <c r="F1954" s="32">
        <v>0</v>
      </c>
      <c r="G1954" s="32" t="s">
        <v>47</v>
      </c>
      <c r="H1954" s="32" t="s">
        <v>4671</v>
      </c>
      <c r="I1954" s="32" t="s">
        <v>46</v>
      </c>
      <c r="J1954" s="32" t="s">
        <v>55</v>
      </c>
    </row>
    <row r="1955" spans="1:13" hidden="1" x14ac:dyDescent="0.3">
      <c r="A1955" s="39">
        <v>46149.719641203701</v>
      </c>
      <c r="B1955" s="32">
        <v>44984198651</v>
      </c>
      <c r="C1955" s="32" t="s">
        <v>37</v>
      </c>
      <c r="D1955" s="32">
        <v>4430265054</v>
      </c>
      <c r="E1955" s="32">
        <v>60</v>
      </c>
      <c r="F1955" s="32">
        <v>13</v>
      </c>
      <c r="G1955" s="32" t="s">
        <v>38</v>
      </c>
      <c r="H1955" s="32" t="s">
        <v>4672</v>
      </c>
      <c r="I1955" s="32" t="s">
        <v>39</v>
      </c>
      <c r="J1955" s="32" t="s">
        <v>40</v>
      </c>
      <c r="K1955" s="32" t="s">
        <v>41</v>
      </c>
    </row>
    <row r="1956" spans="1:13" hidden="1" x14ac:dyDescent="0.3">
      <c r="A1956" s="39">
        <v>46149.712500000001</v>
      </c>
      <c r="B1956" s="32">
        <v>44988255390</v>
      </c>
      <c r="C1956" s="32" t="s">
        <v>45</v>
      </c>
      <c r="D1956" s="32">
        <v>4430265054</v>
      </c>
      <c r="E1956" s="32">
        <v>903</v>
      </c>
      <c r="F1956" s="32">
        <v>860</v>
      </c>
      <c r="G1956" s="32" t="s">
        <v>38</v>
      </c>
      <c r="H1956" s="32" t="s">
        <v>4673</v>
      </c>
      <c r="I1956" s="32" t="s">
        <v>39</v>
      </c>
      <c r="J1956" s="32" t="s">
        <v>40</v>
      </c>
      <c r="K1956" s="32" t="s">
        <v>41</v>
      </c>
    </row>
    <row r="1957" spans="1:13" hidden="1" x14ac:dyDescent="0.3">
      <c r="A1957" s="39">
        <v>46149.707939814813</v>
      </c>
      <c r="B1957" s="32">
        <v>4430457886</v>
      </c>
      <c r="C1957" s="32" t="s">
        <v>43</v>
      </c>
      <c r="D1957" s="32">
        <v>4430265054</v>
      </c>
      <c r="E1957" s="32">
        <v>630</v>
      </c>
      <c r="F1957" s="32">
        <v>601</v>
      </c>
      <c r="G1957" s="32" t="s">
        <v>38</v>
      </c>
      <c r="H1957" s="32" t="s">
        <v>4674</v>
      </c>
      <c r="I1957" s="32" t="s">
        <v>39</v>
      </c>
      <c r="J1957" s="32" t="s">
        <v>40</v>
      </c>
      <c r="K1957" s="32" t="s">
        <v>41</v>
      </c>
    </row>
    <row r="1958" spans="1:13" hidden="1" x14ac:dyDescent="0.3">
      <c r="A1958" s="39">
        <v>46149.704328703701</v>
      </c>
      <c r="B1958" s="32">
        <v>44988182098</v>
      </c>
      <c r="C1958" s="32" t="s">
        <v>44</v>
      </c>
      <c r="D1958" s="32">
        <v>4430265054</v>
      </c>
      <c r="E1958" s="32">
        <v>1980</v>
      </c>
      <c r="F1958" s="32">
        <v>1904</v>
      </c>
      <c r="G1958" s="32" t="s">
        <v>38</v>
      </c>
      <c r="H1958" s="32" t="s">
        <v>4675</v>
      </c>
      <c r="I1958" s="32" t="s">
        <v>39</v>
      </c>
      <c r="J1958" s="32" t="s">
        <v>40</v>
      </c>
      <c r="K1958" s="32" t="s">
        <v>41</v>
      </c>
    </row>
    <row r="1959" spans="1:13" hidden="1" x14ac:dyDescent="0.3">
      <c r="A1959" s="39">
        <v>46149.702824074076</v>
      </c>
      <c r="B1959" s="32">
        <v>44998581219</v>
      </c>
      <c r="C1959" s="32" t="s">
        <v>37</v>
      </c>
      <c r="D1959" s="32">
        <v>4430265054</v>
      </c>
      <c r="E1959" s="32">
        <v>377</v>
      </c>
      <c r="F1959" s="32">
        <v>304</v>
      </c>
      <c r="G1959" s="32" t="s">
        <v>38</v>
      </c>
      <c r="H1959" s="32" t="s">
        <v>4676</v>
      </c>
      <c r="I1959" s="32" t="s">
        <v>39</v>
      </c>
      <c r="J1959" s="32" t="s">
        <v>40</v>
      </c>
      <c r="K1959" s="32" t="s">
        <v>41</v>
      </c>
    </row>
    <row r="1960" spans="1:13" hidden="1" x14ac:dyDescent="0.3">
      <c r="A1960" s="39">
        <v>46149.700856481482</v>
      </c>
      <c r="B1960" s="32">
        <v>44998640313</v>
      </c>
      <c r="C1960" s="32" t="s">
        <v>45</v>
      </c>
      <c r="D1960" s="32">
        <v>4430265054</v>
      </c>
      <c r="E1960" s="32">
        <v>611</v>
      </c>
      <c r="F1960" s="32">
        <v>480</v>
      </c>
      <c r="G1960" s="32" t="s">
        <v>38</v>
      </c>
      <c r="H1960" s="32" t="s">
        <v>4677</v>
      </c>
      <c r="I1960" s="32" t="s">
        <v>39</v>
      </c>
      <c r="J1960" s="32" t="s">
        <v>40</v>
      </c>
      <c r="K1960" s="32" t="s">
        <v>41</v>
      </c>
    </row>
    <row r="1961" spans="1:13" hidden="1" x14ac:dyDescent="0.3">
      <c r="A1961" s="39">
        <v>46149.693680555552</v>
      </c>
      <c r="B1961" s="32" t="s">
        <v>54</v>
      </c>
      <c r="C1961" s="32">
        <v>11958994973</v>
      </c>
      <c r="E1961" s="32">
        <v>21</v>
      </c>
      <c r="F1961" s="32">
        <v>8</v>
      </c>
      <c r="G1961" s="32" t="s">
        <v>38</v>
      </c>
      <c r="H1961" s="32" t="s">
        <v>4678</v>
      </c>
      <c r="I1961" s="32" t="s">
        <v>46</v>
      </c>
      <c r="J1961" s="32" t="s">
        <v>55</v>
      </c>
    </row>
    <row r="1962" spans="1:13" hidden="1" x14ac:dyDescent="0.3">
      <c r="A1962" s="39">
        <v>46149.693032407406</v>
      </c>
      <c r="B1962" s="32" t="s">
        <v>54</v>
      </c>
      <c r="C1962" s="32">
        <v>31973395076</v>
      </c>
      <c r="E1962" s="32">
        <v>23</v>
      </c>
      <c r="F1962" s="32">
        <v>0</v>
      </c>
      <c r="G1962" s="32" t="s">
        <v>47</v>
      </c>
      <c r="H1962" s="32" t="s">
        <v>4679</v>
      </c>
      <c r="I1962" s="32" t="s">
        <v>46</v>
      </c>
      <c r="J1962" s="32" t="s">
        <v>55</v>
      </c>
    </row>
    <row r="1963" spans="1:13" hidden="1" x14ac:dyDescent="0.3">
      <c r="A1963" s="39">
        <v>46149.692986111113</v>
      </c>
      <c r="B1963" s="32">
        <v>4421032920</v>
      </c>
      <c r="C1963" s="32">
        <v>4430265054</v>
      </c>
      <c r="D1963" s="32">
        <v>4430265054</v>
      </c>
      <c r="E1963" s="32">
        <v>2</v>
      </c>
      <c r="F1963" s="32">
        <v>2</v>
      </c>
      <c r="G1963" s="32" t="s">
        <v>52</v>
      </c>
      <c r="H1963" s="32" t="s">
        <v>4680</v>
      </c>
      <c r="I1963" s="32" t="s">
        <v>39</v>
      </c>
      <c r="J1963" s="32" t="s">
        <v>53</v>
      </c>
    </row>
    <row r="1964" spans="1:13" hidden="1" x14ac:dyDescent="0.3">
      <c r="A1964" s="39">
        <v>46149.691932870373</v>
      </c>
      <c r="B1964" s="32">
        <v>41996081809</v>
      </c>
      <c r="C1964" s="32" t="s">
        <v>45</v>
      </c>
      <c r="D1964" s="32">
        <v>4430265054</v>
      </c>
      <c r="E1964" s="32">
        <v>437</v>
      </c>
      <c r="F1964" s="32">
        <v>381</v>
      </c>
      <c r="G1964" s="32" t="s">
        <v>38</v>
      </c>
      <c r="H1964" s="32" t="s">
        <v>4681</v>
      </c>
      <c r="I1964" s="32" t="s">
        <v>39</v>
      </c>
      <c r="J1964" s="32" t="s">
        <v>40</v>
      </c>
      <c r="K1964" s="32" t="s">
        <v>41</v>
      </c>
      <c r="L1964" s="40">
        <v>3</v>
      </c>
      <c r="M1964" s="34" t="s">
        <v>5406</v>
      </c>
    </row>
    <row r="1965" spans="1:13" hidden="1" x14ac:dyDescent="0.3">
      <c r="A1965" s="39">
        <v>46149.691631944443</v>
      </c>
      <c r="B1965" s="32" t="s">
        <v>54</v>
      </c>
      <c r="C1965" s="32">
        <v>61999814490</v>
      </c>
      <c r="E1965" s="32">
        <v>12</v>
      </c>
      <c r="F1965" s="32">
        <v>6</v>
      </c>
      <c r="G1965" s="32" t="s">
        <v>38</v>
      </c>
      <c r="H1965" s="32" t="s">
        <v>4682</v>
      </c>
      <c r="I1965" s="32" t="s">
        <v>46</v>
      </c>
      <c r="J1965" s="32" t="s">
        <v>55</v>
      </c>
    </row>
    <row r="1966" spans="1:13" hidden="1" x14ac:dyDescent="0.3">
      <c r="A1966" s="39">
        <v>46149.688703703701</v>
      </c>
      <c r="B1966" s="32" t="s">
        <v>54</v>
      </c>
      <c r="C1966" s="32">
        <v>61996337606</v>
      </c>
      <c r="E1966" s="32">
        <v>7</v>
      </c>
      <c r="F1966" s="32">
        <v>0</v>
      </c>
      <c r="G1966" s="32" t="s">
        <v>47</v>
      </c>
      <c r="H1966" s="32" t="s">
        <v>4683</v>
      </c>
      <c r="I1966" s="32" t="s">
        <v>46</v>
      </c>
      <c r="J1966" s="32" t="s">
        <v>55</v>
      </c>
    </row>
    <row r="1967" spans="1:13" hidden="1" x14ac:dyDescent="0.3">
      <c r="A1967" s="39">
        <v>46149.683645833335</v>
      </c>
      <c r="B1967" s="32">
        <v>44988255390</v>
      </c>
      <c r="C1967" s="32" t="s">
        <v>43</v>
      </c>
      <c r="D1967" s="32">
        <v>4430265054</v>
      </c>
      <c r="E1967" s="32">
        <v>1126</v>
      </c>
      <c r="F1967" s="32">
        <v>875</v>
      </c>
      <c r="G1967" s="32" t="s">
        <v>38</v>
      </c>
      <c r="H1967" s="32" t="s">
        <v>4684</v>
      </c>
      <c r="I1967" s="32" t="s">
        <v>39</v>
      </c>
      <c r="J1967" s="32" t="s">
        <v>40</v>
      </c>
      <c r="K1967" s="32" t="s">
        <v>41</v>
      </c>
    </row>
    <row r="1968" spans="1:13" hidden="1" x14ac:dyDescent="0.3">
      <c r="A1968" s="39">
        <v>46149.683483796296</v>
      </c>
      <c r="B1968" s="32">
        <v>4532541996</v>
      </c>
      <c r="C1968" s="32" t="s">
        <v>37</v>
      </c>
      <c r="D1968" s="32">
        <v>4430265054</v>
      </c>
      <c r="E1968" s="32">
        <v>1209</v>
      </c>
      <c r="F1968" s="32">
        <v>1048</v>
      </c>
      <c r="G1968" s="32" t="s">
        <v>38</v>
      </c>
      <c r="H1968" s="32" t="s">
        <v>4685</v>
      </c>
      <c r="I1968" s="32" t="s">
        <v>39</v>
      </c>
      <c r="J1968" s="32" t="s">
        <v>40</v>
      </c>
      <c r="K1968" s="32" t="s">
        <v>41</v>
      </c>
    </row>
    <row r="1969" spans="1:12" hidden="1" x14ac:dyDescent="0.3">
      <c r="A1969" s="39">
        <v>46149.682974537034</v>
      </c>
      <c r="B1969" s="32" t="s">
        <v>54</v>
      </c>
      <c r="C1969" s="32">
        <v>1138738262</v>
      </c>
      <c r="E1969" s="32">
        <v>8</v>
      </c>
      <c r="F1969" s="32">
        <v>3</v>
      </c>
      <c r="G1969" s="32" t="s">
        <v>38</v>
      </c>
      <c r="H1969" s="32" t="s">
        <v>4686</v>
      </c>
      <c r="I1969" s="32" t="s">
        <v>46</v>
      </c>
      <c r="J1969" s="32" t="s">
        <v>55</v>
      </c>
    </row>
    <row r="1970" spans="1:12" hidden="1" x14ac:dyDescent="0.3">
      <c r="A1970" s="39">
        <v>46149.682627314818</v>
      </c>
      <c r="B1970" s="32">
        <v>41987771666</v>
      </c>
      <c r="C1970" s="32" t="s">
        <v>44</v>
      </c>
      <c r="D1970" s="32">
        <v>4430265054</v>
      </c>
      <c r="E1970" s="32">
        <v>1013</v>
      </c>
      <c r="F1970" s="32">
        <v>977</v>
      </c>
      <c r="G1970" s="32" t="s">
        <v>38</v>
      </c>
      <c r="H1970" s="32" t="s">
        <v>4687</v>
      </c>
      <c r="I1970" s="32" t="s">
        <v>39</v>
      </c>
      <c r="J1970" s="32" t="s">
        <v>40</v>
      </c>
      <c r="K1970" s="32" t="s">
        <v>41</v>
      </c>
    </row>
    <row r="1971" spans="1:12" hidden="1" x14ac:dyDescent="0.3">
      <c r="A1971" s="39">
        <v>46149.681956018518</v>
      </c>
      <c r="B1971" s="32" t="s">
        <v>43</v>
      </c>
      <c r="C1971" s="32">
        <v>44999646909</v>
      </c>
      <c r="E1971" s="32">
        <v>368</v>
      </c>
      <c r="F1971" s="32">
        <v>357</v>
      </c>
      <c r="G1971" s="32" t="s">
        <v>38</v>
      </c>
      <c r="H1971" s="32" t="s">
        <v>4688</v>
      </c>
      <c r="I1971" s="32" t="s">
        <v>46</v>
      </c>
      <c r="J1971" s="32" t="s">
        <v>40</v>
      </c>
    </row>
    <row r="1972" spans="1:12" hidden="1" x14ac:dyDescent="0.3">
      <c r="A1972" s="39">
        <v>46149.681886574072</v>
      </c>
      <c r="B1972" s="32" t="s">
        <v>43</v>
      </c>
      <c r="C1972" s="32">
        <v>44999646909</v>
      </c>
      <c r="E1972" s="32">
        <v>5</v>
      </c>
      <c r="F1972" s="32">
        <v>0</v>
      </c>
      <c r="G1972" s="32" t="s">
        <v>47</v>
      </c>
      <c r="H1972" s="32" t="s">
        <v>4689</v>
      </c>
      <c r="I1972" s="32" t="s">
        <v>46</v>
      </c>
      <c r="J1972" s="32" t="s">
        <v>40</v>
      </c>
    </row>
    <row r="1973" spans="1:12" hidden="1" x14ac:dyDescent="0.3">
      <c r="A1973" s="39">
        <v>46149.673460648148</v>
      </c>
      <c r="B1973" s="32" t="s">
        <v>45</v>
      </c>
      <c r="C1973" s="32">
        <v>35997462408</v>
      </c>
      <c r="E1973" s="32">
        <v>1316</v>
      </c>
      <c r="F1973" s="32">
        <v>1309</v>
      </c>
      <c r="G1973" s="32" t="s">
        <v>38</v>
      </c>
      <c r="H1973" s="32" t="s">
        <v>4690</v>
      </c>
      <c r="I1973" s="32" t="s">
        <v>46</v>
      </c>
      <c r="J1973" s="32" t="s">
        <v>40</v>
      </c>
    </row>
    <row r="1974" spans="1:12" hidden="1" x14ac:dyDescent="0.3">
      <c r="A1974" s="39">
        <v>46149.668124999997</v>
      </c>
      <c r="B1974" s="32">
        <v>44988182098</v>
      </c>
      <c r="C1974" s="32" t="s">
        <v>37</v>
      </c>
      <c r="D1974" s="32">
        <v>4430265054</v>
      </c>
      <c r="E1974" s="32">
        <v>1022</v>
      </c>
      <c r="F1974" s="32">
        <v>946</v>
      </c>
      <c r="G1974" s="32" t="s">
        <v>38</v>
      </c>
      <c r="H1974" s="32" t="s">
        <v>4691</v>
      </c>
      <c r="I1974" s="32" t="s">
        <v>39</v>
      </c>
      <c r="J1974" s="32" t="s">
        <v>40</v>
      </c>
      <c r="K1974" s="32" t="s">
        <v>41</v>
      </c>
    </row>
    <row r="1975" spans="1:12" hidden="1" x14ac:dyDescent="0.3">
      <c r="A1975" s="39">
        <v>46149.667962962965</v>
      </c>
      <c r="B1975" s="32">
        <v>44988182098</v>
      </c>
      <c r="C1975" s="32">
        <v>4430265054</v>
      </c>
      <c r="D1975" s="32">
        <v>4430265054</v>
      </c>
      <c r="E1975" s="32">
        <v>11</v>
      </c>
      <c r="F1975" s="32">
        <v>11</v>
      </c>
      <c r="G1975" s="32" t="s">
        <v>52</v>
      </c>
      <c r="H1975" s="32" t="s">
        <v>4692</v>
      </c>
      <c r="I1975" s="32" t="s">
        <v>39</v>
      </c>
      <c r="J1975" s="32" t="s">
        <v>53</v>
      </c>
    </row>
    <row r="1976" spans="1:12" hidden="1" x14ac:dyDescent="0.3">
      <c r="A1976" s="39">
        <v>46149.66673611111</v>
      </c>
      <c r="B1976" s="32">
        <v>4533042020</v>
      </c>
      <c r="C1976" s="32">
        <v>4531273163</v>
      </c>
      <c r="D1976" s="32">
        <v>4531273163</v>
      </c>
      <c r="E1976" s="32">
        <v>8</v>
      </c>
      <c r="F1976" s="32">
        <v>7</v>
      </c>
      <c r="G1976" s="32" t="s">
        <v>52</v>
      </c>
      <c r="H1976" s="32" t="s">
        <v>4693</v>
      </c>
      <c r="I1976" s="32" t="s">
        <v>39</v>
      </c>
      <c r="J1976" s="32" t="s">
        <v>53</v>
      </c>
    </row>
    <row r="1977" spans="1:12" hidden="1" x14ac:dyDescent="0.3">
      <c r="A1977" s="39">
        <v>46149.653078703705</v>
      </c>
      <c r="B1977" s="32">
        <v>1131515685</v>
      </c>
      <c r="C1977" s="32" t="s">
        <v>44</v>
      </c>
      <c r="D1977" s="32">
        <v>4430265054</v>
      </c>
      <c r="E1977" s="32">
        <v>952</v>
      </c>
      <c r="F1977" s="32">
        <v>926</v>
      </c>
      <c r="G1977" s="32" t="s">
        <v>38</v>
      </c>
      <c r="H1977" s="32" t="s">
        <v>4694</v>
      </c>
      <c r="I1977" s="32" t="s">
        <v>39</v>
      </c>
      <c r="J1977" s="32" t="s">
        <v>40</v>
      </c>
      <c r="K1977" s="32" t="s">
        <v>41</v>
      </c>
      <c r="L1977" s="32">
        <v>5</v>
      </c>
    </row>
    <row r="1978" spans="1:12" hidden="1" x14ac:dyDescent="0.3">
      <c r="A1978" s="39">
        <v>46149.64943287037</v>
      </c>
      <c r="B1978" s="32">
        <v>1732146970</v>
      </c>
      <c r="C1978" s="32" t="s">
        <v>48</v>
      </c>
      <c r="D1978" s="32">
        <v>4431268225</v>
      </c>
      <c r="E1978" s="32">
        <v>822</v>
      </c>
      <c r="F1978" s="32">
        <v>822</v>
      </c>
      <c r="G1978" s="32" t="s">
        <v>38</v>
      </c>
      <c r="H1978" s="32" t="s">
        <v>4695</v>
      </c>
      <c r="I1978" s="32" t="s">
        <v>39</v>
      </c>
      <c r="J1978" s="32" t="s">
        <v>40</v>
      </c>
      <c r="K1978" s="32" t="s">
        <v>41</v>
      </c>
    </row>
    <row r="1979" spans="1:12" hidden="1" x14ac:dyDescent="0.3">
      <c r="A1979" s="39">
        <v>46149.647546296299</v>
      </c>
      <c r="B1979" s="32" t="s">
        <v>37</v>
      </c>
      <c r="C1979" s="32">
        <v>44998761561</v>
      </c>
      <c r="E1979" s="32">
        <v>1184</v>
      </c>
      <c r="F1979" s="32">
        <v>1172</v>
      </c>
      <c r="G1979" s="32" t="s">
        <v>38</v>
      </c>
      <c r="H1979" s="32" t="s">
        <v>4696</v>
      </c>
      <c r="I1979" s="32" t="s">
        <v>46</v>
      </c>
      <c r="J1979" s="32" t="s">
        <v>40</v>
      </c>
      <c r="L1979" s="32">
        <v>5</v>
      </c>
    </row>
    <row r="1980" spans="1:12" hidden="1" x14ac:dyDescent="0.3">
      <c r="A1980" s="39">
        <v>46149.647233796299</v>
      </c>
      <c r="B1980" s="32" t="s">
        <v>37</v>
      </c>
      <c r="C1980" s="32">
        <v>44998761561</v>
      </c>
      <c r="E1980" s="32">
        <v>2</v>
      </c>
      <c r="F1980" s="32">
        <v>0</v>
      </c>
      <c r="G1980" s="32" t="s">
        <v>47</v>
      </c>
      <c r="H1980" s="32" t="s">
        <v>4697</v>
      </c>
      <c r="I1980" s="32" t="s">
        <v>46</v>
      </c>
      <c r="J1980" s="32" t="s">
        <v>40</v>
      </c>
    </row>
    <row r="1981" spans="1:12" hidden="1" x14ac:dyDescent="0.3">
      <c r="A1981" s="39">
        <v>46149.647187499999</v>
      </c>
      <c r="B1981" s="32" t="s">
        <v>37</v>
      </c>
      <c r="C1981" s="32">
        <v>44998761561</v>
      </c>
      <c r="E1981" s="32">
        <v>1</v>
      </c>
      <c r="F1981" s="32">
        <v>0</v>
      </c>
      <c r="G1981" s="32" t="s">
        <v>47</v>
      </c>
      <c r="H1981" s="32" t="s">
        <v>4698</v>
      </c>
      <c r="I1981" s="32" t="s">
        <v>46</v>
      </c>
      <c r="J1981" s="32" t="s">
        <v>40</v>
      </c>
    </row>
    <row r="1982" spans="1:12" hidden="1" x14ac:dyDescent="0.3">
      <c r="A1982" s="39">
        <v>46149.647060185183</v>
      </c>
      <c r="B1982" s="32" t="s">
        <v>37</v>
      </c>
      <c r="C1982" s="32">
        <v>44998761561</v>
      </c>
      <c r="E1982" s="32">
        <v>4</v>
      </c>
      <c r="F1982" s="32">
        <v>0</v>
      </c>
      <c r="G1982" s="32" t="s">
        <v>47</v>
      </c>
      <c r="H1982" s="32" t="s">
        <v>4699</v>
      </c>
      <c r="I1982" s="32" t="s">
        <v>46</v>
      </c>
      <c r="J1982" s="32" t="s">
        <v>40</v>
      </c>
    </row>
    <row r="1983" spans="1:12" hidden="1" x14ac:dyDescent="0.3">
      <c r="A1983" s="39">
        <v>46149.646828703706</v>
      </c>
      <c r="B1983" s="32" t="s">
        <v>37</v>
      </c>
      <c r="C1983" s="32">
        <v>44998761561</v>
      </c>
      <c r="E1983" s="32">
        <v>2</v>
      </c>
      <c r="F1983" s="32">
        <v>0</v>
      </c>
      <c r="G1983" s="32" t="s">
        <v>47</v>
      </c>
      <c r="H1983" s="32" t="s">
        <v>4700</v>
      </c>
      <c r="I1983" s="32" t="s">
        <v>46</v>
      </c>
      <c r="J1983" s="32" t="s">
        <v>40</v>
      </c>
    </row>
    <row r="1984" spans="1:12" hidden="1" x14ac:dyDescent="0.3">
      <c r="A1984" s="39">
        <v>46149.646770833337</v>
      </c>
      <c r="B1984" s="32" t="s">
        <v>37</v>
      </c>
      <c r="C1984" s="32">
        <v>44998761561</v>
      </c>
      <c r="E1984" s="32">
        <v>4</v>
      </c>
      <c r="F1984" s="32">
        <v>0</v>
      </c>
      <c r="G1984" s="32" t="s">
        <v>47</v>
      </c>
      <c r="H1984" s="32" t="s">
        <v>4701</v>
      </c>
      <c r="I1984" s="32" t="s">
        <v>46</v>
      </c>
      <c r="J1984" s="32" t="s">
        <v>40</v>
      </c>
    </row>
    <row r="1985" spans="1:12" hidden="1" x14ac:dyDescent="0.3">
      <c r="A1985" s="39">
        <v>46149.646701388891</v>
      </c>
      <c r="B1985" s="32" t="s">
        <v>37</v>
      </c>
      <c r="C1985" s="32">
        <v>44998761561</v>
      </c>
      <c r="E1985" s="32">
        <v>5</v>
      </c>
      <c r="F1985" s="32">
        <v>0</v>
      </c>
      <c r="G1985" s="32" t="s">
        <v>47</v>
      </c>
      <c r="H1985" s="32" t="s">
        <v>4702</v>
      </c>
      <c r="I1985" s="32" t="s">
        <v>46</v>
      </c>
      <c r="J1985" s="32" t="s">
        <v>40</v>
      </c>
    </row>
    <row r="1986" spans="1:12" hidden="1" x14ac:dyDescent="0.3">
      <c r="A1986" s="39">
        <v>46149.641817129632</v>
      </c>
      <c r="B1986" s="32">
        <v>41996081809</v>
      </c>
      <c r="C1986" s="32" t="s">
        <v>43</v>
      </c>
      <c r="D1986" s="32">
        <v>4430265054</v>
      </c>
      <c r="E1986" s="32">
        <v>489</v>
      </c>
      <c r="F1986" s="32">
        <v>464</v>
      </c>
      <c r="G1986" s="32" t="s">
        <v>38</v>
      </c>
      <c r="H1986" s="32" t="s">
        <v>4703</v>
      </c>
      <c r="I1986" s="32" t="s">
        <v>39</v>
      </c>
      <c r="J1986" s="32" t="s">
        <v>40</v>
      </c>
      <c r="K1986" s="32" t="s">
        <v>41</v>
      </c>
      <c r="L1986" s="32">
        <v>5</v>
      </c>
    </row>
    <row r="1987" spans="1:12" hidden="1" x14ac:dyDescent="0.3">
      <c r="A1987" s="39">
        <v>46149.64025462963</v>
      </c>
      <c r="B1987" s="32">
        <v>44998761561</v>
      </c>
      <c r="C1987" s="32" t="s">
        <v>37</v>
      </c>
      <c r="D1987" s="32">
        <v>4430265054</v>
      </c>
      <c r="E1987" s="32">
        <v>517</v>
      </c>
      <c r="F1987" s="32">
        <v>480</v>
      </c>
      <c r="G1987" s="32" t="s">
        <v>38</v>
      </c>
      <c r="H1987" s="32" t="s">
        <v>4704</v>
      </c>
      <c r="I1987" s="32" t="s">
        <v>39</v>
      </c>
      <c r="J1987" s="32" t="s">
        <v>40</v>
      </c>
      <c r="K1987" s="32" t="s">
        <v>41</v>
      </c>
    </row>
    <row r="1988" spans="1:12" hidden="1" x14ac:dyDescent="0.3">
      <c r="A1988" s="39">
        <v>46149.63962962963</v>
      </c>
      <c r="B1988" s="32" t="s">
        <v>48</v>
      </c>
      <c r="C1988" s="32">
        <v>4430256607</v>
      </c>
      <c r="E1988" s="32">
        <v>535</v>
      </c>
      <c r="F1988" s="32">
        <v>521</v>
      </c>
      <c r="G1988" s="32" t="s">
        <v>38</v>
      </c>
      <c r="H1988" s="32" t="s">
        <v>4705</v>
      </c>
      <c r="I1988" s="32" t="s">
        <v>46</v>
      </c>
      <c r="J1988" s="32" t="s">
        <v>40</v>
      </c>
    </row>
    <row r="1989" spans="1:12" hidden="1" x14ac:dyDescent="0.3">
      <c r="A1989" s="39">
        <v>46149.638668981483</v>
      </c>
      <c r="B1989" s="32" t="s">
        <v>45</v>
      </c>
      <c r="C1989" s="32">
        <v>44999654761</v>
      </c>
      <c r="E1989" s="32">
        <v>812</v>
      </c>
      <c r="F1989" s="32">
        <v>801</v>
      </c>
      <c r="G1989" s="32" t="s">
        <v>38</v>
      </c>
      <c r="H1989" s="32" t="s">
        <v>4706</v>
      </c>
      <c r="I1989" s="32" t="s">
        <v>46</v>
      </c>
      <c r="J1989" s="32" t="s">
        <v>40</v>
      </c>
    </row>
    <row r="1990" spans="1:12" hidden="1" x14ac:dyDescent="0.3">
      <c r="A1990" s="39">
        <v>46149.635879629626</v>
      </c>
      <c r="B1990" s="32" t="s">
        <v>45</v>
      </c>
      <c r="C1990" s="32">
        <v>44998860140</v>
      </c>
      <c r="E1990" s="32">
        <v>50</v>
      </c>
      <c r="F1990" s="32">
        <v>39</v>
      </c>
      <c r="G1990" s="32" t="s">
        <v>38</v>
      </c>
      <c r="H1990" s="32" t="s">
        <v>4707</v>
      </c>
      <c r="I1990" s="32" t="s">
        <v>46</v>
      </c>
      <c r="J1990" s="32" t="s">
        <v>40</v>
      </c>
    </row>
    <row r="1991" spans="1:12" hidden="1" x14ac:dyDescent="0.3">
      <c r="A1991" s="39">
        <v>46149.628275462965</v>
      </c>
      <c r="B1991" s="32" t="s">
        <v>37</v>
      </c>
      <c r="C1991" s="32">
        <v>44998206344</v>
      </c>
      <c r="E1991" s="32">
        <v>25</v>
      </c>
      <c r="F1991" s="32">
        <v>17</v>
      </c>
      <c r="G1991" s="32" t="s">
        <v>38</v>
      </c>
      <c r="H1991" s="32" t="s">
        <v>4708</v>
      </c>
      <c r="I1991" s="32" t="s">
        <v>46</v>
      </c>
      <c r="J1991" s="32" t="s">
        <v>40</v>
      </c>
    </row>
    <row r="1992" spans="1:12" hidden="1" x14ac:dyDescent="0.3">
      <c r="A1992" s="39">
        <v>46149.623831018522</v>
      </c>
      <c r="B1992" s="32">
        <v>2121123730</v>
      </c>
      <c r="C1992" s="32">
        <v>4531273164</v>
      </c>
      <c r="D1992" s="32">
        <v>4531273164</v>
      </c>
      <c r="E1992" s="32">
        <v>48</v>
      </c>
      <c r="F1992" s="32">
        <v>47</v>
      </c>
      <c r="G1992" s="32" t="s">
        <v>52</v>
      </c>
      <c r="H1992" s="32" t="s">
        <v>4709</v>
      </c>
      <c r="I1992" s="32" t="s">
        <v>39</v>
      </c>
      <c r="J1992" s="32" t="s">
        <v>53</v>
      </c>
      <c r="K1992" s="32" t="s">
        <v>41</v>
      </c>
    </row>
    <row r="1993" spans="1:12" hidden="1" x14ac:dyDescent="0.3">
      <c r="A1993" s="39">
        <v>46149.622303240743</v>
      </c>
      <c r="B1993" s="32">
        <v>46991011067</v>
      </c>
      <c r="C1993" s="32">
        <v>4430265054</v>
      </c>
      <c r="D1993" s="32">
        <v>4430265054</v>
      </c>
      <c r="E1993" s="32">
        <v>51</v>
      </c>
      <c r="F1993" s="32">
        <v>50</v>
      </c>
      <c r="G1993" s="32" t="s">
        <v>52</v>
      </c>
      <c r="H1993" s="32" t="s">
        <v>4710</v>
      </c>
      <c r="I1993" s="32" t="s">
        <v>39</v>
      </c>
      <c r="J1993" s="32" t="s">
        <v>53</v>
      </c>
      <c r="K1993" s="32" t="s">
        <v>41</v>
      </c>
    </row>
    <row r="1994" spans="1:12" hidden="1" x14ac:dyDescent="0.3">
      <c r="A1994" s="39">
        <v>46149.619386574072</v>
      </c>
      <c r="B1994" s="32">
        <v>4520312689</v>
      </c>
      <c r="C1994" s="32" t="s">
        <v>45</v>
      </c>
      <c r="D1994" s="32">
        <v>4430265054</v>
      </c>
      <c r="E1994" s="32">
        <v>1412</v>
      </c>
      <c r="F1994" s="32">
        <v>1361</v>
      </c>
      <c r="G1994" s="32" t="s">
        <v>38</v>
      </c>
      <c r="H1994" s="32" t="s">
        <v>4711</v>
      </c>
      <c r="I1994" s="32" t="s">
        <v>39</v>
      </c>
      <c r="J1994" s="32" t="s">
        <v>40</v>
      </c>
      <c r="K1994" s="32" t="s">
        <v>41</v>
      </c>
      <c r="L1994" s="32">
        <v>5</v>
      </c>
    </row>
    <row r="1995" spans="1:12" hidden="1" x14ac:dyDescent="0.3">
      <c r="A1995" s="39">
        <v>46149.617858796293</v>
      </c>
      <c r="B1995" s="32">
        <v>67992169496</v>
      </c>
      <c r="C1995" s="32" t="s">
        <v>44</v>
      </c>
      <c r="D1995" s="32">
        <v>4430265054</v>
      </c>
      <c r="E1995" s="32">
        <v>347</v>
      </c>
      <c r="F1995" s="32">
        <v>314</v>
      </c>
      <c r="G1995" s="32" t="s">
        <v>38</v>
      </c>
      <c r="H1995" s="32" t="s">
        <v>4712</v>
      </c>
      <c r="I1995" s="32" t="s">
        <v>39</v>
      </c>
      <c r="J1995" s="32" t="s">
        <v>40</v>
      </c>
      <c r="K1995" s="32" t="s">
        <v>41</v>
      </c>
    </row>
    <row r="1996" spans="1:12" hidden="1" x14ac:dyDescent="0.3">
      <c r="A1996" s="39">
        <v>46149.616909722223</v>
      </c>
      <c r="B1996" s="32">
        <v>4121418164</v>
      </c>
      <c r="C1996" s="32">
        <v>4531273172</v>
      </c>
      <c r="D1996" s="32">
        <v>4531273172</v>
      </c>
      <c r="E1996" s="32">
        <v>46</v>
      </c>
      <c r="F1996" s="32">
        <v>46</v>
      </c>
      <c r="G1996" s="32" t="s">
        <v>52</v>
      </c>
      <c r="H1996" s="32" t="s">
        <v>4713</v>
      </c>
      <c r="I1996" s="32" t="s">
        <v>39</v>
      </c>
      <c r="J1996" s="32" t="s">
        <v>53</v>
      </c>
      <c r="K1996" s="32" t="s">
        <v>41</v>
      </c>
    </row>
    <row r="1997" spans="1:12" hidden="1" x14ac:dyDescent="0.3">
      <c r="A1997" s="39">
        <v>46149.616342592592</v>
      </c>
      <c r="B1997" s="32" t="s">
        <v>45</v>
      </c>
      <c r="C1997" s="32">
        <v>44998860140</v>
      </c>
      <c r="E1997" s="32">
        <v>176</v>
      </c>
      <c r="F1997" s="32">
        <v>164</v>
      </c>
      <c r="G1997" s="32" t="s">
        <v>38</v>
      </c>
      <c r="H1997" s="32" t="s">
        <v>4714</v>
      </c>
      <c r="I1997" s="32" t="s">
        <v>46</v>
      </c>
      <c r="J1997" s="32" t="s">
        <v>40</v>
      </c>
    </row>
    <row r="1998" spans="1:12" hidden="1" x14ac:dyDescent="0.3">
      <c r="A1998" s="39">
        <v>46149.615925925929</v>
      </c>
      <c r="B1998" s="32" t="s">
        <v>45</v>
      </c>
      <c r="C1998" s="32">
        <v>4430318514</v>
      </c>
      <c r="E1998" s="32">
        <v>23</v>
      </c>
      <c r="F1998" s="32">
        <v>12</v>
      </c>
      <c r="G1998" s="32" t="s">
        <v>38</v>
      </c>
      <c r="H1998" s="32" t="s">
        <v>4715</v>
      </c>
      <c r="I1998" s="32" t="s">
        <v>46</v>
      </c>
      <c r="J1998" s="32" t="s">
        <v>40</v>
      </c>
    </row>
    <row r="1999" spans="1:12" hidden="1" x14ac:dyDescent="0.3">
      <c r="A1999" s="39">
        <v>46149.615868055553</v>
      </c>
      <c r="B1999" s="32" t="s">
        <v>45</v>
      </c>
      <c r="C1999" s="32">
        <v>4430318514</v>
      </c>
      <c r="E1999" s="32">
        <v>26</v>
      </c>
      <c r="F1999" s="32">
        <v>25</v>
      </c>
      <c r="G1999" s="32" t="s">
        <v>38</v>
      </c>
      <c r="H1999" s="32" t="s">
        <v>4716</v>
      </c>
      <c r="I1999" s="32" t="s">
        <v>46</v>
      </c>
      <c r="J1999" s="32" t="s">
        <v>40</v>
      </c>
    </row>
    <row r="2000" spans="1:12" hidden="1" x14ac:dyDescent="0.3">
      <c r="A2000" s="39">
        <v>46149.61550925926</v>
      </c>
      <c r="B2000" s="32">
        <v>67992169496</v>
      </c>
      <c r="C2000" s="32">
        <v>4430265054</v>
      </c>
      <c r="D2000" s="32">
        <v>4430265054</v>
      </c>
      <c r="E2000" s="32">
        <v>124</v>
      </c>
      <c r="F2000" s="32">
        <v>123</v>
      </c>
      <c r="G2000" s="32" t="s">
        <v>52</v>
      </c>
      <c r="H2000" s="32" t="s">
        <v>4717</v>
      </c>
      <c r="I2000" s="32" t="s">
        <v>39</v>
      </c>
      <c r="J2000" s="32" t="s">
        <v>53</v>
      </c>
      <c r="K2000" s="32" t="s">
        <v>41</v>
      </c>
    </row>
    <row r="2001" spans="1:12" hidden="1" x14ac:dyDescent="0.3">
      <c r="A2001" s="39">
        <v>46149.610185185185</v>
      </c>
      <c r="B2001" s="32">
        <v>11985836640</v>
      </c>
      <c r="C2001" s="32" t="s">
        <v>43</v>
      </c>
      <c r="D2001" s="32">
        <v>4430265054</v>
      </c>
      <c r="E2001" s="32">
        <v>797</v>
      </c>
      <c r="F2001" s="32">
        <v>592</v>
      </c>
      <c r="G2001" s="32" t="s">
        <v>38</v>
      </c>
      <c r="H2001" s="32" t="s">
        <v>4718</v>
      </c>
      <c r="I2001" s="32" t="s">
        <v>39</v>
      </c>
      <c r="J2001" s="32" t="s">
        <v>40</v>
      </c>
      <c r="K2001" s="32" t="s">
        <v>41</v>
      </c>
    </row>
    <row r="2002" spans="1:12" hidden="1" x14ac:dyDescent="0.3">
      <c r="A2002" s="39">
        <v>46149.608344907407</v>
      </c>
      <c r="B2002" s="32">
        <v>4430459032</v>
      </c>
      <c r="C2002" s="32" t="s">
        <v>45</v>
      </c>
      <c r="D2002" s="32">
        <v>4430265054</v>
      </c>
      <c r="E2002" s="32">
        <v>403</v>
      </c>
      <c r="F2002" s="32">
        <v>359</v>
      </c>
      <c r="G2002" s="32" t="s">
        <v>38</v>
      </c>
      <c r="H2002" s="32" t="s">
        <v>4719</v>
      </c>
      <c r="I2002" s="32" t="s">
        <v>39</v>
      </c>
      <c r="J2002" s="32" t="s">
        <v>40</v>
      </c>
      <c r="K2002" s="32" t="s">
        <v>41</v>
      </c>
    </row>
    <row r="2003" spans="1:12" hidden="1" x14ac:dyDescent="0.3">
      <c r="A2003" s="39">
        <v>46149.605324074073</v>
      </c>
      <c r="B2003" s="32">
        <v>4430318514</v>
      </c>
      <c r="C2003" s="32" t="s">
        <v>44</v>
      </c>
      <c r="D2003" s="32">
        <v>4430265054</v>
      </c>
      <c r="E2003" s="32">
        <v>128</v>
      </c>
      <c r="F2003" s="32">
        <v>95</v>
      </c>
      <c r="G2003" s="32" t="s">
        <v>38</v>
      </c>
      <c r="H2003" s="32" t="s">
        <v>4720</v>
      </c>
      <c r="I2003" s="32" t="s">
        <v>39</v>
      </c>
      <c r="J2003" s="32" t="s">
        <v>40</v>
      </c>
      <c r="K2003" s="32" t="s">
        <v>41</v>
      </c>
    </row>
    <row r="2004" spans="1:12" hidden="1" x14ac:dyDescent="0.3">
      <c r="A2004" s="39">
        <v>46149.60460648148</v>
      </c>
      <c r="B2004" s="32">
        <v>62994086124</v>
      </c>
      <c r="C2004" s="32" t="s">
        <v>43</v>
      </c>
      <c r="D2004" s="32">
        <v>4430265054</v>
      </c>
      <c r="E2004" s="32">
        <v>537</v>
      </c>
      <c r="F2004" s="32">
        <v>456</v>
      </c>
      <c r="G2004" s="32" t="s">
        <v>38</v>
      </c>
      <c r="H2004" s="32" t="s">
        <v>4721</v>
      </c>
      <c r="I2004" s="32" t="s">
        <v>39</v>
      </c>
      <c r="J2004" s="32" t="s">
        <v>40</v>
      </c>
      <c r="K2004" s="32" t="s">
        <v>41</v>
      </c>
      <c r="L2004" s="32">
        <v>5</v>
      </c>
    </row>
    <row r="2005" spans="1:12" hidden="1" x14ac:dyDescent="0.3">
      <c r="A2005" s="39">
        <v>46149.601458333331</v>
      </c>
      <c r="B2005" s="32" t="s">
        <v>44</v>
      </c>
      <c r="C2005" s="32">
        <v>4430318515</v>
      </c>
      <c r="E2005" s="32">
        <v>101</v>
      </c>
      <c r="F2005" s="32">
        <v>92</v>
      </c>
      <c r="G2005" s="32" t="s">
        <v>38</v>
      </c>
      <c r="H2005" s="32" t="s">
        <v>4722</v>
      </c>
      <c r="I2005" s="32" t="s">
        <v>46</v>
      </c>
      <c r="J2005" s="32" t="s">
        <v>40</v>
      </c>
    </row>
    <row r="2006" spans="1:12" hidden="1" x14ac:dyDescent="0.3">
      <c r="A2006" s="39">
        <v>46149.598715277774</v>
      </c>
      <c r="B2006" s="32">
        <v>4421032921</v>
      </c>
      <c r="C2006" s="32">
        <v>4430265054</v>
      </c>
      <c r="D2006" s="32">
        <v>4430265054</v>
      </c>
      <c r="E2006" s="32">
        <v>9</v>
      </c>
      <c r="F2006" s="32">
        <v>8</v>
      </c>
      <c r="G2006" s="32" t="s">
        <v>52</v>
      </c>
      <c r="H2006" s="32" t="s">
        <v>4723</v>
      </c>
      <c r="I2006" s="32" t="s">
        <v>39</v>
      </c>
      <c r="J2006" s="32" t="s">
        <v>53</v>
      </c>
    </row>
    <row r="2007" spans="1:12" hidden="1" x14ac:dyDescent="0.3">
      <c r="A2007" s="39">
        <v>46149.596828703703</v>
      </c>
      <c r="B2007" s="32">
        <v>4430282545</v>
      </c>
      <c r="C2007" s="32">
        <v>4430265054</v>
      </c>
      <c r="D2007" s="32">
        <v>4430265054</v>
      </c>
      <c r="E2007" s="32">
        <v>44</v>
      </c>
      <c r="F2007" s="32">
        <v>44</v>
      </c>
      <c r="G2007" s="32" t="s">
        <v>52</v>
      </c>
      <c r="H2007" s="32" t="s">
        <v>4724</v>
      </c>
      <c r="I2007" s="32" t="s">
        <v>39</v>
      </c>
      <c r="J2007" s="32" t="s">
        <v>53</v>
      </c>
      <c r="K2007" s="32" t="s">
        <v>41</v>
      </c>
    </row>
    <row r="2008" spans="1:12" hidden="1" x14ac:dyDescent="0.3">
      <c r="A2008" s="39">
        <v>46149.593958333331</v>
      </c>
      <c r="B2008" s="32" t="s">
        <v>37</v>
      </c>
      <c r="C2008" s="32">
        <v>44998206344</v>
      </c>
      <c r="E2008" s="32">
        <v>1070</v>
      </c>
      <c r="F2008" s="32">
        <v>1063</v>
      </c>
      <c r="G2008" s="32" t="s">
        <v>38</v>
      </c>
      <c r="H2008" s="32" t="s">
        <v>4725</v>
      </c>
      <c r="I2008" s="32" t="s">
        <v>46</v>
      </c>
      <c r="J2008" s="32" t="s">
        <v>40</v>
      </c>
    </row>
    <row r="2009" spans="1:12" hidden="1" x14ac:dyDescent="0.3">
      <c r="A2009" s="39">
        <v>46149.592592592591</v>
      </c>
      <c r="B2009" s="32">
        <v>12997611769</v>
      </c>
      <c r="C2009" s="32" t="s">
        <v>43</v>
      </c>
      <c r="D2009" s="32">
        <v>4430265054</v>
      </c>
      <c r="E2009" s="32">
        <v>1143</v>
      </c>
      <c r="F2009" s="32">
        <v>1007</v>
      </c>
      <c r="G2009" s="32" t="s">
        <v>38</v>
      </c>
      <c r="H2009" s="32" t="s">
        <v>4726</v>
      </c>
      <c r="I2009" s="32" t="s">
        <v>39</v>
      </c>
      <c r="J2009" s="32" t="s">
        <v>40</v>
      </c>
      <c r="K2009" s="32" t="s">
        <v>41</v>
      </c>
      <c r="L2009" s="32">
        <v>5</v>
      </c>
    </row>
    <row r="2010" spans="1:12" hidden="1" x14ac:dyDescent="0.3">
      <c r="A2010" s="39">
        <v>46149.590775462966</v>
      </c>
      <c r="B2010" s="32">
        <v>4430346845</v>
      </c>
      <c r="C2010" s="32" t="s">
        <v>48</v>
      </c>
      <c r="D2010" s="32">
        <v>4430265054</v>
      </c>
      <c r="E2010" s="32">
        <v>984</v>
      </c>
      <c r="F2010" s="32">
        <v>984</v>
      </c>
      <c r="G2010" s="32" t="s">
        <v>38</v>
      </c>
      <c r="H2010" s="32" t="s">
        <v>4727</v>
      </c>
      <c r="I2010" s="32" t="s">
        <v>39</v>
      </c>
      <c r="J2010" s="32" t="s">
        <v>40</v>
      </c>
      <c r="K2010" s="32" t="s">
        <v>41</v>
      </c>
    </row>
    <row r="2011" spans="1:12" hidden="1" x14ac:dyDescent="0.3">
      <c r="A2011" s="39">
        <v>46149.589803240742</v>
      </c>
      <c r="B2011" s="32">
        <v>44998860140</v>
      </c>
      <c r="C2011" s="32" t="s">
        <v>45</v>
      </c>
      <c r="D2011" s="32">
        <v>4430265054</v>
      </c>
      <c r="E2011" s="32">
        <v>711</v>
      </c>
      <c r="F2011" s="32">
        <v>685</v>
      </c>
      <c r="G2011" s="32" t="s">
        <v>38</v>
      </c>
      <c r="H2011" s="32" t="s">
        <v>4728</v>
      </c>
      <c r="I2011" s="32" t="s">
        <v>39</v>
      </c>
      <c r="J2011" s="32" t="s">
        <v>40</v>
      </c>
      <c r="K2011" s="32" t="s">
        <v>41</v>
      </c>
    </row>
    <row r="2012" spans="1:12" hidden="1" x14ac:dyDescent="0.3">
      <c r="A2012" s="39">
        <v>46149.586574074077</v>
      </c>
      <c r="B2012" s="32">
        <v>44988182098</v>
      </c>
      <c r="C2012" s="32" t="s">
        <v>44</v>
      </c>
      <c r="D2012" s="32">
        <v>4430265054</v>
      </c>
      <c r="E2012" s="32">
        <v>674</v>
      </c>
      <c r="F2012" s="32">
        <v>596</v>
      </c>
      <c r="G2012" s="32" t="s">
        <v>38</v>
      </c>
      <c r="H2012" s="32" t="s">
        <v>4729</v>
      </c>
      <c r="I2012" s="32" t="s">
        <v>39</v>
      </c>
      <c r="J2012" s="32" t="s">
        <v>40</v>
      </c>
      <c r="K2012" s="32" t="s">
        <v>41</v>
      </c>
    </row>
    <row r="2013" spans="1:12" hidden="1" x14ac:dyDescent="0.3">
      <c r="A2013" s="39">
        <v>46149.585798611108</v>
      </c>
      <c r="B2013" s="32" t="s">
        <v>45</v>
      </c>
      <c r="C2013" s="32">
        <v>4430282545</v>
      </c>
      <c r="E2013" s="32">
        <v>155</v>
      </c>
      <c r="F2013" s="32">
        <v>139</v>
      </c>
      <c r="G2013" s="32" t="s">
        <v>38</v>
      </c>
      <c r="H2013" s="32" t="s">
        <v>4730</v>
      </c>
      <c r="I2013" s="32" t="s">
        <v>46</v>
      </c>
      <c r="J2013" s="32" t="s">
        <v>40</v>
      </c>
    </row>
    <row r="2014" spans="1:12" hidden="1" x14ac:dyDescent="0.3">
      <c r="A2014" s="39">
        <v>46149.585532407407</v>
      </c>
      <c r="B2014" s="32" t="s">
        <v>45</v>
      </c>
      <c r="C2014" s="32">
        <v>44997687156</v>
      </c>
      <c r="E2014" s="32">
        <v>16</v>
      </c>
      <c r="F2014" s="32">
        <v>0</v>
      </c>
      <c r="G2014" s="32" t="s">
        <v>47</v>
      </c>
      <c r="H2014" s="32" t="s">
        <v>4731</v>
      </c>
      <c r="I2014" s="32" t="s">
        <v>46</v>
      </c>
      <c r="J2014" s="32" t="s">
        <v>40</v>
      </c>
    </row>
    <row r="2015" spans="1:12" hidden="1" x14ac:dyDescent="0.3">
      <c r="A2015" s="39">
        <v>46149.58258101852</v>
      </c>
      <c r="B2015" s="32" t="s">
        <v>37</v>
      </c>
      <c r="C2015" s="32">
        <v>44998206344</v>
      </c>
      <c r="E2015" s="32">
        <v>888</v>
      </c>
      <c r="F2015" s="32">
        <v>882</v>
      </c>
      <c r="G2015" s="32" t="s">
        <v>38</v>
      </c>
      <c r="H2015" s="32" t="s">
        <v>4732</v>
      </c>
      <c r="I2015" s="32" t="s">
        <v>46</v>
      </c>
      <c r="J2015" s="32" t="s">
        <v>40</v>
      </c>
    </row>
    <row r="2016" spans="1:12" hidden="1" x14ac:dyDescent="0.3">
      <c r="A2016" s="39">
        <v>46149.581597222219</v>
      </c>
      <c r="B2016" s="32" t="s">
        <v>37</v>
      </c>
      <c r="C2016" s="32">
        <v>44998206344</v>
      </c>
      <c r="E2016" s="32">
        <v>70</v>
      </c>
      <c r="F2016" s="32">
        <v>65</v>
      </c>
      <c r="G2016" s="32" t="s">
        <v>38</v>
      </c>
      <c r="H2016" s="32" t="s">
        <v>4733</v>
      </c>
      <c r="I2016" s="32" t="s">
        <v>46</v>
      </c>
      <c r="J2016" s="32" t="s">
        <v>40</v>
      </c>
    </row>
    <row r="2017" spans="1:11" hidden="1" x14ac:dyDescent="0.3">
      <c r="A2017" s="39">
        <v>46149.581261574072</v>
      </c>
      <c r="B2017" s="32">
        <v>44998555192</v>
      </c>
      <c r="C2017" s="32" t="s">
        <v>43</v>
      </c>
      <c r="D2017" s="32">
        <v>4430265054</v>
      </c>
      <c r="E2017" s="32">
        <v>171</v>
      </c>
      <c r="F2017" s="32">
        <v>131</v>
      </c>
      <c r="G2017" s="32" t="s">
        <v>38</v>
      </c>
      <c r="H2017" s="32" t="s">
        <v>4734</v>
      </c>
      <c r="I2017" s="32" t="s">
        <v>39</v>
      </c>
      <c r="J2017" s="32" t="s">
        <v>40</v>
      </c>
      <c r="K2017" s="32" t="s">
        <v>41</v>
      </c>
    </row>
    <row r="2018" spans="1:11" hidden="1" x14ac:dyDescent="0.3">
      <c r="A2018" s="39">
        <v>46149.573993055557</v>
      </c>
      <c r="B2018" s="32" t="s">
        <v>37</v>
      </c>
      <c r="C2018" s="32">
        <v>44998206344</v>
      </c>
      <c r="E2018" s="32">
        <v>583</v>
      </c>
      <c r="F2018" s="32">
        <v>568</v>
      </c>
      <c r="G2018" s="32" t="s">
        <v>38</v>
      </c>
      <c r="H2018" s="32" t="s">
        <v>4735</v>
      </c>
      <c r="I2018" s="32" t="s">
        <v>46</v>
      </c>
      <c r="J2018" s="32" t="s">
        <v>40</v>
      </c>
    </row>
    <row r="2019" spans="1:11" hidden="1" x14ac:dyDescent="0.3">
      <c r="A2019" s="39">
        <v>46149.573935185188</v>
      </c>
      <c r="B2019" s="32" t="s">
        <v>37</v>
      </c>
      <c r="C2019" s="32">
        <v>44998206344</v>
      </c>
      <c r="E2019" s="32">
        <v>4</v>
      </c>
      <c r="F2019" s="32">
        <v>0</v>
      </c>
      <c r="G2019" s="32" t="s">
        <v>47</v>
      </c>
      <c r="H2019" s="32" t="s">
        <v>4736</v>
      </c>
      <c r="I2019" s="32" t="s">
        <v>46</v>
      </c>
      <c r="J2019" s="32" t="s">
        <v>40</v>
      </c>
    </row>
    <row r="2020" spans="1:11" hidden="1" x14ac:dyDescent="0.3">
      <c r="A2020" s="39">
        <v>46149.573298611111</v>
      </c>
      <c r="B2020" s="32">
        <v>44988255390</v>
      </c>
      <c r="C2020" s="32" t="s">
        <v>44</v>
      </c>
      <c r="D2020" s="32">
        <v>4430265054</v>
      </c>
      <c r="E2020" s="32">
        <v>634</v>
      </c>
      <c r="F2020" s="32">
        <v>595</v>
      </c>
      <c r="G2020" s="32" t="s">
        <v>38</v>
      </c>
      <c r="H2020" s="32" t="s">
        <v>4737</v>
      </c>
      <c r="I2020" s="32" t="s">
        <v>39</v>
      </c>
      <c r="J2020" s="32" t="s">
        <v>40</v>
      </c>
      <c r="K2020" s="32" t="s">
        <v>41</v>
      </c>
    </row>
    <row r="2021" spans="1:11" hidden="1" x14ac:dyDescent="0.3">
      <c r="A2021" s="39">
        <v>46149.568368055552</v>
      </c>
      <c r="B2021" s="32">
        <v>4430346845</v>
      </c>
      <c r="C2021" s="32" t="s">
        <v>43</v>
      </c>
      <c r="D2021" s="32">
        <v>4430265054</v>
      </c>
      <c r="E2021" s="32">
        <v>438</v>
      </c>
      <c r="F2021" s="32">
        <v>404</v>
      </c>
      <c r="G2021" s="32" t="s">
        <v>38</v>
      </c>
      <c r="H2021" s="32" t="s">
        <v>4738</v>
      </c>
      <c r="I2021" s="32" t="s">
        <v>39</v>
      </c>
      <c r="J2021" s="32" t="s">
        <v>40</v>
      </c>
      <c r="K2021" s="32" t="s">
        <v>41</v>
      </c>
    </row>
    <row r="2022" spans="1:11" hidden="1" x14ac:dyDescent="0.3">
      <c r="A2022" s="39">
        <v>46149.567210648151</v>
      </c>
      <c r="B2022" s="32" t="s">
        <v>44</v>
      </c>
      <c r="C2022" s="32">
        <v>4430318515</v>
      </c>
      <c r="E2022" s="32">
        <v>68</v>
      </c>
      <c r="F2022" s="32">
        <v>56</v>
      </c>
      <c r="G2022" s="32" t="s">
        <v>38</v>
      </c>
      <c r="H2022" s="32" t="s">
        <v>4739</v>
      </c>
      <c r="I2022" s="32" t="s">
        <v>46</v>
      </c>
      <c r="J2022" s="32" t="s">
        <v>40</v>
      </c>
    </row>
    <row r="2023" spans="1:11" hidden="1" x14ac:dyDescent="0.3">
      <c r="A2023" s="39">
        <v>46149.567152777781</v>
      </c>
      <c r="B2023" s="32" t="s">
        <v>44</v>
      </c>
      <c r="C2023" s="32">
        <v>4430318515</v>
      </c>
      <c r="E2023" s="32">
        <v>25</v>
      </c>
      <c r="F2023" s="32">
        <v>25</v>
      </c>
      <c r="G2023" s="32" t="s">
        <v>38</v>
      </c>
      <c r="H2023" s="32" t="s">
        <v>4740</v>
      </c>
      <c r="I2023" s="32" t="s">
        <v>46</v>
      </c>
      <c r="J2023" s="32" t="s">
        <v>40</v>
      </c>
    </row>
    <row r="2024" spans="1:11" hidden="1" x14ac:dyDescent="0.3">
      <c r="A2024" s="39">
        <v>46149.565381944441</v>
      </c>
      <c r="B2024" s="32">
        <v>44999497001</v>
      </c>
      <c r="C2024" s="32" t="s">
        <v>43</v>
      </c>
      <c r="D2024" s="32">
        <v>4430265054</v>
      </c>
      <c r="E2024" s="32">
        <v>259</v>
      </c>
      <c r="F2024" s="32">
        <v>245</v>
      </c>
      <c r="G2024" s="32" t="s">
        <v>38</v>
      </c>
      <c r="H2024" s="32" t="s">
        <v>4741</v>
      </c>
      <c r="I2024" s="32" t="s">
        <v>39</v>
      </c>
      <c r="J2024" s="32" t="s">
        <v>40</v>
      </c>
      <c r="K2024" s="32" t="s">
        <v>41</v>
      </c>
    </row>
    <row r="2025" spans="1:11" hidden="1" x14ac:dyDescent="0.3">
      <c r="A2025" s="39">
        <v>46149.564097222225</v>
      </c>
      <c r="B2025" s="32" t="s">
        <v>37</v>
      </c>
      <c r="C2025" s="32">
        <v>44998849102</v>
      </c>
      <c r="E2025" s="32">
        <v>847</v>
      </c>
      <c r="F2025" s="32">
        <v>840</v>
      </c>
      <c r="G2025" s="32" t="s">
        <v>38</v>
      </c>
      <c r="H2025" s="32" t="s">
        <v>4742</v>
      </c>
      <c r="I2025" s="32" t="s">
        <v>46</v>
      </c>
      <c r="J2025" s="32" t="s">
        <v>40</v>
      </c>
    </row>
    <row r="2026" spans="1:11" hidden="1" x14ac:dyDescent="0.3">
      <c r="A2026" s="39">
        <v>46149.563506944447</v>
      </c>
      <c r="B2026" s="32">
        <v>4430318515</v>
      </c>
      <c r="C2026" s="32" t="s">
        <v>44</v>
      </c>
      <c r="D2026" s="32">
        <v>4430265054</v>
      </c>
      <c r="E2026" s="32">
        <v>171</v>
      </c>
      <c r="F2026" s="32">
        <v>96</v>
      </c>
      <c r="G2026" s="32" t="s">
        <v>38</v>
      </c>
      <c r="H2026" s="32" t="s">
        <v>4743</v>
      </c>
      <c r="I2026" s="32" t="s">
        <v>39</v>
      </c>
      <c r="J2026" s="32" t="s">
        <v>40</v>
      </c>
      <c r="K2026" s="32" t="s">
        <v>41</v>
      </c>
    </row>
    <row r="2027" spans="1:11" hidden="1" x14ac:dyDescent="0.3">
      <c r="A2027" s="39">
        <v>46149.562465277777</v>
      </c>
      <c r="B2027" s="32" t="s">
        <v>45</v>
      </c>
      <c r="C2027" s="32">
        <v>44999654761</v>
      </c>
      <c r="E2027" s="32">
        <v>1955</v>
      </c>
      <c r="F2027" s="32">
        <v>1944</v>
      </c>
      <c r="G2027" s="32" t="s">
        <v>38</v>
      </c>
      <c r="H2027" s="32" t="s">
        <v>4744</v>
      </c>
      <c r="I2027" s="32" t="s">
        <v>46</v>
      </c>
      <c r="J2027" s="32" t="s">
        <v>40</v>
      </c>
    </row>
    <row r="2028" spans="1:11" hidden="1" x14ac:dyDescent="0.3">
      <c r="A2028" s="39">
        <v>46149.561377314814</v>
      </c>
      <c r="B2028" s="32" t="s">
        <v>45</v>
      </c>
      <c r="C2028" s="32">
        <v>44997687156</v>
      </c>
      <c r="E2028" s="32">
        <v>41</v>
      </c>
      <c r="F2028" s="32">
        <v>27</v>
      </c>
      <c r="G2028" s="32" t="s">
        <v>38</v>
      </c>
      <c r="H2028" s="32" t="s">
        <v>4745</v>
      </c>
      <c r="I2028" s="32" t="s">
        <v>46</v>
      </c>
      <c r="J2028" s="32" t="s">
        <v>40</v>
      </c>
    </row>
    <row r="2029" spans="1:11" hidden="1" x14ac:dyDescent="0.3">
      <c r="A2029" s="39">
        <v>46149.561249999999</v>
      </c>
      <c r="B2029" s="32" t="s">
        <v>45</v>
      </c>
      <c r="C2029" s="32">
        <v>4430282545</v>
      </c>
      <c r="E2029" s="32">
        <v>3</v>
      </c>
      <c r="F2029" s="32">
        <v>0</v>
      </c>
      <c r="G2029" s="32" t="s">
        <v>47</v>
      </c>
      <c r="H2029" s="32" t="s">
        <v>4746</v>
      </c>
      <c r="I2029" s="32" t="s">
        <v>46</v>
      </c>
      <c r="J2029" s="32" t="s">
        <v>40</v>
      </c>
    </row>
    <row r="2030" spans="1:11" hidden="1" x14ac:dyDescent="0.3">
      <c r="A2030" s="39">
        <v>46149.550428240742</v>
      </c>
      <c r="B2030" s="32">
        <v>31995957530</v>
      </c>
      <c r="C2030" s="32">
        <v>4430265054</v>
      </c>
      <c r="D2030" s="32">
        <v>4430265054</v>
      </c>
      <c r="E2030" s="32">
        <v>28</v>
      </c>
      <c r="F2030" s="32">
        <v>28</v>
      </c>
      <c r="G2030" s="32" t="s">
        <v>52</v>
      </c>
      <c r="H2030" s="32" t="s">
        <v>4747</v>
      </c>
      <c r="I2030" s="32" t="s">
        <v>39</v>
      </c>
      <c r="J2030" s="32" t="s">
        <v>53</v>
      </c>
    </row>
    <row r="2031" spans="1:11" hidden="1" x14ac:dyDescent="0.3">
      <c r="A2031" s="39">
        <v>46149.521018518521</v>
      </c>
      <c r="B2031" s="32">
        <v>4433015964</v>
      </c>
      <c r="C2031" s="32">
        <v>4430265054</v>
      </c>
      <c r="D2031" s="32">
        <v>4430265054</v>
      </c>
      <c r="E2031" s="32">
        <v>9</v>
      </c>
      <c r="F2031" s="32">
        <v>8</v>
      </c>
      <c r="G2031" s="32" t="s">
        <v>52</v>
      </c>
      <c r="H2031" s="32" t="s">
        <v>4748</v>
      </c>
      <c r="I2031" s="32" t="s">
        <v>39</v>
      </c>
      <c r="J2031" s="32" t="s">
        <v>53</v>
      </c>
    </row>
    <row r="2032" spans="1:11" hidden="1" x14ac:dyDescent="0.3">
      <c r="A2032" s="39">
        <v>46149.492268518516</v>
      </c>
      <c r="B2032" s="32">
        <v>44997687156</v>
      </c>
      <c r="C2032" s="32" t="s">
        <v>45</v>
      </c>
      <c r="D2032" s="32">
        <v>4430265054</v>
      </c>
      <c r="E2032" s="32">
        <v>295</v>
      </c>
      <c r="F2032" s="32">
        <v>274</v>
      </c>
      <c r="G2032" s="32" t="s">
        <v>38</v>
      </c>
      <c r="H2032" s="32" t="s">
        <v>4749</v>
      </c>
      <c r="I2032" s="32" t="s">
        <v>39</v>
      </c>
      <c r="J2032" s="32" t="s">
        <v>40</v>
      </c>
      <c r="K2032" s="32" t="s">
        <v>41</v>
      </c>
    </row>
    <row r="2033" spans="1:12" hidden="1" x14ac:dyDescent="0.3">
      <c r="A2033" s="39">
        <v>46149.485659722224</v>
      </c>
      <c r="B2033" s="32" t="s">
        <v>37</v>
      </c>
      <c r="C2033" s="32">
        <v>44998849102</v>
      </c>
      <c r="E2033" s="32">
        <v>1278</v>
      </c>
      <c r="F2033" s="32">
        <v>1257</v>
      </c>
      <c r="G2033" s="32" t="s">
        <v>38</v>
      </c>
      <c r="H2033" s="32" t="s">
        <v>4750</v>
      </c>
      <c r="I2033" s="32" t="s">
        <v>46</v>
      </c>
      <c r="J2033" s="32" t="s">
        <v>40</v>
      </c>
    </row>
    <row r="2034" spans="1:12" hidden="1" x14ac:dyDescent="0.3">
      <c r="A2034" s="39">
        <v>46149.485590277778</v>
      </c>
      <c r="B2034" s="32" t="s">
        <v>37</v>
      </c>
      <c r="C2034" s="32">
        <v>44998849102</v>
      </c>
      <c r="E2034" s="32">
        <v>5</v>
      </c>
      <c r="F2034" s="32">
        <v>0</v>
      </c>
      <c r="G2034" s="32" t="s">
        <v>47</v>
      </c>
      <c r="H2034" s="32" t="s">
        <v>4751</v>
      </c>
      <c r="I2034" s="32" t="s">
        <v>46</v>
      </c>
      <c r="J2034" s="32" t="s">
        <v>40</v>
      </c>
    </row>
    <row r="2035" spans="1:12" hidden="1" x14ac:dyDescent="0.3">
      <c r="A2035" s="39">
        <v>46149.481145833335</v>
      </c>
      <c r="B2035" s="32">
        <v>44998849102</v>
      </c>
      <c r="C2035" s="32" t="s">
        <v>37</v>
      </c>
      <c r="D2035" s="32">
        <v>4430265054</v>
      </c>
      <c r="E2035" s="32">
        <v>395</v>
      </c>
      <c r="F2035" s="32">
        <v>351</v>
      </c>
      <c r="G2035" s="32" t="s">
        <v>38</v>
      </c>
      <c r="H2035" s="32" t="s">
        <v>4752</v>
      </c>
      <c r="I2035" s="32" t="s">
        <v>39</v>
      </c>
      <c r="J2035" s="32" t="s">
        <v>40</v>
      </c>
      <c r="K2035" s="32" t="s">
        <v>41</v>
      </c>
    </row>
    <row r="2036" spans="1:12" hidden="1" x14ac:dyDescent="0.3">
      <c r="A2036" s="39">
        <v>46149.470763888887</v>
      </c>
      <c r="B2036" s="32">
        <v>62991155122</v>
      </c>
      <c r="C2036" s="32" t="s">
        <v>45</v>
      </c>
      <c r="D2036" s="32">
        <v>4430265054</v>
      </c>
      <c r="E2036" s="32">
        <v>1037</v>
      </c>
      <c r="F2036" s="32">
        <v>934</v>
      </c>
      <c r="G2036" s="32" t="s">
        <v>38</v>
      </c>
      <c r="H2036" s="32" t="s">
        <v>4753</v>
      </c>
      <c r="I2036" s="32" t="s">
        <v>39</v>
      </c>
      <c r="J2036" s="32" t="s">
        <v>40</v>
      </c>
      <c r="K2036" s="32" t="s">
        <v>41</v>
      </c>
    </row>
    <row r="2037" spans="1:12" hidden="1" x14ac:dyDescent="0.3">
      <c r="A2037" s="39">
        <v>46149.470462962963</v>
      </c>
      <c r="B2037" s="32" t="s">
        <v>45</v>
      </c>
      <c r="C2037" s="32">
        <v>62991155122</v>
      </c>
      <c r="E2037" s="32">
        <v>6</v>
      </c>
      <c r="F2037" s="32">
        <v>0</v>
      </c>
      <c r="G2037" s="32" t="s">
        <v>47</v>
      </c>
      <c r="H2037" s="32" t="s">
        <v>4754</v>
      </c>
      <c r="I2037" s="32" t="s">
        <v>46</v>
      </c>
      <c r="J2037" s="32" t="s">
        <v>40</v>
      </c>
    </row>
    <row r="2038" spans="1:12" hidden="1" x14ac:dyDescent="0.3">
      <c r="A2038" s="39">
        <v>46149.470358796294</v>
      </c>
      <c r="B2038" s="32">
        <v>44988255390</v>
      </c>
      <c r="C2038" s="32" t="s">
        <v>37</v>
      </c>
      <c r="D2038" s="32">
        <v>4430265054</v>
      </c>
      <c r="E2038" s="32">
        <v>714</v>
      </c>
      <c r="F2038" s="32">
        <v>581</v>
      </c>
      <c r="G2038" s="32" t="s">
        <v>38</v>
      </c>
      <c r="H2038" s="32" t="s">
        <v>4755</v>
      </c>
      <c r="I2038" s="32" t="s">
        <v>39</v>
      </c>
      <c r="J2038" s="32" t="s">
        <v>40</v>
      </c>
      <c r="K2038" s="32" t="s">
        <v>41</v>
      </c>
      <c r="L2038" s="32">
        <v>5</v>
      </c>
    </row>
    <row r="2039" spans="1:12" hidden="1" x14ac:dyDescent="0.3">
      <c r="A2039" s="39">
        <v>46149.467199074075</v>
      </c>
      <c r="B2039" s="32">
        <v>62991155122</v>
      </c>
      <c r="C2039" s="32" t="s">
        <v>45</v>
      </c>
      <c r="D2039" s="32">
        <v>4430265054</v>
      </c>
      <c r="E2039" s="32">
        <v>299</v>
      </c>
      <c r="F2039" s="32">
        <v>241</v>
      </c>
      <c r="G2039" s="32" t="s">
        <v>38</v>
      </c>
      <c r="H2039" s="32" t="s">
        <v>4756</v>
      </c>
      <c r="I2039" s="32" t="s">
        <v>39</v>
      </c>
      <c r="J2039" s="32" t="s">
        <v>40</v>
      </c>
      <c r="K2039" s="32" t="s">
        <v>41</v>
      </c>
    </row>
    <row r="2040" spans="1:12" hidden="1" x14ac:dyDescent="0.3">
      <c r="A2040" s="39">
        <v>46149.463506944441</v>
      </c>
      <c r="B2040" s="32" t="s">
        <v>37</v>
      </c>
      <c r="C2040" s="32">
        <v>44998581219</v>
      </c>
      <c r="E2040" s="32">
        <v>349</v>
      </c>
      <c r="F2040" s="32">
        <v>346</v>
      </c>
      <c r="G2040" s="32" t="s">
        <v>38</v>
      </c>
      <c r="H2040" s="32" t="s">
        <v>4757</v>
      </c>
      <c r="I2040" s="32" t="s">
        <v>46</v>
      </c>
      <c r="J2040" s="32" t="s">
        <v>40</v>
      </c>
    </row>
    <row r="2041" spans="1:12" hidden="1" x14ac:dyDescent="0.3">
      <c r="A2041" s="39">
        <v>46149.462118055555</v>
      </c>
      <c r="B2041" s="32" t="s">
        <v>37</v>
      </c>
      <c r="C2041" s="32">
        <v>44998581219</v>
      </c>
      <c r="E2041" s="32">
        <v>114</v>
      </c>
      <c r="F2041" s="32">
        <v>106</v>
      </c>
      <c r="G2041" s="32" t="s">
        <v>38</v>
      </c>
      <c r="H2041" s="32" t="s">
        <v>4758</v>
      </c>
      <c r="I2041" s="32" t="s">
        <v>46</v>
      </c>
      <c r="J2041" s="32" t="s">
        <v>40</v>
      </c>
    </row>
    <row r="2042" spans="1:12" hidden="1" x14ac:dyDescent="0.3">
      <c r="A2042" s="39">
        <v>46149.461736111109</v>
      </c>
      <c r="B2042" s="32">
        <v>41996081809</v>
      </c>
      <c r="C2042" s="32" t="s">
        <v>44</v>
      </c>
      <c r="D2042" s="32">
        <v>4430265054</v>
      </c>
      <c r="E2042" s="32">
        <v>581</v>
      </c>
      <c r="F2042" s="32">
        <v>553</v>
      </c>
      <c r="G2042" s="32" t="s">
        <v>38</v>
      </c>
      <c r="H2042" s="32" t="s">
        <v>4759</v>
      </c>
      <c r="I2042" s="32" t="s">
        <v>39</v>
      </c>
      <c r="J2042" s="32" t="s">
        <v>40</v>
      </c>
      <c r="K2042" s="32" t="s">
        <v>41</v>
      </c>
    </row>
    <row r="2043" spans="1:12" hidden="1" x14ac:dyDescent="0.3">
      <c r="A2043" s="39">
        <v>46149.461724537039</v>
      </c>
      <c r="B2043" s="32" t="s">
        <v>37</v>
      </c>
      <c r="C2043" s="32">
        <v>44998581219</v>
      </c>
      <c r="E2043" s="32">
        <v>28</v>
      </c>
      <c r="F2043" s="32">
        <v>0</v>
      </c>
      <c r="G2043" s="32" t="s">
        <v>47</v>
      </c>
      <c r="H2043" s="32" t="s">
        <v>4760</v>
      </c>
      <c r="I2043" s="32" t="s">
        <v>46</v>
      </c>
      <c r="J2043" s="32" t="s">
        <v>40</v>
      </c>
    </row>
    <row r="2044" spans="1:12" hidden="1" x14ac:dyDescent="0.3">
      <c r="A2044" s="39">
        <v>46149.461550925924</v>
      </c>
      <c r="B2044" s="32" t="s">
        <v>37</v>
      </c>
      <c r="C2044" s="32">
        <v>44998581219</v>
      </c>
      <c r="E2044" s="32">
        <v>42</v>
      </c>
      <c r="F2044" s="32">
        <v>36</v>
      </c>
      <c r="G2044" s="32" t="s">
        <v>38</v>
      </c>
      <c r="H2044" s="32" t="s">
        <v>4761</v>
      </c>
      <c r="I2044" s="32" t="s">
        <v>46</v>
      </c>
      <c r="J2044" s="32" t="s">
        <v>40</v>
      </c>
    </row>
    <row r="2045" spans="1:12" hidden="1" x14ac:dyDescent="0.3">
      <c r="A2045" s="39">
        <v>46149.461435185185</v>
      </c>
      <c r="B2045" s="32" t="s">
        <v>37</v>
      </c>
      <c r="C2045" s="32">
        <v>44998581219</v>
      </c>
      <c r="E2045" s="32">
        <v>6</v>
      </c>
      <c r="F2045" s="32">
        <v>0</v>
      </c>
      <c r="G2045" s="32" t="s">
        <v>47</v>
      </c>
      <c r="H2045" s="32" t="s">
        <v>4762</v>
      </c>
      <c r="I2045" s="32" t="s">
        <v>46</v>
      </c>
      <c r="J2045" s="32" t="s">
        <v>40</v>
      </c>
    </row>
    <row r="2046" spans="1:12" hidden="1" x14ac:dyDescent="0.3">
      <c r="A2046" s="39">
        <v>46149.461284722223</v>
      </c>
      <c r="B2046" s="32">
        <v>44999646909</v>
      </c>
      <c r="C2046" s="32" t="s">
        <v>43</v>
      </c>
      <c r="D2046" s="32">
        <v>4430265054</v>
      </c>
      <c r="E2046" s="32">
        <v>1518</v>
      </c>
      <c r="F2046" s="32">
        <v>1470</v>
      </c>
      <c r="G2046" s="32" t="s">
        <v>38</v>
      </c>
      <c r="H2046" s="32" t="s">
        <v>4763</v>
      </c>
      <c r="I2046" s="32" t="s">
        <v>39</v>
      </c>
      <c r="J2046" s="32" t="s">
        <v>40</v>
      </c>
      <c r="K2046" s="32" t="s">
        <v>41</v>
      </c>
    </row>
    <row r="2047" spans="1:12" hidden="1" x14ac:dyDescent="0.3">
      <c r="A2047" s="39">
        <v>46149.458020833335</v>
      </c>
      <c r="B2047" s="32">
        <v>4121414966</v>
      </c>
      <c r="C2047" s="32">
        <v>4531273161</v>
      </c>
      <c r="D2047" s="32">
        <v>4531273161</v>
      </c>
      <c r="E2047" s="32">
        <v>47</v>
      </c>
      <c r="F2047" s="32">
        <v>47</v>
      </c>
      <c r="G2047" s="32" t="s">
        <v>52</v>
      </c>
      <c r="H2047" s="32" t="s">
        <v>4764</v>
      </c>
      <c r="I2047" s="32" t="s">
        <v>39</v>
      </c>
      <c r="J2047" s="32" t="s">
        <v>53</v>
      </c>
      <c r="K2047" s="32" t="s">
        <v>41</v>
      </c>
    </row>
    <row r="2048" spans="1:12" hidden="1" x14ac:dyDescent="0.3">
      <c r="A2048" s="39">
        <v>46149.45784722222</v>
      </c>
      <c r="B2048" s="32">
        <v>4430316847</v>
      </c>
      <c r="C2048" s="32" t="s">
        <v>43</v>
      </c>
      <c r="D2048" s="32">
        <v>4430265054</v>
      </c>
      <c r="E2048" s="32">
        <v>80</v>
      </c>
      <c r="F2048" s="32">
        <v>1</v>
      </c>
      <c r="G2048" s="32" t="s">
        <v>38</v>
      </c>
      <c r="H2048" s="32" t="s">
        <v>4765</v>
      </c>
      <c r="I2048" s="32" t="s">
        <v>39</v>
      </c>
      <c r="J2048" s="32" t="s">
        <v>40</v>
      </c>
      <c r="K2048" s="32" t="s">
        <v>41</v>
      </c>
    </row>
    <row r="2049" spans="1:12" hidden="1" x14ac:dyDescent="0.3">
      <c r="A2049" s="39">
        <v>46149.457314814812</v>
      </c>
      <c r="B2049" s="32">
        <v>4521017510</v>
      </c>
      <c r="C2049" s="32">
        <v>4531273159</v>
      </c>
      <c r="D2049" s="32">
        <v>4531273159</v>
      </c>
      <c r="E2049" s="32">
        <v>72</v>
      </c>
      <c r="F2049" s="32">
        <v>71</v>
      </c>
      <c r="G2049" s="32" t="s">
        <v>52</v>
      </c>
      <c r="H2049" s="32" t="s">
        <v>4766</v>
      </c>
      <c r="I2049" s="32" t="s">
        <v>39</v>
      </c>
      <c r="J2049" s="32" t="s">
        <v>53</v>
      </c>
      <c r="K2049" s="32" t="s">
        <v>41</v>
      </c>
    </row>
    <row r="2050" spans="1:12" hidden="1" x14ac:dyDescent="0.3">
      <c r="A2050" s="39">
        <v>46149.454907407409</v>
      </c>
      <c r="B2050" s="32">
        <v>4430289556</v>
      </c>
      <c r="C2050" s="32" t="s">
        <v>44</v>
      </c>
      <c r="D2050" s="32">
        <v>4430265054</v>
      </c>
      <c r="E2050" s="32">
        <v>302</v>
      </c>
      <c r="F2050" s="32">
        <v>269</v>
      </c>
      <c r="G2050" s="32" t="s">
        <v>38</v>
      </c>
      <c r="H2050" s="32" t="s">
        <v>4767</v>
      </c>
      <c r="I2050" s="32" t="s">
        <v>39</v>
      </c>
      <c r="J2050" s="32" t="s">
        <v>40</v>
      </c>
      <c r="K2050" s="32" t="s">
        <v>41</v>
      </c>
    </row>
    <row r="2051" spans="1:12" hidden="1" x14ac:dyDescent="0.3">
      <c r="A2051" s="39">
        <v>46149.454432870371</v>
      </c>
      <c r="B2051" s="32">
        <v>4121413772</v>
      </c>
      <c r="C2051" s="32" t="s">
        <v>44</v>
      </c>
      <c r="D2051" s="32">
        <v>4531273162</v>
      </c>
      <c r="E2051" s="32">
        <v>47</v>
      </c>
      <c r="F2051" s="32">
        <v>7</v>
      </c>
      <c r="G2051" s="32" t="s">
        <v>38</v>
      </c>
      <c r="H2051" s="32" t="s">
        <v>4768</v>
      </c>
      <c r="I2051" s="32" t="s">
        <v>39</v>
      </c>
      <c r="J2051" s="32" t="s">
        <v>40</v>
      </c>
      <c r="K2051" s="32" t="s">
        <v>41</v>
      </c>
    </row>
    <row r="2052" spans="1:12" hidden="1" x14ac:dyDescent="0.3">
      <c r="A2052" s="39">
        <v>46149.453287037039</v>
      </c>
      <c r="B2052" s="32">
        <v>4430141092</v>
      </c>
      <c r="C2052" s="32" t="s">
        <v>45</v>
      </c>
      <c r="D2052" s="32">
        <v>4430265054</v>
      </c>
      <c r="E2052" s="32">
        <v>1227</v>
      </c>
      <c r="F2052" s="32">
        <v>1190</v>
      </c>
      <c r="G2052" s="32" t="s">
        <v>38</v>
      </c>
      <c r="H2052" s="32" t="s">
        <v>4769</v>
      </c>
      <c r="I2052" s="32" t="s">
        <v>39</v>
      </c>
      <c r="J2052" s="32" t="s">
        <v>40</v>
      </c>
      <c r="K2052" s="32" t="s">
        <v>41</v>
      </c>
      <c r="L2052" s="32">
        <v>5</v>
      </c>
    </row>
    <row r="2053" spans="1:12" hidden="1" x14ac:dyDescent="0.3">
      <c r="A2053" s="39">
        <v>46149.452245370368</v>
      </c>
      <c r="B2053" s="32">
        <v>4430316847</v>
      </c>
      <c r="C2053" s="32">
        <v>4430265054</v>
      </c>
      <c r="D2053" s="32">
        <v>4430265054</v>
      </c>
      <c r="E2053" s="32">
        <v>7</v>
      </c>
      <c r="F2053" s="32">
        <v>7</v>
      </c>
      <c r="G2053" s="32" t="s">
        <v>52</v>
      </c>
      <c r="H2053" s="32" t="s">
        <v>4770</v>
      </c>
      <c r="I2053" s="32" t="s">
        <v>39</v>
      </c>
      <c r="J2053" s="32" t="s">
        <v>53</v>
      </c>
    </row>
    <row r="2054" spans="1:12" hidden="1" x14ac:dyDescent="0.3">
      <c r="A2054" s="39">
        <v>46149.450868055559</v>
      </c>
      <c r="B2054" s="32" t="s">
        <v>57</v>
      </c>
      <c r="C2054" s="32">
        <v>44998003003</v>
      </c>
      <c r="E2054" s="32">
        <v>308</v>
      </c>
      <c r="F2054" s="32">
        <v>300</v>
      </c>
      <c r="G2054" s="32" t="s">
        <v>38</v>
      </c>
      <c r="H2054" s="32" t="s">
        <v>4771</v>
      </c>
      <c r="I2054" s="32" t="s">
        <v>46</v>
      </c>
      <c r="J2054" s="32" t="s">
        <v>55</v>
      </c>
    </row>
    <row r="2055" spans="1:12" hidden="1" x14ac:dyDescent="0.3">
      <c r="A2055" s="39">
        <v>46149.445925925924</v>
      </c>
      <c r="B2055" s="32">
        <v>4433015972</v>
      </c>
      <c r="C2055" s="32">
        <v>4430265054</v>
      </c>
      <c r="D2055" s="32">
        <v>4430265054</v>
      </c>
      <c r="E2055" s="32">
        <v>3</v>
      </c>
      <c r="F2055" s="32">
        <v>2</v>
      </c>
      <c r="G2055" s="32" t="s">
        <v>52</v>
      </c>
      <c r="H2055" s="32" t="s">
        <v>4772</v>
      </c>
      <c r="I2055" s="32" t="s">
        <v>39</v>
      </c>
      <c r="J2055" s="32" t="s">
        <v>53</v>
      </c>
    </row>
    <row r="2056" spans="1:12" hidden="1" x14ac:dyDescent="0.3">
      <c r="A2056" s="39">
        <v>46149.445381944446</v>
      </c>
      <c r="B2056" s="32" t="s">
        <v>44</v>
      </c>
      <c r="C2056" s="32">
        <v>4520312689</v>
      </c>
      <c r="E2056" s="32">
        <v>63</v>
      </c>
      <c r="F2056" s="32">
        <v>55</v>
      </c>
      <c r="G2056" s="32" t="s">
        <v>38</v>
      </c>
      <c r="H2056" s="32" t="s">
        <v>4773</v>
      </c>
      <c r="I2056" s="32" t="s">
        <v>46</v>
      </c>
      <c r="J2056" s="32" t="s">
        <v>40</v>
      </c>
    </row>
    <row r="2057" spans="1:12" hidden="1" x14ac:dyDescent="0.3">
      <c r="A2057" s="39">
        <v>46149.441863425927</v>
      </c>
      <c r="B2057" s="32">
        <v>44998581219</v>
      </c>
      <c r="C2057" s="32" t="s">
        <v>37</v>
      </c>
      <c r="D2057" s="32">
        <v>4430265054</v>
      </c>
      <c r="E2057" s="32">
        <v>1179</v>
      </c>
      <c r="F2057" s="32">
        <v>1098</v>
      </c>
      <c r="G2057" s="32" t="s">
        <v>38</v>
      </c>
      <c r="H2057" s="32" t="s">
        <v>4774</v>
      </c>
      <c r="I2057" s="32" t="s">
        <v>39</v>
      </c>
      <c r="J2057" s="32" t="s">
        <v>40</v>
      </c>
      <c r="K2057" s="32" t="s">
        <v>41</v>
      </c>
    </row>
    <row r="2058" spans="1:12" hidden="1" x14ac:dyDescent="0.3">
      <c r="A2058" s="39">
        <v>46149.435613425929</v>
      </c>
      <c r="B2058" s="32">
        <v>4520312689</v>
      </c>
      <c r="C2058" s="32" t="s">
        <v>44</v>
      </c>
      <c r="D2058" s="32">
        <v>4430265054</v>
      </c>
      <c r="E2058" s="32">
        <v>763</v>
      </c>
      <c r="F2058" s="32">
        <v>736</v>
      </c>
      <c r="G2058" s="32" t="s">
        <v>38</v>
      </c>
      <c r="H2058" s="32" t="s">
        <v>4775</v>
      </c>
      <c r="I2058" s="32" t="s">
        <v>39</v>
      </c>
      <c r="J2058" s="32" t="s">
        <v>40</v>
      </c>
      <c r="K2058" s="32" t="s">
        <v>41</v>
      </c>
    </row>
    <row r="2059" spans="1:12" hidden="1" x14ac:dyDescent="0.3">
      <c r="A2059" s="39">
        <v>46149.434884259259</v>
      </c>
      <c r="B2059" s="32">
        <v>44991814587</v>
      </c>
      <c r="C2059" s="32" t="s">
        <v>43</v>
      </c>
      <c r="D2059" s="32">
        <v>4430265054</v>
      </c>
      <c r="E2059" s="32">
        <v>635</v>
      </c>
      <c r="F2059" s="32">
        <v>584</v>
      </c>
      <c r="G2059" s="32" t="s">
        <v>38</v>
      </c>
      <c r="H2059" s="32" t="s">
        <v>4776</v>
      </c>
      <c r="I2059" s="32" t="s">
        <v>39</v>
      </c>
      <c r="J2059" s="32" t="s">
        <v>40</v>
      </c>
      <c r="K2059" s="32" t="s">
        <v>41</v>
      </c>
    </row>
    <row r="2060" spans="1:12" hidden="1" x14ac:dyDescent="0.3">
      <c r="A2060" s="39">
        <v>46149.434340277781</v>
      </c>
      <c r="B2060" s="32" t="s">
        <v>43</v>
      </c>
      <c r="C2060" s="32">
        <v>44998640313</v>
      </c>
      <c r="E2060" s="32">
        <v>34</v>
      </c>
      <c r="F2060" s="32">
        <v>0</v>
      </c>
      <c r="G2060" s="32" t="s">
        <v>47</v>
      </c>
      <c r="H2060" s="32" t="s">
        <v>4777</v>
      </c>
      <c r="I2060" s="32" t="s">
        <v>46</v>
      </c>
      <c r="J2060" s="32" t="s">
        <v>40</v>
      </c>
    </row>
    <row r="2061" spans="1:12" hidden="1" x14ac:dyDescent="0.3">
      <c r="A2061" s="39">
        <v>46149.431481481479</v>
      </c>
      <c r="B2061" s="32">
        <v>4121418164</v>
      </c>
      <c r="C2061" s="32">
        <v>4531273173</v>
      </c>
      <c r="D2061" s="32">
        <v>4531273173</v>
      </c>
      <c r="E2061" s="32">
        <v>47</v>
      </c>
      <c r="F2061" s="32">
        <v>46</v>
      </c>
      <c r="G2061" s="32" t="s">
        <v>52</v>
      </c>
      <c r="H2061" s="32" t="s">
        <v>4778</v>
      </c>
      <c r="I2061" s="32" t="s">
        <v>39</v>
      </c>
      <c r="J2061" s="32" t="s">
        <v>53</v>
      </c>
      <c r="K2061" s="32" t="s">
        <v>41</v>
      </c>
    </row>
    <row r="2062" spans="1:12" hidden="1" x14ac:dyDescent="0.3">
      <c r="A2062" s="39">
        <v>46149.429884259262</v>
      </c>
      <c r="B2062" s="32">
        <v>4430289386</v>
      </c>
      <c r="C2062" s="32" t="s">
        <v>43</v>
      </c>
      <c r="D2062" s="32">
        <v>4430265054</v>
      </c>
      <c r="E2062" s="32">
        <v>318</v>
      </c>
      <c r="F2062" s="32">
        <v>255</v>
      </c>
      <c r="G2062" s="32" t="s">
        <v>38</v>
      </c>
      <c r="H2062" s="32" t="s">
        <v>4779</v>
      </c>
      <c r="I2062" s="32" t="s">
        <v>39</v>
      </c>
      <c r="J2062" s="32" t="s">
        <v>40</v>
      </c>
      <c r="K2062" s="32" t="s">
        <v>41</v>
      </c>
    </row>
    <row r="2063" spans="1:12" hidden="1" x14ac:dyDescent="0.3">
      <c r="A2063" s="39">
        <v>46149.422453703701</v>
      </c>
      <c r="B2063" s="32">
        <v>4533011420</v>
      </c>
      <c r="C2063" s="32">
        <v>4531273176</v>
      </c>
      <c r="D2063" s="32">
        <v>4531273176</v>
      </c>
      <c r="E2063" s="32">
        <v>47</v>
      </c>
      <c r="F2063" s="32">
        <v>46</v>
      </c>
      <c r="G2063" s="32" t="s">
        <v>52</v>
      </c>
      <c r="H2063" s="32" t="s">
        <v>4780</v>
      </c>
      <c r="I2063" s="32" t="s">
        <v>39</v>
      </c>
      <c r="J2063" s="32" t="s">
        <v>53</v>
      </c>
      <c r="K2063" s="32" t="s">
        <v>41</v>
      </c>
    </row>
    <row r="2064" spans="1:12" hidden="1" x14ac:dyDescent="0.3">
      <c r="A2064" s="39">
        <v>46149.420046296298</v>
      </c>
      <c r="B2064" s="32">
        <v>4432256273</v>
      </c>
      <c r="C2064" s="32" t="s">
        <v>43</v>
      </c>
      <c r="D2064" s="32">
        <v>4430265054</v>
      </c>
      <c r="E2064" s="32">
        <v>266</v>
      </c>
      <c r="F2064" s="32">
        <v>225</v>
      </c>
      <c r="G2064" s="32" t="s">
        <v>38</v>
      </c>
      <c r="H2064" s="32" t="s">
        <v>4781</v>
      </c>
      <c r="I2064" s="32" t="s">
        <v>39</v>
      </c>
      <c r="J2064" s="32" t="s">
        <v>40</v>
      </c>
      <c r="K2064" s="32" t="s">
        <v>41</v>
      </c>
      <c r="L2064" s="32">
        <v>5</v>
      </c>
    </row>
    <row r="2065" spans="1:12" hidden="1" x14ac:dyDescent="0.3">
      <c r="A2065" s="39">
        <v>46149.418923611112</v>
      </c>
      <c r="B2065" s="32">
        <v>44999844110</v>
      </c>
      <c r="C2065" s="32" t="s">
        <v>44</v>
      </c>
      <c r="D2065" s="32">
        <v>4430265054</v>
      </c>
      <c r="E2065" s="32">
        <v>235</v>
      </c>
      <c r="F2065" s="32">
        <v>211</v>
      </c>
      <c r="G2065" s="32" t="s">
        <v>38</v>
      </c>
      <c r="H2065" s="32" t="s">
        <v>4782</v>
      </c>
      <c r="I2065" s="32" t="s">
        <v>39</v>
      </c>
      <c r="J2065" s="32" t="s">
        <v>40</v>
      </c>
      <c r="K2065" s="32" t="s">
        <v>41</v>
      </c>
    </row>
    <row r="2066" spans="1:12" hidden="1" x14ac:dyDescent="0.3">
      <c r="A2066" s="39">
        <v>46149.415937500002</v>
      </c>
      <c r="B2066" s="32">
        <v>44997735525</v>
      </c>
      <c r="C2066" s="32" t="s">
        <v>37</v>
      </c>
      <c r="D2066" s="32">
        <v>4430265054</v>
      </c>
      <c r="E2066" s="32">
        <v>1513</v>
      </c>
      <c r="F2066" s="32">
        <v>1435</v>
      </c>
      <c r="G2066" s="32" t="s">
        <v>38</v>
      </c>
      <c r="H2066" s="32" t="s">
        <v>4783</v>
      </c>
      <c r="I2066" s="32" t="s">
        <v>39</v>
      </c>
      <c r="J2066" s="32" t="s">
        <v>40</v>
      </c>
      <c r="K2066" s="32" t="s">
        <v>41</v>
      </c>
      <c r="L2066" s="32">
        <v>5</v>
      </c>
    </row>
    <row r="2067" spans="1:12" hidden="1" x14ac:dyDescent="0.3">
      <c r="A2067" s="39">
        <v>46149.412083333336</v>
      </c>
      <c r="B2067" s="32">
        <v>44988303530</v>
      </c>
      <c r="C2067" s="32" t="s">
        <v>43</v>
      </c>
      <c r="D2067" s="32">
        <v>4430265054</v>
      </c>
      <c r="E2067" s="32">
        <v>381</v>
      </c>
      <c r="F2067" s="32">
        <v>328</v>
      </c>
      <c r="G2067" s="32" t="s">
        <v>38</v>
      </c>
      <c r="H2067" s="32" t="s">
        <v>4784</v>
      </c>
      <c r="I2067" s="32" t="s">
        <v>39</v>
      </c>
      <c r="J2067" s="32" t="s">
        <v>40</v>
      </c>
      <c r="K2067" s="32" t="s">
        <v>41</v>
      </c>
      <c r="L2067" s="32">
        <v>5</v>
      </c>
    </row>
    <row r="2068" spans="1:12" hidden="1" x14ac:dyDescent="0.3">
      <c r="A2068" s="39">
        <v>46149.405300925922</v>
      </c>
      <c r="B2068" s="32">
        <v>4433543396</v>
      </c>
      <c r="C2068" s="32" t="s">
        <v>45</v>
      </c>
      <c r="D2068" s="32">
        <v>4430265054</v>
      </c>
      <c r="E2068" s="32">
        <v>593</v>
      </c>
      <c r="F2068" s="32">
        <v>577</v>
      </c>
      <c r="G2068" s="32" t="s">
        <v>38</v>
      </c>
      <c r="H2068" s="32" t="s">
        <v>4785</v>
      </c>
      <c r="I2068" s="32" t="s">
        <v>39</v>
      </c>
      <c r="J2068" s="32" t="s">
        <v>40</v>
      </c>
      <c r="K2068" s="32" t="s">
        <v>41</v>
      </c>
      <c r="L2068" s="32">
        <v>5</v>
      </c>
    </row>
    <row r="2069" spans="1:12" hidden="1" x14ac:dyDescent="0.3">
      <c r="A2069" s="39">
        <v>46149.403506944444</v>
      </c>
      <c r="B2069" s="32">
        <v>44991814587</v>
      </c>
      <c r="C2069" s="32">
        <v>4430265054</v>
      </c>
      <c r="D2069" s="32">
        <v>4430265054</v>
      </c>
      <c r="E2069" s="32">
        <v>53</v>
      </c>
      <c r="F2069" s="32">
        <v>52</v>
      </c>
      <c r="G2069" s="32" t="s">
        <v>52</v>
      </c>
      <c r="H2069" s="32" t="s">
        <v>4786</v>
      </c>
      <c r="I2069" s="32" t="s">
        <v>39</v>
      </c>
      <c r="J2069" s="32" t="s">
        <v>53</v>
      </c>
      <c r="K2069" s="32" t="s">
        <v>41</v>
      </c>
    </row>
    <row r="2070" spans="1:12" hidden="1" x14ac:dyDescent="0.3">
      <c r="A2070" s="39">
        <v>46149.402453703704</v>
      </c>
      <c r="B2070" s="32">
        <v>4430316847</v>
      </c>
      <c r="C2070" s="32" t="s">
        <v>43</v>
      </c>
      <c r="D2070" s="32">
        <v>4430265054</v>
      </c>
      <c r="E2070" s="32">
        <v>269</v>
      </c>
      <c r="F2070" s="32">
        <v>235</v>
      </c>
      <c r="G2070" s="32" t="s">
        <v>38</v>
      </c>
      <c r="H2070" s="32" t="s">
        <v>4787</v>
      </c>
      <c r="I2070" s="32" t="s">
        <v>39</v>
      </c>
      <c r="J2070" s="32" t="s">
        <v>40</v>
      </c>
      <c r="K2070" s="32" t="s">
        <v>41</v>
      </c>
    </row>
    <row r="2071" spans="1:12" hidden="1" x14ac:dyDescent="0.3">
      <c r="A2071" s="39">
        <v>46149.399363425924</v>
      </c>
      <c r="B2071" s="32">
        <v>91989363636</v>
      </c>
      <c r="C2071" s="32" t="s">
        <v>45</v>
      </c>
      <c r="D2071" s="32">
        <v>4430265054</v>
      </c>
      <c r="E2071" s="32">
        <v>472</v>
      </c>
      <c r="F2071" s="32">
        <v>449</v>
      </c>
      <c r="G2071" s="32" t="s">
        <v>38</v>
      </c>
      <c r="H2071" s="32" t="s">
        <v>4788</v>
      </c>
      <c r="I2071" s="32" t="s">
        <v>39</v>
      </c>
      <c r="J2071" s="32" t="s">
        <v>40</v>
      </c>
      <c r="K2071" s="32" t="s">
        <v>41</v>
      </c>
      <c r="L2071" s="32">
        <v>5</v>
      </c>
    </row>
    <row r="2072" spans="1:12" hidden="1" x14ac:dyDescent="0.3">
      <c r="A2072" s="39">
        <v>46149.397719907407</v>
      </c>
      <c r="B2072" s="32">
        <v>4532541802</v>
      </c>
      <c r="C2072" s="32" t="s">
        <v>48</v>
      </c>
      <c r="D2072" s="32">
        <v>4430265054</v>
      </c>
      <c r="E2072" s="32">
        <v>505</v>
      </c>
      <c r="F2072" s="32">
        <v>380</v>
      </c>
      <c r="G2072" s="32" t="s">
        <v>38</v>
      </c>
      <c r="H2072" s="32" t="s">
        <v>4789</v>
      </c>
      <c r="I2072" s="32" t="s">
        <v>39</v>
      </c>
      <c r="J2072" s="32" t="s">
        <v>40</v>
      </c>
      <c r="K2072" s="32" t="s">
        <v>41</v>
      </c>
    </row>
    <row r="2073" spans="1:12" hidden="1" x14ac:dyDescent="0.3">
      <c r="A2073" s="39">
        <v>46149.397222222222</v>
      </c>
      <c r="B2073" s="32">
        <v>91989363636</v>
      </c>
      <c r="C2073" s="32">
        <v>4430265054</v>
      </c>
      <c r="D2073" s="32">
        <v>4430265054</v>
      </c>
      <c r="E2073" s="32">
        <v>178</v>
      </c>
      <c r="F2073" s="32">
        <v>177</v>
      </c>
      <c r="G2073" s="32" t="s">
        <v>52</v>
      </c>
      <c r="H2073" s="32" t="s">
        <v>4790</v>
      </c>
      <c r="I2073" s="32" t="s">
        <v>39</v>
      </c>
      <c r="J2073" s="32" t="s">
        <v>53</v>
      </c>
      <c r="K2073" s="32" t="s">
        <v>41</v>
      </c>
    </row>
    <row r="2074" spans="1:12" hidden="1" x14ac:dyDescent="0.3">
      <c r="A2074" s="39">
        <v>46149.394872685189</v>
      </c>
      <c r="B2074" s="32">
        <v>44991814587</v>
      </c>
      <c r="C2074" s="32" t="s">
        <v>43</v>
      </c>
      <c r="D2074" s="32">
        <v>4430265054</v>
      </c>
      <c r="E2074" s="32">
        <v>476</v>
      </c>
      <c r="F2074" s="32">
        <v>348</v>
      </c>
      <c r="G2074" s="32" t="s">
        <v>38</v>
      </c>
      <c r="H2074" s="32" t="s">
        <v>4791</v>
      </c>
      <c r="I2074" s="32" t="s">
        <v>39</v>
      </c>
      <c r="J2074" s="32" t="s">
        <v>40</v>
      </c>
      <c r="K2074" s="32" t="s">
        <v>41</v>
      </c>
    </row>
    <row r="2075" spans="1:12" hidden="1" x14ac:dyDescent="0.3">
      <c r="A2075" s="39">
        <v>46149.386064814818</v>
      </c>
      <c r="B2075" s="32">
        <v>4430291622</v>
      </c>
      <c r="C2075" s="32" t="s">
        <v>43</v>
      </c>
      <c r="D2075" s="32">
        <v>4430265054</v>
      </c>
      <c r="E2075" s="32">
        <v>227</v>
      </c>
      <c r="F2075" s="32">
        <v>190</v>
      </c>
      <c r="G2075" s="32" t="s">
        <v>38</v>
      </c>
      <c r="H2075" s="32" t="s">
        <v>4792</v>
      </c>
      <c r="I2075" s="32" t="s">
        <v>39</v>
      </c>
      <c r="J2075" s="32" t="s">
        <v>40</v>
      </c>
      <c r="K2075" s="32" t="s">
        <v>41</v>
      </c>
    </row>
    <row r="2076" spans="1:12" hidden="1" x14ac:dyDescent="0.3">
      <c r="A2076" s="39">
        <v>46149.376608796294</v>
      </c>
      <c r="B2076" s="32">
        <v>4430146402</v>
      </c>
      <c r="C2076" s="32" t="s">
        <v>44</v>
      </c>
      <c r="D2076" s="32">
        <v>4430265054</v>
      </c>
      <c r="E2076" s="32">
        <v>370</v>
      </c>
      <c r="F2076" s="32">
        <v>211</v>
      </c>
      <c r="G2076" s="32" t="s">
        <v>38</v>
      </c>
      <c r="H2076" s="32" t="s">
        <v>4793</v>
      </c>
      <c r="I2076" s="32" t="s">
        <v>39</v>
      </c>
      <c r="J2076" s="32" t="s">
        <v>40</v>
      </c>
      <c r="K2076" s="32" t="s">
        <v>41</v>
      </c>
      <c r="L2076" s="32">
        <v>5</v>
      </c>
    </row>
    <row r="2077" spans="1:12" hidden="1" x14ac:dyDescent="0.3">
      <c r="A2077" s="39">
        <v>46149.375497685185</v>
      </c>
      <c r="B2077" s="32">
        <v>41996081809</v>
      </c>
      <c r="C2077" s="32" t="s">
        <v>37</v>
      </c>
      <c r="D2077" s="32">
        <v>4430265054</v>
      </c>
      <c r="E2077" s="32">
        <v>2720</v>
      </c>
      <c r="F2077" s="32">
        <v>2635</v>
      </c>
      <c r="G2077" s="32" t="s">
        <v>38</v>
      </c>
      <c r="H2077" s="32" t="s">
        <v>4794</v>
      </c>
      <c r="I2077" s="32" t="s">
        <v>39</v>
      </c>
      <c r="J2077" s="32" t="s">
        <v>40</v>
      </c>
      <c r="K2077" s="32" t="s">
        <v>41</v>
      </c>
      <c r="L2077" s="32">
        <v>5</v>
      </c>
    </row>
    <row r="2078" spans="1:12" hidden="1" x14ac:dyDescent="0.3">
      <c r="A2078" s="39">
        <v>46149.372824074075</v>
      </c>
      <c r="B2078" s="32" t="s">
        <v>37</v>
      </c>
      <c r="C2078" s="32">
        <v>4430459032</v>
      </c>
      <c r="E2078" s="32">
        <v>9</v>
      </c>
      <c r="F2078" s="32">
        <v>0</v>
      </c>
      <c r="G2078" s="32" t="s">
        <v>47</v>
      </c>
      <c r="H2078" s="32" t="s">
        <v>4795</v>
      </c>
      <c r="I2078" s="32" t="s">
        <v>46</v>
      </c>
      <c r="J2078" s="32" t="s">
        <v>40</v>
      </c>
    </row>
    <row r="2079" spans="1:12" hidden="1" x14ac:dyDescent="0.3">
      <c r="A2079" s="39">
        <v>46149.371712962966</v>
      </c>
      <c r="B2079" s="32">
        <v>4330332823</v>
      </c>
      <c r="C2079" s="32" t="s">
        <v>48</v>
      </c>
      <c r="D2079" s="32">
        <v>4430265054</v>
      </c>
      <c r="E2079" s="32">
        <v>97</v>
      </c>
      <c r="F2079" s="32">
        <v>54</v>
      </c>
      <c r="G2079" s="32" t="s">
        <v>38</v>
      </c>
      <c r="H2079" s="32" t="s">
        <v>4796</v>
      </c>
      <c r="I2079" s="32" t="s">
        <v>39</v>
      </c>
      <c r="J2079" s="32" t="s">
        <v>40</v>
      </c>
      <c r="K2079" s="32" t="s">
        <v>41</v>
      </c>
    </row>
    <row r="2080" spans="1:12" hidden="1" x14ac:dyDescent="0.3">
      <c r="A2080" s="39">
        <v>46149.370972222219</v>
      </c>
      <c r="B2080" s="32" t="s">
        <v>37</v>
      </c>
      <c r="C2080" s="32">
        <v>4435223408</v>
      </c>
      <c r="E2080" s="32">
        <v>132</v>
      </c>
      <c r="F2080" s="32">
        <v>108</v>
      </c>
      <c r="G2080" s="32" t="s">
        <v>38</v>
      </c>
      <c r="H2080" s="32" t="s">
        <v>4797</v>
      </c>
      <c r="I2080" s="32" t="s">
        <v>46</v>
      </c>
      <c r="J2080" s="32" t="s">
        <v>40</v>
      </c>
    </row>
    <row r="2081" spans="1:11" hidden="1" x14ac:dyDescent="0.3">
      <c r="A2081" s="39">
        <v>46149.370717592596</v>
      </c>
      <c r="B2081" s="32">
        <v>44998581219</v>
      </c>
      <c r="C2081" s="32" t="s">
        <v>44</v>
      </c>
      <c r="D2081" s="32">
        <v>4430265054</v>
      </c>
      <c r="E2081" s="32">
        <v>543</v>
      </c>
      <c r="F2081" s="32">
        <v>419</v>
      </c>
      <c r="G2081" s="32" t="s">
        <v>38</v>
      </c>
      <c r="H2081" s="32" t="s">
        <v>4798</v>
      </c>
      <c r="I2081" s="32" t="s">
        <v>39</v>
      </c>
      <c r="J2081" s="32" t="s">
        <v>40</v>
      </c>
      <c r="K2081" s="32" t="s">
        <v>41</v>
      </c>
    </row>
    <row r="2082" spans="1:11" hidden="1" x14ac:dyDescent="0.3">
      <c r="A2082" s="39">
        <v>46149.369849537034</v>
      </c>
      <c r="B2082" s="32" t="s">
        <v>45</v>
      </c>
      <c r="C2082" s="32">
        <v>4434221055</v>
      </c>
      <c r="E2082" s="32">
        <v>933</v>
      </c>
      <c r="F2082" s="32">
        <v>919</v>
      </c>
      <c r="G2082" s="32" t="s">
        <v>38</v>
      </c>
      <c r="H2082" s="32" t="s">
        <v>4799</v>
      </c>
      <c r="I2082" s="32" t="s">
        <v>46</v>
      </c>
      <c r="J2082" s="32" t="s">
        <v>40</v>
      </c>
    </row>
    <row r="2083" spans="1:11" hidden="1" x14ac:dyDescent="0.3">
      <c r="A2083" s="39">
        <v>46149.368935185186</v>
      </c>
      <c r="B2083" s="32">
        <v>4430288517</v>
      </c>
      <c r="C2083" s="32" t="s">
        <v>57</v>
      </c>
      <c r="D2083" s="32">
        <v>4430265054</v>
      </c>
      <c r="E2083" s="32">
        <v>222</v>
      </c>
      <c r="F2083" s="32">
        <v>200</v>
      </c>
      <c r="G2083" s="32" t="s">
        <v>38</v>
      </c>
      <c r="H2083" s="32" t="s">
        <v>4800</v>
      </c>
      <c r="I2083" s="32" t="s">
        <v>39</v>
      </c>
      <c r="J2083" s="32" t="s">
        <v>55</v>
      </c>
      <c r="K2083" s="32" t="s">
        <v>49</v>
      </c>
    </row>
    <row r="2084" spans="1:11" hidden="1" x14ac:dyDescent="0.3">
      <c r="A2084" s="39">
        <v>46149.368333333332</v>
      </c>
      <c r="B2084" s="32" t="s">
        <v>43</v>
      </c>
      <c r="C2084" s="32">
        <v>44997561804</v>
      </c>
      <c r="E2084" s="32">
        <v>933</v>
      </c>
      <c r="F2084" s="32">
        <v>930</v>
      </c>
      <c r="G2084" s="32" t="s">
        <v>38</v>
      </c>
      <c r="H2084" s="32" t="s">
        <v>4801</v>
      </c>
      <c r="I2084" s="32" t="s">
        <v>46</v>
      </c>
      <c r="J2084" s="32" t="s">
        <v>40</v>
      </c>
    </row>
    <row r="2085" spans="1:11" hidden="1" x14ac:dyDescent="0.3">
      <c r="A2085" s="39">
        <v>46149.368113425924</v>
      </c>
      <c r="B2085" s="32" t="s">
        <v>45</v>
      </c>
      <c r="C2085" s="32">
        <v>44999654761</v>
      </c>
      <c r="E2085" s="32">
        <v>45</v>
      </c>
      <c r="F2085" s="32">
        <v>28</v>
      </c>
      <c r="G2085" s="32" t="s">
        <v>38</v>
      </c>
      <c r="H2085" s="32" t="s">
        <v>4802</v>
      </c>
      <c r="I2085" s="32" t="s">
        <v>46</v>
      </c>
      <c r="J2085" s="32" t="s">
        <v>40</v>
      </c>
    </row>
    <row r="2086" spans="1:11" hidden="1" x14ac:dyDescent="0.3">
      <c r="A2086" s="39">
        <v>46149.364756944444</v>
      </c>
      <c r="B2086" s="32" t="s">
        <v>45</v>
      </c>
      <c r="C2086" s="32">
        <v>44997311122</v>
      </c>
      <c r="E2086" s="32">
        <v>22</v>
      </c>
      <c r="F2086" s="32">
        <v>0</v>
      </c>
      <c r="G2086" s="32" t="s">
        <v>47</v>
      </c>
      <c r="H2086" s="32" t="s">
        <v>4803</v>
      </c>
      <c r="I2086" s="32" t="s">
        <v>46</v>
      </c>
      <c r="J2086" s="32" t="s">
        <v>40</v>
      </c>
    </row>
    <row r="2087" spans="1:11" hidden="1" x14ac:dyDescent="0.3">
      <c r="A2087" s="39">
        <v>46149.362696759257</v>
      </c>
      <c r="B2087" s="32">
        <v>4430289386</v>
      </c>
      <c r="C2087" s="32" t="s">
        <v>43</v>
      </c>
      <c r="D2087" s="32">
        <v>4430265054</v>
      </c>
      <c r="E2087" s="32">
        <v>432</v>
      </c>
      <c r="F2087" s="32">
        <v>354</v>
      </c>
      <c r="G2087" s="32" t="s">
        <v>38</v>
      </c>
      <c r="H2087" s="32" t="s">
        <v>4804</v>
      </c>
      <c r="I2087" s="32" t="s">
        <v>39</v>
      </c>
      <c r="J2087" s="32" t="s">
        <v>40</v>
      </c>
      <c r="K2087" s="32" t="s">
        <v>41</v>
      </c>
    </row>
    <row r="2088" spans="1:11" hidden="1" x14ac:dyDescent="0.3">
      <c r="A2088" s="39">
        <v>46149.361863425926</v>
      </c>
      <c r="B2088" s="32">
        <v>44988251865</v>
      </c>
      <c r="C2088" s="32">
        <v>4430265054</v>
      </c>
      <c r="D2088" s="32">
        <v>4430265054</v>
      </c>
      <c r="E2088" s="32">
        <v>9</v>
      </c>
      <c r="F2088" s="32">
        <v>8</v>
      </c>
      <c r="G2088" s="32" t="s">
        <v>52</v>
      </c>
      <c r="H2088" s="32" t="s">
        <v>4805</v>
      </c>
      <c r="I2088" s="32" t="s">
        <v>39</v>
      </c>
      <c r="J2088" s="32" t="s">
        <v>53</v>
      </c>
    </row>
    <row r="2089" spans="1:11" hidden="1" x14ac:dyDescent="0.3">
      <c r="A2089" s="39">
        <v>46149.361747685187</v>
      </c>
      <c r="B2089" s="32">
        <v>4330333542</v>
      </c>
      <c r="C2089" s="32" t="s">
        <v>37</v>
      </c>
      <c r="D2089" s="32">
        <v>4430265054</v>
      </c>
      <c r="E2089" s="32">
        <v>357</v>
      </c>
      <c r="F2089" s="32">
        <v>251</v>
      </c>
      <c r="G2089" s="32" t="s">
        <v>38</v>
      </c>
      <c r="H2089" s="32" t="s">
        <v>4806</v>
      </c>
      <c r="I2089" s="32" t="s">
        <v>39</v>
      </c>
      <c r="J2089" s="32" t="s">
        <v>40</v>
      </c>
      <c r="K2089" s="32" t="s">
        <v>41</v>
      </c>
    </row>
    <row r="2090" spans="1:11" hidden="1" x14ac:dyDescent="0.3">
      <c r="A2090" s="39">
        <v>46149.356458333335</v>
      </c>
      <c r="B2090" s="32">
        <v>44999844110</v>
      </c>
      <c r="C2090" s="32" t="s">
        <v>45</v>
      </c>
      <c r="D2090" s="32">
        <v>4430265054</v>
      </c>
      <c r="E2090" s="32">
        <v>584</v>
      </c>
      <c r="F2090" s="32">
        <v>561</v>
      </c>
      <c r="G2090" s="32" t="s">
        <v>38</v>
      </c>
      <c r="H2090" s="32" t="s">
        <v>4807</v>
      </c>
      <c r="I2090" s="32" t="s">
        <v>39</v>
      </c>
      <c r="J2090" s="32" t="s">
        <v>40</v>
      </c>
      <c r="K2090" s="32" t="s">
        <v>41</v>
      </c>
    </row>
    <row r="2091" spans="1:11" hidden="1" x14ac:dyDescent="0.3">
      <c r="A2091" s="39">
        <v>46149.355381944442</v>
      </c>
      <c r="B2091" s="32" t="s">
        <v>43</v>
      </c>
      <c r="C2091" s="32">
        <v>44997561804</v>
      </c>
      <c r="E2091" s="32">
        <v>34</v>
      </c>
      <c r="F2091" s="32">
        <v>0</v>
      </c>
      <c r="G2091" s="32" t="s">
        <v>47</v>
      </c>
      <c r="H2091" s="32" t="s">
        <v>4808</v>
      </c>
      <c r="I2091" s="32" t="s">
        <v>46</v>
      </c>
      <c r="J2091" s="32" t="s">
        <v>40</v>
      </c>
    </row>
    <row r="2092" spans="1:11" hidden="1" x14ac:dyDescent="0.3">
      <c r="A2092" s="39">
        <v>46149.352071759262</v>
      </c>
      <c r="B2092" s="32" t="s">
        <v>45</v>
      </c>
      <c r="C2092" s="32">
        <v>4432467383</v>
      </c>
      <c r="E2092" s="32">
        <v>120</v>
      </c>
      <c r="F2092" s="32">
        <v>112</v>
      </c>
      <c r="G2092" s="32" t="s">
        <v>38</v>
      </c>
      <c r="H2092" s="32" t="s">
        <v>4809</v>
      </c>
      <c r="I2092" s="32" t="s">
        <v>46</v>
      </c>
      <c r="J2092" s="32" t="s">
        <v>40</v>
      </c>
    </row>
    <row r="2093" spans="1:11" hidden="1" x14ac:dyDescent="0.3">
      <c r="A2093" s="39">
        <v>46149.352013888885</v>
      </c>
      <c r="B2093" s="32">
        <v>44999844110</v>
      </c>
      <c r="C2093" s="32">
        <v>4430265054</v>
      </c>
      <c r="D2093" s="32">
        <v>4430265054</v>
      </c>
      <c r="E2093" s="32">
        <v>11</v>
      </c>
      <c r="F2093" s="32">
        <v>11</v>
      </c>
      <c r="G2093" s="32" t="s">
        <v>52</v>
      </c>
      <c r="H2093" s="32" t="s">
        <v>4810</v>
      </c>
      <c r="I2093" s="32" t="s">
        <v>39</v>
      </c>
      <c r="J2093" s="32" t="s">
        <v>53</v>
      </c>
    </row>
    <row r="2094" spans="1:11" hidden="1" x14ac:dyDescent="0.3">
      <c r="A2094" s="39">
        <v>46149.348587962966</v>
      </c>
      <c r="B2094" s="32" t="s">
        <v>45</v>
      </c>
      <c r="C2094" s="32">
        <v>4433444400</v>
      </c>
      <c r="E2094" s="32">
        <v>188</v>
      </c>
      <c r="F2094" s="32">
        <v>186</v>
      </c>
      <c r="G2094" s="32" t="s">
        <v>38</v>
      </c>
      <c r="H2094" s="32" t="s">
        <v>4811</v>
      </c>
      <c r="I2094" s="32" t="s">
        <v>46</v>
      </c>
      <c r="J2094" s="32" t="s">
        <v>40</v>
      </c>
    </row>
    <row r="2095" spans="1:11" hidden="1" x14ac:dyDescent="0.3">
      <c r="A2095" s="39">
        <v>46149.336909722224</v>
      </c>
      <c r="B2095" s="32">
        <v>44997527701</v>
      </c>
      <c r="C2095" s="32">
        <v>4430265054</v>
      </c>
      <c r="D2095" s="32">
        <v>4430265054</v>
      </c>
      <c r="E2095" s="32">
        <v>8</v>
      </c>
      <c r="F2095" s="32">
        <v>7</v>
      </c>
      <c r="G2095" s="32" t="s">
        <v>52</v>
      </c>
      <c r="H2095" s="32" t="s">
        <v>4812</v>
      </c>
      <c r="I2095" s="32" t="s">
        <v>39</v>
      </c>
      <c r="J2095" s="32" t="s">
        <v>53</v>
      </c>
    </row>
    <row r="2096" spans="1:11" hidden="1" x14ac:dyDescent="0.3">
      <c r="A2096" s="39">
        <v>46149.335590277777</v>
      </c>
      <c r="B2096" s="32" t="s">
        <v>43</v>
      </c>
      <c r="C2096" s="32">
        <v>44997561804</v>
      </c>
      <c r="E2096" s="32">
        <v>31</v>
      </c>
      <c r="F2096" s="32">
        <v>24</v>
      </c>
      <c r="G2096" s="32" t="s">
        <v>38</v>
      </c>
      <c r="H2096" s="32" t="s">
        <v>4813</v>
      </c>
      <c r="I2096" s="32" t="s">
        <v>46</v>
      </c>
      <c r="J2096" s="32" t="s">
        <v>40</v>
      </c>
    </row>
    <row r="2097" spans="1:12" hidden="1" x14ac:dyDescent="0.3">
      <c r="A2097" s="39">
        <v>46148.725648148145</v>
      </c>
      <c r="B2097" s="32">
        <v>44997561804</v>
      </c>
      <c r="C2097" s="32" t="s">
        <v>43</v>
      </c>
      <c r="D2097" s="32">
        <v>4430265054</v>
      </c>
      <c r="E2097" s="32">
        <v>2096</v>
      </c>
      <c r="F2097" s="32">
        <v>2058</v>
      </c>
      <c r="G2097" s="32" t="s">
        <v>38</v>
      </c>
      <c r="H2097" s="32" t="s">
        <v>4814</v>
      </c>
      <c r="I2097" s="32" t="s">
        <v>39</v>
      </c>
      <c r="J2097" s="32" t="s">
        <v>40</v>
      </c>
      <c r="K2097" s="32" t="s">
        <v>41</v>
      </c>
    </row>
    <row r="2098" spans="1:12" hidden="1" x14ac:dyDescent="0.3">
      <c r="A2098" s="39">
        <v>46148.722210648149</v>
      </c>
      <c r="B2098" s="32" t="s">
        <v>54</v>
      </c>
      <c r="C2098" s="32">
        <v>91981325953</v>
      </c>
      <c r="E2098" s="32">
        <v>21</v>
      </c>
      <c r="F2098" s="32">
        <v>0</v>
      </c>
      <c r="G2098" s="32" t="s">
        <v>47</v>
      </c>
      <c r="H2098" s="32" t="s">
        <v>4815</v>
      </c>
      <c r="I2098" s="32" t="s">
        <v>46</v>
      </c>
      <c r="J2098" s="32" t="s">
        <v>55</v>
      </c>
    </row>
    <row r="2099" spans="1:12" hidden="1" x14ac:dyDescent="0.3">
      <c r="A2099" s="39">
        <v>46148.716793981483</v>
      </c>
      <c r="B2099" s="32" t="s">
        <v>44</v>
      </c>
      <c r="C2099" s="32">
        <v>4532541802</v>
      </c>
      <c r="E2099" s="32">
        <v>101</v>
      </c>
      <c r="F2099" s="32">
        <v>100</v>
      </c>
      <c r="G2099" s="32" t="s">
        <v>38</v>
      </c>
      <c r="H2099" s="32" t="s">
        <v>4816</v>
      </c>
      <c r="I2099" s="32" t="s">
        <v>46</v>
      </c>
      <c r="J2099" s="32" t="s">
        <v>40</v>
      </c>
    </row>
    <row r="2100" spans="1:12" hidden="1" x14ac:dyDescent="0.3">
      <c r="A2100" s="39">
        <v>46148.71597222222</v>
      </c>
      <c r="B2100" s="32">
        <v>4533042020</v>
      </c>
      <c r="C2100" s="32">
        <v>4531273159</v>
      </c>
      <c r="D2100" s="32">
        <v>4531273159</v>
      </c>
      <c r="E2100" s="32">
        <v>47</v>
      </c>
      <c r="F2100" s="32">
        <v>47</v>
      </c>
      <c r="G2100" s="32" t="s">
        <v>52</v>
      </c>
      <c r="H2100" s="32" t="s">
        <v>4817</v>
      </c>
      <c r="I2100" s="32" t="s">
        <v>39</v>
      </c>
      <c r="J2100" s="32" t="s">
        <v>53</v>
      </c>
      <c r="K2100" s="32" t="s">
        <v>41</v>
      </c>
    </row>
    <row r="2101" spans="1:12" hidden="1" x14ac:dyDescent="0.3">
      <c r="A2101" s="39">
        <v>46148.715439814812</v>
      </c>
      <c r="B2101" s="32">
        <v>44988255390</v>
      </c>
      <c r="C2101" s="32" t="s">
        <v>37</v>
      </c>
      <c r="D2101" s="32">
        <v>4430265054</v>
      </c>
      <c r="E2101" s="32">
        <v>1016</v>
      </c>
      <c r="F2101" s="32">
        <v>901</v>
      </c>
      <c r="G2101" s="32" t="s">
        <v>38</v>
      </c>
      <c r="H2101" s="32" t="s">
        <v>4818</v>
      </c>
      <c r="I2101" s="32" t="s">
        <v>39</v>
      </c>
      <c r="J2101" s="32" t="s">
        <v>40</v>
      </c>
      <c r="K2101" s="32" t="s">
        <v>41</v>
      </c>
      <c r="L2101" s="32">
        <v>5</v>
      </c>
    </row>
    <row r="2102" spans="1:12" hidden="1" x14ac:dyDescent="0.3">
      <c r="A2102" s="39">
        <v>46148.714814814812</v>
      </c>
      <c r="B2102" s="32">
        <v>44988255390</v>
      </c>
      <c r="C2102" s="32">
        <v>4430265054</v>
      </c>
      <c r="D2102" s="32">
        <v>4430265054</v>
      </c>
      <c r="E2102" s="32">
        <v>4</v>
      </c>
      <c r="F2102" s="32">
        <v>4</v>
      </c>
      <c r="G2102" s="32" t="s">
        <v>52</v>
      </c>
      <c r="H2102" s="32" t="s">
        <v>4819</v>
      </c>
      <c r="I2102" s="32" t="s">
        <v>39</v>
      </c>
      <c r="J2102" s="32" t="s">
        <v>53</v>
      </c>
    </row>
    <row r="2103" spans="1:12" hidden="1" x14ac:dyDescent="0.3">
      <c r="A2103" s="39">
        <v>46148.71371527778</v>
      </c>
      <c r="B2103" s="32" t="s">
        <v>54</v>
      </c>
      <c r="C2103" s="32">
        <v>85999874888</v>
      </c>
      <c r="E2103" s="32">
        <v>6</v>
      </c>
      <c r="F2103" s="32">
        <v>0</v>
      </c>
      <c r="G2103" s="32" t="s">
        <v>47</v>
      </c>
      <c r="H2103" s="32" t="s">
        <v>4820</v>
      </c>
      <c r="I2103" s="32" t="s">
        <v>46</v>
      </c>
      <c r="J2103" s="32" t="s">
        <v>55</v>
      </c>
    </row>
    <row r="2104" spans="1:12" hidden="1" x14ac:dyDescent="0.3">
      <c r="A2104" s="39">
        <v>46148.712962962964</v>
      </c>
      <c r="B2104" s="32" t="s">
        <v>54</v>
      </c>
      <c r="C2104" s="32">
        <v>51983066232</v>
      </c>
      <c r="E2104" s="32">
        <v>5</v>
      </c>
      <c r="F2104" s="32">
        <v>2</v>
      </c>
      <c r="G2104" s="32" t="s">
        <v>38</v>
      </c>
      <c r="H2104" s="32" t="s">
        <v>4821</v>
      </c>
      <c r="I2104" s="32" t="s">
        <v>46</v>
      </c>
      <c r="J2104" s="32" t="s">
        <v>55</v>
      </c>
    </row>
    <row r="2105" spans="1:12" hidden="1" x14ac:dyDescent="0.3">
      <c r="A2105" s="39">
        <v>46148.711759259262</v>
      </c>
      <c r="B2105" s="32">
        <v>1131515685</v>
      </c>
      <c r="C2105" s="32" t="s">
        <v>45</v>
      </c>
      <c r="D2105" s="32">
        <v>4430265054</v>
      </c>
      <c r="E2105" s="32">
        <v>1476</v>
      </c>
      <c r="F2105" s="32">
        <v>1403</v>
      </c>
      <c r="G2105" s="32" t="s">
        <v>38</v>
      </c>
      <c r="H2105" s="32" t="s">
        <v>4822</v>
      </c>
      <c r="I2105" s="32" t="s">
        <v>39</v>
      </c>
      <c r="J2105" s="32" t="s">
        <v>40</v>
      </c>
      <c r="K2105" s="32" t="s">
        <v>41</v>
      </c>
      <c r="L2105" s="32">
        <v>5</v>
      </c>
    </row>
    <row r="2106" spans="1:12" hidden="1" x14ac:dyDescent="0.3">
      <c r="A2106" s="39">
        <v>46148.7108912037</v>
      </c>
      <c r="B2106" s="32">
        <v>1131515685</v>
      </c>
      <c r="C2106" s="32">
        <v>4430265054</v>
      </c>
      <c r="D2106" s="32">
        <v>4430265054</v>
      </c>
      <c r="E2106" s="32">
        <v>1</v>
      </c>
      <c r="F2106" s="32">
        <v>0</v>
      </c>
      <c r="G2106" s="32" t="s">
        <v>52</v>
      </c>
      <c r="H2106" s="32" t="s">
        <v>4823</v>
      </c>
      <c r="I2106" s="32" t="s">
        <v>39</v>
      </c>
      <c r="J2106" s="32" t="s">
        <v>53</v>
      </c>
    </row>
    <row r="2107" spans="1:12" hidden="1" x14ac:dyDescent="0.3">
      <c r="A2107" s="39">
        <v>46148.709699074076</v>
      </c>
      <c r="B2107" s="32">
        <v>1131515685</v>
      </c>
      <c r="C2107" s="32">
        <v>4430265054</v>
      </c>
      <c r="D2107" s="32">
        <v>4430265054</v>
      </c>
      <c r="E2107" s="32">
        <v>28</v>
      </c>
      <c r="F2107" s="32">
        <v>27</v>
      </c>
      <c r="G2107" s="32" t="s">
        <v>52</v>
      </c>
      <c r="H2107" s="32" t="s">
        <v>4824</v>
      </c>
      <c r="I2107" s="32" t="s">
        <v>39</v>
      </c>
      <c r="J2107" s="32" t="s">
        <v>53</v>
      </c>
      <c r="K2107" s="32" t="s">
        <v>41</v>
      </c>
    </row>
    <row r="2108" spans="1:12" hidden="1" x14ac:dyDescent="0.3">
      <c r="A2108" s="39">
        <v>46148.709340277775</v>
      </c>
      <c r="B2108" s="32" t="s">
        <v>57</v>
      </c>
      <c r="C2108" s="32">
        <v>9936751451</v>
      </c>
      <c r="E2108" s="32">
        <v>9</v>
      </c>
      <c r="F2108" s="32">
        <v>0</v>
      </c>
      <c r="G2108" s="32" t="s">
        <v>47</v>
      </c>
      <c r="H2108" s="32" t="s">
        <v>4825</v>
      </c>
      <c r="I2108" s="32" t="s">
        <v>46</v>
      </c>
      <c r="J2108" s="32" t="s">
        <v>55</v>
      </c>
    </row>
    <row r="2109" spans="1:12" hidden="1" x14ac:dyDescent="0.3">
      <c r="A2109" s="39">
        <v>46148.708912037036</v>
      </c>
      <c r="B2109" s="32" t="s">
        <v>57</v>
      </c>
      <c r="C2109" s="32">
        <v>9936751451</v>
      </c>
      <c r="E2109" s="32">
        <v>10</v>
      </c>
      <c r="F2109" s="32">
        <v>0</v>
      </c>
      <c r="G2109" s="32" t="s">
        <v>47</v>
      </c>
      <c r="H2109" s="32" t="s">
        <v>4826</v>
      </c>
      <c r="I2109" s="32" t="s">
        <v>46</v>
      </c>
      <c r="J2109" s="32" t="s">
        <v>55</v>
      </c>
    </row>
    <row r="2110" spans="1:12" hidden="1" x14ac:dyDescent="0.3">
      <c r="A2110" s="39">
        <v>46148.708425925928</v>
      </c>
      <c r="B2110" s="32" t="s">
        <v>57</v>
      </c>
      <c r="C2110" s="32">
        <v>4436751451</v>
      </c>
      <c r="E2110" s="32">
        <v>0</v>
      </c>
      <c r="F2110" s="32">
        <v>0</v>
      </c>
      <c r="G2110" s="32" t="s">
        <v>47</v>
      </c>
      <c r="H2110" s="32" t="s">
        <v>4827</v>
      </c>
      <c r="I2110" s="32" t="s">
        <v>46</v>
      </c>
      <c r="J2110" s="32" t="s">
        <v>55</v>
      </c>
    </row>
    <row r="2111" spans="1:12" hidden="1" x14ac:dyDescent="0.3">
      <c r="A2111" s="39">
        <v>46148.708321759259</v>
      </c>
      <c r="B2111" s="32" t="s">
        <v>57</v>
      </c>
      <c r="C2111" s="32">
        <v>44936751451</v>
      </c>
      <c r="E2111" s="32">
        <v>1</v>
      </c>
      <c r="F2111" s="32">
        <v>0</v>
      </c>
      <c r="G2111" s="32" t="s">
        <v>47</v>
      </c>
      <c r="H2111" s="32" t="s">
        <v>4828</v>
      </c>
      <c r="I2111" s="32" t="s">
        <v>46</v>
      </c>
      <c r="J2111" s="32" t="s">
        <v>55</v>
      </c>
    </row>
    <row r="2112" spans="1:12" hidden="1" x14ac:dyDescent="0.3">
      <c r="A2112" s="39">
        <v>46148.70784722222</v>
      </c>
      <c r="B2112" s="32" t="s">
        <v>57</v>
      </c>
      <c r="C2112" s="32">
        <v>4436751451</v>
      </c>
      <c r="E2112" s="32">
        <v>0</v>
      </c>
      <c r="F2112" s="32">
        <v>0</v>
      </c>
      <c r="G2112" s="32" t="s">
        <v>47</v>
      </c>
      <c r="H2112" s="32" t="s">
        <v>4829</v>
      </c>
      <c r="I2112" s="32" t="s">
        <v>46</v>
      </c>
      <c r="J2112" s="32" t="s">
        <v>55</v>
      </c>
    </row>
    <row r="2113" spans="1:12" hidden="1" x14ac:dyDescent="0.3">
      <c r="A2113" s="39">
        <v>46148.706458333334</v>
      </c>
      <c r="B2113" s="32">
        <v>73981151701</v>
      </c>
      <c r="C2113" s="32" t="s">
        <v>45</v>
      </c>
      <c r="D2113" s="32">
        <v>4430265054</v>
      </c>
      <c r="E2113" s="32">
        <v>548</v>
      </c>
      <c r="F2113" s="32">
        <v>527</v>
      </c>
      <c r="G2113" s="32" t="s">
        <v>38</v>
      </c>
      <c r="H2113" s="32" t="s">
        <v>4830</v>
      </c>
      <c r="I2113" s="32" t="s">
        <v>39</v>
      </c>
      <c r="J2113" s="32" t="s">
        <v>40</v>
      </c>
      <c r="K2113" s="32" t="s">
        <v>41</v>
      </c>
      <c r="L2113" s="32">
        <v>5</v>
      </c>
    </row>
    <row r="2114" spans="1:12" hidden="1" x14ac:dyDescent="0.3">
      <c r="A2114" s="39">
        <v>46148.705405092594</v>
      </c>
      <c r="B2114" s="32" t="s">
        <v>56</v>
      </c>
      <c r="C2114" s="32">
        <v>4430318515</v>
      </c>
      <c r="E2114" s="32">
        <v>1055</v>
      </c>
      <c r="F2114" s="32">
        <v>1043</v>
      </c>
      <c r="G2114" s="32" t="s">
        <v>38</v>
      </c>
      <c r="H2114" s="32" t="s">
        <v>4831</v>
      </c>
      <c r="I2114" s="32" t="s">
        <v>46</v>
      </c>
      <c r="J2114" s="32" t="s">
        <v>53</v>
      </c>
    </row>
    <row r="2115" spans="1:12" hidden="1" x14ac:dyDescent="0.3">
      <c r="A2115" s="39">
        <v>46148.704282407409</v>
      </c>
      <c r="B2115" s="32">
        <v>1131515685</v>
      </c>
      <c r="C2115" s="32">
        <v>4430265054</v>
      </c>
      <c r="D2115" s="32">
        <v>4430265054</v>
      </c>
      <c r="E2115" s="32">
        <v>22</v>
      </c>
      <c r="F2115" s="32">
        <v>22</v>
      </c>
      <c r="G2115" s="32" t="s">
        <v>52</v>
      </c>
      <c r="H2115" s="32" t="s">
        <v>4832</v>
      </c>
      <c r="I2115" s="32" t="s">
        <v>39</v>
      </c>
      <c r="J2115" s="32" t="s">
        <v>53</v>
      </c>
    </row>
    <row r="2116" spans="1:12" hidden="1" x14ac:dyDescent="0.3">
      <c r="A2116" s="39">
        <v>46148.704131944447</v>
      </c>
      <c r="B2116" s="32">
        <v>1128787060</v>
      </c>
      <c r="C2116" s="32" t="s">
        <v>57</v>
      </c>
      <c r="D2116" s="32">
        <v>4430265054</v>
      </c>
      <c r="E2116" s="32">
        <v>116</v>
      </c>
      <c r="F2116" s="32">
        <v>39</v>
      </c>
      <c r="G2116" s="32" t="s">
        <v>38</v>
      </c>
      <c r="H2116" s="32" t="s">
        <v>4833</v>
      </c>
      <c r="I2116" s="32" t="s">
        <v>39</v>
      </c>
      <c r="J2116" s="32" t="s">
        <v>55</v>
      </c>
      <c r="K2116" s="32" t="s">
        <v>49</v>
      </c>
    </row>
    <row r="2117" spans="1:12" hidden="1" x14ac:dyDescent="0.3">
      <c r="A2117" s="39">
        <v>46148.699178240742</v>
      </c>
      <c r="B2117" s="32">
        <v>1128897100</v>
      </c>
      <c r="C2117" s="32" t="s">
        <v>48</v>
      </c>
      <c r="D2117" s="32">
        <v>4430265054</v>
      </c>
      <c r="E2117" s="32">
        <v>674</v>
      </c>
      <c r="F2117" s="32">
        <v>674</v>
      </c>
      <c r="G2117" s="32" t="s">
        <v>38</v>
      </c>
      <c r="H2117" s="32" t="s">
        <v>4834</v>
      </c>
      <c r="I2117" s="32" t="s">
        <v>39</v>
      </c>
      <c r="J2117" s="32" t="s">
        <v>40</v>
      </c>
      <c r="K2117" s="32" t="s">
        <v>41</v>
      </c>
    </row>
    <row r="2118" spans="1:12" hidden="1" x14ac:dyDescent="0.3">
      <c r="A2118" s="39">
        <v>46148.697638888887</v>
      </c>
      <c r="B2118" s="32" t="s">
        <v>37</v>
      </c>
      <c r="C2118" s="32">
        <v>1131043888</v>
      </c>
      <c r="E2118" s="32">
        <v>881</v>
      </c>
      <c r="F2118" s="32">
        <v>880</v>
      </c>
      <c r="G2118" s="32" t="s">
        <v>38</v>
      </c>
      <c r="H2118" s="32" t="s">
        <v>4835</v>
      </c>
      <c r="I2118" s="32" t="s">
        <v>46</v>
      </c>
      <c r="J2118" s="32" t="s">
        <v>40</v>
      </c>
    </row>
    <row r="2119" spans="1:12" x14ac:dyDescent="0.3">
      <c r="A2119" s="39">
        <v>46148.696643518517</v>
      </c>
      <c r="B2119" s="32" t="s">
        <v>44</v>
      </c>
      <c r="C2119" s="32">
        <v>44991116911</v>
      </c>
      <c r="E2119" s="32">
        <v>151</v>
      </c>
      <c r="F2119" s="32">
        <v>139</v>
      </c>
      <c r="G2119" s="32" t="s">
        <v>38</v>
      </c>
      <c r="H2119" s="32" t="s">
        <v>4836</v>
      </c>
      <c r="I2119" s="32" t="s">
        <v>46</v>
      </c>
      <c r="J2119" s="32" t="s">
        <v>40</v>
      </c>
      <c r="L2119" s="32">
        <v>5</v>
      </c>
    </row>
    <row r="2120" spans="1:12" hidden="1" x14ac:dyDescent="0.3">
      <c r="A2120" s="39">
        <v>46148.695150462961</v>
      </c>
      <c r="B2120" s="32" t="s">
        <v>37</v>
      </c>
      <c r="C2120" s="32">
        <v>1131043888</v>
      </c>
      <c r="E2120" s="32">
        <v>241</v>
      </c>
      <c r="F2120" s="32">
        <v>240</v>
      </c>
      <c r="G2120" s="32" t="s">
        <v>38</v>
      </c>
      <c r="H2120" s="32" t="s">
        <v>4837</v>
      </c>
      <c r="I2120" s="32" t="s">
        <v>46</v>
      </c>
      <c r="J2120" s="32" t="s">
        <v>40</v>
      </c>
    </row>
    <row r="2121" spans="1:12" hidden="1" x14ac:dyDescent="0.3">
      <c r="A2121" s="39">
        <v>46148.694918981484</v>
      </c>
      <c r="B2121" s="32" t="s">
        <v>54</v>
      </c>
      <c r="C2121" s="32">
        <v>31992247610</v>
      </c>
      <c r="E2121" s="32">
        <v>17</v>
      </c>
      <c r="F2121" s="32">
        <v>0</v>
      </c>
      <c r="G2121" s="32" t="s">
        <v>47</v>
      </c>
      <c r="H2121" s="32" t="s">
        <v>4838</v>
      </c>
      <c r="I2121" s="32" t="s">
        <v>46</v>
      </c>
      <c r="J2121" s="32" t="s">
        <v>55</v>
      </c>
    </row>
    <row r="2122" spans="1:12" hidden="1" x14ac:dyDescent="0.3">
      <c r="A2122" s="39">
        <v>46148.692824074074</v>
      </c>
      <c r="B2122" s="32" t="s">
        <v>54</v>
      </c>
      <c r="C2122" s="32">
        <v>75982062772</v>
      </c>
      <c r="E2122" s="32">
        <v>12</v>
      </c>
      <c r="F2122" s="32">
        <v>0</v>
      </c>
      <c r="G2122" s="32" t="s">
        <v>47</v>
      </c>
      <c r="H2122" s="32" t="s">
        <v>4839</v>
      </c>
      <c r="I2122" s="32" t="s">
        <v>46</v>
      </c>
      <c r="J2122" s="32" t="s">
        <v>55</v>
      </c>
    </row>
    <row r="2123" spans="1:12" hidden="1" x14ac:dyDescent="0.3">
      <c r="A2123" s="39">
        <v>46148.692106481481</v>
      </c>
      <c r="B2123" s="32" t="s">
        <v>54</v>
      </c>
      <c r="C2123" s="32">
        <v>42998651426</v>
      </c>
      <c r="E2123" s="32">
        <v>13</v>
      </c>
      <c r="F2123" s="32">
        <v>3</v>
      </c>
      <c r="G2123" s="32" t="s">
        <v>38</v>
      </c>
      <c r="H2123" s="32" t="s">
        <v>4840</v>
      </c>
      <c r="I2123" s="32" t="s">
        <v>46</v>
      </c>
      <c r="J2123" s="32" t="s">
        <v>55</v>
      </c>
    </row>
    <row r="2124" spans="1:12" hidden="1" x14ac:dyDescent="0.3">
      <c r="A2124" s="39">
        <v>46148.690879629627</v>
      </c>
      <c r="B2124" s="32" t="s">
        <v>54</v>
      </c>
      <c r="C2124" s="32">
        <v>1141252388</v>
      </c>
      <c r="E2124" s="32">
        <v>14</v>
      </c>
      <c r="F2124" s="32">
        <v>4</v>
      </c>
      <c r="G2124" s="32" t="s">
        <v>38</v>
      </c>
      <c r="H2124" s="32" t="s">
        <v>4841</v>
      </c>
      <c r="I2124" s="32" t="s">
        <v>46</v>
      </c>
      <c r="J2124" s="32" t="s">
        <v>55</v>
      </c>
    </row>
    <row r="2125" spans="1:12" hidden="1" x14ac:dyDescent="0.3">
      <c r="A2125" s="39">
        <v>46148.69027777778</v>
      </c>
      <c r="B2125" s="32" t="s">
        <v>54</v>
      </c>
      <c r="C2125" s="32">
        <v>11999906234</v>
      </c>
      <c r="E2125" s="32">
        <v>5</v>
      </c>
      <c r="F2125" s="32">
        <v>0</v>
      </c>
      <c r="G2125" s="32" t="s">
        <v>47</v>
      </c>
      <c r="H2125" s="32" t="s">
        <v>4842</v>
      </c>
      <c r="I2125" s="32" t="s">
        <v>46</v>
      </c>
      <c r="J2125" s="32" t="s">
        <v>55</v>
      </c>
    </row>
    <row r="2126" spans="1:12" hidden="1" x14ac:dyDescent="0.3">
      <c r="A2126" s="39">
        <v>46148.688032407408</v>
      </c>
      <c r="B2126" s="32">
        <v>1128897100</v>
      </c>
      <c r="C2126" s="32" t="s">
        <v>57</v>
      </c>
      <c r="D2126" s="32">
        <v>4430265054</v>
      </c>
      <c r="E2126" s="32">
        <v>74</v>
      </c>
      <c r="F2126" s="32">
        <v>62</v>
      </c>
      <c r="G2126" s="32" t="s">
        <v>38</v>
      </c>
      <c r="H2126" s="32" t="s">
        <v>4843</v>
      </c>
      <c r="I2126" s="32" t="s">
        <v>39</v>
      </c>
      <c r="J2126" s="32" t="s">
        <v>55</v>
      </c>
      <c r="K2126" s="32" t="s">
        <v>49</v>
      </c>
    </row>
    <row r="2127" spans="1:12" hidden="1" x14ac:dyDescent="0.3">
      <c r="A2127" s="39">
        <v>46148.687743055554</v>
      </c>
      <c r="B2127" s="32">
        <v>44998636008</v>
      </c>
      <c r="C2127" s="32" t="s">
        <v>44</v>
      </c>
      <c r="D2127" s="32">
        <v>4430265054</v>
      </c>
      <c r="E2127" s="32">
        <v>300</v>
      </c>
      <c r="F2127" s="32">
        <v>275</v>
      </c>
      <c r="G2127" s="32" t="s">
        <v>38</v>
      </c>
      <c r="H2127" s="32" t="s">
        <v>4844</v>
      </c>
      <c r="I2127" s="32" t="s">
        <v>39</v>
      </c>
      <c r="J2127" s="32" t="s">
        <v>40</v>
      </c>
      <c r="K2127" s="32" t="s">
        <v>41</v>
      </c>
      <c r="L2127" s="32">
        <v>5</v>
      </c>
    </row>
    <row r="2128" spans="1:12" hidden="1" x14ac:dyDescent="0.3">
      <c r="A2128" s="39">
        <v>46148.68613425926</v>
      </c>
      <c r="B2128" s="32" t="s">
        <v>54</v>
      </c>
      <c r="C2128" s="32">
        <v>1000</v>
      </c>
      <c r="E2128" s="32">
        <v>24</v>
      </c>
      <c r="F2128" s="32">
        <v>1</v>
      </c>
      <c r="G2128" s="32" t="s">
        <v>38</v>
      </c>
      <c r="H2128" s="32" t="s">
        <v>4845</v>
      </c>
      <c r="I2128" s="32" t="s">
        <v>46</v>
      </c>
      <c r="J2128" s="32" t="s">
        <v>55</v>
      </c>
    </row>
    <row r="2129" spans="1:11" hidden="1" x14ac:dyDescent="0.3">
      <c r="A2129" s="39">
        <v>46148.686122685183</v>
      </c>
      <c r="B2129" s="32">
        <v>91985176746</v>
      </c>
      <c r="C2129" s="32" t="s">
        <v>48</v>
      </c>
      <c r="D2129" s="32">
        <v>4430265054</v>
      </c>
      <c r="E2129" s="32">
        <v>172</v>
      </c>
      <c r="F2129" s="32">
        <v>172</v>
      </c>
      <c r="G2129" s="32" t="s">
        <v>38</v>
      </c>
      <c r="H2129" s="32" t="s">
        <v>4846</v>
      </c>
      <c r="I2129" s="32" t="s">
        <v>39</v>
      </c>
      <c r="J2129" s="32" t="s">
        <v>40</v>
      </c>
      <c r="K2129" s="32" t="s">
        <v>41</v>
      </c>
    </row>
    <row r="2130" spans="1:11" hidden="1" x14ac:dyDescent="0.3">
      <c r="A2130" s="39">
        <v>46148.684340277781</v>
      </c>
      <c r="B2130" s="32">
        <v>44999646909</v>
      </c>
      <c r="C2130" s="32" t="s">
        <v>37</v>
      </c>
      <c r="D2130" s="32">
        <v>4430265054</v>
      </c>
      <c r="E2130" s="32">
        <v>482</v>
      </c>
      <c r="F2130" s="32">
        <v>418</v>
      </c>
      <c r="G2130" s="32" t="s">
        <v>38</v>
      </c>
      <c r="H2130" s="32" t="s">
        <v>4847</v>
      </c>
      <c r="I2130" s="32" t="s">
        <v>39</v>
      </c>
      <c r="J2130" s="32" t="s">
        <v>40</v>
      </c>
      <c r="K2130" s="32" t="s">
        <v>41</v>
      </c>
    </row>
    <row r="2131" spans="1:11" hidden="1" x14ac:dyDescent="0.3">
      <c r="A2131" s="39">
        <v>46148.681250000001</v>
      </c>
      <c r="B2131" s="32">
        <v>44997134514</v>
      </c>
      <c r="C2131" s="32" t="s">
        <v>43</v>
      </c>
      <c r="D2131" s="32">
        <v>4430265054</v>
      </c>
      <c r="E2131" s="32">
        <v>398</v>
      </c>
      <c r="F2131" s="32">
        <v>262</v>
      </c>
      <c r="G2131" s="32" t="s">
        <v>38</v>
      </c>
      <c r="H2131" s="32" t="s">
        <v>4848</v>
      </c>
      <c r="I2131" s="32" t="s">
        <v>39</v>
      </c>
      <c r="J2131" s="32" t="s">
        <v>40</v>
      </c>
      <c r="K2131" s="32" t="s">
        <v>41</v>
      </c>
    </row>
    <row r="2132" spans="1:11" hidden="1" x14ac:dyDescent="0.3">
      <c r="A2132" s="39">
        <v>46148.678530092591</v>
      </c>
      <c r="B2132" s="32" t="s">
        <v>54</v>
      </c>
      <c r="C2132" s="32">
        <v>44996262988</v>
      </c>
      <c r="E2132" s="32">
        <v>1</v>
      </c>
      <c r="F2132" s="32">
        <v>0</v>
      </c>
      <c r="G2132" s="32" t="s">
        <v>47</v>
      </c>
      <c r="H2132" s="32" t="s">
        <v>4849</v>
      </c>
      <c r="I2132" s="32" t="s">
        <v>46</v>
      </c>
      <c r="J2132" s="32" t="s">
        <v>55</v>
      </c>
    </row>
    <row r="2133" spans="1:11" hidden="1" x14ac:dyDescent="0.3">
      <c r="A2133" s="39">
        <v>46148.676990740743</v>
      </c>
      <c r="B2133" s="32">
        <v>1128897100</v>
      </c>
      <c r="C2133" s="32" t="s">
        <v>48</v>
      </c>
      <c r="D2133" s="32">
        <v>4430265054</v>
      </c>
      <c r="E2133" s="32">
        <v>439</v>
      </c>
      <c r="F2133" s="32">
        <v>415</v>
      </c>
      <c r="G2133" s="32" t="s">
        <v>38</v>
      </c>
      <c r="H2133" s="32" t="s">
        <v>4850</v>
      </c>
      <c r="I2133" s="32" t="s">
        <v>39</v>
      </c>
      <c r="J2133" s="32" t="s">
        <v>40</v>
      </c>
      <c r="K2133" s="32" t="s">
        <v>49</v>
      </c>
    </row>
    <row r="2134" spans="1:11" hidden="1" x14ac:dyDescent="0.3">
      <c r="A2134" s="39">
        <v>46148.676574074074</v>
      </c>
      <c r="B2134" s="32">
        <v>1128787060</v>
      </c>
      <c r="C2134" s="32">
        <v>4430265054</v>
      </c>
      <c r="D2134" s="32">
        <v>4430265054</v>
      </c>
      <c r="E2134" s="32">
        <v>25</v>
      </c>
      <c r="F2134" s="32">
        <v>24</v>
      </c>
      <c r="G2134" s="32" t="s">
        <v>52</v>
      </c>
      <c r="H2134" s="32" t="s">
        <v>4851</v>
      </c>
      <c r="I2134" s="32" t="s">
        <v>39</v>
      </c>
      <c r="J2134" s="32" t="s">
        <v>53</v>
      </c>
      <c r="K2134" s="32" t="s">
        <v>41</v>
      </c>
    </row>
    <row r="2135" spans="1:11" hidden="1" x14ac:dyDescent="0.3">
      <c r="A2135" s="39">
        <v>46148.675034722219</v>
      </c>
      <c r="B2135" s="32">
        <v>1128787060</v>
      </c>
      <c r="C2135" s="32" t="s">
        <v>48</v>
      </c>
      <c r="D2135" s="32">
        <v>4430265054</v>
      </c>
      <c r="E2135" s="32">
        <v>284</v>
      </c>
      <c r="F2135" s="32">
        <v>193</v>
      </c>
      <c r="G2135" s="32" t="s">
        <v>38</v>
      </c>
      <c r="H2135" s="32" t="s">
        <v>4852</v>
      </c>
      <c r="I2135" s="32" t="s">
        <v>39</v>
      </c>
      <c r="J2135" s="32" t="s">
        <v>40</v>
      </c>
      <c r="K2135" s="32" t="s">
        <v>41</v>
      </c>
    </row>
    <row r="2136" spans="1:11" hidden="1" x14ac:dyDescent="0.3">
      <c r="A2136" s="39">
        <v>46148.673761574071</v>
      </c>
      <c r="B2136" s="32">
        <v>4432325260</v>
      </c>
      <c r="C2136" s="32">
        <v>4430265054</v>
      </c>
      <c r="D2136" s="32">
        <v>4430265054</v>
      </c>
      <c r="E2136" s="32">
        <v>49</v>
      </c>
      <c r="F2136" s="32">
        <v>49</v>
      </c>
      <c r="G2136" s="32" t="s">
        <v>52</v>
      </c>
      <c r="H2136" s="32" t="s">
        <v>4853</v>
      </c>
      <c r="I2136" s="32" t="s">
        <v>39</v>
      </c>
      <c r="J2136" s="32" t="s">
        <v>53</v>
      </c>
      <c r="K2136" s="32" t="s">
        <v>41</v>
      </c>
    </row>
    <row r="2137" spans="1:11" hidden="1" x14ac:dyDescent="0.3">
      <c r="A2137" s="39">
        <v>46148.673530092594</v>
      </c>
      <c r="B2137" s="32">
        <v>1131515685</v>
      </c>
      <c r="C2137" s="32" t="s">
        <v>48</v>
      </c>
      <c r="D2137" s="32">
        <v>4430265054</v>
      </c>
      <c r="E2137" s="32">
        <v>273</v>
      </c>
      <c r="F2137" s="32">
        <v>273</v>
      </c>
      <c r="G2137" s="32" t="s">
        <v>38</v>
      </c>
      <c r="H2137" s="32" t="s">
        <v>4854</v>
      </c>
      <c r="I2137" s="32" t="s">
        <v>39</v>
      </c>
      <c r="J2137" s="32" t="s">
        <v>40</v>
      </c>
      <c r="K2137" s="32" t="s">
        <v>41</v>
      </c>
    </row>
    <row r="2138" spans="1:11" hidden="1" x14ac:dyDescent="0.3">
      <c r="A2138" s="39">
        <v>46148.670671296299</v>
      </c>
      <c r="B2138" s="32">
        <v>44988255390</v>
      </c>
      <c r="C2138" s="32" t="s">
        <v>37</v>
      </c>
      <c r="D2138" s="32">
        <v>4430265054</v>
      </c>
      <c r="E2138" s="32">
        <v>1049</v>
      </c>
      <c r="F2138" s="32">
        <v>991</v>
      </c>
      <c r="G2138" s="32" t="s">
        <v>38</v>
      </c>
      <c r="H2138" s="32" t="s">
        <v>4855</v>
      </c>
      <c r="I2138" s="32" t="s">
        <v>39</v>
      </c>
      <c r="J2138" s="32" t="s">
        <v>40</v>
      </c>
      <c r="K2138" s="32" t="s">
        <v>41</v>
      </c>
    </row>
    <row r="2139" spans="1:11" hidden="1" x14ac:dyDescent="0.3">
      <c r="A2139" s="39">
        <v>46148.669502314813</v>
      </c>
      <c r="B2139" s="32" t="s">
        <v>43</v>
      </c>
      <c r="C2139" s="32">
        <v>44998640313</v>
      </c>
      <c r="E2139" s="32">
        <v>35</v>
      </c>
      <c r="F2139" s="32">
        <v>0</v>
      </c>
      <c r="G2139" s="32" t="s">
        <v>47</v>
      </c>
      <c r="H2139" s="32" t="s">
        <v>4856</v>
      </c>
      <c r="I2139" s="32" t="s">
        <v>46</v>
      </c>
      <c r="J2139" s="32" t="s">
        <v>40</v>
      </c>
    </row>
    <row r="2140" spans="1:11" hidden="1" x14ac:dyDescent="0.3">
      <c r="A2140" s="39">
        <v>46148.668425925927</v>
      </c>
      <c r="B2140" s="32" t="s">
        <v>43</v>
      </c>
      <c r="C2140" s="32">
        <v>4432524636</v>
      </c>
      <c r="E2140" s="32">
        <v>73</v>
      </c>
      <c r="F2140" s="32">
        <v>61</v>
      </c>
      <c r="G2140" s="32" t="s">
        <v>38</v>
      </c>
      <c r="H2140" s="32" t="s">
        <v>4857</v>
      </c>
      <c r="I2140" s="32" t="s">
        <v>46</v>
      </c>
      <c r="J2140" s="32" t="s">
        <v>40</v>
      </c>
    </row>
    <row r="2141" spans="1:11" hidden="1" x14ac:dyDescent="0.3">
      <c r="A2141" s="39">
        <v>46148.667488425926</v>
      </c>
      <c r="B2141" s="32">
        <v>4430141092</v>
      </c>
      <c r="C2141" s="32" t="s">
        <v>45</v>
      </c>
      <c r="D2141" s="32">
        <v>4430265054</v>
      </c>
      <c r="E2141" s="32">
        <v>244</v>
      </c>
      <c r="F2141" s="32">
        <v>201</v>
      </c>
      <c r="G2141" s="32" t="s">
        <v>38</v>
      </c>
      <c r="H2141" s="32" t="s">
        <v>4858</v>
      </c>
      <c r="I2141" s="32" t="s">
        <v>39</v>
      </c>
      <c r="J2141" s="32" t="s">
        <v>40</v>
      </c>
      <c r="K2141" s="32" t="s">
        <v>41</v>
      </c>
    </row>
    <row r="2142" spans="1:11" hidden="1" x14ac:dyDescent="0.3">
      <c r="A2142" s="39">
        <v>46148.666932870372</v>
      </c>
      <c r="B2142" s="32">
        <v>4430141092</v>
      </c>
      <c r="C2142" s="32">
        <v>4430265054</v>
      </c>
      <c r="D2142" s="32">
        <v>4430265054</v>
      </c>
      <c r="E2142" s="32">
        <v>23</v>
      </c>
      <c r="F2142" s="32">
        <v>23</v>
      </c>
      <c r="G2142" s="32" t="s">
        <v>52</v>
      </c>
      <c r="H2142" s="32" t="s">
        <v>4859</v>
      </c>
      <c r="I2142" s="32" t="s">
        <v>39</v>
      </c>
      <c r="J2142" s="32" t="s">
        <v>53</v>
      </c>
    </row>
    <row r="2143" spans="1:11" hidden="1" x14ac:dyDescent="0.3">
      <c r="A2143" s="39">
        <v>46148.664155092592</v>
      </c>
      <c r="B2143" s="32">
        <v>1438780460</v>
      </c>
      <c r="C2143" s="32">
        <v>4531273162</v>
      </c>
      <c r="D2143" s="32">
        <v>4531273162</v>
      </c>
      <c r="E2143" s="32">
        <v>47</v>
      </c>
      <c r="F2143" s="32">
        <v>46</v>
      </c>
      <c r="G2143" s="32" t="s">
        <v>52</v>
      </c>
      <c r="H2143" s="32" t="s">
        <v>4860</v>
      </c>
      <c r="I2143" s="32" t="s">
        <v>39</v>
      </c>
      <c r="J2143" s="32" t="s">
        <v>53</v>
      </c>
      <c r="K2143" s="32" t="s">
        <v>41</v>
      </c>
    </row>
    <row r="2144" spans="1:11" hidden="1" x14ac:dyDescent="0.3">
      <c r="A2144" s="39">
        <v>46148.661793981482</v>
      </c>
      <c r="B2144" s="32">
        <v>6234347959</v>
      </c>
      <c r="C2144" s="32" t="s">
        <v>44</v>
      </c>
      <c r="D2144" s="32">
        <v>4430265054</v>
      </c>
      <c r="E2144" s="32">
        <v>246</v>
      </c>
      <c r="F2144" s="32">
        <v>214</v>
      </c>
      <c r="G2144" s="32" t="s">
        <v>38</v>
      </c>
      <c r="H2144" s="32" t="s">
        <v>4861</v>
      </c>
      <c r="I2144" s="32" t="s">
        <v>39</v>
      </c>
      <c r="J2144" s="32" t="s">
        <v>40</v>
      </c>
      <c r="K2144" s="32" t="s">
        <v>41</v>
      </c>
    </row>
    <row r="2145" spans="1:11" hidden="1" x14ac:dyDescent="0.3">
      <c r="A2145" s="39">
        <v>46148.659421296295</v>
      </c>
      <c r="B2145" s="32">
        <v>4121418164</v>
      </c>
      <c r="C2145" s="32">
        <v>4531273172</v>
      </c>
      <c r="D2145" s="32">
        <v>4531273172</v>
      </c>
      <c r="E2145" s="32">
        <v>46</v>
      </c>
      <c r="F2145" s="32">
        <v>46</v>
      </c>
      <c r="G2145" s="32" t="s">
        <v>52</v>
      </c>
      <c r="H2145" s="32" t="s">
        <v>4862</v>
      </c>
      <c r="I2145" s="32" t="s">
        <v>39</v>
      </c>
      <c r="J2145" s="32" t="s">
        <v>53</v>
      </c>
      <c r="K2145" s="32" t="s">
        <v>41</v>
      </c>
    </row>
    <row r="2146" spans="1:11" hidden="1" x14ac:dyDescent="0.3">
      <c r="A2146" s="39">
        <v>46148.654664351852</v>
      </c>
      <c r="B2146" s="32">
        <v>91984985454</v>
      </c>
      <c r="C2146" s="32" t="s">
        <v>48</v>
      </c>
      <c r="D2146" s="32">
        <v>4430265054</v>
      </c>
      <c r="E2146" s="32">
        <v>184</v>
      </c>
      <c r="F2146" s="32">
        <v>137</v>
      </c>
      <c r="G2146" s="32" t="s">
        <v>38</v>
      </c>
      <c r="H2146" s="32" t="s">
        <v>4863</v>
      </c>
      <c r="I2146" s="32" t="s">
        <v>39</v>
      </c>
      <c r="J2146" s="32" t="s">
        <v>40</v>
      </c>
      <c r="K2146" s="32" t="s">
        <v>41</v>
      </c>
    </row>
    <row r="2147" spans="1:11" hidden="1" x14ac:dyDescent="0.3">
      <c r="A2147" s="39">
        <v>46148.65420138889</v>
      </c>
      <c r="B2147" s="32">
        <v>4532541802</v>
      </c>
      <c r="C2147" s="32" t="s">
        <v>44</v>
      </c>
      <c r="D2147" s="32">
        <v>4430265054</v>
      </c>
      <c r="E2147" s="32">
        <v>481</v>
      </c>
      <c r="F2147" s="32">
        <v>354</v>
      </c>
      <c r="G2147" s="32" t="s">
        <v>38</v>
      </c>
      <c r="H2147" s="32" t="s">
        <v>4864</v>
      </c>
      <c r="I2147" s="32" t="s">
        <v>39</v>
      </c>
      <c r="J2147" s="32" t="s">
        <v>40</v>
      </c>
      <c r="K2147" s="32" t="s">
        <v>41</v>
      </c>
    </row>
    <row r="2148" spans="1:11" hidden="1" x14ac:dyDescent="0.3">
      <c r="A2148" s="39">
        <v>46148.653796296298</v>
      </c>
      <c r="B2148" s="32">
        <v>4532541802</v>
      </c>
      <c r="C2148" s="32">
        <v>4430265054</v>
      </c>
      <c r="D2148" s="32">
        <v>4430265054</v>
      </c>
      <c r="E2148" s="32">
        <v>20</v>
      </c>
      <c r="F2148" s="32">
        <v>19</v>
      </c>
      <c r="G2148" s="32" t="s">
        <v>52</v>
      </c>
      <c r="H2148" s="32" t="s">
        <v>4865</v>
      </c>
      <c r="I2148" s="32" t="s">
        <v>39</v>
      </c>
      <c r="J2148" s="32" t="s">
        <v>53</v>
      </c>
    </row>
    <row r="2149" spans="1:11" hidden="1" x14ac:dyDescent="0.3">
      <c r="A2149" s="39">
        <v>46148.652708333335</v>
      </c>
      <c r="B2149" s="32" t="s">
        <v>57</v>
      </c>
      <c r="C2149" s="32">
        <v>44999416670</v>
      </c>
      <c r="E2149" s="32">
        <v>14</v>
      </c>
      <c r="F2149" s="32">
        <v>2</v>
      </c>
      <c r="G2149" s="32" t="s">
        <v>38</v>
      </c>
      <c r="H2149" s="32" t="s">
        <v>4866</v>
      </c>
      <c r="I2149" s="32" t="s">
        <v>46</v>
      </c>
      <c r="J2149" s="32" t="s">
        <v>55</v>
      </c>
    </row>
    <row r="2150" spans="1:11" hidden="1" x14ac:dyDescent="0.3">
      <c r="A2150" s="39">
        <v>46148.652337962965</v>
      </c>
      <c r="B2150" s="32">
        <v>44988255390</v>
      </c>
      <c r="C2150" s="32" t="s">
        <v>37</v>
      </c>
      <c r="D2150" s="32">
        <v>4430265054</v>
      </c>
      <c r="E2150" s="32">
        <v>538</v>
      </c>
      <c r="F2150" s="32">
        <v>406</v>
      </c>
      <c r="G2150" s="32" t="s">
        <v>38</v>
      </c>
      <c r="H2150" s="32" t="s">
        <v>4867</v>
      </c>
      <c r="I2150" s="32" t="s">
        <v>39</v>
      </c>
      <c r="J2150" s="32" t="s">
        <v>40</v>
      </c>
      <c r="K2150" s="32" t="s">
        <v>41</v>
      </c>
    </row>
    <row r="2151" spans="1:11" hidden="1" x14ac:dyDescent="0.3">
      <c r="A2151" s="39">
        <v>46148.651805555557</v>
      </c>
      <c r="B2151" s="32">
        <v>6234347959</v>
      </c>
      <c r="C2151" s="32" t="s">
        <v>44</v>
      </c>
      <c r="D2151" s="32">
        <v>4430265054</v>
      </c>
      <c r="E2151" s="32">
        <v>238</v>
      </c>
      <c r="F2151" s="32">
        <v>189</v>
      </c>
      <c r="G2151" s="32" t="s">
        <v>38</v>
      </c>
      <c r="H2151" s="32" t="s">
        <v>4868</v>
      </c>
      <c r="I2151" s="32" t="s">
        <v>39</v>
      </c>
      <c r="J2151" s="32" t="s">
        <v>40</v>
      </c>
      <c r="K2151" s="32" t="s">
        <v>41</v>
      </c>
    </row>
    <row r="2152" spans="1:11" hidden="1" x14ac:dyDescent="0.3">
      <c r="A2152" s="39">
        <v>46148.651701388888</v>
      </c>
      <c r="B2152" s="32" t="s">
        <v>57</v>
      </c>
      <c r="C2152" s="32">
        <v>4432322642</v>
      </c>
      <c r="E2152" s="32">
        <v>42</v>
      </c>
      <c r="F2152" s="32">
        <v>14</v>
      </c>
      <c r="G2152" s="32" t="s">
        <v>38</v>
      </c>
      <c r="H2152" s="32" t="s">
        <v>4869</v>
      </c>
      <c r="I2152" s="32" t="s">
        <v>46</v>
      </c>
      <c r="J2152" s="32" t="s">
        <v>55</v>
      </c>
    </row>
    <row r="2153" spans="1:11" hidden="1" x14ac:dyDescent="0.3">
      <c r="A2153" s="39">
        <v>46148.651319444441</v>
      </c>
      <c r="B2153" s="32" t="s">
        <v>57</v>
      </c>
      <c r="C2153" s="32">
        <v>44999416670</v>
      </c>
      <c r="E2153" s="32">
        <v>13</v>
      </c>
      <c r="F2153" s="32">
        <v>0</v>
      </c>
      <c r="G2153" s="32" t="s">
        <v>38</v>
      </c>
      <c r="H2153" s="32" t="s">
        <v>4870</v>
      </c>
      <c r="I2153" s="32" t="s">
        <v>46</v>
      </c>
      <c r="J2153" s="32" t="s">
        <v>55</v>
      </c>
    </row>
    <row r="2154" spans="1:11" hidden="1" x14ac:dyDescent="0.3">
      <c r="A2154" s="39">
        <v>46148.651145833333</v>
      </c>
      <c r="B2154" s="32" t="s">
        <v>57</v>
      </c>
      <c r="C2154" s="32">
        <v>4432322101</v>
      </c>
      <c r="E2154" s="32">
        <v>1</v>
      </c>
      <c r="F2154" s="32">
        <v>0</v>
      </c>
      <c r="G2154" s="32" t="s">
        <v>47</v>
      </c>
      <c r="H2154" s="32" t="s">
        <v>4871</v>
      </c>
      <c r="I2154" s="32" t="s">
        <v>46</v>
      </c>
      <c r="J2154" s="32" t="s">
        <v>55</v>
      </c>
    </row>
    <row r="2155" spans="1:11" hidden="1" x14ac:dyDescent="0.3">
      <c r="A2155" s="39">
        <v>46148.649386574078</v>
      </c>
      <c r="B2155" s="32">
        <v>1131515685</v>
      </c>
      <c r="C2155" s="32" t="s">
        <v>43</v>
      </c>
      <c r="D2155" s="32">
        <v>4430265054</v>
      </c>
      <c r="E2155" s="32">
        <v>729</v>
      </c>
      <c r="F2155" s="32">
        <v>710</v>
      </c>
      <c r="G2155" s="32" t="s">
        <v>38</v>
      </c>
      <c r="H2155" s="32" t="s">
        <v>4872</v>
      </c>
      <c r="I2155" s="32" t="s">
        <v>39</v>
      </c>
      <c r="J2155" s="32" t="s">
        <v>40</v>
      </c>
      <c r="K2155" s="32" t="s">
        <v>41</v>
      </c>
    </row>
    <row r="2156" spans="1:11" hidden="1" x14ac:dyDescent="0.3">
      <c r="A2156" s="39">
        <v>46148.648530092592</v>
      </c>
      <c r="B2156" s="32" t="s">
        <v>57</v>
      </c>
      <c r="C2156" s="32">
        <v>44999976008</v>
      </c>
      <c r="E2156" s="32">
        <v>44</v>
      </c>
      <c r="F2156" s="32">
        <v>29</v>
      </c>
      <c r="G2156" s="32" t="s">
        <v>38</v>
      </c>
      <c r="H2156" s="32" t="s">
        <v>4873</v>
      </c>
      <c r="I2156" s="32" t="s">
        <v>46</v>
      </c>
      <c r="J2156" s="32" t="s">
        <v>55</v>
      </c>
    </row>
    <row r="2157" spans="1:11" hidden="1" x14ac:dyDescent="0.3">
      <c r="A2157" s="39">
        <v>46148.648113425923</v>
      </c>
      <c r="B2157" s="32" t="s">
        <v>57</v>
      </c>
      <c r="C2157" s="32">
        <v>4432641415</v>
      </c>
      <c r="E2157" s="32">
        <v>20</v>
      </c>
      <c r="F2157" s="32">
        <v>9</v>
      </c>
      <c r="G2157" s="32" t="s">
        <v>38</v>
      </c>
      <c r="H2157" s="32" t="s">
        <v>4874</v>
      </c>
      <c r="I2157" s="32" t="s">
        <v>46</v>
      </c>
      <c r="J2157" s="32" t="s">
        <v>55</v>
      </c>
    </row>
    <row r="2158" spans="1:11" hidden="1" x14ac:dyDescent="0.3">
      <c r="A2158" s="39">
        <v>46148.647905092592</v>
      </c>
      <c r="B2158" s="32" t="s">
        <v>45</v>
      </c>
      <c r="C2158" s="32">
        <v>44999654761</v>
      </c>
      <c r="E2158" s="32">
        <v>1220</v>
      </c>
      <c r="F2158" s="32">
        <v>1205</v>
      </c>
      <c r="G2158" s="32" t="s">
        <v>38</v>
      </c>
      <c r="H2158" s="32" t="s">
        <v>4875</v>
      </c>
      <c r="I2158" s="32" t="s">
        <v>46</v>
      </c>
      <c r="J2158" s="32" t="s">
        <v>40</v>
      </c>
    </row>
    <row r="2159" spans="1:11" hidden="1" x14ac:dyDescent="0.3">
      <c r="A2159" s="39">
        <v>46148.647789351853</v>
      </c>
      <c r="B2159" s="32" t="s">
        <v>45</v>
      </c>
      <c r="C2159" s="32">
        <v>44999654761</v>
      </c>
      <c r="E2159" s="32">
        <v>3</v>
      </c>
      <c r="F2159" s="32">
        <v>0</v>
      </c>
      <c r="G2159" s="32" t="s">
        <v>47</v>
      </c>
      <c r="H2159" s="32" t="s">
        <v>4876</v>
      </c>
      <c r="I2159" s="32" t="s">
        <v>46</v>
      </c>
      <c r="J2159" s="32" t="s">
        <v>40</v>
      </c>
    </row>
    <row r="2160" spans="1:11" hidden="1" x14ac:dyDescent="0.3">
      <c r="A2160" s="39">
        <v>46148.646597222221</v>
      </c>
      <c r="B2160" s="32">
        <v>4433015970</v>
      </c>
      <c r="C2160" s="32">
        <v>4430265054</v>
      </c>
      <c r="D2160" s="32">
        <v>4430265054</v>
      </c>
      <c r="E2160" s="32">
        <v>3</v>
      </c>
      <c r="F2160" s="32">
        <v>3</v>
      </c>
      <c r="G2160" s="32" t="s">
        <v>52</v>
      </c>
      <c r="H2160" s="32" t="s">
        <v>4877</v>
      </c>
      <c r="I2160" s="32" t="s">
        <v>39</v>
      </c>
      <c r="J2160" s="32" t="s">
        <v>53</v>
      </c>
    </row>
    <row r="2161" spans="1:12" hidden="1" x14ac:dyDescent="0.3">
      <c r="A2161" s="39">
        <v>46148.644976851851</v>
      </c>
      <c r="B2161" s="32" t="s">
        <v>44</v>
      </c>
      <c r="C2161" s="32">
        <v>44991116911</v>
      </c>
      <c r="E2161" s="32">
        <v>183</v>
      </c>
      <c r="F2161" s="32">
        <v>166</v>
      </c>
      <c r="G2161" s="32" t="s">
        <v>38</v>
      </c>
      <c r="H2161" s="32" t="s">
        <v>4878</v>
      </c>
      <c r="I2161" s="32" t="s">
        <v>46</v>
      </c>
      <c r="J2161" s="32" t="s">
        <v>40</v>
      </c>
    </row>
    <row r="2162" spans="1:12" hidden="1" x14ac:dyDescent="0.3">
      <c r="A2162" s="39">
        <v>46148.644930555558</v>
      </c>
      <c r="B2162" s="32" t="s">
        <v>44</v>
      </c>
      <c r="C2162" s="32">
        <v>44991116911</v>
      </c>
      <c r="E2162" s="32">
        <v>4</v>
      </c>
      <c r="F2162" s="32">
        <v>0</v>
      </c>
      <c r="G2162" s="32" t="s">
        <v>47</v>
      </c>
      <c r="H2162" s="32" t="s">
        <v>4879</v>
      </c>
      <c r="I2162" s="32" t="s">
        <v>46</v>
      </c>
      <c r="J2162" s="32" t="s">
        <v>40</v>
      </c>
    </row>
    <row r="2163" spans="1:12" hidden="1" x14ac:dyDescent="0.3">
      <c r="A2163" s="39">
        <v>46148.641701388886</v>
      </c>
      <c r="B2163" s="32" t="s">
        <v>45</v>
      </c>
      <c r="C2163" s="32">
        <v>44999488286</v>
      </c>
      <c r="E2163" s="32">
        <v>111</v>
      </c>
      <c r="F2163" s="32">
        <v>96</v>
      </c>
      <c r="G2163" s="32" t="s">
        <v>38</v>
      </c>
      <c r="H2163" s="32" t="s">
        <v>4880</v>
      </c>
      <c r="I2163" s="32" t="s">
        <v>46</v>
      </c>
      <c r="J2163" s="32" t="s">
        <v>40</v>
      </c>
      <c r="L2163" s="32">
        <v>5</v>
      </c>
    </row>
    <row r="2164" spans="1:12" hidden="1" x14ac:dyDescent="0.3">
      <c r="A2164" s="39">
        <v>46148.641192129631</v>
      </c>
      <c r="B2164" s="32" t="s">
        <v>45</v>
      </c>
      <c r="C2164" s="32">
        <v>44999488286</v>
      </c>
      <c r="E2164" s="32">
        <v>70</v>
      </c>
      <c r="F2164" s="32">
        <v>31</v>
      </c>
      <c r="G2164" s="32" t="s">
        <v>38</v>
      </c>
      <c r="H2164" s="32" t="s">
        <v>4881</v>
      </c>
      <c r="I2164" s="32" t="s">
        <v>46</v>
      </c>
      <c r="J2164" s="32" t="s">
        <v>40</v>
      </c>
    </row>
    <row r="2165" spans="1:12" hidden="1" x14ac:dyDescent="0.3">
      <c r="A2165" s="39">
        <v>46148.640706018516</v>
      </c>
      <c r="B2165" s="32">
        <v>4121418164</v>
      </c>
      <c r="C2165" s="32" t="s">
        <v>45</v>
      </c>
      <c r="D2165" s="32">
        <v>4430265054</v>
      </c>
      <c r="E2165" s="32">
        <v>47</v>
      </c>
      <c r="F2165" s="32">
        <v>10</v>
      </c>
      <c r="G2165" s="32" t="s">
        <v>38</v>
      </c>
      <c r="H2165" s="32" t="s">
        <v>4882</v>
      </c>
      <c r="I2165" s="32" t="s">
        <v>39</v>
      </c>
      <c r="J2165" s="32" t="s">
        <v>40</v>
      </c>
      <c r="K2165" s="32" t="s">
        <v>41</v>
      </c>
    </row>
    <row r="2166" spans="1:12" hidden="1" x14ac:dyDescent="0.3">
      <c r="A2166" s="39">
        <v>46148.639791666668</v>
      </c>
      <c r="B2166" s="32">
        <v>4133491428</v>
      </c>
      <c r="C2166" s="32" t="s">
        <v>44</v>
      </c>
      <c r="D2166" s="32">
        <v>4430265054</v>
      </c>
      <c r="E2166" s="32">
        <v>348</v>
      </c>
      <c r="F2166" s="32">
        <v>338</v>
      </c>
      <c r="G2166" s="32" t="s">
        <v>38</v>
      </c>
      <c r="H2166" s="32" t="s">
        <v>4883</v>
      </c>
      <c r="I2166" s="32" t="s">
        <v>39</v>
      </c>
      <c r="J2166" s="32" t="s">
        <v>40</v>
      </c>
      <c r="K2166" s="32" t="s">
        <v>41</v>
      </c>
    </row>
    <row r="2167" spans="1:12" hidden="1" x14ac:dyDescent="0.3">
      <c r="A2167" s="39">
        <v>46148.637361111112</v>
      </c>
      <c r="B2167" s="32">
        <v>73981151701</v>
      </c>
      <c r="C2167" s="32" t="s">
        <v>48</v>
      </c>
      <c r="D2167" s="32">
        <v>4430265054</v>
      </c>
      <c r="E2167" s="32">
        <v>683</v>
      </c>
      <c r="F2167" s="32">
        <v>682</v>
      </c>
      <c r="G2167" s="32" t="s">
        <v>38</v>
      </c>
      <c r="H2167" s="32" t="s">
        <v>4884</v>
      </c>
      <c r="I2167" s="32" t="s">
        <v>39</v>
      </c>
      <c r="J2167" s="32" t="s">
        <v>40</v>
      </c>
      <c r="K2167" s="32" t="s">
        <v>41</v>
      </c>
    </row>
    <row r="2168" spans="1:12" hidden="1" x14ac:dyDescent="0.3">
      <c r="A2168" s="39">
        <v>46148.636562500003</v>
      </c>
      <c r="B2168" s="32">
        <v>44997456641</v>
      </c>
      <c r="C2168" s="32" t="s">
        <v>37</v>
      </c>
      <c r="D2168" s="32">
        <v>4430265054</v>
      </c>
      <c r="E2168" s="32">
        <v>1137</v>
      </c>
      <c r="F2168" s="32">
        <v>978</v>
      </c>
      <c r="G2168" s="32" t="s">
        <v>38</v>
      </c>
      <c r="H2168" s="32" t="s">
        <v>4885</v>
      </c>
      <c r="I2168" s="32" t="s">
        <v>39</v>
      </c>
      <c r="J2168" s="32" t="s">
        <v>40</v>
      </c>
      <c r="K2168" s="32" t="s">
        <v>41</v>
      </c>
      <c r="L2168" s="32">
        <v>5</v>
      </c>
    </row>
    <row r="2169" spans="1:12" hidden="1" x14ac:dyDescent="0.3">
      <c r="A2169" s="39">
        <v>46148.635243055556</v>
      </c>
      <c r="B2169" s="32" t="s">
        <v>54</v>
      </c>
      <c r="C2169" s="32">
        <v>8530556019</v>
      </c>
      <c r="E2169" s="32">
        <v>4</v>
      </c>
      <c r="F2169" s="32">
        <v>0</v>
      </c>
      <c r="G2169" s="32" t="s">
        <v>47</v>
      </c>
      <c r="H2169" s="32" t="s">
        <v>4886</v>
      </c>
      <c r="I2169" s="32" t="s">
        <v>46</v>
      </c>
      <c r="J2169" s="32" t="s">
        <v>55</v>
      </c>
    </row>
    <row r="2170" spans="1:12" hidden="1" x14ac:dyDescent="0.3">
      <c r="A2170" s="39">
        <v>46148.633831018517</v>
      </c>
      <c r="B2170" s="32" t="s">
        <v>54</v>
      </c>
      <c r="C2170" s="32">
        <v>92994620192</v>
      </c>
      <c r="E2170" s="32">
        <v>8</v>
      </c>
      <c r="F2170" s="32">
        <v>2</v>
      </c>
      <c r="G2170" s="32" t="s">
        <v>38</v>
      </c>
      <c r="H2170" s="32" t="s">
        <v>4887</v>
      </c>
      <c r="I2170" s="32" t="s">
        <v>46</v>
      </c>
      <c r="J2170" s="32" t="s">
        <v>55</v>
      </c>
    </row>
    <row r="2171" spans="1:12" hidden="1" x14ac:dyDescent="0.3">
      <c r="A2171" s="39">
        <v>46148.633773148147</v>
      </c>
      <c r="B2171" s="32">
        <v>6234347959</v>
      </c>
      <c r="C2171" s="32" t="s">
        <v>43</v>
      </c>
      <c r="D2171" s="32">
        <v>4430265054</v>
      </c>
      <c r="E2171" s="32">
        <v>457</v>
      </c>
      <c r="F2171" s="32">
        <v>411</v>
      </c>
      <c r="G2171" s="32" t="s">
        <v>38</v>
      </c>
      <c r="H2171" s="32" t="s">
        <v>4888</v>
      </c>
      <c r="I2171" s="32" t="s">
        <v>39</v>
      </c>
      <c r="J2171" s="32" t="s">
        <v>40</v>
      </c>
      <c r="K2171" s="32" t="s">
        <v>41</v>
      </c>
    </row>
    <row r="2172" spans="1:12" hidden="1" x14ac:dyDescent="0.3">
      <c r="A2172" s="39">
        <v>46148.633032407408</v>
      </c>
      <c r="B2172" s="32" t="s">
        <v>54</v>
      </c>
      <c r="C2172" s="32">
        <v>11950858610</v>
      </c>
      <c r="E2172" s="32">
        <v>1</v>
      </c>
      <c r="F2172" s="32">
        <v>0</v>
      </c>
      <c r="G2172" s="32" t="s">
        <v>47</v>
      </c>
      <c r="H2172" s="32" t="s">
        <v>4889</v>
      </c>
      <c r="I2172" s="32" t="s">
        <v>46</v>
      </c>
      <c r="J2172" s="32" t="s">
        <v>55</v>
      </c>
    </row>
    <row r="2173" spans="1:12" hidden="1" x14ac:dyDescent="0.3">
      <c r="A2173" s="39">
        <v>46148.632025462961</v>
      </c>
      <c r="B2173" s="32" t="s">
        <v>54</v>
      </c>
      <c r="C2173" s="32">
        <v>91982987660</v>
      </c>
      <c r="E2173" s="32">
        <v>26</v>
      </c>
      <c r="F2173" s="32">
        <v>0</v>
      </c>
      <c r="G2173" s="32" t="s">
        <v>47</v>
      </c>
      <c r="H2173" s="32" t="s">
        <v>4890</v>
      </c>
      <c r="I2173" s="32" t="s">
        <v>46</v>
      </c>
      <c r="J2173" s="32" t="s">
        <v>55</v>
      </c>
    </row>
    <row r="2174" spans="1:12" hidden="1" x14ac:dyDescent="0.3">
      <c r="A2174" s="39">
        <v>46148.631724537037</v>
      </c>
      <c r="B2174" s="32" t="s">
        <v>54</v>
      </c>
      <c r="C2174" s="32">
        <v>11952845246</v>
      </c>
      <c r="E2174" s="32">
        <v>7</v>
      </c>
      <c r="F2174" s="32">
        <v>0</v>
      </c>
      <c r="G2174" s="32" t="s">
        <v>47</v>
      </c>
      <c r="H2174" s="32" t="s">
        <v>4891</v>
      </c>
      <c r="I2174" s="32" t="s">
        <v>46</v>
      </c>
      <c r="J2174" s="32" t="s">
        <v>55</v>
      </c>
    </row>
    <row r="2175" spans="1:12" hidden="1" x14ac:dyDescent="0.3">
      <c r="A2175" s="39">
        <v>46148.629490740743</v>
      </c>
      <c r="B2175" s="32" t="s">
        <v>48</v>
      </c>
      <c r="C2175" s="32">
        <v>44997456641</v>
      </c>
      <c r="E2175" s="32">
        <v>361</v>
      </c>
      <c r="F2175" s="32">
        <v>338</v>
      </c>
      <c r="G2175" s="32" t="s">
        <v>38</v>
      </c>
      <c r="H2175" s="32" t="s">
        <v>4892</v>
      </c>
      <c r="I2175" s="32" t="s">
        <v>46</v>
      </c>
      <c r="J2175" s="32" t="s">
        <v>40</v>
      </c>
    </row>
    <row r="2176" spans="1:12" hidden="1" x14ac:dyDescent="0.3">
      <c r="A2176" s="39">
        <v>46148.62945601852</v>
      </c>
      <c r="B2176" s="32" t="s">
        <v>48</v>
      </c>
      <c r="C2176" s="32">
        <v>44997456641</v>
      </c>
      <c r="E2176" s="32">
        <v>1</v>
      </c>
      <c r="F2176" s="32">
        <v>0</v>
      </c>
      <c r="G2176" s="32" t="s">
        <v>47</v>
      </c>
      <c r="H2176" s="32" t="s">
        <v>4893</v>
      </c>
      <c r="I2176" s="32" t="s">
        <v>46</v>
      </c>
      <c r="J2176" s="32" t="s">
        <v>40</v>
      </c>
    </row>
    <row r="2177" spans="1:12" hidden="1" x14ac:dyDescent="0.3">
      <c r="A2177" s="39">
        <v>46148.628530092596</v>
      </c>
      <c r="B2177" s="32" t="s">
        <v>48</v>
      </c>
      <c r="C2177" s="32">
        <v>4433232740</v>
      </c>
      <c r="E2177" s="32">
        <v>25</v>
      </c>
      <c r="F2177" s="32">
        <v>24</v>
      </c>
      <c r="G2177" s="32" t="s">
        <v>38</v>
      </c>
      <c r="H2177" s="32" t="s">
        <v>4894</v>
      </c>
      <c r="I2177" s="32" t="s">
        <v>46</v>
      </c>
      <c r="J2177" s="32" t="s">
        <v>40</v>
      </c>
    </row>
    <row r="2178" spans="1:12" hidden="1" x14ac:dyDescent="0.3">
      <c r="A2178" s="39">
        <v>46148.628472222219</v>
      </c>
      <c r="B2178" s="32" t="s">
        <v>48</v>
      </c>
      <c r="C2178" s="32">
        <v>4433232740</v>
      </c>
      <c r="E2178" s="32">
        <v>3</v>
      </c>
      <c r="F2178" s="32">
        <v>0</v>
      </c>
      <c r="G2178" s="32" t="s">
        <v>47</v>
      </c>
      <c r="H2178" s="32" t="s">
        <v>4895</v>
      </c>
      <c r="I2178" s="32" t="s">
        <v>46</v>
      </c>
      <c r="J2178" s="32" t="s">
        <v>40</v>
      </c>
    </row>
    <row r="2179" spans="1:12" hidden="1" x14ac:dyDescent="0.3">
      <c r="A2179" s="39">
        <v>46148.627708333333</v>
      </c>
      <c r="B2179" s="32">
        <v>44991116911</v>
      </c>
      <c r="C2179" s="32" t="s">
        <v>44</v>
      </c>
      <c r="D2179" s="32">
        <v>4430265054</v>
      </c>
      <c r="E2179" s="32">
        <v>734</v>
      </c>
      <c r="F2179" s="32">
        <v>699</v>
      </c>
      <c r="G2179" s="32" t="s">
        <v>38</v>
      </c>
      <c r="H2179" s="32" t="s">
        <v>4896</v>
      </c>
      <c r="I2179" s="32" t="s">
        <v>39</v>
      </c>
      <c r="J2179" s="32" t="s">
        <v>40</v>
      </c>
      <c r="K2179" s="32" t="s">
        <v>41</v>
      </c>
      <c r="L2179" s="32">
        <v>5</v>
      </c>
    </row>
    <row r="2180" spans="1:12" hidden="1" x14ac:dyDescent="0.3">
      <c r="A2180" s="39">
        <v>46148.623391203706</v>
      </c>
      <c r="B2180" s="32">
        <v>44999654761</v>
      </c>
      <c r="C2180" s="32" t="s">
        <v>45</v>
      </c>
      <c r="D2180" s="32">
        <v>4430265054</v>
      </c>
      <c r="E2180" s="32">
        <v>1451</v>
      </c>
      <c r="F2180" s="32">
        <v>1369</v>
      </c>
      <c r="G2180" s="32" t="s">
        <v>38</v>
      </c>
      <c r="H2180" s="32" t="s">
        <v>4897</v>
      </c>
      <c r="I2180" s="32" t="s">
        <v>39</v>
      </c>
      <c r="J2180" s="32" t="s">
        <v>40</v>
      </c>
      <c r="K2180" s="32" t="s">
        <v>41</v>
      </c>
      <c r="L2180" s="32">
        <v>5</v>
      </c>
    </row>
    <row r="2181" spans="1:12" hidden="1" x14ac:dyDescent="0.3">
      <c r="A2181" s="39">
        <v>46148.623136574075</v>
      </c>
      <c r="B2181" s="32" t="s">
        <v>54</v>
      </c>
      <c r="C2181" s="32">
        <v>47996898885</v>
      </c>
      <c r="E2181" s="32">
        <v>11</v>
      </c>
      <c r="F2181" s="32">
        <v>0</v>
      </c>
      <c r="G2181" s="32" t="s">
        <v>47</v>
      </c>
      <c r="H2181" s="32" t="s">
        <v>4898</v>
      </c>
      <c r="I2181" s="32" t="s">
        <v>46</v>
      </c>
      <c r="J2181" s="32" t="s">
        <v>55</v>
      </c>
    </row>
    <row r="2182" spans="1:12" hidden="1" x14ac:dyDescent="0.3">
      <c r="A2182" s="39">
        <v>46148.622650462959</v>
      </c>
      <c r="B2182" s="32">
        <v>44999791304</v>
      </c>
      <c r="C2182" s="32" t="s">
        <v>37</v>
      </c>
      <c r="D2182" s="32">
        <v>4430265054</v>
      </c>
      <c r="E2182" s="32">
        <v>593</v>
      </c>
      <c r="F2182" s="32">
        <v>528</v>
      </c>
      <c r="G2182" s="32" t="s">
        <v>38</v>
      </c>
      <c r="H2182" s="32" t="s">
        <v>4899</v>
      </c>
      <c r="I2182" s="32" t="s">
        <v>39</v>
      </c>
      <c r="J2182" s="32" t="s">
        <v>40</v>
      </c>
      <c r="K2182" s="32" t="s">
        <v>41</v>
      </c>
      <c r="L2182" s="32">
        <v>5</v>
      </c>
    </row>
    <row r="2183" spans="1:12" hidden="1" x14ac:dyDescent="0.3">
      <c r="A2183" s="39">
        <v>46148.62195601852</v>
      </c>
      <c r="B2183" s="32">
        <v>4121413772</v>
      </c>
      <c r="C2183" s="32" t="s">
        <v>44</v>
      </c>
      <c r="D2183" s="32">
        <v>4531273164</v>
      </c>
      <c r="E2183" s="32">
        <v>47</v>
      </c>
      <c r="F2183" s="32">
        <v>3</v>
      </c>
      <c r="G2183" s="32" t="s">
        <v>38</v>
      </c>
      <c r="H2183" s="32" t="s">
        <v>4900</v>
      </c>
      <c r="I2183" s="32" t="s">
        <v>39</v>
      </c>
      <c r="J2183" s="32" t="s">
        <v>40</v>
      </c>
      <c r="K2183" s="32" t="s">
        <v>41</v>
      </c>
    </row>
    <row r="2184" spans="1:12" hidden="1" x14ac:dyDescent="0.3">
      <c r="A2184" s="39">
        <v>46148.610312500001</v>
      </c>
      <c r="B2184" s="32" t="s">
        <v>57</v>
      </c>
      <c r="C2184" s="32">
        <v>4433231037</v>
      </c>
      <c r="E2184" s="32">
        <v>407</v>
      </c>
      <c r="F2184" s="32">
        <v>397</v>
      </c>
      <c r="G2184" s="32" t="s">
        <v>38</v>
      </c>
      <c r="H2184" s="32" t="s">
        <v>4901</v>
      </c>
      <c r="I2184" s="32" t="s">
        <v>46</v>
      </c>
      <c r="J2184" s="32" t="s">
        <v>55</v>
      </c>
    </row>
    <row r="2185" spans="1:12" hidden="1" x14ac:dyDescent="0.3">
      <c r="A2185" s="39">
        <v>46148.610300925924</v>
      </c>
      <c r="B2185" s="32">
        <v>44999791304</v>
      </c>
      <c r="C2185" s="32" t="s">
        <v>44</v>
      </c>
      <c r="D2185" s="32">
        <v>4430265054</v>
      </c>
      <c r="E2185" s="32">
        <v>378</v>
      </c>
      <c r="F2185" s="32">
        <v>317</v>
      </c>
      <c r="G2185" s="32" t="s">
        <v>38</v>
      </c>
      <c r="H2185" s="32" t="s">
        <v>4902</v>
      </c>
      <c r="I2185" s="32" t="s">
        <v>39</v>
      </c>
      <c r="J2185" s="32" t="s">
        <v>40</v>
      </c>
      <c r="K2185" s="32" t="s">
        <v>41</v>
      </c>
    </row>
    <row r="2186" spans="1:12" hidden="1" x14ac:dyDescent="0.3">
      <c r="A2186" s="39">
        <v>46148.609548611108</v>
      </c>
      <c r="B2186" s="32" t="s">
        <v>57</v>
      </c>
      <c r="C2186" s="32">
        <v>4433231994</v>
      </c>
      <c r="E2186" s="32">
        <v>0</v>
      </c>
      <c r="F2186" s="32">
        <v>0</v>
      </c>
      <c r="G2186" s="32" t="s">
        <v>47</v>
      </c>
      <c r="H2186" s="32" t="s">
        <v>4903</v>
      </c>
      <c r="I2186" s="32" t="s">
        <v>46</v>
      </c>
      <c r="J2186" s="32" t="s">
        <v>55</v>
      </c>
    </row>
    <row r="2187" spans="1:12" hidden="1" x14ac:dyDescent="0.3">
      <c r="A2187" s="39">
        <v>46148.609456018516</v>
      </c>
      <c r="B2187" s="32" t="s">
        <v>57</v>
      </c>
      <c r="C2187" s="32">
        <v>4433231037</v>
      </c>
      <c r="E2187" s="32">
        <v>0</v>
      </c>
      <c r="F2187" s="32">
        <v>0</v>
      </c>
      <c r="G2187" s="32" t="s">
        <v>47</v>
      </c>
      <c r="H2187" s="32" t="s">
        <v>4904</v>
      </c>
      <c r="I2187" s="32" t="s">
        <v>46</v>
      </c>
      <c r="J2187" s="32" t="s">
        <v>55</v>
      </c>
    </row>
    <row r="2188" spans="1:12" hidden="1" x14ac:dyDescent="0.3">
      <c r="A2188" s="39">
        <v>46148.609409722223</v>
      </c>
      <c r="B2188" s="32">
        <v>4435226025</v>
      </c>
      <c r="C2188" s="32">
        <v>4430265054</v>
      </c>
      <c r="D2188" s="32">
        <v>4430265054</v>
      </c>
      <c r="E2188" s="32">
        <v>40</v>
      </c>
      <c r="F2188" s="32">
        <v>39</v>
      </c>
      <c r="G2188" s="32" t="s">
        <v>52</v>
      </c>
      <c r="H2188" s="32" t="s">
        <v>4905</v>
      </c>
      <c r="I2188" s="32" t="s">
        <v>39</v>
      </c>
      <c r="J2188" s="32" t="s">
        <v>53</v>
      </c>
      <c r="K2188" s="32" t="s">
        <v>41</v>
      </c>
    </row>
    <row r="2189" spans="1:12" hidden="1" x14ac:dyDescent="0.3">
      <c r="A2189" s="39">
        <v>46148.609259259261</v>
      </c>
      <c r="B2189" s="32" t="s">
        <v>57</v>
      </c>
      <c r="C2189" s="32">
        <v>4433231037</v>
      </c>
      <c r="E2189" s="32">
        <v>0</v>
      </c>
      <c r="F2189" s="32">
        <v>0</v>
      </c>
      <c r="G2189" s="32" t="s">
        <v>47</v>
      </c>
      <c r="H2189" s="32" t="s">
        <v>4906</v>
      </c>
      <c r="I2189" s="32" t="s">
        <v>46</v>
      </c>
      <c r="J2189" s="32" t="s">
        <v>55</v>
      </c>
    </row>
    <row r="2190" spans="1:12" hidden="1" x14ac:dyDescent="0.3">
      <c r="A2190" s="39">
        <v>46148.606435185182</v>
      </c>
      <c r="B2190" s="32" t="s">
        <v>54</v>
      </c>
      <c r="C2190" s="32">
        <v>11963453872</v>
      </c>
      <c r="E2190" s="32">
        <v>9</v>
      </c>
      <c r="F2190" s="32">
        <v>5</v>
      </c>
      <c r="G2190" s="32" t="s">
        <v>38</v>
      </c>
      <c r="H2190" s="32" t="s">
        <v>4907</v>
      </c>
      <c r="I2190" s="32" t="s">
        <v>46</v>
      </c>
      <c r="J2190" s="32" t="s">
        <v>55</v>
      </c>
    </row>
    <row r="2191" spans="1:12" hidden="1" x14ac:dyDescent="0.3">
      <c r="A2191" s="39">
        <v>46148.60628472222</v>
      </c>
      <c r="B2191" s="32" t="s">
        <v>45</v>
      </c>
      <c r="C2191" s="32">
        <v>1131043888</v>
      </c>
      <c r="E2191" s="32">
        <v>1425</v>
      </c>
      <c r="F2191" s="32">
        <v>1423</v>
      </c>
      <c r="G2191" s="32" t="s">
        <v>38</v>
      </c>
      <c r="H2191" s="32" t="s">
        <v>4908</v>
      </c>
      <c r="I2191" s="32" t="s">
        <v>46</v>
      </c>
      <c r="J2191" s="32" t="s">
        <v>40</v>
      </c>
      <c r="L2191" s="32">
        <v>5</v>
      </c>
    </row>
    <row r="2192" spans="1:12" hidden="1" x14ac:dyDescent="0.3">
      <c r="A2192" s="39">
        <v>46148.605706018519</v>
      </c>
      <c r="B2192" s="32">
        <v>4437231078</v>
      </c>
      <c r="C2192" s="32" t="s">
        <v>37</v>
      </c>
      <c r="D2192" s="32">
        <v>4430265054</v>
      </c>
      <c r="E2192" s="32">
        <v>176</v>
      </c>
      <c r="F2192" s="32">
        <v>97</v>
      </c>
      <c r="G2192" s="32" t="s">
        <v>38</v>
      </c>
      <c r="H2192" s="32" t="s">
        <v>4909</v>
      </c>
      <c r="I2192" s="32" t="s">
        <v>39</v>
      </c>
      <c r="J2192" s="32" t="s">
        <v>40</v>
      </c>
      <c r="K2192" s="32" t="s">
        <v>41</v>
      </c>
    </row>
    <row r="2193" spans="1:12" hidden="1" x14ac:dyDescent="0.3">
      <c r="A2193" s="39">
        <v>46148.605231481481</v>
      </c>
      <c r="B2193" s="32" t="s">
        <v>57</v>
      </c>
      <c r="C2193" s="32">
        <v>4433231037</v>
      </c>
      <c r="E2193" s="32">
        <v>342</v>
      </c>
      <c r="F2193" s="32">
        <v>332</v>
      </c>
      <c r="G2193" s="32" t="s">
        <v>38</v>
      </c>
      <c r="H2193" s="32" t="s">
        <v>4910</v>
      </c>
      <c r="I2193" s="32" t="s">
        <v>46</v>
      </c>
      <c r="J2193" s="32" t="s">
        <v>55</v>
      </c>
    </row>
    <row r="2194" spans="1:12" hidden="1" x14ac:dyDescent="0.3">
      <c r="A2194" s="39">
        <v>46148.604050925926</v>
      </c>
      <c r="B2194" s="32" t="s">
        <v>54</v>
      </c>
      <c r="C2194" s="32">
        <v>11994011325</v>
      </c>
      <c r="E2194" s="32">
        <v>12</v>
      </c>
      <c r="F2194" s="32">
        <v>0</v>
      </c>
      <c r="G2194" s="32" t="s">
        <v>47</v>
      </c>
      <c r="H2194" s="32" t="s">
        <v>4911</v>
      </c>
      <c r="I2194" s="32" t="s">
        <v>46</v>
      </c>
      <c r="J2194" s="32" t="s">
        <v>55</v>
      </c>
    </row>
    <row r="2195" spans="1:12" hidden="1" x14ac:dyDescent="0.3">
      <c r="A2195" s="39">
        <v>46148.601990740739</v>
      </c>
      <c r="B2195" s="32" t="s">
        <v>57</v>
      </c>
      <c r="C2195" s="32">
        <v>41991093831</v>
      </c>
      <c r="E2195" s="32">
        <v>56</v>
      </c>
      <c r="F2195" s="32">
        <v>38</v>
      </c>
      <c r="G2195" s="32" t="s">
        <v>38</v>
      </c>
      <c r="H2195" s="32" t="s">
        <v>4912</v>
      </c>
      <c r="I2195" s="32" t="s">
        <v>46</v>
      </c>
      <c r="J2195" s="32" t="s">
        <v>55</v>
      </c>
    </row>
    <row r="2196" spans="1:12" hidden="1" x14ac:dyDescent="0.3">
      <c r="A2196" s="39">
        <v>46148.597592592596</v>
      </c>
      <c r="B2196" s="32" t="s">
        <v>54</v>
      </c>
      <c r="C2196" s="32">
        <v>34997803010</v>
      </c>
      <c r="E2196" s="32">
        <v>33</v>
      </c>
      <c r="F2196" s="32">
        <v>0</v>
      </c>
      <c r="G2196" s="32" t="s">
        <v>47</v>
      </c>
      <c r="H2196" s="32" t="s">
        <v>4913</v>
      </c>
      <c r="I2196" s="32" t="s">
        <v>46</v>
      </c>
      <c r="J2196" s="32" t="s">
        <v>55</v>
      </c>
    </row>
    <row r="2197" spans="1:12" hidden="1" x14ac:dyDescent="0.3">
      <c r="A2197" s="39">
        <v>46148.59175925926</v>
      </c>
      <c r="B2197" s="32">
        <v>44999654761</v>
      </c>
      <c r="C2197" s="32">
        <v>4430265054</v>
      </c>
      <c r="D2197" s="32">
        <v>4430265054</v>
      </c>
      <c r="E2197" s="32">
        <v>22</v>
      </c>
      <c r="F2197" s="32">
        <v>21</v>
      </c>
      <c r="G2197" s="32" t="s">
        <v>52</v>
      </c>
      <c r="H2197" s="32" t="s">
        <v>4914</v>
      </c>
      <c r="I2197" s="32" t="s">
        <v>39</v>
      </c>
      <c r="J2197" s="32" t="s">
        <v>53</v>
      </c>
    </row>
    <row r="2198" spans="1:12" hidden="1" x14ac:dyDescent="0.3">
      <c r="A2198" s="39">
        <v>46148.590752314813</v>
      </c>
      <c r="B2198" s="32">
        <v>44997650834</v>
      </c>
      <c r="C2198" s="32" t="s">
        <v>43</v>
      </c>
      <c r="D2198" s="32">
        <v>4430265054</v>
      </c>
      <c r="E2198" s="32">
        <v>338</v>
      </c>
      <c r="F2198" s="32">
        <v>316</v>
      </c>
      <c r="G2198" s="32" t="s">
        <v>38</v>
      </c>
      <c r="H2198" s="32" t="s">
        <v>4915</v>
      </c>
      <c r="I2198" s="32" t="s">
        <v>39</v>
      </c>
      <c r="J2198" s="32" t="s">
        <v>40</v>
      </c>
      <c r="K2198" s="32" t="s">
        <v>41</v>
      </c>
      <c r="L2198" s="32">
        <v>5</v>
      </c>
    </row>
    <row r="2199" spans="1:12" hidden="1" x14ac:dyDescent="0.3">
      <c r="A2199" s="39">
        <v>46148.588576388887</v>
      </c>
      <c r="B2199" s="32">
        <v>4430346845</v>
      </c>
      <c r="C2199" s="32" t="s">
        <v>48</v>
      </c>
      <c r="D2199" s="32">
        <v>4430265054</v>
      </c>
      <c r="E2199" s="32">
        <v>268</v>
      </c>
      <c r="F2199" s="32">
        <v>197</v>
      </c>
      <c r="G2199" s="32" t="s">
        <v>38</v>
      </c>
      <c r="H2199" s="32" t="s">
        <v>4916</v>
      </c>
      <c r="I2199" s="32" t="s">
        <v>39</v>
      </c>
      <c r="J2199" s="32" t="s">
        <v>40</v>
      </c>
      <c r="K2199" s="32" t="s">
        <v>41</v>
      </c>
    </row>
    <row r="2200" spans="1:12" hidden="1" x14ac:dyDescent="0.3">
      <c r="A2200" s="39">
        <v>46148.586493055554</v>
      </c>
      <c r="B2200" s="32">
        <v>4430346845</v>
      </c>
      <c r="C2200" s="32">
        <v>4430265054</v>
      </c>
      <c r="D2200" s="32">
        <v>4430265054</v>
      </c>
      <c r="E2200" s="32">
        <v>151</v>
      </c>
      <c r="F2200" s="32">
        <v>150</v>
      </c>
      <c r="G2200" s="32" t="s">
        <v>52</v>
      </c>
      <c r="H2200" s="32" t="s">
        <v>4917</v>
      </c>
      <c r="I2200" s="32" t="s">
        <v>39</v>
      </c>
      <c r="J2200" s="32" t="s">
        <v>53</v>
      </c>
      <c r="K2200" s="32" t="s">
        <v>41</v>
      </c>
    </row>
    <row r="2201" spans="1:12" hidden="1" x14ac:dyDescent="0.3">
      <c r="A2201" s="39">
        <v>46148.584062499998</v>
      </c>
      <c r="B2201" s="32">
        <v>4430345247</v>
      </c>
      <c r="C2201" s="32" t="s">
        <v>44</v>
      </c>
      <c r="D2201" s="32">
        <v>4430265054</v>
      </c>
      <c r="E2201" s="32">
        <v>782</v>
      </c>
      <c r="F2201" s="32">
        <v>747</v>
      </c>
      <c r="G2201" s="32" t="s">
        <v>38</v>
      </c>
      <c r="H2201" s="32" t="s">
        <v>4918</v>
      </c>
      <c r="I2201" s="32" t="s">
        <v>39</v>
      </c>
      <c r="J2201" s="32" t="s">
        <v>40</v>
      </c>
      <c r="K2201" s="32" t="s">
        <v>41</v>
      </c>
      <c r="L2201" s="32">
        <v>5</v>
      </c>
    </row>
    <row r="2202" spans="1:12" hidden="1" x14ac:dyDescent="0.3">
      <c r="A2202" s="39">
        <v>46148.58394675926</v>
      </c>
      <c r="B2202" s="32">
        <v>1131043888</v>
      </c>
      <c r="C2202" s="32" t="s">
        <v>45</v>
      </c>
      <c r="D2202" s="32">
        <v>4430265054</v>
      </c>
      <c r="E2202" s="32">
        <v>818</v>
      </c>
      <c r="F2202" s="32">
        <v>797</v>
      </c>
      <c r="G2202" s="32" t="s">
        <v>38</v>
      </c>
      <c r="H2202" s="32" t="s">
        <v>4919</v>
      </c>
      <c r="I2202" s="32" t="s">
        <v>39</v>
      </c>
      <c r="J2202" s="32" t="s">
        <v>40</v>
      </c>
      <c r="K2202" s="32" t="s">
        <v>41</v>
      </c>
    </row>
    <row r="2203" spans="1:12" hidden="1" x14ac:dyDescent="0.3">
      <c r="A2203" s="39">
        <v>46148.581493055557</v>
      </c>
      <c r="B2203" s="32">
        <v>43991364602</v>
      </c>
      <c r="C2203" s="32" t="s">
        <v>43</v>
      </c>
      <c r="D2203" s="32">
        <v>4430265054</v>
      </c>
      <c r="E2203" s="32">
        <v>777</v>
      </c>
      <c r="F2203" s="32">
        <v>735</v>
      </c>
      <c r="G2203" s="32" t="s">
        <v>38</v>
      </c>
      <c r="H2203" s="32" t="s">
        <v>4920</v>
      </c>
      <c r="I2203" s="32" t="s">
        <v>39</v>
      </c>
      <c r="J2203" s="32" t="s">
        <v>40</v>
      </c>
      <c r="K2203" s="32" t="s">
        <v>41</v>
      </c>
    </row>
    <row r="2204" spans="1:12" hidden="1" x14ac:dyDescent="0.3">
      <c r="A2204" s="39">
        <v>46148.577372685184</v>
      </c>
      <c r="B2204" s="32" t="s">
        <v>45</v>
      </c>
      <c r="C2204" s="32">
        <v>44997311122</v>
      </c>
      <c r="E2204" s="32">
        <v>71</v>
      </c>
      <c r="F2204" s="32">
        <v>34</v>
      </c>
      <c r="G2204" s="32" t="s">
        <v>38</v>
      </c>
      <c r="H2204" s="32" t="s">
        <v>4921</v>
      </c>
      <c r="I2204" s="32" t="s">
        <v>46</v>
      </c>
      <c r="J2204" s="32" t="s">
        <v>40</v>
      </c>
    </row>
    <row r="2205" spans="1:12" hidden="1" x14ac:dyDescent="0.3">
      <c r="A2205" s="39">
        <v>46148.571018518516</v>
      </c>
      <c r="B2205" s="32">
        <v>44997456641</v>
      </c>
      <c r="C2205" s="32" t="s">
        <v>43</v>
      </c>
      <c r="D2205" s="32">
        <v>4430265054</v>
      </c>
      <c r="E2205" s="32">
        <v>122</v>
      </c>
      <c r="F2205" s="32">
        <v>54</v>
      </c>
      <c r="G2205" s="32" t="s">
        <v>38</v>
      </c>
      <c r="H2205" s="32" t="s">
        <v>4922</v>
      </c>
      <c r="I2205" s="32" t="s">
        <v>39</v>
      </c>
      <c r="J2205" s="32" t="s">
        <v>40</v>
      </c>
      <c r="K2205" s="32" t="s">
        <v>41</v>
      </c>
    </row>
    <row r="2206" spans="1:12" hidden="1" x14ac:dyDescent="0.3">
      <c r="A2206" s="39">
        <v>46148.570706018516</v>
      </c>
      <c r="B2206" s="32">
        <v>42998221810</v>
      </c>
      <c r="C2206" s="32" t="s">
        <v>37</v>
      </c>
      <c r="D2206" s="32">
        <v>4430265054</v>
      </c>
      <c r="E2206" s="32">
        <v>2415</v>
      </c>
      <c r="F2206" s="32">
        <v>2315</v>
      </c>
      <c r="G2206" s="32" t="s">
        <v>38</v>
      </c>
      <c r="H2206" s="32" t="s">
        <v>4923</v>
      </c>
      <c r="I2206" s="32" t="s">
        <v>39</v>
      </c>
      <c r="J2206" s="32" t="s">
        <v>40</v>
      </c>
      <c r="K2206" s="32" t="s">
        <v>41</v>
      </c>
      <c r="L2206" s="32">
        <v>5</v>
      </c>
    </row>
    <row r="2207" spans="1:12" hidden="1" x14ac:dyDescent="0.3">
      <c r="A2207" s="39">
        <v>46148.568888888891</v>
      </c>
      <c r="B2207" s="32">
        <v>4121418164</v>
      </c>
      <c r="C2207" s="32" t="s">
        <v>37</v>
      </c>
      <c r="D2207" s="32">
        <v>4531273176</v>
      </c>
      <c r="E2207" s="32">
        <v>47</v>
      </c>
      <c r="F2207" s="32">
        <v>10</v>
      </c>
      <c r="G2207" s="32" t="s">
        <v>38</v>
      </c>
      <c r="H2207" s="32" t="s">
        <v>4924</v>
      </c>
      <c r="I2207" s="32" t="s">
        <v>39</v>
      </c>
      <c r="J2207" s="32" t="s">
        <v>40</v>
      </c>
      <c r="K2207" s="32" t="s">
        <v>41</v>
      </c>
    </row>
    <row r="2208" spans="1:12" hidden="1" x14ac:dyDescent="0.3">
      <c r="A2208" s="39">
        <v>46148.567349537036</v>
      </c>
      <c r="B2208" s="32" t="s">
        <v>43</v>
      </c>
      <c r="C2208" s="32">
        <v>44998640313</v>
      </c>
      <c r="E2208" s="32">
        <v>35</v>
      </c>
      <c r="F2208" s="32">
        <v>0</v>
      </c>
      <c r="G2208" s="32" t="s">
        <v>47</v>
      </c>
      <c r="H2208" s="32" t="s">
        <v>4925</v>
      </c>
      <c r="I2208" s="32" t="s">
        <v>46</v>
      </c>
      <c r="J2208" s="32" t="s">
        <v>40</v>
      </c>
    </row>
    <row r="2209" spans="1:11" hidden="1" x14ac:dyDescent="0.3">
      <c r="A2209" s="39">
        <v>46148.56585648148</v>
      </c>
      <c r="B2209" s="32">
        <v>44998039090</v>
      </c>
      <c r="C2209" s="32" t="s">
        <v>44</v>
      </c>
      <c r="D2209" s="32">
        <v>4430265054</v>
      </c>
      <c r="E2209" s="32">
        <v>576</v>
      </c>
      <c r="F2209" s="32">
        <v>511</v>
      </c>
      <c r="G2209" s="32" t="s">
        <v>38</v>
      </c>
      <c r="H2209" s="32" t="s">
        <v>4926</v>
      </c>
      <c r="I2209" s="32" t="s">
        <v>39</v>
      </c>
      <c r="J2209" s="32" t="s">
        <v>40</v>
      </c>
      <c r="K2209" s="32" t="s">
        <v>41</v>
      </c>
    </row>
    <row r="2210" spans="1:11" hidden="1" x14ac:dyDescent="0.3">
      <c r="A2210" s="39">
        <v>46148.563194444447</v>
      </c>
      <c r="B2210" s="32">
        <v>4430562296</v>
      </c>
      <c r="C2210" s="32" t="s">
        <v>45</v>
      </c>
      <c r="D2210" s="32">
        <v>4430265054</v>
      </c>
      <c r="E2210" s="32">
        <v>994</v>
      </c>
      <c r="F2210" s="32">
        <v>937</v>
      </c>
      <c r="G2210" s="32" t="s">
        <v>38</v>
      </c>
      <c r="H2210" s="32" t="s">
        <v>4927</v>
      </c>
      <c r="I2210" s="32" t="s">
        <v>39</v>
      </c>
      <c r="J2210" s="32" t="s">
        <v>40</v>
      </c>
      <c r="K2210" s="32" t="s">
        <v>41</v>
      </c>
    </row>
    <row r="2211" spans="1:11" hidden="1" x14ac:dyDescent="0.3">
      <c r="A2211" s="39">
        <v>46148.544606481482</v>
      </c>
      <c r="B2211" s="32">
        <v>4533042020</v>
      </c>
      <c r="C2211" s="32">
        <v>4531273163</v>
      </c>
      <c r="D2211" s="32">
        <v>4531273163</v>
      </c>
      <c r="E2211" s="32">
        <v>29</v>
      </c>
      <c r="F2211" s="32">
        <v>28</v>
      </c>
      <c r="G2211" s="32" t="s">
        <v>52</v>
      </c>
      <c r="H2211" s="32" t="s">
        <v>4928</v>
      </c>
      <c r="I2211" s="32" t="s">
        <v>39</v>
      </c>
      <c r="J2211" s="32" t="s">
        <v>53</v>
      </c>
    </row>
    <row r="2212" spans="1:11" hidden="1" x14ac:dyDescent="0.3">
      <c r="A2212" s="39">
        <v>46148.542534722219</v>
      </c>
      <c r="B2212" s="32">
        <v>42998221810</v>
      </c>
      <c r="C2212" s="32">
        <v>4430265054</v>
      </c>
      <c r="D2212" s="32">
        <v>4430265054</v>
      </c>
      <c r="E2212" s="32">
        <v>14</v>
      </c>
      <c r="F2212" s="32">
        <v>13</v>
      </c>
      <c r="G2212" s="32" t="s">
        <v>52</v>
      </c>
      <c r="H2212" s="32" t="s">
        <v>4929</v>
      </c>
      <c r="I2212" s="32" t="s">
        <v>39</v>
      </c>
      <c r="J2212" s="32" t="s">
        <v>53</v>
      </c>
    </row>
    <row r="2213" spans="1:11" hidden="1" x14ac:dyDescent="0.3">
      <c r="A2213" s="39">
        <v>46148.493750000001</v>
      </c>
      <c r="B2213" s="32">
        <v>44999242082</v>
      </c>
      <c r="C2213" s="32">
        <v>4430265054</v>
      </c>
      <c r="D2213" s="32">
        <v>4430265054</v>
      </c>
      <c r="E2213" s="32">
        <v>8</v>
      </c>
      <c r="F2213" s="32">
        <v>7</v>
      </c>
      <c r="G2213" s="32" t="s">
        <v>52</v>
      </c>
      <c r="H2213" s="32" t="s">
        <v>4930</v>
      </c>
      <c r="I2213" s="32" t="s">
        <v>39</v>
      </c>
      <c r="J2213" s="32" t="s">
        <v>53</v>
      </c>
    </row>
    <row r="2214" spans="1:11" hidden="1" x14ac:dyDescent="0.3">
      <c r="A2214" s="39">
        <v>46148.492719907408</v>
      </c>
      <c r="B2214" s="32" t="s">
        <v>54</v>
      </c>
      <c r="C2214" s="32">
        <v>61999232897</v>
      </c>
      <c r="E2214" s="32">
        <v>34</v>
      </c>
      <c r="F2214" s="32">
        <v>0</v>
      </c>
      <c r="G2214" s="32" t="s">
        <v>47</v>
      </c>
      <c r="H2214" s="32" t="s">
        <v>4931</v>
      </c>
      <c r="I2214" s="32" t="s">
        <v>46</v>
      </c>
      <c r="J2214" s="32" t="s">
        <v>55</v>
      </c>
    </row>
    <row r="2215" spans="1:11" hidden="1" x14ac:dyDescent="0.3">
      <c r="A2215" s="39">
        <v>46148.491701388892</v>
      </c>
      <c r="B2215" s="32" t="s">
        <v>54</v>
      </c>
      <c r="C2215" s="32">
        <v>11967278166</v>
      </c>
      <c r="E2215" s="32">
        <v>7</v>
      </c>
      <c r="F2215" s="32">
        <v>0</v>
      </c>
      <c r="G2215" s="32" t="s">
        <v>47</v>
      </c>
      <c r="H2215" s="32" t="s">
        <v>4932</v>
      </c>
      <c r="I2215" s="32" t="s">
        <v>46</v>
      </c>
      <c r="J2215" s="32" t="s">
        <v>55</v>
      </c>
    </row>
    <row r="2216" spans="1:11" hidden="1" x14ac:dyDescent="0.3">
      <c r="A2216" s="39">
        <v>46148.490393518521</v>
      </c>
      <c r="B2216" s="32" t="s">
        <v>54</v>
      </c>
      <c r="C2216" s="32">
        <v>37998254339</v>
      </c>
      <c r="E2216" s="32">
        <v>7</v>
      </c>
      <c r="F2216" s="32">
        <v>0</v>
      </c>
      <c r="G2216" s="32" t="s">
        <v>47</v>
      </c>
      <c r="H2216" s="32" t="s">
        <v>4933</v>
      </c>
      <c r="I2216" s="32" t="s">
        <v>46</v>
      </c>
      <c r="J2216" s="32" t="s">
        <v>55</v>
      </c>
    </row>
    <row r="2217" spans="1:11" hidden="1" x14ac:dyDescent="0.3">
      <c r="A2217" s="39">
        <v>46148.489722222221</v>
      </c>
      <c r="B2217" s="32" t="s">
        <v>54</v>
      </c>
      <c r="C2217" s="32">
        <v>4133519966</v>
      </c>
      <c r="E2217" s="32">
        <v>27</v>
      </c>
      <c r="F2217" s="32">
        <v>0</v>
      </c>
      <c r="G2217" s="32" t="s">
        <v>47</v>
      </c>
      <c r="H2217" s="32" t="s">
        <v>4934</v>
      </c>
      <c r="I2217" s="32" t="s">
        <v>46</v>
      </c>
      <c r="J2217" s="32" t="s">
        <v>55</v>
      </c>
    </row>
    <row r="2218" spans="1:11" hidden="1" x14ac:dyDescent="0.3">
      <c r="A2218" s="39">
        <v>46148.488518518519</v>
      </c>
      <c r="B2218" s="32" t="s">
        <v>54</v>
      </c>
      <c r="C2218" s="32">
        <v>92991463130</v>
      </c>
      <c r="E2218" s="32">
        <v>12</v>
      </c>
      <c r="F2218" s="32">
        <v>1</v>
      </c>
      <c r="G2218" s="32" t="s">
        <v>38</v>
      </c>
      <c r="H2218" s="32" t="s">
        <v>4935</v>
      </c>
      <c r="I2218" s="32" t="s">
        <v>46</v>
      </c>
      <c r="J2218" s="32" t="s">
        <v>55</v>
      </c>
    </row>
    <row r="2219" spans="1:11" hidden="1" x14ac:dyDescent="0.3">
      <c r="A2219" s="39">
        <v>46148.487500000003</v>
      </c>
      <c r="B2219" s="32" t="s">
        <v>54</v>
      </c>
      <c r="C2219" s="32">
        <v>7135067924</v>
      </c>
      <c r="E2219" s="32">
        <v>13</v>
      </c>
      <c r="F2219" s="32">
        <v>2</v>
      </c>
      <c r="G2219" s="32" t="s">
        <v>38</v>
      </c>
      <c r="H2219" s="32" t="s">
        <v>4936</v>
      </c>
      <c r="I2219" s="32" t="s">
        <v>46</v>
      </c>
      <c r="J2219" s="32" t="s">
        <v>55</v>
      </c>
    </row>
    <row r="2220" spans="1:11" hidden="1" x14ac:dyDescent="0.3">
      <c r="A2220" s="39">
        <v>46148.486562500002</v>
      </c>
      <c r="B2220" s="32" t="s">
        <v>54</v>
      </c>
      <c r="C2220" s="32">
        <v>13981540968</v>
      </c>
      <c r="E2220" s="32">
        <v>9</v>
      </c>
      <c r="F2220" s="32">
        <v>0</v>
      </c>
      <c r="G2220" s="32" t="s">
        <v>47</v>
      </c>
      <c r="H2220" s="32" t="s">
        <v>4937</v>
      </c>
      <c r="I2220" s="32" t="s">
        <v>46</v>
      </c>
      <c r="J2220" s="32" t="s">
        <v>55</v>
      </c>
    </row>
    <row r="2221" spans="1:11" hidden="1" x14ac:dyDescent="0.3">
      <c r="A2221" s="39">
        <v>46148.482615740744</v>
      </c>
      <c r="B2221" s="32" t="s">
        <v>57</v>
      </c>
      <c r="C2221" s="32">
        <v>4430152533</v>
      </c>
      <c r="E2221" s="32">
        <v>396</v>
      </c>
      <c r="F2221" s="32">
        <v>382</v>
      </c>
      <c r="G2221" s="32" t="s">
        <v>38</v>
      </c>
      <c r="H2221" s="32" t="s">
        <v>4938</v>
      </c>
      <c r="I2221" s="32" t="s">
        <v>46</v>
      </c>
      <c r="J2221" s="32" t="s">
        <v>55</v>
      </c>
    </row>
    <row r="2222" spans="1:11" hidden="1" x14ac:dyDescent="0.3">
      <c r="A2222" s="39">
        <v>46148.48233796296</v>
      </c>
      <c r="B2222" s="32" t="s">
        <v>57</v>
      </c>
      <c r="C2222" s="32">
        <v>44999215148</v>
      </c>
      <c r="E2222" s="32">
        <v>8</v>
      </c>
      <c r="F2222" s="32">
        <v>0</v>
      </c>
      <c r="G2222" s="32" t="s">
        <v>47</v>
      </c>
      <c r="H2222" s="32" t="s">
        <v>4939</v>
      </c>
      <c r="I2222" s="32" t="s">
        <v>46</v>
      </c>
      <c r="J2222" s="32" t="s">
        <v>55</v>
      </c>
    </row>
    <row r="2223" spans="1:11" hidden="1" x14ac:dyDescent="0.3">
      <c r="A2223" s="39">
        <v>46148.481620370374</v>
      </c>
      <c r="B2223" s="32">
        <v>4421032923</v>
      </c>
      <c r="C2223" s="32">
        <v>4430265054</v>
      </c>
      <c r="D2223" s="32">
        <v>4430265054</v>
      </c>
      <c r="E2223" s="32">
        <v>3</v>
      </c>
      <c r="F2223" s="32">
        <v>3</v>
      </c>
      <c r="G2223" s="32" t="s">
        <v>52</v>
      </c>
      <c r="H2223" s="32" t="s">
        <v>4940</v>
      </c>
      <c r="I2223" s="32" t="s">
        <v>39</v>
      </c>
      <c r="J2223" s="32" t="s">
        <v>53</v>
      </c>
    </row>
    <row r="2224" spans="1:11" hidden="1" x14ac:dyDescent="0.3">
      <c r="A2224" s="39">
        <v>46148.481249999997</v>
      </c>
      <c r="B2224" s="32" t="s">
        <v>54</v>
      </c>
      <c r="C2224" s="32">
        <v>67993463737</v>
      </c>
      <c r="E2224" s="32">
        <v>21</v>
      </c>
      <c r="F2224" s="32">
        <v>0</v>
      </c>
      <c r="G2224" s="32" t="s">
        <v>47</v>
      </c>
      <c r="H2224" s="32" t="s">
        <v>4941</v>
      </c>
      <c r="I2224" s="32" t="s">
        <v>46</v>
      </c>
      <c r="J2224" s="32" t="s">
        <v>55</v>
      </c>
    </row>
    <row r="2225" spans="1:12" hidden="1" x14ac:dyDescent="0.3">
      <c r="A2225" s="39">
        <v>46148.480428240742</v>
      </c>
      <c r="B2225" s="32">
        <v>44998640313</v>
      </c>
      <c r="C2225" s="32" t="s">
        <v>43</v>
      </c>
      <c r="D2225" s="32">
        <v>4430265054</v>
      </c>
      <c r="E2225" s="32">
        <v>280</v>
      </c>
      <c r="F2225" s="32">
        <v>250</v>
      </c>
      <c r="G2225" s="32" t="s">
        <v>38</v>
      </c>
      <c r="H2225" s="32" t="s">
        <v>4942</v>
      </c>
      <c r="I2225" s="32" t="s">
        <v>39</v>
      </c>
      <c r="J2225" s="32" t="s">
        <v>40</v>
      </c>
      <c r="K2225" s="32" t="s">
        <v>41</v>
      </c>
    </row>
    <row r="2226" spans="1:12" hidden="1" x14ac:dyDescent="0.3">
      <c r="A2226" s="39">
        <v>46148.480370370373</v>
      </c>
      <c r="B2226" s="32" t="s">
        <v>54</v>
      </c>
      <c r="C2226" s="32">
        <v>42988255266</v>
      </c>
      <c r="E2226" s="32">
        <v>1</v>
      </c>
      <c r="F2226" s="32">
        <v>0</v>
      </c>
      <c r="G2226" s="32" t="s">
        <v>47</v>
      </c>
      <c r="H2226" s="32" t="s">
        <v>4943</v>
      </c>
      <c r="I2226" s="32" t="s">
        <v>46</v>
      </c>
      <c r="J2226" s="32" t="s">
        <v>55</v>
      </c>
    </row>
    <row r="2227" spans="1:12" hidden="1" x14ac:dyDescent="0.3">
      <c r="A2227" s="39">
        <v>46148.479305555556</v>
      </c>
      <c r="B2227" s="32" t="s">
        <v>54</v>
      </c>
      <c r="C2227" s="32">
        <v>21969550409</v>
      </c>
      <c r="E2227" s="32">
        <v>21</v>
      </c>
      <c r="F2227" s="32">
        <v>17</v>
      </c>
      <c r="G2227" s="32" t="s">
        <v>38</v>
      </c>
      <c r="H2227" s="32" t="s">
        <v>4944</v>
      </c>
      <c r="I2227" s="32" t="s">
        <v>46</v>
      </c>
      <c r="J2227" s="32" t="s">
        <v>55</v>
      </c>
    </row>
    <row r="2228" spans="1:12" hidden="1" x14ac:dyDescent="0.3">
      <c r="A2228" s="39">
        <v>46148.47865740741</v>
      </c>
      <c r="B2228" s="32" t="s">
        <v>54</v>
      </c>
      <c r="C2228" s="32">
        <v>82988705505</v>
      </c>
      <c r="E2228" s="32">
        <v>28</v>
      </c>
      <c r="F2228" s="32">
        <v>0</v>
      </c>
      <c r="G2228" s="32" t="s">
        <v>47</v>
      </c>
      <c r="H2228" s="32" t="s">
        <v>4945</v>
      </c>
      <c r="I2228" s="32" t="s">
        <v>46</v>
      </c>
      <c r="J2228" s="32" t="s">
        <v>55</v>
      </c>
    </row>
    <row r="2229" spans="1:12" hidden="1" x14ac:dyDescent="0.3">
      <c r="A2229" s="39">
        <v>46148.477789351855</v>
      </c>
      <c r="B2229" s="32" t="s">
        <v>54</v>
      </c>
      <c r="C2229" s="32">
        <v>62985755400</v>
      </c>
      <c r="E2229" s="32">
        <v>16</v>
      </c>
      <c r="F2229" s="32">
        <v>2</v>
      </c>
      <c r="G2229" s="32" t="s">
        <v>38</v>
      </c>
      <c r="H2229" s="32" t="s">
        <v>4946</v>
      </c>
      <c r="I2229" s="32" t="s">
        <v>46</v>
      </c>
      <c r="J2229" s="32" t="s">
        <v>55</v>
      </c>
    </row>
    <row r="2230" spans="1:12" hidden="1" x14ac:dyDescent="0.3">
      <c r="A2230" s="39">
        <v>46148.47693287037</v>
      </c>
      <c r="B2230" s="32" t="s">
        <v>54</v>
      </c>
      <c r="C2230" s="32">
        <v>95991464548</v>
      </c>
      <c r="E2230" s="32">
        <v>8</v>
      </c>
      <c r="F2230" s="32">
        <v>0</v>
      </c>
      <c r="G2230" s="32" t="s">
        <v>47</v>
      </c>
      <c r="H2230" s="32" t="s">
        <v>4947</v>
      </c>
      <c r="I2230" s="32" t="s">
        <v>46</v>
      </c>
      <c r="J2230" s="32" t="s">
        <v>55</v>
      </c>
    </row>
    <row r="2231" spans="1:12" hidden="1" x14ac:dyDescent="0.3">
      <c r="A2231" s="39">
        <v>46148.474872685183</v>
      </c>
      <c r="B2231" s="32" t="s">
        <v>54</v>
      </c>
      <c r="C2231" s="32">
        <v>27996514231</v>
      </c>
      <c r="E2231" s="32">
        <v>27</v>
      </c>
      <c r="F2231" s="32">
        <v>0</v>
      </c>
      <c r="G2231" s="32" t="s">
        <v>47</v>
      </c>
      <c r="H2231" s="32" t="s">
        <v>4948</v>
      </c>
      <c r="I2231" s="32" t="s">
        <v>46</v>
      </c>
      <c r="J2231" s="32" t="s">
        <v>55</v>
      </c>
    </row>
    <row r="2232" spans="1:12" hidden="1" x14ac:dyDescent="0.3">
      <c r="A2232" s="39">
        <v>46148.47446759259</v>
      </c>
      <c r="B2232" s="32" t="s">
        <v>54</v>
      </c>
      <c r="C2232" s="32">
        <v>31998609553</v>
      </c>
      <c r="E2232" s="32">
        <v>6</v>
      </c>
      <c r="F2232" s="32">
        <v>0</v>
      </c>
      <c r="G2232" s="32" t="s">
        <v>47</v>
      </c>
      <c r="H2232" s="32" t="s">
        <v>4949</v>
      </c>
      <c r="I2232" s="32" t="s">
        <v>46</v>
      </c>
      <c r="J2232" s="32" t="s">
        <v>55</v>
      </c>
    </row>
    <row r="2233" spans="1:12" hidden="1" x14ac:dyDescent="0.3">
      <c r="A2233" s="39">
        <v>46148.473344907405</v>
      </c>
      <c r="B2233" s="32" t="s">
        <v>57</v>
      </c>
      <c r="C2233" s="32">
        <v>62992350286</v>
      </c>
      <c r="E2233" s="32">
        <v>229</v>
      </c>
      <c r="F2233" s="32">
        <v>225</v>
      </c>
      <c r="G2233" s="32" t="s">
        <v>38</v>
      </c>
      <c r="H2233" s="32" t="s">
        <v>4950</v>
      </c>
      <c r="I2233" s="32" t="s">
        <v>46</v>
      </c>
      <c r="J2233" s="32" t="s">
        <v>55</v>
      </c>
    </row>
    <row r="2234" spans="1:12" hidden="1" x14ac:dyDescent="0.3">
      <c r="A2234" s="39">
        <v>46148.471666666665</v>
      </c>
      <c r="B2234" s="32" t="s">
        <v>57</v>
      </c>
      <c r="C2234" s="32">
        <v>6232999157</v>
      </c>
      <c r="E2234" s="32">
        <v>97</v>
      </c>
      <c r="F2234" s="32">
        <v>0</v>
      </c>
      <c r="G2234" s="32" t="s">
        <v>47</v>
      </c>
      <c r="H2234" s="32" t="s">
        <v>4951</v>
      </c>
      <c r="I2234" s="32" t="s">
        <v>46</v>
      </c>
      <c r="J2234" s="32" t="s">
        <v>55</v>
      </c>
    </row>
    <row r="2235" spans="1:12" hidden="1" x14ac:dyDescent="0.3">
      <c r="A2235" s="39">
        <v>46148.469247685185</v>
      </c>
      <c r="B2235" s="32">
        <v>3432424736</v>
      </c>
      <c r="C2235" s="32" t="s">
        <v>43</v>
      </c>
      <c r="D2235" s="32">
        <v>4430265054</v>
      </c>
      <c r="E2235" s="32">
        <v>506</v>
      </c>
      <c r="F2235" s="32">
        <v>364</v>
      </c>
      <c r="G2235" s="32" t="s">
        <v>38</v>
      </c>
      <c r="H2235" s="32" t="s">
        <v>4952</v>
      </c>
      <c r="I2235" s="32" t="s">
        <v>39</v>
      </c>
      <c r="J2235" s="32" t="s">
        <v>40</v>
      </c>
      <c r="K2235" s="32" t="s">
        <v>41</v>
      </c>
    </row>
    <row r="2236" spans="1:12" hidden="1" x14ac:dyDescent="0.3">
      <c r="A2236" s="39">
        <v>46148.46597222222</v>
      </c>
      <c r="B2236" s="32">
        <v>41999195082</v>
      </c>
      <c r="C2236" s="32" t="s">
        <v>37</v>
      </c>
      <c r="D2236" s="32">
        <v>4430265054</v>
      </c>
      <c r="E2236" s="32">
        <v>1497</v>
      </c>
      <c r="F2236" s="32">
        <v>1362</v>
      </c>
      <c r="G2236" s="32" t="s">
        <v>38</v>
      </c>
      <c r="H2236" s="32" t="s">
        <v>4953</v>
      </c>
      <c r="I2236" s="32" t="s">
        <v>39</v>
      </c>
      <c r="J2236" s="32" t="s">
        <v>40</v>
      </c>
      <c r="K2236" s="32" t="s">
        <v>41</v>
      </c>
      <c r="L2236" s="32">
        <v>5</v>
      </c>
    </row>
    <row r="2237" spans="1:12" hidden="1" x14ac:dyDescent="0.3">
      <c r="A2237" s="39">
        <v>46148.465810185182</v>
      </c>
      <c r="B2237" s="32" t="s">
        <v>54</v>
      </c>
      <c r="C2237" s="32">
        <v>71992838210</v>
      </c>
      <c r="E2237" s="32">
        <v>16</v>
      </c>
      <c r="F2237" s="32">
        <v>1</v>
      </c>
      <c r="G2237" s="32" t="s">
        <v>38</v>
      </c>
      <c r="H2237" s="32" t="s">
        <v>4954</v>
      </c>
      <c r="I2237" s="32" t="s">
        <v>46</v>
      </c>
      <c r="J2237" s="32" t="s">
        <v>55</v>
      </c>
    </row>
    <row r="2238" spans="1:12" hidden="1" x14ac:dyDescent="0.3">
      <c r="A2238" s="39">
        <v>46148.464317129627</v>
      </c>
      <c r="B2238" s="32" t="s">
        <v>54</v>
      </c>
      <c r="C2238" s="32">
        <v>2126071468</v>
      </c>
      <c r="E2238" s="32">
        <v>12</v>
      </c>
      <c r="F2238" s="32">
        <v>1</v>
      </c>
      <c r="G2238" s="32" t="s">
        <v>38</v>
      </c>
      <c r="H2238" s="32" t="s">
        <v>4955</v>
      </c>
      <c r="I2238" s="32" t="s">
        <v>46</v>
      </c>
      <c r="J2238" s="32" t="s">
        <v>55</v>
      </c>
    </row>
    <row r="2239" spans="1:12" hidden="1" x14ac:dyDescent="0.3">
      <c r="A2239" s="39">
        <v>46148.463437500002</v>
      </c>
      <c r="B2239" s="32" t="s">
        <v>54</v>
      </c>
      <c r="C2239" s="32">
        <v>85988650854</v>
      </c>
      <c r="E2239" s="32">
        <v>13</v>
      </c>
      <c r="F2239" s="32">
        <v>8</v>
      </c>
      <c r="G2239" s="32" t="s">
        <v>38</v>
      </c>
      <c r="H2239" s="32" t="s">
        <v>4956</v>
      </c>
      <c r="I2239" s="32" t="s">
        <v>46</v>
      </c>
      <c r="J2239" s="32" t="s">
        <v>55</v>
      </c>
    </row>
    <row r="2240" spans="1:12" hidden="1" x14ac:dyDescent="0.3">
      <c r="A2240" s="39">
        <v>46148.461446759262</v>
      </c>
      <c r="B2240" s="32" t="s">
        <v>54</v>
      </c>
      <c r="C2240" s="32">
        <v>31989044072</v>
      </c>
      <c r="E2240" s="32">
        <v>9</v>
      </c>
      <c r="F2240" s="32">
        <v>3</v>
      </c>
      <c r="G2240" s="32" t="s">
        <v>38</v>
      </c>
      <c r="H2240" s="32" t="s">
        <v>4957</v>
      </c>
      <c r="I2240" s="32" t="s">
        <v>46</v>
      </c>
      <c r="J2240" s="32" t="s">
        <v>55</v>
      </c>
    </row>
    <row r="2241" spans="1:12" hidden="1" x14ac:dyDescent="0.3">
      <c r="A2241" s="39">
        <v>46148.459050925929</v>
      </c>
      <c r="B2241" s="32">
        <v>44998562645</v>
      </c>
      <c r="C2241" s="32" t="s">
        <v>45</v>
      </c>
      <c r="D2241" s="32">
        <v>4430265054</v>
      </c>
      <c r="E2241" s="32">
        <v>1929</v>
      </c>
      <c r="F2241" s="32">
        <v>1843</v>
      </c>
      <c r="G2241" s="32" t="s">
        <v>38</v>
      </c>
      <c r="H2241" s="32" t="s">
        <v>4958</v>
      </c>
      <c r="I2241" s="32" t="s">
        <v>39</v>
      </c>
      <c r="J2241" s="32" t="s">
        <v>40</v>
      </c>
      <c r="K2241" s="32" t="s">
        <v>41</v>
      </c>
      <c r="L2241" s="32">
        <v>5</v>
      </c>
    </row>
    <row r="2242" spans="1:12" hidden="1" x14ac:dyDescent="0.3">
      <c r="A2242" s="39">
        <v>46148.454050925924</v>
      </c>
      <c r="B2242" s="32" t="s">
        <v>50</v>
      </c>
      <c r="C2242" s="32" t="s">
        <v>57</v>
      </c>
      <c r="E2242" s="32">
        <v>144</v>
      </c>
      <c r="F2242" s="32">
        <v>130</v>
      </c>
      <c r="G2242" s="32" t="s">
        <v>38</v>
      </c>
      <c r="H2242" s="32" t="s">
        <v>4959</v>
      </c>
      <c r="I2242" s="32" t="s">
        <v>51</v>
      </c>
      <c r="J2242" s="32" t="s">
        <v>55</v>
      </c>
    </row>
    <row r="2243" spans="1:12" hidden="1" x14ac:dyDescent="0.3">
      <c r="A2243" s="39">
        <v>46148.454004629632</v>
      </c>
      <c r="B2243" s="32" t="s">
        <v>50</v>
      </c>
      <c r="C2243" s="32" t="s">
        <v>4960</v>
      </c>
      <c r="E2243" s="32">
        <v>2</v>
      </c>
      <c r="F2243" s="32">
        <v>0</v>
      </c>
      <c r="G2243" s="32" t="s">
        <v>47</v>
      </c>
      <c r="H2243" s="32" t="s">
        <v>4961</v>
      </c>
      <c r="I2243" s="32" t="s">
        <v>51</v>
      </c>
      <c r="J2243" s="32" t="s">
        <v>55</v>
      </c>
    </row>
    <row r="2244" spans="1:12" hidden="1" x14ac:dyDescent="0.3">
      <c r="A2244" s="39">
        <v>46148.453136574077</v>
      </c>
      <c r="B2244" s="32" t="s">
        <v>54</v>
      </c>
      <c r="C2244" s="32">
        <v>51989930870</v>
      </c>
      <c r="E2244" s="32">
        <v>15</v>
      </c>
      <c r="F2244" s="32">
        <v>12</v>
      </c>
      <c r="G2244" s="32" t="s">
        <v>38</v>
      </c>
      <c r="H2244" s="32" t="s">
        <v>4962</v>
      </c>
      <c r="I2244" s="32" t="s">
        <v>46</v>
      </c>
      <c r="J2244" s="32" t="s">
        <v>55</v>
      </c>
    </row>
    <row r="2245" spans="1:12" hidden="1" x14ac:dyDescent="0.3">
      <c r="A2245" s="39">
        <v>46148.452303240738</v>
      </c>
      <c r="B2245" s="32" t="s">
        <v>54</v>
      </c>
      <c r="C2245" s="32">
        <v>11998308557</v>
      </c>
      <c r="E2245" s="32">
        <v>13</v>
      </c>
      <c r="F2245" s="32">
        <v>0</v>
      </c>
      <c r="G2245" s="32" t="s">
        <v>47</v>
      </c>
      <c r="H2245" s="32" t="s">
        <v>4963</v>
      </c>
      <c r="I2245" s="32" t="s">
        <v>46</v>
      </c>
      <c r="J2245" s="32" t="s">
        <v>55</v>
      </c>
    </row>
    <row r="2246" spans="1:12" hidden="1" x14ac:dyDescent="0.3">
      <c r="A2246" s="39">
        <v>46148.451261574075</v>
      </c>
      <c r="B2246" s="32" t="s">
        <v>54</v>
      </c>
      <c r="C2246" s="32">
        <v>69992887102</v>
      </c>
      <c r="E2246" s="32">
        <v>26</v>
      </c>
      <c r="F2246" s="32">
        <v>0</v>
      </c>
      <c r="G2246" s="32" t="s">
        <v>47</v>
      </c>
      <c r="H2246" s="32" t="s">
        <v>4964</v>
      </c>
      <c r="I2246" s="32" t="s">
        <v>46</v>
      </c>
      <c r="J2246" s="32" t="s">
        <v>55</v>
      </c>
    </row>
    <row r="2247" spans="1:12" hidden="1" x14ac:dyDescent="0.3">
      <c r="A2247" s="39">
        <v>46148.450312499997</v>
      </c>
      <c r="B2247" s="32">
        <v>4432325260</v>
      </c>
      <c r="C2247" s="32">
        <v>4430265054</v>
      </c>
      <c r="D2247" s="32">
        <v>4430265054</v>
      </c>
      <c r="E2247" s="32">
        <v>2</v>
      </c>
      <c r="F2247" s="32">
        <v>2</v>
      </c>
      <c r="G2247" s="32" t="s">
        <v>52</v>
      </c>
      <c r="H2247" s="32" t="s">
        <v>4965</v>
      </c>
      <c r="I2247" s="32" t="s">
        <v>39</v>
      </c>
      <c r="J2247" s="32" t="s">
        <v>53</v>
      </c>
    </row>
    <row r="2248" spans="1:12" hidden="1" x14ac:dyDescent="0.3">
      <c r="A2248" s="39">
        <v>46148.448981481481</v>
      </c>
      <c r="B2248" s="32">
        <v>44988067937</v>
      </c>
      <c r="C2248" s="32" t="s">
        <v>44</v>
      </c>
      <c r="D2248" s="32">
        <v>4430265054</v>
      </c>
      <c r="E2248" s="32">
        <v>343</v>
      </c>
      <c r="F2248" s="32">
        <v>271</v>
      </c>
      <c r="G2248" s="32" t="s">
        <v>38</v>
      </c>
      <c r="H2248" s="32" t="s">
        <v>4966</v>
      </c>
      <c r="I2248" s="32" t="s">
        <v>39</v>
      </c>
      <c r="J2248" s="32" t="s">
        <v>40</v>
      </c>
      <c r="K2248" s="32" t="s">
        <v>41</v>
      </c>
    </row>
    <row r="2249" spans="1:12" hidden="1" x14ac:dyDescent="0.3">
      <c r="A2249" s="39">
        <v>46148.448020833333</v>
      </c>
      <c r="B2249" s="32">
        <v>44998068281</v>
      </c>
      <c r="C2249" s="32" t="s">
        <v>43</v>
      </c>
      <c r="D2249" s="32">
        <v>4430265054</v>
      </c>
      <c r="E2249" s="32">
        <v>274</v>
      </c>
      <c r="F2249" s="32">
        <v>204</v>
      </c>
      <c r="G2249" s="32" t="s">
        <v>38</v>
      </c>
      <c r="H2249" s="32" t="s">
        <v>4967</v>
      </c>
      <c r="I2249" s="32" t="s">
        <v>39</v>
      </c>
      <c r="J2249" s="32" t="s">
        <v>40</v>
      </c>
      <c r="K2249" s="32" t="s">
        <v>41</v>
      </c>
    </row>
    <row r="2250" spans="1:12" hidden="1" x14ac:dyDescent="0.3">
      <c r="A2250" s="39">
        <v>46148.446631944447</v>
      </c>
      <c r="B2250" s="32">
        <v>45999211333</v>
      </c>
      <c r="C2250" s="32" t="s">
        <v>48</v>
      </c>
      <c r="D2250" s="32">
        <v>4430265054</v>
      </c>
      <c r="E2250" s="32">
        <v>334</v>
      </c>
      <c r="F2250" s="32">
        <v>333</v>
      </c>
      <c r="G2250" s="32" t="s">
        <v>38</v>
      </c>
      <c r="H2250" s="32" t="s">
        <v>4968</v>
      </c>
      <c r="I2250" s="32" t="s">
        <v>39</v>
      </c>
      <c r="J2250" s="32" t="s">
        <v>40</v>
      </c>
      <c r="K2250" s="32" t="s">
        <v>41</v>
      </c>
    </row>
    <row r="2251" spans="1:12" hidden="1" x14ac:dyDescent="0.3">
      <c r="A2251" s="39">
        <v>46148.442847222221</v>
      </c>
      <c r="B2251" s="32">
        <v>11947305571</v>
      </c>
      <c r="C2251" s="32" t="s">
        <v>44</v>
      </c>
      <c r="D2251" s="32">
        <v>4430265054</v>
      </c>
      <c r="E2251" s="32">
        <v>524</v>
      </c>
      <c r="F2251" s="32">
        <v>477</v>
      </c>
      <c r="G2251" s="32" t="s">
        <v>38</v>
      </c>
      <c r="H2251" s="32" t="s">
        <v>4969</v>
      </c>
      <c r="I2251" s="32" t="s">
        <v>39</v>
      </c>
      <c r="J2251" s="32" t="s">
        <v>40</v>
      </c>
      <c r="K2251" s="32" t="s">
        <v>41</v>
      </c>
    </row>
    <row r="2252" spans="1:12" hidden="1" x14ac:dyDescent="0.3">
      <c r="A2252" s="39">
        <v>46148.442407407405</v>
      </c>
      <c r="B2252" s="32">
        <v>11947305571</v>
      </c>
      <c r="C2252" s="32">
        <v>4430265054</v>
      </c>
      <c r="D2252" s="32">
        <v>4430265054</v>
      </c>
      <c r="E2252" s="32">
        <v>32</v>
      </c>
      <c r="F2252" s="32">
        <v>32</v>
      </c>
      <c r="G2252" s="32" t="s">
        <v>52</v>
      </c>
      <c r="H2252" s="32" t="s">
        <v>4970</v>
      </c>
      <c r="I2252" s="32" t="s">
        <v>39</v>
      </c>
      <c r="J2252" s="32" t="s">
        <v>53</v>
      </c>
      <c r="K2252" s="32" t="s">
        <v>49</v>
      </c>
    </row>
    <row r="2253" spans="1:12" hidden="1" x14ac:dyDescent="0.3">
      <c r="A2253" s="39">
        <v>46148.441446759258</v>
      </c>
      <c r="B2253" s="32">
        <v>44997561804</v>
      </c>
      <c r="C2253" s="32" t="s">
        <v>37</v>
      </c>
      <c r="D2253" s="32">
        <v>4430265054</v>
      </c>
      <c r="E2253" s="32">
        <v>715</v>
      </c>
      <c r="F2253" s="32">
        <v>637</v>
      </c>
      <c r="G2253" s="32" t="s">
        <v>38</v>
      </c>
      <c r="H2253" s="32" t="s">
        <v>4971</v>
      </c>
      <c r="I2253" s="32" t="s">
        <v>39</v>
      </c>
      <c r="J2253" s="32" t="s">
        <v>40</v>
      </c>
      <c r="K2253" s="32" t="s">
        <v>41</v>
      </c>
    </row>
    <row r="2254" spans="1:12" hidden="1" x14ac:dyDescent="0.3">
      <c r="A2254" s="39">
        <v>46148.437048611115</v>
      </c>
      <c r="B2254" s="32">
        <v>4436313773</v>
      </c>
      <c r="C2254" s="32" t="s">
        <v>37</v>
      </c>
      <c r="D2254" s="32">
        <v>4430265054</v>
      </c>
      <c r="E2254" s="32">
        <v>204</v>
      </c>
      <c r="F2254" s="32">
        <v>167</v>
      </c>
      <c r="G2254" s="32" t="s">
        <v>38</v>
      </c>
      <c r="H2254" s="32" t="s">
        <v>4972</v>
      </c>
      <c r="I2254" s="32" t="s">
        <v>39</v>
      </c>
      <c r="J2254" s="32" t="s">
        <v>40</v>
      </c>
      <c r="K2254" s="32" t="s">
        <v>41</v>
      </c>
      <c r="L2254" s="32">
        <v>5</v>
      </c>
    </row>
    <row r="2255" spans="1:12" hidden="1" x14ac:dyDescent="0.3">
      <c r="A2255" s="39">
        <v>46148.428472222222</v>
      </c>
      <c r="B2255" s="32" t="s">
        <v>54</v>
      </c>
      <c r="C2255" s="32">
        <v>11997377076</v>
      </c>
      <c r="E2255" s="32">
        <v>9</v>
      </c>
      <c r="F2255" s="32">
        <v>6</v>
      </c>
      <c r="G2255" s="32" t="s">
        <v>38</v>
      </c>
      <c r="H2255" s="32" t="s">
        <v>4973</v>
      </c>
      <c r="I2255" s="32" t="s">
        <v>46</v>
      </c>
      <c r="J2255" s="32" t="s">
        <v>55</v>
      </c>
    </row>
    <row r="2256" spans="1:12" hidden="1" x14ac:dyDescent="0.3">
      <c r="A2256" s="39">
        <v>46148.425682870373</v>
      </c>
      <c r="B2256" s="32" t="s">
        <v>54</v>
      </c>
      <c r="C2256" s="32">
        <v>1132809008</v>
      </c>
      <c r="E2256" s="32">
        <v>57</v>
      </c>
      <c r="F2256" s="32">
        <v>45</v>
      </c>
      <c r="G2256" s="32" t="s">
        <v>38</v>
      </c>
      <c r="H2256" s="32" t="s">
        <v>4974</v>
      </c>
      <c r="I2256" s="32" t="s">
        <v>46</v>
      </c>
      <c r="J2256" s="32" t="s">
        <v>55</v>
      </c>
    </row>
    <row r="2257" spans="1:12" hidden="1" x14ac:dyDescent="0.3">
      <c r="A2257" s="39">
        <v>46148.424027777779</v>
      </c>
      <c r="B2257" s="32" t="s">
        <v>54</v>
      </c>
      <c r="C2257" s="32">
        <v>92986269431</v>
      </c>
      <c r="E2257" s="32">
        <v>31</v>
      </c>
      <c r="F2257" s="32">
        <v>2</v>
      </c>
      <c r="G2257" s="32" t="s">
        <v>38</v>
      </c>
      <c r="H2257" s="32" t="s">
        <v>4975</v>
      </c>
      <c r="I2257" s="32" t="s">
        <v>46</v>
      </c>
      <c r="J2257" s="32" t="s">
        <v>55</v>
      </c>
    </row>
    <row r="2258" spans="1:12" hidden="1" x14ac:dyDescent="0.3">
      <c r="A2258" s="39">
        <v>46148.423622685186</v>
      </c>
      <c r="B2258" s="32" t="s">
        <v>54</v>
      </c>
      <c r="C2258" s="32">
        <v>16991454901</v>
      </c>
      <c r="E2258" s="32">
        <v>17</v>
      </c>
      <c r="F2258" s="32">
        <v>9</v>
      </c>
      <c r="G2258" s="32" t="s">
        <v>38</v>
      </c>
      <c r="H2258" s="32" t="s">
        <v>4976</v>
      </c>
      <c r="I2258" s="32" t="s">
        <v>46</v>
      </c>
      <c r="J2258" s="32" t="s">
        <v>55</v>
      </c>
    </row>
    <row r="2259" spans="1:12" hidden="1" x14ac:dyDescent="0.3">
      <c r="A2259" s="39">
        <v>46148.423229166663</v>
      </c>
      <c r="B2259" s="32">
        <v>91981481202</v>
      </c>
      <c r="C2259" s="32" t="s">
        <v>45</v>
      </c>
      <c r="D2259" s="32">
        <v>4430265054</v>
      </c>
      <c r="E2259" s="32">
        <v>385</v>
      </c>
      <c r="F2259" s="32">
        <v>346</v>
      </c>
      <c r="G2259" s="32" t="s">
        <v>38</v>
      </c>
      <c r="H2259" s="32" t="s">
        <v>4977</v>
      </c>
      <c r="I2259" s="32" t="s">
        <v>39</v>
      </c>
      <c r="J2259" s="32" t="s">
        <v>40</v>
      </c>
      <c r="K2259" s="32" t="s">
        <v>41</v>
      </c>
    </row>
    <row r="2260" spans="1:12" hidden="1" x14ac:dyDescent="0.3">
      <c r="A2260" s="39">
        <v>46148.421990740739</v>
      </c>
      <c r="B2260" s="32">
        <v>45999211357</v>
      </c>
      <c r="C2260" s="32">
        <v>4431268225</v>
      </c>
      <c r="D2260" s="32">
        <v>4431268225</v>
      </c>
      <c r="E2260" s="32">
        <v>111</v>
      </c>
      <c r="F2260" s="32">
        <v>111</v>
      </c>
      <c r="G2260" s="32" t="s">
        <v>52</v>
      </c>
      <c r="H2260" s="32" t="s">
        <v>4978</v>
      </c>
      <c r="I2260" s="32" t="s">
        <v>39</v>
      </c>
      <c r="J2260" s="32" t="s">
        <v>53</v>
      </c>
      <c r="K2260" s="32" t="s">
        <v>41</v>
      </c>
    </row>
    <row r="2261" spans="1:12" hidden="1" x14ac:dyDescent="0.3">
      <c r="A2261" s="39">
        <v>46148.421597222223</v>
      </c>
      <c r="B2261" s="32" t="s">
        <v>54</v>
      </c>
      <c r="C2261" s="32">
        <v>67996729241</v>
      </c>
      <c r="E2261" s="32">
        <v>30</v>
      </c>
      <c r="F2261" s="32">
        <v>0</v>
      </c>
      <c r="G2261" s="32" t="s">
        <v>47</v>
      </c>
      <c r="H2261" s="32" t="s">
        <v>4979</v>
      </c>
      <c r="I2261" s="32" t="s">
        <v>46</v>
      </c>
      <c r="J2261" s="32" t="s">
        <v>55</v>
      </c>
    </row>
    <row r="2262" spans="1:12" hidden="1" x14ac:dyDescent="0.3">
      <c r="A2262" s="39">
        <v>46148.419386574074</v>
      </c>
      <c r="B2262" s="32" t="s">
        <v>54</v>
      </c>
      <c r="C2262" s="32">
        <v>73982066753</v>
      </c>
      <c r="E2262" s="32">
        <v>11</v>
      </c>
      <c r="F2262" s="32">
        <v>0</v>
      </c>
      <c r="G2262" s="32" t="s">
        <v>47</v>
      </c>
      <c r="H2262" s="32" t="s">
        <v>4980</v>
      </c>
      <c r="I2262" s="32" t="s">
        <v>46</v>
      </c>
      <c r="J2262" s="32" t="s">
        <v>55</v>
      </c>
    </row>
    <row r="2263" spans="1:12" hidden="1" x14ac:dyDescent="0.3">
      <c r="A2263" s="39">
        <v>46148.416261574072</v>
      </c>
      <c r="B2263" s="32">
        <v>45999211357</v>
      </c>
      <c r="C2263" s="32">
        <v>4431268225</v>
      </c>
      <c r="D2263" s="32">
        <v>4431268225</v>
      </c>
      <c r="E2263" s="32">
        <v>61</v>
      </c>
      <c r="F2263" s="32">
        <v>61</v>
      </c>
      <c r="G2263" s="32" t="s">
        <v>52</v>
      </c>
      <c r="H2263" s="32" t="s">
        <v>4981</v>
      </c>
      <c r="I2263" s="32" t="s">
        <v>39</v>
      </c>
      <c r="J2263" s="32" t="s">
        <v>53</v>
      </c>
      <c r="K2263" s="32" t="s">
        <v>41</v>
      </c>
    </row>
    <row r="2264" spans="1:12" hidden="1" x14ac:dyDescent="0.3">
      <c r="A2264" s="39">
        <v>46148.416168981479</v>
      </c>
      <c r="B2264" s="32">
        <v>4432206400</v>
      </c>
      <c r="C2264" s="32" t="s">
        <v>45</v>
      </c>
      <c r="D2264" s="32">
        <v>4430265054</v>
      </c>
      <c r="E2264" s="32">
        <v>223</v>
      </c>
      <c r="F2264" s="32">
        <v>178</v>
      </c>
      <c r="G2264" s="32" t="s">
        <v>38</v>
      </c>
      <c r="H2264" s="32" t="s">
        <v>4982</v>
      </c>
      <c r="I2264" s="32" t="s">
        <v>39</v>
      </c>
      <c r="J2264" s="32" t="s">
        <v>40</v>
      </c>
      <c r="K2264" s="32" t="s">
        <v>41</v>
      </c>
    </row>
    <row r="2265" spans="1:12" hidden="1" x14ac:dyDescent="0.3">
      <c r="A2265" s="39">
        <v>46148.415381944447</v>
      </c>
      <c r="B2265" s="32">
        <v>4432524636</v>
      </c>
      <c r="C2265" s="32" t="s">
        <v>43</v>
      </c>
      <c r="D2265" s="32">
        <v>4430265054</v>
      </c>
      <c r="E2265" s="32">
        <v>648</v>
      </c>
      <c r="F2265" s="32">
        <v>614</v>
      </c>
      <c r="G2265" s="32" t="s">
        <v>38</v>
      </c>
      <c r="H2265" s="32" t="s">
        <v>4983</v>
      </c>
      <c r="I2265" s="32" t="s">
        <v>39</v>
      </c>
      <c r="J2265" s="32" t="s">
        <v>40</v>
      </c>
      <c r="K2265" s="32" t="s">
        <v>41</v>
      </c>
    </row>
    <row r="2266" spans="1:12" hidden="1" x14ac:dyDescent="0.3">
      <c r="A2266" s="39">
        <v>46148.4140625</v>
      </c>
      <c r="B2266" s="32" t="s">
        <v>37</v>
      </c>
      <c r="C2266" s="32">
        <v>45999211357</v>
      </c>
      <c r="E2266" s="32">
        <v>117</v>
      </c>
      <c r="F2266" s="32">
        <v>106</v>
      </c>
      <c r="G2266" s="32" t="s">
        <v>38</v>
      </c>
      <c r="H2266" s="32" t="s">
        <v>4984</v>
      </c>
      <c r="I2266" s="32" t="s">
        <v>46</v>
      </c>
      <c r="J2266" s="32" t="s">
        <v>40</v>
      </c>
    </row>
    <row r="2267" spans="1:12" hidden="1" x14ac:dyDescent="0.3">
      <c r="A2267" s="39">
        <v>46148.412094907406</v>
      </c>
      <c r="B2267" s="32">
        <v>73981151701</v>
      </c>
      <c r="C2267" s="32" t="s">
        <v>45</v>
      </c>
      <c r="D2267" s="32">
        <v>4430265054</v>
      </c>
      <c r="E2267" s="32">
        <v>221</v>
      </c>
      <c r="F2267" s="32">
        <v>122</v>
      </c>
      <c r="G2267" s="32" t="s">
        <v>38</v>
      </c>
      <c r="H2267" s="32" t="s">
        <v>4985</v>
      </c>
      <c r="I2267" s="32" t="s">
        <v>39</v>
      </c>
      <c r="J2267" s="32" t="s">
        <v>40</v>
      </c>
      <c r="K2267" s="32" t="s">
        <v>41</v>
      </c>
    </row>
    <row r="2268" spans="1:12" hidden="1" x14ac:dyDescent="0.3">
      <c r="A2268" s="39">
        <v>46148.407962962963</v>
      </c>
      <c r="B2268" s="32">
        <v>4431337559</v>
      </c>
      <c r="C2268" s="32" t="s">
        <v>43</v>
      </c>
      <c r="D2268" s="32">
        <v>4430265054</v>
      </c>
      <c r="E2268" s="32">
        <v>167</v>
      </c>
      <c r="F2268" s="32">
        <v>158</v>
      </c>
      <c r="G2268" s="32" t="s">
        <v>38</v>
      </c>
      <c r="H2268" s="32" t="s">
        <v>4986</v>
      </c>
      <c r="I2268" s="32" t="s">
        <v>39</v>
      </c>
      <c r="J2268" s="32" t="s">
        <v>40</v>
      </c>
      <c r="K2268" s="32" t="s">
        <v>41</v>
      </c>
    </row>
    <row r="2269" spans="1:12" hidden="1" x14ac:dyDescent="0.3">
      <c r="A2269" s="39">
        <v>46148.407731481479</v>
      </c>
      <c r="B2269" s="32">
        <v>1143744993</v>
      </c>
      <c r="C2269" s="32" t="s">
        <v>44</v>
      </c>
      <c r="D2269" s="32">
        <v>4431268225</v>
      </c>
      <c r="E2269" s="32">
        <v>190</v>
      </c>
      <c r="F2269" s="32">
        <v>102</v>
      </c>
      <c r="G2269" s="32" t="s">
        <v>38</v>
      </c>
      <c r="H2269" s="32" t="s">
        <v>4987</v>
      </c>
      <c r="I2269" s="32" t="s">
        <v>39</v>
      </c>
      <c r="J2269" s="32" t="s">
        <v>40</v>
      </c>
      <c r="K2269" s="32" t="s">
        <v>41</v>
      </c>
    </row>
    <row r="2270" spans="1:12" hidden="1" x14ac:dyDescent="0.3">
      <c r="A2270" s="39">
        <v>46148.40662037037</v>
      </c>
      <c r="B2270" s="32">
        <v>44999917849</v>
      </c>
      <c r="C2270" s="32" t="s">
        <v>48</v>
      </c>
      <c r="D2270" s="32">
        <v>4430265054</v>
      </c>
      <c r="E2270" s="32">
        <v>263</v>
      </c>
      <c r="F2270" s="32">
        <v>262</v>
      </c>
      <c r="G2270" s="32" t="s">
        <v>38</v>
      </c>
      <c r="H2270" s="32" t="s">
        <v>4988</v>
      </c>
      <c r="I2270" s="32" t="s">
        <v>39</v>
      </c>
      <c r="J2270" s="32" t="s">
        <v>40</v>
      </c>
      <c r="K2270" s="32" t="s">
        <v>41</v>
      </c>
    </row>
    <row r="2271" spans="1:12" hidden="1" x14ac:dyDescent="0.3">
      <c r="A2271" s="39">
        <v>46148.406458333331</v>
      </c>
      <c r="B2271" s="32" t="s">
        <v>57</v>
      </c>
      <c r="C2271" s="32">
        <v>31984666789</v>
      </c>
      <c r="E2271" s="32">
        <v>44</v>
      </c>
      <c r="F2271" s="32">
        <v>4</v>
      </c>
      <c r="G2271" s="32" t="s">
        <v>38</v>
      </c>
      <c r="H2271" s="32" t="s">
        <v>4989</v>
      </c>
      <c r="I2271" s="32" t="s">
        <v>46</v>
      </c>
      <c r="J2271" s="32" t="s">
        <v>55</v>
      </c>
    </row>
    <row r="2272" spans="1:12" hidden="1" x14ac:dyDescent="0.3">
      <c r="A2272" s="39">
        <v>46148.405532407407</v>
      </c>
      <c r="B2272" s="32">
        <v>11990144272</v>
      </c>
      <c r="C2272" s="32" t="s">
        <v>45</v>
      </c>
      <c r="D2272" s="32">
        <v>4431268225</v>
      </c>
      <c r="E2272" s="32">
        <v>397</v>
      </c>
      <c r="F2272" s="32">
        <v>354</v>
      </c>
      <c r="G2272" s="32" t="s">
        <v>38</v>
      </c>
      <c r="H2272" s="32" t="s">
        <v>4990</v>
      </c>
      <c r="I2272" s="32" t="s">
        <v>39</v>
      </c>
      <c r="J2272" s="32" t="s">
        <v>40</v>
      </c>
      <c r="K2272" s="32" t="s">
        <v>41</v>
      </c>
      <c r="L2272" s="32">
        <v>5</v>
      </c>
    </row>
    <row r="2273" spans="1:12" hidden="1" x14ac:dyDescent="0.3">
      <c r="A2273" s="39">
        <v>46148.403958333336</v>
      </c>
      <c r="B2273" s="32">
        <v>11990144272</v>
      </c>
      <c r="C2273" s="32">
        <v>4431268225</v>
      </c>
      <c r="D2273" s="32">
        <v>4431268225</v>
      </c>
      <c r="E2273" s="32">
        <v>13</v>
      </c>
      <c r="F2273" s="32">
        <v>12</v>
      </c>
      <c r="G2273" s="32" t="s">
        <v>52</v>
      </c>
      <c r="H2273" s="32" t="s">
        <v>4991</v>
      </c>
      <c r="I2273" s="32" t="s">
        <v>39</v>
      </c>
      <c r="J2273" s="32" t="s">
        <v>53</v>
      </c>
    </row>
    <row r="2274" spans="1:12" hidden="1" x14ac:dyDescent="0.3">
      <c r="A2274" s="39">
        <v>46148.403414351851</v>
      </c>
      <c r="B2274" s="32">
        <v>44999917849</v>
      </c>
      <c r="C2274" s="32">
        <v>4430265054</v>
      </c>
      <c r="D2274" s="32">
        <v>4430265054</v>
      </c>
      <c r="E2274" s="32">
        <v>47</v>
      </c>
      <c r="F2274" s="32">
        <v>47</v>
      </c>
      <c r="G2274" s="32" t="s">
        <v>52</v>
      </c>
      <c r="H2274" s="32" t="s">
        <v>4992</v>
      </c>
      <c r="I2274" s="32" t="s">
        <v>39</v>
      </c>
      <c r="J2274" s="32" t="s">
        <v>53</v>
      </c>
      <c r="K2274" s="32" t="s">
        <v>41</v>
      </c>
    </row>
    <row r="2275" spans="1:12" hidden="1" x14ac:dyDescent="0.3">
      <c r="A2275" s="39">
        <v>46148.402685185189</v>
      </c>
      <c r="B2275" s="32" t="s">
        <v>43</v>
      </c>
      <c r="C2275" s="32">
        <v>4432256273</v>
      </c>
      <c r="E2275" s="32">
        <v>182</v>
      </c>
      <c r="F2275" s="32">
        <v>170</v>
      </c>
      <c r="G2275" s="32" t="s">
        <v>38</v>
      </c>
      <c r="H2275" s="32" t="s">
        <v>4993</v>
      </c>
      <c r="I2275" s="32" t="s">
        <v>46</v>
      </c>
      <c r="J2275" s="32" t="s">
        <v>40</v>
      </c>
      <c r="L2275" s="32">
        <v>5</v>
      </c>
    </row>
    <row r="2276" spans="1:12" hidden="1" x14ac:dyDescent="0.3">
      <c r="A2276" s="39">
        <v>46148.402604166666</v>
      </c>
      <c r="B2276" s="32" t="s">
        <v>43</v>
      </c>
      <c r="C2276" s="32">
        <v>4432256273</v>
      </c>
      <c r="E2276" s="32">
        <v>25</v>
      </c>
      <c r="F2276" s="32">
        <v>25</v>
      </c>
      <c r="G2276" s="32" t="s">
        <v>38</v>
      </c>
      <c r="H2276" s="32" t="s">
        <v>4994</v>
      </c>
      <c r="I2276" s="32" t="s">
        <v>46</v>
      </c>
      <c r="J2276" s="32" t="s">
        <v>40</v>
      </c>
    </row>
    <row r="2277" spans="1:12" hidden="1" x14ac:dyDescent="0.3">
      <c r="A2277" s="39">
        <v>46148.398414351854</v>
      </c>
      <c r="B2277" s="32">
        <v>4430451715</v>
      </c>
      <c r="C2277" s="32" t="s">
        <v>43</v>
      </c>
      <c r="D2277" s="32">
        <v>4430265054</v>
      </c>
      <c r="E2277" s="32">
        <v>177</v>
      </c>
      <c r="F2277" s="32">
        <v>149</v>
      </c>
      <c r="G2277" s="32" t="s">
        <v>38</v>
      </c>
      <c r="H2277" s="32" t="s">
        <v>4995</v>
      </c>
      <c r="I2277" s="32" t="s">
        <v>39</v>
      </c>
      <c r="J2277" s="32" t="s">
        <v>40</v>
      </c>
      <c r="K2277" s="32" t="s">
        <v>41</v>
      </c>
    </row>
    <row r="2278" spans="1:12" hidden="1" x14ac:dyDescent="0.3">
      <c r="A2278" s="39">
        <v>46148.396840277775</v>
      </c>
      <c r="B2278" s="32">
        <v>4430451715</v>
      </c>
      <c r="C2278" s="32">
        <v>4430265054</v>
      </c>
      <c r="D2278" s="32">
        <v>4430265054</v>
      </c>
      <c r="E2278" s="32">
        <v>11</v>
      </c>
      <c r="F2278" s="32">
        <v>11</v>
      </c>
      <c r="G2278" s="32" t="s">
        <v>52</v>
      </c>
      <c r="H2278" s="32" t="s">
        <v>4996</v>
      </c>
      <c r="I2278" s="32" t="s">
        <v>39</v>
      </c>
      <c r="J2278" s="32" t="s">
        <v>53</v>
      </c>
    </row>
    <row r="2279" spans="1:12" hidden="1" x14ac:dyDescent="0.3">
      <c r="A2279" s="39">
        <v>46148.393159722225</v>
      </c>
      <c r="B2279" s="32">
        <v>41996081809</v>
      </c>
      <c r="C2279" s="32" t="s">
        <v>44</v>
      </c>
      <c r="D2279" s="32">
        <v>4430265054</v>
      </c>
      <c r="E2279" s="32">
        <v>1333</v>
      </c>
      <c r="F2279" s="32">
        <v>1303</v>
      </c>
      <c r="G2279" s="32" t="s">
        <v>38</v>
      </c>
      <c r="H2279" s="32" t="s">
        <v>4997</v>
      </c>
      <c r="I2279" s="32" t="s">
        <v>39</v>
      </c>
      <c r="J2279" s="32" t="s">
        <v>40</v>
      </c>
      <c r="K2279" s="32" t="s">
        <v>41</v>
      </c>
    </row>
    <row r="2280" spans="1:12" hidden="1" x14ac:dyDescent="0.3">
      <c r="A2280" s="39">
        <v>46148.389398148145</v>
      </c>
      <c r="B2280" s="32">
        <v>45999211357</v>
      </c>
      <c r="C2280" s="32" t="s">
        <v>37</v>
      </c>
      <c r="D2280" s="32">
        <v>4431268225</v>
      </c>
      <c r="E2280" s="32">
        <v>1901</v>
      </c>
      <c r="F2280" s="32">
        <v>1861</v>
      </c>
      <c r="G2280" s="32" t="s">
        <v>38</v>
      </c>
      <c r="H2280" s="32" t="s">
        <v>4998</v>
      </c>
      <c r="I2280" s="32" t="s">
        <v>39</v>
      </c>
      <c r="J2280" s="32" t="s">
        <v>40</v>
      </c>
      <c r="K2280" s="32" t="s">
        <v>41</v>
      </c>
    </row>
    <row r="2281" spans="1:12" hidden="1" x14ac:dyDescent="0.3">
      <c r="A2281" s="39">
        <v>46148.384236111109</v>
      </c>
      <c r="B2281" s="32">
        <v>4432524636</v>
      </c>
      <c r="C2281" s="32" t="s">
        <v>48</v>
      </c>
      <c r="D2281" s="32">
        <v>4430265054</v>
      </c>
      <c r="E2281" s="32">
        <v>135</v>
      </c>
      <c r="F2281" s="32">
        <v>134</v>
      </c>
      <c r="G2281" s="32" t="s">
        <v>38</v>
      </c>
      <c r="H2281" s="32" t="s">
        <v>4999</v>
      </c>
      <c r="I2281" s="32" t="s">
        <v>39</v>
      </c>
      <c r="J2281" s="32" t="s">
        <v>40</v>
      </c>
      <c r="K2281" s="32" t="s">
        <v>41</v>
      </c>
    </row>
    <row r="2282" spans="1:12" hidden="1" x14ac:dyDescent="0.3">
      <c r="A2282" s="39">
        <v>46148.380671296298</v>
      </c>
      <c r="B2282" s="32">
        <v>83988398480</v>
      </c>
      <c r="C2282" s="32" t="s">
        <v>43</v>
      </c>
      <c r="D2282" s="32">
        <v>4430265054</v>
      </c>
      <c r="E2282" s="32">
        <v>271</v>
      </c>
      <c r="F2282" s="32">
        <v>162</v>
      </c>
      <c r="G2282" s="32" t="s">
        <v>38</v>
      </c>
      <c r="H2282" s="32" t="s">
        <v>5000</v>
      </c>
      <c r="I2282" s="32" t="s">
        <v>39</v>
      </c>
      <c r="J2282" s="32" t="s">
        <v>40</v>
      </c>
      <c r="K2282" s="32" t="s">
        <v>41</v>
      </c>
    </row>
    <row r="2283" spans="1:12" hidden="1" x14ac:dyDescent="0.3">
      <c r="A2283" s="39">
        <v>46148.380243055559</v>
      </c>
      <c r="B2283" s="32">
        <v>4331622700</v>
      </c>
      <c r="C2283" s="32" t="s">
        <v>44</v>
      </c>
      <c r="D2283" s="32">
        <v>4430265054</v>
      </c>
      <c r="E2283" s="32">
        <v>198</v>
      </c>
      <c r="F2283" s="32">
        <v>131</v>
      </c>
      <c r="G2283" s="32" t="s">
        <v>38</v>
      </c>
      <c r="H2283" s="32" t="s">
        <v>5001</v>
      </c>
      <c r="I2283" s="32" t="s">
        <v>39</v>
      </c>
      <c r="J2283" s="32" t="s">
        <v>40</v>
      </c>
      <c r="K2283" s="32" t="s">
        <v>41</v>
      </c>
      <c r="L2283" s="32">
        <v>5</v>
      </c>
    </row>
    <row r="2284" spans="1:12" hidden="1" x14ac:dyDescent="0.3">
      <c r="A2284" s="39">
        <v>46148.377384259256</v>
      </c>
      <c r="B2284" s="32" t="s">
        <v>54</v>
      </c>
      <c r="C2284" s="32">
        <v>1131150127</v>
      </c>
      <c r="E2284" s="32">
        <v>2</v>
      </c>
      <c r="F2284" s="32">
        <v>0</v>
      </c>
      <c r="G2284" s="32" t="s">
        <v>47</v>
      </c>
      <c r="H2284" s="32" t="s">
        <v>5002</v>
      </c>
      <c r="I2284" s="32" t="s">
        <v>46</v>
      </c>
      <c r="J2284" s="32" t="s">
        <v>55</v>
      </c>
    </row>
    <row r="2285" spans="1:12" hidden="1" x14ac:dyDescent="0.3">
      <c r="A2285" s="39">
        <v>46148.375439814816</v>
      </c>
      <c r="B2285" s="32">
        <v>4432256273</v>
      </c>
      <c r="C2285" s="32" t="s">
        <v>43</v>
      </c>
      <c r="D2285" s="32">
        <v>4430265054</v>
      </c>
      <c r="E2285" s="32">
        <v>298</v>
      </c>
      <c r="F2285" s="32">
        <v>257</v>
      </c>
      <c r="G2285" s="32" t="s">
        <v>38</v>
      </c>
      <c r="H2285" s="32" t="s">
        <v>5003</v>
      </c>
      <c r="I2285" s="32" t="s">
        <v>39</v>
      </c>
      <c r="J2285" s="32" t="s">
        <v>40</v>
      </c>
      <c r="K2285" s="32" t="s">
        <v>41</v>
      </c>
    </row>
    <row r="2286" spans="1:12" hidden="1" x14ac:dyDescent="0.3">
      <c r="A2286" s="39">
        <v>46148.374849537038</v>
      </c>
      <c r="B2286" s="32" t="s">
        <v>44</v>
      </c>
      <c r="C2286" s="32">
        <v>44988067937</v>
      </c>
      <c r="E2286" s="32">
        <v>306</v>
      </c>
      <c r="F2286" s="32">
        <v>296</v>
      </c>
      <c r="G2286" s="32" t="s">
        <v>38</v>
      </c>
      <c r="H2286" s="32" t="s">
        <v>5004</v>
      </c>
      <c r="I2286" s="32" t="s">
        <v>46</v>
      </c>
      <c r="J2286" s="32" t="s">
        <v>40</v>
      </c>
    </row>
    <row r="2287" spans="1:12" hidden="1" x14ac:dyDescent="0.3">
      <c r="A2287" s="39">
        <v>46148.374571759261</v>
      </c>
      <c r="B2287" s="32" t="s">
        <v>44</v>
      </c>
      <c r="C2287" s="32">
        <v>44988067937</v>
      </c>
      <c r="E2287" s="32">
        <v>20</v>
      </c>
      <c r="F2287" s="32">
        <v>0</v>
      </c>
      <c r="G2287" s="32" t="s">
        <v>47</v>
      </c>
      <c r="H2287" s="32" t="s">
        <v>5005</v>
      </c>
      <c r="I2287" s="32" t="s">
        <v>46</v>
      </c>
      <c r="J2287" s="32" t="s">
        <v>40</v>
      </c>
    </row>
    <row r="2288" spans="1:12" hidden="1" x14ac:dyDescent="0.3">
      <c r="A2288" s="39">
        <v>46148.374513888892</v>
      </c>
      <c r="B2288" s="32" t="s">
        <v>44</v>
      </c>
      <c r="C2288" s="32">
        <v>44988067937</v>
      </c>
      <c r="E2288" s="32">
        <v>3</v>
      </c>
      <c r="F2288" s="32">
        <v>0</v>
      </c>
      <c r="G2288" s="32" t="s">
        <v>47</v>
      </c>
      <c r="H2288" s="32" t="s">
        <v>5006</v>
      </c>
      <c r="I2288" s="32" t="s">
        <v>46</v>
      </c>
      <c r="J2288" s="32" t="s">
        <v>40</v>
      </c>
    </row>
    <row r="2289" spans="1:12" hidden="1" x14ac:dyDescent="0.3">
      <c r="A2289" s="39">
        <v>46148.373564814814</v>
      </c>
      <c r="B2289" s="32" t="s">
        <v>54</v>
      </c>
      <c r="C2289" s="32">
        <v>21993928961</v>
      </c>
      <c r="E2289" s="32">
        <v>10</v>
      </c>
      <c r="F2289" s="32">
        <v>0</v>
      </c>
      <c r="G2289" s="32" t="s">
        <v>47</v>
      </c>
      <c r="H2289" s="32" t="s">
        <v>5007</v>
      </c>
      <c r="I2289" s="32" t="s">
        <v>46</v>
      </c>
      <c r="J2289" s="32" t="s">
        <v>55</v>
      </c>
    </row>
    <row r="2290" spans="1:12" hidden="1" x14ac:dyDescent="0.3">
      <c r="A2290" s="39">
        <v>46148.373449074075</v>
      </c>
      <c r="B2290" s="32">
        <v>44997456641</v>
      </c>
      <c r="C2290" s="32" t="s">
        <v>45</v>
      </c>
      <c r="D2290" s="32">
        <v>4430265054</v>
      </c>
      <c r="E2290" s="32">
        <v>2359</v>
      </c>
      <c r="F2290" s="32">
        <v>2342</v>
      </c>
      <c r="G2290" s="32" t="s">
        <v>38</v>
      </c>
      <c r="H2290" s="32" t="s">
        <v>5008</v>
      </c>
      <c r="I2290" s="32" t="s">
        <v>39</v>
      </c>
      <c r="J2290" s="32" t="s">
        <v>40</v>
      </c>
      <c r="K2290" s="32" t="s">
        <v>41</v>
      </c>
    </row>
    <row r="2291" spans="1:12" hidden="1" x14ac:dyDescent="0.3">
      <c r="A2291" s="39">
        <v>46148.372916666667</v>
      </c>
      <c r="B2291" s="32">
        <v>44997456641</v>
      </c>
      <c r="C2291" s="32" t="s">
        <v>45</v>
      </c>
      <c r="D2291" s="32">
        <v>4430265054</v>
      </c>
      <c r="E2291" s="32">
        <v>39</v>
      </c>
      <c r="F2291" s="32">
        <v>10</v>
      </c>
      <c r="G2291" s="32" t="s">
        <v>38</v>
      </c>
      <c r="H2291" s="32" t="s">
        <v>5009</v>
      </c>
      <c r="I2291" s="32" t="s">
        <v>39</v>
      </c>
      <c r="J2291" s="32" t="s">
        <v>40</v>
      </c>
      <c r="K2291" s="32" t="s">
        <v>41</v>
      </c>
    </row>
    <row r="2292" spans="1:12" hidden="1" x14ac:dyDescent="0.3">
      <c r="A2292" s="39">
        <v>46148.37127314815</v>
      </c>
      <c r="B2292" s="32">
        <v>4331622700</v>
      </c>
      <c r="C2292" s="32">
        <v>4430265054</v>
      </c>
      <c r="D2292" s="32">
        <v>4430265054</v>
      </c>
      <c r="E2292" s="32">
        <v>37</v>
      </c>
      <c r="F2292" s="32">
        <v>37</v>
      </c>
      <c r="G2292" s="32" t="s">
        <v>52</v>
      </c>
      <c r="H2292" s="32" t="s">
        <v>5010</v>
      </c>
      <c r="I2292" s="32" t="s">
        <v>39</v>
      </c>
      <c r="J2292" s="32" t="s">
        <v>53</v>
      </c>
      <c r="K2292" s="32" t="s">
        <v>41</v>
      </c>
    </row>
    <row r="2293" spans="1:12" hidden="1" x14ac:dyDescent="0.3">
      <c r="A2293" s="39">
        <v>46148.370393518519</v>
      </c>
      <c r="B2293" s="32" t="s">
        <v>57</v>
      </c>
      <c r="C2293" s="32">
        <v>43996750045</v>
      </c>
      <c r="E2293" s="32">
        <v>35</v>
      </c>
      <c r="F2293" s="32">
        <v>0</v>
      </c>
      <c r="G2293" s="32" t="s">
        <v>47</v>
      </c>
      <c r="H2293" s="32" t="s">
        <v>5011</v>
      </c>
      <c r="I2293" s="32" t="s">
        <v>46</v>
      </c>
      <c r="J2293" s="32" t="s">
        <v>55</v>
      </c>
    </row>
    <row r="2294" spans="1:12" hidden="1" x14ac:dyDescent="0.3">
      <c r="A2294" s="39">
        <v>46148.370069444441</v>
      </c>
      <c r="B2294" s="32" t="s">
        <v>57</v>
      </c>
      <c r="C2294" s="32">
        <v>44996750045</v>
      </c>
      <c r="E2294" s="32">
        <v>1</v>
      </c>
      <c r="F2294" s="32">
        <v>0</v>
      </c>
      <c r="G2294" s="32" t="s">
        <v>47</v>
      </c>
      <c r="H2294" s="32" t="s">
        <v>5012</v>
      </c>
      <c r="I2294" s="32" t="s">
        <v>46</v>
      </c>
      <c r="J2294" s="32" t="s">
        <v>55</v>
      </c>
    </row>
    <row r="2295" spans="1:12" hidden="1" x14ac:dyDescent="0.3">
      <c r="A2295" s="39">
        <v>46148.368680555555</v>
      </c>
      <c r="B2295" s="32">
        <v>44988067937</v>
      </c>
      <c r="C2295" s="32" t="s">
        <v>44</v>
      </c>
      <c r="D2295" s="32">
        <v>4430265054</v>
      </c>
      <c r="E2295" s="32">
        <v>284</v>
      </c>
      <c r="F2295" s="32">
        <v>233</v>
      </c>
      <c r="G2295" s="32" t="s">
        <v>38</v>
      </c>
      <c r="H2295" s="32" t="s">
        <v>5013</v>
      </c>
      <c r="I2295" s="32" t="s">
        <v>39</v>
      </c>
      <c r="J2295" s="32" t="s">
        <v>40</v>
      </c>
      <c r="K2295" s="32" t="s">
        <v>41</v>
      </c>
    </row>
    <row r="2296" spans="1:12" hidden="1" x14ac:dyDescent="0.3">
      <c r="A2296" s="39">
        <v>46148.364340277774</v>
      </c>
      <c r="B2296" s="32">
        <v>41987771666</v>
      </c>
      <c r="C2296" s="32" t="s">
        <v>37</v>
      </c>
      <c r="D2296" s="32">
        <v>4431268225</v>
      </c>
      <c r="E2296" s="32">
        <v>233</v>
      </c>
      <c r="F2296" s="32">
        <v>201</v>
      </c>
      <c r="G2296" s="32" t="s">
        <v>38</v>
      </c>
      <c r="H2296" s="32" t="s">
        <v>5014</v>
      </c>
      <c r="I2296" s="32" t="s">
        <v>39</v>
      </c>
      <c r="J2296" s="32" t="s">
        <v>40</v>
      </c>
      <c r="K2296" s="32" t="s">
        <v>41</v>
      </c>
    </row>
    <row r="2297" spans="1:12" hidden="1" x14ac:dyDescent="0.3">
      <c r="A2297" s="39">
        <v>46148.361539351848</v>
      </c>
      <c r="B2297" s="32">
        <v>4130296118</v>
      </c>
      <c r="C2297" s="32" t="s">
        <v>45</v>
      </c>
      <c r="D2297" s="32">
        <v>4430265054</v>
      </c>
      <c r="E2297" s="32">
        <v>644</v>
      </c>
      <c r="F2297" s="32">
        <v>562</v>
      </c>
      <c r="G2297" s="32" t="s">
        <v>38</v>
      </c>
      <c r="H2297" s="32" t="s">
        <v>5015</v>
      </c>
      <c r="I2297" s="32" t="s">
        <v>39</v>
      </c>
      <c r="J2297" s="32" t="s">
        <v>40</v>
      </c>
      <c r="K2297" s="32" t="s">
        <v>41</v>
      </c>
      <c r="L2297" s="32">
        <v>5</v>
      </c>
    </row>
    <row r="2298" spans="1:12" hidden="1" x14ac:dyDescent="0.3">
      <c r="A2298" s="39">
        <v>46148.358414351853</v>
      </c>
      <c r="B2298" s="32" t="s">
        <v>37</v>
      </c>
      <c r="C2298" s="32">
        <v>41987771666</v>
      </c>
      <c r="E2298" s="32">
        <v>35</v>
      </c>
      <c r="F2298" s="32">
        <v>0</v>
      </c>
      <c r="G2298" s="32" t="s">
        <v>47</v>
      </c>
      <c r="H2298" s="32" t="s">
        <v>5016</v>
      </c>
      <c r="I2298" s="32" t="s">
        <v>46</v>
      </c>
      <c r="J2298" s="32" t="s">
        <v>40</v>
      </c>
    </row>
    <row r="2299" spans="1:12" hidden="1" x14ac:dyDescent="0.3">
      <c r="A2299" s="39">
        <v>46148.357523148145</v>
      </c>
      <c r="B2299" s="32" t="s">
        <v>37</v>
      </c>
      <c r="C2299" s="32">
        <v>41987771666</v>
      </c>
      <c r="E2299" s="32">
        <v>37</v>
      </c>
      <c r="F2299" s="32">
        <v>0</v>
      </c>
      <c r="G2299" s="32" t="s">
        <v>47</v>
      </c>
      <c r="H2299" s="32" t="s">
        <v>5017</v>
      </c>
      <c r="I2299" s="32" t="s">
        <v>46</v>
      </c>
      <c r="J2299" s="32" t="s">
        <v>40</v>
      </c>
    </row>
    <row r="2300" spans="1:12" hidden="1" x14ac:dyDescent="0.3">
      <c r="A2300" s="39">
        <v>46148.355555555558</v>
      </c>
      <c r="B2300" s="32">
        <v>44998620323</v>
      </c>
      <c r="C2300" s="32" t="s">
        <v>45</v>
      </c>
      <c r="D2300" s="32">
        <v>4430265054</v>
      </c>
      <c r="E2300" s="32">
        <v>167</v>
      </c>
      <c r="F2300" s="32">
        <v>89</v>
      </c>
      <c r="G2300" s="32" t="s">
        <v>38</v>
      </c>
      <c r="H2300" s="32" t="s">
        <v>5018</v>
      </c>
      <c r="I2300" s="32" t="s">
        <v>39</v>
      </c>
      <c r="J2300" s="32" t="s">
        <v>40</v>
      </c>
      <c r="K2300" s="32" t="s">
        <v>41</v>
      </c>
    </row>
    <row r="2301" spans="1:12" hidden="1" x14ac:dyDescent="0.3">
      <c r="A2301" s="39">
        <v>46148.355497685188</v>
      </c>
      <c r="B2301" s="32">
        <v>44988255390</v>
      </c>
      <c r="C2301" s="32" t="s">
        <v>43</v>
      </c>
      <c r="D2301" s="32">
        <v>4430265054</v>
      </c>
      <c r="E2301" s="32">
        <v>648</v>
      </c>
      <c r="F2301" s="32">
        <v>556</v>
      </c>
      <c r="G2301" s="32" t="s">
        <v>38</v>
      </c>
      <c r="H2301" s="32" t="s">
        <v>5019</v>
      </c>
      <c r="I2301" s="32" t="s">
        <v>39</v>
      </c>
      <c r="J2301" s="32" t="s">
        <v>40</v>
      </c>
      <c r="K2301" s="32" t="s">
        <v>41</v>
      </c>
    </row>
    <row r="2302" spans="1:12" hidden="1" x14ac:dyDescent="0.3">
      <c r="A2302" s="39">
        <v>46148.354224537034</v>
      </c>
      <c r="B2302" s="32" t="s">
        <v>37</v>
      </c>
      <c r="C2302" s="32">
        <v>44988067937</v>
      </c>
      <c r="E2302" s="32">
        <v>117</v>
      </c>
      <c r="F2302" s="32">
        <v>106</v>
      </c>
      <c r="G2302" s="32" t="s">
        <v>38</v>
      </c>
      <c r="H2302" s="32" t="s">
        <v>5020</v>
      </c>
      <c r="I2302" s="32" t="s">
        <v>46</v>
      </c>
      <c r="J2302" s="32" t="s">
        <v>40</v>
      </c>
    </row>
    <row r="2303" spans="1:12" hidden="1" x14ac:dyDescent="0.3">
      <c r="A2303" s="39">
        <v>46148.354131944441</v>
      </c>
      <c r="B2303" s="32" t="s">
        <v>37</v>
      </c>
      <c r="C2303" s="32">
        <v>44988067937</v>
      </c>
      <c r="E2303" s="32">
        <v>6</v>
      </c>
      <c r="F2303" s="32">
        <v>0</v>
      </c>
      <c r="G2303" s="32" t="s">
        <v>47</v>
      </c>
      <c r="H2303" s="32" t="s">
        <v>5021</v>
      </c>
      <c r="I2303" s="32" t="s">
        <v>46</v>
      </c>
      <c r="J2303" s="32" t="s">
        <v>40</v>
      </c>
    </row>
    <row r="2304" spans="1:12" hidden="1" x14ac:dyDescent="0.3">
      <c r="A2304" s="39">
        <v>46148.346759259257</v>
      </c>
      <c r="B2304" s="32">
        <v>1438160351</v>
      </c>
      <c r="C2304" s="32">
        <v>4430265054</v>
      </c>
      <c r="D2304" s="32">
        <v>4430265054</v>
      </c>
      <c r="E2304" s="32">
        <v>8</v>
      </c>
      <c r="F2304" s="32">
        <v>8</v>
      </c>
      <c r="G2304" s="32" t="s">
        <v>52</v>
      </c>
      <c r="H2304" s="32" t="s">
        <v>5022</v>
      </c>
      <c r="I2304" s="32" t="s">
        <v>39</v>
      </c>
      <c r="J2304" s="32" t="s">
        <v>53</v>
      </c>
    </row>
    <row r="2305" spans="1:12" hidden="1" x14ac:dyDescent="0.3">
      <c r="A2305" s="39">
        <v>46148.342928240738</v>
      </c>
      <c r="B2305" s="32">
        <v>44998620323</v>
      </c>
      <c r="C2305" s="32">
        <v>4430265054</v>
      </c>
      <c r="D2305" s="32">
        <v>4430265054</v>
      </c>
      <c r="E2305" s="32">
        <v>11</v>
      </c>
      <c r="F2305" s="32">
        <v>11</v>
      </c>
      <c r="G2305" s="32" t="s">
        <v>52</v>
      </c>
      <c r="H2305" s="32" t="s">
        <v>5023</v>
      </c>
      <c r="I2305" s="32" t="s">
        <v>39</v>
      </c>
      <c r="J2305" s="32" t="s">
        <v>53</v>
      </c>
    </row>
    <row r="2306" spans="1:12" hidden="1" x14ac:dyDescent="0.3">
      <c r="A2306" s="39">
        <v>46148.341226851851</v>
      </c>
      <c r="B2306" s="32" t="s">
        <v>45</v>
      </c>
      <c r="C2306" s="32">
        <v>81988293889</v>
      </c>
      <c r="E2306" s="32">
        <v>134</v>
      </c>
      <c r="F2306" s="32">
        <v>121</v>
      </c>
      <c r="G2306" s="32" t="s">
        <v>38</v>
      </c>
      <c r="H2306" s="32" t="s">
        <v>5024</v>
      </c>
      <c r="I2306" s="32" t="s">
        <v>46</v>
      </c>
      <c r="J2306" s="32" t="s">
        <v>40</v>
      </c>
    </row>
    <row r="2307" spans="1:12" hidden="1" x14ac:dyDescent="0.3">
      <c r="A2307" s="39">
        <v>46148.340983796297</v>
      </c>
      <c r="B2307" s="32" t="s">
        <v>45</v>
      </c>
      <c r="C2307" s="32">
        <v>81986261961</v>
      </c>
      <c r="E2307" s="32">
        <v>1</v>
      </c>
      <c r="F2307" s="32">
        <v>0</v>
      </c>
      <c r="G2307" s="32" t="s">
        <v>47</v>
      </c>
      <c r="H2307" s="32" t="s">
        <v>5025</v>
      </c>
      <c r="I2307" s="32" t="s">
        <v>46</v>
      </c>
      <c r="J2307" s="32" t="s">
        <v>40</v>
      </c>
    </row>
    <row r="2308" spans="1:12" hidden="1" x14ac:dyDescent="0.3">
      <c r="A2308" s="39">
        <v>46148.340752314813</v>
      </c>
      <c r="B2308" s="32" t="s">
        <v>45</v>
      </c>
      <c r="C2308" s="32">
        <v>44991249108</v>
      </c>
      <c r="E2308" s="32">
        <v>15</v>
      </c>
      <c r="F2308" s="32">
        <v>0</v>
      </c>
      <c r="G2308" s="32" t="s">
        <v>47</v>
      </c>
      <c r="H2308" s="32" t="s">
        <v>5026</v>
      </c>
      <c r="I2308" s="32" t="s">
        <v>46</v>
      </c>
      <c r="J2308" s="32" t="s">
        <v>40</v>
      </c>
    </row>
    <row r="2309" spans="1:12" hidden="1" x14ac:dyDescent="0.3">
      <c r="A2309" s="39">
        <v>46148.340648148151</v>
      </c>
      <c r="B2309" s="32" t="s">
        <v>45</v>
      </c>
      <c r="C2309" s="32">
        <v>44991249108</v>
      </c>
      <c r="E2309" s="32">
        <v>7</v>
      </c>
      <c r="F2309" s="32">
        <v>0</v>
      </c>
      <c r="G2309" s="32" t="s">
        <v>47</v>
      </c>
      <c r="H2309" s="32" t="s">
        <v>5027</v>
      </c>
      <c r="I2309" s="32" t="s">
        <v>46</v>
      </c>
      <c r="J2309" s="32" t="s">
        <v>40</v>
      </c>
    </row>
    <row r="2310" spans="1:12" hidden="1" x14ac:dyDescent="0.3">
      <c r="A2310" s="39">
        <v>46147.760659722226</v>
      </c>
      <c r="B2310" s="32">
        <v>4430450103</v>
      </c>
      <c r="C2310" s="32">
        <v>4430265054</v>
      </c>
      <c r="D2310" s="32">
        <v>4430265054</v>
      </c>
      <c r="E2310" s="32">
        <v>16</v>
      </c>
      <c r="F2310" s="32">
        <v>15</v>
      </c>
      <c r="G2310" s="32" t="s">
        <v>52</v>
      </c>
      <c r="H2310" s="32" t="s">
        <v>5028</v>
      </c>
      <c r="I2310" s="32" t="s">
        <v>39</v>
      </c>
      <c r="J2310" s="32" t="s">
        <v>53</v>
      </c>
    </row>
    <row r="2311" spans="1:12" hidden="1" x14ac:dyDescent="0.3">
      <c r="A2311" s="39">
        <v>46147.745312500003</v>
      </c>
      <c r="B2311" s="32">
        <v>44988255390</v>
      </c>
      <c r="C2311" s="32" t="s">
        <v>48</v>
      </c>
      <c r="D2311" s="32">
        <v>4430265054</v>
      </c>
      <c r="E2311" s="32">
        <v>398</v>
      </c>
      <c r="F2311" s="32">
        <v>398</v>
      </c>
      <c r="G2311" s="32" t="s">
        <v>38</v>
      </c>
      <c r="H2311" s="32" t="s">
        <v>5029</v>
      </c>
      <c r="I2311" s="32" t="s">
        <v>39</v>
      </c>
      <c r="J2311" s="32" t="s">
        <v>40</v>
      </c>
      <c r="K2311" s="32" t="s">
        <v>41</v>
      </c>
    </row>
    <row r="2312" spans="1:12" hidden="1" x14ac:dyDescent="0.3">
      <c r="A2312" s="39">
        <v>46147.743622685186</v>
      </c>
      <c r="B2312" s="32" t="s">
        <v>54</v>
      </c>
      <c r="C2312" s="32">
        <v>85992070497</v>
      </c>
      <c r="E2312" s="32">
        <v>53</v>
      </c>
      <c r="F2312" s="32">
        <v>44</v>
      </c>
      <c r="G2312" s="32" t="s">
        <v>38</v>
      </c>
      <c r="H2312" s="32" t="s">
        <v>5030</v>
      </c>
      <c r="I2312" s="32" t="s">
        <v>46</v>
      </c>
      <c r="J2312" s="32" t="s">
        <v>55</v>
      </c>
    </row>
    <row r="2313" spans="1:12" hidden="1" x14ac:dyDescent="0.3">
      <c r="A2313" s="39">
        <v>46147.7421412037</v>
      </c>
      <c r="B2313" s="32" t="s">
        <v>54</v>
      </c>
      <c r="C2313" s="32">
        <v>2733710331</v>
      </c>
      <c r="E2313" s="32">
        <v>82</v>
      </c>
      <c r="F2313" s="32">
        <v>75</v>
      </c>
      <c r="G2313" s="32" t="s">
        <v>38</v>
      </c>
      <c r="H2313" s="32" t="s">
        <v>5031</v>
      </c>
      <c r="I2313" s="32" t="s">
        <v>46</v>
      </c>
      <c r="J2313" s="32" t="s">
        <v>55</v>
      </c>
    </row>
    <row r="2314" spans="1:12" hidden="1" x14ac:dyDescent="0.3">
      <c r="A2314" s="39">
        <v>46147.740567129629</v>
      </c>
      <c r="B2314" s="32" t="s">
        <v>54</v>
      </c>
      <c r="C2314" s="32">
        <v>41996975775</v>
      </c>
      <c r="E2314" s="32">
        <v>16</v>
      </c>
      <c r="F2314" s="32">
        <v>6</v>
      </c>
      <c r="G2314" s="32" t="s">
        <v>38</v>
      </c>
      <c r="H2314" s="32" t="s">
        <v>5032</v>
      </c>
      <c r="I2314" s="32" t="s">
        <v>46</v>
      </c>
      <c r="J2314" s="32" t="s">
        <v>55</v>
      </c>
    </row>
    <row r="2315" spans="1:12" hidden="1" x14ac:dyDescent="0.3">
      <c r="A2315" s="39">
        <v>46147.738993055558</v>
      </c>
      <c r="B2315" s="32">
        <v>4432268889</v>
      </c>
      <c r="C2315" s="32" t="s">
        <v>43</v>
      </c>
      <c r="D2315" s="32">
        <v>4430265054</v>
      </c>
      <c r="E2315" s="32">
        <v>868</v>
      </c>
      <c r="F2315" s="32">
        <v>649</v>
      </c>
      <c r="G2315" s="32" t="s">
        <v>38</v>
      </c>
      <c r="H2315" s="32" t="s">
        <v>5033</v>
      </c>
      <c r="I2315" s="32" t="s">
        <v>39</v>
      </c>
      <c r="J2315" s="32" t="s">
        <v>40</v>
      </c>
      <c r="K2315" s="32" t="s">
        <v>41</v>
      </c>
    </row>
    <row r="2316" spans="1:12" hidden="1" x14ac:dyDescent="0.3">
      <c r="A2316" s="39">
        <v>46147.737939814811</v>
      </c>
      <c r="B2316" s="32">
        <v>41999853283</v>
      </c>
      <c r="C2316" s="32" t="s">
        <v>44</v>
      </c>
      <c r="D2316" s="32">
        <v>4430265054</v>
      </c>
      <c r="E2316" s="32">
        <v>608</v>
      </c>
      <c r="F2316" s="32">
        <v>528</v>
      </c>
      <c r="G2316" s="32" t="s">
        <v>38</v>
      </c>
      <c r="H2316" s="32" t="s">
        <v>5034</v>
      </c>
      <c r="I2316" s="32" t="s">
        <v>39</v>
      </c>
      <c r="J2316" s="32" t="s">
        <v>40</v>
      </c>
      <c r="K2316" s="32" t="s">
        <v>41</v>
      </c>
      <c r="L2316" s="32">
        <v>5</v>
      </c>
    </row>
    <row r="2317" spans="1:12" hidden="1" x14ac:dyDescent="0.3">
      <c r="A2317" s="39">
        <v>46147.736562500002</v>
      </c>
      <c r="B2317" s="32" t="s">
        <v>45</v>
      </c>
      <c r="C2317" s="32">
        <v>18996339700</v>
      </c>
      <c r="E2317" s="32">
        <v>40</v>
      </c>
      <c r="F2317" s="32">
        <v>24</v>
      </c>
      <c r="G2317" s="32" t="s">
        <v>38</v>
      </c>
      <c r="H2317" s="32" t="s">
        <v>5035</v>
      </c>
      <c r="I2317" s="32" t="s">
        <v>46</v>
      </c>
      <c r="J2317" s="32" t="s">
        <v>40</v>
      </c>
    </row>
    <row r="2318" spans="1:12" hidden="1" x14ac:dyDescent="0.3">
      <c r="A2318" s="39">
        <v>46147.732870370368</v>
      </c>
      <c r="B2318" s="32">
        <v>4432272377</v>
      </c>
      <c r="C2318" s="32">
        <v>4430265054</v>
      </c>
      <c r="D2318" s="32">
        <v>4430265054</v>
      </c>
      <c r="E2318" s="32">
        <v>10</v>
      </c>
      <c r="F2318" s="32">
        <v>10</v>
      </c>
      <c r="G2318" s="32" t="s">
        <v>52</v>
      </c>
      <c r="H2318" s="32" t="s">
        <v>5036</v>
      </c>
      <c r="I2318" s="32" t="s">
        <v>39</v>
      </c>
      <c r="J2318" s="32" t="s">
        <v>53</v>
      </c>
    </row>
    <row r="2319" spans="1:12" hidden="1" x14ac:dyDescent="0.3">
      <c r="A2319" s="39">
        <v>46147.728993055556</v>
      </c>
      <c r="B2319" s="32" t="s">
        <v>45</v>
      </c>
      <c r="C2319" s="32">
        <v>4432268889</v>
      </c>
      <c r="E2319" s="32">
        <v>655</v>
      </c>
      <c r="F2319" s="32">
        <v>640</v>
      </c>
      <c r="G2319" s="32" t="s">
        <v>38</v>
      </c>
      <c r="H2319" s="32" t="s">
        <v>5037</v>
      </c>
      <c r="I2319" s="32" t="s">
        <v>46</v>
      </c>
      <c r="J2319" s="32" t="s">
        <v>40</v>
      </c>
    </row>
    <row r="2320" spans="1:12" hidden="1" x14ac:dyDescent="0.3">
      <c r="A2320" s="39">
        <v>46147.727754629632</v>
      </c>
      <c r="B2320" s="32" t="s">
        <v>54</v>
      </c>
      <c r="C2320" s="32">
        <v>17988431474</v>
      </c>
      <c r="E2320" s="32">
        <v>8</v>
      </c>
      <c r="F2320" s="32">
        <v>2</v>
      </c>
      <c r="G2320" s="32" t="s">
        <v>38</v>
      </c>
      <c r="H2320" s="32" t="s">
        <v>5038</v>
      </c>
      <c r="I2320" s="32" t="s">
        <v>46</v>
      </c>
      <c r="J2320" s="32" t="s">
        <v>55</v>
      </c>
    </row>
    <row r="2321" spans="1:12" hidden="1" x14ac:dyDescent="0.3">
      <c r="A2321" s="39">
        <v>46147.727002314816</v>
      </c>
      <c r="B2321" s="32" t="s">
        <v>54</v>
      </c>
      <c r="C2321" s="32">
        <v>49988293967</v>
      </c>
      <c r="E2321" s="32">
        <v>19</v>
      </c>
      <c r="F2321" s="32">
        <v>0</v>
      </c>
      <c r="G2321" s="32" t="s">
        <v>47</v>
      </c>
      <c r="H2321" s="32" t="s">
        <v>5039</v>
      </c>
      <c r="I2321" s="32" t="s">
        <v>46</v>
      </c>
      <c r="J2321" s="32" t="s">
        <v>55</v>
      </c>
    </row>
    <row r="2322" spans="1:12" hidden="1" x14ac:dyDescent="0.3">
      <c r="A2322" s="39">
        <v>46147.726666666669</v>
      </c>
      <c r="B2322" s="32" t="s">
        <v>45</v>
      </c>
      <c r="C2322" s="32">
        <v>81986261961</v>
      </c>
      <c r="E2322" s="32">
        <v>1</v>
      </c>
      <c r="F2322" s="32">
        <v>0</v>
      </c>
      <c r="G2322" s="32" t="s">
        <v>47</v>
      </c>
      <c r="H2322" s="32" t="s">
        <v>5040</v>
      </c>
      <c r="I2322" s="32" t="s">
        <v>46</v>
      </c>
      <c r="J2322" s="32" t="s">
        <v>40</v>
      </c>
    </row>
    <row r="2323" spans="1:12" hidden="1" x14ac:dyDescent="0.3">
      <c r="A2323" s="39">
        <v>46147.7266087963</v>
      </c>
      <c r="B2323" s="32" t="s">
        <v>45</v>
      </c>
      <c r="C2323" s="32">
        <v>81986261961</v>
      </c>
      <c r="E2323" s="32">
        <v>1</v>
      </c>
      <c r="F2323" s="32">
        <v>0</v>
      </c>
      <c r="G2323" s="32" t="s">
        <v>47</v>
      </c>
      <c r="H2323" s="32" t="s">
        <v>5041</v>
      </c>
      <c r="I2323" s="32" t="s">
        <v>46</v>
      </c>
      <c r="J2323" s="32" t="s">
        <v>40</v>
      </c>
    </row>
    <row r="2324" spans="1:12" hidden="1" x14ac:dyDescent="0.3">
      <c r="A2324" s="39">
        <v>46147.726550925923</v>
      </c>
      <c r="B2324" s="32" t="s">
        <v>45</v>
      </c>
      <c r="C2324" s="32">
        <v>81986261961</v>
      </c>
      <c r="E2324" s="32">
        <v>2</v>
      </c>
      <c r="F2324" s="32">
        <v>0</v>
      </c>
      <c r="G2324" s="32" t="s">
        <v>47</v>
      </c>
      <c r="H2324" s="32" t="s">
        <v>5042</v>
      </c>
      <c r="I2324" s="32" t="s">
        <v>46</v>
      </c>
      <c r="J2324" s="32" t="s">
        <v>40</v>
      </c>
    </row>
    <row r="2325" spans="1:12" hidden="1" x14ac:dyDescent="0.3">
      <c r="A2325" s="39">
        <v>46147.726099537038</v>
      </c>
      <c r="B2325" s="32">
        <v>18996339700</v>
      </c>
      <c r="C2325" s="32" t="s">
        <v>45</v>
      </c>
      <c r="D2325" s="32">
        <v>4430265054</v>
      </c>
      <c r="E2325" s="32">
        <v>273</v>
      </c>
      <c r="F2325" s="32">
        <v>215</v>
      </c>
      <c r="G2325" s="32" t="s">
        <v>38</v>
      </c>
      <c r="H2325" s="32" t="s">
        <v>5043</v>
      </c>
      <c r="I2325" s="32" t="s">
        <v>39</v>
      </c>
      <c r="J2325" s="32" t="s">
        <v>40</v>
      </c>
      <c r="K2325" s="32" t="s">
        <v>41</v>
      </c>
      <c r="L2325" s="32">
        <v>5</v>
      </c>
    </row>
    <row r="2326" spans="1:12" hidden="1" x14ac:dyDescent="0.3">
      <c r="A2326" s="39">
        <v>46147.725868055553</v>
      </c>
      <c r="B2326" s="32" t="s">
        <v>54</v>
      </c>
      <c r="C2326" s="32">
        <v>98987311246</v>
      </c>
      <c r="E2326" s="32">
        <v>7</v>
      </c>
      <c r="F2326" s="32">
        <v>0</v>
      </c>
      <c r="G2326" s="32" t="s">
        <v>47</v>
      </c>
      <c r="H2326" s="32" t="s">
        <v>5044</v>
      </c>
      <c r="I2326" s="32" t="s">
        <v>46</v>
      </c>
      <c r="J2326" s="32" t="s">
        <v>55</v>
      </c>
    </row>
    <row r="2327" spans="1:12" hidden="1" x14ac:dyDescent="0.3">
      <c r="A2327" s="39">
        <v>46147.724178240744</v>
      </c>
      <c r="B2327" s="32" t="s">
        <v>45</v>
      </c>
      <c r="C2327" s="32">
        <v>44998582382</v>
      </c>
      <c r="E2327" s="32">
        <v>129</v>
      </c>
      <c r="F2327" s="32">
        <v>127</v>
      </c>
      <c r="G2327" s="32" t="s">
        <v>38</v>
      </c>
      <c r="H2327" s="32" t="s">
        <v>5045</v>
      </c>
      <c r="I2327" s="32" t="s">
        <v>46</v>
      </c>
      <c r="J2327" s="32" t="s">
        <v>40</v>
      </c>
    </row>
    <row r="2328" spans="1:12" hidden="1" x14ac:dyDescent="0.3">
      <c r="A2328" s="39">
        <v>46147.723032407404</v>
      </c>
      <c r="B2328" s="32" t="s">
        <v>45</v>
      </c>
      <c r="C2328" s="32">
        <v>44991249108</v>
      </c>
      <c r="E2328" s="32">
        <v>66</v>
      </c>
      <c r="F2328" s="32">
        <v>29</v>
      </c>
      <c r="G2328" s="32" t="s">
        <v>38</v>
      </c>
      <c r="H2328" s="32" t="s">
        <v>5046</v>
      </c>
      <c r="I2328" s="32" t="s">
        <v>46</v>
      </c>
      <c r="J2328" s="32" t="s">
        <v>40</v>
      </c>
    </row>
    <row r="2329" spans="1:12" hidden="1" x14ac:dyDescent="0.3">
      <c r="A2329" s="39">
        <v>46147.722928240742</v>
      </c>
      <c r="B2329" s="32" t="s">
        <v>45</v>
      </c>
      <c r="C2329" s="32">
        <v>44991249108</v>
      </c>
      <c r="E2329" s="32">
        <v>4</v>
      </c>
      <c r="F2329" s="32">
        <v>0</v>
      </c>
      <c r="G2329" s="32" t="s">
        <v>47</v>
      </c>
      <c r="H2329" s="32" t="s">
        <v>5047</v>
      </c>
      <c r="I2329" s="32" t="s">
        <v>46</v>
      </c>
      <c r="J2329" s="32" t="s">
        <v>40</v>
      </c>
    </row>
    <row r="2330" spans="1:12" hidden="1" x14ac:dyDescent="0.3">
      <c r="A2330" s="39">
        <v>46147.719085648147</v>
      </c>
      <c r="B2330" s="32">
        <v>4436313274</v>
      </c>
      <c r="C2330" s="32" t="s">
        <v>37</v>
      </c>
      <c r="D2330" s="32">
        <v>4430265054</v>
      </c>
      <c r="E2330" s="32">
        <v>2727</v>
      </c>
      <c r="F2330" s="32">
        <v>2698</v>
      </c>
      <c r="G2330" s="32" t="s">
        <v>38</v>
      </c>
      <c r="H2330" s="32" t="s">
        <v>5048</v>
      </c>
      <c r="I2330" s="32" t="s">
        <v>39</v>
      </c>
      <c r="J2330" s="32" t="s">
        <v>40</v>
      </c>
      <c r="K2330" s="32" t="s">
        <v>41</v>
      </c>
    </row>
    <row r="2331" spans="1:12" hidden="1" x14ac:dyDescent="0.3">
      <c r="A2331" s="39">
        <v>46147.714965277781</v>
      </c>
      <c r="B2331" s="32">
        <v>44998039090</v>
      </c>
      <c r="C2331" s="32" t="s">
        <v>48</v>
      </c>
      <c r="D2331" s="32">
        <v>4430265054</v>
      </c>
      <c r="E2331" s="32">
        <v>510</v>
      </c>
      <c r="F2331" s="32">
        <v>407</v>
      </c>
      <c r="G2331" s="32" t="s">
        <v>38</v>
      </c>
      <c r="H2331" s="32" t="s">
        <v>5049</v>
      </c>
      <c r="I2331" s="32" t="s">
        <v>39</v>
      </c>
      <c r="J2331" s="32" t="s">
        <v>40</v>
      </c>
      <c r="K2331" s="32" t="s">
        <v>41</v>
      </c>
    </row>
    <row r="2332" spans="1:12" hidden="1" x14ac:dyDescent="0.3">
      <c r="A2332" s="39">
        <v>46147.71434027778</v>
      </c>
      <c r="B2332" s="32" t="s">
        <v>54</v>
      </c>
      <c r="C2332" s="32">
        <v>31987777768</v>
      </c>
      <c r="E2332" s="32">
        <v>11</v>
      </c>
      <c r="F2332" s="32">
        <v>0</v>
      </c>
      <c r="G2332" s="32" t="s">
        <v>47</v>
      </c>
      <c r="H2332" s="32" t="s">
        <v>5050</v>
      </c>
      <c r="I2332" s="32" t="s">
        <v>46</v>
      </c>
      <c r="J2332" s="32" t="s">
        <v>55</v>
      </c>
    </row>
    <row r="2333" spans="1:12" hidden="1" x14ac:dyDescent="0.3">
      <c r="A2333" s="39">
        <v>46147.714189814818</v>
      </c>
      <c r="B2333" s="32">
        <v>4334232912</v>
      </c>
      <c r="C2333" s="32" t="s">
        <v>45</v>
      </c>
      <c r="D2333" s="32">
        <v>4430265054</v>
      </c>
      <c r="E2333" s="32">
        <v>635</v>
      </c>
      <c r="F2333" s="32">
        <v>585</v>
      </c>
      <c r="G2333" s="32" t="s">
        <v>38</v>
      </c>
      <c r="H2333" s="32" t="s">
        <v>5051</v>
      </c>
      <c r="I2333" s="32" t="s">
        <v>39</v>
      </c>
      <c r="J2333" s="32" t="s">
        <v>40</v>
      </c>
      <c r="K2333" s="32" t="s">
        <v>41</v>
      </c>
      <c r="L2333" s="32">
        <v>5</v>
      </c>
    </row>
    <row r="2334" spans="1:12" hidden="1" x14ac:dyDescent="0.3">
      <c r="A2334" s="39">
        <v>46147.713356481479</v>
      </c>
      <c r="B2334" s="32" t="s">
        <v>54</v>
      </c>
      <c r="C2334" s="32">
        <v>84999634490</v>
      </c>
      <c r="E2334" s="32">
        <v>4</v>
      </c>
      <c r="F2334" s="32">
        <v>1</v>
      </c>
      <c r="G2334" s="32" t="s">
        <v>38</v>
      </c>
      <c r="H2334" s="32" t="s">
        <v>5052</v>
      </c>
      <c r="I2334" s="32" t="s">
        <v>46</v>
      </c>
      <c r="J2334" s="32" t="s">
        <v>55</v>
      </c>
    </row>
    <row r="2335" spans="1:12" hidden="1" x14ac:dyDescent="0.3">
      <c r="A2335" s="39">
        <v>46147.710081018522</v>
      </c>
      <c r="B2335" s="32">
        <v>44991191299</v>
      </c>
      <c r="C2335" s="32" t="s">
        <v>43</v>
      </c>
      <c r="D2335" s="32">
        <v>4430265054</v>
      </c>
      <c r="E2335" s="32">
        <v>253</v>
      </c>
      <c r="F2335" s="32">
        <v>179</v>
      </c>
      <c r="G2335" s="32" t="s">
        <v>38</v>
      </c>
      <c r="H2335" s="32" t="s">
        <v>5053</v>
      </c>
      <c r="I2335" s="32" t="s">
        <v>39</v>
      </c>
      <c r="J2335" s="32" t="s">
        <v>40</v>
      </c>
      <c r="K2335" s="32" t="s">
        <v>41</v>
      </c>
    </row>
    <row r="2336" spans="1:12" hidden="1" x14ac:dyDescent="0.3">
      <c r="A2336" s="39">
        <v>46147.709756944445</v>
      </c>
      <c r="B2336" s="32">
        <v>44988067937</v>
      </c>
      <c r="C2336" s="32" t="s">
        <v>37</v>
      </c>
      <c r="D2336" s="32">
        <v>4430265054</v>
      </c>
      <c r="E2336" s="32">
        <v>470</v>
      </c>
      <c r="F2336" s="32">
        <v>370</v>
      </c>
      <c r="G2336" s="32" t="s">
        <v>38</v>
      </c>
      <c r="H2336" s="32" t="s">
        <v>5054</v>
      </c>
      <c r="I2336" s="32" t="s">
        <v>39</v>
      </c>
      <c r="J2336" s="32" t="s">
        <v>40</v>
      </c>
      <c r="K2336" s="32" t="s">
        <v>41</v>
      </c>
    </row>
    <row r="2337" spans="1:12" hidden="1" x14ac:dyDescent="0.3">
      <c r="A2337" s="39">
        <v>46147.709085648145</v>
      </c>
      <c r="B2337" s="32">
        <v>4430293755</v>
      </c>
      <c r="C2337" s="32" t="s">
        <v>48</v>
      </c>
      <c r="D2337" s="32">
        <v>4430265054</v>
      </c>
      <c r="E2337" s="32">
        <v>362</v>
      </c>
      <c r="F2337" s="32">
        <v>248</v>
      </c>
      <c r="G2337" s="32" t="s">
        <v>38</v>
      </c>
      <c r="H2337" s="32" t="s">
        <v>5055</v>
      </c>
      <c r="I2337" s="32" t="s">
        <v>39</v>
      </c>
      <c r="J2337" s="32" t="s">
        <v>40</v>
      </c>
      <c r="K2337" s="32" t="s">
        <v>41</v>
      </c>
    </row>
    <row r="2338" spans="1:12" hidden="1" x14ac:dyDescent="0.3">
      <c r="A2338" s="39">
        <v>46147.703379629631</v>
      </c>
      <c r="B2338" s="32" t="s">
        <v>45</v>
      </c>
      <c r="C2338" s="32">
        <v>81986261961</v>
      </c>
      <c r="E2338" s="32">
        <v>67</v>
      </c>
      <c r="F2338" s="32">
        <v>0</v>
      </c>
      <c r="G2338" s="32" t="s">
        <v>47</v>
      </c>
      <c r="H2338" s="32" t="s">
        <v>5056</v>
      </c>
      <c r="I2338" s="32" t="s">
        <v>46</v>
      </c>
      <c r="J2338" s="32" t="s">
        <v>40</v>
      </c>
    </row>
    <row r="2339" spans="1:12" hidden="1" x14ac:dyDescent="0.3">
      <c r="A2339" s="39">
        <v>46147.702696759261</v>
      </c>
      <c r="B2339" s="32" t="s">
        <v>43</v>
      </c>
      <c r="C2339" s="32">
        <v>35998295948</v>
      </c>
      <c r="E2339" s="32">
        <v>42</v>
      </c>
      <c r="F2339" s="32">
        <v>28</v>
      </c>
      <c r="G2339" s="32" t="s">
        <v>38</v>
      </c>
      <c r="H2339" s="32" t="s">
        <v>5057</v>
      </c>
      <c r="I2339" s="32" t="s">
        <v>46</v>
      </c>
      <c r="J2339" s="32" t="s">
        <v>40</v>
      </c>
    </row>
    <row r="2340" spans="1:12" hidden="1" x14ac:dyDescent="0.3">
      <c r="A2340" s="39">
        <v>46147.702141203707</v>
      </c>
      <c r="B2340" s="32">
        <v>4430293755</v>
      </c>
      <c r="C2340" s="32" t="s">
        <v>48</v>
      </c>
      <c r="D2340" s="32">
        <v>4430265054</v>
      </c>
      <c r="E2340" s="32">
        <v>315</v>
      </c>
      <c r="F2340" s="32">
        <v>314</v>
      </c>
      <c r="G2340" s="32" t="s">
        <v>38</v>
      </c>
      <c r="H2340" s="32" t="s">
        <v>5058</v>
      </c>
      <c r="I2340" s="32" t="s">
        <v>39</v>
      </c>
      <c r="J2340" s="32" t="s">
        <v>40</v>
      </c>
      <c r="K2340" s="32" t="s">
        <v>41</v>
      </c>
    </row>
    <row r="2341" spans="1:12" hidden="1" x14ac:dyDescent="0.3">
      <c r="A2341" s="39">
        <v>46147.698750000003</v>
      </c>
      <c r="B2341" s="32">
        <v>44991498835</v>
      </c>
      <c r="C2341" s="32">
        <v>4430265054</v>
      </c>
      <c r="D2341" s="32">
        <v>4430265054</v>
      </c>
      <c r="E2341" s="32">
        <v>5</v>
      </c>
      <c r="F2341" s="32">
        <v>5</v>
      </c>
      <c r="G2341" s="32" t="s">
        <v>52</v>
      </c>
      <c r="H2341" s="32" t="s">
        <v>5059</v>
      </c>
      <c r="I2341" s="32" t="s">
        <v>39</v>
      </c>
      <c r="J2341" s="32" t="s">
        <v>53</v>
      </c>
    </row>
    <row r="2342" spans="1:12" hidden="1" x14ac:dyDescent="0.3">
      <c r="A2342" s="39">
        <v>46147.697523148148</v>
      </c>
      <c r="B2342" s="32">
        <v>4533042020</v>
      </c>
      <c r="C2342" s="32">
        <v>4531273172</v>
      </c>
      <c r="D2342" s="32">
        <v>4531273172</v>
      </c>
      <c r="E2342" s="32">
        <v>46</v>
      </c>
      <c r="F2342" s="32">
        <v>46</v>
      </c>
      <c r="G2342" s="32" t="s">
        <v>52</v>
      </c>
      <c r="H2342" s="32" t="s">
        <v>5060</v>
      </c>
      <c r="I2342" s="32" t="s">
        <v>39</v>
      </c>
      <c r="J2342" s="32" t="s">
        <v>53</v>
      </c>
      <c r="K2342" s="32" t="s">
        <v>41</v>
      </c>
    </row>
    <row r="2343" spans="1:12" hidden="1" x14ac:dyDescent="0.3">
      <c r="A2343" s="39">
        <v>46147.691689814812</v>
      </c>
      <c r="B2343" s="32" t="s">
        <v>57</v>
      </c>
      <c r="C2343" s="32">
        <v>6232822011</v>
      </c>
      <c r="E2343" s="32">
        <v>352</v>
      </c>
      <c r="F2343" s="32">
        <v>325</v>
      </c>
      <c r="G2343" s="32" t="s">
        <v>38</v>
      </c>
      <c r="H2343" s="32" t="s">
        <v>5061</v>
      </c>
      <c r="I2343" s="32" t="s">
        <v>46</v>
      </c>
      <c r="J2343" s="32" t="s">
        <v>55</v>
      </c>
    </row>
    <row r="2344" spans="1:12" hidden="1" x14ac:dyDescent="0.3">
      <c r="A2344" s="39">
        <v>46147.691435185188</v>
      </c>
      <c r="B2344" s="32">
        <v>4121418164</v>
      </c>
      <c r="C2344" s="32" t="s">
        <v>48</v>
      </c>
      <c r="D2344" s="32">
        <v>4531273159</v>
      </c>
      <c r="E2344" s="32">
        <v>47</v>
      </c>
      <c r="F2344" s="32">
        <v>5</v>
      </c>
      <c r="G2344" s="32" t="s">
        <v>38</v>
      </c>
      <c r="H2344" s="32" t="s">
        <v>5062</v>
      </c>
      <c r="I2344" s="32" t="s">
        <v>39</v>
      </c>
      <c r="J2344" s="32" t="s">
        <v>40</v>
      </c>
      <c r="K2344" s="32" t="s">
        <v>41</v>
      </c>
    </row>
    <row r="2345" spans="1:12" hidden="1" x14ac:dyDescent="0.3">
      <c r="A2345" s="39">
        <v>46147.686377314814</v>
      </c>
      <c r="B2345" s="32">
        <v>44997561804</v>
      </c>
      <c r="C2345" s="32" t="s">
        <v>37</v>
      </c>
      <c r="D2345" s="32">
        <v>4430265054</v>
      </c>
      <c r="E2345" s="32">
        <v>1063</v>
      </c>
      <c r="F2345" s="32">
        <v>1002</v>
      </c>
      <c r="G2345" s="32" t="s">
        <v>38</v>
      </c>
      <c r="H2345" s="32" t="s">
        <v>5063</v>
      </c>
      <c r="I2345" s="32" t="s">
        <v>39</v>
      </c>
      <c r="J2345" s="32" t="s">
        <v>40</v>
      </c>
      <c r="K2345" s="32" t="s">
        <v>41</v>
      </c>
      <c r="L2345" s="32">
        <v>5</v>
      </c>
    </row>
    <row r="2346" spans="1:12" hidden="1" x14ac:dyDescent="0.3">
      <c r="A2346" s="39">
        <v>46147.686122685183</v>
      </c>
      <c r="B2346" s="32" t="s">
        <v>43</v>
      </c>
      <c r="C2346" s="32">
        <v>44999462042</v>
      </c>
      <c r="E2346" s="32">
        <v>1213</v>
      </c>
      <c r="F2346" s="32">
        <v>1198</v>
      </c>
      <c r="G2346" s="32" t="s">
        <v>38</v>
      </c>
      <c r="H2346" s="32" t="s">
        <v>5064</v>
      </c>
      <c r="I2346" s="32" t="s">
        <v>46</v>
      </c>
      <c r="J2346" s="32" t="s">
        <v>40</v>
      </c>
      <c r="L2346" s="32">
        <v>5</v>
      </c>
    </row>
    <row r="2347" spans="1:12" hidden="1" x14ac:dyDescent="0.3">
      <c r="A2347" s="39">
        <v>46147.681458333333</v>
      </c>
      <c r="B2347" s="32" t="s">
        <v>57</v>
      </c>
      <c r="C2347" s="32">
        <v>4430191929</v>
      </c>
      <c r="E2347" s="32">
        <v>378</v>
      </c>
      <c r="F2347" s="32">
        <v>363</v>
      </c>
      <c r="G2347" s="32" t="s">
        <v>38</v>
      </c>
      <c r="H2347" s="32" t="s">
        <v>5065</v>
      </c>
      <c r="I2347" s="32" t="s">
        <v>46</v>
      </c>
      <c r="J2347" s="32" t="s">
        <v>55</v>
      </c>
    </row>
    <row r="2348" spans="1:12" hidden="1" x14ac:dyDescent="0.3">
      <c r="A2348" s="39">
        <v>46147.681087962963</v>
      </c>
      <c r="B2348" s="32" t="s">
        <v>45</v>
      </c>
      <c r="C2348" s="32">
        <v>44998582382</v>
      </c>
      <c r="E2348" s="32">
        <v>1910</v>
      </c>
      <c r="F2348" s="32">
        <v>1907</v>
      </c>
      <c r="G2348" s="32" t="s">
        <v>38</v>
      </c>
      <c r="H2348" s="32" t="s">
        <v>5066</v>
      </c>
      <c r="I2348" s="32" t="s">
        <v>46</v>
      </c>
      <c r="J2348" s="32" t="s">
        <v>40</v>
      </c>
    </row>
    <row r="2349" spans="1:12" hidden="1" x14ac:dyDescent="0.3">
      <c r="A2349" s="39">
        <v>46147.679629629631</v>
      </c>
      <c r="B2349" s="32" t="s">
        <v>44</v>
      </c>
      <c r="C2349" s="32">
        <v>4434221675</v>
      </c>
      <c r="E2349" s="32">
        <v>1547</v>
      </c>
      <c r="F2349" s="32">
        <v>1542</v>
      </c>
      <c r="G2349" s="32" t="s">
        <v>38</v>
      </c>
      <c r="H2349" s="32" t="s">
        <v>5067</v>
      </c>
      <c r="I2349" s="32" t="s">
        <v>46</v>
      </c>
      <c r="J2349" s="32" t="s">
        <v>40</v>
      </c>
    </row>
    <row r="2350" spans="1:12" hidden="1" x14ac:dyDescent="0.3">
      <c r="A2350" s="39">
        <v>46147.679548611108</v>
      </c>
      <c r="B2350" s="32" t="s">
        <v>44</v>
      </c>
      <c r="C2350" s="32">
        <v>4434221675</v>
      </c>
      <c r="E2350" s="32">
        <v>26</v>
      </c>
      <c r="F2350" s="32">
        <v>25</v>
      </c>
      <c r="G2350" s="32" t="s">
        <v>38</v>
      </c>
      <c r="H2350" s="32" t="s">
        <v>5068</v>
      </c>
      <c r="I2350" s="32" t="s">
        <v>46</v>
      </c>
      <c r="J2350" s="32" t="s">
        <v>40</v>
      </c>
    </row>
    <row r="2351" spans="1:12" hidden="1" x14ac:dyDescent="0.3">
      <c r="A2351" s="39">
        <v>46147.675046296295</v>
      </c>
      <c r="B2351" s="32">
        <v>35998295948</v>
      </c>
      <c r="C2351" s="32" t="s">
        <v>43</v>
      </c>
      <c r="D2351" s="32">
        <v>4430265054</v>
      </c>
      <c r="E2351" s="32">
        <v>192</v>
      </c>
      <c r="F2351" s="32">
        <v>175</v>
      </c>
      <c r="G2351" s="32" t="s">
        <v>38</v>
      </c>
      <c r="H2351" s="32" t="s">
        <v>5069</v>
      </c>
      <c r="I2351" s="32" t="s">
        <v>39</v>
      </c>
      <c r="J2351" s="32" t="s">
        <v>40</v>
      </c>
      <c r="K2351" s="32" t="s">
        <v>41</v>
      </c>
    </row>
    <row r="2352" spans="1:12" hidden="1" x14ac:dyDescent="0.3">
      <c r="A2352" s="39">
        <v>46147.673877314817</v>
      </c>
      <c r="B2352" s="32" t="s">
        <v>57</v>
      </c>
      <c r="C2352" s="32">
        <v>4433511543</v>
      </c>
      <c r="E2352" s="32">
        <v>113</v>
      </c>
      <c r="F2352" s="32">
        <v>97</v>
      </c>
      <c r="G2352" s="32" t="s">
        <v>38</v>
      </c>
      <c r="H2352" s="32" t="s">
        <v>5070</v>
      </c>
      <c r="I2352" s="32" t="s">
        <v>46</v>
      </c>
      <c r="J2352" s="32" t="s">
        <v>55</v>
      </c>
    </row>
    <row r="2353" spans="1:12" hidden="1" x14ac:dyDescent="0.3">
      <c r="A2353" s="39">
        <v>46147.673043981478</v>
      </c>
      <c r="B2353" s="32">
        <v>53981112780</v>
      </c>
      <c r="C2353" s="32" t="s">
        <v>44</v>
      </c>
      <c r="D2353" s="32">
        <v>4430265054</v>
      </c>
      <c r="E2353" s="32">
        <v>440</v>
      </c>
      <c r="F2353" s="32">
        <v>387</v>
      </c>
      <c r="G2353" s="32" t="s">
        <v>38</v>
      </c>
      <c r="H2353" s="32" t="s">
        <v>5071</v>
      </c>
      <c r="I2353" s="32" t="s">
        <v>39</v>
      </c>
      <c r="J2353" s="32" t="s">
        <v>40</v>
      </c>
      <c r="K2353" s="32" t="s">
        <v>41</v>
      </c>
      <c r="L2353" s="32">
        <v>4</v>
      </c>
    </row>
    <row r="2354" spans="1:12" hidden="1" x14ac:dyDescent="0.3">
      <c r="A2354" s="39">
        <v>46147.672314814816</v>
      </c>
      <c r="B2354" s="32">
        <v>4430293755</v>
      </c>
      <c r="C2354" s="32" t="s">
        <v>43</v>
      </c>
      <c r="D2354" s="32">
        <v>4430265054</v>
      </c>
      <c r="E2354" s="32">
        <v>113</v>
      </c>
      <c r="F2354" s="32">
        <v>72</v>
      </c>
      <c r="G2354" s="32" t="s">
        <v>38</v>
      </c>
      <c r="H2354" s="32" t="s">
        <v>5072</v>
      </c>
      <c r="I2354" s="32" t="s">
        <v>39</v>
      </c>
      <c r="J2354" s="32" t="s">
        <v>40</v>
      </c>
      <c r="K2354" s="32" t="s">
        <v>41</v>
      </c>
    </row>
    <row r="2355" spans="1:12" hidden="1" x14ac:dyDescent="0.3">
      <c r="A2355" s="39">
        <v>46147.672060185185</v>
      </c>
      <c r="B2355" s="32">
        <v>4430293755</v>
      </c>
      <c r="C2355" s="32">
        <v>4430265054</v>
      </c>
      <c r="D2355" s="32">
        <v>4430265054</v>
      </c>
      <c r="E2355" s="32">
        <v>33</v>
      </c>
      <c r="F2355" s="32">
        <v>32</v>
      </c>
      <c r="G2355" s="32" t="s">
        <v>52</v>
      </c>
      <c r="H2355" s="32" t="s">
        <v>5073</v>
      </c>
      <c r="I2355" s="32" t="s">
        <v>39</v>
      </c>
      <c r="J2355" s="32" t="s">
        <v>53</v>
      </c>
      <c r="K2355" s="32" t="s">
        <v>41</v>
      </c>
    </row>
    <row r="2356" spans="1:12" hidden="1" x14ac:dyDescent="0.3">
      <c r="A2356" s="39">
        <v>46147.671296296299</v>
      </c>
      <c r="B2356" s="32">
        <v>44991191299</v>
      </c>
      <c r="C2356" s="32" t="s">
        <v>45</v>
      </c>
      <c r="D2356" s="32">
        <v>4430265054</v>
      </c>
      <c r="E2356" s="32">
        <v>858</v>
      </c>
      <c r="F2356" s="32">
        <v>837</v>
      </c>
      <c r="G2356" s="32" t="s">
        <v>38</v>
      </c>
      <c r="H2356" s="32" t="s">
        <v>5074</v>
      </c>
      <c r="I2356" s="32" t="s">
        <v>39</v>
      </c>
      <c r="J2356" s="32" t="s">
        <v>40</v>
      </c>
      <c r="K2356" s="32" t="s">
        <v>41</v>
      </c>
    </row>
    <row r="2357" spans="1:12" hidden="1" x14ac:dyDescent="0.3">
      <c r="A2357" s="39">
        <v>46147.668263888889</v>
      </c>
      <c r="B2357" s="32" t="s">
        <v>57</v>
      </c>
      <c r="C2357" s="32">
        <v>4432524636</v>
      </c>
      <c r="E2357" s="32">
        <v>113</v>
      </c>
      <c r="F2357" s="32">
        <v>107</v>
      </c>
      <c r="G2357" s="32" t="s">
        <v>38</v>
      </c>
      <c r="H2357" s="32" t="s">
        <v>5075</v>
      </c>
      <c r="I2357" s="32" t="s">
        <v>46</v>
      </c>
      <c r="J2357" s="32" t="s">
        <v>55</v>
      </c>
    </row>
    <row r="2358" spans="1:12" hidden="1" x14ac:dyDescent="0.3">
      <c r="A2358" s="39">
        <v>46147.666701388887</v>
      </c>
      <c r="B2358" s="32">
        <v>4430293755</v>
      </c>
      <c r="C2358" s="32">
        <v>4430265054</v>
      </c>
      <c r="D2358" s="32">
        <v>4430265054</v>
      </c>
      <c r="E2358" s="32">
        <v>38</v>
      </c>
      <c r="F2358" s="32">
        <v>38</v>
      </c>
      <c r="G2358" s="32" t="s">
        <v>52</v>
      </c>
      <c r="H2358" s="32" t="s">
        <v>5076</v>
      </c>
      <c r="I2358" s="32" t="s">
        <v>39</v>
      </c>
      <c r="J2358" s="32" t="s">
        <v>53</v>
      </c>
      <c r="K2358" s="32" t="s">
        <v>41</v>
      </c>
    </row>
    <row r="2359" spans="1:12" hidden="1" x14ac:dyDescent="0.3">
      <c r="A2359" s="39">
        <v>46147.665891203702</v>
      </c>
      <c r="B2359" s="32">
        <v>4430293755</v>
      </c>
      <c r="C2359" s="32">
        <v>4430265054</v>
      </c>
      <c r="D2359" s="32">
        <v>4430265054</v>
      </c>
      <c r="E2359" s="32">
        <v>20</v>
      </c>
      <c r="F2359" s="32">
        <v>20</v>
      </c>
      <c r="G2359" s="32" t="s">
        <v>52</v>
      </c>
      <c r="H2359" s="32" t="s">
        <v>5077</v>
      </c>
      <c r="I2359" s="32" t="s">
        <v>39</v>
      </c>
      <c r="J2359" s="32" t="s">
        <v>53</v>
      </c>
    </row>
    <row r="2360" spans="1:12" hidden="1" x14ac:dyDescent="0.3">
      <c r="A2360" s="39">
        <v>46147.66547453704</v>
      </c>
      <c r="B2360" s="32">
        <v>4430293755</v>
      </c>
      <c r="C2360" s="32">
        <v>4430265054</v>
      </c>
      <c r="D2360" s="32">
        <v>4430265054</v>
      </c>
      <c r="E2360" s="32">
        <v>20</v>
      </c>
      <c r="F2360" s="32">
        <v>20</v>
      </c>
      <c r="G2360" s="32" t="s">
        <v>52</v>
      </c>
      <c r="H2360" s="32" t="s">
        <v>5078</v>
      </c>
      <c r="I2360" s="32" t="s">
        <v>39</v>
      </c>
      <c r="J2360" s="32" t="s">
        <v>53</v>
      </c>
    </row>
    <row r="2361" spans="1:12" hidden="1" x14ac:dyDescent="0.3">
      <c r="A2361" s="39">
        <v>46147.664629629631</v>
      </c>
      <c r="B2361" s="32">
        <v>44991814587</v>
      </c>
      <c r="C2361" s="32" t="s">
        <v>48</v>
      </c>
      <c r="D2361" s="32">
        <v>4430265054</v>
      </c>
      <c r="E2361" s="32">
        <v>1216</v>
      </c>
      <c r="F2361" s="32">
        <v>1215</v>
      </c>
      <c r="G2361" s="32" t="s">
        <v>38</v>
      </c>
      <c r="H2361" s="32" t="s">
        <v>5079</v>
      </c>
      <c r="I2361" s="32" t="s">
        <v>39</v>
      </c>
      <c r="J2361" s="32" t="s">
        <v>40</v>
      </c>
      <c r="K2361" s="32" t="s">
        <v>41</v>
      </c>
    </row>
    <row r="2362" spans="1:12" hidden="1" x14ac:dyDescent="0.3">
      <c r="A2362" s="39">
        <v>46147.6640162037</v>
      </c>
      <c r="B2362" s="32">
        <v>6234347959</v>
      </c>
      <c r="C2362" s="32" t="s">
        <v>44</v>
      </c>
      <c r="D2362" s="32">
        <v>4430265054</v>
      </c>
      <c r="E2362" s="32">
        <v>511</v>
      </c>
      <c r="F2362" s="32">
        <v>429</v>
      </c>
      <c r="G2362" s="32" t="s">
        <v>38</v>
      </c>
      <c r="H2362" s="32" t="s">
        <v>5080</v>
      </c>
      <c r="I2362" s="32" t="s">
        <v>39</v>
      </c>
      <c r="J2362" s="32" t="s">
        <v>40</v>
      </c>
      <c r="K2362" s="32" t="s">
        <v>41</v>
      </c>
    </row>
    <row r="2363" spans="1:12" hidden="1" x14ac:dyDescent="0.3">
      <c r="A2363" s="39">
        <v>46147.66165509259</v>
      </c>
      <c r="B2363" s="32">
        <v>44988185458</v>
      </c>
      <c r="C2363" s="32" t="s">
        <v>37</v>
      </c>
      <c r="D2363" s="32">
        <v>4430265054</v>
      </c>
      <c r="E2363" s="32">
        <v>1489</v>
      </c>
      <c r="F2363" s="32">
        <v>1466</v>
      </c>
      <c r="G2363" s="32" t="s">
        <v>38</v>
      </c>
      <c r="H2363" s="32" t="s">
        <v>5081</v>
      </c>
      <c r="I2363" s="32" t="s">
        <v>39</v>
      </c>
      <c r="J2363" s="32" t="s">
        <v>40</v>
      </c>
      <c r="K2363" s="32" t="s">
        <v>41</v>
      </c>
    </row>
    <row r="2364" spans="1:12" hidden="1" x14ac:dyDescent="0.3">
      <c r="A2364" s="39">
        <v>46147.659351851849</v>
      </c>
      <c r="B2364" s="32">
        <v>44991814587</v>
      </c>
      <c r="C2364" s="32" t="s">
        <v>45</v>
      </c>
      <c r="D2364" s="32">
        <v>4430265054</v>
      </c>
      <c r="E2364" s="32">
        <v>155</v>
      </c>
      <c r="F2364" s="32">
        <v>36</v>
      </c>
      <c r="G2364" s="32" t="s">
        <v>38</v>
      </c>
      <c r="H2364" s="32" t="s">
        <v>5082</v>
      </c>
      <c r="I2364" s="32" t="s">
        <v>39</v>
      </c>
      <c r="J2364" s="32" t="s">
        <v>40</v>
      </c>
      <c r="K2364" s="32" t="s">
        <v>41</v>
      </c>
    </row>
    <row r="2365" spans="1:12" hidden="1" x14ac:dyDescent="0.3">
      <c r="A2365" s="39">
        <v>46147.657175925924</v>
      </c>
      <c r="B2365" s="32" t="s">
        <v>57</v>
      </c>
      <c r="C2365" s="32">
        <v>4436751451</v>
      </c>
      <c r="E2365" s="32">
        <v>1</v>
      </c>
      <c r="F2365" s="32">
        <v>0</v>
      </c>
      <c r="G2365" s="32" t="s">
        <v>47</v>
      </c>
      <c r="H2365" s="32" t="s">
        <v>5083</v>
      </c>
      <c r="I2365" s="32" t="s">
        <v>46</v>
      </c>
      <c r="J2365" s="32" t="s">
        <v>55</v>
      </c>
    </row>
    <row r="2366" spans="1:12" hidden="1" x14ac:dyDescent="0.3">
      <c r="A2366" s="39">
        <v>46147.656238425923</v>
      </c>
      <c r="B2366" s="32" t="s">
        <v>57</v>
      </c>
      <c r="C2366" s="32">
        <v>44999211093</v>
      </c>
      <c r="E2366" s="32">
        <v>26</v>
      </c>
      <c r="F2366" s="32">
        <v>8</v>
      </c>
      <c r="G2366" s="32" t="s">
        <v>38</v>
      </c>
      <c r="H2366" s="32" t="s">
        <v>5084</v>
      </c>
      <c r="I2366" s="32" t="s">
        <v>46</v>
      </c>
      <c r="J2366" s="32" t="s">
        <v>55</v>
      </c>
    </row>
    <row r="2367" spans="1:12" hidden="1" x14ac:dyDescent="0.3">
      <c r="A2367" s="39">
        <v>46147.653541666667</v>
      </c>
      <c r="B2367" s="32">
        <v>44991191299</v>
      </c>
      <c r="C2367" s="32" t="s">
        <v>45</v>
      </c>
      <c r="D2367" s="32">
        <v>4430265054</v>
      </c>
      <c r="E2367" s="32">
        <v>580</v>
      </c>
      <c r="F2367" s="32">
        <v>531</v>
      </c>
      <c r="G2367" s="32" t="s">
        <v>38</v>
      </c>
      <c r="H2367" s="32" t="s">
        <v>5085</v>
      </c>
      <c r="I2367" s="32" t="s">
        <v>39</v>
      </c>
      <c r="J2367" s="32" t="s">
        <v>40</v>
      </c>
      <c r="K2367" s="32" t="s">
        <v>41</v>
      </c>
    </row>
    <row r="2368" spans="1:12" hidden="1" x14ac:dyDescent="0.3">
      <c r="A2368" s="39">
        <v>46147.652581018519</v>
      </c>
      <c r="B2368" s="32">
        <v>4434231198</v>
      </c>
      <c r="C2368" s="32" t="s">
        <v>37</v>
      </c>
      <c r="D2368" s="32">
        <v>4430265054</v>
      </c>
      <c r="E2368" s="32">
        <v>348</v>
      </c>
      <c r="F2368" s="32">
        <v>323</v>
      </c>
      <c r="G2368" s="32" t="s">
        <v>38</v>
      </c>
      <c r="H2368" s="32" t="s">
        <v>5086</v>
      </c>
      <c r="I2368" s="32" t="s">
        <v>39</v>
      </c>
      <c r="J2368" s="32" t="s">
        <v>40</v>
      </c>
      <c r="K2368" s="32" t="s">
        <v>41</v>
      </c>
    </row>
    <row r="2369" spans="1:11" hidden="1" x14ac:dyDescent="0.3">
      <c r="A2369" s="39">
        <v>46147.651469907411</v>
      </c>
      <c r="B2369" s="32">
        <v>4432462382</v>
      </c>
      <c r="C2369" s="32" t="s">
        <v>37</v>
      </c>
      <c r="D2369" s="32">
        <v>4430265054</v>
      </c>
      <c r="E2369" s="32">
        <v>73</v>
      </c>
      <c r="F2369" s="32">
        <v>50</v>
      </c>
      <c r="G2369" s="32" t="s">
        <v>38</v>
      </c>
      <c r="H2369" s="32" t="s">
        <v>5087</v>
      </c>
      <c r="I2369" s="32" t="s">
        <v>39</v>
      </c>
      <c r="J2369" s="32" t="s">
        <v>40</v>
      </c>
      <c r="K2369" s="32" t="s">
        <v>41</v>
      </c>
    </row>
    <row r="2370" spans="1:11" hidden="1" x14ac:dyDescent="0.3">
      <c r="A2370" s="39">
        <v>46147.650370370371</v>
      </c>
      <c r="B2370" s="32">
        <v>4533042020</v>
      </c>
      <c r="C2370" s="32" t="s">
        <v>37</v>
      </c>
      <c r="D2370" s="32">
        <v>4531273161</v>
      </c>
      <c r="E2370" s="32">
        <v>47</v>
      </c>
      <c r="F2370" s="32">
        <v>10</v>
      </c>
      <c r="G2370" s="32" t="s">
        <v>38</v>
      </c>
      <c r="H2370" s="32" t="s">
        <v>5088</v>
      </c>
      <c r="I2370" s="32" t="s">
        <v>39</v>
      </c>
      <c r="J2370" s="32" t="s">
        <v>40</v>
      </c>
      <c r="K2370" s="32" t="s">
        <v>41</v>
      </c>
    </row>
    <row r="2371" spans="1:11" hidden="1" x14ac:dyDescent="0.3">
      <c r="A2371" s="39">
        <v>46147.647893518515</v>
      </c>
      <c r="B2371" s="32">
        <v>4121418164</v>
      </c>
      <c r="C2371" s="32">
        <v>4531273169</v>
      </c>
      <c r="D2371" s="32">
        <v>4531273169</v>
      </c>
      <c r="E2371" s="32">
        <v>47</v>
      </c>
      <c r="F2371" s="32">
        <v>47</v>
      </c>
      <c r="G2371" s="32" t="s">
        <v>52</v>
      </c>
      <c r="H2371" s="32" t="s">
        <v>5089</v>
      </c>
      <c r="I2371" s="32" t="s">
        <v>39</v>
      </c>
      <c r="J2371" s="32" t="s">
        <v>53</v>
      </c>
      <c r="K2371" s="32" t="s">
        <v>41</v>
      </c>
    </row>
    <row r="2372" spans="1:11" hidden="1" x14ac:dyDescent="0.3">
      <c r="A2372" s="39">
        <v>46147.646932870368</v>
      </c>
      <c r="B2372" s="32">
        <v>4130263118</v>
      </c>
      <c r="C2372" s="32" t="s">
        <v>48</v>
      </c>
      <c r="D2372" s="32">
        <v>4430265054</v>
      </c>
      <c r="E2372" s="32">
        <v>370</v>
      </c>
      <c r="F2372" s="32">
        <v>369</v>
      </c>
      <c r="G2372" s="32" t="s">
        <v>38</v>
      </c>
      <c r="H2372" s="32" t="s">
        <v>5090</v>
      </c>
      <c r="I2372" s="32" t="s">
        <v>39</v>
      </c>
      <c r="J2372" s="32" t="s">
        <v>40</v>
      </c>
      <c r="K2372" s="32" t="s">
        <v>41</v>
      </c>
    </row>
    <row r="2373" spans="1:11" hidden="1" x14ac:dyDescent="0.3">
      <c r="A2373" s="39">
        <v>46147.643206018518</v>
      </c>
      <c r="B2373" s="32">
        <v>11925458663</v>
      </c>
      <c r="C2373" s="32" t="s">
        <v>43</v>
      </c>
      <c r="D2373" s="32">
        <v>4430265054</v>
      </c>
      <c r="E2373" s="32">
        <v>2118</v>
      </c>
      <c r="F2373" s="32">
        <v>2106</v>
      </c>
      <c r="G2373" s="32" t="s">
        <v>38</v>
      </c>
      <c r="H2373" s="32" t="s">
        <v>5091</v>
      </c>
      <c r="I2373" s="32" t="s">
        <v>39</v>
      </c>
      <c r="J2373" s="32" t="s">
        <v>40</v>
      </c>
      <c r="K2373" s="32" t="s">
        <v>41</v>
      </c>
    </row>
    <row r="2374" spans="1:11" hidden="1" x14ac:dyDescent="0.3">
      <c r="A2374" s="39">
        <v>46147.632326388892</v>
      </c>
      <c r="B2374" s="32" t="s">
        <v>54</v>
      </c>
      <c r="C2374" s="32">
        <v>98999730740</v>
      </c>
      <c r="E2374" s="32">
        <v>24</v>
      </c>
      <c r="F2374" s="32">
        <v>0</v>
      </c>
      <c r="G2374" s="32" t="s">
        <v>47</v>
      </c>
      <c r="H2374" s="32" t="s">
        <v>5092</v>
      </c>
      <c r="I2374" s="32" t="s">
        <v>46</v>
      </c>
      <c r="J2374" s="32" t="s">
        <v>55</v>
      </c>
    </row>
    <row r="2375" spans="1:11" hidden="1" x14ac:dyDescent="0.3">
      <c r="A2375" s="39">
        <v>46147.630428240744</v>
      </c>
      <c r="B2375" s="32" t="s">
        <v>54</v>
      </c>
      <c r="C2375" s="32">
        <v>1132550555</v>
      </c>
      <c r="E2375" s="32">
        <v>10</v>
      </c>
      <c r="F2375" s="32">
        <v>4</v>
      </c>
      <c r="G2375" s="32" t="s">
        <v>38</v>
      </c>
      <c r="H2375" s="32" t="s">
        <v>5093</v>
      </c>
      <c r="I2375" s="32" t="s">
        <v>46</v>
      </c>
      <c r="J2375" s="32" t="s">
        <v>55</v>
      </c>
    </row>
    <row r="2376" spans="1:11" hidden="1" x14ac:dyDescent="0.3">
      <c r="A2376" s="39">
        <v>46147.629548611112</v>
      </c>
      <c r="B2376" s="32" t="s">
        <v>54</v>
      </c>
      <c r="C2376" s="32">
        <v>41988830067</v>
      </c>
      <c r="E2376" s="32">
        <v>39</v>
      </c>
      <c r="F2376" s="32">
        <v>0</v>
      </c>
      <c r="G2376" s="32" t="s">
        <v>47</v>
      </c>
      <c r="H2376" s="32" t="s">
        <v>5094</v>
      </c>
      <c r="I2376" s="32" t="s">
        <v>46</v>
      </c>
      <c r="J2376" s="32" t="s">
        <v>55</v>
      </c>
    </row>
    <row r="2377" spans="1:11" hidden="1" x14ac:dyDescent="0.3">
      <c r="A2377" s="39">
        <v>46147.629247685189</v>
      </c>
      <c r="B2377" s="32" t="s">
        <v>37</v>
      </c>
      <c r="C2377" s="32">
        <v>4330332823</v>
      </c>
      <c r="E2377" s="32">
        <v>1526</v>
      </c>
      <c r="F2377" s="32">
        <v>1508</v>
      </c>
      <c r="G2377" s="32" t="s">
        <v>38</v>
      </c>
      <c r="H2377" s="32" t="s">
        <v>5095</v>
      </c>
      <c r="I2377" s="32" t="s">
        <v>46</v>
      </c>
      <c r="J2377" s="32" t="s">
        <v>40</v>
      </c>
    </row>
    <row r="2378" spans="1:11" hidden="1" x14ac:dyDescent="0.3">
      <c r="A2378" s="39">
        <v>46147.629201388889</v>
      </c>
      <c r="B2378" s="32" t="s">
        <v>37</v>
      </c>
      <c r="C2378" s="32">
        <v>4330332823</v>
      </c>
      <c r="E2378" s="32">
        <v>0</v>
      </c>
      <c r="F2378" s="32">
        <v>0</v>
      </c>
      <c r="G2378" s="32" t="s">
        <v>47</v>
      </c>
      <c r="H2378" s="32" t="s">
        <v>5096</v>
      </c>
      <c r="I2378" s="32" t="s">
        <v>46</v>
      </c>
      <c r="J2378" s="32" t="s">
        <v>40</v>
      </c>
    </row>
    <row r="2379" spans="1:11" hidden="1" x14ac:dyDescent="0.3">
      <c r="A2379" s="39">
        <v>46147.629143518519</v>
      </c>
      <c r="B2379" s="32">
        <v>41999865917</v>
      </c>
      <c r="C2379" s="32" t="s">
        <v>48</v>
      </c>
      <c r="D2379" s="32">
        <v>4431268225</v>
      </c>
      <c r="E2379" s="32">
        <v>598</v>
      </c>
      <c r="F2379" s="32">
        <v>539</v>
      </c>
      <c r="G2379" s="32" t="s">
        <v>38</v>
      </c>
      <c r="H2379" s="32" t="s">
        <v>5097</v>
      </c>
      <c r="I2379" s="32" t="s">
        <v>39</v>
      </c>
      <c r="J2379" s="32" t="s">
        <v>40</v>
      </c>
      <c r="K2379" s="32" t="s">
        <v>41</v>
      </c>
    </row>
    <row r="2380" spans="1:11" hidden="1" x14ac:dyDescent="0.3">
      <c r="A2380" s="39">
        <v>46147.628136574072</v>
      </c>
      <c r="B2380" s="32" t="s">
        <v>54</v>
      </c>
      <c r="C2380" s="32">
        <v>71992624323</v>
      </c>
      <c r="E2380" s="32">
        <v>6</v>
      </c>
      <c r="F2380" s="32">
        <v>2</v>
      </c>
      <c r="G2380" s="32" t="s">
        <v>38</v>
      </c>
      <c r="H2380" s="32" t="s">
        <v>5098</v>
      </c>
      <c r="I2380" s="32" t="s">
        <v>46</v>
      </c>
      <c r="J2380" s="32" t="s">
        <v>55</v>
      </c>
    </row>
    <row r="2381" spans="1:11" hidden="1" x14ac:dyDescent="0.3">
      <c r="A2381" s="39">
        <v>46147.62703703704</v>
      </c>
      <c r="B2381" s="32" t="s">
        <v>54</v>
      </c>
      <c r="C2381" s="32">
        <v>43991933575</v>
      </c>
      <c r="E2381" s="32">
        <v>8</v>
      </c>
      <c r="F2381" s="32">
        <v>3</v>
      </c>
      <c r="G2381" s="32" t="s">
        <v>38</v>
      </c>
      <c r="H2381" s="32" t="s">
        <v>5099</v>
      </c>
      <c r="I2381" s="32" t="s">
        <v>46</v>
      </c>
      <c r="J2381" s="32" t="s">
        <v>55</v>
      </c>
    </row>
    <row r="2382" spans="1:11" hidden="1" x14ac:dyDescent="0.3">
      <c r="A2382" s="39">
        <v>46147.625960648147</v>
      </c>
      <c r="B2382" s="32" t="s">
        <v>54</v>
      </c>
      <c r="C2382" s="32">
        <v>44999651005</v>
      </c>
      <c r="E2382" s="32">
        <v>0</v>
      </c>
      <c r="F2382" s="32">
        <v>0</v>
      </c>
      <c r="G2382" s="32" t="s">
        <v>47</v>
      </c>
      <c r="H2382" s="32" t="s">
        <v>5100</v>
      </c>
      <c r="I2382" s="32" t="s">
        <v>46</v>
      </c>
      <c r="J2382" s="32" t="s">
        <v>55</v>
      </c>
    </row>
    <row r="2383" spans="1:11" hidden="1" x14ac:dyDescent="0.3">
      <c r="A2383" s="39">
        <v>46147.625844907408</v>
      </c>
      <c r="B2383" s="32">
        <v>4436372125</v>
      </c>
      <c r="C2383" s="32" t="s">
        <v>44</v>
      </c>
      <c r="D2383" s="32">
        <v>4430265054</v>
      </c>
      <c r="E2383" s="32">
        <v>867</v>
      </c>
      <c r="F2383" s="32">
        <v>844</v>
      </c>
      <c r="G2383" s="32" t="s">
        <v>38</v>
      </c>
      <c r="H2383" s="32" t="s">
        <v>5101</v>
      </c>
      <c r="I2383" s="32" t="s">
        <v>39</v>
      </c>
      <c r="J2383" s="32" t="s">
        <v>40</v>
      </c>
      <c r="K2383" s="32" t="s">
        <v>41</v>
      </c>
    </row>
    <row r="2384" spans="1:11" hidden="1" x14ac:dyDescent="0.3">
      <c r="A2384" s="39">
        <v>46147.624641203707</v>
      </c>
      <c r="B2384" s="32" t="s">
        <v>54</v>
      </c>
      <c r="C2384" s="32">
        <v>45999762878</v>
      </c>
      <c r="E2384" s="32">
        <v>1</v>
      </c>
      <c r="F2384" s="32">
        <v>0</v>
      </c>
      <c r="G2384" s="32" t="s">
        <v>47</v>
      </c>
      <c r="H2384" s="32" t="s">
        <v>5102</v>
      </c>
      <c r="I2384" s="32" t="s">
        <v>46</v>
      </c>
      <c r="J2384" s="32" t="s">
        <v>55</v>
      </c>
    </row>
    <row r="2385" spans="1:12" hidden="1" x14ac:dyDescent="0.3">
      <c r="A2385" s="39">
        <v>46147.623622685183</v>
      </c>
      <c r="B2385" s="32" t="s">
        <v>54</v>
      </c>
      <c r="C2385" s="32">
        <v>87999208887</v>
      </c>
      <c r="E2385" s="32">
        <v>25</v>
      </c>
      <c r="F2385" s="32">
        <v>0</v>
      </c>
      <c r="G2385" s="32" t="s">
        <v>47</v>
      </c>
      <c r="H2385" s="32" t="s">
        <v>5103</v>
      </c>
      <c r="I2385" s="32" t="s">
        <v>46</v>
      </c>
      <c r="J2385" s="32" t="s">
        <v>55</v>
      </c>
    </row>
    <row r="2386" spans="1:12" hidden="1" x14ac:dyDescent="0.3">
      <c r="A2386" s="39">
        <v>46147.623194444444</v>
      </c>
      <c r="B2386" s="32">
        <v>11925458663</v>
      </c>
      <c r="C2386" s="32" t="s">
        <v>43</v>
      </c>
      <c r="D2386" s="32">
        <v>4430265054</v>
      </c>
      <c r="E2386" s="32">
        <v>602</v>
      </c>
      <c r="F2386" s="32">
        <v>593</v>
      </c>
      <c r="G2386" s="32" t="s">
        <v>38</v>
      </c>
      <c r="H2386" s="32" t="s">
        <v>5104</v>
      </c>
      <c r="I2386" s="32" t="s">
        <v>39</v>
      </c>
      <c r="J2386" s="32" t="s">
        <v>40</v>
      </c>
      <c r="K2386" s="32" t="s">
        <v>41</v>
      </c>
    </row>
    <row r="2387" spans="1:12" hidden="1" x14ac:dyDescent="0.3">
      <c r="A2387" s="39">
        <v>46147.622453703705</v>
      </c>
      <c r="B2387" s="32" t="s">
        <v>54</v>
      </c>
      <c r="C2387" s="32">
        <v>19971108892</v>
      </c>
      <c r="E2387" s="32">
        <v>40</v>
      </c>
      <c r="F2387" s="32">
        <v>0</v>
      </c>
      <c r="G2387" s="32" t="s">
        <v>47</v>
      </c>
      <c r="H2387" s="32" t="s">
        <v>5105</v>
      </c>
      <c r="I2387" s="32" t="s">
        <v>46</v>
      </c>
      <c r="J2387" s="32" t="s">
        <v>55</v>
      </c>
    </row>
    <row r="2388" spans="1:12" hidden="1" x14ac:dyDescent="0.3">
      <c r="A2388" s="39">
        <v>46147.621840277781</v>
      </c>
      <c r="B2388" s="32" t="s">
        <v>54</v>
      </c>
      <c r="C2388" s="32">
        <v>69992823865</v>
      </c>
      <c r="E2388" s="32">
        <v>16</v>
      </c>
      <c r="F2388" s="32">
        <v>6</v>
      </c>
      <c r="G2388" s="32" t="s">
        <v>38</v>
      </c>
      <c r="H2388" s="32" t="s">
        <v>5106</v>
      </c>
      <c r="I2388" s="32" t="s">
        <v>46</v>
      </c>
      <c r="J2388" s="32" t="s">
        <v>55</v>
      </c>
    </row>
    <row r="2389" spans="1:12" hidden="1" x14ac:dyDescent="0.3">
      <c r="A2389" s="39">
        <v>46147.621527777781</v>
      </c>
      <c r="B2389" s="32" t="s">
        <v>43</v>
      </c>
      <c r="C2389" s="32">
        <v>11925458663</v>
      </c>
      <c r="E2389" s="32">
        <v>2</v>
      </c>
      <c r="F2389" s="32">
        <v>0</v>
      </c>
      <c r="G2389" s="32" t="s">
        <v>47</v>
      </c>
      <c r="H2389" s="32" t="s">
        <v>5107</v>
      </c>
      <c r="I2389" s="32" t="s">
        <v>46</v>
      </c>
      <c r="J2389" s="32" t="s">
        <v>40</v>
      </c>
    </row>
    <row r="2390" spans="1:12" hidden="1" x14ac:dyDescent="0.3">
      <c r="A2390" s="39">
        <v>46147.618784722225</v>
      </c>
      <c r="B2390" s="32">
        <v>44997311122</v>
      </c>
      <c r="C2390" s="32" t="s">
        <v>45</v>
      </c>
      <c r="D2390" s="32">
        <v>4430265054</v>
      </c>
      <c r="E2390" s="32">
        <v>2770</v>
      </c>
      <c r="F2390" s="32">
        <v>2750</v>
      </c>
      <c r="G2390" s="32" t="s">
        <v>38</v>
      </c>
      <c r="H2390" s="32" t="s">
        <v>5108</v>
      </c>
      <c r="I2390" s="32" t="s">
        <v>39</v>
      </c>
      <c r="J2390" s="32" t="s">
        <v>40</v>
      </c>
      <c r="K2390" s="32" t="s">
        <v>41</v>
      </c>
    </row>
    <row r="2391" spans="1:12" hidden="1" x14ac:dyDescent="0.3">
      <c r="A2391" s="39">
        <v>46147.618703703702</v>
      </c>
      <c r="B2391" s="32">
        <v>67996356530</v>
      </c>
      <c r="C2391" s="32" t="s">
        <v>44</v>
      </c>
      <c r="D2391" s="32">
        <v>4430265054</v>
      </c>
      <c r="E2391" s="32">
        <v>273</v>
      </c>
      <c r="F2391" s="32">
        <v>232</v>
      </c>
      <c r="G2391" s="32" t="s">
        <v>38</v>
      </c>
      <c r="H2391" s="32" t="s">
        <v>5109</v>
      </c>
      <c r="I2391" s="32" t="s">
        <v>39</v>
      </c>
      <c r="J2391" s="32" t="s">
        <v>40</v>
      </c>
      <c r="K2391" s="32" t="s">
        <v>41</v>
      </c>
      <c r="L2391" s="32">
        <v>5</v>
      </c>
    </row>
    <row r="2392" spans="1:12" hidden="1" x14ac:dyDescent="0.3">
      <c r="A2392" s="39">
        <v>46147.618356481478</v>
      </c>
      <c r="B2392" s="32">
        <v>4330332823</v>
      </c>
      <c r="C2392" s="32" t="s">
        <v>37</v>
      </c>
      <c r="D2392" s="32">
        <v>4430265054</v>
      </c>
      <c r="E2392" s="32">
        <v>673</v>
      </c>
      <c r="F2392" s="32">
        <v>634</v>
      </c>
      <c r="G2392" s="32" t="s">
        <v>38</v>
      </c>
      <c r="H2392" s="32" t="s">
        <v>5110</v>
      </c>
      <c r="I2392" s="32" t="s">
        <v>39</v>
      </c>
      <c r="J2392" s="32" t="s">
        <v>40</v>
      </c>
      <c r="K2392" s="32" t="s">
        <v>41</v>
      </c>
    </row>
    <row r="2393" spans="1:12" hidden="1" x14ac:dyDescent="0.3">
      <c r="A2393" s="39">
        <v>46147.613946759258</v>
      </c>
      <c r="B2393" s="32">
        <v>44991191299</v>
      </c>
      <c r="C2393" s="32" t="s">
        <v>45</v>
      </c>
      <c r="D2393" s="32">
        <v>4430265054</v>
      </c>
      <c r="E2393" s="32">
        <v>122</v>
      </c>
      <c r="F2393" s="32">
        <v>77</v>
      </c>
      <c r="G2393" s="32" t="s">
        <v>38</v>
      </c>
      <c r="H2393" s="32" t="s">
        <v>5111</v>
      </c>
      <c r="I2393" s="32" t="s">
        <v>39</v>
      </c>
      <c r="J2393" s="32" t="s">
        <v>40</v>
      </c>
      <c r="K2393" s="32" t="s">
        <v>41</v>
      </c>
    </row>
    <row r="2394" spans="1:12" hidden="1" x14ac:dyDescent="0.3">
      <c r="A2394" s="39">
        <v>46147.611712962964</v>
      </c>
      <c r="B2394" s="32">
        <v>44991191299</v>
      </c>
      <c r="C2394" s="32">
        <v>4430265054</v>
      </c>
      <c r="D2394" s="32">
        <v>4430265054</v>
      </c>
      <c r="E2394" s="32">
        <v>151</v>
      </c>
      <c r="F2394" s="32">
        <v>151</v>
      </c>
      <c r="G2394" s="32" t="s">
        <v>52</v>
      </c>
      <c r="H2394" s="32" t="s">
        <v>5112</v>
      </c>
      <c r="I2394" s="32" t="s">
        <v>39</v>
      </c>
      <c r="J2394" s="32" t="s">
        <v>53</v>
      </c>
      <c r="K2394" s="32" t="s">
        <v>41</v>
      </c>
    </row>
    <row r="2395" spans="1:12" hidden="1" x14ac:dyDescent="0.3">
      <c r="A2395" s="39">
        <v>46147.610497685186</v>
      </c>
      <c r="B2395" s="32" t="s">
        <v>48</v>
      </c>
      <c r="C2395" s="32">
        <v>41996081809</v>
      </c>
      <c r="E2395" s="32">
        <v>505</v>
      </c>
      <c r="F2395" s="32">
        <v>488</v>
      </c>
      <c r="G2395" s="32" t="s">
        <v>38</v>
      </c>
      <c r="H2395" s="32" t="s">
        <v>5113</v>
      </c>
      <c r="I2395" s="32" t="s">
        <v>46</v>
      </c>
      <c r="J2395" s="32" t="s">
        <v>40</v>
      </c>
      <c r="L2395" s="32">
        <v>5</v>
      </c>
    </row>
    <row r="2396" spans="1:12" hidden="1" x14ac:dyDescent="0.3">
      <c r="A2396" s="39">
        <v>46147.608749999999</v>
      </c>
      <c r="B2396" s="32">
        <v>44997650834</v>
      </c>
      <c r="C2396" s="32" t="s">
        <v>43</v>
      </c>
      <c r="D2396" s="32">
        <v>4430265054</v>
      </c>
      <c r="E2396" s="32">
        <v>529</v>
      </c>
      <c r="F2396" s="32">
        <v>281</v>
      </c>
      <c r="G2396" s="32" t="s">
        <v>38</v>
      </c>
      <c r="H2396" s="32" t="s">
        <v>5114</v>
      </c>
      <c r="I2396" s="32" t="s">
        <v>39</v>
      </c>
      <c r="J2396" s="32" t="s">
        <v>40</v>
      </c>
      <c r="K2396" s="32" t="s">
        <v>41</v>
      </c>
      <c r="L2396" s="32">
        <v>5</v>
      </c>
    </row>
    <row r="2397" spans="1:12" hidden="1" x14ac:dyDescent="0.3">
      <c r="A2397" s="39">
        <v>46147.608738425923</v>
      </c>
      <c r="B2397" s="32">
        <v>6234347959</v>
      </c>
      <c r="C2397" s="32">
        <v>4430265054</v>
      </c>
      <c r="D2397" s="32">
        <v>4430265054</v>
      </c>
      <c r="E2397" s="32">
        <v>190</v>
      </c>
      <c r="F2397" s="32">
        <v>190</v>
      </c>
      <c r="G2397" s="32" t="s">
        <v>52</v>
      </c>
      <c r="H2397" s="32" t="s">
        <v>5115</v>
      </c>
      <c r="I2397" s="32" t="s">
        <v>39</v>
      </c>
      <c r="J2397" s="32" t="s">
        <v>53</v>
      </c>
      <c r="K2397" s="32" t="s">
        <v>41</v>
      </c>
    </row>
    <row r="2398" spans="1:12" hidden="1" x14ac:dyDescent="0.3">
      <c r="A2398" s="39">
        <v>46147.604895833334</v>
      </c>
      <c r="B2398" s="32">
        <v>41996081809</v>
      </c>
      <c r="C2398" s="32" t="s">
        <v>48</v>
      </c>
      <c r="D2398" s="32">
        <v>4430265054</v>
      </c>
      <c r="E2398" s="32">
        <v>501</v>
      </c>
      <c r="F2398" s="32">
        <v>237</v>
      </c>
      <c r="G2398" s="32" t="s">
        <v>38</v>
      </c>
      <c r="H2398" s="32" t="s">
        <v>5116</v>
      </c>
      <c r="I2398" s="32" t="s">
        <v>39</v>
      </c>
      <c r="J2398" s="32" t="s">
        <v>40</v>
      </c>
      <c r="K2398" s="32" t="s">
        <v>41</v>
      </c>
    </row>
    <row r="2399" spans="1:12" hidden="1" x14ac:dyDescent="0.3">
      <c r="A2399" s="39">
        <v>46147.604872685188</v>
      </c>
      <c r="B2399" s="32">
        <v>4330261969</v>
      </c>
      <c r="C2399" s="32" t="s">
        <v>48</v>
      </c>
      <c r="D2399" s="32">
        <v>4430265054</v>
      </c>
      <c r="E2399" s="32">
        <v>264</v>
      </c>
      <c r="F2399" s="32">
        <v>92</v>
      </c>
      <c r="G2399" s="32" t="s">
        <v>38</v>
      </c>
      <c r="H2399" s="32" t="s">
        <v>5117</v>
      </c>
      <c r="I2399" s="32" t="s">
        <v>39</v>
      </c>
      <c r="J2399" s="32" t="s">
        <v>40</v>
      </c>
      <c r="K2399" s="32" t="s">
        <v>41</v>
      </c>
    </row>
    <row r="2400" spans="1:12" hidden="1" x14ac:dyDescent="0.3">
      <c r="A2400" s="39">
        <v>46147.602268518516</v>
      </c>
      <c r="B2400" s="32">
        <v>18996339700</v>
      </c>
      <c r="C2400" s="32" t="s">
        <v>43</v>
      </c>
      <c r="D2400" s="32">
        <v>4430265054</v>
      </c>
      <c r="E2400" s="32">
        <v>777</v>
      </c>
      <c r="F2400" s="32">
        <v>760</v>
      </c>
      <c r="G2400" s="32" t="s">
        <v>38</v>
      </c>
      <c r="H2400" s="32" t="s">
        <v>5118</v>
      </c>
      <c r="I2400" s="32" t="s">
        <v>39</v>
      </c>
      <c r="J2400" s="32" t="s">
        <v>40</v>
      </c>
      <c r="K2400" s="32" t="s">
        <v>41</v>
      </c>
    </row>
    <row r="2401" spans="1:12" hidden="1" x14ac:dyDescent="0.3">
      <c r="A2401" s="39">
        <v>46147.599699074075</v>
      </c>
      <c r="B2401" s="32">
        <v>41987771666</v>
      </c>
      <c r="C2401" s="32" t="s">
        <v>44</v>
      </c>
      <c r="D2401" s="32">
        <v>4430265054</v>
      </c>
      <c r="E2401" s="32">
        <v>1376</v>
      </c>
      <c r="F2401" s="32">
        <v>1340</v>
      </c>
      <c r="G2401" s="32" t="s">
        <v>38</v>
      </c>
      <c r="H2401" s="32" t="s">
        <v>5119</v>
      </c>
      <c r="I2401" s="32" t="s">
        <v>39</v>
      </c>
      <c r="J2401" s="32" t="s">
        <v>40</v>
      </c>
      <c r="K2401" s="32" t="s">
        <v>41</v>
      </c>
    </row>
    <row r="2402" spans="1:12" hidden="1" x14ac:dyDescent="0.3">
      <c r="A2402" s="39">
        <v>46147.599490740744</v>
      </c>
      <c r="B2402" s="32">
        <v>4330333558</v>
      </c>
      <c r="C2402" s="32" t="s">
        <v>45</v>
      </c>
      <c r="D2402" s="32">
        <v>4430265054</v>
      </c>
      <c r="E2402" s="32">
        <v>1274</v>
      </c>
      <c r="F2402" s="32">
        <v>1235</v>
      </c>
      <c r="G2402" s="32" t="s">
        <v>38</v>
      </c>
      <c r="H2402" s="32" t="s">
        <v>5120</v>
      </c>
      <c r="I2402" s="32" t="s">
        <v>39</v>
      </c>
      <c r="J2402" s="32" t="s">
        <v>40</v>
      </c>
      <c r="K2402" s="32" t="s">
        <v>41</v>
      </c>
    </row>
    <row r="2403" spans="1:12" hidden="1" x14ac:dyDescent="0.3">
      <c r="A2403" s="39">
        <v>46147.59474537037</v>
      </c>
      <c r="B2403" s="32">
        <v>6234347959</v>
      </c>
      <c r="C2403" s="32">
        <v>4430265054</v>
      </c>
      <c r="D2403" s="32">
        <v>4430265054</v>
      </c>
      <c r="E2403" s="32">
        <v>242</v>
      </c>
      <c r="F2403" s="32">
        <v>241</v>
      </c>
      <c r="G2403" s="32" t="s">
        <v>52</v>
      </c>
      <c r="H2403" s="32" t="s">
        <v>5121</v>
      </c>
      <c r="I2403" s="32" t="s">
        <v>39</v>
      </c>
      <c r="J2403" s="32" t="s">
        <v>53</v>
      </c>
      <c r="K2403" s="32" t="s">
        <v>41</v>
      </c>
    </row>
    <row r="2404" spans="1:12" hidden="1" x14ac:dyDescent="0.3">
      <c r="A2404" s="39">
        <v>46147.59412037037</v>
      </c>
      <c r="B2404" s="32">
        <v>2222100098</v>
      </c>
      <c r="C2404" s="32" t="s">
        <v>45</v>
      </c>
      <c r="D2404" s="32">
        <v>4430265054</v>
      </c>
      <c r="E2404" s="32">
        <v>324</v>
      </c>
      <c r="F2404" s="32">
        <v>283</v>
      </c>
      <c r="G2404" s="32" t="s">
        <v>38</v>
      </c>
      <c r="H2404" s="32" t="s">
        <v>5122</v>
      </c>
      <c r="I2404" s="32" t="s">
        <v>39</v>
      </c>
      <c r="J2404" s="32" t="s">
        <v>40</v>
      </c>
      <c r="K2404" s="32" t="s">
        <v>41</v>
      </c>
    </row>
    <row r="2405" spans="1:12" hidden="1" x14ac:dyDescent="0.3">
      <c r="A2405" s="39">
        <v>46147.593599537038</v>
      </c>
      <c r="B2405" s="32">
        <v>4434221675</v>
      </c>
      <c r="C2405" s="32" t="s">
        <v>44</v>
      </c>
      <c r="D2405" s="32">
        <v>4430265054</v>
      </c>
      <c r="E2405" s="32">
        <v>565</v>
      </c>
      <c r="F2405" s="32">
        <v>534</v>
      </c>
      <c r="G2405" s="32" t="s">
        <v>38</v>
      </c>
      <c r="H2405" s="32" t="s">
        <v>5123</v>
      </c>
      <c r="I2405" s="32" t="s">
        <v>39</v>
      </c>
      <c r="J2405" s="32" t="s">
        <v>40</v>
      </c>
      <c r="K2405" s="32" t="s">
        <v>41</v>
      </c>
    </row>
    <row r="2406" spans="1:12" hidden="1" x14ac:dyDescent="0.3">
      <c r="A2406" s="39">
        <v>46147.592094907406</v>
      </c>
      <c r="B2406" s="32">
        <v>44998640313</v>
      </c>
      <c r="C2406" s="32" t="s">
        <v>37</v>
      </c>
      <c r="D2406" s="32">
        <v>4430265054</v>
      </c>
      <c r="E2406" s="32">
        <v>2035</v>
      </c>
      <c r="F2406" s="32">
        <v>2012</v>
      </c>
      <c r="G2406" s="32" t="s">
        <v>38</v>
      </c>
      <c r="H2406" s="32" t="s">
        <v>5124</v>
      </c>
      <c r="I2406" s="32" t="s">
        <v>39</v>
      </c>
      <c r="J2406" s="32" t="s">
        <v>40</v>
      </c>
      <c r="K2406" s="32" t="s">
        <v>41</v>
      </c>
      <c r="L2406" s="32">
        <v>5</v>
      </c>
    </row>
    <row r="2407" spans="1:12" hidden="1" x14ac:dyDescent="0.3">
      <c r="A2407" s="39">
        <v>46147.591921296298</v>
      </c>
      <c r="B2407" s="32">
        <v>4434231198</v>
      </c>
      <c r="C2407" s="32">
        <v>4430265054</v>
      </c>
      <c r="D2407" s="32">
        <v>4430265054</v>
      </c>
      <c r="E2407" s="32">
        <v>1</v>
      </c>
      <c r="F2407" s="32">
        <v>0</v>
      </c>
      <c r="G2407" s="32" t="s">
        <v>52</v>
      </c>
      <c r="H2407" s="32" t="s">
        <v>5125</v>
      </c>
      <c r="I2407" s="32" t="s">
        <v>39</v>
      </c>
      <c r="J2407" s="32" t="s">
        <v>53</v>
      </c>
    </row>
    <row r="2408" spans="1:12" hidden="1" x14ac:dyDescent="0.3">
      <c r="A2408" s="39">
        <v>46147.590277777781</v>
      </c>
      <c r="B2408" s="32">
        <v>4121418164</v>
      </c>
      <c r="C2408" s="32" t="s">
        <v>44</v>
      </c>
      <c r="D2408" s="32">
        <v>4531273176</v>
      </c>
      <c r="E2408" s="32">
        <v>47</v>
      </c>
      <c r="F2408" s="32">
        <v>5</v>
      </c>
      <c r="G2408" s="32" t="s">
        <v>38</v>
      </c>
      <c r="H2408" s="32" t="s">
        <v>5126</v>
      </c>
      <c r="I2408" s="32" t="s">
        <v>39</v>
      </c>
      <c r="J2408" s="32" t="s">
        <v>40</v>
      </c>
      <c r="K2408" s="32" t="s">
        <v>41</v>
      </c>
    </row>
    <row r="2409" spans="1:12" hidden="1" x14ac:dyDescent="0.3">
      <c r="A2409" s="39">
        <v>46147.582789351851</v>
      </c>
      <c r="B2409" s="32">
        <v>4432677399</v>
      </c>
      <c r="C2409" s="32" t="s">
        <v>43</v>
      </c>
      <c r="D2409" s="32">
        <v>4430265054</v>
      </c>
      <c r="E2409" s="32">
        <v>748</v>
      </c>
      <c r="F2409" s="32">
        <v>697</v>
      </c>
      <c r="G2409" s="32" t="s">
        <v>38</v>
      </c>
      <c r="H2409" s="32" t="s">
        <v>5127</v>
      </c>
      <c r="I2409" s="32" t="s">
        <v>39</v>
      </c>
      <c r="J2409" s="32" t="s">
        <v>40</v>
      </c>
      <c r="K2409" s="32" t="s">
        <v>41</v>
      </c>
    </row>
    <row r="2410" spans="1:12" hidden="1" x14ac:dyDescent="0.3">
      <c r="A2410" s="39">
        <v>46147.582442129627</v>
      </c>
      <c r="B2410" s="32" t="s">
        <v>54</v>
      </c>
      <c r="C2410" s="32">
        <v>66996414455</v>
      </c>
      <c r="E2410" s="32">
        <v>18</v>
      </c>
      <c r="F2410" s="32">
        <v>0</v>
      </c>
      <c r="G2410" s="32" t="s">
        <v>47</v>
      </c>
      <c r="H2410" s="32" t="s">
        <v>5128</v>
      </c>
      <c r="I2410" s="32" t="s">
        <v>46</v>
      </c>
      <c r="J2410" s="32" t="s">
        <v>55</v>
      </c>
    </row>
    <row r="2411" spans="1:12" hidden="1" x14ac:dyDescent="0.3">
      <c r="A2411" s="39">
        <v>46147.582152777781</v>
      </c>
      <c r="B2411" s="32">
        <v>44998640313</v>
      </c>
      <c r="C2411" s="32" t="s">
        <v>45</v>
      </c>
      <c r="D2411" s="32">
        <v>4430265054</v>
      </c>
      <c r="E2411" s="32">
        <v>504</v>
      </c>
      <c r="F2411" s="32">
        <v>440</v>
      </c>
      <c r="G2411" s="32" t="s">
        <v>38</v>
      </c>
      <c r="H2411" s="32" t="s">
        <v>5129</v>
      </c>
      <c r="I2411" s="32" t="s">
        <v>39</v>
      </c>
      <c r="J2411" s="32" t="s">
        <v>40</v>
      </c>
      <c r="K2411" s="32" t="s">
        <v>41</v>
      </c>
      <c r="L2411" s="32">
        <v>5</v>
      </c>
    </row>
    <row r="2412" spans="1:12" hidden="1" x14ac:dyDescent="0.3">
      <c r="A2412" s="39">
        <v>46147.581516203703</v>
      </c>
      <c r="B2412" s="32">
        <v>44998046835</v>
      </c>
      <c r="C2412" s="32">
        <v>4430265054</v>
      </c>
      <c r="D2412" s="32">
        <v>4430265054</v>
      </c>
      <c r="E2412" s="32">
        <v>9</v>
      </c>
      <c r="F2412" s="32">
        <v>9</v>
      </c>
      <c r="G2412" s="32" t="s">
        <v>52</v>
      </c>
      <c r="H2412" s="32" t="s">
        <v>5130</v>
      </c>
      <c r="I2412" s="32" t="s">
        <v>39</v>
      </c>
      <c r="J2412" s="32" t="s">
        <v>53</v>
      </c>
    </row>
    <row r="2413" spans="1:12" hidden="1" x14ac:dyDescent="0.3">
      <c r="A2413" s="39">
        <v>46147.580266203702</v>
      </c>
      <c r="B2413" s="32" t="s">
        <v>54</v>
      </c>
      <c r="C2413" s="32">
        <v>91983743938</v>
      </c>
      <c r="E2413" s="32">
        <v>19</v>
      </c>
      <c r="F2413" s="32">
        <v>4</v>
      </c>
      <c r="G2413" s="32" t="s">
        <v>38</v>
      </c>
      <c r="H2413" s="32" t="s">
        <v>5131</v>
      </c>
      <c r="I2413" s="32" t="s">
        <v>46</v>
      </c>
      <c r="J2413" s="32" t="s">
        <v>55</v>
      </c>
    </row>
    <row r="2414" spans="1:12" hidden="1" x14ac:dyDescent="0.3">
      <c r="A2414" s="39">
        <v>46147.578888888886</v>
      </c>
      <c r="B2414" s="32" t="s">
        <v>54</v>
      </c>
      <c r="C2414" s="32">
        <v>6232517637</v>
      </c>
      <c r="E2414" s="32">
        <v>46</v>
      </c>
      <c r="F2414" s="32">
        <v>0</v>
      </c>
      <c r="G2414" s="32" t="s">
        <v>47</v>
      </c>
      <c r="H2414" s="32" t="s">
        <v>5132</v>
      </c>
      <c r="I2414" s="32" t="s">
        <v>46</v>
      </c>
      <c r="J2414" s="32" t="s">
        <v>55</v>
      </c>
    </row>
    <row r="2415" spans="1:12" hidden="1" x14ac:dyDescent="0.3">
      <c r="A2415" s="39">
        <v>46147.578287037039</v>
      </c>
      <c r="B2415" s="32" t="s">
        <v>45</v>
      </c>
      <c r="C2415" s="32">
        <v>44998582382</v>
      </c>
      <c r="E2415" s="32">
        <v>70</v>
      </c>
      <c r="F2415" s="32">
        <v>31</v>
      </c>
      <c r="G2415" s="32" t="s">
        <v>38</v>
      </c>
      <c r="H2415" s="32" t="s">
        <v>5133</v>
      </c>
      <c r="I2415" s="32" t="s">
        <v>46</v>
      </c>
      <c r="J2415" s="32" t="s">
        <v>40</v>
      </c>
    </row>
    <row r="2416" spans="1:12" hidden="1" x14ac:dyDescent="0.3">
      <c r="A2416" s="39">
        <v>46147.577291666668</v>
      </c>
      <c r="B2416" s="32" t="s">
        <v>54</v>
      </c>
      <c r="C2416" s="32">
        <v>15991779607</v>
      </c>
      <c r="E2416" s="32">
        <v>25</v>
      </c>
      <c r="F2416" s="32">
        <v>1</v>
      </c>
      <c r="G2416" s="32" t="s">
        <v>38</v>
      </c>
      <c r="H2416" s="32" t="s">
        <v>5134</v>
      </c>
      <c r="I2416" s="32" t="s">
        <v>46</v>
      </c>
      <c r="J2416" s="32" t="s">
        <v>55</v>
      </c>
    </row>
    <row r="2417" spans="1:13" hidden="1" x14ac:dyDescent="0.3">
      <c r="A2417" s="39">
        <v>46147.572696759256</v>
      </c>
      <c r="B2417" s="32">
        <v>44991249108</v>
      </c>
      <c r="C2417" s="32" t="s">
        <v>45</v>
      </c>
      <c r="D2417" s="32">
        <v>4430265054</v>
      </c>
      <c r="E2417" s="32">
        <v>251</v>
      </c>
      <c r="F2417" s="32">
        <v>206</v>
      </c>
      <c r="G2417" s="32" t="s">
        <v>38</v>
      </c>
      <c r="H2417" s="32" t="s">
        <v>5135</v>
      </c>
      <c r="I2417" s="32" t="s">
        <v>39</v>
      </c>
      <c r="J2417" s="32" t="s">
        <v>40</v>
      </c>
      <c r="K2417" s="32" t="s">
        <v>41</v>
      </c>
    </row>
    <row r="2418" spans="1:13" hidden="1" x14ac:dyDescent="0.3">
      <c r="A2418" s="39">
        <v>46147.543553240743</v>
      </c>
      <c r="B2418" s="32">
        <v>1120504310</v>
      </c>
      <c r="C2418" s="32">
        <v>4430265054</v>
      </c>
      <c r="D2418" s="32">
        <v>4430265054</v>
      </c>
      <c r="E2418" s="32">
        <v>16</v>
      </c>
      <c r="F2418" s="32">
        <v>16</v>
      </c>
      <c r="G2418" s="32" t="s">
        <v>52</v>
      </c>
      <c r="H2418" s="32" t="s">
        <v>5136</v>
      </c>
      <c r="I2418" s="32" t="s">
        <v>39</v>
      </c>
      <c r="J2418" s="32" t="s">
        <v>53</v>
      </c>
    </row>
    <row r="2419" spans="1:13" hidden="1" x14ac:dyDescent="0.3">
      <c r="A2419" s="39">
        <v>46147.500925925924</v>
      </c>
      <c r="B2419" s="32">
        <v>44998640313</v>
      </c>
      <c r="C2419" s="32">
        <v>4430265054</v>
      </c>
      <c r="D2419" s="32">
        <v>4430265054</v>
      </c>
      <c r="E2419" s="32">
        <v>13</v>
      </c>
      <c r="F2419" s="32">
        <v>12</v>
      </c>
      <c r="G2419" s="32" t="s">
        <v>52</v>
      </c>
      <c r="H2419" s="32" t="s">
        <v>5137</v>
      </c>
      <c r="I2419" s="32" t="s">
        <v>39</v>
      </c>
      <c r="J2419" s="32" t="s">
        <v>53</v>
      </c>
    </row>
    <row r="2420" spans="1:13" hidden="1" x14ac:dyDescent="0.3">
      <c r="A2420" s="39">
        <v>46147.495416666665</v>
      </c>
      <c r="B2420" s="32" t="s">
        <v>57</v>
      </c>
      <c r="C2420" s="32">
        <v>4131210227</v>
      </c>
      <c r="E2420" s="32">
        <v>72</v>
      </c>
      <c r="F2420" s="32">
        <v>0</v>
      </c>
      <c r="G2420" s="32" t="s">
        <v>47</v>
      </c>
      <c r="H2420" s="32" t="s">
        <v>5138</v>
      </c>
      <c r="I2420" s="32" t="s">
        <v>46</v>
      </c>
      <c r="J2420" s="32" t="s">
        <v>55</v>
      </c>
    </row>
    <row r="2421" spans="1:13" hidden="1" x14ac:dyDescent="0.3">
      <c r="A2421" s="39">
        <v>46147.495185185187</v>
      </c>
      <c r="B2421" s="32" t="s">
        <v>57</v>
      </c>
      <c r="C2421" s="32">
        <v>41996738682</v>
      </c>
      <c r="E2421" s="32">
        <v>14</v>
      </c>
      <c r="F2421" s="32">
        <v>0</v>
      </c>
      <c r="G2421" s="32" t="s">
        <v>47</v>
      </c>
      <c r="H2421" s="32" t="s">
        <v>5139</v>
      </c>
      <c r="I2421" s="32" t="s">
        <v>46</v>
      </c>
      <c r="J2421" s="32" t="s">
        <v>55</v>
      </c>
    </row>
    <row r="2422" spans="1:13" hidden="1" x14ac:dyDescent="0.3">
      <c r="A2422" s="39">
        <v>46147.49355324074</v>
      </c>
      <c r="B2422" s="32">
        <v>6234347959</v>
      </c>
      <c r="C2422" s="32" t="s">
        <v>43</v>
      </c>
      <c r="D2422" s="32">
        <v>4430265054</v>
      </c>
      <c r="E2422" s="32">
        <v>76</v>
      </c>
      <c r="F2422" s="32">
        <v>2</v>
      </c>
      <c r="G2422" s="32" t="s">
        <v>38</v>
      </c>
      <c r="H2422" s="32" t="s">
        <v>5140</v>
      </c>
      <c r="I2422" s="32" t="s">
        <v>39</v>
      </c>
      <c r="J2422" s="32" t="s">
        <v>40</v>
      </c>
      <c r="K2422" s="32" t="s">
        <v>41</v>
      </c>
    </row>
    <row r="2423" spans="1:13" hidden="1" x14ac:dyDescent="0.3">
      <c r="A2423" s="39">
        <v>46147.492743055554</v>
      </c>
      <c r="B2423" s="32" t="s">
        <v>54</v>
      </c>
      <c r="C2423" s="32">
        <v>21993928961</v>
      </c>
      <c r="E2423" s="32">
        <v>10</v>
      </c>
      <c r="F2423" s="32">
        <v>0</v>
      </c>
      <c r="G2423" s="32" t="s">
        <v>47</v>
      </c>
      <c r="H2423" s="32" t="s">
        <v>5141</v>
      </c>
      <c r="I2423" s="32" t="s">
        <v>46</v>
      </c>
      <c r="J2423" s="32" t="s">
        <v>55</v>
      </c>
    </row>
    <row r="2424" spans="1:13" hidden="1" x14ac:dyDescent="0.3">
      <c r="A2424" s="39">
        <v>46147.491979166669</v>
      </c>
      <c r="B2424" s="32">
        <v>1143744993</v>
      </c>
      <c r="C2424" s="32" t="s">
        <v>37</v>
      </c>
      <c r="D2424" s="32">
        <v>4431268225</v>
      </c>
      <c r="E2424" s="32">
        <v>684</v>
      </c>
      <c r="F2424" s="32">
        <v>489</v>
      </c>
      <c r="G2424" s="32" t="s">
        <v>38</v>
      </c>
      <c r="H2424" s="32" t="s">
        <v>5142</v>
      </c>
      <c r="I2424" s="32" t="s">
        <v>39</v>
      </c>
      <c r="J2424" s="32" t="s">
        <v>40</v>
      </c>
      <c r="K2424" s="32" t="s">
        <v>41</v>
      </c>
      <c r="L2424" s="32">
        <v>5</v>
      </c>
    </row>
    <row r="2425" spans="1:13" hidden="1" x14ac:dyDescent="0.3">
      <c r="A2425" s="39">
        <v>46147.490995370368</v>
      </c>
      <c r="B2425" s="32" t="s">
        <v>57</v>
      </c>
      <c r="C2425" s="32">
        <v>41997840159</v>
      </c>
      <c r="E2425" s="32">
        <v>45</v>
      </c>
      <c r="F2425" s="32">
        <v>8</v>
      </c>
      <c r="G2425" s="32" t="s">
        <v>38</v>
      </c>
      <c r="H2425" s="32" t="s">
        <v>5143</v>
      </c>
      <c r="I2425" s="32" t="s">
        <v>46</v>
      </c>
      <c r="J2425" s="32" t="s">
        <v>55</v>
      </c>
    </row>
    <row r="2426" spans="1:13" hidden="1" x14ac:dyDescent="0.3">
      <c r="A2426" s="39">
        <v>46147.489745370367</v>
      </c>
      <c r="B2426" s="32">
        <v>44998636008</v>
      </c>
      <c r="C2426" s="32" t="s">
        <v>43</v>
      </c>
      <c r="D2426" s="32">
        <v>4430265054</v>
      </c>
      <c r="E2426" s="32">
        <v>389</v>
      </c>
      <c r="F2426" s="32">
        <v>173</v>
      </c>
      <c r="G2426" s="32" t="s">
        <v>38</v>
      </c>
      <c r="H2426" s="32" t="s">
        <v>5144</v>
      </c>
      <c r="I2426" s="32" t="s">
        <v>39</v>
      </c>
      <c r="J2426" s="32" t="s">
        <v>40</v>
      </c>
      <c r="K2426" s="32" t="s">
        <v>41</v>
      </c>
    </row>
    <row r="2427" spans="1:13" hidden="1" x14ac:dyDescent="0.3">
      <c r="A2427" s="39">
        <v>46147.489374999997</v>
      </c>
      <c r="B2427" s="32">
        <v>14996717238</v>
      </c>
      <c r="C2427" s="32" t="s">
        <v>48</v>
      </c>
      <c r="D2427" s="32">
        <v>4430265054</v>
      </c>
      <c r="E2427" s="32">
        <v>442</v>
      </c>
      <c r="F2427" s="32">
        <v>403</v>
      </c>
      <c r="G2427" s="32" t="s">
        <v>38</v>
      </c>
      <c r="H2427" s="32" t="s">
        <v>5145</v>
      </c>
      <c r="I2427" s="32" t="s">
        <v>39</v>
      </c>
      <c r="J2427" s="32" t="s">
        <v>40</v>
      </c>
      <c r="K2427" s="32" t="s">
        <v>41</v>
      </c>
    </row>
    <row r="2428" spans="1:13" hidden="1" x14ac:dyDescent="0.3">
      <c r="A2428" s="39">
        <v>46147.488333333335</v>
      </c>
      <c r="B2428" s="32">
        <v>44999976182</v>
      </c>
      <c r="C2428" s="32">
        <v>4430265054</v>
      </c>
      <c r="D2428" s="32">
        <v>4430265054</v>
      </c>
      <c r="E2428" s="32">
        <v>4</v>
      </c>
      <c r="F2428" s="32">
        <v>3</v>
      </c>
      <c r="G2428" s="32" t="s">
        <v>52</v>
      </c>
      <c r="H2428" s="32" t="s">
        <v>5146</v>
      </c>
      <c r="I2428" s="32" t="s">
        <v>39</v>
      </c>
      <c r="J2428" s="32" t="s">
        <v>53</v>
      </c>
    </row>
    <row r="2429" spans="1:13" hidden="1" x14ac:dyDescent="0.3">
      <c r="A2429" s="39">
        <v>46147.48636574074</v>
      </c>
      <c r="B2429" s="32">
        <v>4432272377</v>
      </c>
      <c r="C2429" s="32" t="s">
        <v>48</v>
      </c>
      <c r="D2429" s="32">
        <v>4430265054</v>
      </c>
      <c r="E2429" s="32">
        <v>190</v>
      </c>
      <c r="F2429" s="32">
        <v>167</v>
      </c>
      <c r="G2429" s="32" t="s">
        <v>38</v>
      </c>
      <c r="H2429" s="32" t="s">
        <v>5147</v>
      </c>
      <c r="I2429" s="32" t="s">
        <v>39</v>
      </c>
      <c r="J2429" s="32" t="s">
        <v>40</v>
      </c>
      <c r="K2429" s="32" t="s">
        <v>41</v>
      </c>
    </row>
    <row r="2430" spans="1:13" hidden="1" x14ac:dyDescent="0.3">
      <c r="A2430" s="39">
        <v>46147.486273148148</v>
      </c>
      <c r="B2430" s="32">
        <v>44991213399</v>
      </c>
      <c r="C2430" s="32" t="s">
        <v>45</v>
      </c>
      <c r="D2430" s="32">
        <v>4430265054</v>
      </c>
      <c r="E2430" s="32">
        <v>944</v>
      </c>
      <c r="F2430" s="32">
        <v>922</v>
      </c>
      <c r="G2430" s="32" t="s">
        <v>38</v>
      </c>
      <c r="H2430" s="32" t="s">
        <v>5148</v>
      </c>
      <c r="I2430" s="32" t="s">
        <v>39</v>
      </c>
      <c r="J2430" s="32" t="s">
        <v>40</v>
      </c>
      <c r="K2430" s="32" t="s">
        <v>41</v>
      </c>
      <c r="L2430" s="40">
        <v>4</v>
      </c>
      <c r="M2430" s="34" t="s">
        <v>5407</v>
      </c>
    </row>
    <row r="2431" spans="1:13" hidden="1" x14ac:dyDescent="0.3">
      <c r="A2431" s="39">
        <v>46147.484895833331</v>
      </c>
      <c r="B2431" s="32">
        <v>44999646909</v>
      </c>
      <c r="C2431" s="32" t="s">
        <v>43</v>
      </c>
      <c r="D2431" s="32">
        <v>4430265054</v>
      </c>
      <c r="E2431" s="32">
        <v>604</v>
      </c>
      <c r="F2431" s="32">
        <v>527</v>
      </c>
      <c r="G2431" s="32" t="s">
        <v>38</v>
      </c>
      <c r="H2431" s="32" t="s">
        <v>5149</v>
      </c>
      <c r="I2431" s="32" t="s">
        <v>39</v>
      </c>
      <c r="J2431" s="32" t="s">
        <v>40</v>
      </c>
      <c r="K2431" s="32" t="s">
        <v>41</v>
      </c>
    </row>
    <row r="2432" spans="1:13" hidden="1" x14ac:dyDescent="0.3">
      <c r="A2432" s="39">
        <v>46147.480405092596</v>
      </c>
      <c r="B2432" s="32">
        <v>4330333558</v>
      </c>
      <c r="C2432" s="32">
        <v>4430265054</v>
      </c>
      <c r="D2432" s="32">
        <v>4430265054</v>
      </c>
      <c r="E2432" s="32">
        <v>75</v>
      </c>
      <c r="F2432" s="32">
        <v>74</v>
      </c>
      <c r="G2432" s="32" t="s">
        <v>52</v>
      </c>
      <c r="H2432" s="32" t="s">
        <v>5150</v>
      </c>
      <c r="I2432" s="32" t="s">
        <v>39</v>
      </c>
      <c r="J2432" s="32" t="s">
        <v>53</v>
      </c>
      <c r="K2432" s="32" t="s">
        <v>41</v>
      </c>
    </row>
    <row r="2433" spans="1:12" hidden="1" x14ac:dyDescent="0.3">
      <c r="A2433" s="39">
        <v>46147.48028935185</v>
      </c>
      <c r="B2433" s="32">
        <v>4430289556</v>
      </c>
      <c r="C2433" s="32" t="s">
        <v>48</v>
      </c>
      <c r="D2433" s="32">
        <v>4430265054</v>
      </c>
      <c r="E2433" s="32">
        <v>271</v>
      </c>
      <c r="F2433" s="32">
        <v>235</v>
      </c>
      <c r="G2433" s="32" t="s">
        <v>38</v>
      </c>
      <c r="H2433" s="32" t="s">
        <v>5151</v>
      </c>
      <c r="I2433" s="32" t="s">
        <v>39</v>
      </c>
      <c r="J2433" s="32" t="s">
        <v>40</v>
      </c>
      <c r="K2433" s="32" t="s">
        <v>41</v>
      </c>
    </row>
    <row r="2434" spans="1:12" hidden="1" x14ac:dyDescent="0.3">
      <c r="A2434" s="39">
        <v>46147.480208333334</v>
      </c>
      <c r="B2434" s="32">
        <v>44997311122</v>
      </c>
      <c r="C2434" s="32" t="s">
        <v>44</v>
      </c>
      <c r="D2434" s="32">
        <v>4430265054</v>
      </c>
      <c r="E2434" s="32">
        <v>1276</v>
      </c>
      <c r="F2434" s="32">
        <v>1226</v>
      </c>
      <c r="G2434" s="32" t="s">
        <v>38</v>
      </c>
      <c r="H2434" s="32" t="s">
        <v>5152</v>
      </c>
      <c r="I2434" s="32" t="s">
        <v>39</v>
      </c>
      <c r="J2434" s="32" t="s">
        <v>40</v>
      </c>
      <c r="K2434" s="32" t="s">
        <v>41</v>
      </c>
    </row>
    <row r="2435" spans="1:12" hidden="1" x14ac:dyDescent="0.3">
      <c r="A2435" s="39">
        <v>46147.479131944441</v>
      </c>
      <c r="B2435" s="32" t="s">
        <v>54</v>
      </c>
      <c r="C2435" s="32">
        <v>65992747974</v>
      </c>
      <c r="E2435" s="32">
        <v>30</v>
      </c>
      <c r="F2435" s="32">
        <v>1</v>
      </c>
      <c r="G2435" s="32" t="s">
        <v>38</v>
      </c>
      <c r="H2435" s="32" t="s">
        <v>5153</v>
      </c>
      <c r="I2435" s="32" t="s">
        <v>46</v>
      </c>
      <c r="J2435" s="32" t="s">
        <v>55</v>
      </c>
    </row>
    <row r="2436" spans="1:12" hidden="1" x14ac:dyDescent="0.3">
      <c r="A2436" s="39">
        <v>46147.478854166664</v>
      </c>
      <c r="B2436" s="32">
        <v>91981481202</v>
      </c>
      <c r="C2436" s="32" t="s">
        <v>43</v>
      </c>
      <c r="D2436" s="32">
        <v>4430265054</v>
      </c>
      <c r="E2436" s="32">
        <v>197</v>
      </c>
      <c r="F2436" s="32">
        <v>168</v>
      </c>
      <c r="G2436" s="32" t="s">
        <v>38</v>
      </c>
      <c r="H2436" s="32" t="s">
        <v>5154</v>
      </c>
      <c r="I2436" s="32" t="s">
        <v>39</v>
      </c>
      <c r="J2436" s="32" t="s">
        <v>40</v>
      </c>
      <c r="K2436" s="32" t="s">
        <v>41</v>
      </c>
    </row>
    <row r="2437" spans="1:12" hidden="1" x14ac:dyDescent="0.3">
      <c r="A2437" s="39">
        <v>46147.47755787037</v>
      </c>
      <c r="B2437" s="32" t="s">
        <v>54</v>
      </c>
      <c r="C2437" s="32">
        <v>32999394325</v>
      </c>
      <c r="E2437" s="32">
        <v>26</v>
      </c>
      <c r="F2437" s="32">
        <v>1</v>
      </c>
      <c r="G2437" s="32" t="s">
        <v>38</v>
      </c>
      <c r="H2437" s="32" t="s">
        <v>5155</v>
      </c>
      <c r="I2437" s="32" t="s">
        <v>46</v>
      </c>
      <c r="J2437" s="32" t="s">
        <v>55</v>
      </c>
    </row>
    <row r="2438" spans="1:12" hidden="1" x14ac:dyDescent="0.3">
      <c r="A2438" s="39">
        <v>46147.476388888892</v>
      </c>
      <c r="B2438" s="32">
        <v>35998295948</v>
      </c>
      <c r="C2438" s="32" t="s">
        <v>45</v>
      </c>
      <c r="D2438" s="32">
        <v>4430265054</v>
      </c>
      <c r="E2438" s="32">
        <v>408</v>
      </c>
      <c r="F2438" s="32">
        <v>390</v>
      </c>
      <c r="G2438" s="32" t="s">
        <v>38</v>
      </c>
      <c r="H2438" s="32" t="s">
        <v>5156</v>
      </c>
      <c r="I2438" s="32" t="s">
        <v>39</v>
      </c>
      <c r="J2438" s="32" t="s">
        <v>40</v>
      </c>
      <c r="K2438" s="32" t="s">
        <v>41</v>
      </c>
    </row>
    <row r="2439" spans="1:12" hidden="1" x14ac:dyDescent="0.3">
      <c r="A2439" s="39">
        <v>46147.47078703704</v>
      </c>
      <c r="B2439" s="32">
        <v>35998295948</v>
      </c>
      <c r="C2439" s="32" t="s">
        <v>45</v>
      </c>
      <c r="D2439" s="32">
        <v>4430265054</v>
      </c>
      <c r="E2439" s="32">
        <v>297</v>
      </c>
      <c r="F2439" s="32">
        <v>262</v>
      </c>
      <c r="G2439" s="32" t="s">
        <v>38</v>
      </c>
      <c r="H2439" s="32" t="s">
        <v>5157</v>
      </c>
      <c r="I2439" s="32" t="s">
        <v>39</v>
      </c>
      <c r="J2439" s="32" t="s">
        <v>40</v>
      </c>
      <c r="K2439" s="32" t="s">
        <v>41</v>
      </c>
    </row>
    <row r="2440" spans="1:12" hidden="1" x14ac:dyDescent="0.3">
      <c r="A2440" s="39">
        <v>46147.467824074076</v>
      </c>
      <c r="B2440" s="32">
        <v>44998640313</v>
      </c>
      <c r="C2440" s="32" t="s">
        <v>44</v>
      </c>
      <c r="D2440" s="32">
        <v>4430265054</v>
      </c>
      <c r="E2440" s="32">
        <v>273</v>
      </c>
      <c r="F2440" s="32">
        <v>193</v>
      </c>
      <c r="G2440" s="32" t="s">
        <v>38</v>
      </c>
      <c r="H2440" s="32" t="s">
        <v>5158</v>
      </c>
      <c r="I2440" s="32" t="s">
        <v>39</v>
      </c>
      <c r="J2440" s="32" t="s">
        <v>40</v>
      </c>
      <c r="K2440" s="32" t="s">
        <v>41</v>
      </c>
    </row>
    <row r="2441" spans="1:12" hidden="1" x14ac:dyDescent="0.3">
      <c r="A2441" s="39">
        <v>46147.467731481483</v>
      </c>
      <c r="B2441" s="32">
        <v>62991155122</v>
      </c>
      <c r="C2441" s="32" t="s">
        <v>45</v>
      </c>
      <c r="D2441" s="32">
        <v>4430265054</v>
      </c>
      <c r="E2441" s="32">
        <v>307</v>
      </c>
      <c r="F2441" s="32">
        <v>240</v>
      </c>
      <c r="G2441" s="32" t="s">
        <v>38</v>
      </c>
      <c r="H2441" s="32" t="s">
        <v>5159</v>
      </c>
      <c r="I2441" s="32" t="s">
        <v>39</v>
      </c>
      <c r="J2441" s="32" t="s">
        <v>40</v>
      </c>
      <c r="K2441" s="32" t="s">
        <v>41</v>
      </c>
      <c r="L2441" s="32">
        <v>5</v>
      </c>
    </row>
    <row r="2442" spans="1:12" hidden="1" x14ac:dyDescent="0.3">
      <c r="A2442" s="39">
        <v>46147.466643518521</v>
      </c>
      <c r="B2442" s="32">
        <v>44999683416</v>
      </c>
      <c r="C2442" s="32">
        <v>4430265054</v>
      </c>
      <c r="D2442" s="32">
        <v>4430265054</v>
      </c>
      <c r="E2442" s="32">
        <v>3</v>
      </c>
      <c r="F2442" s="32">
        <v>2</v>
      </c>
      <c r="G2442" s="32" t="s">
        <v>52</v>
      </c>
      <c r="H2442" s="32" t="s">
        <v>5160</v>
      </c>
      <c r="I2442" s="32" t="s">
        <v>39</v>
      </c>
      <c r="J2442" s="32" t="s">
        <v>53</v>
      </c>
    </row>
    <row r="2443" spans="1:12" hidden="1" x14ac:dyDescent="0.3">
      <c r="A2443" s="39">
        <v>46147.466412037036</v>
      </c>
      <c r="B2443" s="32">
        <v>44997735525</v>
      </c>
      <c r="C2443" s="32" t="s">
        <v>37</v>
      </c>
      <c r="D2443" s="32">
        <v>4430265054</v>
      </c>
      <c r="E2443" s="32">
        <v>2241</v>
      </c>
      <c r="F2443" s="32">
        <v>2198</v>
      </c>
      <c r="G2443" s="32" t="s">
        <v>38</v>
      </c>
      <c r="H2443" s="32" t="s">
        <v>5161</v>
      </c>
      <c r="I2443" s="32" t="s">
        <v>39</v>
      </c>
      <c r="J2443" s="32" t="s">
        <v>40</v>
      </c>
      <c r="K2443" s="32" t="s">
        <v>41</v>
      </c>
      <c r="L2443" s="32">
        <v>5</v>
      </c>
    </row>
    <row r="2444" spans="1:12" hidden="1" x14ac:dyDescent="0.3">
      <c r="A2444" s="39">
        <v>46147.464895833335</v>
      </c>
      <c r="B2444" s="32" t="s">
        <v>54</v>
      </c>
      <c r="C2444" s="32">
        <v>85996758121</v>
      </c>
      <c r="E2444" s="32">
        <v>17</v>
      </c>
      <c r="F2444" s="32">
        <v>0</v>
      </c>
      <c r="G2444" s="32" t="s">
        <v>47</v>
      </c>
      <c r="H2444" s="32" t="s">
        <v>5162</v>
      </c>
      <c r="I2444" s="32" t="s">
        <v>46</v>
      </c>
      <c r="J2444" s="32" t="s">
        <v>55</v>
      </c>
    </row>
    <row r="2445" spans="1:12" hidden="1" x14ac:dyDescent="0.3">
      <c r="A2445" s="39">
        <v>46147.462071759262</v>
      </c>
      <c r="B2445" s="32" t="s">
        <v>54</v>
      </c>
      <c r="C2445" s="32">
        <v>48988308222</v>
      </c>
      <c r="E2445" s="32">
        <v>26</v>
      </c>
      <c r="F2445" s="32">
        <v>0</v>
      </c>
      <c r="G2445" s="32" t="s">
        <v>47</v>
      </c>
      <c r="H2445" s="32" t="s">
        <v>5163</v>
      </c>
      <c r="I2445" s="32" t="s">
        <v>46</v>
      </c>
      <c r="J2445" s="32" t="s">
        <v>55</v>
      </c>
    </row>
    <row r="2446" spans="1:12" hidden="1" x14ac:dyDescent="0.3">
      <c r="A2446" s="39">
        <v>46147.46130787037</v>
      </c>
      <c r="B2446" s="32">
        <v>44999917849</v>
      </c>
      <c r="C2446" s="32" t="s">
        <v>43</v>
      </c>
      <c r="D2446" s="32">
        <v>4430265054</v>
      </c>
      <c r="E2446" s="32">
        <v>690</v>
      </c>
      <c r="F2446" s="32">
        <v>660</v>
      </c>
      <c r="G2446" s="32" t="s">
        <v>38</v>
      </c>
      <c r="H2446" s="32" t="s">
        <v>5164</v>
      </c>
      <c r="I2446" s="32" t="s">
        <v>39</v>
      </c>
      <c r="J2446" s="32" t="s">
        <v>40</v>
      </c>
      <c r="K2446" s="32" t="s">
        <v>41</v>
      </c>
    </row>
    <row r="2447" spans="1:12" hidden="1" x14ac:dyDescent="0.3">
      <c r="A2447" s="39">
        <v>46147.459513888891</v>
      </c>
      <c r="B2447" s="32" t="s">
        <v>54</v>
      </c>
      <c r="C2447" s="32">
        <v>11983754733</v>
      </c>
      <c r="E2447" s="32">
        <v>29</v>
      </c>
      <c r="F2447" s="32">
        <v>0</v>
      </c>
      <c r="G2447" s="32" t="s">
        <v>47</v>
      </c>
      <c r="H2447" s="32" t="s">
        <v>5165</v>
      </c>
      <c r="I2447" s="32" t="s">
        <v>46</v>
      </c>
      <c r="J2447" s="32" t="s">
        <v>55</v>
      </c>
    </row>
    <row r="2448" spans="1:12" hidden="1" x14ac:dyDescent="0.3">
      <c r="A2448" s="39">
        <v>46147.458449074074</v>
      </c>
      <c r="B2448" s="32" t="s">
        <v>54</v>
      </c>
      <c r="C2448" s="32">
        <v>1239443251</v>
      </c>
      <c r="E2448" s="32">
        <v>18</v>
      </c>
      <c r="F2448" s="32">
        <v>0</v>
      </c>
      <c r="G2448" s="32" t="s">
        <v>47</v>
      </c>
      <c r="H2448" s="32" t="s">
        <v>5166</v>
      </c>
      <c r="I2448" s="32" t="s">
        <v>46</v>
      </c>
      <c r="J2448" s="32" t="s">
        <v>55</v>
      </c>
    </row>
    <row r="2449" spans="1:12" hidden="1" x14ac:dyDescent="0.3">
      <c r="A2449" s="39">
        <v>46147.45815972222</v>
      </c>
      <c r="B2449" s="32">
        <v>44998582382</v>
      </c>
      <c r="C2449" s="32" t="s">
        <v>37</v>
      </c>
      <c r="D2449" s="32">
        <v>4430265054</v>
      </c>
      <c r="E2449" s="32">
        <v>90</v>
      </c>
      <c r="F2449" s="32">
        <v>65</v>
      </c>
      <c r="G2449" s="32" t="s">
        <v>38</v>
      </c>
      <c r="H2449" s="32" t="s">
        <v>5167</v>
      </c>
      <c r="I2449" s="32" t="s">
        <v>39</v>
      </c>
      <c r="J2449" s="32" t="s">
        <v>40</v>
      </c>
      <c r="K2449" s="32" t="s">
        <v>41</v>
      </c>
    </row>
    <row r="2450" spans="1:12" hidden="1" x14ac:dyDescent="0.3">
      <c r="A2450" s="39">
        <v>46147.454710648148</v>
      </c>
      <c r="B2450" s="32">
        <v>35998295948</v>
      </c>
      <c r="C2450" s="32" t="s">
        <v>45</v>
      </c>
      <c r="D2450" s="32">
        <v>4430265054</v>
      </c>
      <c r="E2450" s="32">
        <v>170</v>
      </c>
      <c r="F2450" s="32">
        <v>154</v>
      </c>
      <c r="G2450" s="32" t="s">
        <v>38</v>
      </c>
      <c r="H2450" s="32" t="s">
        <v>5168</v>
      </c>
      <c r="I2450" s="32" t="s">
        <v>39</v>
      </c>
      <c r="J2450" s="32" t="s">
        <v>40</v>
      </c>
      <c r="K2450" s="32" t="s">
        <v>41</v>
      </c>
      <c r="L2450" s="32">
        <v>5</v>
      </c>
    </row>
    <row r="2451" spans="1:12" hidden="1" x14ac:dyDescent="0.3">
      <c r="A2451" s="39">
        <v>46147.454259259262</v>
      </c>
      <c r="B2451" s="32" t="s">
        <v>54</v>
      </c>
      <c r="C2451" s="32">
        <v>3132937082</v>
      </c>
      <c r="E2451" s="32">
        <v>4</v>
      </c>
      <c r="F2451" s="32">
        <v>0</v>
      </c>
      <c r="G2451" s="32" t="s">
        <v>47</v>
      </c>
      <c r="H2451" s="32" t="s">
        <v>5169</v>
      </c>
      <c r="I2451" s="32" t="s">
        <v>46</v>
      </c>
      <c r="J2451" s="32" t="s">
        <v>55</v>
      </c>
    </row>
    <row r="2452" spans="1:12" hidden="1" x14ac:dyDescent="0.3">
      <c r="A2452" s="39">
        <v>46147.448229166665</v>
      </c>
      <c r="B2452" s="32">
        <v>35998295948</v>
      </c>
      <c r="C2452" s="32" t="s">
        <v>45</v>
      </c>
      <c r="D2452" s="32">
        <v>4430265054</v>
      </c>
      <c r="E2452" s="32">
        <v>536</v>
      </c>
      <c r="F2452" s="32">
        <v>521</v>
      </c>
      <c r="G2452" s="32" t="s">
        <v>38</v>
      </c>
      <c r="H2452" s="32" t="s">
        <v>5170</v>
      </c>
      <c r="I2452" s="32" t="s">
        <v>39</v>
      </c>
      <c r="J2452" s="32" t="s">
        <v>40</v>
      </c>
      <c r="K2452" s="32" t="s">
        <v>41</v>
      </c>
    </row>
    <row r="2453" spans="1:12" hidden="1" x14ac:dyDescent="0.3">
      <c r="A2453" s="39">
        <v>46147.446689814817</v>
      </c>
      <c r="B2453" s="32" t="s">
        <v>54</v>
      </c>
      <c r="C2453" s="32">
        <v>92981578665</v>
      </c>
      <c r="E2453" s="32">
        <v>7</v>
      </c>
      <c r="F2453" s="32">
        <v>2</v>
      </c>
      <c r="G2453" s="32" t="s">
        <v>38</v>
      </c>
      <c r="H2453" s="32" t="s">
        <v>5171</v>
      </c>
      <c r="I2453" s="32" t="s">
        <v>46</v>
      </c>
      <c r="J2453" s="32" t="s">
        <v>55</v>
      </c>
    </row>
    <row r="2454" spans="1:12" hidden="1" x14ac:dyDescent="0.3">
      <c r="A2454" s="39">
        <v>46147.444363425922</v>
      </c>
      <c r="B2454" s="32">
        <v>35998295948</v>
      </c>
      <c r="C2454" s="32" t="s">
        <v>45</v>
      </c>
      <c r="D2454" s="32">
        <v>4430265054</v>
      </c>
      <c r="E2454" s="32">
        <v>166</v>
      </c>
      <c r="F2454" s="32">
        <v>142</v>
      </c>
      <c r="G2454" s="32" t="s">
        <v>38</v>
      </c>
      <c r="H2454" s="32" t="s">
        <v>5172</v>
      </c>
      <c r="I2454" s="32" t="s">
        <v>39</v>
      </c>
      <c r="J2454" s="32" t="s">
        <v>40</v>
      </c>
      <c r="K2454" s="32" t="s">
        <v>41</v>
      </c>
    </row>
    <row r="2455" spans="1:12" hidden="1" x14ac:dyDescent="0.3">
      <c r="A2455" s="39">
        <v>46147.443819444445</v>
      </c>
      <c r="B2455" s="32">
        <v>44988255390</v>
      </c>
      <c r="C2455" s="32" t="s">
        <v>37</v>
      </c>
      <c r="D2455" s="32">
        <v>4430265054</v>
      </c>
      <c r="E2455" s="32">
        <v>576</v>
      </c>
      <c r="F2455" s="32">
        <v>542</v>
      </c>
      <c r="G2455" s="32" t="s">
        <v>38</v>
      </c>
      <c r="H2455" s="32" t="s">
        <v>5173</v>
      </c>
      <c r="I2455" s="32" t="s">
        <v>39</v>
      </c>
      <c r="J2455" s="32" t="s">
        <v>40</v>
      </c>
      <c r="K2455" s="32" t="s">
        <v>41</v>
      </c>
    </row>
    <row r="2456" spans="1:12" hidden="1" x14ac:dyDescent="0.3">
      <c r="A2456" s="39">
        <v>46147.440092592595</v>
      </c>
      <c r="B2456" s="32" t="s">
        <v>54</v>
      </c>
      <c r="C2456" s="32">
        <v>11944438225</v>
      </c>
      <c r="E2456" s="32">
        <v>22</v>
      </c>
      <c r="F2456" s="32">
        <v>0</v>
      </c>
      <c r="G2456" s="32" t="s">
        <v>47</v>
      </c>
      <c r="H2456" s="32" t="s">
        <v>5174</v>
      </c>
      <c r="I2456" s="32" t="s">
        <v>46</v>
      </c>
      <c r="J2456" s="32" t="s">
        <v>55</v>
      </c>
    </row>
    <row r="2457" spans="1:12" hidden="1" x14ac:dyDescent="0.3">
      <c r="A2457" s="39">
        <v>46147.433981481481</v>
      </c>
      <c r="B2457" s="32">
        <v>2222100098</v>
      </c>
      <c r="C2457" s="32" t="s">
        <v>43</v>
      </c>
      <c r="D2457" s="32">
        <v>4430265054</v>
      </c>
      <c r="E2457" s="32">
        <v>418</v>
      </c>
      <c r="F2457" s="32">
        <v>360</v>
      </c>
      <c r="G2457" s="32" t="s">
        <v>38</v>
      </c>
      <c r="H2457" s="32" t="s">
        <v>5175</v>
      </c>
      <c r="I2457" s="32" t="s">
        <v>39</v>
      </c>
      <c r="J2457" s="32" t="s">
        <v>40</v>
      </c>
      <c r="K2457" s="32" t="s">
        <v>41</v>
      </c>
    </row>
    <row r="2458" spans="1:12" hidden="1" x14ac:dyDescent="0.3">
      <c r="A2458" s="39">
        <v>46147.429849537039</v>
      </c>
      <c r="B2458" s="32">
        <v>44998640313</v>
      </c>
      <c r="C2458" s="32" t="s">
        <v>43</v>
      </c>
      <c r="D2458" s="32">
        <v>4430265054</v>
      </c>
      <c r="E2458" s="32">
        <v>88</v>
      </c>
      <c r="F2458" s="32">
        <v>17</v>
      </c>
      <c r="G2458" s="32" t="s">
        <v>38</v>
      </c>
      <c r="H2458" s="32" t="s">
        <v>5176</v>
      </c>
      <c r="I2458" s="32" t="s">
        <v>39</v>
      </c>
      <c r="J2458" s="32" t="s">
        <v>40</v>
      </c>
      <c r="K2458" s="32" t="s">
        <v>41</v>
      </c>
    </row>
    <row r="2459" spans="1:12" hidden="1" x14ac:dyDescent="0.3">
      <c r="A2459" s="39">
        <v>46147.427951388891</v>
      </c>
      <c r="B2459" s="32">
        <v>4432677399</v>
      </c>
      <c r="C2459" s="32" t="s">
        <v>44</v>
      </c>
      <c r="D2459" s="32">
        <v>4430265054</v>
      </c>
      <c r="E2459" s="32">
        <v>767</v>
      </c>
      <c r="F2459" s="32">
        <v>729</v>
      </c>
      <c r="G2459" s="32" t="s">
        <v>38</v>
      </c>
      <c r="H2459" s="32" t="s">
        <v>5177</v>
      </c>
      <c r="I2459" s="32" t="s">
        <v>39</v>
      </c>
      <c r="J2459" s="32" t="s">
        <v>40</v>
      </c>
      <c r="K2459" s="32" t="s">
        <v>41</v>
      </c>
    </row>
    <row r="2460" spans="1:12" hidden="1" x14ac:dyDescent="0.3">
      <c r="A2460" s="39">
        <v>46147.427476851852</v>
      </c>
      <c r="B2460" s="32">
        <v>18996339700</v>
      </c>
      <c r="C2460" s="32" t="s">
        <v>37</v>
      </c>
      <c r="D2460" s="32">
        <v>4430265054</v>
      </c>
      <c r="E2460" s="32">
        <v>697</v>
      </c>
      <c r="F2460" s="32">
        <v>671</v>
      </c>
      <c r="G2460" s="32" t="s">
        <v>38</v>
      </c>
      <c r="H2460" s="32" t="s">
        <v>5178</v>
      </c>
      <c r="I2460" s="32" t="s">
        <v>39</v>
      </c>
      <c r="J2460" s="32" t="s">
        <v>40</v>
      </c>
      <c r="K2460" s="32" t="s">
        <v>41</v>
      </c>
      <c r="L2460" s="32">
        <v>5</v>
      </c>
    </row>
    <row r="2461" spans="1:12" hidden="1" x14ac:dyDescent="0.3">
      <c r="A2461" s="39">
        <v>46147.427048611113</v>
      </c>
      <c r="B2461" s="32">
        <v>18996339700</v>
      </c>
      <c r="C2461" s="32">
        <v>4430265054</v>
      </c>
      <c r="D2461" s="32">
        <v>4430265054</v>
      </c>
      <c r="E2461" s="32">
        <v>25</v>
      </c>
      <c r="F2461" s="32">
        <v>24</v>
      </c>
      <c r="G2461" s="32" t="s">
        <v>52</v>
      </c>
      <c r="H2461" s="32" t="s">
        <v>5179</v>
      </c>
      <c r="I2461" s="32" t="s">
        <v>39</v>
      </c>
      <c r="J2461" s="32" t="s">
        <v>53</v>
      </c>
    </row>
    <row r="2462" spans="1:12" hidden="1" x14ac:dyDescent="0.3">
      <c r="A2462" s="39">
        <v>46147.424884259257</v>
      </c>
      <c r="B2462" s="32">
        <v>4421032922</v>
      </c>
      <c r="C2462" s="32">
        <v>4430265054</v>
      </c>
      <c r="D2462" s="32">
        <v>4430265054</v>
      </c>
      <c r="E2462" s="32">
        <v>3</v>
      </c>
      <c r="F2462" s="32">
        <v>2</v>
      </c>
      <c r="G2462" s="32" t="s">
        <v>52</v>
      </c>
      <c r="H2462" s="32" t="s">
        <v>5180</v>
      </c>
      <c r="I2462" s="32" t="s">
        <v>39</v>
      </c>
      <c r="J2462" s="32" t="s">
        <v>53</v>
      </c>
    </row>
    <row r="2463" spans="1:12" hidden="1" x14ac:dyDescent="0.3">
      <c r="A2463" s="39">
        <v>46147.423194444447</v>
      </c>
      <c r="B2463" s="32" t="s">
        <v>57</v>
      </c>
      <c r="C2463" s="32">
        <v>93991147888</v>
      </c>
      <c r="E2463" s="32">
        <v>40</v>
      </c>
      <c r="F2463" s="32">
        <v>0</v>
      </c>
      <c r="G2463" s="32" t="s">
        <v>47</v>
      </c>
      <c r="H2463" s="32" t="s">
        <v>5181</v>
      </c>
      <c r="I2463" s="32" t="s">
        <v>46</v>
      </c>
      <c r="J2463" s="32" t="s">
        <v>55</v>
      </c>
    </row>
    <row r="2464" spans="1:12" hidden="1" x14ac:dyDescent="0.3">
      <c r="A2464" s="39">
        <v>46147.422766203701</v>
      </c>
      <c r="B2464" s="32">
        <v>81986261961</v>
      </c>
      <c r="C2464" s="32" t="s">
        <v>45</v>
      </c>
      <c r="D2464" s="32">
        <v>4430265054</v>
      </c>
      <c r="E2464" s="32">
        <v>1123</v>
      </c>
      <c r="F2464" s="32">
        <v>1108</v>
      </c>
      <c r="G2464" s="32" t="s">
        <v>38</v>
      </c>
      <c r="H2464" s="32" t="s">
        <v>5182</v>
      </c>
      <c r="I2464" s="32" t="s">
        <v>39</v>
      </c>
      <c r="J2464" s="32" t="s">
        <v>40</v>
      </c>
      <c r="K2464" s="32" t="s">
        <v>41</v>
      </c>
      <c r="L2464" s="32">
        <v>5</v>
      </c>
    </row>
    <row r="2465" spans="1:11" hidden="1" x14ac:dyDescent="0.3">
      <c r="A2465" s="39">
        <v>46147.422696759262</v>
      </c>
      <c r="B2465" s="32" t="s">
        <v>57</v>
      </c>
      <c r="C2465" s="32">
        <v>93984086302</v>
      </c>
      <c r="E2465" s="32">
        <v>39</v>
      </c>
      <c r="F2465" s="32">
        <v>0</v>
      </c>
      <c r="G2465" s="32" t="s">
        <v>47</v>
      </c>
      <c r="H2465" s="32" t="s">
        <v>5183</v>
      </c>
      <c r="I2465" s="32" t="s">
        <v>46</v>
      </c>
      <c r="J2465" s="32" t="s">
        <v>55</v>
      </c>
    </row>
    <row r="2466" spans="1:11" hidden="1" x14ac:dyDescent="0.3">
      <c r="A2466" s="39">
        <v>46147.422314814816</v>
      </c>
      <c r="B2466" s="32" t="s">
        <v>57</v>
      </c>
      <c r="C2466" s="32">
        <v>93991145444</v>
      </c>
      <c r="E2466" s="32">
        <v>31</v>
      </c>
      <c r="F2466" s="32">
        <v>9</v>
      </c>
      <c r="G2466" s="32" t="s">
        <v>38</v>
      </c>
      <c r="H2466" s="32" t="s">
        <v>5184</v>
      </c>
      <c r="I2466" s="32" t="s">
        <v>46</v>
      </c>
      <c r="J2466" s="32" t="s">
        <v>55</v>
      </c>
    </row>
    <row r="2467" spans="1:11" hidden="1" x14ac:dyDescent="0.3">
      <c r="A2467" s="39">
        <v>46147.422164351854</v>
      </c>
      <c r="B2467" s="32" t="s">
        <v>57</v>
      </c>
      <c r="C2467" s="32">
        <v>9335225605</v>
      </c>
      <c r="E2467" s="32">
        <v>3</v>
      </c>
      <c r="F2467" s="32">
        <v>0</v>
      </c>
      <c r="G2467" s="32" t="s">
        <v>47</v>
      </c>
      <c r="H2467" s="32" t="s">
        <v>5185</v>
      </c>
      <c r="I2467" s="32" t="s">
        <v>46</v>
      </c>
      <c r="J2467" s="32" t="s">
        <v>55</v>
      </c>
    </row>
    <row r="2468" spans="1:11" hidden="1" x14ac:dyDescent="0.3">
      <c r="A2468" s="39">
        <v>46147.421956018516</v>
      </c>
      <c r="B2468" s="32" t="s">
        <v>57</v>
      </c>
      <c r="C2468" s="32">
        <v>9335225605</v>
      </c>
      <c r="E2468" s="32">
        <v>5</v>
      </c>
      <c r="F2468" s="32">
        <v>0</v>
      </c>
      <c r="G2468" s="32" t="s">
        <v>47</v>
      </c>
      <c r="H2468" s="32" t="s">
        <v>5186</v>
      </c>
      <c r="I2468" s="32" t="s">
        <v>46</v>
      </c>
      <c r="J2468" s="32" t="s">
        <v>55</v>
      </c>
    </row>
    <row r="2469" spans="1:11" hidden="1" x14ac:dyDescent="0.3">
      <c r="A2469" s="39">
        <v>46147.420162037037</v>
      </c>
      <c r="B2469" s="32" t="s">
        <v>54</v>
      </c>
      <c r="C2469" s="32">
        <v>22992427758</v>
      </c>
      <c r="E2469" s="32">
        <v>43</v>
      </c>
      <c r="F2469" s="32">
        <v>9</v>
      </c>
      <c r="G2469" s="32" t="s">
        <v>38</v>
      </c>
      <c r="H2469" s="32" t="s">
        <v>5187</v>
      </c>
      <c r="I2469" s="32" t="s">
        <v>46</v>
      </c>
      <c r="J2469" s="32" t="s">
        <v>55</v>
      </c>
    </row>
    <row r="2470" spans="1:11" hidden="1" x14ac:dyDescent="0.3">
      <c r="A2470" s="39">
        <v>46147.419224537036</v>
      </c>
      <c r="B2470" s="32" t="s">
        <v>54</v>
      </c>
      <c r="C2470" s="32">
        <v>41997493913</v>
      </c>
      <c r="E2470" s="32">
        <v>14</v>
      </c>
      <c r="F2470" s="32">
        <v>2</v>
      </c>
      <c r="G2470" s="32" t="s">
        <v>38</v>
      </c>
      <c r="H2470" s="32" t="s">
        <v>5188</v>
      </c>
      <c r="I2470" s="32" t="s">
        <v>46</v>
      </c>
      <c r="J2470" s="32" t="s">
        <v>55</v>
      </c>
    </row>
    <row r="2471" spans="1:11" hidden="1" x14ac:dyDescent="0.3">
      <c r="A2471" s="39">
        <v>46147.418171296296</v>
      </c>
      <c r="B2471" s="32" t="s">
        <v>54</v>
      </c>
      <c r="C2471" s="32">
        <v>85989070864</v>
      </c>
      <c r="E2471" s="32">
        <v>15</v>
      </c>
      <c r="F2471" s="32">
        <v>11</v>
      </c>
      <c r="G2471" s="32" t="s">
        <v>38</v>
      </c>
      <c r="H2471" s="32" t="s">
        <v>5189</v>
      </c>
      <c r="I2471" s="32" t="s">
        <v>46</v>
      </c>
      <c r="J2471" s="32" t="s">
        <v>55</v>
      </c>
    </row>
    <row r="2472" spans="1:11" hidden="1" x14ac:dyDescent="0.3">
      <c r="A2472" s="39">
        <v>46147.416550925926</v>
      </c>
      <c r="B2472" s="32" t="s">
        <v>54</v>
      </c>
      <c r="C2472" s="32">
        <v>51985310704</v>
      </c>
      <c r="E2472" s="32">
        <v>25</v>
      </c>
      <c r="F2472" s="32">
        <v>7</v>
      </c>
      <c r="G2472" s="32" t="s">
        <v>38</v>
      </c>
      <c r="H2472" s="32" t="s">
        <v>5190</v>
      </c>
      <c r="I2472" s="32" t="s">
        <v>46</v>
      </c>
      <c r="J2472" s="32" t="s">
        <v>55</v>
      </c>
    </row>
    <row r="2473" spans="1:11" hidden="1" x14ac:dyDescent="0.3">
      <c r="A2473" s="39">
        <v>46147.415729166663</v>
      </c>
      <c r="B2473" s="32" t="s">
        <v>54</v>
      </c>
      <c r="C2473" s="32">
        <v>21965015882</v>
      </c>
      <c r="E2473" s="32">
        <v>23</v>
      </c>
      <c r="F2473" s="32">
        <v>0</v>
      </c>
      <c r="G2473" s="32" t="s">
        <v>47</v>
      </c>
      <c r="H2473" s="32" t="s">
        <v>5191</v>
      </c>
      <c r="I2473" s="32" t="s">
        <v>46</v>
      </c>
      <c r="J2473" s="32" t="s">
        <v>55</v>
      </c>
    </row>
    <row r="2474" spans="1:11" hidden="1" x14ac:dyDescent="0.3">
      <c r="A2474" s="39">
        <v>46147.412754629629</v>
      </c>
      <c r="B2474" s="32">
        <v>44999400051</v>
      </c>
      <c r="C2474" s="32" t="s">
        <v>45</v>
      </c>
      <c r="D2474" s="32">
        <v>4430265054</v>
      </c>
      <c r="E2474" s="32">
        <v>444</v>
      </c>
      <c r="F2474" s="32">
        <v>390</v>
      </c>
      <c r="G2474" s="32" t="s">
        <v>38</v>
      </c>
      <c r="H2474" s="32" t="s">
        <v>5192</v>
      </c>
      <c r="I2474" s="32" t="s">
        <v>39</v>
      </c>
      <c r="J2474" s="32" t="s">
        <v>40</v>
      </c>
      <c r="K2474" s="32" t="s">
        <v>41</v>
      </c>
    </row>
    <row r="2475" spans="1:11" hidden="1" x14ac:dyDescent="0.3">
      <c r="A2475" s="39">
        <v>46147.411203703705</v>
      </c>
      <c r="B2475" s="32" t="s">
        <v>45</v>
      </c>
      <c r="C2475" s="32">
        <v>44999599335</v>
      </c>
      <c r="E2475" s="32">
        <v>21</v>
      </c>
      <c r="F2475" s="32">
        <v>15</v>
      </c>
      <c r="G2475" s="32" t="s">
        <v>38</v>
      </c>
      <c r="H2475" s="32" t="s">
        <v>5193</v>
      </c>
      <c r="I2475" s="32" t="s">
        <v>46</v>
      </c>
      <c r="J2475" s="32" t="s">
        <v>40</v>
      </c>
    </row>
    <row r="2476" spans="1:11" hidden="1" x14ac:dyDescent="0.3">
      <c r="A2476" s="39">
        <v>46147.410613425927</v>
      </c>
      <c r="B2476" s="32" t="s">
        <v>45</v>
      </c>
      <c r="C2476" s="32">
        <v>44999599335</v>
      </c>
      <c r="E2476" s="32">
        <v>43</v>
      </c>
      <c r="F2476" s="32">
        <v>29</v>
      </c>
      <c r="G2476" s="32" t="s">
        <v>38</v>
      </c>
      <c r="H2476" s="32" t="s">
        <v>5194</v>
      </c>
      <c r="I2476" s="32" t="s">
        <v>46</v>
      </c>
      <c r="J2476" s="32" t="s">
        <v>40</v>
      </c>
    </row>
    <row r="2477" spans="1:11" hidden="1" x14ac:dyDescent="0.3">
      <c r="A2477" s="39">
        <v>46147.410324074073</v>
      </c>
      <c r="B2477" s="32" t="s">
        <v>45</v>
      </c>
      <c r="C2477" s="32">
        <v>44999599335</v>
      </c>
      <c r="E2477" s="32">
        <v>45</v>
      </c>
      <c r="F2477" s="32">
        <v>31</v>
      </c>
      <c r="G2477" s="32" t="s">
        <v>38</v>
      </c>
      <c r="H2477" s="32" t="s">
        <v>5195</v>
      </c>
      <c r="I2477" s="32" t="s">
        <v>46</v>
      </c>
      <c r="J2477" s="32" t="s">
        <v>40</v>
      </c>
    </row>
    <row r="2478" spans="1:11" hidden="1" x14ac:dyDescent="0.3">
      <c r="A2478" s="39">
        <v>46147.409814814811</v>
      </c>
      <c r="B2478" s="32" t="s">
        <v>45</v>
      </c>
      <c r="C2478" s="32">
        <v>44999599335</v>
      </c>
      <c r="E2478" s="32">
        <v>32</v>
      </c>
      <c r="F2478" s="32">
        <v>14</v>
      </c>
      <c r="G2478" s="32" t="s">
        <v>38</v>
      </c>
      <c r="H2478" s="32" t="s">
        <v>5196</v>
      </c>
      <c r="I2478" s="32" t="s">
        <v>46</v>
      </c>
      <c r="J2478" s="32" t="s">
        <v>40</v>
      </c>
    </row>
    <row r="2479" spans="1:11" hidden="1" x14ac:dyDescent="0.3">
      <c r="A2479" s="39">
        <v>46147.408194444448</v>
      </c>
      <c r="B2479" s="32" t="s">
        <v>54</v>
      </c>
      <c r="C2479" s="32">
        <v>11949148979</v>
      </c>
      <c r="E2479" s="32">
        <v>15</v>
      </c>
      <c r="F2479" s="32">
        <v>0</v>
      </c>
      <c r="G2479" s="32" t="s">
        <v>47</v>
      </c>
      <c r="H2479" s="32" t="s">
        <v>5197</v>
      </c>
      <c r="I2479" s="32" t="s">
        <v>46</v>
      </c>
      <c r="J2479" s="32" t="s">
        <v>55</v>
      </c>
    </row>
    <row r="2480" spans="1:11" hidden="1" x14ac:dyDescent="0.3">
      <c r="A2480" s="39">
        <v>46147.403645833336</v>
      </c>
      <c r="B2480" s="32">
        <v>44999670264</v>
      </c>
      <c r="C2480" s="32" t="s">
        <v>37</v>
      </c>
      <c r="D2480" s="32">
        <v>4430265054</v>
      </c>
      <c r="E2480" s="32">
        <v>845</v>
      </c>
      <c r="F2480" s="32">
        <v>780</v>
      </c>
      <c r="G2480" s="32" t="s">
        <v>38</v>
      </c>
      <c r="H2480" s="32" t="s">
        <v>5198</v>
      </c>
      <c r="I2480" s="32" t="s">
        <v>39</v>
      </c>
      <c r="J2480" s="32" t="s">
        <v>40</v>
      </c>
      <c r="K2480" s="32" t="s">
        <v>41</v>
      </c>
    </row>
    <row r="2481" spans="1:12" hidden="1" x14ac:dyDescent="0.3">
      <c r="A2481" s="39">
        <v>46147.396157407406</v>
      </c>
      <c r="B2481" s="32">
        <v>91989363636</v>
      </c>
      <c r="C2481" s="32" t="s">
        <v>43</v>
      </c>
      <c r="D2481" s="32">
        <v>4430265054</v>
      </c>
      <c r="E2481" s="32">
        <v>734</v>
      </c>
      <c r="F2481" s="32">
        <v>708</v>
      </c>
      <c r="G2481" s="32" t="s">
        <v>38</v>
      </c>
      <c r="H2481" s="32" t="s">
        <v>5199</v>
      </c>
      <c r="I2481" s="32" t="s">
        <v>39</v>
      </c>
      <c r="J2481" s="32" t="s">
        <v>40</v>
      </c>
      <c r="K2481" s="32" t="s">
        <v>41</v>
      </c>
      <c r="L2481" s="32">
        <v>5</v>
      </c>
    </row>
    <row r="2482" spans="1:12" hidden="1" x14ac:dyDescent="0.3">
      <c r="A2482" s="39">
        <v>46147.39534722222</v>
      </c>
      <c r="B2482" s="32">
        <v>4421032921</v>
      </c>
      <c r="C2482" s="32">
        <v>4430265054</v>
      </c>
      <c r="D2482" s="32">
        <v>4430265054</v>
      </c>
      <c r="E2482" s="32">
        <v>2</v>
      </c>
      <c r="F2482" s="32">
        <v>2</v>
      </c>
      <c r="G2482" s="32" t="s">
        <v>52</v>
      </c>
      <c r="H2482" s="32" t="s">
        <v>5200</v>
      </c>
      <c r="I2482" s="32" t="s">
        <v>39</v>
      </c>
      <c r="J2482" s="32" t="s">
        <v>53</v>
      </c>
    </row>
    <row r="2483" spans="1:12" hidden="1" x14ac:dyDescent="0.3">
      <c r="A2483" s="39">
        <v>46147.395312499997</v>
      </c>
      <c r="B2483" s="32">
        <v>91989363636</v>
      </c>
      <c r="C2483" s="32" t="s">
        <v>43</v>
      </c>
      <c r="D2483" s="32">
        <v>4430265054</v>
      </c>
      <c r="E2483" s="32">
        <v>27</v>
      </c>
      <c r="F2483" s="32">
        <v>3</v>
      </c>
      <c r="G2483" s="32" t="s">
        <v>38</v>
      </c>
      <c r="H2483" s="32" t="s">
        <v>5201</v>
      </c>
      <c r="I2483" s="32" t="s">
        <v>39</v>
      </c>
      <c r="J2483" s="32" t="s">
        <v>40</v>
      </c>
      <c r="K2483" s="32" t="s">
        <v>41</v>
      </c>
    </row>
    <row r="2484" spans="1:12" hidden="1" x14ac:dyDescent="0.3">
      <c r="A2484" s="39">
        <v>46147.389120370368</v>
      </c>
      <c r="B2484" s="32">
        <v>4430562296</v>
      </c>
      <c r="C2484" s="32" t="s">
        <v>37</v>
      </c>
      <c r="D2484" s="32">
        <v>4430265054</v>
      </c>
      <c r="E2484" s="32">
        <v>201</v>
      </c>
      <c r="F2484" s="32">
        <v>168</v>
      </c>
      <c r="G2484" s="32" t="s">
        <v>38</v>
      </c>
      <c r="H2484" s="32" t="s">
        <v>5202</v>
      </c>
      <c r="I2484" s="32" t="s">
        <v>39</v>
      </c>
      <c r="J2484" s="32" t="s">
        <v>40</v>
      </c>
      <c r="K2484" s="32" t="s">
        <v>41</v>
      </c>
    </row>
    <row r="2485" spans="1:12" hidden="1" x14ac:dyDescent="0.3">
      <c r="A2485" s="39">
        <v>46147.383773148147</v>
      </c>
      <c r="B2485" s="32" t="s">
        <v>43</v>
      </c>
      <c r="C2485" s="32">
        <v>44991669595</v>
      </c>
      <c r="E2485" s="32">
        <v>163</v>
      </c>
      <c r="F2485" s="32">
        <v>155</v>
      </c>
      <c r="G2485" s="32" t="s">
        <v>38</v>
      </c>
      <c r="H2485" s="32" t="s">
        <v>5203</v>
      </c>
      <c r="I2485" s="32" t="s">
        <v>46</v>
      </c>
      <c r="J2485" s="32" t="s">
        <v>40</v>
      </c>
      <c r="L2485" s="32">
        <v>5</v>
      </c>
    </row>
    <row r="2486" spans="1:12" hidden="1" x14ac:dyDescent="0.3">
      <c r="A2486" s="39">
        <v>46147.383680555555</v>
      </c>
      <c r="B2486" s="32" t="s">
        <v>43</v>
      </c>
      <c r="C2486" s="32">
        <v>44991669595</v>
      </c>
      <c r="E2486" s="32">
        <v>6</v>
      </c>
      <c r="F2486" s="32">
        <v>0</v>
      </c>
      <c r="G2486" s="32" t="s">
        <v>47</v>
      </c>
      <c r="H2486" s="32" t="s">
        <v>5204</v>
      </c>
      <c r="I2486" s="32" t="s">
        <v>46</v>
      </c>
      <c r="J2486" s="32" t="s">
        <v>40</v>
      </c>
    </row>
    <row r="2487" spans="1:12" hidden="1" x14ac:dyDescent="0.3">
      <c r="A2487" s="39">
        <v>46147.382847222223</v>
      </c>
      <c r="B2487" s="32">
        <v>44997235101</v>
      </c>
      <c r="C2487" s="32" t="s">
        <v>45</v>
      </c>
      <c r="D2487" s="32">
        <v>4430265054</v>
      </c>
      <c r="E2487" s="32">
        <v>124</v>
      </c>
      <c r="F2487" s="32">
        <v>67</v>
      </c>
      <c r="G2487" s="32" t="s">
        <v>38</v>
      </c>
      <c r="H2487" s="32" t="s">
        <v>5205</v>
      </c>
      <c r="I2487" s="32" t="s">
        <v>39</v>
      </c>
      <c r="J2487" s="32" t="s">
        <v>40</v>
      </c>
      <c r="K2487" s="32" t="s">
        <v>41</v>
      </c>
    </row>
    <row r="2488" spans="1:12" hidden="1" x14ac:dyDescent="0.3">
      <c r="A2488" s="39">
        <v>46147.377916666665</v>
      </c>
      <c r="B2488" s="32">
        <v>4330332823</v>
      </c>
      <c r="C2488" s="32" t="s">
        <v>44</v>
      </c>
      <c r="D2488" s="32">
        <v>4430265054</v>
      </c>
      <c r="E2488" s="32">
        <v>547</v>
      </c>
      <c r="F2488" s="32">
        <v>471</v>
      </c>
      <c r="G2488" s="32" t="s">
        <v>38</v>
      </c>
      <c r="H2488" s="32" t="s">
        <v>5206</v>
      </c>
      <c r="I2488" s="32" t="s">
        <v>39</v>
      </c>
      <c r="J2488" s="32" t="s">
        <v>40</v>
      </c>
      <c r="K2488" s="32" t="s">
        <v>41</v>
      </c>
    </row>
    <row r="2489" spans="1:12" hidden="1" x14ac:dyDescent="0.3">
      <c r="A2489" s="39">
        <v>46147.376516203702</v>
      </c>
      <c r="B2489" s="32">
        <v>12997765962</v>
      </c>
      <c r="C2489" s="32" t="s">
        <v>48</v>
      </c>
      <c r="D2489" s="32">
        <v>4430265054</v>
      </c>
      <c r="E2489" s="32">
        <v>1144</v>
      </c>
      <c r="F2489" s="32">
        <v>1121</v>
      </c>
      <c r="G2489" s="32" t="s">
        <v>38</v>
      </c>
      <c r="H2489" s="32" t="s">
        <v>5207</v>
      </c>
      <c r="I2489" s="32" t="s">
        <v>39</v>
      </c>
      <c r="J2489" s="32" t="s">
        <v>40</v>
      </c>
      <c r="K2489" s="32" t="s">
        <v>41</v>
      </c>
      <c r="L2489" s="32">
        <v>5</v>
      </c>
    </row>
    <row r="2490" spans="1:12" hidden="1" x14ac:dyDescent="0.3">
      <c r="A2490" s="39">
        <v>46147.375821759262</v>
      </c>
      <c r="B2490" s="32">
        <v>18997449617</v>
      </c>
      <c r="C2490" s="32" t="s">
        <v>44</v>
      </c>
      <c r="D2490" s="32">
        <v>4430265054</v>
      </c>
      <c r="E2490" s="32">
        <v>221</v>
      </c>
      <c r="F2490" s="32">
        <v>42</v>
      </c>
      <c r="G2490" s="32" t="s">
        <v>38</v>
      </c>
      <c r="H2490" s="32" t="s">
        <v>5208</v>
      </c>
      <c r="I2490" s="32" t="s">
        <v>39</v>
      </c>
      <c r="J2490" s="32" t="s">
        <v>40</v>
      </c>
      <c r="K2490" s="32" t="s">
        <v>41</v>
      </c>
    </row>
    <row r="2491" spans="1:12" hidden="1" x14ac:dyDescent="0.3">
      <c r="A2491" s="39">
        <v>46147.373900462961</v>
      </c>
      <c r="B2491" s="32">
        <v>73982188717</v>
      </c>
      <c r="C2491" s="32" t="s">
        <v>43</v>
      </c>
      <c r="D2491" s="32">
        <v>4430265054</v>
      </c>
      <c r="E2491" s="32">
        <v>657</v>
      </c>
      <c r="F2491" s="32">
        <v>589</v>
      </c>
      <c r="G2491" s="32" t="s">
        <v>38</v>
      </c>
      <c r="H2491" s="32" t="s">
        <v>5209</v>
      </c>
      <c r="I2491" s="32" t="s">
        <v>39</v>
      </c>
      <c r="J2491" s="32" t="s">
        <v>40</v>
      </c>
      <c r="K2491" s="32" t="s">
        <v>41</v>
      </c>
    </row>
    <row r="2492" spans="1:12" hidden="1" x14ac:dyDescent="0.3">
      <c r="A2492" s="39">
        <v>46147.373344907406</v>
      </c>
      <c r="B2492" s="32">
        <v>44998582382</v>
      </c>
      <c r="C2492" s="32" t="s">
        <v>45</v>
      </c>
      <c r="D2492" s="32">
        <v>4430265054</v>
      </c>
      <c r="E2492" s="32">
        <v>543</v>
      </c>
      <c r="F2492" s="32">
        <v>516</v>
      </c>
      <c r="G2492" s="32" t="s">
        <v>38</v>
      </c>
      <c r="H2492" s="32" t="s">
        <v>5210</v>
      </c>
      <c r="I2492" s="32" t="s">
        <v>39</v>
      </c>
      <c r="J2492" s="32" t="s">
        <v>40</v>
      </c>
      <c r="K2492" s="32" t="s">
        <v>41</v>
      </c>
    </row>
    <row r="2493" spans="1:12" hidden="1" x14ac:dyDescent="0.3">
      <c r="A2493" s="39">
        <v>46147.365428240744</v>
      </c>
      <c r="B2493" s="32">
        <v>35998295948</v>
      </c>
      <c r="C2493" s="32" t="s">
        <v>37</v>
      </c>
      <c r="D2493" s="32">
        <v>4430265054</v>
      </c>
      <c r="E2493" s="32">
        <v>1118</v>
      </c>
      <c r="F2493" s="32">
        <v>1099</v>
      </c>
      <c r="G2493" s="32" t="s">
        <v>38</v>
      </c>
      <c r="H2493" s="32" t="s">
        <v>5211</v>
      </c>
      <c r="I2493" s="32" t="s">
        <v>39</v>
      </c>
      <c r="J2493" s="32" t="s">
        <v>40</v>
      </c>
      <c r="K2493" s="32" t="s">
        <v>41</v>
      </c>
    </row>
    <row r="2494" spans="1:12" hidden="1" x14ac:dyDescent="0.3">
      <c r="A2494" s="39">
        <v>46147.362395833334</v>
      </c>
      <c r="B2494" s="32">
        <v>44998640313</v>
      </c>
      <c r="C2494" s="32" t="s">
        <v>43</v>
      </c>
      <c r="D2494" s="32">
        <v>4430265054</v>
      </c>
      <c r="E2494" s="32">
        <v>837</v>
      </c>
      <c r="F2494" s="32">
        <v>811</v>
      </c>
      <c r="G2494" s="32" t="s">
        <v>38</v>
      </c>
      <c r="H2494" s="32" t="s">
        <v>5212</v>
      </c>
      <c r="I2494" s="32" t="s">
        <v>39</v>
      </c>
      <c r="J2494" s="32" t="s">
        <v>40</v>
      </c>
      <c r="K2494" s="32" t="s">
        <v>41</v>
      </c>
    </row>
    <row r="2495" spans="1:12" hidden="1" x14ac:dyDescent="0.3">
      <c r="A2495" s="39">
        <v>46147.360879629632</v>
      </c>
      <c r="B2495" s="32">
        <v>44988605867</v>
      </c>
      <c r="C2495" s="32" t="s">
        <v>45</v>
      </c>
      <c r="D2495" s="32">
        <v>4430265054</v>
      </c>
      <c r="E2495" s="32">
        <v>590</v>
      </c>
      <c r="F2495" s="32">
        <v>545</v>
      </c>
      <c r="G2495" s="32" t="s">
        <v>38</v>
      </c>
      <c r="H2495" s="32" t="s">
        <v>5213</v>
      </c>
      <c r="I2495" s="32" t="s">
        <v>39</v>
      </c>
      <c r="J2495" s="32" t="s">
        <v>40</v>
      </c>
      <c r="K2495" s="32" t="s">
        <v>41</v>
      </c>
      <c r="L2495" s="32">
        <v>5</v>
      </c>
    </row>
    <row r="2496" spans="1:12" hidden="1" x14ac:dyDescent="0.3">
      <c r="A2496" s="39">
        <v>46147.3591087963</v>
      </c>
      <c r="B2496" s="32">
        <v>44988255390</v>
      </c>
      <c r="C2496" s="32" t="s">
        <v>43</v>
      </c>
      <c r="D2496" s="32">
        <v>4430265054</v>
      </c>
      <c r="E2496" s="32">
        <v>180</v>
      </c>
      <c r="F2496" s="32">
        <v>137</v>
      </c>
      <c r="G2496" s="32" t="s">
        <v>38</v>
      </c>
      <c r="H2496" s="32" t="s">
        <v>5214</v>
      </c>
      <c r="I2496" s="32" t="s">
        <v>39</v>
      </c>
      <c r="J2496" s="32" t="s">
        <v>40</v>
      </c>
      <c r="K2496" s="32" t="s">
        <v>41</v>
      </c>
    </row>
    <row r="2497" spans="1:12" hidden="1" x14ac:dyDescent="0.3">
      <c r="A2497" s="39">
        <v>46147.357847222222</v>
      </c>
      <c r="B2497" s="32">
        <v>4334234629</v>
      </c>
      <c r="C2497" s="32" t="s">
        <v>44</v>
      </c>
      <c r="D2497" s="32">
        <v>4430265054</v>
      </c>
      <c r="E2497" s="32">
        <v>673</v>
      </c>
      <c r="F2497" s="32">
        <v>610</v>
      </c>
      <c r="G2497" s="32" t="s">
        <v>38</v>
      </c>
      <c r="H2497" s="32" t="s">
        <v>5215</v>
      </c>
      <c r="I2497" s="32" t="s">
        <v>39</v>
      </c>
      <c r="J2497" s="32" t="s">
        <v>40</v>
      </c>
      <c r="K2497" s="32" t="s">
        <v>41</v>
      </c>
      <c r="L2497" s="32">
        <v>5</v>
      </c>
    </row>
    <row r="2498" spans="1:12" hidden="1" x14ac:dyDescent="0.3">
      <c r="A2498" s="39">
        <v>46147.349664351852</v>
      </c>
      <c r="B2498" s="32">
        <v>44998640313</v>
      </c>
      <c r="C2498" s="32">
        <v>4430265054</v>
      </c>
      <c r="D2498" s="32">
        <v>4430265054</v>
      </c>
      <c r="E2498" s="32">
        <v>12</v>
      </c>
      <c r="F2498" s="32">
        <v>11</v>
      </c>
      <c r="G2498" s="32" t="s">
        <v>52</v>
      </c>
      <c r="H2498" s="32" t="s">
        <v>5216</v>
      </c>
      <c r="I2498" s="32" t="s">
        <v>39</v>
      </c>
      <c r="J2498" s="32" t="s">
        <v>53</v>
      </c>
    </row>
    <row r="2499" spans="1:12" hidden="1" x14ac:dyDescent="0.3">
      <c r="A2499" s="39">
        <v>46147.343726851854</v>
      </c>
      <c r="B2499" s="32">
        <v>44988255390</v>
      </c>
      <c r="C2499" s="32">
        <v>4430265054</v>
      </c>
      <c r="D2499" s="32">
        <v>4430265054</v>
      </c>
      <c r="E2499" s="32">
        <v>10</v>
      </c>
      <c r="F2499" s="32">
        <v>10</v>
      </c>
      <c r="G2499" s="32" t="s">
        <v>52</v>
      </c>
      <c r="H2499" s="32" t="s">
        <v>5217</v>
      </c>
      <c r="I2499" s="32" t="s">
        <v>39</v>
      </c>
      <c r="J2499" s="32" t="s">
        <v>53</v>
      </c>
    </row>
    <row r="2500" spans="1:12" hidden="1" x14ac:dyDescent="0.3">
      <c r="A2500" s="39">
        <v>46147.343136574076</v>
      </c>
      <c r="B2500" s="32" t="s">
        <v>43</v>
      </c>
      <c r="C2500" s="32">
        <v>44999646909</v>
      </c>
      <c r="E2500" s="32">
        <v>60</v>
      </c>
      <c r="F2500" s="32">
        <v>42</v>
      </c>
      <c r="G2500" s="32" t="s">
        <v>38</v>
      </c>
      <c r="H2500" s="32" t="s">
        <v>5218</v>
      </c>
      <c r="I2500" s="32" t="s">
        <v>46</v>
      </c>
      <c r="J2500" s="32" t="s">
        <v>40</v>
      </c>
    </row>
    <row r="2501" spans="1:12" hidden="1" x14ac:dyDescent="0.3">
      <c r="A2501" s="39">
        <v>46146.74291666667</v>
      </c>
      <c r="B2501" s="32" t="s">
        <v>57</v>
      </c>
      <c r="C2501" s="32">
        <v>1131043888</v>
      </c>
      <c r="E2501" s="32">
        <v>5</v>
      </c>
      <c r="F2501" s="32">
        <v>4</v>
      </c>
      <c r="G2501" s="32" t="s">
        <v>38</v>
      </c>
      <c r="H2501" s="32" t="s">
        <v>5219</v>
      </c>
      <c r="I2501" s="32" t="s">
        <v>46</v>
      </c>
      <c r="J2501" s="32" t="s">
        <v>55</v>
      </c>
    </row>
    <row r="2502" spans="1:12" hidden="1" x14ac:dyDescent="0.3">
      <c r="A2502" s="39">
        <v>46146.740208333336</v>
      </c>
      <c r="B2502" s="32">
        <v>4435228300</v>
      </c>
      <c r="C2502" s="32" t="s">
        <v>43</v>
      </c>
      <c r="D2502" s="32">
        <v>4430265054</v>
      </c>
      <c r="E2502" s="32">
        <v>397</v>
      </c>
      <c r="F2502" s="32">
        <v>350</v>
      </c>
      <c r="G2502" s="32" t="s">
        <v>38</v>
      </c>
      <c r="H2502" s="32" t="s">
        <v>5220</v>
      </c>
      <c r="I2502" s="32" t="s">
        <v>39</v>
      </c>
      <c r="J2502" s="32" t="s">
        <v>40</v>
      </c>
      <c r="K2502" s="32" t="s">
        <v>41</v>
      </c>
    </row>
    <row r="2503" spans="1:12" hidden="1" x14ac:dyDescent="0.3">
      <c r="A2503" s="39">
        <v>46146.738912037035</v>
      </c>
      <c r="B2503" s="32" t="s">
        <v>54</v>
      </c>
      <c r="C2503" s="32">
        <v>62996967823</v>
      </c>
      <c r="E2503" s="32">
        <v>8</v>
      </c>
      <c r="F2503" s="32">
        <v>0</v>
      </c>
      <c r="G2503" s="32" t="s">
        <v>38</v>
      </c>
      <c r="H2503" s="32" t="s">
        <v>5221</v>
      </c>
      <c r="I2503" s="32" t="s">
        <v>46</v>
      </c>
      <c r="J2503" s="32" t="s">
        <v>55</v>
      </c>
    </row>
    <row r="2504" spans="1:12" x14ac:dyDescent="0.3">
      <c r="A2504" s="39">
        <v>46146.734907407408</v>
      </c>
      <c r="B2504" s="32" t="s">
        <v>44</v>
      </c>
      <c r="C2504" s="32">
        <v>44991396687</v>
      </c>
      <c r="E2504" s="32">
        <v>760</v>
      </c>
      <c r="F2504" s="32">
        <v>749</v>
      </c>
      <c r="G2504" s="32" t="s">
        <v>38</v>
      </c>
      <c r="H2504" s="32" t="s">
        <v>5222</v>
      </c>
      <c r="I2504" s="32" t="s">
        <v>46</v>
      </c>
      <c r="J2504" s="32" t="s">
        <v>40</v>
      </c>
      <c r="L2504" s="32">
        <v>5</v>
      </c>
    </row>
    <row r="2505" spans="1:12" hidden="1" x14ac:dyDescent="0.3">
      <c r="A2505" s="39">
        <v>46146.734837962962</v>
      </c>
      <c r="B2505" s="32" t="s">
        <v>44</v>
      </c>
      <c r="C2505" s="32">
        <v>44991396687</v>
      </c>
      <c r="E2505" s="32">
        <v>5</v>
      </c>
      <c r="F2505" s="32">
        <v>0</v>
      </c>
      <c r="G2505" s="32" t="s">
        <v>47</v>
      </c>
      <c r="H2505" s="32" t="s">
        <v>5223</v>
      </c>
      <c r="I2505" s="32" t="s">
        <v>46</v>
      </c>
      <c r="J2505" s="32" t="s">
        <v>40</v>
      </c>
    </row>
    <row r="2506" spans="1:12" hidden="1" x14ac:dyDescent="0.3">
      <c r="A2506" s="39">
        <v>46146.721192129633</v>
      </c>
      <c r="B2506" s="32" t="s">
        <v>37</v>
      </c>
      <c r="C2506" s="32">
        <v>77981432308</v>
      </c>
      <c r="E2506" s="32">
        <v>9</v>
      </c>
      <c r="F2506" s="32">
        <v>0</v>
      </c>
      <c r="G2506" s="32" t="s">
        <v>47</v>
      </c>
      <c r="H2506" s="32" t="s">
        <v>5224</v>
      </c>
      <c r="I2506" s="32" t="s">
        <v>46</v>
      </c>
      <c r="J2506" s="32" t="s">
        <v>40</v>
      </c>
    </row>
    <row r="2507" spans="1:12" hidden="1" x14ac:dyDescent="0.3">
      <c r="A2507" s="39">
        <v>46146.716238425928</v>
      </c>
      <c r="B2507" s="32">
        <v>91981481202</v>
      </c>
      <c r="C2507" s="32" t="s">
        <v>43</v>
      </c>
      <c r="D2507" s="32">
        <v>4430265054</v>
      </c>
      <c r="E2507" s="32">
        <v>293</v>
      </c>
      <c r="F2507" s="32">
        <v>264</v>
      </c>
      <c r="G2507" s="32" t="s">
        <v>38</v>
      </c>
      <c r="H2507" s="32" t="s">
        <v>5225</v>
      </c>
      <c r="I2507" s="32" t="s">
        <v>39</v>
      </c>
      <c r="J2507" s="32" t="s">
        <v>40</v>
      </c>
      <c r="K2507" s="32" t="s">
        <v>41</v>
      </c>
    </row>
    <row r="2508" spans="1:12" hidden="1" x14ac:dyDescent="0.3">
      <c r="A2508" s="39">
        <v>46146.715243055558</v>
      </c>
      <c r="B2508" s="32">
        <v>44991396687</v>
      </c>
      <c r="C2508" s="32" t="s">
        <v>44</v>
      </c>
      <c r="D2508" s="32">
        <v>4430265054</v>
      </c>
      <c r="E2508" s="32">
        <v>664</v>
      </c>
      <c r="F2508" s="32">
        <v>650</v>
      </c>
      <c r="G2508" s="32" t="s">
        <v>38</v>
      </c>
      <c r="H2508" s="32" t="s">
        <v>5226</v>
      </c>
      <c r="I2508" s="32" t="s">
        <v>39</v>
      </c>
      <c r="J2508" s="32" t="s">
        <v>40</v>
      </c>
      <c r="K2508" s="32" t="s">
        <v>41</v>
      </c>
    </row>
    <row r="2509" spans="1:12" hidden="1" x14ac:dyDescent="0.3">
      <c r="A2509" s="39">
        <v>46146.71361111111</v>
      </c>
      <c r="B2509" s="32">
        <v>6234347959</v>
      </c>
      <c r="C2509" s="32" t="s">
        <v>37</v>
      </c>
      <c r="D2509" s="32">
        <v>4430265054</v>
      </c>
      <c r="E2509" s="32">
        <v>219</v>
      </c>
      <c r="F2509" s="32">
        <v>188</v>
      </c>
      <c r="G2509" s="32" t="s">
        <v>38</v>
      </c>
      <c r="H2509" s="32" t="s">
        <v>5227</v>
      </c>
      <c r="I2509" s="32" t="s">
        <v>39</v>
      </c>
      <c r="J2509" s="32" t="s">
        <v>40</v>
      </c>
      <c r="K2509" s="32" t="s">
        <v>41</v>
      </c>
    </row>
    <row r="2510" spans="1:12" hidden="1" x14ac:dyDescent="0.3">
      <c r="A2510" s="39">
        <v>46146.712754629632</v>
      </c>
      <c r="B2510" s="32">
        <v>43999317663</v>
      </c>
      <c r="C2510" s="32" t="s">
        <v>43</v>
      </c>
      <c r="D2510" s="32">
        <v>4430265054</v>
      </c>
      <c r="E2510" s="32">
        <v>227</v>
      </c>
      <c r="F2510" s="32">
        <v>197</v>
      </c>
      <c r="G2510" s="32" t="s">
        <v>38</v>
      </c>
      <c r="H2510" s="32" t="s">
        <v>5228</v>
      </c>
      <c r="I2510" s="32" t="s">
        <v>39</v>
      </c>
      <c r="J2510" s="32" t="s">
        <v>40</v>
      </c>
      <c r="K2510" s="32" t="s">
        <v>41</v>
      </c>
    </row>
    <row r="2511" spans="1:12" hidden="1" x14ac:dyDescent="0.3">
      <c r="A2511" s="39">
        <v>46146.709618055553</v>
      </c>
      <c r="B2511" s="32">
        <v>35998295948</v>
      </c>
      <c r="C2511" s="32" t="s">
        <v>45</v>
      </c>
      <c r="D2511" s="32">
        <v>4430265054</v>
      </c>
      <c r="E2511" s="32">
        <v>886</v>
      </c>
      <c r="F2511" s="32">
        <v>863</v>
      </c>
      <c r="G2511" s="32" t="s">
        <v>38</v>
      </c>
      <c r="H2511" s="32" t="s">
        <v>5229</v>
      </c>
      <c r="I2511" s="32" t="s">
        <v>39</v>
      </c>
      <c r="J2511" s="32" t="s">
        <v>40</v>
      </c>
      <c r="K2511" s="32" t="s">
        <v>41</v>
      </c>
    </row>
    <row r="2512" spans="1:12" hidden="1" x14ac:dyDescent="0.3">
      <c r="A2512" s="39">
        <v>46146.707916666666</v>
      </c>
      <c r="B2512" s="32">
        <v>44998562645</v>
      </c>
      <c r="C2512" s="32" t="s">
        <v>45</v>
      </c>
      <c r="D2512" s="32">
        <v>4430265054</v>
      </c>
      <c r="E2512" s="32">
        <v>90</v>
      </c>
      <c r="F2512" s="32">
        <v>64</v>
      </c>
      <c r="G2512" s="32" t="s">
        <v>38</v>
      </c>
      <c r="H2512" s="32" t="s">
        <v>5230</v>
      </c>
      <c r="I2512" s="32" t="s">
        <v>39</v>
      </c>
      <c r="J2512" s="32" t="s">
        <v>40</v>
      </c>
      <c r="K2512" s="32" t="s">
        <v>41</v>
      </c>
    </row>
    <row r="2513" spans="1:11" hidden="1" x14ac:dyDescent="0.3">
      <c r="A2513" s="39">
        <v>46146.703449074077</v>
      </c>
      <c r="B2513" s="32" t="s">
        <v>37</v>
      </c>
      <c r="C2513" s="32">
        <v>77981432308</v>
      </c>
      <c r="E2513" s="32">
        <v>7</v>
      </c>
      <c r="F2513" s="32">
        <v>0</v>
      </c>
      <c r="G2513" s="32" t="s">
        <v>47</v>
      </c>
      <c r="H2513" s="32" t="s">
        <v>5231</v>
      </c>
      <c r="I2513" s="32" t="s">
        <v>46</v>
      </c>
      <c r="J2513" s="32" t="s">
        <v>40</v>
      </c>
    </row>
    <row r="2514" spans="1:11" hidden="1" x14ac:dyDescent="0.3">
      <c r="A2514" s="39">
        <v>46146.701967592591</v>
      </c>
      <c r="B2514" s="32">
        <v>43999317663</v>
      </c>
      <c r="C2514" s="32" t="s">
        <v>45</v>
      </c>
      <c r="D2514" s="32">
        <v>4430265054</v>
      </c>
      <c r="E2514" s="32">
        <v>22</v>
      </c>
      <c r="F2514" s="32">
        <v>4</v>
      </c>
      <c r="G2514" s="32" t="s">
        <v>38</v>
      </c>
      <c r="H2514" s="32" t="s">
        <v>5232</v>
      </c>
      <c r="I2514" s="32" t="s">
        <v>39</v>
      </c>
      <c r="J2514" s="32" t="s">
        <v>40</v>
      </c>
      <c r="K2514" s="32" t="s">
        <v>41</v>
      </c>
    </row>
    <row r="2515" spans="1:11" hidden="1" x14ac:dyDescent="0.3">
      <c r="A2515" s="39">
        <v>46146.701898148145</v>
      </c>
      <c r="B2515" s="32" t="s">
        <v>37</v>
      </c>
      <c r="C2515" s="32">
        <v>77981432308</v>
      </c>
      <c r="E2515" s="32">
        <v>5</v>
      </c>
      <c r="F2515" s="32">
        <v>0</v>
      </c>
      <c r="G2515" s="32" t="s">
        <v>47</v>
      </c>
      <c r="H2515" s="32" t="s">
        <v>5233</v>
      </c>
      <c r="I2515" s="32" t="s">
        <v>46</v>
      </c>
      <c r="J2515" s="32" t="s">
        <v>40</v>
      </c>
    </row>
    <row r="2516" spans="1:11" hidden="1" x14ac:dyDescent="0.3">
      <c r="A2516" s="39">
        <v>46146.701805555553</v>
      </c>
      <c r="B2516" s="32" t="s">
        <v>37</v>
      </c>
      <c r="C2516" s="32">
        <v>77981432308</v>
      </c>
      <c r="E2516" s="32">
        <v>5</v>
      </c>
      <c r="F2516" s="32">
        <v>0</v>
      </c>
      <c r="G2516" s="32" t="s">
        <v>47</v>
      </c>
      <c r="H2516" s="32" t="s">
        <v>5234</v>
      </c>
      <c r="I2516" s="32" t="s">
        <v>46</v>
      </c>
      <c r="J2516" s="32" t="s">
        <v>40</v>
      </c>
    </row>
    <row r="2517" spans="1:11" hidden="1" x14ac:dyDescent="0.3">
      <c r="A2517" s="39">
        <v>46146.70171296296</v>
      </c>
      <c r="B2517" s="32" t="s">
        <v>37</v>
      </c>
      <c r="C2517" s="32">
        <v>77981432308</v>
      </c>
      <c r="E2517" s="32">
        <v>6</v>
      </c>
      <c r="F2517" s="32">
        <v>0</v>
      </c>
      <c r="G2517" s="32" t="s">
        <v>47</v>
      </c>
      <c r="H2517" s="32" t="s">
        <v>5235</v>
      </c>
      <c r="I2517" s="32" t="s">
        <v>46</v>
      </c>
      <c r="J2517" s="32" t="s">
        <v>40</v>
      </c>
    </row>
    <row r="2518" spans="1:11" hidden="1" x14ac:dyDescent="0.3">
      <c r="A2518" s="39">
        <v>46146.700821759259</v>
      </c>
      <c r="B2518" s="32" t="s">
        <v>37</v>
      </c>
      <c r="C2518" s="32">
        <v>77981432308</v>
      </c>
      <c r="E2518" s="32">
        <v>43</v>
      </c>
      <c r="F2518" s="32">
        <v>0</v>
      </c>
      <c r="G2518" s="32" t="s">
        <v>47</v>
      </c>
      <c r="H2518" s="32" t="s">
        <v>5236</v>
      </c>
      <c r="I2518" s="32" t="s">
        <v>46</v>
      </c>
      <c r="J2518" s="32" t="s">
        <v>40</v>
      </c>
    </row>
    <row r="2519" spans="1:11" hidden="1" x14ac:dyDescent="0.3">
      <c r="A2519" s="39">
        <v>46146.700300925928</v>
      </c>
      <c r="B2519" s="32">
        <v>45999211357</v>
      </c>
      <c r="C2519" s="32" t="s">
        <v>45</v>
      </c>
      <c r="D2519" s="32">
        <v>4431268225</v>
      </c>
      <c r="E2519" s="32">
        <v>111</v>
      </c>
      <c r="F2519" s="32">
        <v>60</v>
      </c>
      <c r="G2519" s="32" t="s">
        <v>38</v>
      </c>
      <c r="H2519" s="32" t="s">
        <v>5237</v>
      </c>
      <c r="I2519" s="32" t="s">
        <v>39</v>
      </c>
      <c r="J2519" s="32" t="s">
        <v>40</v>
      </c>
      <c r="K2519" s="32" t="s">
        <v>41</v>
      </c>
    </row>
    <row r="2520" spans="1:11" hidden="1" x14ac:dyDescent="0.3">
      <c r="A2520" s="39">
        <v>46146.700023148151</v>
      </c>
      <c r="B2520" s="32" t="s">
        <v>48</v>
      </c>
      <c r="C2520" s="32">
        <v>4430191401</v>
      </c>
      <c r="E2520" s="32">
        <v>660</v>
      </c>
      <c r="F2520" s="32">
        <v>655</v>
      </c>
      <c r="G2520" s="32" t="s">
        <v>38</v>
      </c>
      <c r="H2520" s="32" t="s">
        <v>5238</v>
      </c>
      <c r="I2520" s="32" t="s">
        <v>46</v>
      </c>
      <c r="J2520" s="32" t="s">
        <v>40</v>
      </c>
    </row>
    <row r="2521" spans="1:11" hidden="1" x14ac:dyDescent="0.3">
      <c r="A2521" s="39">
        <v>46146.697372685187</v>
      </c>
      <c r="B2521" s="32">
        <v>77981432308</v>
      </c>
      <c r="C2521" s="32" t="s">
        <v>37</v>
      </c>
      <c r="D2521" s="32">
        <v>4430265054</v>
      </c>
      <c r="E2521" s="32">
        <v>224</v>
      </c>
      <c r="F2521" s="32">
        <v>165</v>
      </c>
      <c r="G2521" s="32" t="s">
        <v>38</v>
      </c>
      <c r="H2521" s="32" t="s">
        <v>5239</v>
      </c>
      <c r="I2521" s="32" t="s">
        <v>39</v>
      </c>
      <c r="J2521" s="32" t="s">
        <v>40</v>
      </c>
      <c r="K2521" s="32" t="s">
        <v>41</v>
      </c>
    </row>
    <row r="2522" spans="1:11" hidden="1" x14ac:dyDescent="0.3">
      <c r="A2522" s="39">
        <v>46146.695798611108</v>
      </c>
      <c r="B2522" s="32">
        <v>43999317663</v>
      </c>
      <c r="C2522" s="32" t="s">
        <v>45</v>
      </c>
      <c r="D2522" s="32">
        <v>4430265054</v>
      </c>
      <c r="E2522" s="32">
        <v>266</v>
      </c>
      <c r="F2522" s="32">
        <v>238</v>
      </c>
      <c r="G2522" s="32" t="s">
        <v>38</v>
      </c>
      <c r="H2522" s="32" t="s">
        <v>5240</v>
      </c>
      <c r="I2522" s="32" t="s">
        <v>39</v>
      </c>
      <c r="J2522" s="32" t="s">
        <v>40</v>
      </c>
      <c r="K2522" s="32" t="s">
        <v>41</v>
      </c>
    </row>
    <row r="2523" spans="1:11" hidden="1" x14ac:dyDescent="0.3">
      <c r="A2523" s="39">
        <v>46146.693761574075</v>
      </c>
      <c r="B2523" s="32">
        <v>44998640313</v>
      </c>
      <c r="C2523" s="32" t="s">
        <v>48</v>
      </c>
      <c r="D2523" s="32">
        <v>4430265054</v>
      </c>
      <c r="E2523" s="32">
        <v>433</v>
      </c>
      <c r="F2523" s="32">
        <v>392</v>
      </c>
      <c r="G2523" s="32" t="s">
        <v>38</v>
      </c>
      <c r="H2523" s="32" t="s">
        <v>5241</v>
      </c>
      <c r="I2523" s="32" t="s">
        <v>39</v>
      </c>
      <c r="J2523" s="32" t="s">
        <v>40</v>
      </c>
      <c r="K2523" s="32" t="s">
        <v>41</v>
      </c>
    </row>
    <row r="2524" spans="1:11" hidden="1" x14ac:dyDescent="0.3">
      <c r="A2524" s="39">
        <v>46146.693576388891</v>
      </c>
      <c r="B2524" s="32" t="s">
        <v>54</v>
      </c>
      <c r="C2524" s="32">
        <v>77999500882</v>
      </c>
      <c r="E2524" s="32">
        <v>10</v>
      </c>
      <c r="F2524" s="32">
        <v>5</v>
      </c>
      <c r="G2524" s="32" t="s">
        <v>38</v>
      </c>
      <c r="H2524" s="32" t="s">
        <v>5242</v>
      </c>
      <c r="I2524" s="32" t="s">
        <v>46</v>
      </c>
      <c r="J2524" s="32" t="s">
        <v>55</v>
      </c>
    </row>
    <row r="2525" spans="1:11" hidden="1" x14ac:dyDescent="0.3">
      <c r="A2525" s="39">
        <v>46146.693368055552</v>
      </c>
      <c r="B2525" s="32">
        <v>4430191401</v>
      </c>
      <c r="C2525" s="32" t="s">
        <v>45</v>
      </c>
      <c r="D2525" s="32">
        <v>4430265054</v>
      </c>
      <c r="E2525" s="32">
        <v>147</v>
      </c>
      <c r="F2525" s="32">
        <v>52</v>
      </c>
      <c r="G2525" s="32" t="s">
        <v>38</v>
      </c>
      <c r="H2525" s="32" t="s">
        <v>5243</v>
      </c>
      <c r="I2525" s="32" t="s">
        <v>39</v>
      </c>
      <c r="J2525" s="32" t="s">
        <v>40</v>
      </c>
      <c r="K2525" s="32" t="s">
        <v>41</v>
      </c>
    </row>
    <row r="2526" spans="1:11" hidden="1" x14ac:dyDescent="0.3">
      <c r="A2526" s="39">
        <v>46146.692233796297</v>
      </c>
      <c r="B2526" s="32" t="s">
        <v>37</v>
      </c>
      <c r="C2526" s="32">
        <v>4434212150</v>
      </c>
      <c r="E2526" s="32">
        <v>176</v>
      </c>
      <c r="F2526" s="32">
        <v>168</v>
      </c>
      <c r="G2526" s="32" t="s">
        <v>38</v>
      </c>
      <c r="H2526" s="32" t="s">
        <v>5244</v>
      </c>
      <c r="I2526" s="32" t="s">
        <v>46</v>
      </c>
      <c r="J2526" s="32" t="s">
        <v>40</v>
      </c>
    </row>
    <row r="2527" spans="1:11" hidden="1" x14ac:dyDescent="0.3">
      <c r="A2527" s="39">
        <v>46146.692083333335</v>
      </c>
      <c r="B2527" s="32" t="s">
        <v>54</v>
      </c>
      <c r="C2527" s="32">
        <v>41999318160</v>
      </c>
      <c r="E2527" s="32">
        <v>7</v>
      </c>
      <c r="F2527" s="32">
        <v>2</v>
      </c>
      <c r="G2527" s="32" t="s">
        <v>38</v>
      </c>
      <c r="H2527" s="32" t="s">
        <v>5245</v>
      </c>
      <c r="I2527" s="32" t="s">
        <v>46</v>
      </c>
      <c r="J2527" s="32" t="s">
        <v>55</v>
      </c>
    </row>
    <row r="2528" spans="1:11" hidden="1" x14ac:dyDescent="0.3">
      <c r="A2528" s="39">
        <v>46146.690879629627</v>
      </c>
      <c r="B2528" s="32">
        <v>1128897100</v>
      </c>
      <c r="C2528" s="32" t="s">
        <v>44</v>
      </c>
      <c r="D2528" s="32">
        <v>4430265054</v>
      </c>
      <c r="E2528" s="32">
        <v>565</v>
      </c>
      <c r="F2528" s="32">
        <v>533</v>
      </c>
      <c r="G2528" s="32" t="s">
        <v>38</v>
      </c>
      <c r="H2528" s="32" t="s">
        <v>5246</v>
      </c>
      <c r="I2528" s="32" t="s">
        <v>39</v>
      </c>
      <c r="J2528" s="32" t="s">
        <v>40</v>
      </c>
      <c r="K2528" s="32" t="s">
        <v>41</v>
      </c>
    </row>
    <row r="2529" spans="1:12" hidden="1" x14ac:dyDescent="0.3">
      <c r="A2529" s="39">
        <v>46146.688298611109</v>
      </c>
      <c r="B2529" s="32">
        <v>4421032923</v>
      </c>
      <c r="C2529" s="32">
        <v>4430265054</v>
      </c>
      <c r="D2529" s="32">
        <v>4430265054</v>
      </c>
      <c r="E2529" s="32">
        <v>3</v>
      </c>
      <c r="F2529" s="32">
        <v>2</v>
      </c>
      <c r="G2529" s="32" t="s">
        <v>52</v>
      </c>
      <c r="H2529" s="32" t="s">
        <v>5247</v>
      </c>
      <c r="I2529" s="32" t="s">
        <v>39</v>
      </c>
      <c r="J2529" s="32" t="s">
        <v>53</v>
      </c>
    </row>
    <row r="2530" spans="1:12" hidden="1" x14ac:dyDescent="0.3">
      <c r="A2530" s="39">
        <v>46146.688113425924</v>
      </c>
      <c r="B2530" s="32">
        <v>4436312588</v>
      </c>
      <c r="C2530" s="32" t="s">
        <v>43</v>
      </c>
      <c r="D2530" s="32">
        <v>4430265054</v>
      </c>
      <c r="E2530" s="32">
        <v>556</v>
      </c>
      <c r="F2530" s="32">
        <v>480</v>
      </c>
      <c r="G2530" s="32" t="s">
        <v>38</v>
      </c>
      <c r="H2530" s="32" t="s">
        <v>5248</v>
      </c>
      <c r="I2530" s="32" t="s">
        <v>39</v>
      </c>
      <c r="J2530" s="32" t="s">
        <v>40</v>
      </c>
      <c r="K2530" s="32" t="s">
        <v>41</v>
      </c>
    </row>
    <row r="2531" spans="1:12" hidden="1" x14ac:dyDescent="0.3">
      <c r="A2531" s="39">
        <v>46146.687210648146</v>
      </c>
      <c r="B2531" s="32" t="s">
        <v>54</v>
      </c>
      <c r="C2531" s="32">
        <v>6121931397</v>
      </c>
      <c r="E2531" s="32">
        <v>76</v>
      </c>
      <c r="F2531" s="32">
        <v>59</v>
      </c>
      <c r="G2531" s="32" t="s">
        <v>38</v>
      </c>
      <c r="H2531" s="32" t="s">
        <v>5249</v>
      </c>
      <c r="I2531" s="32" t="s">
        <v>46</v>
      </c>
      <c r="J2531" s="32" t="s">
        <v>55</v>
      </c>
    </row>
    <row r="2532" spans="1:12" hidden="1" x14ac:dyDescent="0.3">
      <c r="A2532" s="39">
        <v>46146.683657407404</v>
      </c>
      <c r="B2532" s="32">
        <v>44998562645</v>
      </c>
      <c r="C2532" s="32" t="s">
        <v>45</v>
      </c>
      <c r="D2532" s="32">
        <v>4430265054</v>
      </c>
      <c r="E2532" s="32">
        <v>527</v>
      </c>
      <c r="F2532" s="32">
        <v>509</v>
      </c>
      <c r="G2532" s="32" t="s">
        <v>38</v>
      </c>
      <c r="H2532" s="32" t="s">
        <v>5250</v>
      </c>
      <c r="I2532" s="32" t="s">
        <v>39</v>
      </c>
      <c r="J2532" s="32" t="s">
        <v>40</v>
      </c>
      <c r="K2532" s="32" t="s">
        <v>41</v>
      </c>
      <c r="L2532" s="32">
        <v>5</v>
      </c>
    </row>
    <row r="2533" spans="1:12" hidden="1" x14ac:dyDescent="0.3">
      <c r="A2533" s="39">
        <v>46146.68037037037</v>
      </c>
      <c r="B2533" s="32">
        <v>44991396687</v>
      </c>
      <c r="C2533" s="32" t="s">
        <v>43</v>
      </c>
      <c r="D2533" s="32">
        <v>4430265054</v>
      </c>
      <c r="E2533" s="32">
        <v>224</v>
      </c>
      <c r="F2533" s="32">
        <v>188</v>
      </c>
      <c r="G2533" s="32" t="s">
        <v>38</v>
      </c>
      <c r="H2533" s="32" t="s">
        <v>5251</v>
      </c>
      <c r="I2533" s="32" t="s">
        <v>39</v>
      </c>
      <c r="J2533" s="32" t="s">
        <v>40</v>
      </c>
      <c r="K2533" s="32" t="s">
        <v>41</v>
      </c>
      <c r="L2533" s="32">
        <v>5</v>
      </c>
    </row>
    <row r="2534" spans="1:12" hidden="1" x14ac:dyDescent="0.3">
      <c r="A2534" s="39">
        <v>46146.675393518519</v>
      </c>
      <c r="B2534" s="32">
        <v>4436311970</v>
      </c>
      <c r="C2534" s="32" t="s">
        <v>37</v>
      </c>
      <c r="D2534" s="32">
        <v>4430265054</v>
      </c>
      <c r="E2534" s="32">
        <v>742</v>
      </c>
      <c r="F2534" s="32">
        <v>661</v>
      </c>
      <c r="G2534" s="32" t="s">
        <v>38</v>
      </c>
      <c r="H2534" s="32" t="s">
        <v>5252</v>
      </c>
      <c r="I2534" s="32" t="s">
        <v>39</v>
      </c>
      <c r="J2534" s="32" t="s">
        <v>40</v>
      </c>
      <c r="K2534" s="32" t="s">
        <v>41</v>
      </c>
    </row>
    <row r="2535" spans="1:12" hidden="1" x14ac:dyDescent="0.3">
      <c r="A2535" s="39">
        <v>46146.675150462965</v>
      </c>
      <c r="B2535" s="32">
        <v>99996511677</v>
      </c>
      <c r="C2535" s="32" t="s">
        <v>43</v>
      </c>
      <c r="D2535" s="32">
        <v>4430265054</v>
      </c>
      <c r="E2535" s="32">
        <v>233</v>
      </c>
      <c r="F2535" s="32">
        <v>194</v>
      </c>
      <c r="G2535" s="32" t="s">
        <v>38</v>
      </c>
      <c r="H2535" s="32" t="s">
        <v>5253</v>
      </c>
      <c r="I2535" s="32" t="s">
        <v>39</v>
      </c>
      <c r="J2535" s="32" t="s">
        <v>40</v>
      </c>
      <c r="K2535" s="32" t="s">
        <v>41</v>
      </c>
    </row>
    <row r="2536" spans="1:12" hidden="1" x14ac:dyDescent="0.3">
      <c r="A2536" s="39">
        <v>46146.674120370371</v>
      </c>
      <c r="B2536" s="32" t="s">
        <v>45</v>
      </c>
      <c r="C2536" s="32">
        <v>11940298065</v>
      </c>
      <c r="E2536" s="32">
        <v>512</v>
      </c>
      <c r="F2536" s="32">
        <v>506</v>
      </c>
      <c r="G2536" s="32" t="s">
        <v>38</v>
      </c>
      <c r="H2536" s="32" t="s">
        <v>5254</v>
      </c>
      <c r="I2536" s="32" t="s">
        <v>46</v>
      </c>
      <c r="J2536" s="32" t="s">
        <v>40</v>
      </c>
      <c r="L2536" s="32">
        <v>5</v>
      </c>
    </row>
    <row r="2537" spans="1:12" hidden="1" x14ac:dyDescent="0.3">
      <c r="A2537" s="39">
        <v>46146.672349537039</v>
      </c>
      <c r="B2537" s="32">
        <v>4430450103</v>
      </c>
      <c r="C2537" s="32" t="s">
        <v>48</v>
      </c>
      <c r="D2537" s="32">
        <v>4430265054</v>
      </c>
      <c r="E2537" s="32">
        <v>237</v>
      </c>
      <c r="F2537" s="32">
        <v>150</v>
      </c>
      <c r="G2537" s="32" t="s">
        <v>38</v>
      </c>
      <c r="H2537" s="32" t="s">
        <v>5255</v>
      </c>
      <c r="I2537" s="32" t="s">
        <v>39</v>
      </c>
      <c r="J2537" s="32" t="s">
        <v>40</v>
      </c>
      <c r="K2537" s="32" t="s">
        <v>41</v>
      </c>
      <c r="L2537" s="32">
        <v>5</v>
      </c>
    </row>
    <row r="2538" spans="1:12" hidden="1" x14ac:dyDescent="0.3">
      <c r="A2538" s="39">
        <v>46146.670995370368</v>
      </c>
      <c r="B2538" s="32">
        <v>44988067937</v>
      </c>
      <c r="C2538" s="32" t="s">
        <v>48</v>
      </c>
      <c r="D2538" s="32">
        <v>4430265054</v>
      </c>
      <c r="E2538" s="32">
        <v>188</v>
      </c>
      <c r="F2538" s="32">
        <v>125</v>
      </c>
      <c r="G2538" s="32" t="s">
        <v>38</v>
      </c>
      <c r="H2538" s="32" t="s">
        <v>5256</v>
      </c>
      <c r="I2538" s="32" t="s">
        <v>39</v>
      </c>
      <c r="J2538" s="32" t="s">
        <v>40</v>
      </c>
      <c r="K2538" s="32" t="s">
        <v>41</v>
      </c>
    </row>
    <row r="2539" spans="1:12" hidden="1" x14ac:dyDescent="0.3">
      <c r="A2539" s="39">
        <v>46146.669756944444</v>
      </c>
      <c r="B2539" s="32">
        <v>45999334612</v>
      </c>
      <c r="C2539" s="32" t="s">
        <v>44</v>
      </c>
      <c r="D2539" s="32">
        <v>4430265054</v>
      </c>
      <c r="E2539" s="32">
        <v>1706</v>
      </c>
      <c r="F2539" s="32">
        <v>1643</v>
      </c>
      <c r="G2539" s="32" t="s">
        <v>38</v>
      </c>
      <c r="H2539" s="32" t="s">
        <v>5257</v>
      </c>
      <c r="I2539" s="32" t="s">
        <v>39</v>
      </c>
      <c r="J2539" s="32" t="s">
        <v>40</v>
      </c>
      <c r="K2539" s="32" t="s">
        <v>41</v>
      </c>
      <c r="L2539" s="32">
        <v>5</v>
      </c>
    </row>
    <row r="2540" spans="1:12" hidden="1" x14ac:dyDescent="0.3">
      <c r="A2540" s="39">
        <v>46146.668912037036</v>
      </c>
      <c r="B2540" s="32">
        <v>4121418164</v>
      </c>
      <c r="C2540" s="32" t="s">
        <v>44</v>
      </c>
      <c r="D2540" s="32">
        <v>4531273162</v>
      </c>
      <c r="E2540" s="32">
        <v>46</v>
      </c>
      <c r="F2540" s="32">
        <v>9</v>
      </c>
      <c r="G2540" s="32" t="s">
        <v>38</v>
      </c>
      <c r="H2540" s="32" t="s">
        <v>5258</v>
      </c>
      <c r="I2540" s="32" t="s">
        <v>39</v>
      </c>
      <c r="J2540" s="32" t="s">
        <v>40</v>
      </c>
      <c r="K2540" s="32" t="s">
        <v>41</v>
      </c>
    </row>
    <row r="2541" spans="1:12" hidden="1" x14ac:dyDescent="0.3">
      <c r="A2541" s="39">
        <v>46146.666898148149</v>
      </c>
      <c r="B2541" s="32">
        <v>45999211357</v>
      </c>
      <c r="C2541" s="32" t="s">
        <v>43</v>
      </c>
      <c r="D2541" s="32">
        <v>4431268225</v>
      </c>
      <c r="E2541" s="32">
        <v>602</v>
      </c>
      <c r="F2541" s="32">
        <v>580</v>
      </c>
      <c r="G2541" s="32" t="s">
        <v>38</v>
      </c>
      <c r="H2541" s="32" t="s">
        <v>5259</v>
      </c>
      <c r="I2541" s="32" t="s">
        <v>39</v>
      </c>
      <c r="J2541" s="32" t="s">
        <v>40</v>
      </c>
      <c r="K2541" s="32" t="s">
        <v>41</v>
      </c>
      <c r="L2541" s="32">
        <v>5</v>
      </c>
    </row>
    <row r="2542" spans="1:12" hidden="1" x14ac:dyDescent="0.3">
      <c r="A2542" s="39">
        <v>46146.666331018518</v>
      </c>
      <c r="B2542" s="32">
        <v>1128897100</v>
      </c>
      <c r="C2542" s="32" t="s">
        <v>44</v>
      </c>
      <c r="D2542" s="32">
        <v>4430265054</v>
      </c>
      <c r="E2542" s="32">
        <v>250</v>
      </c>
      <c r="F2542" s="32">
        <v>235</v>
      </c>
      <c r="G2542" s="32" t="s">
        <v>38</v>
      </c>
      <c r="H2542" s="32" t="s">
        <v>5260</v>
      </c>
      <c r="I2542" s="32" t="s">
        <v>39</v>
      </c>
      <c r="J2542" s="32" t="s">
        <v>40</v>
      </c>
      <c r="K2542" s="32" t="s">
        <v>49</v>
      </c>
    </row>
    <row r="2543" spans="1:12" hidden="1" x14ac:dyDescent="0.3">
      <c r="A2543" s="39">
        <v>46146.665983796294</v>
      </c>
      <c r="B2543" s="32">
        <v>44991116911</v>
      </c>
      <c r="C2543" s="32" t="s">
        <v>37</v>
      </c>
      <c r="D2543" s="32">
        <v>4430265054</v>
      </c>
      <c r="E2543" s="32">
        <v>707</v>
      </c>
      <c r="F2543" s="32">
        <v>685</v>
      </c>
      <c r="G2543" s="32" t="s">
        <v>38</v>
      </c>
      <c r="H2543" s="32" t="s">
        <v>5261</v>
      </c>
      <c r="I2543" s="32" t="s">
        <v>39</v>
      </c>
      <c r="J2543" s="32" t="s">
        <v>40</v>
      </c>
      <c r="K2543" s="32" t="s">
        <v>41</v>
      </c>
      <c r="L2543" s="32">
        <v>5</v>
      </c>
    </row>
    <row r="2544" spans="1:12" hidden="1" x14ac:dyDescent="0.3">
      <c r="A2544" s="39">
        <v>46146.664872685185</v>
      </c>
      <c r="B2544" s="32">
        <v>4421032920</v>
      </c>
      <c r="C2544" s="32">
        <v>4430265054</v>
      </c>
      <c r="D2544" s="32">
        <v>4430265054</v>
      </c>
      <c r="E2544" s="32">
        <v>3</v>
      </c>
      <c r="F2544" s="32">
        <v>3</v>
      </c>
      <c r="G2544" s="32" t="s">
        <v>52</v>
      </c>
      <c r="H2544" s="32" t="s">
        <v>5262</v>
      </c>
      <c r="I2544" s="32" t="s">
        <v>39</v>
      </c>
      <c r="J2544" s="32" t="s">
        <v>53</v>
      </c>
    </row>
    <row r="2545" spans="1:12" hidden="1" x14ac:dyDescent="0.3">
      <c r="A2545" s="39">
        <v>46146.662743055553</v>
      </c>
      <c r="B2545" s="32">
        <v>91989363636</v>
      </c>
      <c r="C2545" s="32" t="s">
        <v>43</v>
      </c>
      <c r="D2545" s="32">
        <v>4430265054</v>
      </c>
      <c r="E2545" s="32">
        <v>294</v>
      </c>
      <c r="F2545" s="32">
        <v>182</v>
      </c>
      <c r="G2545" s="32" t="s">
        <v>38</v>
      </c>
      <c r="H2545" s="32" t="s">
        <v>5263</v>
      </c>
      <c r="I2545" s="32" t="s">
        <v>39</v>
      </c>
      <c r="J2545" s="32" t="s">
        <v>40</v>
      </c>
      <c r="K2545" s="32" t="s">
        <v>41</v>
      </c>
    </row>
    <row r="2546" spans="1:12" hidden="1" x14ac:dyDescent="0.3">
      <c r="A2546" s="39">
        <v>46146.657175925924</v>
      </c>
      <c r="B2546" s="32">
        <v>4432524652</v>
      </c>
      <c r="C2546" s="32" t="s">
        <v>44</v>
      </c>
      <c r="D2546" s="32">
        <v>4430265054</v>
      </c>
      <c r="E2546" s="32">
        <v>186</v>
      </c>
      <c r="F2546" s="32">
        <v>161</v>
      </c>
      <c r="G2546" s="32" t="s">
        <v>38</v>
      </c>
      <c r="H2546" s="32" t="s">
        <v>5264</v>
      </c>
      <c r="I2546" s="32" t="s">
        <v>39</v>
      </c>
      <c r="J2546" s="32" t="s">
        <v>40</v>
      </c>
      <c r="K2546" s="32" t="s">
        <v>41</v>
      </c>
    </row>
    <row r="2547" spans="1:12" hidden="1" x14ac:dyDescent="0.3">
      <c r="A2547" s="39">
        <v>46146.655324074076</v>
      </c>
      <c r="B2547" s="32">
        <v>43991762957</v>
      </c>
      <c r="C2547" s="32" t="s">
        <v>37</v>
      </c>
      <c r="D2547" s="32">
        <v>4430265054</v>
      </c>
      <c r="E2547" s="32">
        <v>300</v>
      </c>
      <c r="F2547" s="32">
        <v>244</v>
      </c>
      <c r="G2547" s="32" t="s">
        <v>38</v>
      </c>
      <c r="H2547" s="32" t="s">
        <v>5265</v>
      </c>
      <c r="I2547" s="32" t="s">
        <v>39</v>
      </c>
      <c r="J2547" s="32" t="s">
        <v>40</v>
      </c>
      <c r="K2547" s="32" t="s">
        <v>41</v>
      </c>
      <c r="L2547" s="32">
        <v>5</v>
      </c>
    </row>
    <row r="2548" spans="1:12" hidden="1" x14ac:dyDescent="0.3">
      <c r="A2548" s="39">
        <v>46146.652916666666</v>
      </c>
      <c r="B2548" s="32">
        <v>4121418164</v>
      </c>
      <c r="C2548" s="32">
        <v>4531273164</v>
      </c>
      <c r="D2548" s="32">
        <v>4531273164</v>
      </c>
      <c r="E2548" s="32">
        <v>47</v>
      </c>
      <c r="F2548" s="32">
        <v>47</v>
      </c>
      <c r="G2548" s="32" t="s">
        <v>52</v>
      </c>
      <c r="H2548" s="32" t="s">
        <v>5266</v>
      </c>
      <c r="I2548" s="32" t="s">
        <v>39</v>
      </c>
      <c r="J2548" s="32" t="s">
        <v>53</v>
      </c>
      <c r="K2548" s="32" t="s">
        <v>41</v>
      </c>
    </row>
    <row r="2549" spans="1:12" hidden="1" x14ac:dyDescent="0.3">
      <c r="A2549" s="39">
        <v>46146.651666666665</v>
      </c>
      <c r="B2549" s="32">
        <v>44997311122</v>
      </c>
      <c r="C2549" s="32" t="s">
        <v>43</v>
      </c>
      <c r="D2549" s="32">
        <v>4430265054</v>
      </c>
      <c r="E2549" s="32">
        <v>498</v>
      </c>
      <c r="F2549" s="32">
        <v>448</v>
      </c>
      <c r="G2549" s="32" t="s">
        <v>38</v>
      </c>
      <c r="H2549" s="32" t="s">
        <v>5267</v>
      </c>
      <c r="I2549" s="32" t="s">
        <v>39</v>
      </c>
      <c r="J2549" s="32" t="s">
        <v>40</v>
      </c>
      <c r="K2549" s="32" t="s">
        <v>41</v>
      </c>
    </row>
    <row r="2550" spans="1:12" hidden="1" x14ac:dyDescent="0.3">
      <c r="A2550" s="39">
        <v>46146.651608796295</v>
      </c>
      <c r="B2550" s="32">
        <v>1143744993</v>
      </c>
      <c r="C2550" s="32" t="s">
        <v>44</v>
      </c>
      <c r="D2550" s="32">
        <v>4431268225</v>
      </c>
      <c r="E2550" s="32">
        <v>200</v>
      </c>
      <c r="F2550" s="32">
        <v>130</v>
      </c>
      <c r="G2550" s="32" t="s">
        <v>38</v>
      </c>
      <c r="H2550" s="32" t="s">
        <v>5268</v>
      </c>
      <c r="I2550" s="32" t="s">
        <v>39</v>
      </c>
      <c r="J2550" s="32" t="s">
        <v>40</v>
      </c>
      <c r="K2550" s="32" t="s">
        <v>41</v>
      </c>
      <c r="L2550" s="32">
        <v>5</v>
      </c>
    </row>
    <row r="2551" spans="1:12" hidden="1" x14ac:dyDescent="0.3">
      <c r="A2551" s="39">
        <v>46146.651412037034</v>
      </c>
      <c r="B2551" s="32">
        <v>44997311122</v>
      </c>
      <c r="C2551" s="32">
        <v>4430265054</v>
      </c>
      <c r="D2551" s="32">
        <v>4430265054</v>
      </c>
      <c r="E2551" s="32">
        <v>18</v>
      </c>
      <c r="F2551" s="32">
        <v>17</v>
      </c>
      <c r="G2551" s="32" t="s">
        <v>52</v>
      </c>
      <c r="H2551" s="32" t="s">
        <v>5269</v>
      </c>
      <c r="I2551" s="32" t="s">
        <v>39</v>
      </c>
      <c r="J2551" s="32" t="s">
        <v>53</v>
      </c>
      <c r="K2551" s="32" t="s">
        <v>49</v>
      </c>
    </row>
    <row r="2552" spans="1:12" hidden="1" x14ac:dyDescent="0.3">
      <c r="A2552" s="39">
        <v>46146.650509259256</v>
      </c>
      <c r="B2552" s="32" t="s">
        <v>45</v>
      </c>
      <c r="C2552" s="32">
        <v>11940298065</v>
      </c>
      <c r="E2552" s="32">
        <v>2031</v>
      </c>
      <c r="F2552" s="32">
        <v>2027</v>
      </c>
      <c r="G2552" s="32" t="s">
        <v>38</v>
      </c>
      <c r="H2552" s="32" t="s">
        <v>5270</v>
      </c>
      <c r="I2552" s="32" t="s">
        <v>46</v>
      </c>
      <c r="J2552" s="32" t="s">
        <v>40</v>
      </c>
    </row>
    <row r="2553" spans="1:12" hidden="1" x14ac:dyDescent="0.3">
      <c r="A2553" s="39">
        <v>46146.650462962964</v>
      </c>
      <c r="B2553" s="32" t="s">
        <v>45</v>
      </c>
      <c r="C2553" s="32">
        <v>4432206400</v>
      </c>
      <c r="E2553" s="32">
        <v>26</v>
      </c>
      <c r="F2553" s="32">
        <v>25</v>
      </c>
      <c r="G2553" s="32" t="s">
        <v>38</v>
      </c>
      <c r="H2553" s="32" t="s">
        <v>5271</v>
      </c>
      <c r="I2553" s="32" t="s">
        <v>46</v>
      </c>
      <c r="J2553" s="32" t="s">
        <v>40</v>
      </c>
    </row>
    <row r="2554" spans="1:12" hidden="1" x14ac:dyDescent="0.3">
      <c r="A2554" s="39">
        <v>46146.650046296294</v>
      </c>
      <c r="B2554" s="32">
        <v>1143744993</v>
      </c>
      <c r="C2554" s="32">
        <v>4431268225</v>
      </c>
      <c r="D2554" s="32">
        <v>4431268225</v>
      </c>
      <c r="E2554" s="32">
        <v>30</v>
      </c>
      <c r="F2554" s="32">
        <v>30</v>
      </c>
      <c r="G2554" s="32" t="s">
        <v>52</v>
      </c>
      <c r="H2554" s="32" t="s">
        <v>5272</v>
      </c>
      <c r="I2554" s="32" t="s">
        <v>39</v>
      </c>
      <c r="J2554" s="32" t="s">
        <v>53</v>
      </c>
      <c r="K2554" s="32" t="s">
        <v>41</v>
      </c>
    </row>
    <row r="2555" spans="1:12" hidden="1" x14ac:dyDescent="0.3">
      <c r="A2555" s="39">
        <v>46146.649976851855</v>
      </c>
      <c r="B2555" s="32" t="s">
        <v>45</v>
      </c>
      <c r="C2555" s="32">
        <v>11940298065</v>
      </c>
      <c r="E2555" s="32">
        <v>42</v>
      </c>
      <c r="F2555" s="32">
        <v>6</v>
      </c>
      <c r="G2555" s="32" t="s">
        <v>38</v>
      </c>
      <c r="H2555" s="32" t="s">
        <v>5273</v>
      </c>
      <c r="I2555" s="32" t="s">
        <v>46</v>
      </c>
      <c r="J2555" s="32" t="s">
        <v>40</v>
      </c>
    </row>
    <row r="2556" spans="1:12" hidden="1" x14ac:dyDescent="0.3">
      <c r="A2556" s="39">
        <v>46146.648460648146</v>
      </c>
      <c r="B2556" s="32">
        <v>4432206400</v>
      </c>
      <c r="C2556" s="32" t="s">
        <v>44</v>
      </c>
      <c r="D2556" s="32">
        <v>4430265054</v>
      </c>
      <c r="E2556" s="32">
        <v>185</v>
      </c>
      <c r="F2556" s="32">
        <v>117</v>
      </c>
      <c r="G2556" s="32" t="s">
        <v>38</v>
      </c>
      <c r="H2556" s="32" t="s">
        <v>5274</v>
      </c>
      <c r="I2556" s="32" t="s">
        <v>39</v>
      </c>
      <c r="J2556" s="32" t="s">
        <v>40</v>
      </c>
      <c r="K2556" s="32" t="s">
        <v>41</v>
      </c>
    </row>
    <row r="2557" spans="1:12" hidden="1" x14ac:dyDescent="0.3">
      <c r="A2557" s="39">
        <v>46146.646886574075</v>
      </c>
      <c r="B2557" s="32">
        <v>67992169496</v>
      </c>
      <c r="C2557" s="32" t="s">
        <v>43</v>
      </c>
      <c r="D2557" s="32">
        <v>4430265054</v>
      </c>
      <c r="E2557" s="32">
        <v>303</v>
      </c>
      <c r="F2557" s="32">
        <v>252</v>
      </c>
      <c r="G2557" s="32" t="s">
        <v>38</v>
      </c>
      <c r="H2557" s="32" t="s">
        <v>5275</v>
      </c>
      <c r="I2557" s="32" t="s">
        <v>39</v>
      </c>
      <c r="J2557" s="32" t="s">
        <v>40</v>
      </c>
      <c r="K2557" s="32" t="s">
        <v>41</v>
      </c>
    </row>
    <row r="2558" spans="1:12" hidden="1" x14ac:dyDescent="0.3">
      <c r="A2558" s="39">
        <v>46146.645196759258</v>
      </c>
      <c r="B2558" s="32" t="s">
        <v>48</v>
      </c>
      <c r="C2558" s="32">
        <v>4430162376</v>
      </c>
      <c r="E2558" s="32">
        <v>176</v>
      </c>
      <c r="F2558" s="32">
        <v>163</v>
      </c>
      <c r="G2558" s="32" t="s">
        <v>38</v>
      </c>
      <c r="H2558" s="32" t="s">
        <v>5276</v>
      </c>
      <c r="I2558" s="32" t="s">
        <v>46</v>
      </c>
      <c r="J2558" s="32" t="s">
        <v>40</v>
      </c>
    </row>
    <row r="2559" spans="1:12" hidden="1" x14ac:dyDescent="0.3">
      <c r="A2559" s="39">
        <v>46146.64271990741</v>
      </c>
      <c r="B2559" s="32">
        <v>1438780460</v>
      </c>
      <c r="C2559" s="32">
        <v>4531273159</v>
      </c>
      <c r="D2559" s="32">
        <v>4531273159</v>
      </c>
      <c r="E2559" s="32">
        <v>47</v>
      </c>
      <c r="F2559" s="32">
        <v>46</v>
      </c>
      <c r="G2559" s="32" t="s">
        <v>52</v>
      </c>
      <c r="H2559" s="32" t="s">
        <v>5277</v>
      </c>
      <c r="I2559" s="32" t="s">
        <v>39</v>
      </c>
      <c r="J2559" s="32" t="s">
        <v>53</v>
      </c>
      <c r="K2559" s="32" t="s">
        <v>41</v>
      </c>
    </row>
    <row r="2560" spans="1:12" hidden="1" x14ac:dyDescent="0.3">
      <c r="A2560" s="39">
        <v>46146.640833333331</v>
      </c>
      <c r="B2560" s="32">
        <v>4433015969</v>
      </c>
      <c r="C2560" s="32">
        <v>4430265054</v>
      </c>
      <c r="D2560" s="32">
        <v>4430265054</v>
      </c>
      <c r="E2560" s="32">
        <v>3</v>
      </c>
      <c r="F2560" s="32">
        <v>2</v>
      </c>
      <c r="G2560" s="32" t="s">
        <v>52</v>
      </c>
      <c r="H2560" s="32" t="s">
        <v>5278</v>
      </c>
      <c r="I2560" s="32" t="s">
        <v>39</v>
      </c>
      <c r="J2560" s="32" t="s">
        <v>53</v>
      </c>
    </row>
    <row r="2561" spans="1:12" hidden="1" x14ac:dyDescent="0.3">
      <c r="A2561" s="39">
        <v>46146.637280092589</v>
      </c>
      <c r="B2561" s="32" t="s">
        <v>57</v>
      </c>
      <c r="C2561" s="32">
        <v>11940298065</v>
      </c>
      <c r="E2561" s="32">
        <v>1139</v>
      </c>
      <c r="F2561" s="32">
        <v>1131</v>
      </c>
      <c r="G2561" s="32" t="s">
        <v>38</v>
      </c>
      <c r="H2561" s="32" t="s">
        <v>5279</v>
      </c>
      <c r="I2561" s="32" t="s">
        <v>46</v>
      </c>
      <c r="J2561" s="32" t="s">
        <v>55</v>
      </c>
    </row>
    <row r="2562" spans="1:12" hidden="1" x14ac:dyDescent="0.3">
      <c r="A2562" s="39">
        <v>46146.637106481481</v>
      </c>
      <c r="B2562" s="32" t="s">
        <v>57</v>
      </c>
      <c r="C2562" s="32">
        <v>11998552688</v>
      </c>
      <c r="E2562" s="32">
        <v>7</v>
      </c>
      <c r="F2562" s="32">
        <v>1</v>
      </c>
      <c r="G2562" s="32" t="s">
        <v>38</v>
      </c>
      <c r="H2562" s="32" t="s">
        <v>5280</v>
      </c>
      <c r="I2562" s="32" t="s">
        <v>46</v>
      </c>
      <c r="J2562" s="32" t="s">
        <v>55</v>
      </c>
    </row>
    <row r="2563" spans="1:12" hidden="1" x14ac:dyDescent="0.3">
      <c r="A2563" s="39">
        <v>46146.636331018519</v>
      </c>
      <c r="B2563" s="32" t="s">
        <v>57</v>
      </c>
      <c r="C2563" s="32">
        <v>93991145444</v>
      </c>
      <c r="E2563" s="32">
        <v>16</v>
      </c>
      <c r="F2563" s="32">
        <v>0</v>
      </c>
      <c r="G2563" s="32" t="s">
        <v>47</v>
      </c>
      <c r="H2563" s="32" t="s">
        <v>5281</v>
      </c>
      <c r="I2563" s="32" t="s">
        <v>46</v>
      </c>
      <c r="J2563" s="32" t="s">
        <v>55</v>
      </c>
    </row>
    <row r="2564" spans="1:12" hidden="1" x14ac:dyDescent="0.3">
      <c r="A2564" s="39">
        <v>46146.636030092595</v>
      </c>
      <c r="B2564" s="32" t="s">
        <v>57</v>
      </c>
      <c r="C2564" s="32">
        <v>9335225605</v>
      </c>
      <c r="E2564" s="32">
        <v>6</v>
      </c>
      <c r="F2564" s="32">
        <v>0</v>
      </c>
      <c r="G2564" s="32" t="s">
        <v>47</v>
      </c>
      <c r="H2564" s="32" t="s">
        <v>5282</v>
      </c>
      <c r="I2564" s="32" t="s">
        <v>46</v>
      </c>
      <c r="J2564" s="32" t="s">
        <v>55</v>
      </c>
    </row>
    <row r="2565" spans="1:12" hidden="1" x14ac:dyDescent="0.3">
      <c r="A2565" s="39">
        <v>46146.635821759257</v>
      </c>
      <c r="B2565" s="32" t="s">
        <v>57</v>
      </c>
      <c r="C2565" s="32">
        <v>9335225605</v>
      </c>
      <c r="E2565" s="32">
        <v>7</v>
      </c>
      <c r="F2565" s="32">
        <v>0</v>
      </c>
      <c r="G2565" s="32" t="s">
        <v>47</v>
      </c>
      <c r="H2565" s="32" t="s">
        <v>5283</v>
      </c>
      <c r="I2565" s="32" t="s">
        <v>46</v>
      </c>
      <c r="J2565" s="32" t="s">
        <v>55</v>
      </c>
    </row>
    <row r="2566" spans="1:12" hidden="1" x14ac:dyDescent="0.3">
      <c r="A2566" s="39">
        <v>46146.634050925924</v>
      </c>
      <c r="B2566" s="32">
        <v>91989363636</v>
      </c>
      <c r="C2566" s="32" t="s">
        <v>43</v>
      </c>
      <c r="D2566" s="32">
        <v>4430265054</v>
      </c>
      <c r="E2566" s="32">
        <v>359</v>
      </c>
      <c r="F2566" s="32">
        <v>321</v>
      </c>
      <c r="G2566" s="32" t="s">
        <v>38</v>
      </c>
      <c r="H2566" s="32" t="s">
        <v>5284</v>
      </c>
      <c r="I2566" s="32" t="s">
        <v>39</v>
      </c>
      <c r="J2566" s="32" t="s">
        <v>40</v>
      </c>
      <c r="K2566" s="32" t="s">
        <v>41</v>
      </c>
    </row>
    <row r="2567" spans="1:12" hidden="1" x14ac:dyDescent="0.3">
      <c r="A2567" s="39">
        <v>46146.633576388886</v>
      </c>
      <c r="B2567" s="32" t="s">
        <v>57</v>
      </c>
      <c r="C2567" s="32">
        <v>1131043888</v>
      </c>
      <c r="E2567" s="32">
        <v>134</v>
      </c>
      <c r="F2567" s="32">
        <v>133</v>
      </c>
      <c r="G2567" s="32" t="s">
        <v>38</v>
      </c>
      <c r="H2567" s="32" t="s">
        <v>5285</v>
      </c>
      <c r="I2567" s="32" t="s">
        <v>46</v>
      </c>
      <c r="J2567" s="32" t="s">
        <v>55</v>
      </c>
    </row>
    <row r="2568" spans="1:12" hidden="1" x14ac:dyDescent="0.3">
      <c r="A2568" s="39">
        <v>46146.633449074077</v>
      </c>
      <c r="B2568" s="32" t="s">
        <v>57</v>
      </c>
      <c r="C2568" s="32">
        <v>4431043888</v>
      </c>
      <c r="E2568" s="32">
        <v>0</v>
      </c>
      <c r="F2568" s="32">
        <v>0</v>
      </c>
      <c r="G2568" s="32" t="s">
        <v>47</v>
      </c>
      <c r="H2568" s="32" t="s">
        <v>5286</v>
      </c>
      <c r="I2568" s="32" t="s">
        <v>46</v>
      </c>
      <c r="J2568" s="32" t="s">
        <v>55</v>
      </c>
    </row>
    <row r="2569" spans="1:12" hidden="1" x14ac:dyDescent="0.3">
      <c r="A2569" s="39">
        <v>46146.632002314815</v>
      </c>
      <c r="B2569" s="32">
        <v>4432520077</v>
      </c>
      <c r="C2569" s="32" t="s">
        <v>45</v>
      </c>
      <c r="D2569" s="32">
        <v>4430265054</v>
      </c>
      <c r="E2569" s="32">
        <v>1027</v>
      </c>
      <c r="F2569" s="32">
        <v>991</v>
      </c>
      <c r="G2569" s="32" t="s">
        <v>38</v>
      </c>
      <c r="H2569" s="32" t="s">
        <v>5287</v>
      </c>
      <c r="I2569" s="32" t="s">
        <v>39</v>
      </c>
      <c r="J2569" s="32" t="s">
        <v>40</v>
      </c>
      <c r="K2569" s="32" t="s">
        <v>41</v>
      </c>
    </row>
    <row r="2570" spans="1:12" hidden="1" x14ac:dyDescent="0.3">
      <c r="A2570" s="39">
        <v>46146.631238425929</v>
      </c>
      <c r="B2570" s="32" t="s">
        <v>45</v>
      </c>
      <c r="C2570" s="32">
        <v>4430282545</v>
      </c>
      <c r="E2570" s="32">
        <v>105</v>
      </c>
      <c r="F2570" s="32">
        <v>91</v>
      </c>
      <c r="G2570" s="32" t="s">
        <v>38</v>
      </c>
      <c r="H2570" s="32" t="s">
        <v>5288</v>
      </c>
      <c r="I2570" s="32" t="s">
        <v>46</v>
      </c>
      <c r="J2570" s="32" t="s">
        <v>40</v>
      </c>
    </row>
    <row r="2571" spans="1:12" hidden="1" x14ac:dyDescent="0.3">
      <c r="A2571" s="39">
        <v>46146.631192129629</v>
      </c>
      <c r="B2571" s="32" t="s">
        <v>45</v>
      </c>
      <c r="C2571" s="32">
        <v>4430282545</v>
      </c>
      <c r="E2571" s="32">
        <v>0</v>
      </c>
      <c r="F2571" s="32">
        <v>0</v>
      </c>
      <c r="G2571" s="32" t="s">
        <v>47</v>
      </c>
      <c r="H2571" s="32" t="s">
        <v>5289</v>
      </c>
      <c r="I2571" s="32" t="s">
        <v>46</v>
      </c>
      <c r="J2571" s="32" t="s">
        <v>40</v>
      </c>
    </row>
    <row r="2572" spans="1:12" hidden="1" x14ac:dyDescent="0.3">
      <c r="A2572" s="39">
        <v>46146.628564814811</v>
      </c>
      <c r="B2572" s="32" t="s">
        <v>57</v>
      </c>
      <c r="C2572" s="32">
        <v>4430162376</v>
      </c>
      <c r="E2572" s="32">
        <v>185</v>
      </c>
      <c r="F2572" s="32">
        <v>177</v>
      </c>
      <c r="G2572" s="32" t="s">
        <v>38</v>
      </c>
      <c r="H2572" s="32" t="s">
        <v>5290</v>
      </c>
      <c r="I2572" s="32" t="s">
        <v>46</v>
      </c>
      <c r="J2572" s="32" t="s">
        <v>55</v>
      </c>
    </row>
    <row r="2573" spans="1:12" hidden="1" x14ac:dyDescent="0.3">
      <c r="A2573" s="39">
        <v>46146.627962962964</v>
      </c>
      <c r="B2573" s="32">
        <v>4130263118</v>
      </c>
      <c r="C2573" s="32" t="s">
        <v>48</v>
      </c>
      <c r="D2573" s="32">
        <v>4430265054</v>
      </c>
      <c r="E2573" s="32">
        <v>307</v>
      </c>
      <c r="F2573" s="32">
        <v>251</v>
      </c>
      <c r="G2573" s="32" t="s">
        <v>38</v>
      </c>
      <c r="H2573" s="32" t="s">
        <v>5291</v>
      </c>
      <c r="I2573" s="32" t="s">
        <v>39</v>
      </c>
      <c r="J2573" s="32" t="s">
        <v>40</v>
      </c>
      <c r="K2573" s="32" t="s">
        <v>41</v>
      </c>
    </row>
    <row r="2574" spans="1:12" hidden="1" x14ac:dyDescent="0.3">
      <c r="A2574" s="39">
        <v>46146.627546296295</v>
      </c>
      <c r="B2574" s="32">
        <v>14997225372</v>
      </c>
      <c r="C2574" s="32" t="s">
        <v>37</v>
      </c>
      <c r="D2574" s="32">
        <v>4430265054</v>
      </c>
      <c r="E2574" s="32">
        <v>692</v>
      </c>
      <c r="F2574" s="32">
        <v>610</v>
      </c>
      <c r="G2574" s="32" t="s">
        <v>38</v>
      </c>
      <c r="H2574" s="32" t="s">
        <v>5292</v>
      </c>
      <c r="I2574" s="32" t="s">
        <v>39</v>
      </c>
      <c r="J2574" s="32" t="s">
        <v>40</v>
      </c>
      <c r="K2574" s="32" t="s">
        <v>41</v>
      </c>
    </row>
    <row r="2575" spans="1:12" hidden="1" x14ac:dyDescent="0.3">
      <c r="A2575" s="39">
        <v>46146.627187500002</v>
      </c>
      <c r="B2575" s="32" t="s">
        <v>45</v>
      </c>
      <c r="C2575" s="32">
        <v>1131043888</v>
      </c>
      <c r="E2575" s="32">
        <v>248</v>
      </c>
      <c r="F2575" s="32">
        <v>246</v>
      </c>
      <c r="G2575" s="32" t="s">
        <v>38</v>
      </c>
      <c r="H2575" s="32" t="s">
        <v>5293</v>
      </c>
      <c r="I2575" s="32" t="s">
        <v>46</v>
      </c>
      <c r="J2575" s="32" t="s">
        <v>40</v>
      </c>
      <c r="L2575" s="32">
        <v>5</v>
      </c>
    </row>
    <row r="2576" spans="1:12" hidden="1" x14ac:dyDescent="0.3">
      <c r="A2576" s="39">
        <v>46146.626192129632</v>
      </c>
      <c r="B2576" s="32" t="s">
        <v>57</v>
      </c>
      <c r="C2576" s="32">
        <v>4430162376</v>
      </c>
      <c r="E2576" s="32">
        <v>59</v>
      </c>
      <c r="F2576" s="32">
        <v>0</v>
      </c>
      <c r="G2576" s="32" t="s">
        <v>47</v>
      </c>
      <c r="H2576" s="32" t="s">
        <v>5294</v>
      </c>
      <c r="I2576" s="32" t="s">
        <v>46</v>
      </c>
      <c r="J2576" s="32" t="s">
        <v>55</v>
      </c>
    </row>
    <row r="2577" spans="1:12" hidden="1" x14ac:dyDescent="0.3">
      <c r="A2577" s="39">
        <v>46146.625069444446</v>
      </c>
      <c r="B2577" s="32">
        <v>44997235101</v>
      </c>
      <c r="C2577" s="32" t="s">
        <v>43</v>
      </c>
      <c r="D2577" s="32">
        <v>4430265054</v>
      </c>
      <c r="E2577" s="32">
        <v>559</v>
      </c>
      <c r="F2577" s="32">
        <v>480</v>
      </c>
      <c r="G2577" s="32" t="s">
        <v>38</v>
      </c>
      <c r="H2577" s="32" t="s">
        <v>5295</v>
      </c>
      <c r="I2577" s="32" t="s">
        <v>39</v>
      </c>
      <c r="J2577" s="32" t="s">
        <v>40</v>
      </c>
      <c r="K2577" s="32" t="s">
        <v>41</v>
      </c>
    </row>
    <row r="2578" spans="1:12" hidden="1" x14ac:dyDescent="0.3">
      <c r="A2578" s="39">
        <v>46146.62059027778</v>
      </c>
      <c r="B2578" s="32" t="s">
        <v>57</v>
      </c>
      <c r="C2578" s="32">
        <v>4430162376</v>
      </c>
      <c r="E2578" s="32">
        <v>262</v>
      </c>
      <c r="F2578" s="32">
        <v>250</v>
      </c>
      <c r="G2578" s="32" t="s">
        <v>38</v>
      </c>
      <c r="H2578" s="32" t="s">
        <v>5296</v>
      </c>
      <c r="I2578" s="32" t="s">
        <v>46</v>
      </c>
      <c r="J2578" s="32" t="s">
        <v>55</v>
      </c>
    </row>
    <row r="2579" spans="1:12" hidden="1" x14ac:dyDescent="0.3">
      <c r="A2579" s="39">
        <v>46146.620046296295</v>
      </c>
      <c r="B2579" s="32">
        <v>1131043888</v>
      </c>
      <c r="C2579" s="32" t="s">
        <v>44</v>
      </c>
      <c r="D2579" s="32">
        <v>4430265054</v>
      </c>
      <c r="E2579" s="32">
        <v>815</v>
      </c>
      <c r="F2579" s="32">
        <v>755</v>
      </c>
      <c r="G2579" s="32" t="s">
        <v>38</v>
      </c>
      <c r="H2579" s="32" t="s">
        <v>5297</v>
      </c>
      <c r="I2579" s="32" t="s">
        <v>39</v>
      </c>
      <c r="J2579" s="32" t="s">
        <v>40</v>
      </c>
      <c r="K2579" s="32" t="s">
        <v>41</v>
      </c>
      <c r="L2579" s="32">
        <v>5</v>
      </c>
    </row>
    <row r="2580" spans="1:12" hidden="1" x14ac:dyDescent="0.3">
      <c r="A2580" s="39">
        <v>46146.619814814818</v>
      </c>
      <c r="B2580" s="32">
        <v>4435226025</v>
      </c>
      <c r="C2580" s="32" t="s">
        <v>43</v>
      </c>
      <c r="D2580" s="32">
        <v>4430265054</v>
      </c>
      <c r="E2580" s="32">
        <v>82</v>
      </c>
      <c r="F2580" s="32">
        <v>45</v>
      </c>
      <c r="G2580" s="32" t="s">
        <v>38</v>
      </c>
      <c r="H2580" s="32" t="s">
        <v>5298</v>
      </c>
      <c r="I2580" s="32" t="s">
        <v>39</v>
      </c>
      <c r="J2580" s="32" t="s">
        <v>40</v>
      </c>
      <c r="K2580" s="32" t="s">
        <v>41</v>
      </c>
    </row>
    <row r="2581" spans="1:12" hidden="1" x14ac:dyDescent="0.3">
      <c r="A2581" s="39">
        <v>46146.618969907409</v>
      </c>
      <c r="B2581" s="32">
        <v>4433015972</v>
      </c>
      <c r="C2581" s="32">
        <v>4430265054</v>
      </c>
      <c r="D2581" s="32">
        <v>4430265054</v>
      </c>
      <c r="E2581" s="32">
        <v>3</v>
      </c>
      <c r="F2581" s="32">
        <v>3</v>
      </c>
      <c r="G2581" s="32" t="s">
        <v>52</v>
      </c>
      <c r="H2581" s="32" t="s">
        <v>5299</v>
      </c>
      <c r="I2581" s="32" t="s">
        <v>39</v>
      </c>
      <c r="J2581" s="32" t="s">
        <v>53</v>
      </c>
    </row>
    <row r="2582" spans="1:12" hidden="1" x14ac:dyDescent="0.3">
      <c r="A2582" s="39">
        <v>46146.616493055553</v>
      </c>
      <c r="B2582" s="32">
        <v>44997650834</v>
      </c>
      <c r="C2582" s="32" t="s">
        <v>37</v>
      </c>
      <c r="D2582" s="32">
        <v>4430265054</v>
      </c>
      <c r="E2582" s="32">
        <v>633</v>
      </c>
      <c r="F2582" s="32">
        <v>503</v>
      </c>
      <c r="G2582" s="32" t="s">
        <v>38</v>
      </c>
      <c r="H2582" s="32" t="s">
        <v>5300</v>
      </c>
      <c r="I2582" s="32" t="s">
        <v>39</v>
      </c>
      <c r="J2582" s="32" t="s">
        <v>40</v>
      </c>
      <c r="K2582" s="32" t="s">
        <v>41</v>
      </c>
      <c r="L2582" s="32">
        <v>5</v>
      </c>
    </row>
    <row r="2583" spans="1:12" hidden="1" x14ac:dyDescent="0.3">
      <c r="A2583" s="39">
        <v>46146.610810185186</v>
      </c>
      <c r="B2583" s="32">
        <v>6234347959</v>
      </c>
      <c r="C2583" s="32" t="s">
        <v>48</v>
      </c>
      <c r="D2583" s="32">
        <v>4430265054</v>
      </c>
      <c r="E2583" s="32">
        <v>244</v>
      </c>
      <c r="F2583" s="32">
        <v>243</v>
      </c>
      <c r="G2583" s="32" t="s">
        <v>38</v>
      </c>
      <c r="H2583" s="32" t="s">
        <v>5301</v>
      </c>
      <c r="I2583" s="32" t="s">
        <v>39</v>
      </c>
      <c r="J2583" s="32" t="s">
        <v>40</v>
      </c>
      <c r="K2583" s="32" t="s">
        <v>41</v>
      </c>
      <c r="L2583" s="32">
        <v>5</v>
      </c>
    </row>
    <row r="2584" spans="1:12" hidden="1" x14ac:dyDescent="0.3">
      <c r="A2584" s="39">
        <v>46146.610208333332</v>
      </c>
      <c r="B2584" s="32">
        <v>4334226481</v>
      </c>
      <c r="C2584" s="32" t="s">
        <v>45</v>
      </c>
      <c r="D2584" s="32">
        <v>4430265054</v>
      </c>
      <c r="E2584" s="32">
        <v>1108</v>
      </c>
      <c r="F2584" s="32">
        <v>992</v>
      </c>
      <c r="G2584" s="32" t="s">
        <v>38</v>
      </c>
      <c r="H2584" s="32" t="s">
        <v>5302</v>
      </c>
      <c r="I2584" s="32" t="s">
        <v>39</v>
      </c>
      <c r="J2584" s="32" t="s">
        <v>40</v>
      </c>
      <c r="K2584" s="32" t="s">
        <v>41</v>
      </c>
      <c r="L2584" s="32">
        <v>5</v>
      </c>
    </row>
    <row r="2585" spans="1:12" hidden="1" x14ac:dyDescent="0.3">
      <c r="A2585" s="39">
        <v>46146.608935185184</v>
      </c>
      <c r="B2585" s="32">
        <v>1128897100</v>
      </c>
      <c r="C2585" s="32" t="s">
        <v>57</v>
      </c>
      <c r="D2585" s="32">
        <v>4430265054</v>
      </c>
      <c r="E2585" s="32">
        <v>139</v>
      </c>
      <c r="F2585" s="32">
        <v>73</v>
      </c>
      <c r="G2585" s="32" t="s">
        <v>38</v>
      </c>
      <c r="H2585" s="32" t="s">
        <v>5303</v>
      </c>
      <c r="I2585" s="32" t="s">
        <v>39</v>
      </c>
      <c r="J2585" s="32" t="s">
        <v>55</v>
      </c>
      <c r="K2585" s="32" t="s">
        <v>49</v>
      </c>
    </row>
    <row r="2586" spans="1:12" hidden="1" x14ac:dyDescent="0.3">
      <c r="A2586" s="39">
        <v>46146.607546296298</v>
      </c>
      <c r="B2586" s="32">
        <v>44999646909</v>
      </c>
      <c r="C2586" s="32" t="s">
        <v>43</v>
      </c>
      <c r="D2586" s="32">
        <v>4430265054</v>
      </c>
      <c r="E2586" s="32">
        <v>424</v>
      </c>
      <c r="F2586" s="32">
        <v>404</v>
      </c>
      <c r="G2586" s="32" t="s">
        <v>38</v>
      </c>
      <c r="H2586" s="32" t="s">
        <v>5304</v>
      </c>
      <c r="I2586" s="32" t="s">
        <v>39</v>
      </c>
      <c r="J2586" s="32" t="s">
        <v>40</v>
      </c>
      <c r="K2586" s="32" t="s">
        <v>41</v>
      </c>
    </row>
    <row r="2587" spans="1:12" hidden="1" x14ac:dyDescent="0.3">
      <c r="A2587" s="39">
        <v>46146.607268518521</v>
      </c>
      <c r="B2587" s="32">
        <v>4130263118</v>
      </c>
      <c r="C2587" s="32" t="s">
        <v>44</v>
      </c>
      <c r="D2587" s="32">
        <v>4430265054</v>
      </c>
      <c r="E2587" s="32">
        <v>895</v>
      </c>
      <c r="F2587" s="32">
        <v>857</v>
      </c>
      <c r="G2587" s="32" t="s">
        <v>38</v>
      </c>
      <c r="H2587" s="32" t="s">
        <v>5305</v>
      </c>
      <c r="I2587" s="32" t="s">
        <v>39</v>
      </c>
      <c r="J2587" s="32" t="s">
        <v>40</v>
      </c>
      <c r="K2587" s="32" t="s">
        <v>41</v>
      </c>
    </row>
    <row r="2588" spans="1:12" hidden="1" x14ac:dyDescent="0.3">
      <c r="A2588" s="39">
        <v>46146.606574074074</v>
      </c>
      <c r="B2588" s="32" t="s">
        <v>45</v>
      </c>
      <c r="C2588" s="32">
        <v>4432524636</v>
      </c>
      <c r="E2588" s="32">
        <v>106</v>
      </c>
      <c r="F2588" s="32">
        <v>100</v>
      </c>
      <c r="G2588" s="32" t="s">
        <v>38</v>
      </c>
      <c r="H2588" s="32" t="s">
        <v>5306</v>
      </c>
      <c r="I2588" s="32" t="s">
        <v>46</v>
      </c>
      <c r="J2588" s="32" t="s">
        <v>40</v>
      </c>
    </row>
    <row r="2589" spans="1:12" hidden="1" x14ac:dyDescent="0.3">
      <c r="A2589" s="39">
        <v>46146.596967592595</v>
      </c>
      <c r="B2589" s="32">
        <v>4334234629</v>
      </c>
      <c r="C2589" s="32" t="s">
        <v>45</v>
      </c>
      <c r="D2589" s="32">
        <v>4430265054</v>
      </c>
      <c r="E2589" s="32">
        <v>415</v>
      </c>
      <c r="F2589" s="32">
        <v>364</v>
      </c>
      <c r="G2589" s="32" t="s">
        <v>38</v>
      </c>
      <c r="H2589" s="32" t="s">
        <v>5307</v>
      </c>
      <c r="I2589" s="32" t="s">
        <v>39</v>
      </c>
      <c r="J2589" s="32" t="s">
        <v>40</v>
      </c>
      <c r="K2589" s="32" t="s">
        <v>41</v>
      </c>
      <c r="L2589" s="32">
        <v>5</v>
      </c>
    </row>
    <row r="2590" spans="1:12" hidden="1" x14ac:dyDescent="0.3">
      <c r="A2590" s="39">
        <v>46146.591504629629</v>
      </c>
      <c r="B2590" s="32" t="s">
        <v>45</v>
      </c>
      <c r="C2590" s="32">
        <v>44999090169</v>
      </c>
      <c r="E2590" s="32">
        <v>113</v>
      </c>
      <c r="F2590" s="32">
        <v>98</v>
      </c>
      <c r="G2590" s="32" t="s">
        <v>38</v>
      </c>
      <c r="H2590" s="32" t="s">
        <v>5308</v>
      </c>
      <c r="I2590" s="32" t="s">
        <v>46</v>
      </c>
      <c r="J2590" s="32" t="s">
        <v>40</v>
      </c>
    </row>
    <row r="2591" spans="1:12" hidden="1" x14ac:dyDescent="0.3">
      <c r="A2591" s="39">
        <v>46146.589884259258</v>
      </c>
      <c r="B2591" s="32" t="s">
        <v>45</v>
      </c>
      <c r="C2591" s="32">
        <v>44999090169</v>
      </c>
      <c r="E2591" s="32">
        <v>60</v>
      </c>
      <c r="F2591" s="32">
        <v>41</v>
      </c>
      <c r="G2591" s="32" t="s">
        <v>38</v>
      </c>
      <c r="H2591" s="32" t="s">
        <v>5309</v>
      </c>
      <c r="I2591" s="32" t="s">
        <v>46</v>
      </c>
      <c r="J2591" s="32" t="s">
        <v>40</v>
      </c>
    </row>
    <row r="2592" spans="1:12" hidden="1" x14ac:dyDescent="0.3">
      <c r="A2592" s="39">
        <v>46146.589143518519</v>
      </c>
      <c r="B2592" s="32" t="s">
        <v>45</v>
      </c>
      <c r="C2592" s="32">
        <v>44988255390</v>
      </c>
      <c r="E2592" s="32">
        <v>3</v>
      </c>
      <c r="F2592" s="32">
        <v>0</v>
      </c>
      <c r="G2592" s="32" t="s">
        <v>47</v>
      </c>
      <c r="H2592" s="32" t="s">
        <v>5310</v>
      </c>
      <c r="I2592" s="32" t="s">
        <v>46</v>
      </c>
      <c r="J2592" s="32" t="s">
        <v>40</v>
      </c>
    </row>
    <row r="2593" spans="1:11" hidden="1" x14ac:dyDescent="0.3">
      <c r="A2593" s="39">
        <v>46146.588310185187</v>
      </c>
      <c r="B2593" s="32">
        <v>44991669595</v>
      </c>
      <c r="C2593" s="32" t="s">
        <v>43</v>
      </c>
      <c r="D2593" s="32">
        <v>4431268225</v>
      </c>
      <c r="E2593" s="32">
        <v>980</v>
      </c>
      <c r="F2593" s="32">
        <v>943</v>
      </c>
      <c r="G2593" s="32" t="s">
        <v>38</v>
      </c>
      <c r="H2593" s="32" t="s">
        <v>5311</v>
      </c>
      <c r="I2593" s="32" t="s">
        <v>39</v>
      </c>
      <c r="J2593" s="32" t="s">
        <v>40</v>
      </c>
      <c r="K2593" s="32" t="s">
        <v>41</v>
      </c>
    </row>
    <row r="2594" spans="1:11" hidden="1" x14ac:dyDescent="0.3">
      <c r="A2594" s="39">
        <v>46146.588148148148</v>
      </c>
      <c r="B2594" s="32" t="s">
        <v>45</v>
      </c>
      <c r="C2594" s="32">
        <v>44988255390</v>
      </c>
      <c r="E2594" s="32">
        <v>51</v>
      </c>
      <c r="F2594" s="32">
        <v>43</v>
      </c>
      <c r="G2594" s="32" t="s">
        <v>38</v>
      </c>
      <c r="H2594" s="32" t="s">
        <v>5312</v>
      </c>
      <c r="I2594" s="32" t="s">
        <v>46</v>
      </c>
      <c r="J2594" s="32" t="s">
        <v>40</v>
      </c>
    </row>
    <row r="2595" spans="1:11" hidden="1" x14ac:dyDescent="0.3">
      <c r="A2595" s="39">
        <v>46146.587118055555</v>
      </c>
      <c r="B2595" s="32">
        <v>44991069557</v>
      </c>
      <c r="C2595" s="32" t="s">
        <v>37</v>
      </c>
      <c r="D2595" s="32">
        <v>4430265054</v>
      </c>
      <c r="E2595" s="32">
        <v>700</v>
      </c>
      <c r="F2595" s="32">
        <v>674</v>
      </c>
      <c r="G2595" s="32" t="s">
        <v>38</v>
      </c>
      <c r="H2595" s="32" t="s">
        <v>5313</v>
      </c>
      <c r="I2595" s="32" t="s">
        <v>39</v>
      </c>
      <c r="J2595" s="32" t="s">
        <v>40</v>
      </c>
      <c r="K2595" s="32" t="s">
        <v>41</v>
      </c>
    </row>
    <row r="2596" spans="1:11" hidden="1" x14ac:dyDescent="0.3">
      <c r="A2596" s="39">
        <v>46146.581053240741</v>
      </c>
      <c r="B2596" s="32" t="s">
        <v>45</v>
      </c>
      <c r="C2596" s="32">
        <v>44999090169</v>
      </c>
      <c r="E2596" s="32">
        <v>419</v>
      </c>
      <c r="F2596" s="32">
        <v>390</v>
      </c>
      <c r="G2596" s="32" t="s">
        <v>38</v>
      </c>
      <c r="H2596" s="32" t="s">
        <v>5314</v>
      </c>
      <c r="I2596" s="32" t="s">
        <v>46</v>
      </c>
      <c r="J2596" s="32" t="s">
        <v>40</v>
      </c>
    </row>
    <row r="2597" spans="1:11" hidden="1" x14ac:dyDescent="0.3">
      <c r="A2597" s="39">
        <v>46146.578877314816</v>
      </c>
      <c r="B2597" s="32" t="s">
        <v>45</v>
      </c>
      <c r="C2597" s="32">
        <v>44988255390</v>
      </c>
      <c r="E2597" s="32">
        <v>16</v>
      </c>
      <c r="F2597" s="32">
        <v>8</v>
      </c>
      <c r="G2597" s="32" t="s">
        <v>38</v>
      </c>
      <c r="H2597" s="32" t="s">
        <v>5315</v>
      </c>
      <c r="I2597" s="32" t="s">
        <v>46</v>
      </c>
      <c r="J2597" s="32" t="s">
        <v>40</v>
      </c>
    </row>
    <row r="2598" spans="1:11" hidden="1" x14ac:dyDescent="0.3">
      <c r="A2598" s="39">
        <v>46146.578831018516</v>
      </c>
      <c r="B2598" s="32">
        <v>4334234629</v>
      </c>
      <c r="C2598" s="32" t="s">
        <v>48</v>
      </c>
      <c r="D2598" s="32">
        <v>4430265054</v>
      </c>
      <c r="E2598" s="32">
        <v>169</v>
      </c>
      <c r="F2598" s="32">
        <v>169</v>
      </c>
      <c r="G2598" s="32" t="s">
        <v>38</v>
      </c>
      <c r="H2598" s="32" t="s">
        <v>5316</v>
      </c>
      <c r="I2598" s="32" t="s">
        <v>39</v>
      </c>
      <c r="J2598" s="32" t="s">
        <v>40</v>
      </c>
      <c r="K2598" s="32" t="s">
        <v>41</v>
      </c>
    </row>
    <row r="2599" spans="1:11" hidden="1" x14ac:dyDescent="0.3">
      <c r="A2599" s="39">
        <v>46146.578599537039</v>
      </c>
      <c r="B2599" s="32" t="s">
        <v>45</v>
      </c>
      <c r="C2599" s="32">
        <v>44988255390</v>
      </c>
      <c r="E2599" s="32">
        <v>32</v>
      </c>
      <c r="F2599" s="32">
        <v>24</v>
      </c>
      <c r="G2599" s="32" t="s">
        <v>38</v>
      </c>
      <c r="H2599" s="32" t="s">
        <v>5317</v>
      </c>
      <c r="I2599" s="32" t="s">
        <v>46</v>
      </c>
      <c r="J2599" s="32" t="s">
        <v>40</v>
      </c>
    </row>
    <row r="2600" spans="1:11" hidden="1" x14ac:dyDescent="0.3">
      <c r="A2600" s="39">
        <v>46146.576608796298</v>
      </c>
      <c r="B2600" s="32">
        <v>4334226481</v>
      </c>
      <c r="C2600" s="32" t="s">
        <v>43</v>
      </c>
      <c r="D2600" s="32">
        <v>4430265054</v>
      </c>
      <c r="E2600" s="32">
        <v>511</v>
      </c>
      <c r="F2600" s="32">
        <v>466</v>
      </c>
      <c r="G2600" s="32" t="s">
        <v>38</v>
      </c>
      <c r="H2600" s="32" t="s">
        <v>5318</v>
      </c>
      <c r="I2600" s="32" t="s">
        <v>39</v>
      </c>
      <c r="J2600" s="32" t="s">
        <v>40</v>
      </c>
      <c r="K2600" s="32" t="s">
        <v>41</v>
      </c>
    </row>
    <row r="2601" spans="1:11" hidden="1" x14ac:dyDescent="0.3">
      <c r="A2601" s="39">
        <v>46146.575949074075</v>
      </c>
      <c r="B2601" s="32" t="s">
        <v>45</v>
      </c>
      <c r="C2601" s="32">
        <v>44988255390</v>
      </c>
      <c r="E2601" s="32">
        <v>44</v>
      </c>
      <c r="F2601" s="32">
        <v>31</v>
      </c>
      <c r="G2601" s="32" t="s">
        <v>38</v>
      </c>
      <c r="H2601" s="32" t="s">
        <v>5319</v>
      </c>
      <c r="I2601" s="32" t="s">
        <v>46</v>
      </c>
      <c r="J2601" s="32" t="s">
        <v>40</v>
      </c>
    </row>
    <row r="2602" spans="1:11" hidden="1" x14ac:dyDescent="0.3">
      <c r="A2602" s="39">
        <v>46146.575694444444</v>
      </c>
      <c r="B2602" s="32" t="s">
        <v>45</v>
      </c>
      <c r="C2602" s="32">
        <v>44988255390</v>
      </c>
      <c r="E2602" s="32">
        <v>49</v>
      </c>
      <c r="F2602" s="32">
        <v>40</v>
      </c>
      <c r="G2602" s="32" t="s">
        <v>38</v>
      </c>
      <c r="H2602" s="32" t="s">
        <v>5320</v>
      </c>
      <c r="I2602" s="32" t="s">
        <v>46</v>
      </c>
      <c r="J2602" s="32" t="s">
        <v>40</v>
      </c>
    </row>
    <row r="2603" spans="1:11" hidden="1" x14ac:dyDescent="0.3">
      <c r="A2603" s="39">
        <v>46146.575613425928</v>
      </c>
      <c r="B2603" s="32" t="s">
        <v>45</v>
      </c>
      <c r="C2603" s="32">
        <v>44988255390</v>
      </c>
      <c r="E2603" s="32">
        <v>5</v>
      </c>
      <c r="F2603" s="32">
        <v>0</v>
      </c>
      <c r="G2603" s="32" t="s">
        <v>47</v>
      </c>
      <c r="H2603" s="32" t="s">
        <v>5321</v>
      </c>
      <c r="I2603" s="32" t="s">
        <v>46</v>
      </c>
      <c r="J2603" s="32" t="s">
        <v>40</v>
      </c>
    </row>
    <row r="2604" spans="1:11" hidden="1" x14ac:dyDescent="0.3">
      <c r="A2604" s="39">
        <v>46146.573703703703</v>
      </c>
      <c r="B2604" s="32">
        <v>4121418115</v>
      </c>
      <c r="C2604" s="32" t="s">
        <v>43</v>
      </c>
      <c r="D2604" s="32">
        <v>4531273176</v>
      </c>
      <c r="E2604" s="32">
        <v>46</v>
      </c>
      <c r="F2604" s="32">
        <v>4</v>
      </c>
      <c r="G2604" s="32" t="s">
        <v>38</v>
      </c>
      <c r="H2604" s="32" t="s">
        <v>5322</v>
      </c>
      <c r="I2604" s="32" t="s">
        <v>39</v>
      </c>
      <c r="J2604" s="32" t="s">
        <v>40</v>
      </c>
      <c r="K2604" s="32" t="s">
        <v>41</v>
      </c>
    </row>
    <row r="2605" spans="1:11" hidden="1" x14ac:dyDescent="0.3">
      <c r="A2605" s="39">
        <v>46146.570983796293</v>
      </c>
      <c r="B2605" s="32" t="s">
        <v>37</v>
      </c>
      <c r="C2605" s="32">
        <v>4432325260</v>
      </c>
      <c r="E2605" s="32">
        <v>940</v>
      </c>
      <c r="F2605" s="32">
        <v>932</v>
      </c>
      <c r="G2605" s="32" t="s">
        <v>38</v>
      </c>
      <c r="H2605" s="32" t="s">
        <v>5323</v>
      </c>
      <c r="I2605" s="32" t="s">
        <v>46</v>
      </c>
      <c r="J2605" s="32" t="s">
        <v>40</v>
      </c>
    </row>
    <row r="2606" spans="1:11" hidden="1" x14ac:dyDescent="0.3">
      <c r="A2606" s="39">
        <v>46146.570902777778</v>
      </c>
      <c r="B2606" s="32" t="s">
        <v>37</v>
      </c>
      <c r="C2606" s="32">
        <v>4432325260</v>
      </c>
      <c r="E2606" s="32">
        <v>26</v>
      </c>
      <c r="F2606" s="32">
        <v>25</v>
      </c>
      <c r="G2606" s="32" t="s">
        <v>38</v>
      </c>
      <c r="H2606" s="32" t="s">
        <v>5324</v>
      </c>
      <c r="I2606" s="32" t="s">
        <v>46</v>
      </c>
      <c r="J2606" s="32" t="s">
        <v>40</v>
      </c>
    </row>
    <row r="2607" spans="1:11" hidden="1" x14ac:dyDescent="0.3">
      <c r="A2607" s="39">
        <v>46146.570439814815</v>
      </c>
      <c r="B2607" s="32">
        <v>4435226025</v>
      </c>
      <c r="C2607" s="32" t="s">
        <v>43</v>
      </c>
      <c r="D2607" s="32">
        <v>4430265054</v>
      </c>
      <c r="E2607" s="32">
        <v>47</v>
      </c>
      <c r="F2607" s="32">
        <v>28</v>
      </c>
      <c r="G2607" s="32" t="s">
        <v>38</v>
      </c>
      <c r="H2607" s="32" t="s">
        <v>5325</v>
      </c>
      <c r="I2607" s="32" t="s">
        <v>39</v>
      </c>
      <c r="J2607" s="32" t="s">
        <v>40</v>
      </c>
      <c r="K2607" s="32" t="s">
        <v>41</v>
      </c>
    </row>
    <row r="2608" spans="1:11" hidden="1" x14ac:dyDescent="0.3">
      <c r="A2608" s="39">
        <v>46146.568032407406</v>
      </c>
      <c r="B2608" s="32">
        <v>44988255390</v>
      </c>
      <c r="C2608" s="32" t="s">
        <v>45</v>
      </c>
      <c r="D2608" s="32">
        <v>4430265054</v>
      </c>
      <c r="E2608" s="32">
        <v>388</v>
      </c>
      <c r="F2608" s="32">
        <v>354</v>
      </c>
      <c r="G2608" s="32" t="s">
        <v>38</v>
      </c>
      <c r="H2608" s="32" t="s">
        <v>5326</v>
      </c>
      <c r="I2608" s="32" t="s">
        <v>39</v>
      </c>
      <c r="J2608" s="32" t="s">
        <v>40</v>
      </c>
      <c r="K2608" s="32" t="s">
        <v>41</v>
      </c>
    </row>
    <row r="2609" spans="1:13" hidden="1" x14ac:dyDescent="0.3">
      <c r="A2609" s="39">
        <v>46146.564699074072</v>
      </c>
      <c r="B2609" s="32">
        <v>4121410323</v>
      </c>
      <c r="C2609" s="32">
        <v>4531273163</v>
      </c>
      <c r="D2609" s="32">
        <v>4531273163</v>
      </c>
      <c r="E2609" s="32">
        <v>47</v>
      </c>
      <c r="F2609" s="32">
        <v>46</v>
      </c>
      <c r="G2609" s="32" t="s">
        <v>52</v>
      </c>
      <c r="H2609" s="32" t="s">
        <v>5327</v>
      </c>
      <c r="I2609" s="32" t="s">
        <v>39</v>
      </c>
      <c r="J2609" s="32" t="s">
        <v>53</v>
      </c>
      <c r="K2609" s="32" t="s">
        <v>41</v>
      </c>
    </row>
    <row r="2610" spans="1:13" hidden="1" x14ac:dyDescent="0.3">
      <c r="A2610" s="39">
        <v>46146.561539351853</v>
      </c>
      <c r="B2610" s="32">
        <v>43996490165</v>
      </c>
      <c r="C2610" s="32">
        <v>4430265054</v>
      </c>
      <c r="D2610" s="32">
        <v>4430265054</v>
      </c>
      <c r="E2610" s="32">
        <v>14</v>
      </c>
      <c r="F2610" s="32">
        <v>13</v>
      </c>
      <c r="G2610" s="32" t="s">
        <v>52</v>
      </c>
      <c r="H2610" s="32" t="s">
        <v>5328</v>
      </c>
      <c r="I2610" s="32" t="s">
        <v>39</v>
      </c>
      <c r="J2610" s="32" t="s">
        <v>53</v>
      </c>
    </row>
    <row r="2611" spans="1:13" hidden="1" x14ac:dyDescent="0.3">
      <c r="A2611" s="39">
        <v>46146.558749999997</v>
      </c>
      <c r="B2611" s="32">
        <v>6234347959</v>
      </c>
      <c r="C2611" s="32">
        <v>4430265054</v>
      </c>
      <c r="D2611" s="32">
        <v>4430265054</v>
      </c>
      <c r="E2611" s="32">
        <v>13</v>
      </c>
      <c r="F2611" s="32">
        <v>13</v>
      </c>
      <c r="G2611" s="32" t="s">
        <v>52</v>
      </c>
      <c r="H2611" s="32" t="s">
        <v>5329</v>
      </c>
      <c r="I2611" s="32" t="s">
        <v>39</v>
      </c>
      <c r="J2611" s="32" t="s">
        <v>53</v>
      </c>
    </row>
    <row r="2612" spans="1:13" hidden="1" x14ac:dyDescent="0.3">
      <c r="A2612" s="39">
        <v>46146.554652777777</v>
      </c>
      <c r="B2612" s="32">
        <v>4421032924</v>
      </c>
      <c r="C2612" s="32">
        <v>4430265054</v>
      </c>
      <c r="D2612" s="32">
        <v>4430265054</v>
      </c>
      <c r="E2612" s="32">
        <v>3</v>
      </c>
      <c r="F2612" s="32">
        <v>2</v>
      </c>
      <c r="G2612" s="32" t="s">
        <v>52</v>
      </c>
      <c r="H2612" s="32" t="s">
        <v>5330</v>
      </c>
      <c r="I2612" s="32" t="s">
        <v>39</v>
      </c>
      <c r="J2612" s="32" t="s">
        <v>53</v>
      </c>
    </row>
    <row r="2613" spans="1:13" hidden="1" x14ac:dyDescent="0.3">
      <c r="A2613" s="39">
        <v>46146.488993055558</v>
      </c>
      <c r="B2613" s="32" t="s">
        <v>57</v>
      </c>
      <c r="C2613" s="32">
        <v>41997840159</v>
      </c>
      <c r="E2613" s="32">
        <v>66</v>
      </c>
      <c r="F2613" s="32">
        <v>25</v>
      </c>
      <c r="G2613" s="32" t="s">
        <v>38</v>
      </c>
      <c r="H2613" s="32" t="s">
        <v>5331</v>
      </c>
      <c r="I2613" s="32" t="s">
        <v>46</v>
      </c>
      <c r="J2613" s="32" t="s">
        <v>55</v>
      </c>
    </row>
    <row r="2614" spans="1:13" hidden="1" x14ac:dyDescent="0.3">
      <c r="A2614" s="39">
        <v>46146.487835648149</v>
      </c>
      <c r="B2614" s="32">
        <v>77999014770</v>
      </c>
      <c r="C2614" s="32" t="s">
        <v>37</v>
      </c>
      <c r="D2614" s="32">
        <v>4430265054</v>
      </c>
      <c r="E2614" s="32">
        <v>787</v>
      </c>
      <c r="F2614" s="32">
        <v>696</v>
      </c>
      <c r="G2614" s="32" t="s">
        <v>38</v>
      </c>
      <c r="H2614" s="32" t="s">
        <v>5332</v>
      </c>
      <c r="I2614" s="32" t="s">
        <v>39</v>
      </c>
      <c r="J2614" s="32" t="s">
        <v>40</v>
      </c>
      <c r="K2614" s="32" t="s">
        <v>41</v>
      </c>
      <c r="L2614" s="40">
        <v>5</v>
      </c>
      <c r="M2614" s="34" t="s">
        <v>5408</v>
      </c>
    </row>
    <row r="2615" spans="1:13" hidden="1" x14ac:dyDescent="0.3">
      <c r="A2615" s="39">
        <v>46146.487037037034</v>
      </c>
      <c r="B2615" s="32" t="s">
        <v>57</v>
      </c>
      <c r="C2615" s="32">
        <v>4131210227</v>
      </c>
      <c r="E2615" s="32">
        <v>131</v>
      </c>
      <c r="F2615" s="32">
        <v>72</v>
      </c>
      <c r="G2615" s="32" t="s">
        <v>38</v>
      </c>
      <c r="H2615" s="32" t="s">
        <v>5333</v>
      </c>
      <c r="I2615" s="32" t="s">
        <v>46</v>
      </c>
      <c r="J2615" s="32" t="s">
        <v>55</v>
      </c>
    </row>
    <row r="2616" spans="1:13" hidden="1" x14ac:dyDescent="0.3">
      <c r="A2616" s="39">
        <v>46146.486655092594</v>
      </c>
      <c r="B2616" s="32" t="s">
        <v>57</v>
      </c>
      <c r="C2616" s="32">
        <v>47996738682</v>
      </c>
      <c r="E2616" s="32">
        <v>24</v>
      </c>
      <c r="F2616" s="32">
        <v>13</v>
      </c>
      <c r="G2616" s="32" t="s">
        <v>38</v>
      </c>
      <c r="H2616" s="32" t="s">
        <v>5334</v>
      </c>
      <c r="I2616" s="32" t="s">
        <v>46</v>
      </c>
      <c r="J2616" s="32" t="s">
        <v>55</v>
      </c>
    </row>
    <row r="2617" spans="1:13" hidden="1" x14ac:dyDescent="0.3">
      <c r="A2617" s="39">
        <v>46146.486273148148</v>
      </c>
      <c r="B2617" s="32">
        <v>4421032926</v>
      </c>
      <c r="C2617" s="32">
        <v>4430265054</v>
      </c>
      <c r="D2617" s="32">
        <v>4430265054</v>
      </c>
      <c r="E2617" s="32">
        <v>3</v>
      </c>
      <c r="F2617" s="32">
        <v>2</v>
      </c>
      <c r="G2617" s="32" t="s">
        <v>52</v>
      </c>
      <c r="H2617" s="32" t="s">
        <v>5335</v>
      </c>
      <c r="I2617" s="32" t="s">
        <v>39</v>
      </c>
      <c r="J2617" s="32" t="s">
        <v>53</v>
      </c>
    </row>
    <row r="2618" spans="1:13" hidden="1" x14ac:dyDescent="0.3">
      <c r="A2618" s="39">
        <v>46146.480937499997</v>
      </c>
      <c r="B2618" s="32" t="s">
        <v>57</v>
      </c>
      <c r="C2618" s="32">
        <v>44999771896</v>
      </c>
      <c r="E2618" s="32">
        <v>26</v>
      </c>
      <c r="F2618" s="32">
        <v>5</v>
      </c>
      <c r="G2618" s="32" t="s">
        <v>38</v>
      </c>
      <c r="H2618" s="32" t="s">
        <v>5336</v>
      </c>
      <c r="I2618" s="32" t="s">
        <v>46</v>
      </c>
      <c r="J2618" s="32" t="s">
        <v>55</v>
      </c>
    </row>
    <row r="2619" spans="1:13" hidden="1" x14ac:dyDescent="0.3">
      <c r="A2619" s="39">
        <v>46146.480115740742</v>
      </c>
      <c r="B2619" s="32" t="s">
        <v>57</v>
      </c>
      <c r="C2619" s="32">
        <v>44999966919</v>
      </c>
      <c r="E2619" s="32">
        <v>40</v>
      </c>
      <c r="F2619" s="32">
        <v>3</v>
      </c>
      <c r="G2619" s="32" t="s">
        <v>38</v>
      </c>
      <c r="H2619" s="32" t="s">
        <v>5337</v>
      </c>
      <c r="I2619" s="32" t="s">
        <v>46</v>
      </c>
      <c r="J2619" s="32" t="s">
        <v>55</v>
      </c>
    </row>
    <row r="2620" spans="1:13" hidden="1" x14ac:dyDescent="0.3">
      <c r="A2620" s="39">
        <v>46146.479618055557</v>
      </c>
      <c r="B2620" s="32" t="s">
        <v>57</v>
      </c>
      <c r="C2620" s="32">
        <v>4436351414</v>
      </c>
      <c r="E2620" s="32">
        <v>30</v>
      </c>
      <c r="F2620" s="32">
        <v>0</v>
      </c>
      <c r="G2620" s="32" t="s">
        <v>47</v>
      </c>
      <c r="H2620" s="32" t="s">
        <v>5338</v>
      </c>
      <c r="I2620" s="32" t="s">
        <v>46</v>
      </c>
      <c r="J2620" s="32" t="s">
        <v>55</v>
      </c>
    </row>
    <row r="2621" spans="1:13" hidden="1" x14ac:dyDescent="0.3">
      <c r="A2621" s="39">
        <v>46146.479513888888</v>
      </c>
      <c r="B2621" s="32" t="s">
        <v>57</v>
      </c>
      <c r="C2621" s="32">
        <v>4436351414</v>
      </c>
      <c r="E2621" s="32">
        <v>4</v>
      </c>
      <c r="F2621" s="32">
        <v>4</v>
      </c>
      <c r="G2621" s="32" t="s">
        <v>38</v>
      </c>
      <c r="H2621" s="32" t="s">
        <v>5339</v>
      </c>
      <c r="I2621" s="32" t="s">
        <v>46</v>
      </c>
      <c r="J2621" s="32" t="s">
        <v>55</v>
      </c>
    </row>
    <row r="2622" spans="1:13" hidden="1" x14ac:dyDescent="0.3">
      <c r="A2622" s="39">
        <v>46146.477013888885</v>
      </c>
      <c r="B2622" s="32">
        <v>44991181415</v>
      </c>
      <c r="C2622" s="32" t="s">
        <v>37</v>
      </c>
      <c r="D2622" s="32">
        <v>4430265054</v>
      </c>
      <c r="E2622" s="32">
        <v>113</v>
      </c>
      <c r="F2622" s="32">
        <v>71</v>
      </c>
      <c r="G2622" s="32" t="s">
        <v>38</v>
      </c>
      <c r="H2622" s="32" t="s">
        <v>5340</v>
      </c>
      <c r="I2622" s="32" t="s">
        <v>39</v>
      </c>
      <c r="J2622" s="32" t="s">
        <v>40</v>
      </c>
      <c r="K2622" s="32" t="s">
        <v>41</v>
      </c>
    </row>
    <row r="2623" spans="1:13" hidden="1" x14ac:dyDescent="0.3">
      <c r="A2623" s="39">
        <v>46146.470833333333</v>
      </c>
      <c r="B2623" s="32" t="s">
        <v>57</v>
      </c>
      <c r="C2623" s="32">
        <v>11940298065</v>
      </c>
      <c r="E2623" s="32">
        <v>127</v>
      </c>
      <c r="F2623" s="32">
        <v>114</v>
      </c>
      <c r="G2623" s="32" t="s">
        <v>38</v>
      </c>
      <c r="H2623" s="32" t="s">
        <v>5341</v>
      </c>
      <c r="I2623" s="32" t="s">
        <v>46</v>
      </c>
      <c r="J2623" s="32" t="s">
        <v>55</v>
      </c>
    </row>
    <row r="2624" spans="1:13" hidden="1" x14ac:dyDescent="0.3">
      <c r="A2624" s="39">
        <v>46146.470578703702</v>
      </c>
      <c r="B2624" s="32" t="s">
        <v>57</v>
      </c>
      <c r="C2624" s="32">
        <v>11998552688</v>
      </c>
      <c r="E2624" s="32">
        <v>11</v>
      </c>
      <c r="F2624" s="32">
        <v>4</v>
      </c>
      <c r="G2624" s="32" t="s">
        <v>38</v>
      </c>
      <c r="H2624" s="32" t="s">
        <v>5342</v>
      </c>
      <c r="I2624" s="32" t="s">
        <v>46</v>
      </c>
      <c r="J2624" s="32" t="s">
        <v>55</v>
      </c>
    </row>
    <row r="2625" spans="1:12" hidden="1" x14ac:dyDescent="0.3">
      <c r="A2625" s="39">
        <v>46146.469097222223</v>
      </c>
      <c r="B2625" s="32">
        <v>62994086124</v>
      </c>
      <c r="C2625" s="32">
        <v>4430265054</v>
      </c>
      <c r="D2625" s="32">
        <v>4430265054</v>
      </c>
      <c r="E2625" s="32">
        <v>4</v>
      </c>
      <c r="F2625" s="32">
        <v>3</v>
      </c>
      <c r="G2625" s="32" t="s">
        <v>52</v>
      </c>
      <c r="H2625" s="32" t="s">
        <v>5343</v>
      </c>
      <c r="I2625" s="32" t="s">
        <v>39</v>
      </c>
      <c r="J2625" s="32" t="s">
        <v>53</v>
      </c>
    </row>
    <row r="2626" spans="1:12" hidden="1" x14ac:dyDescent="0.3">
      <c r="A2626" s="39">
        <v>46146.464039351849</v>
      </c>
      <c r="B2626" s="32" t="s">
        <v>57</v>
      </c>
      <c r="C2626" s="32">
        <v>44999360213</v>
      </c>
      <c r="E2626" s="32">
        <v>133</v>
      </c>
      <c r="F2626" s="32">
        <v>109</v>
      </c>
      <c r="G2626" s="32" t="s">
        <v>38</v>
      </c>
      <c r="H2626" s="32" t="s">
        <v>5344</v>
      </c>
      <c r="I2626" s="32" t="s">
        <v>46</v>
      </c>
      <c r="J2626" s="32" t="s">
        <v>55</v>
      </c>
    </row>
    <row r="2627" spans="1:12" hidden="1" x14ac:dyDescent="0.3">
      <c r="A2627" s="39">
        <v>46146.462372685186</v>
      </c>
      <c r="B2627" s="32" t="s">
        <v>57</v>
      </c>
      <c r="C2627" s="32">
        <v>93991147888</v>
      </c>
      <c r="E2627" s="32">
        <v>41</v>
      </c>
      <c r="F2627" s="32">
        <v>0</v>
      </c>
      <c r="G2627" s="32" t="s">
        <v>47</v>
      </c>
      <c r="H2627" s="32" t="s">
        <v>5345</v>
      </c>
      <c r="I2627" s="32" t="s">
        <v>46</v>
      </c>
      <c r="J2627" s="32" t="s">
        <v>55</v>
      </c>
    </row>
    <row r="2628" spans="1:12" hidden="1" x14ac:dyDescent="0.3">
      <c r="A2628" s="39">
        <v>46146.46193287037</v>
      </c>
      <c r="B2628" s="32" t="s">
        <v>57</v>
      </c>
      <c r="C2628" s="32">
        <v>93991145444</v>
      </c>
      <c r="E2628" s="32">
        <v>17</v>
      </c>
      <c r="F2628" s="32">
        <v>0</v>
      </c>
      <c r="G2628" s="32" t="s">
        <v>38</v>
      </c>
      <c r="H2628" s="32" t="s">
        <v>5346</v>
      </c>
      <c r="I2628" s="32" t="s">
        <v>46</v>
      </c>
      <c r="J2628" s="32" t="s">
        <v>55</v>
      </c>
    </row>
    <row r="2629" spans="1:12" hidden="1" x14ac:dyDescent="0.3">
      <c r="A2629" s="39">
        <v>46146.460115740738</v>
      </c>
      <c r="B2629" s="32" t="s">
        <v>57</v>
      </c>
      <c r="C2629" s="32">
        <v>93984086302</v>
      </c>
      <c r="E2629" s="32">
        <v>99</v>
      </c>
      <c r="F2629" s="32">
        <v>0</v>
      </c>
      <c r="G2629" s="32" t="s">
        <v>47</v>
      </c>
      <c r="H2629" s="32" t="s">
        <v>5347</v>
      </c>
      <c r="I2629" s="32" t="s">
        <v>46</v>
      </c>
      <c r="J2629" s="32" t="s">
        <v>55</v>
      </c>
    </row>
    <row r="2630" spans="1:12" hidden="1" x14ac:dyDescent="0.3">
      <c r="A2630" s="39">
        <v>46146.459907407407</v>
      </c>
      <c r="B2630" s="32">
        <v>62994086124</v>
      </c>
      <c r="C2630" s="32">
        <v>4430265054</v>
      </c>
      <c r="D2630" s="32">
        <v>4430265054</v>
      </c>
      <c r="E2630" s="32">
        <v>28</v>
      </c>
      <c r="F2630" s="32">
        <v>27</v>
      </c>
      <c r="G2630" s="32" t="s">
        <v>52</v>
      </c>
      <c r="H2630" s="32" t="s">
        <v>5348</v>
      </c>
      <c r="I2630" s="32" t="s">
        <v>39</v>
      </c>
      <c r="J2630" s="32" t="s">
        <v>53</v>
      </c>
    </row>
    <row r="2631" spans="1:12" hidden="1" x14ac:dyDescent="0.3">
      <c r="A2631" s="39">
        <v>46146.45957175926</v>
      </c>
      <c r="B2631" s="32" t="s">
        <v>54</v>
      </c>
      <c r="C2631" s="32">
        <v>99981937619</v>
      </c>
      <c r="E2631" s="32">
        <v>10</v>
      </c>
      <c r="F2631" s="32">
        <v>1</v>
      </c>
      <c r="G2631" s="32" t="s">
        <v>38</v>
      </c>
      <c r="H2631" s="32" t="s">
        <v>5349</v>
      </c>
      <c r="I2631" s="32" t="s">
        <v>46</v>
      </c>
      <c r="J2631" s="32" t="s">
        <v>55</v>
      </c>
    </row>
    <row r="2632" spans="1:12" hidden="1" x14ac:dyDescent="0.3">
      <c r="A2632" s="39">
        <v>46146.459340277775</v>
      </c>
      <c r="B2632" s="32" t="s">
        <v>57</v>
      </c>
      <c r="C2632" s="32">
        <v>9335885605</v>
      </c>
      <c r="E2632" s="32">
        <v>6</v>
      </c>
      <c r="F2632" s="32">
        <v>0</v>
      </c>
      <c r="G2632" s="32" t="s">
        <v>47</v>
      </c>
      <c r="H2632" s="32" t="s">
        <v>5350</v>
      </c>
      <c r="I2632" s="32" t="s">
        <v>46</v>
      </c>
      <c r="J2632" s="32" t="s">
        <v>55</v>
      </c>
    </row>
    <row r="2633" spans="1:12" hidden="1" x14ac:dyDescent="0.3">
      <c r="A2633" s="39">
        <v>46146.456504629627</v>
      </c>
      <c r="B2633" s="32">
        <v>91989363636</v>
      </c>
      <c r="C2633" s="32" t="s">
        <v>37</v>
      </c>
      <c r="D2633" s="32">
        <v>4430265054</v>
      </c>
      <c r="E2633" s="32">
        <v>240</v>
      </c>
      <c r="F2633" s="32">
        <v>132</v>
      </c>
      <c r="G2633" s="32" t="s">
        <v>38</v>
      </c>
      <c r="H2633" s="32" t="s">
        <v>5351</v>
      </c>
      <c r="I2633" s="32" t="s">
        <v>39</v>
      </c>
      <c r="J2633" s="32" t="s">
        <v>40</v>
      </c>
      <c r="K2633" s="32" t="s">
        <v>41</v>
      </c>
    </row>
    <row r="2634" spans="1:12" hidden="1" x14ac:dyDescent="0.3">
      <c r="A2634" s="39">
        <v>46146.456331018519</v>
      </c>
      <c r="B2634" s="32" t="s">
        <v>57</v>
      </c>
      <c r="C2634" s="32">
        <v>1131043888</v>
      </c>
      <c r="E2634" s="32">
        <v>86</v>
      </c>
      <c r="F2634" s="32">
        <v>84</v>
      </c>
      <c r="G2634" s="32" t="s">
        <v>38</v>
      </c>
      <c r="H2634" s="32" t="s">
        <v>5352</v>
      </c>
      <c r="I2634" s="32" t="s">
        <v>46</v>
      </c>
      <c r="J2634" s="32" t="s">
        <v>55</v>
      </c>
    </row>
    <row r="2635" spans="1:12" hidden="1" x14ac:dyDescent="0.3">
      <c r="A2635" s="39">
        <v>46146.455914351849</v>
      </c>
      <c r="B2635" s="32">
        <v>62994086124</v>
      </c>
      <c r="C2635" s="32" t="s">
        <v>45</v>
      </c>
      <c r="D2635" s="32">
        <v>4430265054</v>
      </c>
      <c r="E2635" s="32">
        <v>314</v>
      </c>
      <c r="F2635" s="32">
        <v>294</v>
      </c>
      <c r="G2635" s="32" t="s">
        <v>38</v>
      </c>
      <c r="H2635" s="32" t="s">
        <v>5353</v>
      </c>
      <c r="I2635" s="32" t="s">
        <v>39</v>
      </c>
      <c r="J2635" s="32" t="s">
        <v>40</v>
      </c>
      <c r="K2635" s="32" t="s">
        <v>41</v>
      </c>
    </row>
    <row r="2636" spans="1:12" hidden="1" x14ac:dyDescent="0.3">
      <c r="A2636" s="39">
        <v>46146.455636574072</v>
      </c>
      <c r="B2636" s="32" t="s">
        <v>57</v>
      </c>
      <c r="C2636" s="32">
        <v>11989921559</v>
      </c>
      <c r="E2636" s="32">
        <v>31</v>
      </c>
      <c r="F2636" s="32">
        <v>9</v>
      </c>
      <c r="G2636" s="32" t="s">
        <v>38</v>
      </c>
      <c r="H2636" s="32" t="s">
        <v>5354</v>
      </c>
      <c r="I2636" s="32" t="s">
        <v>46</v>
      </c>
      <c r="J2636" s="32" t="s">
        <v>55</v>
      </c>
    </row>
    <row r="2637" spans="1:12" hidden="1" x14ac:dyDescent="0.3">
      <c r="A2637" s="39">
        <v>46146.454571759263</v>
      </c>
      <c r="B2637" s="32">
        <v>91989363636</v>
      </c>
      <c r="C2637" s="32">
        <v>4430265054</v>
      </c>
      <c r="D2637" s="32">
        <v>4430265054</v>
      </c>
      <c r="E2637" s="32">
        <v>11</v>
      </c>
      <c r="F2637" s="32">
        <v>11</v>
      </c>
      <c r="G2637" s="32" t="s">
        <v>52</v>
      </c>
      <c r="H2637" s="32" t="s">
        <v>5355</v>
      </c>
      <c r="I2637" s="32" t="s">
        <v>39</v>
      </c>
      <c r="J2637" s="32" t="s">
        <v>53</v>
      </c>
    </row>
    <row r="2638" spans="1:12" hidden="1" x14ac:dyDescent="0.3">
      <c r="A2638" s="39">
        <v>46146.453043981484</v>
      </c>
      <c r="B2638" s="32">
        <v>91989363636</v>
      </c>
      <c r="C2638" s="32" t="s">
        <v>37</v>
      </c>
      <c r="D2638" s="32">
        <v>4430265054</v>
      </c>
      <c r="E2638" s="32">
        <v>111</v>
      </c>
      <c r="F2638" s="32">
        <v>58</v>
      </c>
      <c r="G2638" s="32" t="s">
        <v>38</v>
      </c>
      <c r="H2638" s="32" t="s">
        <v>5356</v>
      </c>
      <c r="I2638" s="32" t="s">
        <v>39</v>
      </c>
      <c r="J2638" s="32" t="s">
        <v>40</v>
      </c>
      <c r="K2638" s="32" t="s">
        <v>41</v>
      </c>
    </row>
    <row r="2639" spans="1:12" hidden="1" x14ac:dyDescent="0.3">
      <c r="A2639" s="39">
        <v>46146.445081018515</v>
      </c>
      <c r="B2639" s="32">
        <v>44997650834</v>
      </c>
      <c r="C2639" s="32" t="s">
        <v>37</v>
      </c>
      <c r="D2639" s="32">
        <v>4430265054</v>
      </c>
      <c r="E2639" s="32">
        <v>470</v>
      </c>
      <c r="F2639" s="32">
        <v>441</v>
      </c>
      <c r="G2639" s="32" t="s">
        <v>38</v>
      </c>
      <c r="H2639" s="32" t="s">
        <v>5357</v>
      </c>
      <c r="I2639" s="32" t="s">
        <v>39</v>
      </c>
      <c r="J2639" s="32" t="s">
        <v>40</v>
      </c>
      <c r="K2639" s="32" t="s">
        <v>41</v>
      </c>
      <c r="L2639" s="32">
        <v>5</v>
      </c>
    </row>
    <row r="2640" spans="1:12" hidden="1" x14ac:dyDescent="0.3">
      <c r="A2640" s="39">
        <v>46146.442719907405</v>
      </c>
      <c r="B2640" s="32">
        <v>4121410323</v>
      </c>
      <c r="C2640" s="32" t="s">
        <v>37</v>
      </c>
      <c r="D2640" s="32">
        <v>4531273172</v>
      </c>
      <c r="E2640" s="32">
        <v>47</v>
      </c>
      <c r="F2640" s="32">
        <v>13</v>
      </c>
      <c r="G2640" s="32" t="s">
        <v>38</v>
      </c>
      <c r="H2640" s="32" t="s">
        <v>5358</v>
      </c>
      <c r="I2640" s="32" t="s">
        <v>39</v>
      </c>
      <c r="J2640" s="32" t="s">
        <v>40</v>
      </c>
      <c r="K2640" s="32" t="s">
        <v>41</v>
      </c>
    </row>
    <row r="2641" spans="1:12" hidden="1" x14ac:dyDescent="0.3">
      <c r="A2641" s="39">
        <v>46146.440520833334</v>
      </c>
      <c r="B2641" s="32" t="s">
        <v>54</v>
      </c>
      <c r="C2641" s="32">
        <v>11948538498</v>
      </c>
      <c r="E2641" s="32">
        <v>15</v>
      </c>
      <c r="F2641" s="32">
        <v>2</v>
      </c>
      <c r="G2641" s="32" t="s">
        <v>38</v>
      </c>
      <c r="H2641" s="32" t="s">
        <v>5359</v>
      </c>
      <c r="I2641" s="32" t="s">
        <v>46</v>
      </c>
      <c r="J2641" s="32" t="s">
        <v>55</v>
      </c>
    </row>
    <row r="2642" spans="1:12" hidden="1" x14ac:dyDescent="0.3">
      <c r="A2642" s="39">
        <v>46146.437534722223</v>
      </c>
      <c r="B2642" s="32">
        <v>4432524636</v>
      </c>
      <c r="C2642" s="32" t="s">
        <v>45</v>
      </c>
      <c r="D2642" s="32">
        <v>4430265054</v>
      </c>
      <c r="E2642" s="32">
        <v>1376</v>
      </c>
      <c r="F2642" s="32">
        <v>1366</v>
      </c>
      <c r="G2642" s="32" t="s">
        <v>38</v>
      </c>
      <c r="H2642" s="32" t="s">
        <v>5360</v>
      </c>
      <c r="I2642" s="32" t="s">
        <v>39</v>
      </c>
      <c r="J2642" s="32" t="s">
        <v>40</v>
      </c>
      <c r="K2642" s="32" t="s">
        <v>41</v>
      </c>
    </row>
    <row r="2643" spans="1:12" hidden="1" x14ac:dyDescent="0.3">
      <c r="A2643" s="39">
        <v>46146.43645833333</v>
      </c>
      <c r="B2643" s="32">
        <v>4433015976</v>
      </c>
      <c r="C2643" s="32">
        <v>4430265054</v>
      </c>
      <c r="D2643" s="32">
        <v>4430265054</v>
      </c>
      <c r="E2643" s="32">
        <v>4</v>
      </c>
      <c r="F2643" s="32">
        <v>3</v>
      </c>
      <c r="G2643" s="32" t="s">
        <v>52</v>
      </c>
      <c r="H2643" s="32" t="s">
        <v>5361</v>
      </c>
      <c r="I2643" s="32" t="s">
        <v>39</v>
      </c>
      <c r="J2643" s="32" t="s">
        <v>53</v>
      </c>
    </row>
    <row r="2644" spans="1:12" hidden="1" x14ac:dyDescent="0.3">
      <c r="A2644" s="39">
        <v>46146.431180555555</v>
      </c>
      <c r="B2644" s="32" t="s">
        <v>57</v>
      </c>
      <c r="C2644" s="32">
        <v>1140330393</v>
      </c>
      <c r="E2644" s="32">
        <v>582</v>
      </c>
      <c r="F2644" s="32">
        <v>576</v>
      </c>
      <c r="G2644" s="32" t="s">
        <v>38</v>
      </c>
      <c r="H2644" s="32" t="s">
        <v>5362</v>
      </c>
      <c r="I2644" s="32" t="s">
        <v>46</v>
      </c>
      <c r="J2644" s="32" t="s">
        <v>55</v>
      </c>
    </row>
    <row r="2645" spans="1:12" hidden="1" x14ac:dyDescent="0.3">
      <c r="A2645" s="39">
        <v>46146.430972222224</v>
      </c>
      <c r="B2645" s="32" t="s">
        <v>57</v>
      </c>
      <c r="C2645" s="32">
        <v>1140330858</v>
      </c>
      <c r="E2645" s="32">
        <v>11</v>
      </c>
      <c r="F2645" s="32">
        <v>0</v>
      </c>
      <c r="G2645" s="32" t="s">
        <v>47</v>
      </c>
      <c r="H2645" s="32" t="s">
        <v>5363</v>
      </c>
      <c r="I2645" s="32" t="s">
        <v>46</v>
      </c>
      <c r="J2645" s="32" t="s">
        <v>55</v>
      </c>
    </row>
    <row r="2646" spans="1:12" hidden="1" x14ac:dyDescent="0.3">
      <c r="A2646" s="39">
        <v>46146.430208333331</v>
      </c>
      <c r="B2646" s="32">
        <v>2121123730</v>
      </c>
      <c r="C2646" s="32" t="s">
        <v>45</v>
      </c>
      <c r="D2646" s="32">
        <v>4430265054</v>
      </c>
      <c r="E2646" s="32">
        <v>47</v>
      </c>
      <c r="F2646" s="32">
        <v>6</v>
      </c>
      <c r="G2646" s="32" t="s">
        <v>38</v>
      </c>
      <c r="H2646" s="32" t="s">
        <v>5364</v>
      </c>
      <c r="I2646" s="32" t="s">
        <v>39</v>
      </c>
      <c r="J2646" s="32" t="s">
        <v>40</v>
      </c>
      <c r="K2646" s="32" t="s">
        <v>41</v>
      </c>
    </row>
    <row r="2647" spans="1:12" hidden="1" x14ac:dyDescent="0.3">
      <c r="A2647" s="39">
        <v>46146.42664351852</v>
      </c>
      <c r="B2647" s="32" t="s">
        <v>54</v>
      </c>
      <c r="C2647" s="32">
        <v>28999586006</v>
      </c>
      <c r="E2647" s="32">
        <v>36</v>
      </c>
      <c r="F2647" s="32">
        <v>0</v>
      </c>
      <c r="G2647" s="32" t="s">
        <v>47</v>
      </c>
      <c r="H2647" s="32" t="s">
        <v>5365</v>
      </c>
      <c r="I2647" s="32" t="s">
        <v>46</v>
      </c>
      <c r="J2647" s="32" t="s">
        <v>55</v>
      </c>
    </row>
    <row r="2648" spans="1:12" hidden="1" x14ac:dyDescent="0.3">
      <c r="A2648" s="39">
        <v>46146.426157407404</v>
      </c>
      <c r="B2648" s="32">
        <v>4532541802</v>
      </c>
      <c r="C2648" s="32" t="s">
        <v>56</v>
      </c>
      <c r="D2648" s="32">
        <v>4430265054</v>
      </c>
      <c r="E2648" s="32">
        <v>472</v>
      </c>
      <c r="F2648" s="32">
        <v>373</v>
      </c>
      <c r="G2648" s="32" t="s">
        <v>38</v>
      </c>
      <c r="H2648" s="32" t="s">
        <v>5366</v>
      </c>
      <c r="I2648" s="32" t="s">
        <v>39</v>
      </c>
      <c r="J2648" s="32" t="s">
        <v>53</v>
      </c>
      <c r="K2648" s="32" t="s">
        <v>41</v>
      </c>
    </row>
    <row r="2649" spans="1:12" hidden="1" x14ac:dyDescent="0.3">
      <c r="A2649" s="39">
        <v>46146.425752314812</v>
      </c>
      <c r="B2649" s="32" t="s">
        <v>54</v>
      </c>
      <c r="C2649" s="32">
        <v>71991251666</v>
      </c>
      <c r="E2649" s="32">
        <v>9</v>
      </c>
      <c r="F2649" s="32">
        <v>2</v>
      </c>
      <c r="G2649" s="32" t="s">
        <v>38</v>
      </c>
      <c r="H2649" s="32" t="s">
        <v>5367</v>
      </c>
      <c r="I2649" s="32" t="s">
        <v>46</v>
      </c>
      <c r="J2649" s="32" t="s">
        <v>55</v>
      </c>
    </row>
    <row r="2650" spans="1:12" hidden="1" x14ac:dyDescent="0.3">
      <c r="A2650" s="39">
        <v>46146.425335648149</v>
      </c>
      <c r="B2650" s="32">
        <v>44988255390</v>
      </c>
      <c r="C2650" s="32" t="s">
        <v>48</v>
      </c>
      <c r="D2650" s="32">
        <v>4430265054</v>
      </c>
      <c r="E2650" s="32">
        <v>1013</v>
      </c>
      <c r="F2650" s="32">
        <v>938</v>
      </c>
      <c r="G2650" s="32" t="s">
        <v>38</v>
      </c>
      <c r="H2650" s="32" t="s">
        <v>5368</v>
      </c>
      <c r="I2650" s="32" t="s">
        <v>39</v>
      </c>
      <c r="J2650" s="32" t="s">
        <v>40</v>
      </c>
      <c r="K2650" s="32" t="s">
        <v>41</v>
      </c>
    </row>
    <row r="2651" spans="1:12" hidden="1" x14ac:dyDescent="0.3">
      <c r="A2651" s="39">
        <v>46146.42423611111</v>
      </c>
      <c r="B2651" s="32" t="s">
        <v>54</v>
      </c>
      <c r="C2651" s="32">
        <v>6237067727</v>
      </c>
      <c r="E2651" s="32">
        <v>3</v>
      </c>
      <c r="F2651" s="32">
        <v>0</v>
      </c>
      <c r="G2651" s="32" t="s">
        <v>47</v>
      </c>
      <c r="H2651" s="32" t="s">
        <v>5369</v>
      </c>
      <c r="I2651" s="32" t="s">
        <v>46</v>
      </c>
      <c r="J2651" s="32" t="s">
        <v>55</v>
      </c>
    </row>
    <row r="2652" spans="1:12" hidden="1" x14ac:dyDescent="0.3">
      <c r="A2652" s="39">
        <v>46146.423611111109</v>
      </c>
      <c r="B2652" s="32" t="s">
        <v>54</v>
      </c>
      <c r="C2652" s="32">
        <v>51984274563</v>
      </c>
      <c r="E2652" s="32">
        <v>7</v>
      </c>
      <c r="F2652" s="32">
        <v>0</v>
      </c>
      <c r="G2652" s="32" t="s">
        <v>47</v>
      </c>
      <c r="H2652" s="32" t="s">
        <v>5370</v>
      </c>
      <c r="I2652" s="32" t="s">
        <v>46</v>
      </c>
      <c r="J2652" s="32" t="s">
        <v>55</v>
      </c>
    </row>
    <row r="2653" spans="1:12" hidden="1" x14ac:dyDescent="0.3">
      <c r="A2653" s="39">
        <v>46146.421956018516</v>
      </c>
      <c r="B2653" s="32">
        <v>4432325260</v>
      </c>
      <c r="C2653" s="32" t="s">
        <v>37</v>
      </c>
      <c r="D2653" s="32">
        <v>4430265054</v>
      </c>
      <c r="E2653" s="32">
        <v>1267</v>
      </c>
      <c r="F2653" s="32">
        <v>1044</v>
      </c>
      <c r="G2653" s="32" t="s">
        <v>38</v>
      </c>
      <c r="H2653" s="32" t="s">
        <v>5371</v>
      </c>
      <c r="I2653" s="32" t="s">
        <v>39</v>
      </c>
      <c r="J2653" s="32" t="s">
        <v>40</v>
      </c>
      <c r="K2653" s="32" t="s">
        <v>41</v>
      </c>
    </row>
    <row r="2654" spans="1:12" hidden="1" x14ac:dyDescent="0.3">
      <c r="A2654" s="39">
        <v>46146.418576388889</v>
      </c>
      <c r="B2654" s="32">
        <v>43991762957</v>
      </c>
      <c r="C2654" s="32" t="s">
        <v>44</v>
      </c>
      <c r="D2654" s="32">
        <v>4430265054</v>
      </c>
      <c r="E2654" s="32">
        <v>2394</v>
      </c>
      <c r="F2654" s="32">
        <v>1969</v>
      </c>
      <c r="G2654" s="32" t="s">
        <v>38</v>
      </c>
      <c r="H2654" s="32" t="s">
        <v>5372</v>
      </c>
      <c r="I2654" s="32" t="s">
        <v>39</v>
      </c>
      <c r="J2654" s="32" t="s">
        <v>40</v>
      </c>
      <c r="K2654" s="32" t="s">
        <v>41</v>
      </c>
    </row>
    <row r="2655" spans="1:12" hidden="1" x14ac:dyDescent="0.3">
      <c r="A2655" s="39">
        <v>46146.418391203704</v>
      </c>
      <c r="B2655" s="32">
        <v>1131043888</v>
      </c>
      <c r="C2655" s="32" t="s">
        <v>45</v>
      </c>
      <c r="D2655" s="32">
        <v>4430265054</v>
      </c>
      <c r="E2655" s="32">
        <v>813</v>
      </c>
      <c r="F2655" s="32">
        <v>640</v>
      </c>
      <c r="G2655" s="32" t="s">
        <v>38</v>
      </c>
      <c r="H2655" s="32" t="s">
        <v>5373</v>
      </c>
      <c r="I2655" s="32" t="s">
        <v>39</v>
      </c>
      <c r="J2655" s="32" t="s">
        <v>40</v>
      </c>
      <c r="K2655" s="32" t="s">
        <v>41</v>
      </c>
    </row>
    <row r="2656" spans="1:12" hidden="1" x14ac:dyDescent="0.3">
      <c r="A2656" s="39">
        <v>46146.413611111115</v>
      </c>
      <c r="B2656" s="32">
        <v>6236223828</v>
      </c>
      <c r="C2656" s="32" t="s">
        <v>45</v>
      </c>
      <c r="D2656" s="32">
        <v>4430265054</v>
      </c>
      <c r="E2656" s="32">
        <v>612</v>
      </c>
      <c r="F2656" s="32">
        <v>132</v>
      </c>
      <c r="G2656" s="32" t="s">
        <v>38</v>
      </c>
      <c r="H2656" s="32" t="s">
        <v>5374</v>
      </c>
      <c r="I2656" s="32" t="s">
        <v>39</v>
      </c>
      <c r="J2656" s="32" t="s">
        <v>40</v>
      </c>
      <c r="K2656" s="32" t="s">
        <v>41</v>
      </c>
      <c r="L2656" s="32">
        <v>4</v>
      </c>
    </row>
    <row r="2657" spans="1:12" hidden="1" x14ac:dyDescent="0.3">
      <c r="A2657" s="39">
        <v>46146.413356481484</v>
      </c>
      <c r="B2657" s="32">
        <v>4432524636</v>
      </c>
      <c r="C2657" s="32">
        <v>4430265054</v>
      </c>
      <c r="D2657" s="32">
        <v>4430265054</v>
      </c>
      <c r="E2657" s="32">
        <v>143</v>
      </c>
      <c r="F2657" s="32">
        <v>142</v>
      </c>
      <c r="G2657" s="32" t="s">
        <v>52</v>
      </c>
      <c r="H2657" s="32" t="s">
        <v>5375</v>
      </c>
      <c r="I2657" s="32" t="s">
        <v>39</v>
      </c>
      <c r="J2657" s="32" t="s">
        <v>53</v>
      </c>
      <c r="K2657" s="32" t="s">
        <v>41</v>
      </c>
    </row>
    <row r="2658" spans="1:12" hidden="1" x14ac:dyDescent="0.3">
      <c r="A2658" s="39">
        <v>46146.412303240744</v>
      </c>
      <c r="B2658" s="32">
        <v>41987771666</v>
      </c>
      <c r="C2658" s="32" t="s">
        <v>37</v>
      </c>
      <c r="D2658" s="32">
        <v>4430265054</v>
      </c>
      <c r="E2658" s="32">
        <v>986</v>
      </c>
      <c r="F2658" s="32">
        <v>910</v>
      </c>
      <c r="G2658" s="32" t="s">
        <v>38</v>
      </c>
      <c r="H2658" s="32" t="s">
        <v>5376</v>
      </c>
      <c r="I2658" s="32" t="s">
        <v>39</v>
      </c>
      <c r="J2658" s="32" t="s">
        <v>40</v>
      </c>
      <c r="K2658" s="32" t="s">
        <v>41</v>
      </c>
      <c r="L2658" s="32">
        <v>5</v>
      </c>
    </row>
    <row r="2659" spans="1:12" hidden="1" x14ac:dyDescent="0.3">
      <c r="A2659" s="39">
        <v>46146.41128472222</v>
      </c>
      <c r="B2659" s="32" t="s">
        <v>57</v>
      </c>
      <c r="C2659" s="32">
        <v>4430285070</v>
      </c>
      <c r="E2659" s="32">
        <v>766</v>
      </c>
      <c r="F2659" s="32">
        <v>751</v>
      </c>
      <c r="G2659" s="32" t="s">
        <v>38</v>
      </c>
      <c r="H2659" s="32" t="s">
        <v>5377</v>
      </c>
      <c r="I2659" s="32" t="s">
        <v>46</v>
      </c>
      <c r="J2659" s="32" t="s">
        <v>55</v>
      </c>
    </row>
    <row r="2660" spans="1:12" hidden="1" x14ac:dyDescent="0.3">
      <c r="A2660" s="39">
        <v>46146.410925925928</v>
      </c>
      <c r="B2660" s="32">
        <v>47992275601</v>
      </c>
      <c r="C2660" s="32" t="s">
        <v>48</v>
      </c>
      <c r="D2660" s="32">
        <v>4430265054</v>
      </c>
      <c r="E2660" s="32">
        <v>1200</v>
      </c>
      <c r="F2660" s="32">
        <v>1075</v>
      </c>
      <c r="G2660" s="32" t="s">
        <v>38</v>
      </c>
      <c r="H2660" s="32" t="s">
        <v>5378</v>
      </c>
      <c r="I2660" s="32" t="s">
        <v>39</v>
      </c>
      <c r="J2660" s="32" t="s">
        <v>40</v>
      </c>
      <c r="K2660" s="32" t="s">
        <v>41</v>
      </c>
    </row>
    <row r="2661" spans="1:12" hidden="1" x14ac:dyDescent="0.3">
      <c r="A2661" s="39">
        <v>46146.410844907405</v>
      </c>
      <c r="B2661" s="32" t="s">
        <v>57</v>
      </c>
      <c r="C2661" s="32">
        <v>44999260131</v>
      </c>
      <c r="E2661" s="32">
        <v>20</v>
      </c>
      <c r="F2661" s="32">
        <v>10</v>
      </c>
      <c r="G2661" s="32" t="s">
        <v>38</v>
      </c>
      <c r="H2661" s="32" t="s">
        <v>5379</v>
      </c>
      <c r="I2661" s="32" t="s">
        <v>46</v>
      </c>
      <c r="J2661" s="32" t="s">
        <v>55</v>
      </c>
    </row>
    <row r="2662" spans="1:12" hidden="1" x14ac:dyDescent="0.3">
      <c r="A2662" s="39">
        <v>46146.409710648149</v>
      </c>
      <c r="B2662" s="32">
        <v>11990144272</v>
      </c>
      <c r="C2662" s="32" t="s">
        <v>44</v>
      </c>
      <c r="D2662" s="32">
        <v>4431268225</v>
      </c>
      <c r="E2662" s="32">
        <v>1201</v>
      </c>
      <c r="F2662" s="32">
        <v>1151</v>
      </c>
      <c r="G2662" s="32" t="s">
        <v>38</v>
      </c>
      <c r="H2662" s="32" t="s">
        <v>5380</v>
      </c>
      <c r="I2662" s="32" t="s">
        <v>39</v>
      </c>
      <c r="J2662" s="32" t="s">
        <v>40</v>
      </c>
      <c r="K2662" s="32" t="s">
        <v>41</v>
      </c>
      <c r="L2662" s="32">
        <v>5</v>
      </c>
    </row>
    <row r="2663" spans="1:12" hidden="1" x14ac:dyDescent="0.3">
      <c r="A2663" s="39">
        <v>46146.409409722219</v>
      </c>
      <c r="B2663" s="32">
        <v>41987771666</v>
      </c>
      <c r="C2663" s="32">
        <v>4430265054</v>
      </c>
      <c r="D2663" s="32">
        <v>4430265054</v>
      </c>
      <c r="E2663" s="32">
        <v>13</v>
      </c>
      <c r="F2663" s="32">
        <v>12</v>
      </c>
      <c r="G2663" s="32" t="s">
        <v>52</v>
      </c>
      <c r="H2663" s="32" t="s">
        <v>5381</v>
      </c>
      <c r="I2663" s="32" t="s">
        <v>39</v>
      </c>
      <c r="J2663" s="32" t="s">
        <v>53</v>
      </c>
    </row>
    <row r="2664" spans="1:12" hidden="1" x14ac:dyDescent="0.3">
      <c r="A2664" s="39">
        <v>46146.408900462964</v>
      </c>
      <c r="B2664" s="32">
        <v>2222100098</v>
      </c>
      <c r="C2664" s="32" t="s">
        <v>37</v>
      </c>
      <c r="D2664" s="32">
        <v>4430265054</v>
      </c>
      <c r="E2664" s="32">
        <v>334</v>
      </c>
      <c r="F2664" s="32">
        <v>236</v>
      </c>
      <c r="G2664" s="32" t="s">
        <v>38</v>
      </c>
      <c r="H2664" s="32" t="s">
        <v>5382</v>
      </c>
      <c r="I2664" s="32" t="s">
        <v>39</v>
      </c>
      <c r="J2664" s="32" t="s">
        <v>40</v>
      </c>
      <c r="K2664" s="32" t="s">
        <v>41</v>
      </c>
    </row>
    <row r="2665" spans="1:12" hidden="1" x14ac:dyDescent="0.3">
      <c r="A2665" s="39">
        <v>46146.408391203702</v>
      </c>
      <c r="B2665" s="32" t="s">
        <v>57</v>
      </c>
      <c r="C2665" s="32">
        <v>4430162376</v>
      </c>
      <c r="E2665" s="32">
        <v>95</v>
      </c>
      <c r="F2665" s="32">
        <v>78</v>
      </c>
      <c r="G2665" s="32" t="s">
        <v>38</v>
      </c>
      <c r="H2665" s="32" t="s">
        <v>5383</v>
      </c>
      <c r="I2665" s="32" t="s">
        <v>46</v>
      </c>
      <c r="J2665" s="32" t="s">
        <v>55</v>
      </c>
    </row>
    <row r="2666" spans="1:12" hidden="1" x14ac:dyDescent="0.3">
      <c r="A2666" s="39">
        <v>46146.407835648148</v>
      </c>
      <c r="B2666" s="32" t="s">
        <v>57</v>
      </c>
      <c r="C2666" s="32">
        <v>44999780710</v>
      </c>
      <c r="E2666" s="32">
        <v>43</v>
      </c>
      <c r="F2666" s="32">
        <v>6</v>
      </c>
      <c r="G2666" s="32" t="s">
        <v>38</v>
      </c>
      <c r="H2666" s="32" t="s">
        <v>5384</v>
      </c>
      <c r="I2666" s="32" t="s">
        <v>46</v>
      </c>
      <c r="J2666" s="32" t="s">
        <v>55</v>
      </c>
    </row>
    <row r="2667" spans="1:12" hidden="1" x14ac:dyDescent="0.3">
      <c r="A2667" s="39">
        <v>46146.395057870373</v>
      </c>
      <c r="B2667" s="32" t="s">
        <v>48</v>
      </c>
      <c r="C2667" s="32">
        <v>4432321428</v>
      </c>
      <c r="E2667" s="32">
        <v>301</v>
      </c>
      <c r="F2667" s="32">
        <v>292</v>
      </c>
      <c r="G2667" s="32" t="s">
        <v>38</v>
      </c>
      <c r="H2667" s="32" t="s">
        <v>5385</v>
      </c>
      <c r="I2667" s="32" t="s">
        <v>46</v>
      </c>
      <c r="J2667" s="32" t="s">
        <v>40</v>
      </c>
    </row>
    <row r="2668" spans="1:12" hidden="1" x14ac:dyDescent="0.3">
      <c r="A2668" s="39">
        <v>46146.394618055558</v>
      </c>
      <c r="B2668" s="32">
        <v>44999090169</v>
      </c>
      <c r="C2668" s="32" t="s">
        <v>45</v>
      </c>
      <c r="D2668" s="32">
        <v>4430265054</v>
      </c>
      <c r="E2668" s="32">
        <v>2119</v>
      </c>
      <c r="F2668" s="32">
        <v>2084</v>
      </c>
      <c r="G2668" s="32" t="s">
        <v>38</v>
      </c>
      <c r="H2668" s="32" t="s">
        <v>5386</v>
      </c>
      <c r="I2668" s="32" t="s">
        <v>39</v>
      </c>
      <c r="J2668" s="32" t="s">
        <v>40</v>
      </c>
      <c r="K2668" s="32" t="s">
        <v>41</v>
      </c>
    </row>
    <row r="2669" spans="1:12" hidden="1" x14ac:dyDescent="0.3">
      <c r="A2669" s="39">
        <v>46146.39335648148</v>
      </c>
      <c r="B2669" s="32">
        <v>41999853283</v>
      </c>
      <c r="C2669" s="32" t="s">
        <v>37</v>
      </c>
      <c r="D2669" s="32">
        <v>4430265054</v>
      </c>
      <c r="E2669" s="32">
        <v>1432</v>
      </c>
      <c r="F2669" s="32">
        <v>1371</v>
      </c>
      <c r="G2669" s="32" t="s">
        <v>38</v>
      </c>
      <c r="H2669" s="32" t="s">
        <v>5387</v>
      </c>
      <c r="I2669" s="32" t="s">
        <v>39</v>
      </c>
      <c r="J2669" s="32" t="s">
        <v>40</v>
      </c>
      <c r="K2669" s="32" t="s">
        <v>41</v>
      </c>
      <c r="L2669" s="32">
        <v>5</v>
      </c>
    </row>
    <row r="2670" spans="1:12" hidden="1" x14ac:dyDescent="0.3">
      <c r="A2670" s="39">
        <v>46146.392291666663</v>
      </c>
      <c r="B2670" s="32">
        <v>81983567163</v>
      </c>
      <c r="C2670" s="32" t="s">
        <v>44</v>
      </c>
      <c r="D2670" s="32">
        <v>4430265054</v>
      </c>
      <c r="E2670" s="32">
        <v>679</v>
      </c>
      <c r="F2670" s="32">
        <v>613</v>
      </c>
      <c r="G2670" s="32" t="s">
        <v>38</v>
      </c>
      <c r="H2670" s="32" t="s">
        <v>5388</v>
      </c>
      <c r="I2670" s="32" t="s">
        <v>39</v>
      </c>
      <c r="J2670" s="32" t="s">
        <v>40</v>
      </c>
      <c r="K2670" s="32" t="s">
        <v>41</v>
      </c>
    </row>
    <row r="2671" spans="1:12" hidden="1" x14ac:dyDescent="0.3">
      <c r="A2671" s="39">
        <v>46146.381412037037</v>
      </c>
      <c r="B2671" s="32" t="s">
        <v>48</v>
      </c>
      <c r="C2671" s="32">
        <v>4432321428</v>
      </c>
      <c r="E2671" s="32">
        <v>127</v>
      </c>
      <c r="F2671" s="32">
        <v>119</v>
      </c>
      <c r="G2671" s="32" t="s">
        <v>38</v>
      </c>
      <c r="H2671" s="32" t="s">
        <v>5389</v>
      </c>
      <c r="I2671" s="32" t="s">
        <v>46</v>
      </c>
      <c r="J2671" s="32" t="s">
        <v>40</v>
      </c>
    </row>
    <row r="2672" spans="1:12" hidden="1" x14ac:dyDescent="0.3">
      <c r="A2672" s="39">
        <v>46146.376979166664</v>
      </c>
      <c r="B2672" s="32">
        <v>44999647912</v>
      </c>
      <c r="C2672" s="32" t="s">
        <v>45</v>
      </c>
      <c r="D2672" s="32">
        <v>4430265054</v>
      </c>
      <c r="E2672" s="32">
        <v>1054</v>
      </c>
      <c r="F2672" s="32">
        <v>1014</v>
      </c>
      <c r="G2672" s="32" t="s">
        <v>38</v>
      </c>
      <c r="H2672" s="32" t="s">
        <v>5390</v>
      </c>
      <c r="I2672" s="32" t="s">
        <v>39</v>
      </c>
      <c r="J2672" s="32" t="s">
        <v>40</v>
      </c>
      <c r="K2672" s="32" t="s">
        <v>41</v>
      </c>
    </row>
    <row r="2673" spans="1:12" hidden="1" x14ac:dyDescent="0.3">
      <c r="A2673" s="39">
        <v>46146.376932870371</v>
      </c>
      <c r="B2673" s="32">
        <v>44998636008</v>
      </c>
      <c r="C2673" s="32" t="s">
        <v>44</v>
      </c>
      <c r="D2673" s="32">
        <v>4430265054</v>
      </c>
      <c r="E2673" s="32">
        <v>360</v>
      </c>
      <c r="F2673" s="32">
        <v>341</v>
      </c>
      <c r="G2673" s="32" t="s">
        <v>38</v>
      </c>
      <c r="H2673" s="32" t="s">
        <v>5391</v>
      </c>
      <c r="I2673" s="32" t="s">
        <v>39</v>
      </c>
      <c r="J2673" s="32" t="s">
        <v>40</v>
      </c>
      <c r="K2673" s="32" t="s">
        <v>41</v>
      </c>
      <c r="L2673" s="32">
        <v>5</v>
      </c>
    </row>
    <row r="2674" spans="1:12" hidden="1" x14ac:dyDescent="0.3">
      <c r="A2674" s="39">
        <v>46146.374942129631</v>
      </c>
      <c r="B2674" s="32">
        <v>4432321428</v>
      </c>
      <c r="C2674" s="32" t="s">
        <v>45</v>
      </c>
      <c r="D2674" s="32">
        <v>4430265054</v>
      </c>
      <c r="E2674" s="32">
        <v>94</v>
      </c>
      <c r="F2674" s="32">
        <v>72</v>
      </c>
      <c r="G2674" s="32" t="s">
        <v>38</v>
      </c>
      <c r="H2674" s="32" t="s">
        <v>5392</v>
      </c>
      <c r="I2674" s="32" t="s">
        <v>39</v>
      </c>
      <c r="J2674" s="32" t="s">
        <v>40</v>
      </c>
      <c r="K2674" s="32" t="s">
        <v>41</v>
      </c>
    </row>
    <row r="2675" spans="1:12" hidden="1" x14ac:dyDescent="0.3">
      <c r="A2675" s="39">
        <v>46146.369953703703</v>
      </c>
      <c r="B2675" s="32">
        <v>44998620323</v>
      </c>
      <c r="C2675" s="32" t="s">
        <v>45</v>
      </c>
      <c r="D2675" s="32">
        <v>4430265054</v>
      </c>
      <c r="E2675" s="32">
        <v>352</v>
      </c>
      <c r="F2675" s="32">
        <v>327</v>
      </c>
      <c r="G2675" s="32" t="s">
        <v>38</v>
      </c>
      <c r="H2675" s="32" t="s">
        <v>5393</v>
      </c>
      <c r="I2675" s="32" t="s">
        <v>39</v>
      </c>
      <c r="J2675" s="32" t="s">
        <v>40</v>
      </c>
      <c r="K2675" s="32" t="s">
        <v>41</v>
      </c>
    </row>
    <row r="2676" spans="1:12" hidden="1" x14ac:dyDescent="0.3">
      <c r="A2676" s="39">
        <v>46146.366666666669</v>
      </c>
      <c r="B2676" s="32">
        <v>2222100098</v>
      </c>
      <c r="C2676" s="32" t="s">
        <v>44</v>
      </c>
      <c r="D2676" s="32">
        <v>4430265054</v>
      </c>
      <c r="E2676" s="32">
        <v>646</v>
      </c>
      <c r="F2676" s="32">
        <v>426</v>
      </c>
      <c r="G2676" s="32" t="s">
        <v>38</v>
      </c>
      <c r="H2676" s="32" t="s">
        <v>5394</v>
      </c>
      <c r="I2676" s="32" t="s">
        <v>39</v>
      </c>
      <c r="J2676" s="32" t="s">
        <v>40</v>
      </c>
      <c r="K2676" s="32" t="s">
        <v>41</v>
      </c>
    </row>
    <row r="2677" spans="1:12" hidden="1" x14ac:dyDescent="0.3">
      <c r="A2677" s="39">
        <v>46146.364953703705</v>
      </c>
      <c r="B2677" s="32">
        <v>44998620323</v>
      </c>
      <c r="C2677" s="32" t="s">
        <v>45</v>
      </c>
      <c r="D2677" s="32">
        <v>4430265054</v>
      </c>
      <c r="E2677" s="32">
        <v>420</v>
      </c>
      <c r="F2677" s="32">
        <v>391</v>
      </c>
      <c r="G2677" s="32" t="s">
        <v>38</v>
      </c>
      <c r="H2677" s="32" t="s">
        <v>5395</v>
      </c>
      <c r="I2677" s="32" t="s">
        <v>39</v>
      </c>
      <c r="J2677" s="32" t="s">
        <v>40</v>
      </c>
      <c r="K2677" s="32" t="s">
        <v>41</v>
      </c>
    </row>
    <row r="2678" spans="1:12" hidden="1" x14ac:dyDescent="0.3">
      <c r="A2678" s="39">
        <v>46146.356678240743</v>
      </c>
      <c r="B2678" s="32">
        <v>4432325260</v>
      </c>
      <c r="C2678" s="32" t="s">
        <v>48</v>
      </c>
      <c r="D2678" s="32">
        <v>4430265054</v>
      </c>
      <c r="E2678" s="32">
        <v>429</v>
      </c>
      <c r="F2678" s="32">
        <v>252</v>
      </c>
      <c r="G2678" s="32" t="s">
        <v>38</v>
      </c>
      <c r="H2678" s="32" t="s">
        <v>5396</v>
      </c>
      <c r="I2678" s="32" t="s">
        <v>39</v>
      </c>
      <c r="J2678" s="32" t="s">
        <v>40</v>
      </c>
      <c r="K2678" s="32" t="s">
        <v>41</v>
      </c>
      <c r="L2678" s="32">
        <v>5</v>
      </c>
    </row>
    <row r="2679" spans="1:12" hidden="1" x14ac:dyDescent="0.3">
      <c r="A2679" s="39">
        <v>46146.354386574072</v>
      </c>
      <c r="B2679" s="32">
        <v>44999100663</v>
      </c>
      <c r="C2679" s="32" t="s">
        <v>44</v>
      </c>
      <c r="D2679" s="32">
        <v>4430265054</v>
      </c>
      <c r="E2679" s="32">
        <v>1218</v>
      </c>
      <c r="F2679" s="32">
        <v>1195</v>
      </c>
      <c r="G2679" s="32" t="s">
        <v>38</v>
      </c>
      <c r="H2679" s="32" t="s">
        <v>5397</v>
      </c>
      <c r="I2679" s="32" t="s">
        <v>39</v>
      </c>
      <c r="J2679" s="32" t="s">
        <v>40</v>
      </c>
      <c r="K2679" s="32" t="s">
        <v>41</v>
      </c>
    </row>
    <row r="2680" spans="1:12" hidden="1" x14ac:dyDescent="0.3">
      <c r="A2680" s="39">
        <v>46146.35428240741</v>
      </c>
      <c r="B2680" s="32">
        <v>67992169496</v>
      </c>
      <c r="C2680" s="32" t="s">
        <v>45</v>
      </c>
      <c r="D2680" s="32">
        <v>4430265054</v>
      </c>
      <c r="E2680" s="32">
        <v>563</v>
      </c>
      <c r="F2680" s="32">
        <v>545</v>
      </c>
      <c r="G2680" s="32" t="s">
        <v>38</v>
      </c>
      <c r="H2680" s="32" t="s">
        <v>5398</v>
      </c>
      <c r="I2680" s="32" t="s">
        <v>39</v>
      </c>
      <c r="J2680" s="32" t="s">
        <v>40</v>
      </c>
      <c r="K2680" s="32" t="s">
        <v>41</v>
      </c>
      <c r="L2680" s="32">
        <v>5</v>
      </c>
    </row>
    <row r="2681" spans="1:12" hidden="1" x14ac:dyDescent="0.3">
      <c r="A2681" s="39">
        <v>46146.344548611109</v>
      </c>
      <c r="B2681" s="32">
        <v>4436297742</v>
      </c>
      <c r="C2681" s="32">
        <v>4430265054</v>
      </c>
      <c r="D2681" s="32">
        <v>4430265054</v>
      </c>
      <c r="E2681" s="32">
        <v>29</v>
      </c>
      <c r="F2681" s="32">
        <v>28</v>
      </c>
      <c r="G2681" s="32" t="s">
        <v>52</v>
      </c>
      <c r="H2681" s="32" t="s">
        <v>5399</v>
      </c>
      <c r="I2681" s="32" t="s">
        <v>39</v>
      </c>
      <c r="J2681" s="32" t="s">
        <v>53</v>
      </c>
    </row>
    <row r="2682" spans="1:12" hidden="1" x14ac:dyDescent="0.3">
      <c r="A2682" s="39">
        <v>46146.341782407406</v>
      </c>
      <c r="B2682" s="32">
        <v>4436295470</v>
      </c>
      <c r="C2682" s="32">
        <v>4430265054</v>
      </c>
      <c r="D2682" s="32">
        <v>4430265054</v>
      </c>
      <c r="E2682" s="32">
        <v>28</v>
      </c>
      <c r="F2682" s="32">
        <v>28</v>
      </c>
      <c r="G2682" s="32" t="s">
        <v>52</v>
      </c>
      <c r="H2682" s="32" t="s">
        <v>5400</v>
      </c>
      <c r="I2682" s="32" t="s">
        <v>39</v>
      </c>
      <c r="J2682" s="32" t="s">
        <v>53</v>
      </c>
    </row>
    <row r="2683" spans="1:12" hidden="1" x14ac:dyDescent="0.3">
      <c r="A2683" s="39">
        <v>46146.341226851851</v>
      </c>
      <c r="B2683" s="32">
        <v>4436292373</v>
      </c>
      <c r="C2683" s="32">
        <v>4430265054</v>
      </c>
      <c r="D2683" s="32">
        <v>4430265054</v>
      </c>
      <c r="E2683" s="32">
        <v>29</v>
      </c>
      <c r="F2683" s="32">
        <v>28</v>
      </c>
      <c r="G2683" s="32" t="s">
        <v>52</v>
      </c>
      <c r="H2683" s="32" t="s">
        <v>5401</v>
      </c>
      <c r="I2683" s="32" t="s">
        <v>39</v>
      </c>
      <c r="J2683" s="32" t="s">
        <v>53</v>
      </c>
    </row>
    <row r="2684" spans="1:12" hidden="1" x14ac:dyDescent="0.3">
      <c r="A2684" s="39">
        <v>46146.334710648145</v>
      </c>
      <c r="B2684" s="32" t="s">
        <v>48</v>
      </c>
      <c r="C2684" s="32">
        <v>4436292220</v>
      </c>
      <c r="E2684" s="32">
        <v>146</v>
      </c>
      <c r="F2684" s="32">
        <v>139</v>
      </c>
      <c r="G2684" s="32" t="s">
        <v>38</v>
      </c>
      <c r="H2684" s="32" t="s">
        <v>5402</v>
      </c>
      <c r="I2684" s="32" t="s">
        <v>46</v>
      </c>
      <c r="J2684" s="32" t="s">
        <v>40</v>
      </c>
    </row>
    <row r="2685" spans="1:12" hidden="1" x14ac:dyDescent="0.3">
      <c r="A2685" s="39">
        <v>46144.636504629627</v>
      </c>
      <c r="B2685" s="32" t="s">
        <v>56</v>
      </c>
      <c r="C2685" s="32">
        <v>44998046835</v>
      </c>
      <c r="E2685" s="32">
        <v>13</v>
      </c>
      <c r="F2685" s="32">
        <v>0</v>
      </c>
      <c r="G2685" s="32" t="s">
        <v>47</v>
      </c>
      <c r="H2685" s="32" t="s">
        <v>5403</v>
      </c>
      <c r="I2685" s="32" t="s">
        <v>46</v>
      </c>
      <c r="J2685" s="32" t="s">
        <v>53</v>
      </c>
    </row>
    <row r="2686" spans="1:12" hidden="1" x14ac:dyDescent="0.3">
      <c r="A2686" s="39">
        <v>46143.714467592596</v>
      </c>
      <c r="B2686" s="32">
        <v>1120504310</v>
      </c>
      <c r="C2686" s="32">
        <v>4430265054</v>
      </c>
      <c r="D2686" s="32">
        <v>4430265054</v>
      </c>
      <c r="E2686" s="32">
        <v>29</v>
      </c>
      <c r="F2686" s="32">
        <v>28</v>
      </c>
      <c r="G2686" s="32" t="s">
        <v>52</v>
      </c>
      <c r="H2686" s="32" t="s">
        <v>5404</v>
      </c>
      <c r="I2686" s="32" t="s">
        <v>39</v>
      </c>
      <c r="J2686" s="32" t="s">
        <v>53</v>
      </c>
    </row>
  </sheetData>
  <autoFilter ref="A1:L2686" xr:uid="{1925E673-B92D-4842-81BB-10C01394CAF3}">
    <filterColumn colId="1">
      <filters>
        <filter val="PSYSTEM_1013"/>
      </filters>
    </filterColumn>
    <filterColumn colId="4">
      <customFilters>
        <customFilter operator="greaterThan" val="100"/>
      </customFilters>
    </filterColumn>
    <filterColumn colId="11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21A8-5F40-4F9B-A64D-5D3C6F8057B5}">
  <dimension ref="A1:E137"/>
  <sheetViews>
    <sheetView zoomScale="81" workbookViewId="0">
      <pane ySplit="1" topLeftCell="A76" activePane="bottomLeft" state="frozen"/>
      <selection activeCell="L27" sqref="L27:L3095"/>
      <selection pane="bottomLeft" activeCell="D2" sqref="D2:D90"/>
    </sheetView>
  </sheetViews>
  <sheetFormatPr defaultRowHeight="14.4" x14ac:dyDescent="0.3"/>
  <cols>
    <col min="1" max="1" width="16.88671875" style="32" bestFit="1" customWidth="1"/>
    <col min="2" max="2" width="14.109375" style="32" bestFit="1" customWidth="1"/>
    <col min="3" max="4" width="15.5546875" style="32" bestFit="1" customWidth="1"/>
    <col min="5" max="5" width="17" style="32" bestFit="1" customWidth="1"/>
    <col min="6" max="16384" width="8.88671875" style="32"/>
  </cols>
  <sheetData>
    <row r="1" spans="1:5" x14ac:dyDescent="0.3">
      <c r="A1" s="29" t="s">
        <v>20</v>
      </c>
      <c r="B1" s="29" t="s">
        <v>19</v>
      </c>
      <c r="C1" s="29" t="s">
        <v>21</v>
      </c>
      <c r="D1" s="29" t="s">
        <v>32</v>
      </c>
      <c r="E1" s="29" t="s">
        <v>2718</v>
      </c>
    </row>
    <row r="2" spans="1:5" x14ac:dyDescent="0.3">
      <c r="A2" s="32">
        <v>5</v>
      </c>
      <c r="B2" s="32">
        <v>5</v>
      </c>
      <c r="C2" s="32">
        <v>5</v>
      </c>
      <c r="D2" s="32">
        <v>5</v>
      </c>
      <c r="E2" s="32">
        <v>4.5</v>
      </c>
    </row>
    <row r="3" spans="1:5" x14ac:dyDescent="0.3">
      <c r="A3" s="32">
        <v>5</v>
      </c>
      <c r="B3" s="32">
        <v>5</v>
      </c>
      <c r="C3" s="32">
        <v>5</v>
      </c>
      <c r="D3" s="32">
        <v>5</v>
      </c>
      <c r="E3" s="32">
        <v>4.5</v>
      </c>
    </row>
    <row r="4" spans="1:5" x14ac:dyDescent="0.3">
      <c r="A4" s="32">
        <v>5</v>
      </c>
      <c r="B4" s="32">
        <v>5</v>
      </c>
      <c r="C4" s="32">
        <v>5</v>
      </c>
      <c r="D4" s="32">
        <v>5</v>
      </c>
      <c r="E4" s="32">
        <v>4.5</v>
      </c>
    </row>
    <row r="5" spans="1:5" x14ac:dyDescent="0.3">
      <c r="A5" s="32">
        <v>5</v>
      </c>
      <c r="B5" s="32">
        <v>4</v>
      </c>
      <c r="C5" s="32">
        <v>5</v>
      </c>
      <c r="D5" s="32">
        <v>5</v>
      </c>
      <c r="E5" s="32">
        <v>4.5</v>
      </c>
    </row>
    <row r="6" spans="1:5" x14ac:dyDescent="0.3">
      <c r="A6" s="32">
        <v>5</v>
      </c>
      <c r="B6" s="32">
        <v>5</v>
      </c>
      <c r="C6" s="32">
        <v>5</v>
      </c>
      <c r="D6" s="32">
        <v>5</v>
      </c>
      <c r="E6" s="32">
        <v>4.5</v>
      </c>
    </row>
    <row r="7" spans="1:5" x14ac:dyDescent="0.3">
      <c r="A7" s="32">
        <v>5</v>
      </c>
      <c r="B7" s="32">
        <v>5</v>
      </c>
      <c r="C7" s="32">
        <v>5</v>
      </c>
      <c r="D7" s="32">
        <v>5</v>
      </c>
      <c r="E7" s="32">
        <v>5</v>
      </c>
    </row>
    <row r="8" spans="1:5" x14ac:dyDescent="0.3">
      <c r="A8" s="32">
        <v>5</v>
      </c>
      <c r="B8" s="32">
        <v>5</v>
      </c>
      <c r="C8" s="32">
        <v>5</v>
      </c>
      <c r="D8" s="32">
        <v>5</v>
      </c>
      <c r="E8" s="32">
        <v>5</v>
      </c>
    </row>
    <row r="9" spans="1:5" x14ac:dyDescent="0.3">
      <c r="A9" s="32">
        <v>5</v>
      </c>
      <c r="B9" s="32">
        <v>5</v>
      </c>
      <c r="C9" s="32">
        <v>5</v>
      </c>
      <c r="D9" s="32">
        <v>5</v>
      </c>
      <c r="E9" s="32">
        <v>5</v>
      </c>
    </row>
    <row r="10" spans="1:5" x14ac:dyDescent="0.3">
      <c r="A10" s="32">
        <v>5</v>
      </c>
      <c r="B10" s="32">
        <v>5</v>
      </c>
      <c r="C10" s="32">
        <v>5</v>
      </c>
      <c r="D10" s="32">
        <v>5</v>
      </c>
      <c r="E10" s="32">
        <v>5</v>
      </c>
    </row>
    <row r="11" spans="1:5" x14ac:dyDescent="0.3">
      <c r="A11" s="32">
        <v>5</v>
      </c>
      <c r="B11" s="32">
        <v>5</v>
      </c>
      <c r="C11" s="32">
        <v>5</v>
      </c>
      <c r="D11" s="32">
        <v>5</v>
      </c>
      <c r="E11" s="32">
        <v>5</v>
      </c>
    </row>
    <row r="12" spans="1:5" x14ac:dyDescent="0.3">
      <c r="A12" s="32">
        <v>5</v>
      </c>
      <c r="B12" s="32">
        <v>5</v>
      </c>
      <c r="C12" s="32">
        <v>5</v>
      </c>
      <c r="D12" s="32">
        <v>5</v>
      </c>
      <c r="E12" s="32">
        <v>5</v>
      </c>
    </row>
    <row r="13" spans="1:5" x14ac:dyDescent="0.3">
      <c r="A13" s="32">
        <v>5</v>
      </c>
      <c r="B13" s="32">
        <v>5</v>
      </c>
      <c r="C13" s="32">
        <v>5</v>
      </c>
      <c r="D13" s="32">
        <v>5</v>
      </c>
      <c r="E13" s="32">
        <v>5</v>
      </c>
    </row>
    <row r="14" spans="1:5" x14ac:dyDescent="0.3">
      <c r="A14" s="32">
        <v>5</v>
      </c>
      <c r="B14" s="32">
        <v>5</v>
      </c>
      <c r="C14" s="32">
        <v>5</v>
      </c>
      <c r="D14" s="32">
        <v>5</v>
      </c>
      <c r="E14" s="32">
        <v>5</v>
      </c>
    </row>
    <row r="15" spans="1:5" x14ac:dyDescent="0.3">
      <c r="A15" s="32">
        <v>4</v>
      </c>
      <c r="B15" s="32">
        <v>5</v>
      </c>
      <c r="C15" s="32">
        <v>5</v>
      </c>
      <c r="D15" s="32">
        <v>5</v>
      </c>
      <c r="E15" s="32">
        <v>5</v>
      </c>
    </row>
    <row r="16" spans="1:5" x14ac:dyDescent="0.3">
      <c r="A16" s="32">
        <v>5</v>
      </c>
      <c r="B16" s="32">
        <v>5</v>
      </c>
      <c r="C16" s="32">
        <v>5</v>
      </c>
      <c r="D16" s="32">
        <v>5</v>
      </c>
      <c r="E16" s="32">
        <v>5</v>
      </c>
    </row>
    <row r="17" spans="1:5" x14ac:dyDescent="0.3">
      <c r="A17" s="32">
        <v>5</v>
      </c>
      <c r="B17" s="32">
        <v>5</v>
      </c>
      <c r="C17" s="32">
        <v>5</v>
      </c>
      <c r="D17" s="32">
        <v>5</v>
      </c>
      <c r="E17" s="32">
        <v>5</v>
      </c>
    </row>
    <row r="18" spans="1:5" x14ac:dyDescent="0.3">
      <c r="A18" s="32">
        <v>5</v>
      </c>
      <c r="B18" s="32">
        <v>5</v>
      </c>
      <c r="C18" s="32">
        <v>5</v>
      </c>
      <c r="D18" s="32">
        <v>5</v>
      </c>
      <c r="E18" s="32">
        <v>5</v>
      </c>
    </row>
    <row r="19" spans="1:5" x14ac:dyDescent="0.3">
      <c r="A19" s="32">
        <v>5</v>
      </c>
      <c r="B19" s="32">
        <v>5</v>
      </c>
      <c r="C19" s="32">
        <v>5</v>
      </c>
      <c r="D19" s="32">
        <v>5</v>
      </c>
      <c r="E19" s="32">
        <v>5</v>
      </c>
    </row>
    <row r="20" spans="1:5" x14ac:dyDescent="0.3">
      <c r="A20" s="32">
        <v>5</v>
      </c>
      <c r="B20" s="32">
        <v>5</v>
      </c>
      <c r="C20" s="32">
        <v>5</v>
      </c>
      <c r="D20" s="32">
        <v>5</v>
      </c>
      <c r="E20" s="32">
        <v>5</v>
      </c>
    </row>
    <row r="21" spans="1:5" x14ac:dyDescent="0.3">
      <c r="A21" s="32">
        <v>5</v>
      </c>
      <c r="B21" s="32">
        <v>5</v>
      </c>
      <c r="C21" s="32">
        <v>5</v>
      </c>
      <c r="D21" s="32">
        <v>5</v>
      </c>
      <c r="E21" s="32">
        <v>5</v>
      </c>
    </row>
    <row r="22" spans="1:5" x14ac:dyDescent="0.3">
      <c r="A22" s="32">
        <v>5</v>
      </c>
      <c r="B22" s="32">
        <v>5</v>
      </c>
      <c r="C22" s="32">
        <v>5</v>
      </c>
      <c r="D22" s="32">
        <v>5</v>
      </c>
      <c r="E22" s="32">
        <v>5</v>
      </c>
    </row>
    <row r="23" spans="1:5" x14ac:dyDescent="0.3">
      <c r="A23" s="32">
        <v>5</v>
      </c>
      <c r="B23" s="32">
        <v>5</v>
      </c>
      <c r="C23" s="32">
        <v>5</v>
      </c>
      <c r="D23" s="32">
        <v>5</v>
      </c>
      <c r="E23" s="32">
        <v>5</v>
      </c>
    </row>
    <row r="24" spans="1:5" x14ac:dyDescent="0.3">
      <c r="A24" s="32">
        <v>5</v>
      </c>
      <c r="B24" s="32">
        <v>5</v>
      </c>
      <c r="C24" s="32">
        <v>5</v>
      </c>
      <c r="D24" s="32">
        <v>5</v>
      </c>
      <c r="E24" s="32">
        <v>5</v>
      </c>
    </row>
    <row r="25" spans="1:5" x14ac:dyDescent="0.3">
      <c r="A25" s="32">
        <v>5</v>
      </c>
      <c r="B25" s="32">
        <v>5</v>
      </c>
      <c r="C25" s="32">
        <v>5</v>
      </c>
      <c r="D25" s="32">
        <v>5</v>
      </c>
      <c r="E25" s="32">
        <v>5</v>
      </c>
    </row>
    <row r="26" spans="1:5" x14ac:dyDescent="0.3">
      <c r="A26" s="40">
        <v>5</v>
      </c>
      <c r="B26" s="32">
        <v>5</v>
      </c>
      <c r="C26" s="32">
        <v>5</v>
      </c>
      <c r="D26" s="32">
        <v>5</v>
      </c>
      <c r="E26" s="32">
        <v>5</v>
      </c>
    </row>
    <row r="27" spans="1:5" x14ac:dyDescent="0.3">
      <c r="A27" s="32">
        <v>5</v>
      </c>
      <c r="B27" s="32">
        <v>5</v>
      </c>
      <c r="C27" s="32">
        <v>5</v>
      </c>
      <c r="D27" s="32">
        <v>5</v>
      </c>
      <c r="E27" s="32">
        <v>5</v>
      </c>
    </row>
    <row r="28" spans="1:5" x14ac:dyDescent="0.3">
      <c r="A28" s="32">
        <v>5</v>
      </c>
      <c r="B28" s="32">
        <v>5</v>
      </c>
      <c r="C28" s="32">
        <v>5</v>
      </c>
      <c r="D28" s="32">
        <v>5</v>
      </c>
      <c r="E28" s="32">
        <v>5</v>
      </c>
    </row>
    <row r="29" spans="1:5" x14ac:dyDescent="0.3">
      <c r="A29" s="32">
        <v>5</v>
      </c>
      <c r="B29" s="32">
        <v>5</v>
      </c>
      <c r="C29" s="32">
        <v>5</v>
      </c>
      <c r="D29" s="32">
        <v>5</v>
      </c>
      <c r="E29" s="32">
        <v>5</v>
      </c>
    </row>
    <row r="30" spans="1:5" x14ac:dyDescent="0.3">
      <c r="A30" s="32">
        <v>5</v>
      </c>
      <c r="B30" s="32">
        <v>5</v>
      </c>
      <c r="C30" s="32">
        <v>5</v>
      </c>
      <c r="D30" s="32">
        <v>5</v>
      </c>
      <c r="E30" s="32">
        <v>5</v>
      </c>
    </row>
    <row r="31" spans="1:5" x14ac:dyDescent="0.3">
      <c r="A31" s="32">
        <v>5</v>
      </c>
      <c r="B31" s="32">
        <v>5</v>
      </c>
      <c r="C31" s="32">
        <v>5</v>
      </c>
      <c r="D31" s="32">
        <v>5</v>
      </c>
      <c r="E31" s="32">
        <v>5</v>
      </c>
    </row>
    <row r="32" spans="1:5" x14ac:dyDescent="0.3">
      <c r="A32" s="32">
        <v>5</v>
      </c>
      <c r="B32" s="32">
        <v>5</v>
      </c>
      <c r="C32" s="32">
        <v>5</v>
      </c>
      <c r="D32" s="32">
        <v>5</v>
      </c>
      <c r="E32" s="32">
        <v>5</v>
      </c>
    </row>
    <row r="33" spans="1:5" x14ac:dyDescent="0.3">
      <c r="A33" s="32">
        <v>5</v>
      </c>
      <c r="B33" s="32">
        <v>5</v>
      </c>
      <c r="C33" s="32">
        <v>5</v>
      </c>
      <c r="D33" s="32">
        <v>5</v>
      </c>
      <c r="E33" s="32">
        <v>5</v>
      </c>
    </row>
    <row r="34" spans="1:5" x14ac:dyDescent="0.3">
      <c r="A34" s="32">
        <v>4</v>
      </c>
      <c r="B34" s="32">
        <v>5</v>
      </c>
      <c r="C34" s="32">
        <v>5</v>
      </c>
      <c r="D34" s="32">
        <v>5</v>
      </c>
      <c r="E34" s="32">
        <v>5</v>
      </c>
    </row>
    <row r="35" spans="1:5" x14ac:dyDescent="0.3">
      <c r="A35" s="32">
        <v>5</v>
      </c>
      <c r="B35" s="32">
        <v>5</v>
      </c>
      <c r="C35" s="32">
        <v>5</v>
      </c>
      <c r="D35" s="32">
        <v>5</v>
      </c>
      <c r="E35" s="32">
        <v>5</v>
      </c>
    </row>
    <row r="36" spans="1:5" x14ac:dyDescent="0.3">
      <c r="A36" s="32">
        <v>5</v>
      </c>
      <c r="B36" s="32">
        <v>5</v>
      </c>
      <c r="C36" s="32">
        <v>5</v>
      </c>
      <c r="D36" s="32">
        <v>5</v>
      </c>
      <c r="E36" s="32">
        <v>5</v>
      </c>
    </row>
    <row r="37" spans="1:5" x14ac:dyDescent="0.3">
      <c r="A37" s="32">
        <v>5</v>
      </c>
      <c r="B37" s="32">
        <v>5</v>
      </c>
      <c r="C37" s="32">
        <v>5</v>
      </c>
      <c r="D37" s="32">
        <v>5</v>
      </c>
      <c r="E37" s="32">
        <v>5</v>
      </c>
    </row>
    <row r="38" spans="1:5" x14ac:dyDescent="0.3">
      <c r="A38" s="32">
        <v>5</v>
      </c>
      <c r="B38" s="32">
        <v>5</v>
      </c>
      <c r="C38" s="32">
        <v>5</v>
      </c>
      <c r="D38" s="32">
        <v>5</v>
      </c>
      <c r="E38" s="32">
        <v>5</v>
      </c>
    </row>
    <row r="39" spans="1:5" x14ac:dyDescent="0.3">
      <c r="A39" s="32">
        <v>5</v>
      </c>
      <c r="B39" s="32">
        <v>5</v>
      </c>
      <c r="C39" s="32">
        <v>5</v>
      </c>
      <c r="D39" s="32">
        <v>5</v>
      </c>
      <c r="E39" s="32">
        <v>5</v>
      </c>
    </row>
    <row r="40" spans="1:5" x14ac:dyDescent="0.3">
      <c r="A40" s="32">
        <v>4</v>
      </c>
      <c r="B40" s="32">
        <v>5</v>
      </c>
      <c r="C40" s="32">
        <v>5</v>
      </c>
      <c r="D40" s="32">
        <v>5</v>
      </c>
      <c r="E40" s="32">
        <v>5</v>
      </c>
    </row>
    <row r="41" spans="1:5" x14ac:dyDescent="0.3">
      <c r="A41" s="32">
        <v>5</v>
      </c>
      <c r="B41" s="32">
        <v>5</v>
      </c>
      <c r="C41" s="32">
        <v>5</v>
      </c>
      <c r="D41" s="32">
        <v>5</v>
      </c>
      <c r="E41" s="32">
        <v>5</v>
      </c>
    </row>
    <row r="42" spans="1:5" x14ac:dyDescent="0.3">
      <c r="A42" s="32">
        <v>5</v>
      </c>
      <c r="B42" s="32">
        <v>5</v>
      </c>
      <c r="C42" s="32">
        <v>5</v>
      </c>
      <c r="D42" s="32">
        <v>5</v>
      </c>
      <c r="E42" s="32">
        <v>5</v>
      </c>
    </row>
    <row r="43" spans="1:5" x14ac:dyDescent="0.3">
      <c r="A43" s="32">
        <v>5</v>
      </c>
      <c r="B43" s="32">
        <v>5</v>
      </c>
      <c r="C43" s="32">
        <v>5</v>
      </c>
      <c r="D43" s="32">
        <v>5</v>
      </c>
      <c r="E43" s="32">
        <v>5</v>
      </c>
    </row>
    <row r="44" spans="1:5" x14ac:dyDescent="0.3">
      <c r="A44" s="32">
        <v>5</v>
      </c>
      <c r="B44" s="32">
        <v>5</v>
      </c>
      <c r="C44" s="32">
        <v>5</v>
      </c>
      <c r="D44" s="32">
        <v>5</v>
      </c>
      <c r="E44" s="32">
        <v>5</v>
      </c>
    </row>
    <row r="45" spans="1:5" x14ac:dyDescent="0.3">
      <c r="A45" s="32">
        <v>5</v>
      </c>
      <c r="B45" s="32">
        <v>5</v>
      </c>
      <c r="C45" s="32">
        <v>5</v>
      </c>
      <c r="D45" s="32">
        <v>5</v>
      </c>
      <c r="E45" s="32">
        <v>5</v>
      </c>
    </row>
    <row r="46" spans="1:5" x14ac:dyDescent="0.3">
      <c r="A46" s="32">
        <v>5</v>
      </c>
      <c r="B46" s="32">
        <v>5</v>
      </c>
      <c r="C46" s="32">
        <v>5</v>
      </c>
      <c r="D46" s="32">
        <v>5</v>
      </c>
    </row>
    <row r="47" spans="1:5" x14ac:dyDescent="0.3">
      <c r="A47" s="32">
        <v>5</v>
      </c>
      <c r="B47" s="32">
        <v>5</v>
      </c>
      <c r="C47" s="32">
        <v>5</v>
      </c>
      <c r="D47" s="32">
        <v>5</v>
      </c>
    </row>
    <row r="48" spans="1:5" x14ac:dyDescent="0.3">
      <c r="A48" s="32">
        <v>5</v>
      </c>
      <c r="B48" s="40">
        <v>5</v>
      </c>
      <c r="C48" s="32">
        <v>5</v>
      </c>
      <c r="D48" s="32">
        <v>5</v>
      </c>
    </row>
    <row r="49" spans="1:4" x14ac:dyDescent="0.3">
      <c r="A49" s="32">
        <v>5</v>
      </c>
      <c r="B49" s="32">
        <v>5</v>
      </c>
      <c r="C49" s="32">
        <v>5</v>
      </c>
      <c r="D49" s="32">
        <v>5</v>
      </c>
    </row>
    <row r="50" spans="1:4" x14ac:dyDescent="0.3">
      <c r="A50" s="32">
        <v>5</v>
      </c>
      <c r="B50" s="32">
        <v>5</v>
      </c>
      <c r="C50" s="32">
        <v>5</v>
      </c>
      <c r="D50" s="32">
        <v>5</v>
      </c>
    </row>
    <row r="51" spans="1:4" x14ac:dyDescent="0.3">
      <c r="A51" s="32">
        <v>5</v>
      </c>
      <c r="B51" s="32">
        <v>5</v>
      </c>
      <c r="C51" s="32">
        <v>5</v>
      </c>
      <c r="D51" s="32">
        <v>5</v>
      </c>
    </row>
    <row r="52" spans="1:4" x14ac:dyDescent="0.3">
      <c r="A52" s="32">
        <v>5</v>
      </c>
      <c r="B52" s="32">
        <v>5</v>
      </c>
      <c r="C52" s="32">
        <v>5</v>
      </c>
      <c r="D52" s="32">
        <v>5</v>
      </c>
    </row>
    <row r="53" spans="1:4" x14ac:dyDescent="0.3">
      <c r="A53" s="32">
        <v>5</v>
      </c>
      <c r="B53" s="32">
        <v>5</v>
      </c>
      <c r="C53" s="32">
        <v>5</v>
      </c>
      <c r="D53" s="32">
        <v>5</v>
      </c>
    </row>
    <row r="54" spans="1:4" x14ac:dyDescent="0.3">
      <c r="A54" s="32">
        <v>5</v>
      </c>
      <c r="B54" s="32">
        <v>5</v>
      </c>
      <c r="C54" s="32">
        <v>5</v>
      </c>
      <c r="D54" s="32">
        <v>5</v>
      </c>
    </row>
    <row r="55" spans="1:4" x14ac:dyDescent="0.3">
      <c r="A55" s="32">
        <v>5</v>
      </c>
      <c r="B55" s="32">
        <v>5</v>
      </c>
      <c r="C55" s="32">
        <v>5</v>
      </c>
      <c r="D55" s="32">
        <v>5</v>
      </c>
    </row>
    <row r="56" spans="1:4" x14ac:dyDescent="0.3">
      <c r="A56" s="32">
        <v>5</v>
      </c>
      <c r="B56" s="32">
        <v>5</v>
      </c>
      <c r="C56" s="32">
        <v>5</v>
      </c>
      <c r="D56" s="32">
        <v>5</v>
      </c>
    </row>
    <row r="57" spans="1:4" x14ac:dyDescent="0.3">
      <c r="A57" s="32">
        <v>5</v>
      </c>
      <c r="B57" s="32">
        <v>5</v>
      </c>
      <c r="C57" s="32">
        <v>5</v>
      </c>
      <c r="D57" s="32">
        <v>5</v>
      </c>
    </row>
    <row r="58" spans="1:4" x14ac:dyDescent="0.3">
      <c r="A58" s="32">
        <v>5</v>
      </c>
      <c r="B58" s="32">
        <v>5</v>
      </c>
      <c r="C58" s="32">
        <v>5</v>
      </c>
      <c r="D58" s="32">
        <v>5</v>
      </c>
    </row>
    <row r="59" spans="1:4" x14ac:dyDescent="0.3">
      <c r="A59" s="32">
        <v>5</v>
      </c>
      <c r="C59" s="32">
        <v>5</v>
      </c>
      <c r="D59" s="32">
        <v>4</v>
      </c>
    </row>
    <row r="60" spans="1:4" x14ac:dyDescent="0.3">
      <c r="A60" s="32">
        <v>5</v>
      </c>
      <c r="C60" s="32">
        <v>4</v>
      </c>
      <c r="D60" s="32">
        <v>5</v>
      </c>
    </row>
    <row r="61" spans="1:4" x14ac:dyDescent="0.3">
      <c r="A61" s="32">
        <v>5</v>
      </c>
      <c r="C61" s="32">
        <v>5</v>
      </c>
      <c r="D61" s="32">
        <v>5</v>
      </c>
    </row>
    <row r="62" spans="1:4" x14ac:dyDescent="0.3">
      <c r="A62" s="32">
        <v>5</v>
      </c>
      <c r="C62" s="32">
        <v>5</v>
      </c>
      <c r="D62" s="32">
        <v>5</v>
      </c>
    </row>
    <row r="63" spans="1:4" x14ac:dyDescent="0.3">
      <c r="A63" s="32">
        <v>5</v>
      </c>
      <c r="C63" s="32">
        <v>5</v>
      </c>
      <c r="D63" s="32">
        <v>5</v>
      </c>
    </row>
    <row r="64" spans="1:4" x14ac:dyDescent="0.3">
      <c r="A64" s="32">
        <v>5</v>
      </c>
      <c r="C64" s="32">
        <v>5</v>
      </c>
      <c r="D64" s="32">
        <v>5</v>
      </c>
    </row>
    <row r="65" spans="1:4" x14ac:dyDescent="0.3">
      <c r="A65" s="32">
        <v>5</v>
      </c>
      <c r="C65" s="32">
        <v>5</v>
      </c>
      <c r="D65" s="32">
        <v>5</v>
      </c>
    </row>
    <row r="66" spans="1:4" x14ac:dyDescent="0.3">
      <c r="A66" s="32">
        <v>5</v>
      </c>
      <c r="C66" s="32">
        <v>5</v>
      </c>
      <c r="D66" s="32">
        <v>5</v>
      </c>
    </row>
    <row r="67" spans="1:4" x14ac:dyDescent="0.3">
      <c r="A67" s="32">
        <v>5</v>
      </c>
      <c r="C67" s="32">
        <v>5</v>
      </c>
      <c r="D67" s="32">
        <v>5</v>
      </c>
    </row>
    <row r="68" spans="1:4" x14ac:dyDescent="0.3">
      <c r="A68" s="32">
        <v>5</v>
      </c>
      <c r="C68" s="32">
        <v>5</v>
      </c>
      <c r="D68" s="32">
        <v>5</v>
      </c>
    </row>
    <row r="69" spans="1:4" x14ac:dyDescent="0.3">
      <c r="A69" s="32">
        <v>5</v>
      </c>
      <c r="C69" s="32">
        <v>5</v>
      </c>
      <c r="D69" s="32">
        <v>5</v>
      </c>
    </row>
    <row r="70" spans="1:4" x14ac:dyDescent="0.3">
      <c r="A70" s="32">
        <v>5</v>
      </c>
      <c r="C70" s="32">
        <v>5</v>
      </c>
      <c r="D70" s="32">
        <v>5</v>
      </c>
    </row>
    <row r="71" spans="1:4" x14ac:dyDescent="0.3">
      <c r="A71" s="32">
        <v>5</v>
      </c>
      <c r="C71" s="32">
        <v>5</v>
      </c>
      <c r="D71" s="32">
        <v>5</v>
      </c>
    </row>
    <row r="72" spans="1:4" x14ac:dyDescent="0.3">
      <c r="A72" s="32">
        <v>5</v>
      </c>
      <c r="C72" s="32">
        <v>5</v>
      </c>
      <c r="D72" s="32">
        <v>4.5</v>
      </c>
    </row>
    <row r="73" spans="1:4" x14ac:dyDescent="0.3">
      <c r="A73" s="32">
        <v>5</v>
      </c>
      <c r="C73" s="32">
        <v>5</v>
      </c>
      <c r="D73" s="32">
        <v>4.5</v>
      </c>
    </row>
    <row r="74" spans="1:4" x14ac:dyDescent="0.3">
      <c r="A74" s="32">
        <v>5</v>
      </c>
      <c r="C74" s="32">
        <v>5</v>
      </c>
      <c r="D74" s="32">
        <v>5</v>
      </c>
    </row>
    <row r="75" spans="1:4" x14ac:dyDescent="0.3">
      <c r="A75" s="32">
        <v>5</v>
      </c>
      <c r="C75" s="32">
        <v>5</v>
      </c>
      <c r="D75" s="32">
        <v>5</v>
      </c>
    </row>
    <row r="76" spans="1:4" x14ac:dyDescent="0.3">
      <c r="A76" s="32">
        <v>5</v>
      </c>
      <c r="C76" s="32">
        <v>5</v>
      </c>
      <c r="D76" s="32">
        <v>5</v>
      </c>
    </row>
    <row r="77" spans="1:4" x14ac:dyDescent="0.3">
      <c r="A77" s="32">
        <v>5</v>
      </c>
      <c r="C77" s="32">
        <v>5</v>
      </c>
      <c r="D77" s="32">
        <v>5</v>
      </c>
    </row>
    <row r="78" spans="1:4" x14ac:dyDescent="0.3">
      <c r="A78" s="32">
        <v>5</v>
      </c>
      <c r="C78" s="32">
        <v>5</v>
      </c>
      <c r="D78" s="32">
        <v>5</v>
      </c>
    </row>
    <row r="79" spans="1:4" x14ac:dyDescent="0.3">
      <c r="A79" s="32">
        <v>5</v>
      </c>
      <c r="C79" s="32">
        <v>5</v>
      </c>
      <c r="D79" s="32">
        <v>5</v>
      </c>
    </row>
    <row r="80" spans="1:4" x14ac:dyDescent="0.3">
      <c r="A80" s="32">
        <v>5</v>
      </c>
      <c r="C80" s="32">
        <v>5</v>
      </c>
      <c r="D80" s="32">
        <v>5</v>
      </c>
    </row>
    <row r="81" spans="1:4" x14ac:dyDescent="0.3">
      <c r="A81" s="32">
        <v>5</v>
      </c>
      <c r="C81" s="32">
        <v>5</v>
      </c>
      <c r="D81" s="32">
        <v>5</v>
      </c>
    </row>
    <row r="82" spans="1:4" x14ac:dyDescent="0.3">
      <c r="A82" s="32">
        <v>5</v>
      </c>
      <c r="C82" s="32">
        <v>5</v>
      </c>
      <c r="D82" s="32">
        <v>5</v>
      </c>
    </row>
    <row r="83" spans="1:4" x14ac:dyDescent="0.3">
      <c r="A83" s="32">
        <v>5</v>
      </c>
      <c r="C83" s="32">
        <v>5</v>
      </c>
      <c r="D83" s="32">
        <v>5</v>
      </c>
    </row>
    <row r="84" spans="1:4" x14ac:dyDescent="0.3">
      <c r="A84" s="32">
        <v>5</v>
      </c>
      <c r="C84" s="32">
        <v>5</v>
      </c>
      <c r="D84" s="32">
        <v>5</v>
      </c>
    </row>
    <row r="85" spans="1:4" x14ac:dyDescent="0.3">
      <c r="A85" s="32">
        <v>5</v>
      </c>
      <c r="C85" s="32">
        <v>5</v>
      </c>
      <c r="D85" s="32">
        <v>5</v>
      </c>
    </row>
    <row r="86" spans="1:4" x14ac:dyDescent="0.3">
      <c r="A86" s="32">
        <v>5</v>
      </c>
      <c r="C86" s="32">
        <v>5</v>
      </c>
      <c r="D86" s="32">
        <v>5</v>
      </c>
    </row>
    <row r="87" spans="1:4" x14ac:dyDescent="0.3">
      <c r="A87" s="32">
        <v>5</v>
      </c>
      <c r="C87" s="32">
        <v>5</v>
      </c>
      <c r="D87" s="32">
        <v>5</v>
      </c>
    </row>
    <row r="88" spans="1:4" x14ac:dyDescent="0.3">
      <c r="A88" s="32">
        <v>5</v>
      </c>
      <c r="C88" s="32">
        <v>5</v>
      </c>
      <c r="D88" s="32">
        <v>5</v>
      </c>
    </row>
    <row r="89" spans="1:4" x14ac:dyDescent="0.3">
      <c r="A89" s="32">
        <v>5</v>
      </c>
      <c r="C89" s="32">
        <v>5</v>
      </c>
      <c r="D89" s="32">
        <v>5</v>
      </c>
    </row>
    <row r="90" spans="1:4" x14ac:dyDescent="0.3">
      <c r="A90" s="32">
        <v>5</v>
      </c>
      <c r="C90" s="32">
        <v>5</v>
      </c>
      <c r="D90" s="32">
        <v>4.5</v>
      </c>
    </row>
    <row r="91" spans="1:4" x14ac:dyDescent="0.3">
      <c r="A91" s="32">
        <v>5</v>
      </c>
      <c r="C91" s="32">
        <v>5</v>
      </c>
    </row>
    <row r="92" spans="1:4" x14ac:dyDescent="0.3">
      <c r="A92" s="32">
        <v>5</v>
      </c>
      <c r="C92" s="32">
        <v>5</v>
      </c>
    </row>
    <row r="93" spans="1:4" x14ac:dyDescent="0.3">
      <c r="A93" s="32">
        <v>5</v>
      </c>
      <c r="C93" s="32">
        <v>5</v>
      </c>
    </row>
    <row r="94" spans="1:4" x14ac:dyDescent="0.3">
      <c r="A94" s="40">
        <v>3</v>
      </c>
      <c r="C94" s="32">
        <v>5</v>
      </c>
    </row>
    <row r="95" spans="1:4" x14ac:dyDescent="0.3">
      <c r="A95" s="32">
        <v>5</v>
      </c>
      <c r="C95" s="32">
        <v>5</v>
      </c>
    </row>
    <row r="96" spans="1:4" x14ac:dyDescent="0.3">
      <c r="A96" s="32">
        <v>5</v>
      </c>
      <c r="C96" s="32">
        <v>5</v>
      </c>
    </row>
    <row r="97" spans="1:3" x14ac:dyDescent="0.3">
      <c r="A97" s="32">
        <v>5</v>
      </c>
      <c r="C97" s="32">
        <v>5</v>
      </c>
    </row>
    <row r="98" spans="1:3" x14ac:dyDescent="0.3">
      <c r="A98" s="32">
        <v>5</v>
      </c>
      <c r="C98" s="32">
        <v>5</v>
      </c>
    </row>
    <row r="99" spans="1:3" x14ac:dyDescent="0.3">
      <c r="A99" s="32">
        <v>5</v>
      </c>
      <c r="C99" s="32">
        <v>5</v>
      </c>
    </row>
    <row r="100" spans="1:3" x14ac:dyDescent="0.3">
      <c r="A100" s="32">
        <v>5</v>
      </c>
      <c r="C100" s="32">
        <v>5</v>
      </c>
    </row>
    <row r="101" spans="1:3" x14ac:dyDescent="0.3">
      <c r="A101" s="32">
        <v>5</v>
      </c>
      <c r="C101" s="32">
        <v>5</v>
      </c>
    </row>
    <row r="102" spans="1:3" x14ac:dyDescent="0.3">
      <c r="A102" s="32">
        <v>5</v>
      </c>
      <c r="C102" s="32">
        <v>5</v>
      </c>
    </row>
    <row r="103" spans="1:3" x14ac:dyDescent="0.3">
      <c r="A103" s="32">
        <v>5</v>
      </c>
      <c r="C103" s="32">
        <v>5</v>
      </c>
    </row>
    <row r="104" spans="1:3" x14ac:dyDescent="0.3">
      <c r="A104" s="32">
        <v>5</v>
      </c>
    </row>
    <row r="105" spans="1:3" x14ac:dyDescent="0.3">
      <c r="A105" s="32">
        <v>5</v>
      </c>
    </row>
    <row r="106" spans="1:3" x14ac:dyDescent="0.3">
      <c r="A106" s="32">
        <v>5</v>
      </c>
    </row>
    <row r="107" spans="1:3" x14ac:dyDescent="0.3">
      <c r="A107" s="32">
        <v>5</v>
      </c>
    </row>
    <row r="108" spans="1:3" x14ac:dyDescent="0.3">
      <c r="A108" s="40">
        <v>4</v>
      </c>
    </row>
    <row r="109" spans="1:3" x14ac:dyDescent="0.3">
      <c r="A109" s="32">
        <v>5</v>
      </c>
    </row>
    <row r="110" spans="1:3" x14ac:dyDescent="0.3">
      <c r="A110" s="32">
        <v>5</v>
      </c>
    </row>
    <row r="111" spans="1:3" x14ac:dyDescent="0.3">
      <c r="A111" s="32">
        <v>5</v>
      </c>
    </row>
    <row r="112" spans="1:3" x14ac:dyDescent="0.3">
      <c r="A112" s="32">
        <v>5</v>
      </c>
    </row>
    <row r="113" spans="1:1" x14ac:dyDescent="0.3">
      <c r="A113" s="32">
        <v>5</v>
      </c>
    </row>
    <row r="114" spans="1:1" x14ac:dyDescent="0.3">
      <c r="A114" s="32">
        <v>5</v>
      </c>
    </row>
    <row r="115" spans="1:1" x14ac:dyDescent="0.3">
      <c r="A115" s="32">
        <v>5</v>
      </c>
    </row>
    <row r="116" spans="1:1" x14ac:dyDescent="0.3">
      <c r="A116" s="32">
        <v>4</v>
      </c>
    </row>
    <row r="117" spans="1:1" x14ac:dyDescent="0.3">
      <c r="A117" s="32">
        <v>5</v>
      </c>
    </row>
    <row r="118" spans="1:1" x14ac:dyDescent="0.3">
      <c r="A118" s="32">
        <v>5</v>
      </c>
    </row>
    <row r="119" spans="1:1" x14ac:dyDescent="0.3">
      <c r="A119" s="32">
        <v>5</v>
      </c>
    </row>
    <row r="120" spans="1:1" x14ac:dyDescent="0.3">
      <c r="A120" s="32">
        <v>5</v>
      </c>
    </row>
    <row r="121" spans="1:1" x14ac:dyDescent="0.3">
      <c r="A121" s="32">
        <v>5</v>
      </c>
    </row>
    <row r="122" spans="1:1" x14ac:dyDescent="0.3">
      <c r="A122" s="32">
        <v>5</v>
      </c>
    </row>
    <row r="123" spans="1:1" x14ac:dyDescent="0.3">
      <c r="A123" s="32">
        <v>5</v>
      </c>
    </row>
    <row r="124" spans="1:1" x14ac:dyDescent="0.3">
      <c r="A124" s="32">
        <v>5</v>
      </c>
    </row>
    <row r="125" spans="1:1" x14ac:dyDescent="0.3">
      <c r="A125" s="32">
        <v>5</v>
      </c>
    </row>
    <row r="126" spans="1:1" x14ac:dyDescent="0.3">
      <c r="A126" s="32">
        <v>5</v>
      </c>
    </row>
    <row r="127" spans="1:1" x14ac:dyDescent="0.3">
      <c r="A127" s="32">
        <v>5</v>
      </c>
    </row>
    <row r="128" spans="1:1" x14ac:dyDescent="0.3">
      <c r="A128" s="32">
        <v>5</v>
      </c>
    </row>
    <row r="129" spans="1:1" x14ac:dyDescent="0.3">
      <c r="A129" s="32">
        <v>5</v>
      </c>
    </row>
    <row r="130" spans="1:1" x14ac:dyDescent="0.3">
      <c r="A130" s="32">
        <v>5</v>
      </c>
    </row>
    <row r="131" spans="1:1" x14ac:dyDescent="0.3">
      <c r="A131" s="32">
        <v>5</v>
      </c>
    </row>
    <row r="132" spans="1:1" x14ac:dyDescent="0.3">
      <c r="A132" s="32">
        <v>5</v>
      </c>
    </row>
    <row r="133" spans="1:1" x14ac:dyDescent="0.3">
      <c r="A133" s="32">
        <v>5</v>
      </c>
    </row>
    <row r="134" spans="1:1" x14ac:dyDescent="0.3">
      <c r="A134" s="32">
        <v>5</v>
      </c>
    </row>
    <row r="135" spans="1:1" x14ac:dyDescent="0.3">
      <c r="A135" s="32">
        <v>5</v>
      </c>
    </row>
    <row r="136" spans="1:1" x14ac:dyDescent="0.3">
      <c r="A136" s="32">
        <v>5</v>
      </c>
    </row>
    <row r="137" spans="1:1" x14ac:dyDescent="0.3">
      <c r="A137" s="32">
        <v>4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C4C6-5065-4D33-9132-55A9B25804A2}">
  <dimension ref="A1:I24"/>
  <sheetViews>
    <sheetView tabSelected="1" zoomScale="81" zoomScaleNormal="115" workbookViewId="0">
      <selection activeCell="B4" sqref="B4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384</v>
      </c>
      <c r="C2" s="20">
        <f>B15+C15</f>
        <v>136</v>
      </c>
      <c r="D2" s="21">
        <f>C2/B2</f>
        <v>0.35416666666666669</v>
      </c>
      <c r="E2" s="26">
        <f>AVERAGE('Notas Mai'!$A$2:$A$72)</f>
        <v>4.957746478873239</v>
      </c>
      <c r="F2" s="26"/>
      <c r="G2" s="30">
        <f>E2-F2</f>
        <v>4.957746478873239</v>
      </c>
      <c r="H2" s="1"/>
      <c r="I2" s="23">
        <f>G2*C2</f>
        <v>674.25352112676046</v>
      </c>
    </row>
    <row r="3" spans="1:9" x14ac:dyDescent="0.3">
      <c r="A3" s="5" t="s">
        <v>19</v>
      </c>
      <c r="B3" s="6">
        <f>D16+E16+F16</f>
        <v>232</v>
      </c>
      <c r="C3" s="6">
        <f>B16+C16</f>
        <v>57</v>
      </c>
      <c r="D3" s="33">
        <f>C3/B3</f>
        <v>0.24568965517241378</v>
      </c>
      <c r="E3" s="8">
        <f>AVERAGE('Notas Mai'!$B$2:$B$72)</f>
        <v>4.9824561403508776</v>
      </c>
      <c r="F3" s="8"/>
      <c r="G3" s="31">
        <f t="shared" ref="G3:G6" si="0">E3-F3</f>
        <v>4.9824561403508776</v>
      </c>
      <c r="H3" s="1"/>
      <c r="I3" s="35">
        <f>G3*C3</f>
        <v>284</v>
      </c>
    </row>
    <row r="4" spans="1:9" x14ac:dyDescent="0.3">
      <c r="A4" s="19" t="s">
        <v>21</v>
      </c>
      <c r="B4" s="20">
        <f t="shared" ref="B4:B6" si="1">D17+E17+F17</f>
        <v>431</v>
      </c>
      <c r="C4" s="20">
        <f>B17+C17</f>
        <v>102</v>
      </c>
      <c r="D4" s="21">
        <f>C4/B4</f>
        <v>0.23665893271461716</v>
      </c>
      <c r="E4" s="26">
        <f>AVERAGE('Notas Mai'!$C$2:$C$72)</f>
        <v>4.9859154929577461</v>
      </c>
      <c r="F4" s="26"/>
      <c r="G4" s="30">
        <f t="shared" si="0"/>
        <v>4.9859154929577461</v>
      </c>
      <c r="H4" s="1"/>
      <c r="I4" s="35">
        <f t="shared" ref="I4:I6" si="2">G4*C4</f>
        <v>508.56338028169012</v>
      </c>
    </row>
    <row r="5" spans="1:9" x14ac:dyDescent="0.3">
      <c r="A5" s="5" t="s">
        <v>32</v>
      </c>
      <c r="B5" s="6">
        <f t="shared" si="1"/>
        <v>366</v>
      </c>
      <c r="C5" s="6">
        <f>B18+C18</f>
        <v>89</v>
      </c>
      <c r="D5" s="33">
        <f>C5/B5</f>
        <v>0.24316939890710382</v>
      </c>
      <c r="E5" s="8">
        <f>AVERAGE('Notas Mai'!$D$2:$D$72)</f>
        <v>4.97887323943662</v>
      </c>
      <c r="F5" s="8"/>
      <c r="G5" s="31">
        <f t="shared" si="0"/>
        <v>4.97887323943662</v>
      </c>
      <c r="H5" s="1"/>
      <c r="I5" s="35">
        <f t="shared" si="2"/>
        <v>443.11971830985919</v>
      </c>
    </row>
    <row r="6" spans="1:9" x14ac:dyDescent="0.3">
      <c r="A6" s="19" t="s">
        <v>2718</v>
      </c>
      <c r="B6" s="20">
        <f t="shared" si="1"/>
        <v>138</v>
      </c>
      <c r="C6" s="20">
        <f>B19+C19</f>
        <v>44</v>
      </c>
      <c r="D6" s="21">
        <f>C6/B6</f>
        <v>0.3188405797101449</v>
      </c>
      <c r="E6" s="26">
        <f>AVERAGE('Notas Mai'!$E$2:$E$72)</f>
        <v>4.9431818181818183</v>
      </c>
      <c r="F6" s="26"/>
      <c r="G6" s="30">
        <f t="shared" si="0"/>
        <v>4.9431818181818183</v>
      </c>
      <c r="H6" s="1"/>
      <c r="I6" s="35">
        <f t="shared" si="2"/>
        <v>217.5</v>
      </c>
    </row>
    <row r="7" spans="1:9" x14ac:dyDescent="0.3">
      <c r="A7" s="5"/>
      <c r="B7" s="6"/>
      <c r="C7" s="6"/>
      <c r="D7" s="7"/>
      <c r="E7" s="8"/>
      <c r="F7" s="8"/>
      <c r="G7" s="12"/>
      <c r="H7" s="1"/>
      <c r="I7" s="35"/>
    </row>
    <row r="8" spans="1:9" x14ac:dyDescent="0.3">
      <c r="A8" s="1"/>
      <c r="B8" s="1"/>
      <c r="C8" s="1"/>
      <c r="D8" s="9"/>
      <c r="E8" s="1"/>
      <c r="F8" s="27"/>
      <c r="G8" s="13"/>
      <c r="H8" s="1"/>
      <c r="I8" s="1"/>
    </row>
    <row r="9" spans="1:9" x14ac:dyDescent="0.3">
      <c r="A9" s="14" t="s">
        <v>16</v>
      </c>
      <c r="B9" s="14">
        <f>SUM(B2:B7)</f>
        <v>1551</v>
      </c>
      <c r="C9" s="14">
        <f>SUM(C2:C7)</f>
        <v>428</v>
      </c>
      <c r="D9" s="15">
        <f>C9/B9</f>
        <v>0.27595099935525469</v>
      </c>
      <c r="E9" s="16">
        <f>AVERAGE(E2:E7)</f>
        <v>4.9696346339600606</v>
      </c>
      <c r="F9" s="16"/>
      <c r="G9" s="17">
        <f>E9-F9</f>
        <v>4.9696346339600606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COUNTIFS(Mai!$B$2:$B$3000,"PSYSTEM_1005",Mai!$E$2:$E$3000,"&gt;100",Mai!$L$2:$L$3000,"&gt;0")</f>
        <v>12</v>
      </c>
      <c r="C15" s="1">
        <f>COUNTIFS(Mai!$C$2:$C$4000,"PSYSTEM_1005",Mai!$E$2:$E$4000,"&gt;100",Mai!$L$2:$L$4000,"&gt;0")+G15</f>
        <v>124</v>
      </c>
      <c r="D15" s="1">
        <f>COUNTIFS(Mai!$B$2:$B$4000,"PSYSTEM_1005",Mai!$E$2:$E$4000,"&gt;100")</f>
        <v>58</v>
      </c>
      <c r="E15" s="1">
        <f>COUNTIFS(Mai!$C$2:$C$4000,"PSYSTEM_1005",Mai!$E$2:$E$4000,"&gt;100")</f>
        <v>269</v>
      </c>
      <c r="F15" s="1">
        <v>57</v>
      </c>
      <c r="G15" s="32">
        <v>8</v>
      </c>
    </row>
    <row r="16" spans="1:9" x14ac:dyDescent="0.3">
      <c r="A16" s="5" t="s">
        <v>19</v>
      </c>
      <c r="B16" s="1">
        <f>COUNTIFS(Mai!$B$2:$B$3000,"PSYSTEM_1002",Mai!$E$2:$E$3000,"&gt;100",Mai!$L$2:$L$3000,"&gt;0")</f>
        <v>6</v>
      </c>
      <c r="C16" s="1">
        <f>COUNTIFS(Mai!$C$2:$C$4000,"PSYSTEM_1002",Mai!$E$2:$E$4000,"&gt;100",Mai!$L$2:$L$4000,"&gt;0")+G16</f>
        <v>51</v>
      </c>
      <c r="D16" s="1">
        <f>COUNTIFS(Mai!$B$2:$B$4000,"PSYSTEM_1002",Mai!$E$2:$E$4000,"&gt;100")</f>
        <v>35</v>
      </c>
      <c r="E16" s="1">
        <f>COUNTIFS(Mai!$C$2:$C$4000,"PSYSTEM_1002",Mai!$E$2:$E$4000,"&gt;100")</f>
        <v>145</v>
      </c>
      <c r="F16" s="32">
        <v>52</v>
      </c>
      <c r="G16" s="32">
        <v>1</v>
      </c>
    </row>
    <row r="17" spans="1:9" x14ac:dyDescent="0.3">
      <c r="A17" s="19" t="s">
        <v>21</v>
      </c>
      <c r="B17" s="1">
        <f>COUNTIFS(Mai!$B$2:$B$3000,"PSYSTEM_1004",Mai!$E$2:$E$3000,"&gt;100",Mai!$L$2:$L$3000,"&gt;0")</f>
        <v>11</v>
      </c>
      <c r="C17" s="1">
        <f>COUNTIFS(Mai!$C$2:$C$4000,"PSYSTEM_1004",Mai!$E$2:$E$4000,"&gt;100",Mai!$L$2:$L$4000,"&gt;0")+G17</f>
        <v>91</v>
      </c>
      <c r="D17" s="1">
        <f>COUNTIFS(Mai!$B$2:$B$4000,"PSYSTEM_1004",Mai!$E$2:$E$4000,"&gt;100")</f>
        <v>42</v>
      </c>
      <c r="E17" s="1">
        <f>COUNTIFS(Mai!$C$2:$C$4000,"PSYSTEM_1004",Mai!$E$2:$E$4000,"&gt;100")</f>
        <v>269</v>
      </c>
      <c r="F17" s="1">
        <v>120</v>
      </c>
      <c r="G17" s="32">
        <v>33</v>
      </c>
    </row>
    <row r="18" spans="1:9" x14ac:dyDescent="0.3">
      <c r="A18" s="5" t="s">
        <v>32</v>
      </c>
      <c r="B18" s="1">
        <f>COUNTIFS(Mai!$B$2:$B$3000,"PSYSTEM_1013",Mai!$E$2:$E$3000,"&gt;100",Mai!$L$2:$L$3000,"&gt;0")</f>
        <v>5</v>
      </c>
      <c r="C18" s="1">
        <f>COUNTIFS(Mai!$C$2:$C$4000,"PSYSTEM_1013",Mai!$E$2:$E$4000,"&gt;100",Mai!$L$2:$L$4000,"&gt;0")+G18</f>
        <v>84</v>
      </c>
      <c r="D18" s="1">
        <f>COUNTIFS(Mai!$B$2:$B$4000,"PSYSTEM_1013",Mai!$E$2:$E$4000,"&gt;100")</f>
        <v>26</v>
      </c>
      <c r="E18" s="1">
        <f>COUNTIFS(Mai!$C$2:$C$4000,"PSYSTEM_1013",Mai!$E$2:$E$4000,"&gt;100")</f>
        <v>238</v>
      </c>
      <c r="F18" s="1">
        <v>102</v>
      </c>
      <c r="G18" s="1">
        <v>19</v>
      </c>
      <c r="H18" s="1"/>
      <c r="I18" s="1"/>
    </row>
    <row r="19" spans="1:9" x14ac:dyDescent="0.3">
      <c r="A19" s="19" t="s">
        <v>2718</v>
      </c>
      <c r="B19" s="1">
        <f>COUNTIFS(Mai!$B$2:$B$3000,"PSYSTEM_1003",Mai!$E$2:$E$3000,"&gt;100",Mai!$L$2:$L$3000,"&gt;0")</f>
        <v>0</v>
      </c>
      <c r="C19" s="1">
        <f>COUNTIFS(Mai!$C$2:$C$4000,"PSYSTEM_1003",Mai!$E$2:$E$4000,"&gt;100",Mai!$L$2:$L$4000,"&gt;0")+G19</f>
        <v>44</v>
      </c>
      <c r="D19" s="1">
        <f>COUNTIFS(Mai!$B$2:$B$4000,"PSYSTEM_1003",Mai!$E$2:$E$4000,"&gt;100")</f>
        <v>0</v>
      </c>
      <c r="E19" s="1">
        <f>COUNTIFS(Mai!$C$2:$C$4000,"PSYSTEM_1003",Mai!$E$2:$E$4000,"&gt;100")</f>
        <v>0</v>
      </c>
      <c r="F19" s="1">
        <v>138</v>
      </c>
      <c r="G19" s="1">
        <v>44</v>
      </c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66E3-D533-40D0-81FE-F82945330872}">
  <sheetPr filterMode="1"/>
  <dimension ref="A1:N2185"/>
  <sheetViews>
    <sheetView zoomScale="79" workbookViewId="0">
      <selection activeCell="L1494" sqref="L1494:L1850"/>
    </sheetView>
  </sheetViews>
  <sheetFormatPr defaultColWidth="8.88671875" defaultRowHeight="14.4" x14ac:dyDescent="0.3"/>
  <cols>
    <col min="1" max="1" width="15.33203125" style="1" bestFit="1" customWidth="1"/>
    <col min="2" max="2" width="18.44140625" style="1" bestFit="1" customWidth="1"/>
    <col min="3" max="3" width="13.44140625" style="1" bestFit="1" customWidth="1"/>
    <col min="4" max="4" width="11" style="1" bestFit="1" customWidth="1"/>
    <col min="5" max="5" width="14" style="1" bestFit="1" customWidth="1"/>
    <col min="6" max="6" width="9.77734375" style="1" bestFit="1" customWidth="1"/>
    <col min="7" max="7" width="12.109375" style="1" bestFit="1" customWidth="1"/>
    <col min="8" max="8" width="25.33203125" style="1" bestFit="1" customWidth="1"/>
    <col min="9" max="9" width="14.5546875" style="1" bestFit="1" customWidth="1"/>
    <col min="10" max="10" width="26.109375" style="1" bestFit="1" customWidth="1"/>
    <col min="11" max="11" width="19.5546875" style="1" bestFit="1" customWidth="1"/>
    <col min="12" max="12" width="9.77734375" style="1" bestFit="1" customWidth="1"/>
    <col min="13" max="13" width="107" style="42" bestFit="1" customWidth="1"/>
    <col min="14" max="15" width="13.44140625" style="1" bestFit="1" customWidth="1"/>
    <col min="16" max="16384" width="8.88671875" style="1"/>
  </cols>
  <sheetData>
    <row r="1" spans="1:14" x14ac:dyDescent="0.3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41" t="s">
        <v>7603</v>
      </c>
    </row>
    <row r="2" spans="1:14" s="32" customFormat="1" hidden="1" x14ac:dyDescent="0.3">
      <c r="A2" s="39">
        <v>46203.737581018519</v>
      </c>
      <c r="B2" s="32">
        <v>44999680829</v>
      </c>
      <c r="C2" s="32" t="s">
        <v>37</v>
      </c>
      <c r="D2" s="32">
        <v>4431268225</v>
      </c>
      <c r="E2" s="32">
        <v>464</v>
      </c>
      <c r="F2" s="32">
        <v>262</v>
      </c>
      <c r="G2" s="32" t="s">
        <v>38</v>
      </c>
      <c r="H2" s="32" t="s">
        <v>5409</v>
      </c>
      <c r="I2" s="32" t="s">
        <v>39</v>
      </c>
      <c r="J2" s="32" t="s">
        <v>40</v>
      </c>
      <c r="K2" s="32" t="s">
        <v>41</v>
      </c>
      <c r="L2" s="32">
        <v>5</v>
      </c>
      <c r="M2" s="32" t="s">
        <v>5410</v>
      </c>
      <c r="N2" s="32" t="s">
        <v>37</v>
      </c>
    </row>
    <row r="3" spans="1:14" s="32" customFormat="1" hidden="1" x14ac:dyDescent="0.3">
      <c r="A3" s="39">
        <v>46203.725451388891</v>
      </c>
      <c r="B3" s="32">
        <v>1128897100</v>
      </c>
      <c r="C3" s="32" t="s">
        <v>48</v>
      </c>
      <c r="D3" s="32">
        <v>4430265054</v>
      </c>
      <c r="E3" s="32">
        <v>497</v>
      </c>
      <c r="F3" s="32">
        <v>479</v>
      </c>
      <c r="G3" s="32" t="s">
        <v>38</v>
      </c>
      <c r="H3" s="32" t="s">
        <v>5411</v>
      </c>
      <c r="I3" s="32" t="s">
        <v>39</v>
      </c>
      <c r="J3" s="32" t="s">
        <v>40</v>
      </c>
      <c r="K3" s="32" t="s">
        <v>49</v>
      </c>
      <c r="M3" s="32" t="s">
        <v>5412</v>
      </c>
      <c r="N3" s="32" t="s">
        <v>48</v>
      </c>
    </row>
    <row r="4" spans="1:14" s="32" customFormat="1" hidden="1" x14ac:dyDescent="0.3">
      <c r="A4" s="39">
        <v>46203.714618055557</v>
      </c>
      <c r="B4" s="32">
        <v>44998039090</v>
      </c>
      <c r="C4" s="32">
        <v>4430265054</v>
      </c>
      <c r="D4" s="32">
        <v>4430265054</v>
      </c>
      <c r="E4" s="32">
        <v>29</v>
      </c>
      <c r="F4" s="32">
        <v>29</v>
      </c>
      <c r="G4" s="32" t="s">
        <v>52</v>
      </c>
      <c r="H4" s="32" t="s">
        <v>5413</v>
      </c>
      <c r="I4" s="32" t="s">
        <v>39</v>
      </c>
      <c r="J4" s="32" t="s">
        <v>53</v>
      </c>
      <c r="K4" s="32" t="s">
        <v>41</v>
      </c>
    </row>
    <row r="5" spans="1:14" s="32" customFormat="1" hidden="1" x14ac:dyDescent="0.3">
      <c r="A5" s="39">
        <v>46203.708622685182</v>
      </c>
      <c r="B5" s="32">
        <v>41997840159</v>
      </c>
      <c r="C5" s="32" t="s">
        <v>37</v>
      </c>
      <c r="D5" s="32">
        <v>4430265054</v>
      </c>
      <c r="E5" s="32">
        <v>1041</v>
      </c>
      <c r="F5" s="32">
        <v>845</v>
      </c>
      <c r="G5" s="32" t="s">
        <v>38</v>
      </c>
      <c r="H5" s="32" t="s">
        <v>5414</v>
      </c>
      <c r="I5" s="32" t="s">
        <v>39</v>
      </c>
      <c r="J5" s="32" t="s">
        <v>40</v>
      </c>
      <c r="K5" s="32" t="s">
        <v>41</v>
      </c>
      <c r="L5" s="32">
        <v>5</v>
      </c>
      <c r="M5" s="32" t="s">
        <v>5410</v>
      </c>
      <c r="N5" s="32" t="s">
        <v>37</v>
      </c>
    </row>
    <row r="6" spans="1:14" s="32" customFormat="1" hidden="1" x14ac:dyDescent="0.3">
      <c r="A6" s="39">
        <v>46203.705358796295</v>
      </c>
      <c r="B6" s="32">
        <v>6434534421</v>
      </c>
      <c r="C6" s="32" t="s">
        <v>44</v>
      </c>
      <c r="D6" s="32">
        <v>4430265054</v>
      </c>
      <c r="E6" s="32">
        <v>2364</v>
      </c>
      <c r="F6" s="32">
        <v>2296</v>
      </c>
      <c r="G6" s="32" t="s">
        <v>38</v>
      </c>
      <c r="H6" s="32" t="s">
        <v>5415</v>
      </c>
      <c r="I6" s="32" t="s">
        <v>39</v>
      </c>
      <c r="J6" s="32" t="s">
        <v>40</v>
      </c>
      <c r="K6" s="32" t="s">
        <v>41</v>
      </c>
      <c r="L6" s="32">
        <v>5</v>
      </c>
      <c r="M6" s="32" t="s">
        <v>5416</v>
      </c>
      <c r="N6" s="32" t="s">
        <v>44</v>
      </c>
    </row>
    <row r="7" spans="1:14" s="32" customFormat="1" hidden="1" x14ac:dyDescent="0.3">
      <c r="A7" s="39">
        <v>46203.703310185185</v>
      </c>
      <c r="B7" s="32">
        <v>18996991511</v>
      </c>
      <c r="C7" s="32" t="s">
        <v>43</v>
      </c>
      <c r="D7" s="32">
        <v>4430265054</v>
      </c>
      <c r="E7" s="32">
        <v>236</v>
      </c>
      <c r="F7" s="32">
        <v>127</v>
      </c>
      <c r="G7" s="32" t="s">
        <v>38</v>
      </c>
      <c r="H7" s="32" t="s">
        <v>5417</v>
      </c>
      <c r="I7" s="32" t="s">
        <v>39</v>
      </c>
      <c r="J7" s="32" t="s">
        <v>40</v>
      </c>
      <c r="K7" s="32" t="s">
        <v>41</v>
      </c>
      <c r="L7" s="32">
        <v>5</v>
      </c>
      <c r="M7" s="32" t="s">
        <v>5418</v>
      </c>
      <c r="N7" s="32" t="s">
        <v>43</v>
      </c>
    </row>
    <row r="8" spans="1:14" s="32" customFormat="1" hidden="1" x14ac:dyDescent="0.3">
      <c r="A8" s="39">
        <v>46203.701412037037</v>
      </c>
      <c r="B8" s="32">
        <v>44999752325</v>
      </c>
      <c r="C8" s="32" t="s">
        <v>37</v>
      </c>
      <c r="D8" s="32">
        <v>4430265054</v>
      </c>
      <c r="E8" s="32">
        <v>470</v>
      </c>
      <c r="F8" s="32">
        <v>393</v>
      </c>
      <c r="G8" s="32" t="s">
        <v>38</v>
      </c>
      <c r="H8" s="32" t="s">
        <v>5419</v>
      </c>
      <c r="I8" s="32" t="s">
        <v>39</v>
      </c>
      <c r="J8" s="32" t="s">
        <v>40</v>
      </c>
      <c r="K8" s="32" t="s">
        <v>41</v>
      </c>
      <c r="L8" s="32">
        <v>5</v>
      </c>
      <c r="M8" s="32" t="s">
        <v>5410</v>
      </c>
      <c r="N8" s="32" t="s">
        <v>37</v>
      </c>
    </row>
    <row r="9" spans="1:14" s="32" customFormat="1" hidden="1" x14ac:dyDescent="0.3">
      <c r="A9" s="39">
        <v>46203.696608796294</v>
      </c>
      <c r="B9" s="32">
        <v>44997650834</v>
      </c>
      <c r="C9" s="32" t="s">
        <v>45</v>
      </c>
      <c r="D9" s="32">
        <v>4430265054</v>
      </c>
      <c r="E9" s="32">
        <v>790</v>
      </c>
      <c r="F9" s="32">
        <v>773</v>
      </c>
      <c r="G9" s="32" t="s">
        <v>38</v>
      </c>
      <c r="H9" s="32" t="s">
        <v>5420</v>
      </c>
      <c r="I9" s="32" t="s">
        <v>39</v>
      </c>
      <c r="J9" s="32" t="s">
        <v>40</v>
      </c>
      <c r="K9" s="32" t="s">
        <v>41</v>
      </c>
      <c r="L9" s="32">
        <v>5</v>
      </c>
      <c r="M9" s="32" t="s">
        <v>5421</v>
      </c>
      <c r="N9" s="32" t="s">
        <v>45</v>
      </c>
    </row>
    <row r="10" spans="1:14" s="32" customFormat="1" hidden="1" x14ac:dyDescent="0.3">
      <c r="A10" s="39">
        <v>46203.68241898148</v>
      </c>
      <c r="B10" s="32">
        <v>44997215491</v>
      </c>
      <c r="C10" s="32" t="s">
        <v>43</v>
      </c>
      <c r="D10" s="32">
        <v>4430265054</v>
      </c>
      <c r="E10" s="32">
        <v>1388</v>
      </c>
      <c r="F10" s="32">
        <v>1131</v>
      </c>
      <c r="G10" s="32" t="s">
        <v>38</v>
      </c>
      <c r="H10" s="32" t="s">
        <v>5422</v>
      </c>
      <c r="I10" s="32" t="s">
        <v>39</v>
      </c>
      <c r="J10" s="32" t="s">
        <v>40</v>
      </c>
      <c r="K10" s="32" t="s">
        <v>41</v>
      </c>
      <c r="L10" s="32">
        <v>5</v>
      </c>
      <c r="M10" s="32" t="s">
        <v>5418</v>
      </c>
      <c r="N10" s="32" t="s">
        <v>43</v>
      </c>
    </row>
    <row r="11" spans="1:14" s="32" customFormat="1" hidden="1" x14ac:dyDescent="0.3">
      <c r="A11" s="39">
        <v>46203.673425925925</v>
      </c>
      <c r="B11" s="32">
        <v>4432325260</v>
      </c>
      <c r="C11" s="32" t="s">
        <v>43</v>
      </c>
      <c r="D11" s="32">
        <v>4430265054</v>
      </c>
      <c r="E11" s="32">
        <v>269</v>
      </c>
      <c r="F11" s="32">
        <v>170</v>
      </c>
      <c r="G11" s="32" t="s">
        <v>38</v>
      </c>
      <c r="H11" s="32" t="s">
        <v>5423</v>
      </c>
      <c r="I11" s="32" t="s">
        <v>39</v>
      </c>
      <c r="J11" s="32" t="s">
        <v>40</v>
      </c>
      <c r="K11" s="32" t="s">
        <v>41</v>
      </c>
      <c r="M11" s="32" t="s">
        <v>5418</v>
      </c>
      <c r="N11" s="32" t="s">
        <v>43</v>
      </c>
    </row>
    <row r="12" spans="1:14" s="32" customFormat="1" hidden="1" x14ac:dyDescent="0.3">
      <c r="A12" s="39">
        <v>46203.67150462963</v>
      </c>
      <c r="B12" s="32" t="s">
        <v>48</v>
      </c>
      <c r="C12" s="32">
        <v>4434221055</v>
      </c>
      <c r="E12" s="32">
        <v>715</v>
      </c>
      <c r="F12" s="32">
        <v>705</v>
      </c>
      <c r="G12" s="32" t="s">
        <v>38</v>
      </c>
      <c r="H12" s="32" t="s">
        <v>5424</v>
      </c>
      <c r="I12" s="32" t="s">
        <v>46</v>
      </c>
      <c r="J12" s="32" t="s">
        <v>40</v>
      </c>
      <c r="M12" s="32" t="s">
        <v>5412</v>
      </c>
      <c r="N12" s="32" t="s">
        <v>48</v>
      </c>
    </row>
    <row r="13" spans="1:14" s="32" customFormat="1" hidden="1" x14ac:dyDescent="0.3">
      <c r="A13" s="39">
        <v>46203.657627314817</v>
      </c>
      <c r="B13" s="32">
        <v>4330261969</v>
      </c>
      <c r="C13" s="32" t="s">
        <v>43</v>
      </c>
      <c r="D13" s="32">
        <v>4430265054</v>
      </c>
      <c r="E13" s="32">
        <v>114</v>
      </c>
      <c r="F13" s="32">
        <v>54</v>
      </c>
      <c r="G13" s="32" t="s">
        <v>38</v>
      </c>
      <c r="H13" s="32" t="s">
        <v>5425</v>
      </c>
      <c r="I13" s="32" t="s">
        <v>39</v>
      </c>
      <c r="J13" s="32" t="s">
        <v>40</v>
      </c>
      <c r="K13" s="32" t="s">
        <v>41</v>
      </c>
      <c r="M13" s="32" t="s">
        <v>5418</v>
      </c>
      <c r="N13" s="32" t="s">
        <v>43</v>
      </c>
    </row>
    <row r="14" spans="1:14" s="32" customFormat="1" hidden="1" x14ac:dyDescent="0.3">
      <c r="A14" s="39">
        <v>46203.651678240742</v>
      </c>
      <c r="B14" s="32">
        <v>44999654761</v>
      </c>
      <c r="C14" s="32" t="s">
        <v>37</v>
      </c>
      <c r="D14" s="32">
        <v>4430265054</v>
      </c>
      <c r="E14" s="32">
        <v>338</v>
      </c>
      <c r="F14" s="32">
        <v>152</v>
      </c>
      <c r="G14" s="32" t="s">
        <v>38</v>
      </c>
      <c r="H14" s="32" t="s">
        <v>5426</v>
      </c>
      <c r="I14" s="32" t="s">
        <v>39</v>
      </c>
      <c r="J14" s="32" t="s">
        <v>40</v>
      </c>
      <c r="K14" s="32" t="s">
        <v>41</v>
      </c>
      <c r="M14" s="32" t="s">
        <v>5410</v>
      </c>
      <c r="N14" s="32" t="s">
        <v>37</v>
      </c>
    </row>
    <row r="15" spans="1:14" s="32" customFormat="1" hidden="1" x14ac:dyDescent="0.3">
      <c r="A15" s="39">
        <v>46203.643113425926</v>
      </c>
      <c r="B15" s="32" t="s">
        <v>45</v>
      </c>
      <c r="C15" s="32">
        <v>1131515685</v>
      </c>
      <c r="E15" s="32">
        <v>411</v>
      </c>
      <c r="F15" s="32">
        <v>406</v>
      </c>
      <c r="G15" s="32" t="s">
        <v>38</v>
      </c>
      <c r="H15" s="32" t="s">
        <v>5427</v>
      </c>
      <c r="I15" s="32" t="s">
        <v>46</v>
      </c>
      <c r="J15" s="32" t="s">
        <v>40</v>
      </c>
      <c r="M15" s="32" t="s">
        <v>5421</v>
      </c>
      <c r="N15" s="32" t="s">
        <v>45</v>
      </c>
    </row>
    <row r="16" spans="1:14" s="32" customFormat="1" hidden="1" x14ac:dyDescent="0.3">
      <c r="A16" s="39">
        <v>46203.642210648148</v>
      </c>
      <c r="B16" s="32">
        <v>1131515685</v>
      </c>
      <c r="C16" s="32" t="s">
        <v>45</v>
      </c>
      <c r="D16" s="32">
        <v>4430265054</v>
      </c>
      <c r="E16" s="32">
        <v>24</v>
      </c>
      <c r="F16" s="32">
        <v>4</v>
      </c>
      <c r="G16" s="32" t="s">
        <v>38</v>
      </c>
      <c r="H16" s="32" t="s">
        <v>5428</v>
      </c>
      <c r="I16" s="32" t="s">
        <v>39</v>
      </c>
      <c r="J16" s="32" t="s">
        <v>40</v>
      </c>
      <c r="K16" s="32" t="s">
        <v>41</v>
      </c>
      <c r="M16" s="32" t="s">
        <v>5421</v>
      </c>
      <c r="N16" s="32" t="s">
        <v>45</v>
      </c>
    </row>
    <row r="17" spans="1:14" s="32" customFormat="1" hidden="1" x14ac:dyDescent="0.3">
      <c r="A17" s="39">
        <v>46203.640567129631</v>
      </c>
      <c r="B17" s="32">
        <v>1131515685</v>
      </c>
      <c r="C17" s="32" t="s">
        <v>45</v>
      </c>
      <c r="D17" s="32">
        <v>4430265054</v>
      </c>
      <c r="E17" s="32">
        <v>115</v>
      </c>
      <c r="F17" s="32">
        <v>8</v>
      </c>
      <c r="G17" s="32" t="s">
        <v>38</v>
      </c>
      <c r="H17" s="32" t="s">
        <v>5429</v>
      </c>
      <c r="I17" s="32" t="s">
        <v>39</v>
      </c>
      <c r="J17" s="32" t="s">
        <v>40</v>
      </c>
      <c r="K17" s="32" t="s">
        <v>41</v>
      </c>
      <c r="M17" s="32" t="s">
        <v>5421</v>
      </c>
      <c r="N17" s="32" t="s">
        <v>45</v>
      </c>
    </row>
    <row r="18" spans="1:14" s="32" customFormat="1" hidden="1" x14ac:dyDescent="0.3">
      <c r="A18" s="39">
        <v>46203.638020833336</v>
      </c>
      <c r="B18" s="32" t="s">
        <v>37</v>
      </c>
      <c r="C18" s="32">
        <v>41991740047</v>
      </c>
      <c r="E18" s="32">
        <v>51</v>
      </c>
      <c r="F18" s="32">
        <v>32</v>
      </c>
      <c r="G18" s="32" t="s">
        <v>38</v>
      </c>
      <c r="H18" s="32" t="s">
        <v>5430</v>
      </c>
      <c r="I18" s="32" t="s">
        <v>46</v>
      </c>
      <c r="J18" s="32" t="s">
        <v>40</v>
      </c>
      <c r="M18" s="32" t="s">
        <v>5410</v>
      </c>
      <c r="N18" s="32" t="s">
        <v>37</v>
      </c>
    </row>
    <row r="19" spans="1:14" s="32" customFormat="1" hidden="1" x14ac:dyDescent="0.3">
      <c r="A19" s="39">
        <v>46203.635925925926</v>
      </c>
      <c r="B19" s="32">
        <v>41999865917</v>
      </c>
      <c r="C19" s="32" t="s">
        <v>45</v>
      </c>
      <c r="D19" s="32">
        <v>4430265054</v>
      </c>
      <c r="E19" s="32">
        <v>250</v>
      </c>
      <c r="F19" s="32">
        <v>230</v>
      </c>
      <c r="G19" s="32" t="s">
        <v>38</v>
      </c>
      <c r="H19" s="32" t="s">
        <v>5431</v>
      </c>
      <c r="I19" s="32" t="s">
        <v>39</v>
      </c>
      <c r="J19" s="32" t="s">
        <v>40</v>
      </c>
      <c r="K19" s="32" t="s">
        <v>41</v>
      </c>
      <c r="L19" s="32">
        <v>5</v>
      </c>
      <c r="M19" s="32" t="s">
        <v>5421</v>
      </c>
      <c r="N19" s="32" t="s">
        <v>45</v>
      </c>
    </row>
    <row r="20" spans="1:14" s="32" customFormat="1" hidden="1" x14ac:dyDescent="0.3">
      <c r="A20" s="39">
        <v>46203.631203703706</v>
      </c>
      <c r="B20" s="32">
        <v>1131515685</v>
      </c>
      <c r="C20" s="32">
        <v>4430265054</v>
      </c>
      <c r="D20" s="32">
        <v>4430265054</v>
      </c>
      <c r="E20" s="32">
        <v>17</v>
      </c>
      <c r="F20" s="32">
        <v>16</v>
      </c>
      <c r="G20" s="32" t="s">
        <v>52</v>
      </c>
      <c r="H20" s="32" t="s">
        <v>5432</v>
      </c>
      <c r="I20" s="32" t="s">
        <v>39</v>
      </c>
      <c r="J20" s="32" t="s">
        <v>53</v>
      </c>
    </row>
    <row r="21" spans="1:14" s="32" customFormat="1" hidden="1" x14ac:dyDescent="0.3">
      <c r="A21" s="39">
        <v>46203.631111111114</v>
      </c>
      <c r="B21" s="32">
        <v>44998039090</v>
      </c>
      <c r="C21" s="32" t="s">
        <v>37</v>
      </c>
      <c r="D21" s="32">
        <v>4430265054</v>
      </c>
      <c r="E21" s="32">
        <v>430</v>
      </c>
      <c r="F21" s="32">
        <v>322</v>
      </c>
      <c r="G21" s="32" t="s">
        <v>38</v>
      </c>
      <c r="H21" s="32" t="s">
        <v>5433</v>
      </c>
      <c r="I21" s="32" t="s">
        <v>39</v>
      </c>
      <c r="J21" s="32" t="s">
        <v>40</v>
      </c>
      <c r="K21" s="32" t="s">
        <v>41</v>
      </c>
      <c r="M21" s="32" t="s">
        <v>5410</v>
      </c>
      <c r="N21" s="32" t="s">
        <v>37</v>
      </c>
    </row>
    <row r="22" spans="1:14" s="32" customFormat="1" hidden="1" x14ac:dyDescent="0.3">
      <c r="A22" s="39">
        <v>46203.630740740744</v>
      </c>
      <c r="B22" s="32">
        <v>62991155122</v>
      </c>
      <c r="C22" s="32" t="s">
        <v>43</v>
      </c>
      <c r="D22" s="32">
        <v>4430265054</v>
      </c>
      <c r="E22" s="32">
        <v>1194</v>
      </c>
      <c r="F22" s="32">
        <v>1165</v>
      </c>
      <c r="G22" s="32" t="s">
        <v>38</v>
      </c>
      <c r="H22" s="32" t="s">
        <v>5434</v>
      </c>
      <c r="I22" s="32" t="s">
        <v>39</v>
      </c>
      <c r="J22" s="32" t="s">
        <v>40</v>
      </c>
      <c r="K22" s="32" t="s">
        <v>41</v>
      </c>
      <c r="M22" s="32" t="s">
        <v>5418</v>
      </c>
      <c r="N22" s="32" t="s">
        <v>43</v>
      </c>
    </row>
    <row r="23" spans="1:14" s="32" customFormat="1" hidden="1" x14ac:dyDescent="0.3">
      <c r="A23" s="39">
        <v>46203.629189814812</v>
      </c>
      <c r="B23" s="32">
        <v>44998039090</v>
      </c>
      <c r="C23" s="32">
        <v>4430265054</v>
      </c>
      <c r="D23" s="32">
        <v>4430265054</v>
      </c>
      <c r="E23" s="32">
        <v>144</v>
      </c>
      <c r="F23" s="32">
        <v>144</v>
      </c>
      <c r="G23" s="32" t="s">
        <v>52</v>
      </c>
      <c r="H23" s="32" t="s">
        <v>5435</v>
      </c>
      <c r="I23" s="32" t="s">
        <v>39</v>
      </c>
      <c r="J23" s="32" t="s">
        <v>53</v>
      </c>
      <c r="K23" s="32" t="s">
        <v>41</v>
      </c>
    </row>
    <row r="24" spans="1:14" s="32" customFormat="1" hidden="1" x14ac:dyDescent="0.3">
      <c r="A24" s="39">
        <v>46203.627129629633</v>
      </c>
      <c r="B24" s="32">
        <v>64984043469</v>
      </c>
      <c r="C24" s="32">
        <v>4430265054</v>
      </c>
      <c r="D24" s="32">
        <v>4430265054</v>
      </c>
      <c r="E24" s="32">
        <v>6</v>
      </c>
      <c r="F24" s="32">
        <v>5</v>
      </c>
      <c r="G24" s="32" t="s">
        <v>52</v>
      </c>
      <c r="H24" s="32" t="s">
        <v>5436</v>
      </c>
      <c r="I24" s="32" t="s">
        <v>39</v>
      </c>
      <c r="J24" s="32" t="s">
        <v>53</v>
      </c>
    </row>
    <row r="25" spans="1:14" s="32" customFormat="1" hidden="1" x14ac:dyDescent="0.3">
      <c r="A25" s="39">
        <v>46203.624328703707</v>
      </c>
      <c r="B25" s="32">
        <v>4432226677</v>
      </c>
      <c r="C25" s="32" t="s">
        <v>37</v>
      </c>
      <c r="D25" s="32">
        <v>4430265054</v>
      </c>
      <c r="E25" s="32">
        <v>527</v>
      </c>
      <c r="F25" s="32">
        <v>460</v>
      </c>
      <c r="G25" s="32" t="s">
        <v>38</v>
      </c>
      <c r="H25" s="32" t="s">
        <v>5437</v>
      </c>
      <c r="I25" s="32" t="s">
        <v>39</v>
      </c>
      <c r="J25" s="32" t="s">
        <v>40</v>
      </c>
      <c r="K25" s="32" t="s">
        <v>41</v>
      </c>
      <c r="L25" s="32">
        <v>5</v>
      </c>
      <c r="M25" s="32" t="s">
        <v>5410</v>
      </c>
      <c r="N25" s="32" t="s">
        <v>37</v>
      </c>
    </row>
    <row r="26" spans="1:14" s="32" customFormat="1" hidden="1" x14ac:dyDescent="0.3">
      <c r="A26" s="39">
        <v>46203.622997685183</v>
      </c>
      <c r="B26" s="32">
        <v>91985176746</v>
      </c>
      <c r="C26" s="32" t="s">
        <v>44</v>
      </c>
      <c r="D26" s="32">
        <v>4430265054</v>
      </c>
      <c r="E26" s="32">
        <v>364</v>
      </c>
      <c r="F26" s="32">
        <v>265</v>
      </c>
      <c r="G26" s="32" t="s">
        <v>38</v>
      </c>
      <c r="H26" s="32" t="s">
        <v>5438</v>
      </c>
      <c r="I26" s="32" t="s">
        <v>39</v>
      </c>
      <c r="J26" s="32" t="s">
        <v>40</v>
      </c>
      <c r="K26" s="32" t="s">
        <v>41</v>
      </c>
      <c r="M26" s="32" t="s">
        <v>5416</v>
      </c>
      <c r="N26" s="32" t="s">
        <v>44</v>
      </c>
    </row>
    <row r="27" spans="1:14" s="32" customFormat="1" hidden="1" x14ac:dyDescent="0.3">
      <c r="A27" s="39">
        <v>46203.615555555552</v>
      </c>
      <c r="B27" s="32" t="s">
        <v>56</v>
      </c>
      <c r="C27" s="32">
        <v>4436351414</v>
      </c>
      <c r="E27" s="32">
        <v>185</v>
      </c>
      <c r="F27" s="32">
        <v>174</v>
      </c>
      <c r="G27" s="32" t="s">
        <v>38</v>
      </c>
      <c r="H27" s="32" t="s">
        <v>5439</v>
      </c>
      <c r="I27" s="32" t="s">
        <v>46</v>
      </c>
      <c r="J27" s="32" t="s">
        <v>53</v>
      </c>
      <c r="M27" s="32" t="s">
        <v>5440</v>
      </c>
      <c r="N27" s="32" t="s">
        <v>56</v>
      </c>
    </row>
    <row r="28" spans="1:14" s="32" customFormat="1" hidden="1" x14ac:dyDescent="0.3">
      <c r="A28" s="39">
        <v>46203.615451388891</v>
      </c>
      <c r="B28" s="32" t="s">
        <v>56</v>
      </c>
      <c r="C28" s="32">
        <v>4436351414</v>
      </c>
      <c r="E28" s="32">
        <v>7</v>
      </c>
      <c r="F28" s="32">
        <v>6</v>
      </c>
      <c r="G28" s="32" t="s">
        <v>38</v>
      </c>
      <c r="H28" s="32" t="s">
        <v>5441</v>
      </c>
      <c r="I28" s="32" t="s">
        <v>46</v>
      </c>
      <c r="J28" s="32" t="s">
        <v>53</v>
      </c>
      <c r="M28" s="32" t="s">
        <v>5440</v>
      </c>
      <c r="N28" s="32" t="s">
        <v>56</v>
      </c>
    </row>
    <row r="29" spans="1:14" s="32" customFormat="1" hidden="1" x14ac:dyDescent="0.3">
      <c r="A29" s="39">
        <v>46203.61204861111</v>
      </c>
      <c r="B29" s="32" t="s">
        <v>37</v>
      </c>
      <c r="C29" s="32">
        <v>4430266744</v>
      </c>
      <c r="E29" s="32">
        <v>665</v>
      </c>
      <c r="F29" s="32">
        <v>656</v>
      </c>
      <c r="G29" s="32" t="s">
        <v>38</v>
      </c>
      <c r="H29" s="32" t="s">
        <v>5442</v>
      </c>
      <c r="I29" s="32" t="s">
        <v>46</v>
      </c>
      <c r="J29" s="32" t="s">
        <v>40</v>
      </c>
      <c r="L29" s="32">
        <v>5</v>
      </c>
      <c r="M29" s="32" t="s">
        <v>5410</v>
      </c>
      <c r="N29" s="32" t="s">
        <v>37</v>
      </c>
    </row>
    <row r="30" spans="1:14" s="32" customFormat="1" hidden="1" x14ac:dyDescent="0.3">
      <c r="A30" s="39">
        <v>46203.611956018518</v>
      </c>
      <c r="B30" s="32" t="s">
        <v>37</v>
      </c>
      <c r="C30" s="32">
        <v>4430266744</v>
      </c>
      <c r="E30" s="32">
        <v>14</v>
      </c>
      <c r="F30" s="32">
        <v>13</v>
      </c>
      <c r="G30" s="32" t="s">
        <v>38</v>
      </c>
      <c r="H30" s="32" t="s">
        <v>5443</v>
      </c>
      <c r="I30" s="32" t="s">
        <v>46</v>
      </c>
      <c r="J30" s="32" t="s">
        <v>40</v>
      </c>
      <c r="M30" s="32" t="s">
        <v>5410</v>
      </c>
      <c r="N30" s="32" t="s">
        <v>37</v>
      </c>
    </row>
    <row r="31" spans="1:14" s="32" customFormat="1" hidden="1" x14ac:dyDescent="0.3">
      <c r="A31" s="39">
        <v>46203.611400462964</v>
      </c>
      <c r="B31" s="32">
        <v>4430315826</v>
      </c>
      <c r="C31" s="32" t="s">
        <v>48</v>
      </c>
      <c r="D31" s="32">
        <v>4430265054</v>
      </c>
      <c r="E31" s="32">
        <v>682</v>
      </c>
      <c r="F31" s="32">
        <v>682</v>
      </c>
      <c r="G31" s="32" t="s">
        <v>38</v>
      </c>
      <c r="H31" s="32" t="s">
        <v>5444</v>
      </c>
      <c r="I31" s="32" t="s">
        <v>39</v>
      </c>
      <c r="J31" s="32" t="s">
        <v>40</v>
      </c>
      <c r="K31" s="32" t="s">
        <v>41</v>
      </c>
      <c r="L31" s="32">
        <v>5</v>
      </c>
      <c r="M31" s="32" t="s">
        <v>5412</v>
      </c>
      <c r="N31" s="32" t="s">
        <v>48</v>
      </c>
    </row>
    <row r="32" spans="1:14" s="32" customFormat="1" hidden="1" x14ac:dyDescent="0.3">
      <c r="A32" s="39">
        <v>46203.609884259262</v>
      </c>
      <c r="B32" s="32">
        <v>62991155122</v>
      </c>
      <c r="C32" s="32" t="s">
        <v>44</v>
      </c>
      <c r="D32" s="32">
        <v>4430265054</v>
      </c>
      <c r="E32" s="32">
        <v>218</v>
      </c>
      <c r="F32" s="32">
        <v>156</v>
      </c>
      <c r="G32" s="32" t="s">
        <v>38</v>
      </c>
      <c r="H32" s="32" t="s">
        <v>5445</v>
      </c>
      <c r="I32" s="32" t="s">
        <v>39</v>
      </c>
      <c r="J32" s="32" t="s">
        <v>40</v>
      </c>
      <c r="K32" s="32" t="s">
        <v>41</v>
      </c>
      <c r="M32" s="32" t="s">
        <v>5416</v>
      </c>
      <c r="N32" s="32" t="s">
        <v>44</v>
      </c>
    </row>
    <row r="33" spans="1:14" s="32" customFormat="1" hidden="1" x14ac:dyDescent="0.3">
      <c r="A33" s="39">
        <v>46203.609444444446</v>
      </c>
      <c r="B33" s="32">
        <v>43988030048</v>
      </c>
      <c r="C33" s="32" t="s">
        <v>45</v>
      </c>
      <c r="D33" s="32">
        <v>4430265054</v>
      </c>
      <c r="E33" s="32">
        <v>1413</v>
      </c>
      <c r="F33" s="32">
        <v>1347</v>
      </c>
      <c r="G33" s="32" t="s">
        <v>38</v>
      </c>
      <c r="H33" s="32" t="s">
        <v>5446</v>
      </c>
      <c r="I33" s="32" t="s">
        <v>39</v>
      </c>
      <c r="J33" s="32" t="s">
        <v>40</v>
      </c>
      <c r="K33" s="32" t="s">
        <v>41</v>
      </c>
      <c r="M33" s="32" t="s">
        <v>5421</v>
      </c>
      <c r="N33" s="32" t="s">
        <v>45</v>
      </c>
    </row>
    <row r="34" spans="1:14" s="32" customFormat="1" hidden="1" x14ac:dyDescent="0.3">
      <c r="A34" s="39">
        <v>46203.607800925929</v>
      </c>
      <c r="B34" s="32">
        <v>62994086124</v>
      </c>
      <c r="C34" s="32" t="s">
        <v>43</v>
      </c>
      <c r="D34" s="32">
        <v>4430265054</v>
      </c>
      <c r="E34" s="32">
        <v>1277</v>
      </c>
      <c r="F34" s="32">
        <v>1094</v>
      </c>
      <c r="G34" s="32" t="s">
        <v>38</v>
      </c>
      <c r="H34" s="32" t="s">
        <v>5447</v>
      </c>
      <c r="I34" s="32" t="s">
        <v>39</v>
      </c>
      <c r="J34" s="32" t="s">
        <v>40</v>
      </c>
      <c r="K34" s="32" t="s">
        <v>41</v>
      </c>
      <c r="L34" s="32">
        <v>5</v>
      </c>
      <c r="M34" s="32" t="s">
        <v>5418</v>
      </c>
      <c r="N34" s="32" t="s">
        <v>43</v>
      </c>
    </row>
    <row r="35" spans="1:14" s="32" customFormat="1" hidden="1" x14ac:dyDescent="0.3">
      <c r="A35" s="39">
        <v>46203.606851851851</v>
      </c>
      <c r="B35" s="32">
        <v>62994086124</v>
      </c>
      <c r="C35" s="32">
        <v>4430265054</v>
      </c>
      <c r="D35" s="32">
        <v>4430265054</v>
      </c>
      <c r="E35" s="32">
        <v>33</v>
      </c>
      <c r="F35" s="32">
        <v>32</v>
      </c>
      <c r="G35" s="32" t="s">
        <v>52</v>
      </c>
      <c r="H35" s="32" t="s">
        <v>5448</v>
      </c>
      <c r="I35" s="32" t="s">
        <v>39</v>
      </c>
      <c r="J35" s="32" t="s">
        <v>53</v>
      </c>
      <c r="K35" s="32" t="s">
        <v>41</v>
      </c>
    </row>
    <row r="36" spans="1:14" s="32" customFormat="1" hidden="1" x14ac:dyDescent="0.3">
      <c r="A36" s="39">
        <v>46203.599270833336</v>
      </c>
      <c r="B36" s="32">
        <v>11947305571</v>
      </c>
      <c r="C36" s="32" t="s">
        <v>48</v>
      </c>
      <c r="D36" s="32">
        <v>4430265054</v>
      </c>
      <c r="E36" s="32">
        <v>489</v>
      </c>
      <c r="F36" s="32">
        <v>325</v>
      </c>
      <c r="G36" s="32" t="s">
        <v>38</v>
      </c>
      <c r="H36" s="32" t="s">
        <v>5449</v>
      </c>
      <c r="I36" s="32" t="s">
        <v>39</v>
      </c>
      <c r="J36" s="32" t="s">
        <v>40</v>
      </c>
      <c r="K36" s="32" t="s">
        <v>41</v>
      </c>
      <c r="M36" s="32" t="s">
        <v>5412</v>
      </c>
      <c r="N36" s="32" t="s">
        <v>48</v>
      </c>
    </row>
    <row r="37" spans="1:14" s="32" customFormat="1" hidden="1" x14ac:dyDescent="0.3">
      <c r="A37" s="39">
        <v>46203.59920138889</v>
      </c>
      <c r="B37" s="32">
        <v>4430266744</v>
      </c>
      <c r="C37" s="32" t="s">
        <v>37</v>
      </c>
      <c r="D37" s="32">
        <v>4430265054</v>
      </c>
      <c r="E37" s="32">
        <v>532</v>
      </c>
      <c r="F37" s="32">
        <v>363</v>
      </c>
      <c r="G37" s="32" t="s">
        <v>38</v>
      </c>
      <c r="H37" s="32" t="s">
        <v>5450</v>
      </c>
      <c r="I37" s="32" t="s">
        <v>39</v>
      </c>
      <c r="J37" s="32" t="s">
        <v>40</v>
      </c>
      <c r="K37" s="32" t="s">
        <v>41</v>
      </c>
      <c r="M37" s="32" t="s">
        <v>5410</v>
      </c>
      <c r="N37" s="32" t="s">
        <v>37</v>
      </c>
    </row>
    <row r="38" spans="1:14" s="32" customFormat="1" hidden="1" x14ac:dyDescent="0.3">
      <c r="A38" s="39">
        <v>46203.594456018516</v>
      </c>
      <c r="B38" s="32">
        <v>11966416756</v>
      </c>
      <c r="C38" s="32" t="s">
        <v>44</v>
      </c>
      <c r="D38" s="32">
        <v>4431268225</v>
      </c>
      <c r="E38" s="32">
        <v>202</v>
      </c>
      <c r="F38" s="32">
        <v>161</v>
      </c>
      <c r="G38" s="32" t="s">
        <v>38</v>
      </c>
      <c r="H38" s="32" t="s">
        <v>5451</v>
      </c>
      <c r="I38" s="32" t="s">
        <v>39</v>
      </c>
      <c r="J38" s="32" t="s">
        <v>40</v>
      </c>
      <c r="K38" s="32" t="s">
        <v>41</v>
      </c>
      <c r="M38" s="32" t="s">
        <v>5416</v>
      </c>
      <c r="N38" s="32" t="s">
        <v>44</v>
      </c>
    </row>
    <row r="39" spans="1:14" s="32" customFormat="1" hidden="1" x14ac:dyDescent="0.3">
      <c r="A39" s="39">
        <v>46203.585509259261</v>
      </c>
      <c r="B39" s="32">
        <v>4430317020</v>
      </c>
      <c r="C39" s="32" t="s">
        <v>45</v>
      </c>
      <c r="D39" s="32">
        <v>4430265054</v>
      </c>
      <c r="E39" s="32">
        <v>1516</v>
      </c>
      <c r="F39" s="32">
        <v>1435</v>
      </c>
      <c r="G39" s="32" t="s">
        <v>38</v>
      </c>
      <c r="H39" s="32" t="s">
        <v>5452</v>
      </c>
      <c r="I39" s="32" t="s">
        <v>39</v>
      </c>
      <c r="J39" s="32" t="s">
        <v>40</v>
      </c>
      <c r="K39" s="32" t="s">
        <v>41</v>
      </c>
      <c r="M39" s="32" t="s">
        <v>5421</v>
      </c>
      <c r="N39" s="32" t="s">
        <v>45</v>
      </c>
    </row>
    <row r="40" spans="1:14" s="32" customFormat="1" hidden="1" x14ac:dyDescent="0.3">
      <c r="A40" s="39">
        <v>46203.583541666667</v>
      </c>
      <c r="B40" s="32">
        <v>44991668902</v>
      </c>
      <c r="C40" s="32" t="s">
        <v>44</v>
      </c>
      <c r="D40" s="32">
        <v>4430265054</v>
      </c>
      <c r="E40" s="32">
        <v>218</v>
      </c>
      <c r="F40" s="32">
        <v>156</v>
      </c>
      <c r="G40" s="32" t="s">
        <v>38</v>
      </c>
      <c r="H40" s="32" t="s">
        <v>5453</v>
      </c>
      <c r="I40" s="32" t="s">
        <v>39</v>
      </c>
      <c r="J40" s="32" t="s">
        <v>40</v>
      </c>
      <c r="K40" s="32" t="s">
        <v>41</v>
      </c>
      <c r="M40" s="32" t="s">
        <v>5416</v>
      </c>
      <c r="N40" s="32" t="s">
        <v>44</v>
      </c>
    </row>
    <row r="41" spans="1:14" s="32" customFormat="1" hidden="1" x14ac:dyDescent="0.3">
      <c r="A41" s="39">
        <v>46203.579421296294</v>
      </c>
      <c r="B41" s="32">
        <v>1131515685</v>
      </c>
      <c r="C41" s="32" t="s">
        <v>37</v>
      </c>
      <c r="D41" s="32">
        <v>4430265054</v>
      </c>
      <c r="E41" s="32">
        <v>1476</v>
      </c>
      <c r="F41" s="32">
        <v>1358</v>
      </c>
      <c r="G41" s="32" t="s">
        <v>38</v>
      </c>
      <c r="H41" s="32" t="s">
        <v>5454</v>
      </c>
      <c r="I41" s="32" t="s">
        <v>39</v>
      </c>
      <c r="J41" s="32" t="s">
        <v>40</v>
      </c>
      <c r="K41" s="32" t="s">
        <v>41</v>
      </c>
      <c r="L41" s="32">
        <v>5</v>
      </c>
      <c r="M41" s="32" t="s">
        <v>5410</v>
      </c>
      <c r="N41" s="32" t="s">
        <v>37</v>
      </c>
    </row>
    <row r="42" spans="1:14" s="32" customFormat="1" hidden="1" x14ac:dyDescent="0.3">
      <c r="A42" s="39">
        <v>46203.570659722223</v>
      </c>
      <c r="B42" s="32" t="s">
        <v>57</v>
      </c>
      <c r="C42" s="32">
        <v>62986209420</v>
      </c>
      <c r="E42" s="32">
        <v>42</v>
      </c>
      <c r="F42" s="32">
        <v>1</v>
      </c>
      <c r="G42" s="32" t="s">
        <v>38</v>
      </c>
      <c r="H42" s="32" t="s">
        <v>5455</v>
      </c>
      <c r="I42" s="32" t="s">
        <v>46</v>
      </c>
      <c r="J42" s="32" t="s">
        <v>55</v>
      </c>
      <c r="M42" s="32" t="s">
        <v>5456</v>
      </c>
      <c r="N42" s="32" t="s">
        <v>57</v>
      </c>
    </row>
    <row r="43" spans="1:14" s="32" customFormat="1" hidden="1" x14ac:dyDescent="0.3">
      <c r="A43" s="39">
        <v>46203.567523148151</v>
      </c>
      <c r="B43" s="32">
        <v>4433543396</v>
      </c>
      <c r="C43" s="32" t="s">
        <v>43</v>
      </c>
      <c r="D43" s="32">
        <v>4430265054</v>
      </c>
      <c r="E43" s="32">
        <v>244</v>
      </c>
      <c r="F43" s="32">
        <v>221</v>
      </c>
      <c r="G43" s="32" t="s">
        <v>38</v>
      </c>
      <c r="H43" s="32" t="s">
        <v>5457</v>
      </c>
      <c r="I43" s="32" t="s">
        <v>39</v>
      </c>
      <c r="J43" s="32" t="s">
        <v>40</v>
      </c>
      <c r="K43" s="32" t="s">
        <v>41</v>
      </c>
      <c r="M43" s="32" t="s">
        <v>5418</v>
      </c>
      <c r="N43" s="32" t="s">
        <v>43</v>
      </c>
    </row>
    <row r="44" spans="1:14" s="32" customFormat="1" hidden="1" x14ac:dyDescent="0.3">
      <c r="A44" s="39">
        <v>46203.56658564815</v>
      </c>
      <c r="B44" s="32">
        <v>11990144272</v>
      </c>
      <c r="C44" s="32" t="s">
        <v>37</v>
      </c>
      <c r="D44" s="32">
        <v>4431268225</v>
      </c>
      <c r="E44" s="32">
        <v>344</v>
      </c>
      <c r="F44" s="32">
        <v>291</v>
      </c>
      <c r="G44" s="32" t="s">
        <v>38</v>
      </c>
      <c r="H44" s="32" t="s">
        <v>5458</v>
      </c>
      <c r="I44" s="32" t="s">
        <v>39</v>
      </c>
      <c r="J44" s="32" t="s">
        <v>40</v>
      </c>
      <c r="K44" s="32" t="s">
        <v>41</v>
      </c>
      <c r="M44" s="32" t="s">
        <v>5410</v>
      </c>
      <c r="N44" s="32" t="s">
        <v>37</v>
      </c>
    </row>
    <row r="45" spans="1:14" s="32" customFormat="1" hidden="1" x14ac:dyDescent="0.3">
      <c r="A45" s="39">
        <v>46203.565972222219</v>
      </c>
      <c r="B45" s="32">
        <v>11990144272</v>
      </c>
      <c r="C45" s="32">
        <v>4431268225</v>
      </c>
      <c r="D45" s="32">
        <v>4431268225</v>
      </c>
      <c r="E45" s="32">
        <v>40</v>
      </c>
      <c r="F45" s="32">
        <v>40</v>
      </c>
      <c r="G45" s="32" t="s">
        <v>52</v>
      </c>
      <c r="H45" s="32" t="s">
        <v>5459</v>
      </c>
      <c r="I45" s="32" t="s">
        <v>39</v>
      </c>
      <c r="J45" s="32" t="s">
        <v>53</v>
      </c>
      <c r="K45" s="32" t="s">
        <v>41</v>
      </c>
    </row>
    <row r="46" spans="1:14" s="32" customFormat="1" hidden="1" x14ac:dyDescent="0.3">
      <c r="A46" s="39">
        <v>46203.564201388886</v>
      </c>
      <c r="B46" s="32">
        <v>11966416756</v>
      </c>
      <c r="C46" s="32" t="s">
        <v>45</v>
      </c>
      <c r="D46" s="32">
        <v>4431268225</v>
      </c>
      <c r="E46" s="32">
        <v>1139</v>
      </c>
      <c r="F46" s="32">
        <v>1080</v>
      </c>
      <c r="G46" s="32" t="s">
        <v>38</v>
      </c>
      <c r="H46" s="32" t="s">
        <v>5460</v>
      </c>
      <c r="I46" s="32" t="s">
        <v>39</v>
      </c>
      <c r="J46" s="32" t="s">
        <v>40</v>
      </c>
      <c r="K46" s="32" t="s">
        <v>41</v>
      </c>
      <c r="M46" s="32" t="s">
        <v>5421</v>
      </c>
      <c r="N46" s="32" t="s">
        <v>45</v>
      </c>
    </row>
    <row r="47" spans="1:14" s="32" customFormat="1" hidden="1" x14ac:dyDescent="0.3">
      <c r="A47" s="39">
        <v>46203.484166666669</v>
      </c>
      <c r="B47" s="32">
        <v>44991798896</v>
      </c>
      <c r="C47" s="32">
        <v>4430265054</v>
      </c>
      <c r="D47" s="32">
        <v>4430265054</v>
      </c>
      <c r="E47" s="32">
        <v>112</v>
      </c>
      <c r="F47" s="32">
        <v>111</v>
      </c>
      <c r="G47" s="32" t="s">
        <v>52</v>
      </c>
      <c r="H47" s="32" t="s">
        <v>5461</v>
      </c>
      <c r="I47" s="32" t="s">
        <v>39</v>
      </c>
      <c r="J47" s="32" t="s">
        <v>53</v>
      </c>
      <c r="K47" s="32" t="s">
        <v>41</v>
      </c>
    </row>
    <row r="48" spans="1:14" s="32" customFormat="1" hidden="1" x14ac:dyDescent="0.3">
      <c r="A48" s="39">
        <v>46203.483761574076</v>
      </c>
      <c r="B48" s="32">
        <v>41999717893</v>
      </c>
      <c r="C48" s="32" t="s">
        <v>37</v>
      </c>
      <c r="D48" s="32">
        <v>4430265054</v>
      </c>
      <c r="E48" s="32">
        <v>1279</v>
      </c>
      <c r="F48" s="32">
        <v>1154</v>
      </c>
      <c r="G48" s="32" t="s">
        <v>38</v>
      </c>
      <c r="H48" s="32" t="s">
        <v>5462</v>
      </c>
      <c r="I48" s="32" t="s">
        <v>39</v>
      </c>
      <c r="J48" s="32" t="s">
        <v>40</v>
      </c>
      <c r="K48" s="32" t="s">
        <v>41</v>
      </c>
      <c r="L48" s="32">
        <v>5</v>
      </c>
      <c r="M48" s="32" t="s">
        <v>5410</v>
      </c>
      <c r="N48" s="32" t="s">
        <v>37</v>
      </c>
    </row>
    <row r="49" spans="1:14" s="32" customFormat="1" hidden="1" x14ac:dyDescent="0.3">
      <c r="A49" s="39">
        <v>46203.480706018519</v>
      </c>
      <c r="B49" s="32">
        <v>62981535978</v>
      </c>
      <c r="C49" s="32" t="s">
        <v>45</v>
      </c>
      <c r="D49" s="32">
        <v>4430265054</v>
      </c>
      <c r="E49" s="32">
        <v>602</v>
      </c>
      <c r="F49" s="32">
        <v>566</v>
      </c>
      <c r="G49" s="32" t="s">
        <v>38</v>
      </c>
      <c r="H49" s="32" t="s">
        <v>5463</v>
      </c>
      <c r="I49" s="32" t="s">
        <v>39</v>
      </c>
      <c r="J49" s="32" t="s">
        <v>40</v>
      </c>
      <c r="K49" s="32" t="s">
        <v>41</v>
      </c>
      <c r="L49" s="32">
        <v>5</v>
      </c>
      <c r="M49" s="32" t="s">
        <v>5421</v>
      </c>
      <c r="N49" s="32" t="s">
        <v>45</v>
      </c>
    </row>
    <row r="50" spans="1:14" s="32" customFormat="1" hidden="1" x14ac:dyDescent="0.3">
      <c r="A50" s="39">
        <v>46203.47928240741</v>
      </c>
      <c r="B50" s="32">
        <v>62981535978</v>
      </c>
      <c r="C50" s="32" t="s">
        <v>45</v>
      </c>
      <c r="D50" s="32">
        <v>4430265054</v>
      </c>
      <c r="E50" s="32">
        <v>114</v>
      </c>
      <c r="F50" s="32">
        <v>81</v>
      </c>
      <c r="G50" s="32" t="s">
        <v>38</v>
      </c>
      <c r="H50" s="32" t="s">
        <v>5464</v>
      </c>
      <c r="I50" s="32" t="s">
        <v>39</v>
      </c>
      <c r="J50" s="32" t="s">
        <v>40</v>
      </c>
      <c r="K50" s="32" t="s">
        <v>41</v>
      </c>
      <c r="M50" s="32" t="s">
        <v>5421</v>
      </c>
      <c r="N50" s="32" t="s">
        <v>45</v>
      </c>
    </row>
    <row r="51" spans="1:14" s="32" customFormat="1" hidden="1" x14ac:dyDescent="0.3">
      <c r="A51" s="39">
        <v>46203.478495370371</v>
      </c>
      <c r="B51" s="32">
        <v>44991798896</v>
      </c>
      <c r="C51" s="32" t="s">
        <v>43</v>
      </c>
      <c r="D51" s="32">
        <v>4430265054</v>
      </c>
      <c r="E51" s="32">
        <v>463</v>
      </c>
      <c r="F51" s="32">
        <v>441</v>
      </c>
      <c r="G51" s="32" t="s">
        <v>38</v>
      </c>
      <c r="H51" s="32" t="s">
        <v>5465</v>
      </c>
      <c r="I51" s="32" t="s">
        <v>39</v>
      </c>
      <c r="J51" s="32" t="s">
        <v>40</v>
      </c>
      <c r="K51" s="32" t="s">
        <v>41</v>
      </c>
      <c r="M51" s="32" t="s">
        <v>5418</v>
      </c>
      <c r="N51" s="32" t="s">
        <v>43</v>
      </c>
    </row>
    <row r="52" spans="1:14" s="32" customFormat="1" hidden="1" x14ac:dyDescent="0.3">
      <c r="A52" s="39">
        <v>46203.477210648147</v>
      </c>
      <c r="B52" s="32" t="s">
        <v>45</v>
      </c>
      <c r="C52" s="32">
        <v>62981535978</v>
      </c>
      <c r="E52" s="32">
        <v>35</v>
      </c>
      <c r="F52" s="32">
        <v>19</v>
      </c>
      <c r="G52" s="32" t="s">
        <v>38</v>
      </c>
      <c r="H52" s="32" t="s">
        <v>5466</v>
      </c>
      <c r="I52" s="32" t="s">
        <v>46</v>
      </c>
      <c r="J52" s="32" t="s">
        <v>40</v>
      </c>
      <c r="M52" s="32" t="s">
        <v>5421</v>
      </c>
      <c r="N52" s="32" t="s">
        <v>45</v>
      </c>
    </row>
    <row r="53" spans="1:14" s="32" customFormat="1" hidden="1" x14ac:dyDescent="0.3">
      <c r="A53" s="39">
        <v>46203.468530092592</v>
      </c>
      <c r="B53" s="32">
        <v>44997401512</v>
      </c>
      <c r="C53" s="32">
        <v>3000</v>
      </c>
      <c r="D53" s="32">
        <v>4430265054</v>
      </c>
      <c r="E53" s="32">
        <v>473</v>
      </c>
      <c r="F53" s="32">
        <v>450</v>
      </c>
      <c r="G53" s="32" t="s">
        <v>38</v>
      </c>
      <c r="H53" s="32" t="s">
        <v>5467</v>
      </c>
      <c r="I53" s="32" t="s">
        <v>39</v>
      </c>
      <c r="J53" s="32" t="s">
        <v>53</v>
      </c>
      <c r="K53" s="32" t="s">
        <v>41</v>
      </c>
    </row>
    <row r="54" spans="1:14" s="32" customFormat="1" hidden="1" x14ac:dyDescent="0.3">
      <c r="A54" s="39">
        <v>46203.458703703705</v>
      </c>
      <c r="B54" s="32">
        <v>44991396687</v>
      </c>
      <c r="C54" s="32" t="s">
        <v>44</v>
      </c>
      <c r="D54" s="32">
        <v>4430265054</v>
      </c>
      <c r="E54" s="32">
        <v>555</v>
      </c>
      <c r="F54" s="32">
        <v>499</v>
      </c>
      <c r="G54" s="32" t="s">
        <v>38</v>
      </c>
      <c r="H54" s="32" t="s">
        <v>5468</v>
      </c>
      <c r="I54" s="32" t="s">
        <v>39</v>
      </c>
      <c r="J54" s="32" t="s">
        <v>40</v>
      </c>
      <c r="K54" s="32" t="s">
        <v>41</v>
      </c>
      <c r="M54" s="32" t="s">
        <v>5416</v>
      </c>
      <c r="N54" s="32" t="s">
        <v>44</v>
      </c>
    </row>
    <row r="55" spans="1:14" s="32" customFormat="1" hidden="1" x14ac:dyDescent="0.3">
      <c r="A55" s="39">
        <v>46203.458148148151</v>
      </c>
      <c r="B55" s="32">
        <v>4334234629</v>
      </c>
      <c r="C55" s="32" t="s">
        <v>37</v>
      </c>
      <c r="D55" s="32">
        <v>4430265054</v>
      </c>
      <c r="E55" s="32">
        <v>288</v>
      </c>
      <c r="F55" s="32">
        <v>230</v>
      </c>
      <c r="G55" s="32" t="s">
        <v>38</v>
      </c>
      <c r="H55" s="32" t="s">
        <v>5469</v>
      </c>
      <c r="I55" s="32" t="s">
        <v>39</v>
      </c>
      <c r="J55" s="32" t="s">
        <v>40</v>
      </c>
      <c r="K55" s="32" t="s">
        <v>41</v>
      </c>
      <c r="M55" s="32" t="s">
        <v>5410</v>
      </c>
      <c r="N55" s="32" t="s">
        <v>37</v>
      </c>
    </row>
    <row r="56" spans="1:14" s="32" customFormat="1" hidden="1" x14ac:dyDescent="0.3">
      <c r="A56" s="39">
        <v>46203.457673611112</v>
      </c>
      <c r="B56" s="32">
        <v>4430188650</v>
      </c>
      <c r="C56" s="32" t="s">
        <v>45</v>
      </c>
      <c r="D56" s="32">
        <v>4430265054</v>
      </c>
      <c r="E56" s="32">
        <v>498</v>
      </c>
      <c r="F56" s="32">
        <v>412</v>
      </c>
      <c r="G56" s="32" t="s">
        <v>38</v>
      </c>
      <c r="H56" s="32" t="s">
        <v>5470</v>
      </c>
      <c r="I56" s="32" t="s">
        <v>39</v>
      </c>
      <c r="J56" s="32" t="s">
        <v>40</v>
      </c>
      <c r="K56" s="32" t="s">
        <v>41</v>
      </c>
      <c r="M56" s="32" t="s">
        <v>5421</v>
      </c>
      <c r="N56" s="32" t="s">
        <v>45</v>
      </c>
    </row>
    <row r="57" spans="1:14" s="32" customFormat="1" hidden="1" x14ac:dyDescent="0.3">
      <c r="A57" s="39">
        <v>46203.457557870373</v>
      </c>
      <c r="B57" s="32">
        <v>4430451163</v>
      </c>
      <c r="C57" s="32" t="s">
        <v>43</v>
      </c>
      <c r="D57" s="32">
        <v>4430265054</v>
      </c>
      <c r="E57" s="32">
        <v>599</v>
      </c>
      <c r="F57" s="32">
        <v>529</v>
      </c>
      <c r="G57" s="32" t="s">
        <v>38</v>
      </c>
      <c r="H57" s="32" t="s">
        <v>5471</v>
      </c>
      <c r="I57" s="32" t="s">
        <v>39</v>
      </c>
      <c r="J57" s="32" t="s">
        <v>40</v>
      </c>
      <c r="K57" s="32" t="s">
        <v>41</v>
      </c>
      <c r="M57" s="32" t="s">
        <v>5418</v>
      </c>
      <c r="N57" s="32" t="s">
        <v>43</v>
      </c>
    </row>
    <row r="58" spans="1:14" s="32" customFormat="1" hidden="1" x14ac:dyDescent="0.3">
      <c r="A58" s="39">
        <v>46203.45449074074</v>
      </c>
      <c r="B58" s="32">
        <v>44999654761</v>
      </c>
      <c r="C58" s="32" t="s">
        <v>48</v>
      </c>
      <c r="D58" s="32">
        <v>4430265054</v>
      </c>
      <c r="E58" s="32">
        <v>1265</v>
      </c>
      <c r="F58" s="32">
        <v>1203</v>
      </c>
      <c r="G58" s="32" t="s">
        <v>38</v>
      </c>
      <c r="H58" s="32" t="s">
        <v>5472</v>
      </c>
      <c r="I58" s="32" t="s">
        <v>39</v>
      </c>
      <c r="J58" s="32" t="s">
        <v>40</v>
      </c>
      <c r="K58" s="32" t="s">
        <v>41</v>
      </c>
      <c r="M58" s="32" t="s">
        <v>5412</v>
      </c>
      <c r="N58" s="32" t="s">
        <v>48</v>
      </c>
    </row>
    <row r="59" spans="1:14" s="32" customFormat="1" hidden="1" x14ac:dyDescent="0.3">
      <c r="A59" s="39">
        <v>46203.449571759258</v>
      </c>
      <c r="B59" s="32">
        <v>4436351835</v>
      </c>
      <c r="C59" s="32" t="s">
        <v>44</v>
      </c>
      <c r="D59" s="32">
        <v>4430265054</v>
      </c>
      <c r="E59" s="32">
        <v>413</v>
      </c>
      <c r="F59" s="32">
        <v>251</v>
      </c>
      <c r="G59" s="32" t="s">
        <v>38</v>
      </c>
      <c r="H59" s="32" t="s">
        <v>5473</v>
      </c>
      <c r="I59" s="32" t="s">
        <v>39</v>
      </c>
      <c r="J59" s="32" t="s">
        <v>40</v>
      </c>
      <c r="K59" s="32" t="s">
        <v>41</v>
      </c>
      <c r="M59" s="32" t="s">
        <v>5416</v>
      </c>
      <c r="N59" s="32" t="s">
        <v>44</v>
      </c>
    </row>
    <row r="60" spans="1:14" s="32" customFormat="1" hidden="1" x14ac:dyDescent="0.3">
      <c r="A60" s="39">
        <v>46203.447534722225</v>
      </c>
      <c r="B60" s="32">
        <v>62994086124</v>
      </c>
      <c r="C60" s="32" t="s">
        <v>37</v>
      </c>
      <c r="D60" s="32">
        <v>4430265054</v>
      </c>
      <c r="E60" s="32">
        <v>765</v>
      </c>
      <c r="F60" s="32">
        <v>674</v>
      </c>
      <c r="G60" s="32" t="s">
        <v>38</v>
      </c>
      <c r="H60" s="32" t="s">
        <v>5474</v>
      </c>
      <c r="I60" s="32" t="s">
        <v>39</v>
      </c>
      <c r="J60" s="32" t="s">
        <v>40</v>
      </c>
      <c r="K60" s="32" t="s">
        <v>41</v>
      </c>
      <c r="L60" s="32">
        <v>5</v>
      </c>
      <c r="M60" s="32" t="s">
        <v>5410</v>
      </c>
      <c r="N60" s="32" t="s">
        <v>37</v>
      </c>
    </row>
    <row r="61" spans="1:14" s="32" customFormat="1" hidden="1" x14ac:dyDescent="0.3">
      <c r="A61" s="39">
        <v>46203.445104166669</v>
      </c>
      <c r="B61" s="32">
        <v>4436351835</v>
      </c>
      <c r="C61" s="32">
        <v>4430265054</v>
      </c>
      <c r="D61" s="32">
        <v>4430265054</v>
      </c>
      <c r="E61" s="32">
        <v>42</v>
      </c>
      <c r="F61" s="32">
        <v>41</v>
      </c>
      <c r="G61" s="32" t="s">
        <v>52</v>
      </c>
      <c r="H61" s="32" t="s">
        <v>5475</v>
      </c>
      <c r="I61" s="32" t="s">
        <v>39</v>
      </c>
      <c r="J61" s="32" t="s">
        <v>53</v>
      </c>
      <c r="K61" s="32" t="s">
        <v>41</v>
      </c>
    </row>
    <row r="62" spans="1:14" s="32" customFormat="1" hidden="1" x14ac:dyDescent="0.3">
      <c r="A62" s="39">
        <v>46203.441180555557</v>
      </c>
      <c r="B62" s="32">
        <v>44998721566</v>
      </c>
      <c r="C62" s="32" t="s">
        <v>44</v>
      </c>
      <c r="D62" s="32">
        <v>4430265054</v>
      </c>
      <c r="E62" s="32">
        <v>327</v>
      </c>
      <c r="F62" s="32">
        <v>227</v>
      </c>
      <c r="G62" s="32" t="s">
        <v>38</v>
      </c>
      <c r="H62" s="32" t="s">
        <v>5476</v>
      </c>
      <c r="I62" s="32" t="s">
        <v>39</v>
      </c>
      <c r="J62" s="32" t="s">
        <v>40</v>
      </c>
      <c r="K62" s="32" t="s">
        <v>41</v>
      </c>
      <c r="M62" s="32" t="s">
        <v>5416</v>
      </c>
      <c r="N62" s="32" t="s">
        <v>44</v>
      </c>
    </row>
    <row r="63" spans="1:14" s="32" customFormat="1" hidden="1" x14ac:dyDescent="0.3">
      <c r="A63" s="39">
        <v>46203.44054398148</v>
      </c>
      <c r="B63" s="32">
        <v>64984043469</v>
      </c>
      <c r="C63" s="32">
        <v>4430265054</v>
      </c>
      <c r="D63" s="32">
        <v>4430265054</v>
      </c>
      <c r="E63" s="32">
        <v>12</v>
      </c>
      <c r="F63" s="32">
        <v>11</v>
      </c>
      <c r="G63" s="32" t="s">
        <v>52</v>
      </c>
      <c r="H63" s="32" t="s">
        <v>5477</v>
      </c>
      <c r="I63" s="32" t="s">
        <v>39</v>
      </c>
      <c r="J63" s="32" t="s">
        <v>53</v>
      </c>
    </row>
    <row r="64" spans="1:14" s="32" customFormat="1" hidden="1" x14ac:dyDescent="0.3">
      <c r="A64" s="39">
        <v>46203.434189814812</v>
      </c>
      <c r="B64" s="32" t="s">
        <v>57</v>
      </c>
      <c r="C64" s="32">
        <v>44999493534</v>
      </c>
      <c r="E64" s="32">
        <v>579</v>
      </c>
      <c r="F64" s="32">
        <v>564</v>
      </c>
      <c r="G64" s="32" t="s">
        <v>38</v>
      </c>
      <c r="H64" s="32" t="s">
        <v>5478</v>
      </c>
      <c r="I64" s="32" t="s">
        <v>46</v>
      </c>
      <c r="J64" s="32" t="s">
        <v>55</v>
      </c>
      <c r="M64" s="32" t="s">
        <v>5456</v>
      </c>
      <c r="N64" s="32" t="s">
        <v>57</v>
      </c>
    </row>
    <row r="65" spans="1:14" s="32" customFormat="1" hidden="1" x14ac:dyDescent="0.3">
      <c r="A65" s="39">
        <v>46203.429710648146</v>
      </c>
      <c r="B65" s="32">
        <v>62981535978</v>
      </c>
      <c r="C65" s="32" t="s">
        <v>45</v>
      </c>
      <c r="D65" s="32">
        <v>4430265054</v>
      </c>
      <c r="E65" s="32">
        <v>1538</v>
      </c>
      <c r="F65" s="32">
        <v>1482</v>
      </c>
      <c r="G65" s="32" t="s">
        <v>38</v>
      </c>
      <c r="H65" s="32" t="s">
        <v>5479</v>
      </c>
      <c r="I65" s="32" t="s">
        <v>39</v>
      </c>
      <c r="J65" s="32" t="s">
        <v>40</v>
      </c>
      <c r="K65" s="32" t="s">
        <v>41</v>
      </c>
      <c r="M65" s="32" t="s">
        <v>5421</v>
      </c>
      <c r="N65" s="32" t="s">
        <v>45</v>
      </c>
    </row>
    <row r="66" spans="1:14" s="32" customFormat="1" hidden="1" x14ac:dyDescent="0.3">
      <c r="A66" s="39">
        <v>46203.422094907408</v>
      </c>
      <c r="B66" s="32">
        <v>4430403880</v>
      </c>
      <c r="C66" s="32" t="s">
        <v>44</v>
      </c>
      <c r="D66" s="32">
        <v>4430265054</v>
      </c>
      <c r="E66" s="32">
        <v>170</v>
      </c>
      <c r="F66" s="32">
        <v>154</v>
      </c>
      <c r="G66" s="32" t="s">
        <v>38</v>
      </c>
      <c r="H66" s="32" t="s">
        <v>5480</v>
      </c>
      <c r="I66" s="32" t="s">
        <v>39</v>
      </c>
      <c r="J66" s="32" t="s">
        <v>40</v>
      </c>
      <c r="K66" s="32" t="s">
        <v>41</v>
      </c>
      <c r="M66" s="32" t="s">
        <v>5416</v>
      </c>
      <c r="N66" s="32" t="s">
        <v>44</v>
      </c>
    </row>
    <row r="67" spans="1:14" s="32" customFormat="1" hidden="1" x14ac:dyDescent="0.3">
      <c r="A67" s="39">
        <v>46203.419699074075</v>
      </c>
      <c r="B67" s="32">
        <v>18996991511</v>
      </c>
      <c r="C67" s="32" t="s">
        <v>37</v>
      </c>
      <c r="D67" s="32">
        <v>4430265054</v>
      </c>
      <c r="E67" s="32">
        <v>1154</v>
      </c>
      <c r="F67" s="32">
        <v>1111</v>
      </c>
      <c r="G67" s="32" t="s">
        <v>38</v>
      </c>
      <c r="H67" s="32" t="s">
        <v>5481</v>
      </c>
      <c r="I67" s="32" t="s">
        <v>39</v>
      </c>
      <c r="J67" s="32" t="s">
        <v>40</v>
      </c>
      <c r="K67" s="32" t="s">
        <v>41</v>
      </c>
      <c r="L67" s="32">
        <v>5</v>
      </c>
      <c r="M67" s="32" t="s">
        <v>5410</v>
      </c>
      <c r="N67" s="32" t="s">
        <v>37</v>
      </c>
    </row>
    <row r="68" spans="1:14" s="32" customFormat="1" hidden="1" x14ac:dyDescent="0.3">
      <c r="A68" s="39">
        <v>46203.413287037038</v>
      </c>
      <c r="B68" s="32">
        <v>4430450103</v>
      </c>
      <c r="C68" s="32" t="s">
        <v>43</v>
      </c>
      <c r="D68" s="32">
        <v>4430265054</v>
      </c>
      <c r="E68" s="32">
        <v>425</v>
      </c>
      <c r="F68" s="32">
        <v>334</v>
      </c>
      <c r="G68" s="32" t="s">
        <v>38</v>
      </c>
      <c r="H68" s="32" t="s">
        <v>5482</v>
      </c>
      <c r="I68" s="32" t="s">
        <v>39</v>
      </c>
      <c r="J68" s="32" t="s">
        <v>40</v>
      </c>
      <c r="K68" s="32" t="s">
        <v>41</v>
      </c>
      <c r="L68" s="32">
        <v>5</v>
      </c>
      <c r="M68" s="32" t="s">
        <v>5418</v>
      </c>
      <c r="N68" s="32" t="s">
        <v>43</v>
      </c>
    </row>
    <row r="69" spans="1:14" s="32" customFormat="1" hidden="1" x14ac:dyDescent="0.3">
      <c r="A69" s="39">
        <v>46203.410983796297</v>
      </c>
      <c r="B69" s="32">
        <v>4432525112</v>
      </c>
      <c r="C69" s="32" t="s">
        <v>45</v>
      </c>
      <c r="D69" s="32">
        <v>4430265054</v>
      </c>
      <c r="E69" s="32">
        <v>1087</v>
      </c>
      <c r="F69" s="32">
        <v>1052</v>
      </c>
      <c r="G69" s="32" t="s">
        <v>38</v>
      </c>
      <c r="H69" s="32" t="s">
        <v>5483</v>
      </c>
      <c r="I69" s="32" t="s">
        <v>39</v>
      </c>
      <c r="J69" s="32" t="s">
        <v>40</v>
      </c>
      <c r="K69" s="32" t="s">
        <v>41</v>
      </c>
      <c r="L69" s="32">
        <v>5</v>
      </c>
      <c r="M69" s="32" t="s">
        <v>5421</v>
      </c>
      <c r="N69" s="32" t="s">
        <v>45</v>
      </c>
    </row>
    <row r="70" spans="1:14" s="32" customFormat="1" hidden="1" x14ac:dyDescent="0.3">
      <c r="A70" s="39">
        <v>46203.405231481483</v>
      </c>
      <c r="B70" s="32" t="s">
        <v>45</v>
      </c>
      <c r="C70" s="32">
        <v>44999347404</v>
      </c>
      <c r="E70" s="32">
        <v>114</v>
      </c>
      <c r="F70" s="32">
        <v>61</v>
      </c>
      <c r="G70" s="32" t="s">
        <v>38</v>
      </c>
      <c r="H70" s="32" t="s">
        <v>5484</v>
      </c>
      <c r="I70" s="32" t="s">
        <v>46</v>
      </c>
      <c r="J70" s="32" t="s">
        <v>40</v>
      </c>
      <c r="M70" s="32" t="s">
        <v>5421</v>
      </c>
      <c r="N70" s="32" t="s">
        <v>45</v>
      </c>
    </row>
    <row r="71" spans="1:14" s="32" customFormat="1" hidden="1" x14ac:dyDescent="0.3">
      <c r="A71" s="39">
        <v>46203.405138888891</v>
      </c>
      <c r="B71" s="32" t="s">
        <v>45</v>
      </c>
      <c r="C71" s="32">
        <v>44999347404</v>
      </c>
      <c r="E71" s="32">
        <v>5</v>
      </c>
      <c r="F71" s="32">
        <v>0</v>
      </c>
      <c r="G71" s="32" t="s">
        <v>47</v>
      </c>
      <c r="H71" s="32" t="s">
        <v>5485</v>
      </c>
      <c r="I71" s="32" t="s">
        <v>46</v>
      </c>
      <c r="J71" s="32" t="s">
        <v>40</v>
      </c>
      <c r="M71" s="32" t="s">
        <v>5421</v>
      </c>
      <c r="N71" s="32" t="s">
        <v>45</v>
      </c>
    </row>
    <row r="72" spans="1:14" s="32" customFormat="1" hidden="1" x14ac:dyDescent="0.3">
      <c r="A72" s="39">
        <v>46203.404583333337</v>
      </c>
      <c r="B72" s="32" t="s">
        <v>37</v>
      </c>
      <c r="C72" s="32">
        <v>41991740047</v>
      </c>
      <c r="E72" s="32">
        <v>624</v>
      </c>
      <c r="F72" s="32">
        <v>617</v>
      </c>
      <c r="G72" s="32" t="s">
        <v>38</v>
      </c>
      <c r="H72" s="32" t="s">
        <v>5486</v>
      </c>
      <c r="I72" s="32" t="s">
        <v>46</v>
      </c>
      <c r="J72" s="32" t="s">
        <v>40</v>
      </c>
      <c r="L72" s="32">
        <v>5</v>
      </c>
      <c r="M72" s="32" t="s">
        <v>5410</v>
      </c>
      <c r="N72" s="32" t="s">
        <v>37</v>
      </c>
    </row>
    <row r="73" spans="1:14" s="32" customFormat="1" hidden="1" x14ac:dyDescent="0.3">
      <c r="A73" s="39">
        <v>46203.397893518515</v>
      </c>
      <c r="B73" s="32">
        <v>44999347404</v>
      </c>
      <c r="C73" s="32" t="s">
        <v>45</v>
      </c>
      <c r="D73" s="32">
        <v>4430265054</v>
      </c>
      <c r="E73" s="32">
        <v>530</v>
      </c>
      <c r="F73" s="32">
        <v>493</v>
      </c>
      <c r="G73" s="32" t="s">
        <v>38</v>
      </c>
      <c r="H73" s="32" t="s">
        <v>5487</v>
      </c>
      <c r="I73" s="32" t="s">
        <v>39</v>
      </c>
      <c r="J73" s="32" t="s">
        <v>40</v>
      </c>
      <c r="K73" s="32" t="s">
        <v>41</v>
      </c>
      <c r="M73" s="32" t="s">
        <v>5421</v>
      </c>
      <c r="N73" s="32" t="s">
        <v>45</v>
      </c>
    </row>
    <row r="74" spans="1:14" s="32" customFormat="1" hidden="1" x14ac:dyDescent="0.3">
      <c r="A74" s="39">
        <v>46203.395787037036</v>
      </c>
      <c r="B74" s="32">
        <v>44999493534</v>
      </c>
      <c r="C74" s="32" t="s">
        <v>44</v>
      </c>
      <c r="D74" s="32">
        <v>4430265054</v>
      </c>
      <c r="E74" s="32">
        <v>235</v>
      </c>
      <c r="F74" s="32">
        <v>217</v>
      </c>
      <c r="G74" s="32" t="s">
        <v>38</v>
      </c>
      <c r="H74" s="32" t="s">
        <v>5488</v>
      </c>
      <c r="I74" s="32" t="s">
        <v>39</v>
      </c>
      <c r="J74" s="32" t="s">
        <v>40</v>
      </c>
      <c r="K74" s="32" t="s">
        <v>41</v>
      </c>
      <c r="M74" s="32" t="s">
        <v>5416</v>
      </c>
      <c r="N74" s="32" t="s">
        <v>44</v>
      </c>
    </row>
    <row r="75" spans="1:14" s="32" customFormat="1" hidden="1" x14ac:dyDescent="0.3">
      <c r="A75" s="39">
        <v>46203.391701388886</v>
      </c>
      <c r="B75" s="32">
        <v>44991396687</v>
      </c>
      <c r="C75" s="32" t="s">
        <v>43</v>
      </c>
      <c r="D75" s="32">
        <v>4430265054</v>
      </c>
      <c r="E75" s="32">
        <v>575</v>
      </c>
      <c r="F75" s="32">
        <v>474</v>
      </c>
      <c r="G75" s="32" t="s">
        <v>38</v>
      </c>
      <c r="H75" s="32" t="s">
        <v>5489</v>
      </c>
      <c r="I75" s="32" t="s">
        <v>39</v>
      </c>
      <c r="J75" s="32" t="s">
        <v>40</v>
      </c>
      <c r="K75" s="32" t="s">
        <v>41</v>
      </c>
      <c r="L75" s="32">
        <v>5</v>
      </c>
      <c r="M75" s="32" t="s">
        <v>5418</v>
      </c>
      <c r="N75" s="32" t="s">
        <v>43</v>
      </c>
    </row>
    <row r="76" spans="1:14" s="32" customFormat="1" hidden="1" x14ac:dyDescent="0.3">
      <c r="A76" s="39">
        <v>46203.384270833332</v>
      </c>
      <c r="B76" s="32">
        <v>4435226025</v>
      </c>
      <c r="C76" s="32" t="s">
        <v>44</v>
      </c>
      <c r="D76" s="32">
        <v>4430265054</v>
      </c>
      <c r="E76" s="32">
        <v>411</v>
      </c>
      <c r="F76" s="32">
        <v>353</v>
      </c>
      <c r="G76" s="32" t="s">
        <v>38</v>
      </c>
      <c r="H76" s="32" t="s">
        <v>5490</v>
      </c>
      <c r="I76" s="32" t="s">
        <v>39</v>
      </c>
      <c r="J76" s="32" t="s">
        <v>40</v>
      </c>
      <c r="K76" s="32" t="s">
        <v>41</v>
      </c>
      <c r="M76" s="32" t="s">
        <v>5416</v>
      </c>
      <c r="N76" s="32" t="s">
        <v>44</v>
      </c>
    </row>
    <row r="77" spans="1:14" s="32" customFormat="1" hidden="1" x14ac:dyDescent="0.3">
      <c r="A77" s="39">
        <v>46203.374930555554</v>
      </c>
      <c r="B77" s="32">
        <v>44997400641</v>
      </c>
      <c r="C77" s="32" t="s">
        <v>43</v>
      </c>
      <c r="D77" s="32">
        <v>4430265054</v>
      </c>
      <c r="E77" s="32">
        <v>312</v>
      </c>
      <c r="F77" s="32">
        <v>278</v>
      </c>
      <c r="G77" s="32" t="s">
        <v>38</v>
      </c>
      <c r="H77" s="32" t="s">
        <v>5491</v>
      </c>
      <c r="I77" s="32" t="s">
        <v>39</v>
      </c>
      <c r="J77" s="32" t="s">
        <v>40</v>
      </c>
      <c r="K77" s="32" t="s">
        <v>41</v>
      </c>
      <c r="L77" s="32">
        <v>5</v>
      </c>
      <c r="M77" s="32" t="s">
        <v>5418</v>
      </c>
      <c r="N77" s="32" t="s">
        <v>43</v>
      </c>
    </row>
    <row r="78" spans="1:14" s="32" customFormat="1" hidden="1" x14ac:dyDescent="0.3">
      <c r="A78" s="39">
        <v>46203.37327546296</v>
      </c>
      <c r="B78" s="32">
        <v>41991740047</v>
      </c>
      <c r="C78" s="32" t="s">
        <v>37</v>
      </c>
      <c r="D78" s="32">
        <v>4430265054</v>
      </c>
      <c r="E78" s="32">
        <v>2699</v>
      </c>
      <c r="F78" s="32">
        <v>2652</v>
      </c>
      <c r="G78" s="32" t="s">
        <v>38</v>
      </c>
      <c r="H78" s="32" t="s">
        <v>5492</v>
      </c>
      <c r="I78" s="32" t="s">
        <v>39</v>
      </c>
      <c r="J78" s="32" t="s">
        <v>40</v>
      </c>
      <c r="K78" s="32" t="s">
        <v>41</v>
      </c>
      <c r="M78" s="32" t="s">
        <v>5410</v>
      </c>
      <c r="N78" s="32" t="s">
        <v>37</v>
      </c>
    </row>
    <row r="79" spans="1:14" s="32" customFormat="1" hidden="1" x14ac:dyDescent="0.3">
      <c r="A79" s="39">
        <v>46203.371851851851</v>
      </c>
      <c r="B79" s="32">
        <v>44998620323</v>
      </c>
      <c r="C79" s="32" t="s">
        <v>44</v>
      </c>
      <c r="D79" s="32">
        <v>4430265054</v>
      </c>
      <c r="E79" s="32">
        <v>700</v>
      </c>
      <c r="F79" s="32">
        <v>610</v>
      </c>
      <c r="G79" s="32" t="s">
        <v>38</v>
      </c>
      <c r="H79" s="32" t="s">
        <v>5493</v>
      </c>
      <c r="I79" s="32" t="s">
        <v>39</v>
      </c>
      <c r="J79" s="32" t="s">
        <v>40</v>
      </c>
      <c r="K79" s="32" t="s">
        <v>41</v>
      </c>
      <c r="M79" s="32" t="s">
        <v>5416</v>
      </c>
      <c r="N79" s="32" t="s">
        <v>44</v>
      </c>
    </row>
    <row r="80" spans="1:14" s="32" customFormat="1" hidden="1" x14ac:dyDescent="0.3">
      <c r="A80" s="39">
        <v>46203.370844907404</v>
      </c>
      <c r="B80" s="32">
        <v>81988293889</v>
      </c>
      <c r="C80" s="32" t="s">
        <v>45</v>
      </c>
      <c r="D80" s="32">
        <v>4431268225</v>
      </c>
      <c r="E80" s="32">
        <v>1477</v>
      </c>
      <c r="F80" s="32">
        <v>1349</v>
      </c>
      <c r="G80" s="32" t="s">
        <v>38</v>
      </c>
      <c r="H80" s="32" t="s">
        <v>5494</v>
      </c>
      <c r="I80" s="32" t="s">
        <v>39</v>
      </c>
      <c r="J80" s="32" t="s">
        <v>40</v>
      </c>
      <c r="K80" s="32" t="s">
        <v>41</v>
      </c>
      <c r="L80" s="32">
        <v>5</v>
      </c>
      <c r="M80" s="32" t="s">
        <v>5421</v>
      </c>
      <c r="N80" s="32" t="s">
        <v>45</v>
      </c>
    </row>
    <row r="81" spans="1:14" s="32" customFormat="1" hidden="1" x14ac:dyDescent="0.3">
      <c r="A81" s="39">
        <v>46203.370462962965</v>
      </c>
      <c r="B81" s="32">
        <v>81983567163</v>
      </c>
      <c r="C81" s="32">
        <v>4431268225</v>
      </c>
      <c r="D81" s="32">
        <v>4431268225</v>
      </c>
      <c r="E81" s="32">
        <v>10</v>
      </c>
      <c r="F81" s="32">
        <v>10</v>
      </c>
      <c r="G81" s="32" t="s">
        <v>52</v>
      </c>
      <c r="H81" s="32" t="s">
        <v>5495</v>
      </c>
      <c r="I81" s="32" t="s">
        <v>39</v>
      </c>
      <c r="J81" s="32" t="s">
        <v>53</v>
      </c>
    </row>
    <row r="82" spans="1:14" s="32" customFormat="1" hidden="1" x14ac:dyDescent="0.3">
      <c r="A82" s="39">
        <v>46203.370173611111</v>
      </c>
      <c r="B82" s="32">
        <v>81983567163</v>
      </c>
      <c r="C82" s="32">
        <v>4430265054</v>
      </c>
      <c r="D82" s="32">
        <v>4430265054</v>
      </c>
      <c r="E82" s="32">
        <v>10</v>
      </c>
      <c r="F82" s="32">
        <v>9</v>
      </c>
      <c r="G82" s="32" t="s">
        <v>52</v>
      </c>
      <c r="H82" s="32" t="s">
        <v>5496</v>
      </c>
      <c r="I82" s="32" t="s">
        <v>39</v>
      </c>
      <c r="J82" s="32" t="s">
        <v>53</v>
      </c>
    </row>
    <row r="83" spans="1:14" s="32" customFormat="1" hidden="1" x14ac:dyDescent="0.3">
      <c r="A83" s="39">
        <v>46203.369791666664</v>
      </c>
      <c r="B83" s="32">
        <v>81983567163</v>
      </c>
      <c r="C83" s="32">
        <v>4430265054</v>
      </c>
      <c r="D83" s="32">
        <v>4430265054</v>
      </c>
      <c r="E83" s="32">
        <v>17</v>
      </c>
      <c r="F83" s="32">
        <v>16</v>
      </c>
      <c r="G83" s="32" t="s">
        <v>52</v>
      </c>
      <c r="H83" s="32" t="s">
        <v>5497</v>
      </c>
      <c r="I83" s="32" t="s">
        <v>39</v>
      </c>
      <c r="J83" s="32" t="s">
        <v>53</v>
      </c>
    </row>
    <row r="84" spans="1:14" s="32" customFormat="1" hidden="1" x14ac:dyDescent="0.3">
      <c r="A84" s="39">
        <v>46203.362962962965</v>
      </c>
      <c r="B84" s="32" t="s">
        <v>37</v>
      </c>
      <c r="C84" s="32">
        <v>44997650834</v>
      </c>
      <c r="E84" s="32">
        <v>344</v>
      </c>
      <c r="F84" s="32">
        <v>332</v>
      </c>
      <c r="G84" s="32" t="s">
        <v>38</v>
      </c>
      <c r="H84" s="32" t="s">
        <v>5498</v>
      </c>
      <c r="I84" s="32" t="s">
        <v>46</v>
      </c>
      <c r="J84" s="32" t="s">
        <v>40</v>
      </c>
      <c r="L84" s="32">
        <v>5</v>
      </c>
      <c r="M84" s="32" t="s">
        <v>5410</v>
      </c>
      <c r="N84" s="32" t="s">
        <v>37</v>
      </c>
    </row>
    <row r="85" spans="1:14" s="32" customFormat="1" hidden="1" x14ac:dyDescent="0.3">
      <c r="A85" s="39">
        <v>46203.354201388887</v>
      </c>
      <c r="B85" s="32">
        <v>44997650834</v>
      </c>
      <c r="C85" s="32" t="s">
        <v>37</v>
      </c>
      <c r="D85" s="32">
        <v>4430265054</v>
      </c>
      <c r="E85" s="32">
        <v>605</v>
      </c>
      <c r="F85" s="32">
        <v>541</v>
      </c>
      <c r="G85" s="32" t="s">
        <v>38</v>
      </c>
      <c r="H85" s="32" t="s">
        <v>5499</v>
      </c>
      <c r="I85" s="32" t="s">
        <v>39</v>
      </c>
      <c r="J85" s="32" t="s">
        <v>40</v>
      </c>
      <c r="K85" s="32" t="s">
        <v>41</v>
      </c>
      <c r="M85" s="32" t="s">
        <v>5410</v>
      </c>
      <c r="N85" s="32" t="s">
        <v>37</v>
      </c>
    </row>
    <row r="86" spans="1:14" s="32" customFormat="1" hidden="1" x14ac:dyDescent="0.3">
      <c r="A86" s="39">
        <v>46203.344456018516</v>
      </c>
      <c r="B86" s="32">
        <v>41991740047</v>
      </c>
      <c r="C86" s="32">
        <v>4430265054</v>
      </c>
      <c r="D86" s="32">
        <v>4430265054</v>
      </c>
      <c r="E86" s="32">
        <v>12</v>
      </c>
      <c r="F86" s="32">
        <v>12</v>
      </c>
      <c r="G86" s="32" t="s">
        <v>52</v>
      </c>
      <c r="H86" s="32" t="s">
        <v>5500</v>
      </c>
      <c r="I86" s="32" t="s">
        <v>39</v>
      </c>
      <c r="J86" s="32" t="s">
        <v>53</v>
      </c>
    </row>
    <row r="87" spans="1:14" s="32" customFormat="1" hidden="1" x14ac:dyDescent="0.3">
      <c r="A87" s="39">
        <v>46202.745370370372</v>
      </c>
      <c r="B87" s="32">
        <v>11973545510</v>
      </c>
      <c r="C87" s="32" t="s">
        <v>43</v>
      </c>
      <c r="D87" s="32">
        <v>4430265054</v>
      </c>
      <c r="E87" s="32">
        <v>274</v>
      </c>
      <c r="F87" s="32">
        <v>243</v>
      </c>
      <c r="G87" s="32" t="s">
        <v>38</v>
      </c>
      <c r="H87" s="32" t="s">
        <v>5501</v>
      </c>
      <c r="I87" s="32" t="s">
        <v>39</v>
      </c>
      <c r="J87" s="32" t="s">
        <v>40</v>
      </c>
      <c r="K87" s="32" t="s">
        <v>41</v>
      </c>
      <c r="M87" s="32" t="s">
        <v>5418</v>
      </c>
      <c r="N87" s="32" t="s">
        <v>43</v>
      </c>
    </row>
    <row r="88" spans="1:14" s="32" customFormat="1" hidden="1" x14ac:dyDescent="0.3">
      <c r="A88" s="39">
        <v>46202.743101851855</v>
      </c>
      <c r="B88" s="32">
        <v>4435228300</v>
      </c>
      <c r="C88" s="32" t="s">
        <v>44</v>
      </c>
      <c r="D88" s="32">
        <v>4430265054</v>
      </c>
      <c r="E88" s="32">
        <v>660</v>
      </c>
      <c r="F88" s="32">
        <v>482</v>
      </c>
      <c r="G88" s="32" t="s">
        <v>38</v>
      </c>
      <c r="H88" s="32" t="s">
        <v>5502</v>
      </c>
      <c r="I88" s="32" t="s">
        <v>39</v>
      </c>
      <c r="J88" s="32" t="s">
        <v>40</v>
      </c>
      <c r="K88" s="32" t="s">
        <v>41</v>
      </c>
      <c r="M88" s="32" t="s">
        <v>5416</v>
      </c>
      <c r="N88" s="32" t="s">
        <v>44</v>
      </c>
    </row>
    <row r="89" spans="1:14" s="32" customFormat="1" hidden="1" x14ac:dyDescent="0.3">
      <c r="A89" s="39">
        <v>46202.733807870369</v>
      </c>
      <c r="B89" s="32" t="s">
        <v>45</v>
      </c>
      <c r="C89" s="32">
        <v>44999114340</v>
      </c>
      <c r="E89" s="32">
        <v>34</v>
      </c>
      <c r="F89" s="32">
        <v>29</v>
      </c>
      <c r="G89" s="32" t="s">
        <v>38</v>
      </c>
      <c r="H89" s="32" t="s">
        <v>5503</v>
      </c>
      <c r="I89" s="32" t="s">
        <v>46</v>
      </c>
      <c r="J89" s="32" t="s">
        <v>40</v>
      </c>
      <c r="M89" s="32" t="s">
        <v>5421</v>
      </c>
      <c r="N89" s="32" t="s">
        <v>45</v>
      </c>
    </row>
    <row r="90" spans="1:14" s="32" customFormat="1" hidden="1" x14ac:dyDescent="0.3">
      <c r="A90" s="39">
        <v>46202.733726851853</v>
      </c>
      <c r="B90" s="32" t="s">
        <v>45</v>
      </c>
      <c r="C90" s="32">
        <v>4435231494</v>
      </c>
      <c r="E90" s="32">
        <v>3</v>
      </c>
      <c r="F90" s="32">
        <v>0</v>
      </c>
      <c r="G90" s="32" t="s">
        <v>47</v>
      </c>
      <c r="H90" s="32" t="s">
        <v>5504</v>
      </c>
      <c r="I90" s="32" t="s">
        <v>46</v>
      </c>
      <c r="J90" s="32" t="s">
        <v>40</v>
      </c>
      <c r="M90" s="32" t="s">
        <v>5421</v>
      </c>
      <c r="N90" s="32" t="s">
        <v>45</v>
      </c>
    </row>
    <row r="91" spans="1:14" s="32" customFormat="1" hidden="1" x14ac:dyDescent="0.3">
      <c r="A91" s="39">
        <v>46202.714432870373</v>
      </c>
      <c r="B91" s="32">
        <v>4430346845</v>
      </c>
      <c r="C91" s="32" t="s">
        <v>45</v>
      </c>
      <c r="D91" s="32">
        <v>4430265054</v>
      </c>
      <c r="E91" s="32">
        <v>1569</v>
      </c>
      <c r="F91" s="32">
        <v>1534</v>
      </c>
      <c r="G91" s="32" t="s">
        <v>38</v>
      </c>
      <c r="H91" s="32" t="s">
        <v>5505</v>
      </c>
      <c r="I91" s="32" t="s">
        <v>39</v>
      </c>
      <c r="J91" s="32" t="s">
        <v>40</v>
      </c>
      <c r="K91" s="32" t="s">
        <v>41</v>
      </c>
      <c r="M91" s="32" t="s">
        <v>5421</v>
      </c>
      <c r="N91" s="32" t="s">
        <v>45</v>
      </c>
    </row>
    <row r="92" spans="1:14" s="32" customFormat="1" hidden="1" x14ac:dyDescent="0.3">
      <c r="A92" s="39">
        <v>46202.685358796298</v>
      </c>
      <c r="B92" s="32" t="s">
        <v>48</v>
      </c>
      <c r="C92" s="32">
        <v>4434221055</v>
      </c>
      <c r="E92" s="32">
        <v>53</v>
      </c>
      <c r="F92" s="32">
        <v>42</v>
      </c>
      <c r="G92" s="32" t="s">
        <v>38</v>
      </c>
      <c r="H92" s="32" t="s">
        <v>5506</v>
      </c>
      <c r="I92" s="32" t="s">
        <v>46</v>
      </c>
      <c r="J92" s="32" t="s">
        <v>40</v>
      </c>
      <c r="M92" s="32" t="s">
        <v>5412</v>
      </c>
      <c r="N92" s="32" t="s">
        <v>48</v>
      </c>
    </row>
    <row r="93" spans="1:14" s="32" customFormat="1" hidden="1" x14ac:dyDescent="0.3">
      <c r="A93" s="39">
        <v>46202.685046296298</v>
      </c>
      <c r="B93" s="32" t="s">
        <v>48</v>
      </c>
      <c r="C93" s="32">
        <v>4434221055</v>
      </c>
      <c r="E93" s="32">
        <v>23</v>
      </c>
      <c r="F93" s="32">
        <v>2</v>
      </c>
      <c r="G93" s="32" t="s">
        <v>38</v>
      </c>
      <c r="H93" s="32" t="s">
        <v>5507</v>
      </c>
      <c r="I93" s="32" t="s">
        <v>46</v>
      </c>
      <c r="J93" s="32" t="s">
        <v>40</v>
      </c>
      <c r="M93" s="32" t="s">
        <v>5412</v>
      </c>
      <c r="N93" s="32" t="s">
        <v>48</v>
      </c>
    </row>
    <row r="94" spans="1:14" s="32" customFormat="1" hidden="1" x14ac:dyDescent="0.3">
      <c r="A94" s="39">
        <v>46202.622187499997</v>
      </c>
      <c r="B94" s="32">
        <v>18996991511</v>
      </c>
      <c r="C94" s="32">
        <v>4430265054</v>
      </c>
      <c r="D94" s="32">
        <v>4430265054</v>
      </c>
      <c r="E94" s="32">
        <v>282</v>
      </c>
      <c r="F94" s="32">
        <v>281</v>
      </c>
      <c r="G94" s="32" t="s">
        <v>52</v>
      </c>
      <c r="H94" s="32" t="s">
        <v>5508</v>
      </c>
      <c r="I94" s="32" t="s">
        <v>39</v>
      </c>
      <c r="J94" s="32" t="s">
        <v>53</v>
      </c>
      <c r="K94" s="32" t="s">
        <v>41</v>
      </c>
    </row>
    <row r="95" spans="1:14" s="32" customFormat="1" hidden="1" x14ac:dyDescent="0.3">
      <c r="A95" s="39">
        <v>46202.522430555553</v>
      </c>
      <c r="B95" s="32">
        <v>44998620323</v>
      </c>
      <c r="C95" s="32">
        <v>4430265054</v>
      </c>
      <c r="D95" s="32">
        <v>4430265054</v>
      </c>
      <c r="E95" s="32">
        <v>29</v>
      </c>
      <c r="F95" s="32">
        <v>29</v>
      </c>
      <c r="G95" s="32" t="s">
        <v>52</v>
      </c>
      <c r="H95" s="32" t="s">
        <v>5509</v>
      </c>
      <c r="I95" s="32" t="s">
        <v>39</v>
      </c>
      <c r="J95" s="32" t="s">
        <v>53</v>
      </c>
    </row>
    <row r="96" spans="1:14" s="32" customFormat="1" hidden="1" x14ac:dyDescent="0.3">
      <c r="A96" s="39">
        <v>46202.50445601852</v>
      </c>
      <c r="B96" s="32">
        <v>4432325260</v>
      </c>
      <c r="C96" s="32">
        <v>4430265054</v>
      </c>
      <c r="D96" s="32">
        <v>4430265054</v>
      </c>
      <c r="E96" s="32">
        <v>13</v>
      </c>
      <c r="F96" s="32">
        <v>12</v>
      </c>
      <c r="G96" s="32" t="s">
        <v>52</v>
      </c>
      <c r="H96" s="32" t="s">
        <v>5510</v>
      </c>
      <c r="I96" s="32" t="s">
        <v>39</v>
      </c>
      <c r="J96" s="32" t="s">
        <v>53</v>
      </c>
    </row>
    <row r="97" spans="1:14" s="32" customFormat="1" hidden="1" x14ac:dyDescent="0.3">
      <c r="A97" s="39">
        <v>46202.495891203704</v>
      </c>
      <c r="B97" s="32" t="s">
        <v>45</v>
      </c>
      <c r="C97" s="32">
        <v>44999637463</v>
      </c>
      <c r="E97" s="32">
        <v>2</v>
      </c>
      <c r="F97" s="32">
        <v>0</v>
      </c>
      <c r="G97" s="32" t="s">
        <v>47</v>
      </c>
      <c r="H97" s="32" t="s">
        <v>5511</v>
      </c>
      <c r="I97" s="32" t="s">
        <v>46</v>
      </c>
      <c r="J97" s="32" t="s">
        <v>40</v>
      </c>
      <c r="M97" s="32" t="s">
        <v>5421</v>
      </c>
      <c r="N97" s="32" t="s">
        <v>45</v>
      </c>
    </row>
    <row r="98" spans="1:14" s="32" customFormat="1" hidden="1" x14ac:dyDescent="0.3">
      <c r="A98" s="39">
        <v>46202.490717592591</v>
      </c>
      <c r="B98" s="32" t="s">
        <v>45</v>
      </c>
      <c r="C98" s="32">
        <v>44999637463</v>
      </c>
      <c r="E98" s="32">
        <v>85</v>
      </c>
      <c r="F98" s="32">
        <v>79</v>
      </c>
      <c r="G98" s="32" t="s">
        <v>38</v>
      </c>
      <c r="H98" s="32" t="s">
        <v>5512</v>
      </c>
      <c r="I98" s="32" t="s">
        <v>46</v>
      </c>
      <c r="J98" s="32" t="s">
        <v>40</v>
      </c>
      <c r="M98" s="32" t="s">
        <v>5421</v>
      </c>
      <c r="N98" s="32" t="s">
        <v>45</v>
      </c>
    </row>
    <row r="99" spans="1:14" s="32" customFormat="1" hidden="1" x14ac:dyDescent="0.3">
      <c r="A99" s="39">
        <v>46202.489062499997</v>
      </c>
      <c r="B99" s="32" t="s">
        <v>45</v>
      </c>
      <c r="C99" s="32">
        <v>44999637463</v>
      </c>
      <c r="E99" s="32">
        <v>3</v>
      </c>
      <c r="F99" s="32">
        <v>0</v>
      </c>
      <c r="G99" s="32" t="s">
        <v>47</v>
      </c>
      <c r="H99" s="32" t="s">
        <v>5513</v>
      </c>
      <c r="I99" s="32" t="s">
        <v>46</v>
      </c>
      <c r="J99" s="32" t="s">
        <v>40</v>
      </c>
      <c r="M99" s="32" t="s">
        <v>5421</v>
      </c>
      <c r="N99" s="32" t="s">
        <v>45</v>
      </c>
    </row>
    <row r="100" spans="1:14" s="32" customFormat="1" hidden="1" x14ac:dyDescent="0.3">
      <c r="A100" s="39">
        <v>46202.488333333335</v>
      </c>
      <c r="B100" s="32">
        <v>4430346845</v>
      </c>
      <c r="C100" s="32" t="s">
        <v>37</v>
      </c>
      <c r="D100" s="32">
        <v>4430265054</v>
      </c>
      <c r="E100" s="32">
        <v>680</v>
      </c>
      <c r="F100" s="32">
        <v>623</v>
      </c>
      <c r="G100" s="32" t="s">
        <v>38</v>
      </c>
      <c r="H100" s="32" t="s">
        <v>5514</v>
      </c>
      <c r="I100" s="32" t="s">
        <v>39</v>
      </c>
      <c r="J100" s="32" t="s">
        <v>40</v>
      </c>
      <c r="K100" s="32" t="s">
        <v>41</v>
      </c>
      <c r="L100" s="32">
        <v>5</v>
      </c>
      <c r="M100" s="32" t="s">
        <v>5410</v>
      </c>
      <c r="N100" s="32" t="s">
        <v>37</v>
      </c>
    </row>
    <row r="101" spans="1:14" s="32" customFormat="1" hidden="1" x14ac:dyDescent="0.3">
      <c r="A101" s="39">
        <v>46202.48332175926</v>
      </c>
      <c r="B101" s="32" t="s">
        <v>45</v>
      </c>
      <c r="C101" s="32">
        <v>44999637463</v>
      </c>
      <c r="E101" s="32">
        <v>81</v>
      </c>
      <c r="F101" s="32">
        <v>76</v>
      </c>
      <c r="G101" s="32" t="s">
        <v>38</v>
      </c>
      <c r="H101" s="32" t="s">
        <v>5515</v>
      </c>
      <c r="I101" s="32" t="s">
        <v>46</v>
      </c>
      <c r="J101" s="32" t="s">
        <v>40</v>
      </c>
      <c r="M101" s="32" t="s">
        <v>5421</v>
      </c>
      <c r="N101" s="32" t="s">
        <v>45</v>
      </c>
    </row>
    <row r="102" spans="1:14" s="32" customFormat="1" hidden="1" x14ac:dyDescent="0.3">
      <c r="A102" s="39">
        <v>46202.481562499997</v>
      </c>
      <c r="B102" s="32">
        <v>4431337559</v>
      </c>
      <c r="C102" s="32" t="s">
        <v>43</v>
      </c>
      <c r="D102" s="32">
        <v>4430265054</v>
      </c>
      <c r="E102" s="32">
        <v>545</v>
      </c>
      <c r="F102" s="32">
        <v>520</v>
      </c>
      <c r="G102" s="32" t="s">
        <v>38</v>
      </c>
      <c r="H102" s="32" t="s">
        <v>5516</v>
      </c>
      <c r="I102" s="32" t="s">
        <v>39</v>
      </c>
      <c r="J102" s="32" t="s">
        <v>40</v>
      </c>
      <c r="K102" s="32" t="s">
        <v>41</v>
      </c>
      <c r="M102" s="32" t="s">
        <v>5418</v>
      </c>
      <c r="N102" s="32" t="s">
        <v>43</v>
      </c>
    </row>
    <row r="103" spans="1:14" s="32" customFormat="1" hidden="1" x14ac:dyDescent="0.3">
      <c r="A103" s="39">
        <v>46202.477777777778</v>
      </c>
      <c r="B103" s="32" t="s">
        <v>37</v>
      </c>
      <c r="C103" s="32">
        <v>4435228300</v>
      </c>
      <c r="E103" s="32">
        <v>158</v>
      </c>
      <c r="F103" s="32">
        <v>146</v>
      </c>
      <c r="G103" s="32" t="s">
        <v>38</v>
      </c>
      <c r="H103" s="32" t="s">
        <v>5517</v>
      </c>
      <c r="I103" s="32" t="s">
        <v>46</v>
      </c>
      <c r="J103" s="32" t="s">
        <v>40</v>
      </c>
      <c r="L103" s="32">
        <v>5</v>
      </c>
      <c r="M103" s="32" t="s">
        <v>5410</v>
      </c>
      <c r="N103" s="32" t="s">
        <v>37</v>
      </c>
    </row>
    <row r="104" spans="1:14" s="32" customFormat="1" hidden="1" x14ac:dyDescent="0.3">
      <c r="A104" s="39">
        <v>46202.474907407406</v>
      </c>
      <c r="B104" s="32" t="s">
        <v>48</v>
      </c>
      <c r="C104" s="32">
        <v>4434221055</v>
      </c>
      <c r="E104" s="32">
        <v>55</v>
      </c>
      <c r="F104" s="32">
        <v>43</v>
      </c>
      <c r="G104" s="32" t="s">
        <v>38</v>
      </c>
      <c r="H104" s="32" t="s">
        <v>5518</v>
      </c>
      <c r="I104" s="32" t="s">
        <v>46</v>
      </c>
      <c r="J104" s="32" t="s">
        <v>40</v>
      </c>
      <c r="M104" s="32" t="s">
        <v>5412</v>
      </c>
      <c r="N104" s="32" t="s">
        <v>48</v>
      </c>
    </row>
    <row r="105" spans="1:14" s="32" customFormat="1" hidden="1" x14ac:dyDescent="0.3">
      <c r="A105" s="39">
        <v>46202.474502314813</v>
      </c>
      <c r="B105" s="32" t="s">
        <v>48</v>
      </c>
      <c r="C105" s="32">
        <v>4434221055</v>
      </c>
      <c r="E105" s="32">
        <v>27</v>
      </c>
      <c r="F105" s="32">
        <v>3</v>
      </c>
      <c r="G105" s="32" t="s">
        <v>38</v>
      </c>
      <c r="H105" s="32" t="s">
        <v>5519</v>
      </c>
      <c r="I105" s="32" t="s">
        <v>46</v>
      </c>
      <c r="J105" s="32" t="s">
        <v>40</v>
      </c>
      <c r="M105" s="32" t="s">
        <v>5412</v>
      </c>
      <c r="N105" s="32" t="s">
        <v>48</v>
      </c>
    </row>
    <row r="106" spans="1:14" s="32" customFormat="1" hidden="1" x14ac:dyDescent="0.3">
      <c r="A106" s="39">
        <v>46202.474108796298</v>
      </c>
      <c r="B106" s="32" t="s">
        <v>48</v>
      </c>
      <c r="C106" s="32">
        <v>4434221055</v>
      </c>
      <c r="E106" s="32">
        <v>27</v>
      </c>
      <c r="F106" s="32">
        <v>2</v>
      </c>
      <c r="G106" s="32" t="s">
        <v>38</v>
      </c>
      <c r="H106" s="32" t="s">
        <v>5520</v>
      </c>
      <c r="I106" s="32" t="s">
        <v>46</v>
      </c>
      <c r="J106" s="32" t="s">
        <v>40</v>
      </c>
      <c r="M106" s="32" t="s">
        <v>5412</v>
      </c>
      <c r="N106" s="32" t="s">
        <v>48</v>
      </c>
    </row>
    <row r="107" spans="1:14" s="32" customFormat="1" x14ac:dyDescent="0.3">
      <c r="A107" s="39">
        <v>46202.472337962965</v>
      </c>
      <c r="B107" s="32" t="s">
        <v>44</v>
      </c>
      <c r="C107" s="32">
        <v>11973545510</v>
      </c>
      <c r="E107" s="32">
        <v>255</v>
      </c>
      <c r="F107" s="32">
        <v>245</v>
      </c>
      <c r="G107" s="32" t="s">
        <v>38</v>
      </c>
      <c r="H107" s="32" t="s">
        <v>5521</v>
      </c>
      <c r="I107" s="32" t="s">
        <v>46</v>
      </c>
      <c r="J107" s="32" t="s">
        <v>40</v>
      </c>
      <c r="M107" s="32" t="s">
        <v>5416</v>
      </c>
      <c r="N107" s="32" t="s">
        <v>44</v>
      </c>
    </row>
    <row r="108" spans="1:14" s="32" customFormat="1" x14ac:dyDescent="0.3">
      <c r="A108" s="39">
        <v>46202.470196759263</v>
      </c>
      <c r="B108" s="32" t="s">
        <v>44</v>
      </c>
      <c r="C108" s="32">
        <v>4430562296</v>
      </c>
      <c r="E108" s="32">
        <v>43</v>
      </c>
      <c r="F108" s="32">
        <v>32</v>
      </c>
      <c r="G108" s="32" t="s">
        <v>38</v>
      </c>
      <c r="H108" s="32" t="s">
        <v>5522</v>
      </c>
      <c r="I108" s="32" t="s">
        <v>46</v>
      </c>
      <c r="J108" s="32" t="s">
        <v>40</v>
      </c>
      <c r="M108" s="32" t="s">
        <v>5416</v>
      </c>
      <c r="N108" s="32" t="s">
        <v>44</v>
      </c>
    </row>
    <row r="109" spans="1:14" s="32" customFormat="1" x14ac:dyDescent="0.3">
      <c r="A109" s="39">
        <v>46202.470138888886</v>
      </c>
      <c r="B109" s="32" t="s">
        <v>44</v>
      </c>
      <c r="C109" s="32">
        <v>4430562296</v>
      </c>
      <c r="E109" s="32">
        <v>14</v>
      </c>
      <c r="F109" s="32">
        <v>13</v>
      </c>
      <c r="G109" s="32" t="s">
        <v>38</v>
      </c>
      <c r="H109" s="32" t="s">
        <v>5523</v>
      </c>
      <c r="I109" s="32" t="s">
        <v>46</v>
      </c>
      <c r="J109" s="32" t="s">
        <v>40</v>
      </c>
      <c r="M109" s="32" t="s">
        <v>5416</v>
      </c>
      <c r="N109" s="32" t="s">
        <v>44</v>
      </c>
    </row>
    <row r="110" spans="1:14" s="32" customFormat="1" hidden="1" x14ac:dyDescent="0.3">
      <c r="A110" s="39">
        <v>46202.469907407409</v>
      </c>
      <c r="B110" s="32">
        <v>64984043469</v>
      </c>
      <c r="C110" s="32" t="s">
        <v>43</v>
      </c>
      <c r="D110" s="32">
        <v>4430265054</v>
      </c>
      <c r="E110" s="32">
        <v>94</v>
      </c>
      <c r="F110" s="32">
        <v>46</v>
      </c>
      <c r="G110" s="32" t="s">
        <v>38</v>
      </c>
      <c r="H110" s="32" t="s">
        <v>5524</v>
      </c>
      <c r="I110" s="32" t="s">
        <v>39</v>
      </c>
      <c r="J110" s="32" t="s">
        <v>40</v>
      </c>
      <c r="K110" s="32" t="s">
        <v>41</v>
      </c>
      <c r="M110" s="32" t="s">
        <v>5418</v>
      </c>
      <c r="N110" s="32" t="s">
        <v>43</v>
      </c>
    </row>
    <row r="111" spans="1:14" s="32" customFormat="1" hidden="1" x14ac:dyDescent="0.3">
      <c r="A111" s="39">
        <v>46202.463622685187</v>
      </c>
      <c r="B111" s="32">
        <v>4435226025</v>
      </c>
      <c r="C111" s="32" t="s">
        <v>43</v>
      </c>
      <c r="D111" s="32">
        <v>4430265054</v>
      </c>
      <c r="E111" s="32">
        <v>236</v>
      </c>
      <c r="F111" s="32">
        <v>215</v>
      </c>
      <c r="G111" s="32" t="s">
        <v>38</v>
      </c>
      <c r="H111" s="32" t="s">
        <v>5525</v>
      </c>
      <c r="I111" s="32" t="s">
        <v>39</v>
      </c>
      <c r="J111" s="32" t="s">
        <v>40</v>
      </c>
      <c r="K111" s="32" t="s">
        <v>41</v>
      </c>
      <c r="M111" s="32" t="s">
        <v>5418</v>
      </c>
      <c r="N111" s="32" t="s">
        <v>43</v>
      </c>
    </row>
    <row r="112" spans="1:14" s="32" customFormat="1" hidden="1" x14ac:dyDescent="0.3">
      <c r="A112" s="39">
        <v>46202.460590277777</v>
      </c>
      <c r="B112" s="32" t="s">
        <v>43</v>
      </c>
      <c r="C112" s="32">
        <v>44999550050</v>
      </c>
      <c r="E112" s="32">
        <v>67</v>
      </c>
      <c r="F112" s="32">
        <v>54</v>
      </c>
      <c r="G112" s="32" t="s">
        <v>38</v>
      </c>
      <c r="H112" s="32" t="s">
        <v>5526</v>
      </c>
      <c r="I112" s="32" t="s">
        <v>46</v>
      </c>
      <c r="J112" s="32" t="s">
        <v>40</v>
      </c>
      <c r="L112" s="32">
        <v>5</v>
      </c>
      <c r="M112" s="32" t="s">
        <v>5418</v>
      </c>
      <c r="N112" s="32" t="s">
        <v>43</v>
      </c>
    </row>
    <row r="113" spans="1:14" s="32" customFormat="1" hidden="1" x14ac:dyDescent="0.3">
      <c r="A113" s="39">
        <v>46202.45349537037</v>
      </c>
      <c r="B113" s="32">
        <v>4435228300</v>
      </c>
      <c r="C113" s="32" t="s">
        <v>43</v>
      </c>
      <c r="D113" s="32">
        <v>4430265054</v>
      </c>
      <c r="E113" s="32">
        <v>149</v>
      </c>
      <c r="F113" s="32">
        <v>131</v>
      </c>
      <c r="G113" s="32" t="s">
        <v>38</v>
      </c>
      <c r="H113" s="32" t="s">
        <v>5527</v>
      </c>
      <c r="I113" s="32" t="s">
        <v>39</v>
      </c>
      <c r="J113" s="32" t="s">
        <v>40</v>
      </c>
      <c r="K113" s="32" t="s">
        <v>41</v>
      </c>
      <c r="M113" s="32" t="s">
        <v>5418</v>
      </c>
      <c r="N113" s="32" t="s">
        <v>43</v>
      </c>
    </row>
    <row r="114" spans="1:14" s="32" customFormat="1" hidden="1" x14ac:dyDescent="0.3">
      <c r="A114" s="39">
        <v>46202.452719907407</v>
      </c>
      <c r="B114" s="32">
        <v>41991740047</v>
      </c>
      <c r="C114" s="32" t="s">
        <v>48</v>
      </c>
      <c r="D114" s="32">
        <v>4430265054</v>
      </c>
      <c r="E114" s="32">
        <v>1484</v>
      </c>
      <c r="F114" s="32">
        <v>1461</v>
      </c>
      <c r="G114" s="32" t="s">
        <v>38</v>
      </c>
      <c r="H114" s="32" t="s">
        <v>5528</v>
      </c>
      <c r="I114" s="32" t="s">
        <v>39</v>
      </c>
      <c r="J114" s="32" t="s">
        <v>40</v>
      </c>
      <c r="K114" s="32" t="s">
        <v>41</v>
      </c>
      <c r="L114" s="32">
        <v>5</v>
      </c>
      <c r="M114" s="32" t="s">
        <v>5412</v>
      </c>
      <c r="N114" s="32" t="s">
        <v>48</v>
      </c>
    </row>
    <row r="115" spans="1:14" s="32" customFormat="1" hidden="1" x14ac:dyDescent="0.3">
      <c r="A115" s="39">
        <v>46202.452280092592</v>
      </c>
      <c r="B115" s="32">
        <v>44997311122</v>
      </c>
      <c r="C115" s="32" t="s">
        <v>44</v>
      </c>
      <c r="D115" s="32">
        <v>4430265054</v>
      </c>
      <c r="E115" s="32">
        <v>1329</v>
      </c>
      <c r="F115" s="32">
        <v>1269</v>
      </c>
      <c r="G115" s="32" t="s">
        <v>38</v>
      </c>
      <c r="H115" s="32" t="s">
        <v>5529</v>
      </c>
      <c r="I115" s="32" t="s">
        <v>39</v>
      </c>
      <c r="J115" s="32" t="s">
        <v>40</v>
      </c>
      <c r="K115" s="32" t="s">
        <v>41</v>
      </c>
      <c r="M115" s="32" t="s">
        <v>5416</v>
      </c>
      <c r="N115" s="32" t="s">
        <v>44</v>
      </c>
    </row>
    <row r="116" spans="1:14" s="32" customFormat="1" hidden="1" x14ac:dyDescent="0.3">
      <c r="A116" s="39">
        <v>46202.451736111114</v>
      </c>
      <c r="B116" s="32" t="s">
        <v>37</v>
      </c>
      <c r="C116" s="32">
        <v>44991396687</v>
      </c>
      <c r="E116" s="32">
        <v>1556</v>
      </c>
      <c r="F116" s="32">
        <v>1548</v>
      </c>
      <c r="G116" s="32" t="s">
        <v>38</v>
      </c>
      <c r="H116" s="32" t="s">
        <v>5530</v>
      </c>
      <c r="I116" s="32" t="s">
        <v>46</v>
      </c>
      <c r="J116" s="32" t="s">
        <v>40</v>
      </c>
      <c r="M116" s="32" t="s">
        <v>5410</v>
      </c>
      <c r="N116" s="32" t="s">
        <v>37</v>
      </c>
    </row>
    <row r="117" spans="1:14" s="32" customFormat="1" hidden="1" x14ac:dyDescent="0.3">
      <c r="A117" s="39">
        <v>46202.450740740744</v>
      </c>
      <c r="B117" s="32">
        <v>41991740047</v>
      </c>
      <c r="C117" s="32">
        <v>4430265054</v>
      </c>
      <c r="D117" s="32">
        <v>4430265054</v>
      </c>
      <c r="E117" s="32">
        <v>59</v>
      </c>
      <c r="F117" s="32">
        <v>59</v>
      </c>
      <c r="G117" s="32" t="s">
        <v>52</v>
      </c>
      <c r="H117" s="32" t="s">
        <v>5531</v>
      </c>
      <c r="I117" s="32" t="s">
        <v>39</v>
      </c>
      <c r="J117" s="32" t="s">
        <v>53</v>
      </c>
      <c r="K117" s="32" t="s">
        <v>41</v>
      </c>
    </row>
    <row r="118" spans="1:14" s="32" customFormat="1" hidden="1" x14ac:dyDescent="0.3">
      <c r="A118" s="39">
        <v>46202.447650462964</v>
      </c>
      <c r="B118" s="32" t="s">
        <v>48</v>
      </c>
      <c r="C118" s="32">
        <v>4436311970</v>
      </c>
      <c r="E118" s="32">
        <v>412</v>
      </c>
      <c r="F118" s="32">
        <v>403</v>
      </c>
      <c r="G118" s="32" t="s">
        <v>38</v>
      </c>
      <c r="H118" s="32" t="s">
        <v>5532</v>
      </c>
      <c r="I118" s="32" t="s">
        <v>46</v>
      </c>
      <c r="J118" s="32" t="s">
        <v>40</v>
      </c>
      <c r="M118" s="32" t="s">
        <v>5412</v>
      </c>
      <c r="N118" s="32" t="s">
        <v>48</v>
      </c>
    </row>
    <row r="119" spans="1:14" s="32" customFormat="1" hidden="1" x14ac:dyDescent="0.3">
      <c r="A119" s="39">
        <v>46202.447581018518</v>
      </c>
      <c r="B119" s="32" t="s">
        <v>48</v>
      </c>
      <c r="C119" s="32">
        <v>4436311970</v>
      </c>
      <c r="E119" s="32">
        <v>14</v>
      </c>
      <c r="F119" s="32">
        <v>13</v>
      </c>
      <c r="G119" s="32" t="s">
        <v>38</v>
      </c>
      <c r="H119" s="32" t="s">
        <v>5533</v>
      </c>
      <c r="I119" s="32" t="s">
        <v>46</v>
      </c>
      <c r="J119" s="32" t="s">
        <v>40</v>
      </c>
      <c r="M119" s="32" t="s">
        <v>5412</v>
      </c>
      <c r="N119" s="32" t="s">
        <v>48</v>
      </c>
    </row>
    <row r="120" spans="1:14" s="32" customFormat="1" hidden="1" x14ac:dyDescent="0.3">
      <c r="A120" s="39">
        <v>46202.44635416667</v>
      </c>
      <c r="B120" s="32">
        <v>44999550050</v>
      </c>
      <c r="C120" s="32" t="s">
        <v>43</v>
      </c>
      <c r="D120" s="32">
        <v>4430265054</v>
      </c>
      <c r="E120" s="32">
        <v>315</v>
      </c>
      <c r="F120" s="32">
        <v>149</v>
      </c>
      <c r="G120" s="32" t="s">
        <v>38</v>
      </c>
      <c r="H120" s="32" t="s">
        <v>5534</v>
      </c>
      <c r="I120" s="32" t="s">
        <v>39</v>
      </c>
      <c r="J120" s="32" t="s">
        <v>40</v>
      </c>
      <c r="K120" s="32" t="s">
        <v>41</v>
      </c>
      <c r="M120" s="32" t="s">
        <v>5418</v>
      </c>
      <c r="N120" s="32" t="s">
        <v>43</v>
      </c>
    </row>
    <row r="121" spans="1:14" s="32" customFormat="1" hidden="1" x14ac:dyDescent="0.3">
      <c r="A121" s="39">
        <v>46202.444641203707</v>
      </c>
      <c r="B121" s="32">
        <v>44991335798</v>
      </c>
      <c r="C121" s="32" t="s">
        <v>45</v>
      </c>
      <c r="D121" s="32">
        <v>4430265054</v>
      </c>
      <c r="E121" s="32">
        <v>2574</v>
      </c>
      <c r="F121" s="32">
        <v>2534</v>
      </c>
      <c r="G121" s="32" t="s">
        <v>38</v>
      </c>
      <c r="H121" s="32" t="s">
        <v>5535</v>
      </c>
      <c r="I121" s="32" t="s">
        <v>39</v>
      </c>
      <c r="J121" s="32" t="s">
        <v>40</v>
      </c>
      <c r="K121" s="32" t="s">
        <v>41</v>
      </c>
      <c r="M121" s="32" t="s">
        <v>5421</v>
      </c>
      <c r="N121" s="32" t="s">
        <v>45</v>
      </c>
    </row>
    <row r="122" spans="1:14" s="32" customFormat="1" hidden="1" x14ac:dyDescent="0.3">
      <c r="A122" s="39">
        <v>46202.440601851849</v>
      </c>
      <c r="B122" s="32" t="s">
        <v>54</v>
      </c>
      <c r="C122" s="32">
        <v>19993427886</v>
      </c>
      <c r="E122" s="32">
        <v>14</v>
      </c>
      <c r="F122" s="32">
        <v>0</v>
      </c>
      <c r="G122" s="32" t="s">
        <v>47</v>
      </c>
      <c r="H122" s="32" t="s">
        <v>5536</v>
      </c>
      <c r="I122" s="32" t="s">
        <v>46</v>
      </c>
      <c r="J122" s="32" t="s">
        <v>55</v>
      </c>
      <c r="M122" s="32" t="s">
        <v>5537</v>
      </c>
      <c r="N122" s="32" t="s">
        <v>54</v>
      </c>
    </row>
    <row r="123" spans="1:14" s="32" customFormat="1" hidden="1" x14ac:dyDescent="0.3">
      <c r="A123" s="39">
        <v>46202.439768518518</v>
      </c>
      <c r="B123" s="32" t="s">
        <v>54</v>
      </c>
      <c r="C123" s="32">
        <v>21989969187</v>
      </c>
      <c r="E123" s="32">
        <v>7</v>
      </c>
      <c r="F123" s="32">
        <v>2</v>
      </c>
      <c r="G123" s="32" t="s">
        <v>38</v>
      </c>
      <c r="H123" s="32" t="s">
        <v>5538</v>
      </c>
      <c r="I123" s="32" t="s">
        <v>46</v>
      </c>
      <c r="J123" s="32" t="s">
        <v>55</v>
      </c>
      <c r="M123" s="32" t="s">
        <v>5537</v>
      </c>
      <c r="N123" s="32" t="s">
        <v>54</v>
      </c>
    </row>
    <row r="124" spans="1:14" s="32" customFormat="1" hidden="1" x14ac:dyDescent="0.3">
      <c r="A124" s="39">
        <v>46202.437997685185</v>
      </c>
      <c r="B124" s="32" t="s">
        <v>5539</v>
      </c>
      <c r="C124" s="32" t="s">
        <v>43</v>
      </c>
      <c r="D124" s="32">
        <v>4430265054</v>
      </c>
      <c r="E124" s="32">
        <v>585</v>
      </c>
      <c r="F124" s="32">
        <v>481</v>
      </c>
      <c r="G124" s="32" t="s">
        <v>38</v>
      </c>
      <c r="H124" s="32" t="s">
        <v>5540</v>
      </c>
      <c r="I124" s="32" t="s">
        <v>39</v>
      </c>
      <c r="J124" s="32" t="s">
        <v>40</v>
      </c>
      <c r="K124" s="32" t="s">
        <v>41</v>
      </c>
      <c r="L124" s="32">
        <v>5</v>
      </c>
      <c r="M124" s="32" t="s">
        <v>5418</v>
      </c>
      <c r="N124" s="32" t="s">
        <v>43</v>
      </c>
    </row>
    <row r="125" spans="1:14" s="32" customFormat="1" hidden="1" x14ac:dyDescent="0.3">
      <c r="A125" s="39">
        <v>46202.437291666669</v>
      </c>
      <c r="B125" s="32" t="s">
        <v>54</v>
      </c>
      <c r="C125" s="32">
        <v>85986429194</v>
      </c>
      <c r="E125" s="32">
        <v>10</v>
      </c>
      <c r="F125" s="32">
        <v>0</v>
      </c>
      <c r="G125" s="32" t="s">
        <v>47</v>
      </c>
      <c r="H125" s="32" t="s">
        <v>5541</v>
      </c>
      <c r="I125" s="32" t="s">
        <v>46</v>
      </c>
      <c r="J125" s="32" t="s">
        <v>55</v>
      </c>
      <c r="M125" s="32" t="s">
        <v>5537</v>
      </c>
      <c r="N125" s="32" t="s">
        <v>54</v>
      </c>
    </row>
    <row r="126" spans="1:14" s="32" customFormat="1" hidden="1" x14ac:dyDescent="0.3">
      <c r="A126" s="39">
        <v>46202.435046296298</v>
      </c>
      <c r="B126" s="32" t="s">
        <v>45</v>
      </c>
      <c r="C126" s="32">
        <v>44999637463</v>
      </c>
      <c r="E126" s="32">
        <v>182</v>
      </c>
      <c r="F126" s="32">
        <v>177</v>
      </c>
      <c r="G126" s="32" t="s">
        <v>38</v>
      </c>
      <c r="H126" s="32" t="s">
        <v>5542</v>
      </c>
      <c r="I126" s="32" t="s">
        <v>46</v>
      </c>
      <c r="J126" s="32" t="s">
        <v>40</v>
      </c>
      <c r="M126" s="32" t="s">
        <v>5421</v>
      </c>
      <c r="N126" s="32" t="s">
        <v>45</v>
      </c>
    </row>
    <row r="127" spans="1:14" s="32" customFormat="1" hidden="1" x14ac:dyDescent="0.3">
      <c r="A127" s="39">
        <v>46202.43340277778</v>
      </c>
      <c r="B127" s="32" t="s">
        <v>54</v>
      </c>
      <c r="C127" s="32">
        <v>48996642630</v>
      </c>
      <c r="E127" s="32">
        <v>21</v>
      </c>
      <c r="F127" s="32">
        <v>3</v>
      </c>
      <c r="G127" s="32" t="s">
        <v>38</v>
      </c>
      <c r="H127" s="32" t="s">
        <v>5543</v>
      </c>
      <c r="I127" s="32" t="s">
        <v>46</v>
      </c>
      <c r="J127" s="32" t="s">
        <v>55</v>
      </c>
      <c r="M127" s="32" t="s">
        <v>5537</v>
      </c>
      <c r="N127" s="32" t="s">
        <v>54</v>
      </c>
    </row>
    <row r="128" spans="1:14" s="32" customFormat="1" hidden="1" x14ac:dyDescent="0.3">
      <c r="A128" s="39">
        <v>46202.432280092595</v>
      </c>
      <c r="B128" s="32">
        <v>41991740047</v>
      </c>
      <c r="C128" s="32">
        <v>4430265054</v>
      </c>
      <c r="D128" s="32">
        <v>4430265054</v>
      </c>
      <c r="E128" s="32">
        <v>89</v>
      </c>
      <c r="F128" s="32">
        <v>89</v>
      </c>
      <c r="G128" s="32" t="s">
        <v>52</v>
      </c>
      <c r="H128" s="32" t="s">
        <v>5544</v>
      </c>
      <c r="I128" s="32" t="s">
        <v>39</v>
      </c>
      <c r="J128" s="32" t="s">
        <v>53</v>
      </c>
      <c r="K128" s="32" t="s">
        <v>41</v>
      </c>
    </row>
    <row r="129" spans="1:14" s="32" customFormat="1" hidden="1" x14ac:dyDescent="0.3">
      <c r="A129" s="39">
        <v>46202.432141203702</v>
      </c>
      <c r="B129" s="32" t="s">
        <v>54</v>
      </c>
      <c r="C129" s="32">
        <v>45999433004</v>
      </c>
      <c r="E129" s="32">
        <v>24</v>
      </c>
      <c r="F129" s="32">
        <v>0</v>
      </c>
      <c r="G129" s="32" t="s">
        <v>47</v>
      </c>
      <c r="H129" s="32" t="s">
        <v>5545</v>
      </c>
      <c r="I129" s="32" t="s">
        <v>46</v>
      </c>
      <c r="J129" s="32" t="s">
        <v>55</v>
      </c>
      <c r="M129" s="32" t="s">
        <v>5537</v>
      </c>
      <c r="N129" s="32" t="s">
        <v>54</v>
      </c>
    </row>
    <row r="130" spans="1:14" s="32" customFormat="1" hidden="1" x14ac:dyDescent="0.3">
      <c r="A130" s="39">
        <v>46202.430451388886</v>
      </c>
      <c r="B130" s="32" t="s">
        <v>54</v>
      </c>
      <c r="C130" s="32">
        <v>85996027064</v>
      </c>
      <c r="E130" s="32">
        <v>9</v>
      </c>
      <c r="F130" s="32">
        <v>0</v>
      </c>
      <c r="G130" s="32" t="s">
        <v>47</v>
      </c>
      <c r="H130" s="32" t="s">
        <v>5546</v>
      </c>
      <c r="I130" s="32" t="s">
        <v>46</v>
      </c>
      <c r="J130" s="32" t="s">
        <v>55</v>
      </c>
      <c r="M130" s="32" t="s">
        <v>5537</v>
      </c>
      <c r="N130" s="32" t="s">
        <v>54</v>
      </c>
    </row>
    <row r="131" spans="1:14" s="32" customFormat="1" hidden="1" x14ac:dyDescent="0.3">
      <c r="A131" s="39">
        <v>46202.429918981485</v>
      </c>
      <c r="B131" s="32">
        <v>4432256273</v>
      </c>
      <c r="C131" s="32" t="s">
        <v>45</v>
      </c>
      <c r="D131" s="32">
        <v>4430265054</v>
      </c>
      <c r="E131" s="32">
        <v>313</v>
      </c>
      <c r="F131" s="32">
        <v>270</v>
      </c>
      <c r="G131" s="32" t="s">
        <v>38</v>
      </c>
      <c r="H131" s="32" t="s">
        <v>5547</v>
      </c>
      <c r="I131" s="32" t="s">
        <v>39</v>
      </c>
      <c r="J131" s="32" t="s">
        <v>40</v>
      </c>
      <c r="K131" s="32" t="s">
        <v>41</v>
      </c>
      <c r="L131" s="32">
        <v>5</v>
      </c>
      <c r="M131" s="32" t="s">
        <v>5421</v>
      </c>
      <c r="N131" s="32" t="s">
        <v>45</v>
      </c>
    </row>
    <row r="132" spans="1:14" s="32" customFormat="1" hidden="1" x14ac:dyDescent="0.3">
      <c r="A132" s="39">
        <v>46202.429363425923</v>
      </c>
      <c r="B132" s="32" t="s">
        <v>54</v>
      </c>
      <c r="C132" s="32">
        <v>1932019545</v>
      </c>
      <c r="E132" s="32">
        <v>9</v>
      </c>
      <c r="F132" s="32">
        <v>0</v>
      </c>
      <c r="G132" s="32" t="s">
        <v>47</v>
      </c>
      <c r="H132" s="32" t="s">
        <v>5548</v>
      </c>
      <c r="I132" s="32" t="s">
        <v>46</v>
      </c>
      <c r="J132" s="32" t="s">
        <v>55</v>
      </c>
      <c r="M132" s="32" t="s">
        <v>5537</v>
      </c>
      <c r="N132" s="32" t="s">
        <v>54</v>
      </c>
    </row>
    <row r="133" spans="1:14" s="32" customFormat="1" hidden="1" x14ac:dyDescent="0.3">
      <c r="A133" s="39">
        <v>46202.42800925926</v>
      </c>
      <c r="B133" s="32">
        <v>41991740047</v>
      </c>
      <c r="C133" s="32" t="s">
        <v>45</v>
      </c>
      <c r="D133" s="32">
        <v>4430265054</v>
      </c>
      <c r="E133" s="32">
        <v>87</v>
      </c>
      <c r="F133" s="32">
        <v>38</v>
      </c>
      <c r="G133" s="32" t="s">
        <v>38</v>
      </c>
      <c r="H133" s="32" t="s">
        <v>5549</v>
      </c>
      <c r="I133" s="32" t="s">
        <v>39</v>
      </c>
      <c r="J133" s="32" t="s">
        <v>40</v>
      </c>
      <c r="K133" s="32" t="s">
        <v>41</v>
      </c>
      <c r="M133" s="32" t="s">
        <v>5421</v>
      </c>
      <c r="N133" s="32" t="s">
        <v>45</v>
      </c>
    </row>
    <row r="134" spans="1:14" s="32" customFormat="1" hidden="1" x14ac:dyDescent="0.3">
      <c r="A134" s="39">
        <v>46202.427071759259</v>
      </c>
      <c r="B134" s="32">
        <v>4430457886</v>
      </c>
      <c r="C134" s="32" t="s">
        <v>48</v>
      </c>
      <c r="D134" s="32">
        <v>4430265054</v>
      </c>
      <c r="E134" s="32">
        <v>745</v>
      </c>
      <c r="F134" s="32">
        <v>722</v>
      </c>
      <c r="G134" s="32" t="s">
        <v>38</v>
      </c>
      <c r="H134" s="32" t="s">
        <v>5550</v>
      </c>
      <c r="I134" s="32" t="s">
        <v>39</v>
      </c>
      <c r="J134" s="32" t="s">
        <v>40</v>
      </c>
      <c r="K134" s="32" t="s">
        <v>41</v>
      </c>
      <c r="M134" s="32" t="s">
        <v>5412</v>
      </c>
      <c r="N134" s="32" t="s">
        <v>48</v>
      </c>
    </row>
    <row r="135" spans="1:14" s="32" customFormat="1" hidden="1" x14ac:dyDescent="0.3">
      <c r="A135" s="39">
        <v>46202.42701388889</v>
      </c>
      <c r="B135" s="32">
        <v>64984043469</v>
      </c>
      <c r="C135" s="32" t="s">
        <v>44</v>
      </c>
      <c r="D135" s="32">
        <v>4430265054</v>
      </c>
      <c r="E135" s="32">
        <v>542</v>
      </c>
      <c r="F135" s="32">
        <v>502</v>
      </c>
      <c r="G135" s="32" t="s">
        <v>38</v>
      </c>
      <c r="H135" s="32" t="s">
        <v>5551</v>
      </c>
      <c r="I135" s="32" t="s">
        <v>39</v>
      </c>
      <c r="J135" s="32" t="s">
        <v>40</v>
      </c>
      <c r="K135" s="32" t="s">
        <v>41</v>
      </c>
      <c r="M135" s="32" t="s">
        <v>5416</v>
      </c>
      <c r="N135" s="32" t="s">
        <v>44</v>
      </c>
    </row>
    <row r="136" spans="1:14" s="32" customFormat="1" hidden="1" x14ac:dyDescent="0.3">
      <c r="A136" s="39">
        <v>46202.42696759259</v>
      </c>
      <c r="B136" s="32" t="s">
        <v>54</v>
      </c>
      <c r="C136" s="32">
        <v>12996311513</v>
      </c>
      <c r="E136" s="32">
        <v>20</v>
      </c>
      <c r="F136" s="32">
        <v>1</v>
      </c>
      <c r="G136" s="32" t="s">
        <v>38</v>
      </c>
      <c r="H136" s="32" t="s">
        <v>5552</v>
      </c>
      <c r="I136" s="32" t="s">
        <v>46</v>
      </c>
      <c r="J136" s="32" t="s">
        <v>55</v>
      </c>
      <c r="M136" s="32" t="s">
        <v>5537</v>
      </c>
      <c r="N136" s="32" t="s">
        <v>54</v>
      </c>
    </row>
    <row r="137" spans="1:14" s="32" customFormat="1" hidden="1" x14ac:dyDescent="0.3">
      <c r="A137" s="39">
        <v>46202.426099537035</v>
      </c>
      <c r="B137" s="32">
        <v>41991740047</v>
      </c>
      <c r="C137" s="32" t="s">
        <v>45</v>
      </c>
      <c r="D137" s="32">
        <v>4430265054</v>
      </c>
      <c r="E137" s="32">
        <v>104</v>
      </c>
      <c r="F137" s="32">
        <v>11</v>
      </c>
      <c r="G137" s="32" t="s">
        <v>38</v>
      </c>
      <c r="H137" s="32" t="s">
        <v>5553</v>
      </c>
      <c r="I137" s="32" t="s">
        <v>39</v>
      </c>
      <c r="J137" s="32" t="s">
        <v>40</v>
      </c>
      <c r="K137" s="32" t="s">
        <v>41</v>
      </c>
      <c r="M137" s="32" t="s">
        <v>5421</v>
      </c>
      <c r="N137" s="32" t="s">
        <v>45</v>
      </c>
    </row>
    <row r="138" spans="1:14" s="32" customFormat="1" hidden="1" x14ac:dyDescent="0.3">
      <c r="A138" s="39">
        <v>46202.425902777781</v>
      </c>
      <c r="B138" s="32" t="s">
        <v>54</v>
      </c>
      <c r="C138" s="32">
        <v>94992351285</v>
      </c>
      <c r="E138" s="32">
        <v>7</v>
      </c>
      <c r="F138" s="32">
        <v>2</v>
      </c>
      <c r="G138" s="32" t="s">
        <v>38</v>
      </c>
      <c r="H138" s="32" t="s">
        <v>5554</v>
      </c>
      <c r="I138" s="32" t="s">
        <v>46</v>
      </c>
      <c r="J138" s="32" t="s">
        <v>55</v>
      </c>
      <c r="M138" s="32" t="s">
        <v>5537</v>
      </c>
      <c r="N138" s="32" t="s">
        <v>54</v>
      </c>
    </row>
    <row r="139" spans="1:14" s="32" customFormat="1" hidden="1" x14ac:dyDescent="0.3">
      <c r="A139" s="39">
        <v>46202.425254629627</v>
      </c>
      <c r="B139" s="32">
        <v>41991740047</v>
      </c>
      <c r="C139" s="32">
        <v>4430265054</v>
      </c>
      <c r="D139" s="32">
        <v>4430265054</v>
      </c>
      <c r="E139" s="32">
        <v>54</v>
      </c>
      <c r="F139" s="32">
        <v>53</v>
      </c>
      <c r="G139" s="32" t="s">
        <v>52</v>
      </c>
      <c r="H139" s="32" t="s">
        <v>5555</v>
      </c>
      <c r="I139" s="32" t="s">
        <v>39</v>
      </c>
      <c r="J139" s="32" t="s">
        <v>53</v>
      </c>
      <c r="K139" s="32" t="s">
        <v>41</v>
      </c>
    </row>
    <row r="140" spans="1:14" s="32" customFormat="1" hidden="1" x14ac:dyDescent="0.3">
      <c r="A140" s="39">
        <v>46202.42491898148</v>
      </c>
      <c r="B140" s="32">
        <v>44999550050</v>
      </c>
      <c r="C140" s="32" t="s">
        <v>37</v>
      </c>
      <c r="D140" s="32">
        <v>4430265054</v>
      </c>
      <c r="E140" s="32">
        <v>435</v>
      </c>
      <c r="F140" s="32">
        <v>308</v>
      </c>
      <c r="G140" s="32" t="s">
        <v>38</v>
      </c>
      <c r="H140" s="32" t="s">
        <v>5556</v>
      </c>
      <c r="I140" s="32" t="s">
        <v>39</v>
      </c>
      <c r="J140" s="32" t="s">
        <v>40</v>
      </c>
      <c r="K140" s="32" t="s">
        <v>41</v>
      </c>
      <c r="L140" s="32">
        <v>5</v>
      </c>
      <c r="M140" s="32" t="s">
        <v>5410</v>
      </c>
      <c r="N140" s="32" t="s">
        <v>37</v>
      </c>
    </row>
    <row r="141" spans="1:14" s="32" customFormat="1" hidden="1" x14ac:dyDescent="0.3">
      <c r="A141" s="39">
        <v>46202.424560185187</v>
      </c>
      <c r="B141" s="32" t="s">
        <v>54</v>
      </c>
      <c r="C141" s="32">
        <v>86988772257</v>
      </c>
      <c r="E141" s="32">
        <v>30</v>
      </c>
      <c r="F141" s="32">
        <v>0</v>
      </c>
      <c r="G141" s="32" t="s">
        <v>47</v>
      </c>
      <c r="H141" s="32" t="s">
        <v>5557</v>
      </c>
      <c r="I141" s="32" t="s">
        <v>46</v>
      </c>
      <c r="J141" s="32" t="s">
        <v>55</v>
      </c>
      <c r="M141" s="32" t="s">
        <v>5537</v>
      </c>
      <c r="N141" s="32" t="s">
        <v>54</v>
      </c>
    </row>
    <row r="142" spans="1:14" s="32" customFormat="1" hidden="1" x14ac:dyDescent="0.3">
      <c r="A142" s="39">
        <v>46202.422962962963</v>
      </c>
      <c r="B142" s="32">
        <v>44991396687</v>
      </c>
      <c r="C142" s="32" t="s">
        <v>48</v>
      </c>
      <c r="D142" s="32">
        <v>4430265054</v>
      </c>
      <c r="E142" s="32">
        <v>244</v>
      </c>
      <c r="F142" s="32">
        <v>244</v>
      </c>
      <c r="G142" s="32" t="s">
        <v>38</v>
      </c>
      <c r="H142" s="32" t="s">
        <v>5558</v>
      </c>
      <c r="I142" s="32" t="s">
        <v>39</v>
      </c>
      <c r="J142" s="32" t="s">
        <v>40</v>
      </c>
      <c r="K142" s="32" t="s">
        <v>41</v>
      </c>
      <c r="M142" s="32" t="s">
        <v>5412</v>
      </c>
      <c r="N142" s="32" t="s">
        <v>48</v>
      </c>
    </row>
    <row r="143" spans="1:14" s="32" customFormat="1" hidden="1" x14ac:dyDescent="0.3">
      <c r="A143" s="39">
        <v>46202.420671296299</v>
      </c>
      <c r="B143" s="32">
        <v>4436249360</v>
      </c>
      <c r="C143" s="32" t="s">
        <v>45</v>
      </c>
      <c r="D143" s="32">
        <v>4430265054</v>
      </c>
      <c r="E143" s="32">
        <v>426</v>
      </c>
      <c r="F143" s="32">
        <v>365</v>
      </c>
      <c r="G143" s="32" t="s">
        <v>38</v>
      </c>
      <c r="H143" s="32" t="s">
        <v>5559</v>
      </c>
      <c r="I143" s="32" t="s">
        <v>39</v>
      </c>
      <c r="J143" s="32" t="s">
        <v>40</v>
      </c>
      <c r="K143" s="32" t="s">
        <v>41</v>
      </c>
      <c r="M143" s="32" t="s">
        <v>5421</v>
      </c>
      <c r="N143" s="32" t="s">
        <v>45</v>
      </c>
    </row>
    <row r="144" spans="1:14" s="32" customFormat="1" hidden="1" x14ac:dyDescent="0.3">
      <c r="A144" s="39">
        <v>46202.420590277776</v>
      </c>
      <c r="B144" s="32" t="s">
        <v>37</v>
      </c>
      <c r="C144" s="32">
        <v>4435228300</v>
      </c>
      <c r="E144" s="32">
        <v>282</v>
      </c>
      <c r="F144" s="32">
        <v>266</v>
      </c>
      <c r="G144" s="32" t="s">
        <v>38</v>
      </c>
      <c r="H144" s="32" t="s">
        <v>5560</v>
      </c>
      <c r="I144" s="32" t="s">
        <v>46</v>
      </c>
      <c r="J144" s="32" t="s">
        <v>40</v>
      </c>
      <c r="M144" s="32" t="s">
        <v>5410</v>
      </c>
      <c r="N144" s="32" t="s">
        <v>37</v>
      </c>
    </row>
    <row r="145" spans="1:14" s="32" customFormat="1" hidden="1" x14ac:dyDescent="0.3">
      <c r="A145" s="39">
        <v>46202.414837962962</v>
      </c>
      <c r="B145" s="32" t="s">
        <v>45</v>
      </c>
      <c r="C145" s="32">
        <v>44999637463</v>
      </c>
      <c r="E145" s="32">
        <v>327</v>
      </c>
      <c r="F145" s="32">
        <v>321</v>
      </c>
      <c r="G145" s="32" t="s">
        <v>38</v>
      </c>
      <c r="H145" s="32" t="s">
        <v>5561</v>
      </c>
      <c r="I145" s="32" t="s">
        <v>46</v>
      </c>
      <c r="J145" s="32" t="s">
        <v>40</v>
      </c>
      <c r="M145" s="32" t="s">
        <v>5421</v>
      </c>
      <c r="N145" s="32" t="s">
        <v>45</v>
      </c>
    </row>
    <row r="146" spans="1:14" s="32" customFormat="1" hidden="1" x14ac:dyDescent="0.3">
      <c r="A146" s="39">
        <v>46202.405868055554</v>
      </c>
      <c r="B146" s="32">
        <v>62992049473</v>
      </c>
      <c r="C146" s="32" t="s">
        <v>48</v>
      </c>
      <c r="D146" s="32">
        <v>4430265054</v>
      </c>
      <c r="E146" s="32">
        <v>562</v>
      </c>
      <c r="F146" s="32">
        <v>491</v>
      </c>
      <c r="G146" s="32" t="s">
        <v>38</v>
      </c>
      <c r="H146" s="32" t="s">
        <v>5562</v>
      </c>
      <c r="I146" s="32" t="s">
        <v>39</v>
      </c>
      <c r="J146" s="32" t="s">
        <v>40</v>
      </c>
      <c r="K146" s="32" t="s">
        <v>41</v>
      </c>
      <c r="M146" s="32" t="s">
        <v>5412</v>
      </c>
      <c r="N146" s="32" t="s">
        <v>48</v>
      </c>
    </row>
    <row r="147" spans="1:14" s="32" customFormat="1" hidden="1" x14ac:dyDescent="0.3">
      <c r="A147" s="39">
        <v>46202.404652777775</v>
      </c>
      <c r="B147" s="32">
        <v>44991116911</v>
      </c>
      <c r="C147" s="32" t="s">
        <v>44</v>
      </c>
      <c r="D147" s="32">
        <v>4430265054</v>
      </c>
      <c r="E147" s="32">
        <v>375</v>
      </c>
      <c r="F147" s="32">
        <v>305</v>
      </c>
      <c r="G147" s="32" t="s">
        <v>38</v>
      </c>
      <c r="H147" s="32" t="s">
        <v>5563</v>
      </c>
      <c r="I147" s="32" t="s">
        <v>39</v>
      </c>
      <c r="J147" s="32" t="s">
        <v>40</v>
      </c>
      <c r="K147" s="32" t="s">
        <v>41</v>
      </c>
      <c r="M147" s="32" t="s">
        <v>5416</v>
      </c>
      <c r="N147" s="32" t="s">
        <v>44</v>
      </c>
    </row>
    <row r="148" spans="1:14" s="32" customFormat="1" hidden="1" x14ac:dyDescent="0.3">
      <c r="A148" s="39">
        <v>46202.401921296296</v>
      </c>
      <c r="B148" s="32">
        <v>4435228300</v>
      </c>
      <c r="C148" s="32" t="s">
        <v>37</v>
      </c>
      <c r="D148" s="32">
        <v>4430265054</v>
      </c>
      <c r="E148" s="32">
        <v>1017</v>
      </c>
      <c r="F148" s="32">
        <v>741</v>
      </c>
      <c r="G148" s="32" t="s">
        <v>38</v>
      </c>
      <c r="H148" s="32" t="s">
        <v>5564</v>
      </c>
      <c r="I148" s="32" t="s">
        <v>39</v>
      </c>
      <c r="J148" s="32" t="s">
        <v>40</v>
      </c>
      <c r="K148" s="32" t="s">
        <v>41</v>
      </c>
      <c r="M148" s="32" t="s">
        <v>5410</v>
      </c>
      <c r="N148" s="32" t="s">
        <v>37</v>
      </c>
    </row>
    <row r="149" spans="1:14" s="32" customFormat="1" hidden="1" x14ac:dyDescent="0.3">
      <c r="A149" s="39">
        <v>46202.401689814818</v>
      </c>
      <c r="B149" s="32">
        <v>4430562296</v>
      </c>
      <c r="C149" s="32" t="s">
        <v>45</v>
      </c>
      <c r="D149" s="32">
        <v>4430265054</v>
      </c>
      <c r="E149" s="32">
        <v>1102</v>
      </c>
      <c r="F149" s="32">
        <v>1030</v>
      </c>
      <c r="G149" s="32" t="s">
        <v>38</v>
      </c>
      <c r="H149" s="32" t="s">
        <v>5565</v>
      </c>
      <c r="I149" s="32" t="s">
        <v>39</v>
      </c>
      <c r="J149" s="32" t="s">
        <v>40</v>
      </c>
      <c r="K149" s="32" t="s">
        <v>41</v>
      </c>
      <c r="M149" s="32" t="s">
        <v>5421</v>
      </c>
      <c r="N149" s="32" t="s">
        <v>45</v>
      </c>
    </row>
    <row r="150" spans="1:14" s="32" customFormat="1" hidden="1" x14ac:dyDescent="0.3">
      <c r="A150" s="39">
        <v>46202.401504629626</v>
      </c>
      <c r="B150" s="32">
        <v>62992049473</v>
      </c>
      <c r="C150" s="32">
        <v>4430265054</v>
      </c>
      <c r="D150" s="32">
        <v>4430265054</v>
      </c>
      <c r="E150" s="32">
        <v>4</v>
      </c>
      <c r="F150" s="32">
        <v>4</v>
      </c>
      <c r="G150" s="32" t="s">
        <v>52</v>
      </c>
      <c r="H150" s="32" t="s">
        <v>5566</v>
      </c>
      <c r="I150" s="32" t="s">
        <v>39</v>
      </c>
      <c r="J150" s="32" t="s">
        <v>53</v>
      </c>
    </row>
    <row r="151" spans="1:14" s="32" customFormat="1" hidden="1" x14ac:dyDescent="0.3">
      <c r="A151" s="39">
        <v>46202.39880787037</v>
      </c>
      <c r="B151" s="32">
        <v>4431337559</v>
      </c>
      <c r="C151" s="32" t="s">
        <v>44</v>
      </c>
      <c r="D151" s="32">
        <v>4430265054</v>
      </c>
      <c r="E151" s="32">
        <v>526</v>
      </c>
      <c r="F151" s="32">
        <v>486</v>
      </c>
      <c r="G151" s="32" t="s">
        <v>38</v>
      </c>
      <c r="H151" s="32" t="s">
        <v>5567</v>
      </c>
      <c r="I151" s="32" t="s">
        <v>39</v>
      </c>
      <c r="J151" s="32" t="s">
        <v>40</v>
      </c>
      <c r="K151" s="32" t="s">
        <v>41</v>
      </c>
      <c r="M151" s="32" t="s">
        <v>5416</v>
      </c>
      <c r="N151" s="32" t="s">
        <v>44</v>
      </c>
    </row>
    <row r="152" spans="1:14" s="32" customFormat="1" hidden="1" x14ac:dyDescent="0.3">
      <c r="A152" s="39">
        <v>46202.390902777777</v>
      </c>
      <c r="B152" s="32">
        <v>4430562296</v>
      </c>
      <c r="C152" s="32" t="s">
        <v>44</v>
      </c>
      <c r="D152" s="32">
        <v>4430265054</v>
      </c>
      <c r="E152" s="32">
        <v>328</v>
      </c>
      <c r="F152" s="32">
        <v>280</v>
      </c>
      <c r="G152" s="32" t="s">
        <v>38</v>
      </c>
      <c r="H152" s="32" t="s">
        <v>5568</v>
      </c>
      <c r="I152" s="32" t="s">
        <v>39</v>
      </c>
      <c r="J152" s="32" t="s">
        <v>40</v>
      </c>
      <c r="K152" s="32" t="s">
        <v>41</v>
      </c>
      <c r="M152" s="32" t="s">
        <v>5416</v>
      </c>
      <c r="N152" s="32" t="s">
        <v>44</v>
      </c>
    </row>
    <row r="153" spans="1:14" s="32" customFormat="1" hidden="1" x14ac:dyDescent="0.3">
      <c r="A153" s="39">
        <v>46202.389062499999</v>
      </c>
      <c r="B153" s="32">
        <v>4435226025</v>
      </c>
      <c r="C153" s="32" t="s">
        <v>37</v>
      </c>
      <c r="D153" s="32">
        <v>4430265054</v>
      </c>
      <c r="E153" s="32">
        <v>1097</v>
      </c>
      <c r="F153" s="32">
        <v>969</v>
      </c>
      <c r="G153" s="32" t="s">
        <v>38</v>
      </c>
      <c r="H153" s="32" t="s">
        <v>5569</v>
      </c>
      <c r="I153" s="32" t="s">
        <v>39</v>
      </c>
      <c r="J153" s="32" t="s">
        <v>40</v>
      </c>
      <c r="K153" s="32" t="s">
        <v>41</v>
      </c>
      <c r="M153" s="32" t="s">
        <v>5410</v>
      </c>
      <c r="N153" s="32" t="s">
        <v>37</v>
      </c>
    </row>
    <row r="154" spans="1:14" s="32" customFormat="1" hidden="1" x14ac:dyDescent="0.3">
      <c r="A154" s="39">
        <v>46202.388344907406</v>
      </c>
      <c r="B154" s="32">
        <v>44991755273</v>
      </c>
      <c r="C154" s="32" t="s">
        <v>48</v>
      </c>
      <c r="D154" s="32">
        <v>4430265054</v>
      </c>
      <c r="E154" s="32">
        <v>661</v>
      </c>
      <c r="F154" s="32">
        <v>661</v>
      </c>
      <c r="G154" s="32" t="s">
        <v>38</v>
      </c>
      <c r="H154" s="32" t="s">
        <v>5570</v>
      </c>
      <c r="I154" s="32" t="s">
        <v>39</v>
      </c>
      <c r="J154" s="32" t="s">
        <v>40</v>
      </c>
      <c r="K154" s="32" t="s">
        <v>41</v>
      </c>
      <c r="M154" s="32" t="s">
        <v>5412</v>
      </c>
      <c r="N154" s="32" t="s">
        <v>48</v>
      </c>
    </row>
    <row r="155" spans="1:14" s="32" customFormat="1" hidden="1" x14ac:dyDescent="0.3">
      <c r="A155" s="39">
        <v>46202.387638888889</v>
      </c>
      <c r="B155" s="32">
        <v>4330333558</v>
      </c>
      <c r="C155" s="32" t="s">
        <v>44</v>
      </c>
      <c r="D155" s="32">
        <v>4430265054</v>
      </c>
      <c r="E155" s="32">
        <v>295</v>
      </c>
      <c r="F155" s="32">
        <v>267</v>
      </c>
      <c r="G155" s="32" t="s">
        <v>38</v>
      </c>
      <c r="H155" s="32" t="s">
        <v>5571</v>
      </c>
      <c r="I155" s="32" t="s">
        <v>39</v>
      </c>
      <c r="J155" s="32" t="s">
        <v>40</v>
      </c>
      <c r="K155" s="32" t="s">
        <v>41</v>
      </c>
      <c r="L155" s="32">
        <v>5</v>
      </c>
      <c r="M155" s="32" t="s">
        <v>5416</v>
      </c>
      <c r="N155" s="32" t="s">
        <v>44</v>
      </c>
    </row>
    <row r="156" spans="1:14" s="32" customFormat="1" hidden="1" x14ac:dyDescent="0.3">
      <c r="A156" s="39">
        <v>46202.38521990741</v>
      </c>
      <c r="B156" s="32">
        <v>4330333558</v>
      </c>
      <c r="C156" s="32">
        <v>4430265054</v>
      </c>
      <c r="D156" s="32">
        <v>4430265054</v>
      </c>
      <c r="E156" s="32">
        <v>22</v>
      </c>
      <c r="F156" s="32">
        <v>21</v>
      </c>
      <c r="G156" s="32" t="s">
        <v>52</v>
      </c>
      <c r="H156" s="32" t="s">
        <v>5572</v>
      </c>
      <c r="I156" s="32" t="s">
        <v>39</v>
      </c>
      <c r="J156" s="32" t="s">
        <v>53</v>
      </c>
      <c r="K156" s="32" t="s">
        <v>41</v>
      </c>
    </row>
    <row r="157" spans="1:14" s="32" customFormat="1" hidden="1" x14ac:dyDescent="0.3">
      <c r="A157" s="39">
        <v>46202.385127314818</v>
      </c>
      <c r="B157" s="32">
        <v>41991740047</v>
      </c>
      <c r="C157" s="32" t="s">
        <v>45</v>
      </c>
      <c r="D157" s="32">
        <v>4430265054</v>
      </c>
      <c r="E157" s="32">
        <v>1492</v>
      </c>
      <c r="F157" s="32">
        <v>1448</v>
      </c>
      <c r="G157" s="32" t="s">
        <v>38</v>
      </c>
      <c r="H157" s="32" t="s">
        <v>5573</v>
      </c>
      <c r="I157" s="32" t="s">
        <v>39</v>
      </c>
      <c r="J157" s="32" t="s">
        <v>40</v>
      </c>
      <c r="K157" s="32" t="s">
        <v>41</v>
      </c>
      <c r="M157" s="32" t="s">
        <v>5421</v>
      </c>
      <c r="N157" s="32" t="s">
        <v>45</v>
      </c>
    </row>
    <row r="158" spans="1:14" s="32" customFormat="1" hidden="1" x14ac:dyDescent="0.3">
      <c r="A158" s="39">
        <v>46202.383761574078</v>
      </c>
      <c r="B158" s="32" t="s">
        <v>45</v>
      </c>
      <c r="C158" s="32">
        <v>44999637463</v>
      </c>
      <c r="E158" s="32">
        <v>106</v>
      </c>
      <c r="F158" s="32">
        <v>99</v>
      </c>
      <c r="G158" s="32" t="s">
        <v>38</v>
      </c>
      <c r="H158" s="32" t="s">
        <v>5574</v>
      </c>
      <c r="I158" s="32" t="s">
        <v>46</v>
      </c>
      <c r="J158" s="32" t="s">
        <v>40</v>
      </c>
      <c r="M158" s="32" t="s">
        <v>5421</v>
      </c>
      <c r="N158" s="32" t="s">
        <v>45</v>
      </c>
    </row>
    <row r="159" spans="1:14" s="32" customFormat="1" hidden="1" x14ac:dyDescent="0.3">
      <c r="A159" s="39">
        <v>46202.383333333331</v>
      </c>
      <c r="B159" s="32" t="s">
        <v>45</v>
      </c>
      <c r="C159" s="32">
        <v>44999637463</v>
      </c>
      <c r="E159" s="32">
        <v>31</v>
      </c>
      <c r="F159" s="32">
        <v>24</v>
      </c>
      <c r="G159" s="32" t="s">
        <v>38</v>
      </c>
      <c r="H159" s="32" t="s">
        <v>5575</v>
      </c>
      <c r="I159" s="32" t="s">
        <v>46</v>
      </c>
      <c r="J159" s="32" t="s">
        <v>40</v>
      </c>
      <c r="M159" s="32" t="s">
        <v>5421</v>
      </c>
      <c r="N159" s="32" t="s">
        <v>45</v>
      </c>
    </row>
    <row r="160" spans="1:14" s="32" customFormat="1" hidden="1" x14ac:dyDescent="0.3">
      <c r="A160" s="39">
        <v>46202.37572916667</v>
      </c>
      <c r="B160" s="32" t="s">
        <v>5539</v>
      </c>
      <c r="C160" s="32" t="s">
        <v>44</v>
      </c>
      <c r="D160" s="32">
        <v>4430265054</v>
      </c>
      <c r="E160" s="32">
        <v>131</v>
      </c>
      <c r="F160" s="32">
        <v>83</v>
      </c>
      <c r="G160" s="32" t="s">
        <v>38</v>
      </c>
      <c r="H160" s="32" t="s">
        <v>5576</v>
      </c>
      <c r="I160" s="32" t="s">
        <v>39</v>
      </c>
      <c r="J160" s="32" t="s">
        <v>40</v>
      </c>
      <c r="K160" s="32" t="s">
        <v>41</v>
      </c>
      <c r="M160" s="32" t="s">
        <v>5416</v>
      </c>
      <c r="N160" s="32" t="s">
        <v>44</v>
      </c>
    </row>
    <row r="161" spans="1:14" s="32" customFormat="1" hidden="1" x14ac:dyDescent="0.3">
      <c r="A161" s="39">
        <v>46202.375590277778</v>
      </c>
      <c r="B161" s="32" t="s">
        <v>54</v>
      </c>
      <c r="C161" s="32">
        <v>62982615696</v>
      </c>
      <c r="E161" s="32">
        <v>17</v>
      </c>
      <c r="F161" s="32">
        <v>0</v>
      </c>
      <c r="G161" s="32" t="s">
        <v>47</v>
      </c>
      <c r="H161" s="32" t="s">
        <v>5577</v>
      </c>
      <c r="I161" s="32" t="s">
        <v>46</v>
      </c>
      <c r="J161" s="32" t="s">
        <v>55</v>
      </c>
      <c r="M161" s="32" t="s">
        <v>5537</v>
      </c>
      <c r="N161" s="32" t="s">
        <v>54</v>
      </c>
    </row>
    <row r="162" spans="1:14" s="32" customFormat="1" hidden="1" x14ac:dyDescent="0.3">
      <c r="A162" s="39">
        <v>46202.372627314813</v>
      </c>
      <c r="B162" s="32">
        <v>4330333542</v>
      </c>
      <c r="C162" s="32" t="s">
        <v>48</v>
      </c>
      <c r="D162" s="32">
        <v>4430265054</v>
      </c>
      <c r="E162" s="32">
        <v>200</v>
      </c>
      <c r="F162" s="32">
        <v>152</v>
      </c>
      <c r="G162" s="32" t="s">
        <v>38</v>
      </c>
      <c r="H162" s="32" t="s">
        <v>5578</v>
      </c>
      <c r="I162" s="32" t="s">
        <v>39</v>
      </c>
      <c r="J162" s="32" t="s">
        <v>40</v>
      </c>
      <c r="K162" s="32" t="s">
        <v>41</v>
      </c>
      <c r="M162" s="32" t="s">
        <v>5412</v>
      </c>
      <c r="N162" s="32" t="s">
        <v>48</v>
      </c>
    </row>
    <row r="163" spans="1:14" s="32" customFormat="1" hidden="1" x14ac:dyDescent="0.3">
      <c r="A163" s="39">
        <v>46202.371331018519</v>
      </c>
      <c r="B163" s="32">
        <v>44991396687</v>
      </c>
      <c r="C163" s="32" t="s">
        <v>37</v>
      </c>
      <c r="D163" s="32">
        <v>4430265054</v>
      </c>
      <c r="E163" s="32">
        <v>1507</v>
      </c>
      <c r="F163" s="32">
        <v>1460</v>
      </c>
      <c r="G163" s="32" t="s">
        <v>38</v>
      </c>
      <c r="H163" s="32" t="s">
        <v>5579</v>
      </c>
      <c r="I163" s="32" t="s">
        <v>39</v>
      </c>
      <c r="J163" s="32" t="s">
        <v>40</v>
      </c>
      <c r="K163" s="32" t="s">
        <v>41</v>
      </c>
      <c r="M163" s="32" t="s">
        <v>5410</v>
      </c>
      <c r="N163" s="32" t="s">
        <v>37</v>
      </c>
    </row>
    <row r="164" spans="1:14" s="32" customFormat="1" hidden="1" x14ac:dyDescent="0.3">
      <c r="A164" s="39">
        <v>46202.370486111111</v>
      </c>
      <c r="B164" s="32">
        <v>4435228300</v>
      </c>
      <c r="C164" s="32" t="s">
        <v>44</v>
      </c>
      <c r="D164" s="32">
        <v>4430265054</v>
      </c>
      <c r="E164" s="32">
        <v>405</v>
      </c>
      <c r="F164" s="32">
        <v>377</v>
      </c>
      <c r="G164" s="32" t="s">
        <v>38</v>
      </c>
      <c r="H164" s="32" t="s">
        <v>5580</v>
      </c>
      <c r="I164" s="32" t="s">
        <v>39</v>
      </c>
      <c r="J164" s="32" t="s">
        <v>40</v>
      </c>
      <c r="K164" s="32" t="s">
        <v>41</v>
      </c>
      <c r="M164" s="32" t="s">
        <v>5416</v>
      </c>
      <c r="N164" s="32" t="s">
        <v>44</v>
      </c>
    </row>
    <row r="165" spans="1:14" s="32" customFormat="1" hidden="1" x14ac:dyDescent="0.3">
      <c r="A165" s="39">
        <v>46202.370023148149</v>
      </c>
      <c r="B165" s="32">
        <v>4430562296</v>
      </c>
      <c r="C165" s="32" t="s">
        <v>45</v>
      </c>
      <c r="D165" s="32">
        <v>4430265054</v>
      </c>
      <c r="E165" s="32">
        <v>626</v>
      </c>
      <c r="F165" s="32">
        <v>585</v>
      </c>
      <c r="G165" s="32" t="s">
        <v>38</v>
      </c>
      <c r="H165" s="32" t="s">
        <v>5581</v>
      </c>
      <c r="I165" s="32" t="s">
        <v>39</v>
      </c>
      <c r="J165" s="32" t="s">
        <v>40</v>
      </c>
      <c r="K165" s="32" t="s">
        <v>41</v>
      </c>
      <c r="M165" s="32" t="s">
        <v>5421</v>
      </c>
      <c r="N165" s="32" t="s">
        <v>45</v>
      </c>
    </row>
    <row r="166" spans="1:14" s="32" customFormat="1" hidden="1" x14ac:dyDescent="0.3">
      <c r="A166" s="39">
        <v>46202.364328703705</v>
      </c>
      <c r="B166" s="32">
        <v>4436281154</v>
      </c>
      <c r="C166" s="32" t="s">
        <v>37</v>
      </c>
      <c r="D166" s="32">
        <v>4430265054</v>
      </c>
      <c r="E166" s="32">
        <v>353</v>
      </c>
      <c r="F166" s="32">
        <v>335</v>
      </c>
      <c r="G166" s="32" t="s">
        <v>38</v>
      </c>
      <c r="H166" s="32" t="s">
        <v>5582</v>
      </c>
      <c r="I166" s="32" t="s">
        <v>39</v>
      </c>
      <c r="J166" s="32" t="s">
        <v>40</v>
      </c>
      <c r="K166" s="32" t="s">
        <v>41</v>
      </c>
      <c r="M166" s="32" t="s">
        <v>5410</v>
      </c>
      <c r="N166" s="32" t="s">
        <v>37</v>
      </c>
    </row>
    <row r="167" spans="1:14" s="32" customFormat="1" hidden="1" x14ac:dyDescent="0.3">
      <c r="A167" s="39">
        <v>46202.359293981484</v>
      </c>
      <c r="B167" s="32">
        <v>44991755273</v>
      </c>
      <c r="C167" s="32" t="s">
        <v>44</v>
      </c>
      <c r="D167" s="32">
        <v>4430265054</v>
      </c>
      <c r="E167" s="32">
        <v>803</v>
      </c>
      <c r="F167" s="32">
        <v>744</v>
      </c>
      <c r="G167" s="32" t="s">
        <v>38</v>
      </c>
      <c r="H167" s="32" t="s">
        <v>5583</v>
      </c>
      <c r="I167" s="32" t="s">
        <v>39</v>
      </c>
      <c r="J167" s="32" t="s">
        <v>40</v>
      </c>
      <c r="K167" s="32" t="s">
        <v>41</v>
      </c>
      <c r="M167" s="32" t="s">
        <v>5416</v>
      </c>
      <c r="N167" s="32" t="s">
        <v>44</v>
      </c>
    </row>
    <row r="168" spans="1:14" s="32" customFormat="1" hidden="1" x14ac:dyDescent="0.3">
      <c r="A168" s="39">
        <v>46202.356215277781</v>
      </c>
      <c r="B168" s="32">
        <v>41991740047</v>
      </c>
      <c r="C168" s="32" t="s">
        <v>48</v>
      </c>
      <c r="D168" s="32">
        <v>4430265054</v>
      </c>
      <c r="E168" s="32">
        <v>618</v>
      </c>
      <c r="F168" s="32">
        <v>523</v>
      </c>
      <c r="G168" s="32" t="s">
        <v>38</v>
      </c>
      <c r="H168" s="32" t="s">
        <v>5584</v>
      </c>
      <c r="I168" s="32" t="s">
        <v>39</v>
      </c>
      <c r="J168" s="32" t="s">
        <v>40</v>
      </c>
      <c r="K168" s="32" t="s">
        <v>41</v>
      </c>
      <c r="L168" s="32">
        <v>5</v>
      </c>
      <c r="M168" s="32" t="s">
        <v>5412</v>
      </c>
      <c r="N168" s="32" t="s">
        <v>48</v>
      </c>
    </row>
    <row r="169" spans="1:14" s="32" customFormat="1" hidden="1" x14ac:dyDescent="0.3">
      <c r="A169" s="39">
        <v>46202.355798611112</v>
      </c>
      <c r="B169" s="32">
        <v>4334234629</v>
      </c>
      <c r="C169" s="32" t="s">
        <v>37</v>
      </c>
      <c r="D169" s="32">
        <v>4430265054</v>
      </c>
      <c r="E169" s="32">
        <v>229</v>
      </c>
      <c r="F169" s="32">
        <v>182</v>
      </c>
      <c r="G169" s="32" t="s">
        <v>38</v>
      </c>
      <c r="H169" s="32" t="s">
        <v>5585</v>
      </c>
      <c r="I169" s="32" t="s">
        <v>39</v>
      </c>
      <c r="J169" s="32" t="s">
        <v>40</v>
      </c>
      <c r="K169" s="32" t="s">
        <v>41</v>
      </c>
      <c r="L169" s="32">
        <v>5</v>
      </c>
      <c r="M169" s="32" t="s">
        <v>5410</v>
      </c>
      <c r="N169" s="32" t="s">
        <v>37</v>
      </c>
    </row>
    <row r="170" spans="1:14" s="32" customFormat="1" hidden="1" x14ac:dyDescent="0.3">
      <c r="A170" s="39">
        <v>46202.355428240742</v>
      </c>
      <c r="B170" s="32">
        <v>11973545510</v>
      </c>
      <c r="C170" s="32" t="s">
        <v>44</v>
      </c>
      <c r="D170" s="32">
        <v>4430265054</v>
      </c>
      <c r="E170" s="32">
        <v>277</v>
      </c>
      <c r="F170" s="32">
        <v>213</v>
      </c>
      <c r="G170" s="32" t="s">
        <v>38</v>
      </c>
      <c r="H170" s="32" t="s">
        <v>5586</v>
      </c>
      <c r="I170" s="32" t="s">
        <v>39</v>
      </c>
      <c r="J170" s="32" t="s">
        <v>40</v>
      </c>
      <c r="K170" s="32" t="s">
        <v>41</v>
      </c>
      <c r="M170" s="32" t="s">
        <v>5416</v>
      </c>
      <c r="N170" s="32" t="s">
        <v>44</v>
      </c>
    </row>
    <row r="171" spans="1:14" s="32" customFormat="1" hidden="1" x14ac:dyDescent="0.3">
      <c r="A171" s="39">
        <v>46200.387245370373</v>
      </c>
      <c r="B171" s="32">
        <v>43991253035</v>
      </c>
      <c r="C171" s="32">
        <v>4430265054</v>
      </c>
      <c r="D171" s="32">
        <v>4430265054</v>
      </c>
      <c r="E171" s="32">
        <v>17</v>
      </c>
      <c r="F171" s="32">
        <v>16</v>
      </c>
      <c r="G171" s="32" t="s">
        <v>52</v>
      </c>
      <c r="H171" s="32" t="s">
        <v>5587</v>
      </c>
      <c r="I171" s="32" t="s">
        <v>39</v>
      </c>
      <c r="J171" s="32" t="s">
        <v>53</v>
      </c>
    </row>
    <row r="172" spans="1:14" s="32" customFormat="1" hidden="1" x14ac:dyDescent="0.3">
      <c r="A172" s="39">
        <v>46200.334560185183</v>
      </c>
      <c r="B172" s="32">
        <v>43991458882</v>
      </c>
      <c r="C172" s="32">
        <v>4430265054</v>
      </c>
      <c r="D172" s="32">
        <v>4430265054</v>
      </c>
      <c r="E172" s="32">
        <v>29</v>
      </c>
      <c r="F172" s="32">
        <v>29</v>
      </c>
      <c r="G172" s="32" t="s">
        <v>52</v>
      </c>
      <c r="H172" s="32" t="s">
        <v>5588</v>
      </c>
      <c r="I172" s="32" t="s">
        <v>39</v>
      </c>
      <c r="J172" s="32" t="s">
        <v>53</v>
      </c>
    </row>
    <row r="173" spans="1:14" s="32" customFormat="1" hidden="1" x14ac:dyDescent="0.3">
      <c r="A173" s="39">
        <v>46199.758657407408</v>
      </c>
      <c r="B173" s="32">
        <v>11973545510</v>
      </c>
      <c r="C173" s="32">
        <v>4430265054</v>
      </c>
      <c r="D173" s="32">
        <v>4430265054</v>
      </c>
      <c r="E173" s="32">
        <v>19</v>
      </c>
      <c r="F173" s="32">
        <v>18</v>
      </c>
      <c r="G173" s="32" t="s">
        <v>52</v>
      </c>
      <c r="H173" s="32" t="s">
        <v>5589</v>
      </c>
      <c r="I173" s="32" t="s">
        <v>39</v>
      </c>
      <c r="J173" s="32" t="s">
        <v>53</v>
      </c>
    </row>
    <row r="174" spans="1:14" s="32" customFormat="1" hidden="1" x14ac:dyDescent="0.3">
      <c r="A174" s="39">
        <v>46199.738981481481</v>
      </c>
      <c r="B174" s="32" t="s">
        <v>54</v>
      </c>
      <c r="C174" s="32">
        <v>15997231567</v>
      </c>
      <c r="E174" s="32">
        <v>18</v>
      </c>
      <c r="F174" s="32">
        <v>0</v>
      </c>
      <c r="G174" s="32" t="s">
        <v>47</v>
      </c>
      <c r="H174" s="32" t="s">
        <v>5590</v>
      </c>
      <c r="I174" s="32" t="s">
        <v>46</v>
      </c>
      <c r="J174" s="32" t="s">
        <v>55</v>
      </c>
      <c r="M174" s="32" t="s">
        <v>5537</v>
      </c>
      <c r="N174" s="32" t="s">
        <v>54</v>
      </c>
    </row>
    <row r="175" spans="1:14" s="32" customFormat="1" hidden="1" x14ac:dyDescent="0.3">
      <c r="A175" s="39">
        <v>46199.720856481479</v>
      </c>
      <c r="B175" s="32">
        <v>4432672194</v>
      </c>
      <c r="C175" s="32" t="s">
        <v>45</v>
      </c>
      <c r="D175" s="32">
        <v>4430265054</v>
      </c>
      <c r="E175" s="32">
        <v>148</v>
      </c>
      <c r="F175" s="32">
        <v>91</v>
      </c>
      <c r="G175" s="32" t="s">
        <v>38</v>
      </c>
      <c r="H175" s="32" t="s">
        <v>5591</v>
      </c>
      <c r="I175" s="32" t="s">
        <v>39</v>
      </c>
      <c r="J175" s="32" t="s">
        <v>40</v>
      </c>
      <c r="K175" s="32" t="s">
        <v>41</v>
      </c>
      <c r="M175" s="32" t="s">
        <v>5421</v>
      </c>
      <c r="N175" s="32" t="s">
        <v>45</v>
      </c>
    </row>
    <row r="176" spans="1:14" s="32" customFormat="1" hidden="1" x14ac:dyDescent="0.3">
      <c r="A176" s="39">
        <v>46199.713506944441</v>
      </c>
      <c r="B176" s="32" t="s">
        <v>54</v>
      </c>
      <c r="C176" s="32">
        <v>1636633777</v>
      </c>
      <c r="E176" s="32">
        <v>8</v>
      </c>
      <c r="F176" s="32">
        <v>1</v>
      </c>
      <c r="G176" s="32" t="s">
        <v>38</v>
      </c>
      <c r="H176" s="32" t="s">
        <v>5592</v>
      </c>
      <c r="I176" s="32" t="s">
        <v>46</v>
      </c>
      <c r="J176" s="32" t="s">
        <v>55</v>
      </c>
      <c r="M176" s="32" t="s">
        <v>5537</v>
      </c>
      <c r="N176" s="32" t="s">
        <v>54</v>
      </c>
    </row>
    <row r="177" spans="1:14" s="32" customFormat="1" hidden="1" x14ac:dyDescent="0.3">
      <c r="A177" s="39">
        <v>46199.707719907405</v>
      </c>
      <c r="B177" s="32">
        <v>4430454546</v>
      </c>
      <c r="C177" s="32" t="s">
        <v>48</v>
      </c>
      <c r="D177" s="32">
        <v>4430265054</v>
      </c>
      <c r="E177" s="32">
        <v>697</v>
      </c>
      <c r="F177" s="32">
        <v>658</v>
      </c>
      <c r="G177" s="32" t="s">
        <v>38</v>
      </c>
      <c r="H177" s="32" t="s">
        <v>5593</v>
      </c>
      <c r="I177" s="32" t="s">
        <v>39</v>
      </c>
      <c r="J177" s="32" t="s">
        <v>40</v>
      </c>
      <c r="K177" s="32" t="s">
        <v>41</v>
      </c>
      <c r="M177" s="32" t="s">
        <v>5412</v>
      </c>
      <c r="N177" s="32" t="s">
        <v>48</v>
      </c>
    </row>
    <row r="178" spans="1:14" s="32" customFormat="1" hidden="1" x14ac:dyDescent="0.3">
      <c r="A178" s="39">
        <v>46199.703506944446</v>
      </c>
      <c r="B178" s="32">
        <v>4435228300</v>
      </c>
      <c r="C178" s="32" t="s">
        <v>44</v>
      </c>
      <c r="D178" s="32">
        <v>4430265054</v>
      </c>
      <c r="E178" s="32">
        <v>801</v>
      </c>
      <c r="F178" s="32">
        <v>717</v>
      </c>
      <c r="G178" s="32" t="s">
        <v>38</v>
      </c>
      <c r="H178" s="32" t="s">
        <v>5594</v>
      </c>
      <c r="I178" s="32" t="s">
        <v>39</v>
      </c>
      <c r="J178" s="32" t="s">
        <v>40</v>
      </c>
      <c r="K178" s="32" t="s">
        <v>41</v>
      </c>
      <c r="M178" s="32" t="s">
        <v>5416</v>
      </c>
      <c r="N178" s="32" t="s">
        <v>44</v>
      </c>
    </row>
    <row r="179" spans="1:14" s="32" customFormat="1" hidden="1" x14ac:dyDescent="0.3">
      <c r="A179" s="39">
        <v>46199.695127314815</v>
      </c>
      <c r="B179" s="32">
        <v>44999976008</v>
      </c>
      <c r="C179" s="32" t="s">
        <v>37</v>
      </c>
      <c r="D179" s="32">
        <v>4430265054</v>
      </c>
      <c r="E179" s="32">
        <v>1962</v>
      </c>
      <c r="F179" s="32">
        <v>1883</v>
      </c>
      <c r="G179" s="32" t="s">
        <v>38</v>
      </c>
      <c r="H179" s="32" t="s">
        <v>5595</v>
      </c>
      <c r="I179" s="32" t="s">
        <v>39</v>
      </c>
      <c r="J179" s="32" t="s">
        <v>40</v>
      </c>
      <c r="K179" s="32" t="s">
        <v>41</v>
      </c>
      <c r="L179" s="32">
        <v>5</v>
      </c>
      <c r="M179" s="32" t="s">
        <v>5410</v>
      </c>
      <c r="N179" s="32" t="s">
        <v>37</v>
      </c>
    </row>
    <row r="180" spans="1:14" s="32" customFormat="1" hidden="1" x14ac:dyDescent="0.3">
      <c r="A180" s="39">
        <v>46199.688703703701</v>
      </c>
      <c r="B180" s="32">
        <v>44997400641</v>
      </c>
      <c r="C180" s="32" t="s">
        <v>45</v>
      </c>
      <c r="D180" s="32">
        <v>4430265054</v>
      </c>
      <c r="E180" s="32">
        <v>2011</v>
      </c>
      <c r="F180" s="32">
        <v>1928</v>
      </c>
      <c r="G180" s="32" t="s">
        <v>38</v>
      </c>
      <c r="H180" s="32" t="s">
        <v>5596</v>
      </c>
      <c r="I180" s="32" t="s">
        <v>39</v>
      </c>
      <c r="J180" s="32" t="s">
        <v>40</v>
      </c>
      <c r="K180" s="32" t="s">
        <v>41</v>
      </c>
      <c r="L180" s="32">
        <v>5</v>
      </c>
      <c r="M180" s="32" t="s">
        <v>5421</v>
      </c>
      <c r="N180" s="32" t="s">
        <v>45</v>
      </c>
    </row>
    <row r="181" spans="1:14" s="32" customFormat="1" hidden="1" x14ac:dyDescent="0.3">
      <c r="A181" s="39">
        <v>46199.688460648147</v>
      </c>
      <c r="B181" s="32" t="s">
        <v>48</v>
      </c>
      <c r="C181" s="32">
        <v>4434221055</v>
      </c>
      <c r="E181" s="32">
        <v>1556</v>
      </c>
      <c r="F181" s="32">
        <v>1547</v>
      </c>
      <c r="G181" s="32" t="s">
        <v>38</v>
      </c>
      <c r="H181" s="32" t="s">
        <v>5597</v>
      </c>
      <c r="I181" s="32" t="s">
        <v>46</v>
      </c>
      <c r="J181" s="32" t="s">
        <v>40</v>
      </c>
      <c r="M181" s="32" t="s">
        <v>5412</v>
      </c>
      <c r="N181" s="32" t="s">
        <v>48</v>
      </c>
    </row>
    <row r="182" spans="1:14" s="32" customFormat="1" hidden="1" x14ac:dyDescent="0.3">
      <c r="A182" s="39">
        <v>46199.688252314816</v>
      </c>
      <c r="B182" s="32" t="s">
        <v>48</v>
      </c>
      <c r="C182" s="32">
        <v>4434221055</v>
      </c>
      <c r="E182" s="32">
        <v>11</v>
      </c>
      <c r="F182" s="32">
        <v>1</v>
      </c>
      <c r="G182" s="32" t="s">
        <v>38</v>
      </c>
      <c r="H182" s="32" t="s">
        <v>5598</v>
      </c>
      <c r="I182" s="32" t="s">
        <v>46</v>
      </c>
      <c r="J182" s="32" t="s">
        <v>40</v>
      </c>
      <c r="M182" s="32" t="s">
        <v>5412</v>
      </c>
      <c r="N182" s="32" t="s">
        <v>48</v>
      </c>
    </row>
    <row r="183" spans="1:14" s="32" customFormat="1" hidden="1" x14ac:dyDescent="0.3">
      <c r="A183" s="39">
        <v>46199.682245370372</v>
      </c>
      <c r="B183" s="32">
        <v>44998437682</v>
      </c>
      <c r="C183" s="32" t="s">
        <v>48</v>
      </c>
      <c r="D183" s="32">
        <v>4430265054</v>
      </c>
      <c r="E183" s="32">
        <v>198</v>
      </c>
      <c r="F183" s="32">
        <v>175</v>
      </c>
      <c r="G183" s="32" t="s">
        <v>38</v>
      </c>
      <c r="H183" s="32" t="s">
        <v>5599</v>
      </c>
      <c r="I183" s="32" t="s">
        <v>39</v>
      </c>
      <c r="J183" s="32" t="s">
        <v>40</v>
      </c>
      <c r="K183" s="32" t="s">
        <v>41</v>
      </c>
      <c r="M183" s="32" t="s">
        <v>5412</v>
      </c>
      <c r="N183" s="32" t="s">
        <v>48</v>
      </c>
    </row>
    <row r="184" spans="1:14" s="32" customFormat="1" hidden="1" x14ac:dyDescent="0.3">
      <c r="A184" s="39">
        <v>46199.681192129632</v>
      </c>
      <c r="B184" s="32" t="s">
        <v>54</v>
      </c>
      <c r="C184" s="32">
        <v>11997707721</v>
      </c>
      <c r="E184" s="32">
        <v>20</v>
      </c>
      <c r="F184" s="32">
        <v>9</v>
      </c>
      <c r="G184" s="32" t="s">
        <v>38</v>
      </c>
      <c r="H184" s="32" t="s">
        <v>5600</v>
      </c>
      <c r="I184" s="32" t="s">
        <v>46</v>
      </c>
      <c r="J184" s="32" t="s">
        <v>55</v>
      </c>
      <c r="M184" s="32" t="s">
        <v>5537</v>
      </c>
      <c r="N184" s="32" t="s">
        <v>54</v>
      </c>
    </row>
    <row r="185" spans="1:14" s="32" customFormat="1" hidden="1" x14ac:dyDescent="0.3">
      <c r="A185" s="39">
        <v>46199.681076388886</v>
      </c>
      <c r="B185" s="32">
        <v>44999976008</v>
      </c>
      <c r="C185" s="32" t="s">
        <v>44</v>
      </c>
      <c r="D185" s="32">
        <v>4430265054</v>
      </c>
      <c r="E185" s="32">
        <v>225</v>
      </c>
      <c r="F185" s="32">
        <v>102</v>
      </c>
      <c r="G185" s="32" t="s">
        <v>38</v>
      </c>
      <c r="H185" s="32" t="s">
        <v>5601</v>
      </c>
      <c r="I185" s="32" t="s">
        <v>39</v>
      </c>
      <c r="J185" s="32" t="s">
        <v>40</v>
      </c>
      <c r="K185" s="32" t="s">
        <v>41</v>
      </c>
      <c r="M185" s="32" t="s">
        <v>5416</v>
      </c>
      <c r="N185" s="32" t="s">
        <v>44</v>
      </c>
    </row>
    <row r="186" spans="1:14" s="32" customFormat="1" hidden="1" x14ac:dyDescent="0.3">
      <c r="A186" s="39">
        <v>46199.67528935185</v>
      </c>
      <c r="B186" s="32">
        <v>44998721566</v>
      </c>
      <c r="C186" s="32">
        <v>4430265054</v>
      </c>
      <c r="D186" s="32">
        <v>4430265054</v>
      </c>
      <c r="E186" s="32">
        <v>4</v>
      </c>
      <c r="F186" s="32">
        <v>3</v>
      </c>
      <c r="G186" s="32" t="s">
        <v>52</v>
      </c>
      <c r="H186" s="32" t="s">
        <v>5602</v>
      </c>
      <c r="I186" s="32" t="s">
        <v>39</v>
      </c>
      <c r="J186" s="32" t="s">
        <v>53</v>
      </c>
    </row>
    <row r="187" spans="1:14" s="32" customFormat="1" hidden="1" x14ac:dyDescent="0.3">
      <c r="A187" s="39">
        <v>46199.670671296299</v>
      </c>
      <c r="B187" s="32">
        <v>4430141533</v>
      </c>
      <c r="C187" s="32" t="s">
        <v>44</v>
      </c>
      <c r="D187" s="32">
        <v>4430265054</v>
      </c>
      <c r="E187" s="32">
        <v>432</v>
      </c>
      <c r="F187" s="32">
        <v>367</v>
      </c>
      <c r="G187" s="32" t="s">
        <v>38</v>
      </c>
      <c r="H187" s="32" t="s">
        <v>5603</v>
      </c>
      <c r="I187" s="32" t="s">
        <v>39</v>
      </c>
      <c r="J187" s="32" t="s">
        <v>40</v>
      </c>
      <c r="K187" s="32" t="s">
        <v>41</v>
      </c>
      <c r="L187" s="32">
        <v>5</v>
      </c>
      <c r="M187" s="32" t="s">
        <v>5416</v>
      </c>
      <c r="N187" s="32" t="s">
        <v>44</v>
      </c>
    </row>
    <row r="188" spans="1:14" s="32" customFormat="1" hidden="1" x14ac:dyDescent="0.3">
      <c r="A188" s="39">
        <v>46199.66578703704</v>
      </c>
      <c r="B188" s="32">
        <v>62981535978</v>
      </c>
      <c r="C188" s="32" t="s">
        <v>37</v>
      </c>
      <c r="D188" s="32">
        <v>4430265054</v>
      </c>
      <c r="E188" s="32">
        <v>567</v>
      </c>
      <c r="F188" s="32">
        <v>485</v>
      </c>
      <c r="G188" s="32" t="s">
        <v>38</v>
      </c>
      <c r="H188" s="32" t="s">
        <v>5604</v>
      </c>
      <c r="I188" s="32" t="s">
        <v>39</v>
      </c>
      <c r="J188" s="32" t="s">
        <v>40</v>
      </c>
      <c r="K188" s="32" t="s">
        <v>41</v>
      </c>
      <c r="M188" s="32" t="s">
        <v>5410</v>
      </c>
      <c r="N188" s="32" t="s">
        <v>37</v>
      </c>
    </row>
    <row r="189" spans="1:14" s="32" customFormat="1" hidden="1" x14ac:dyDescent="0.3">
      <c r="A189" s="39">
        <v>46199.664722222224</v>
      </c>
      <c r="B189" s="32">
        <v>44997561804</v>
      </c>
      <c r="C189" s="32" t="s">
        <v>37</v>
      </c>
      <c r="D189" s="32">
        <v>4430265054</v>
      </c>
      <c r="E189" s="32">
        <v>88</v>
      </c>
      <c r="F189" s="32">
        <v>53</v>
      </c>
      <c r="G189" s="32" t="s">
        <v>38</v>
      </c>
      <c r="H189" s="32" t="s">
        <v>5605</v>
      </c>
      <c r="I189" s="32" t="s">
        <v>39</v>
      </c>
      <c r="J189" s="32" t="s">
        <v>40</v>
      </c>
      <c r="K189" s="32" t="s">
        <v>41</v>
      </c>
      <c r="M189" s="32" t="s">
        <v>5410</v>
      </c>
      <c r="N189" s="32" t="s">
        <v>37</v>
      </c>
    </row>
    <row r="190" spans="1:14" s="32" customFormat="1" hidden="1" x14ac:dyDescent="0.3">
      <c r="A190" s="39">
        <v>46199.657407407409</v>
      </c>
      <c r="B190" s="32" t="s">
        <v>45</v>
      </c>
      <c r="C190" s="32">
        <v>44999637463</v>
      </c>
      <c r="E190" s="32">
        <v>303</v>
      </c>
      <c r="F190" s="32">
        <v>296</v>
      </c>
      <c r="G190" s="32" t="s">
        <v>38</v>
      </c>
      <c r="H190" s="32" t="s">
        <v>5606</v>
      </c>
      <c r="I190" s="32" t="s">
        <v>46</v>
      </c>
      <c r="J190" s="32" t="s">
        <v>40</v>
      </c>
      <c r="M190" s="32" t="s">
        <v>5421</v>
      </c>
      <c r="N190" s="32" t="s">
        <v>45</v>
      </c>
    </row>
    <row r="191" spans="1:14" s="32" customFormat="1" hidden="1" x14ac:dyDescent="0.3">
      <c r="A191" s="39">
        <v>46199.647777777776</v>
      </c>
      <c r="B191" s="32" t="s">
        <v>45</v>
      </c>
      <c r="C191" s="32">
        <v>44999637463</v>
      </c>
      <c r="E191" s="32">
        <v>17</v>
      </c>
      <c r="F191" s="32">
        <v>0</v>
      </c>
      <c r="G191" s="32" t="s">
        <v>47</v>
      </c>
      <c r="H191" s="32" t="s">
        <v>5607</v>
      </c>
      <c r="I191" s="32" t="s">
        <v>46</v>
      </c>
      <c r="J191" s="32" t="s">
        <v>40</v>
      </c>
      <c r="M191" s="32" t="s">
        <v>5421</v>
      </c>
      <c r="N191" s="32" t="s">
        <v>45</v>
      </c>
    </row>
    <row r="192" spans="1:14" s="32" customFormat="1" hidden="1" x14ac:dyDescent="0.3">
      <c r="A192" s="39">
        <v>46199.647141203706</v>
      </c>
      <c r="B192" s="32" t="s">
        <v>45</v>
      </c>
      <c r="C192" s="32">
        <v>44999637463</v>
      </c>
      <c r="E192" s="32">
        <v>81</v>
      </c>
      <c r="F192" s="32">
        <v>75</v>
      </c>
      <c r="G192" s="32" t="s">
        <v>38</v>
      </c>
      <c r="H192" s="32" t="s">
        <v>5608</v>
      </c>
      <c r="I192" s="32" t="s">
        <v>46</v>
      </c>
      <c r="J192" s="32" t="s">
        <v>40</v>
      </c>
      <c r="M192" s="32" t="s">
        <v>5421</v>
      </c>
      <c r="N192" s="32" t="s">
        <v>45</v>
      </c>
    </row>
    <row r="193" spans="1:14" s="32" customFormat="1" hidden="1" x14ac:dyDescent="0.3">
      <c r="A193" s="39">
        <v>46199.64707175926</v>
      </c>
      <c r="B193" s="32">
        <v>44997561804</v>
      </c>
      <c r="C193" s="32" t="s">
        <v>45</v>
      </c>
      <c r="D193" s="32">
        <v>4430265054</v>
      </c>
      <c r="E193" s="32">
        <v>666</v>
      </c>
      <c r="F193" s="32">
        <v>538</v>
      </c>
      <c r="G193" s="32" t="s">
        <v>38</v>
      </c>
      <c r="H193" s="32" t="s">
        <v>5609</v>
      </c>
      <c r="I193" s="32" t="s">
        <v>39</v>
      </c>
      <c r="J193" s="32" t="s">
        <v>40</v>
      </c>
      <c r="K193" s="32" t="s">
        <v>41</v>
      </c>
      <c r="M193" s="32" t="s">
        <v>5421</v>
      </c>
      <c r="N193" s="32" t="s">
        <v>45</v>
      </c>
    </row>
    <row r="194" spans="1:14" s="32" customFormat="1" hidden="1" x14ac:dyDescent="0.3">
      <c r="A194" s="39">
        <v>46199.644513888888</v>
      </c>
      <c r="B194" s="32" t="s">
        <v>54</v>
      </c>
      <c r="C194" s="32">
        <v>31997230774</v>
      </c>
      <c r="E194" s="32">
        <v>5</v>
      </c>
      <c r="F194" s="32">
        <v>2</v>
      </c>
      <c r="G194" s="32" t="s">
        <v>38</v>
      </c>
      <c r="H194" s="32" t="s">
        <v>5610</v>
      </c>
      <c r="I194" s="32" t="s">
        <v>46</v>
      </c>
      <c r="J194" s="32" t="s">
        <v>55</v>
      </c>
      <c r="M194" s="32" t="s">
        <v>5537</v>
      </c>
      <c r="N194" s="32" t="s">
        <v>54</v>
      </c>
    </row>
    <row r="195" spans="1:14" s="32" customFormat="1" hidden="1" x14ac:dyDescent="0.3">
      <c r="A195" s="39">
        <v>46199.64334490741</v>
      </c>
      <c r="B195" s="32" t="s">
        <v>54</v>
      </c>
      <c r="C195" s="32">
        <v>66999102068</v>
      </c>
      <c r="E195" s="32">
        <v>4</v>
      </c>
      <c r="F195" s="32">
        <v>0</v>
      </c>
      <c r="G195" s="32" t="s">
        <v>47</v>
      </c>
      <c r="H195" s="32" t="s">
        <v>5611</v>
      </c>
      <c r="I195" s="32" t="s">
        <v>46</v>
      </c>
      <c r="J195" s="32" t="s">
        <v>55</v>
      </c>
      <c r="M195" s="32" t="s">
        <v>5537</v>
      </c>
      <c r="N195" s="32" t="s">
        <v>54</v>
      </c>
    </row>
    <row r="196" spans="1:14" s="32" customFormat="1" hidden="1" x14ac:dyDescent="0.3">
      <c r="A196" s="39">
        <v>46199.64271990741</v>
      </c>
      <c r="B196" s="32">
        <v>44998068281</v>
      </c>
      <c r="C196" s="32" t="s">
        <v>44</v>
      </c>
      <c r="D196" s="32">
        <v>4430265054</v>
      </c>
      <c r="E196" s="32">
        <v>432</v>
      </c>
      <c r="F196" s="32">
        <v>400</v>
      </c>
      <c r="G196" s="32" t="s">
        <v>38</v>
      </c>
      <c r="H196" s="32" t="s">
        <v>5612</v>
      </c>
      <c r="I196" s="32" t="s">
        <v>39</v>
      </c>
      <c r="J196" s="32" t="s">
        <v>40</v>
      </c>
      <c r="K196" s="32" t="s">
        <v>41</v>
      </c>
      <c r="M196" s="32" t="s">
        <v>5416</v>
      </c>
      <c r="N196" s="32" t="s">
        <v>44</v>
      </c>
    </row>
    <row r="197" spans="1:14" s="32" customFormat="1" hidden="1" x14ac:dyDescent="0.3">
      <c r="A197" s="39">
        <v>46199.639537037037</v>
      </c>
      <c r="B197" s="32" t="s">
        <v>54</v>
      </c>
      <c r="C197" s="32">
        <v>21971283001</v>
      </c>
      <c r="E197" s="32">
        <v>6</v>
      </c>
      <c r="F197" s="32">
        <v>0</v>
      </c>
      <c r="G197" s="32" t="s">
        <v>47</v>
      </c>
      <c r="H197" s="32" t="s">
        <v>5613</v>
      </c>
      <c r="I197" s="32" t="s">
        <v>46</v>
      </c>
      <c r="J197" s="32" t="s">
        <v>55</v>
      </c>
      <c r="M197" s="32" t="s">
        <v>5537</v>
      </c>
      <c r="N197" s="32" t="s">
        <v>54</v>
      </c>
    </row>
    <row r="198" spans="1:14" s="32" customFormat="1" hidden="1" x14ac:dyDescent="0.3">
      <c r="A198" s="39">
        <v>46199.638541666667</v>
      </c>
      <c r="B198" s="32">
        <v>18996991511</v>
      </c>
      <c r="C198" s="32" t="s">
        <v>48</v>
      </c>
      <c r="D198" s="32">
        <v>4430265054</v>
      </c>
      <c r="E198" s="32">
        <v>788</v>
      </c>
      <c r="F198" s="32">
        <v>748</v>
      </c>
      <c r="G198" s="32" t="s">
        <v>38</v>
      </c>
      <c r="H198" s="32" t="s">
        <v>5614</v>
      </c>
      <c r="I198" s="32" t="s">
        <v>39</v>
      </c>
      <c r="J198" s="32" t="s">
        <v>40</v>
      </c>
      <c r="K198" s="32" t="s">
        <v>41</v>
      </c>
      <c r="L198" s="32">
        <v>5</v>
      </c>
      <c r="M198" s="32" t="s">
        <v>5412</v>
      </c>
      <c r="N198" s="32" t="s">
        <v>48</v>
      </c>
    </row>
    <row r="199" spans="1:14" s="32" customFormat="1" hidden="1" x14ac:dyDescent="0.3">
      <c r="A199" s="39">
        <v>46199.637743055559</v>
      </c>
      <c r="B199" s="32">
        <v>4430315826</v>
      </c>
      <c r="C199" s="32" t="s">
        <v>44</v>
      </c>
      <c r="D199" s="32">
        <v>4430265054</v>
      </c>
      <c r="E199" s="32">
        <v>386</v>
      </c>
      <c r="F199" s="32">
        <v>363</v>
      </c>
      <c r="G199" s="32" t="s">
        <v>38</v>
      </c>
      <c r="H199" s="32" t="s">
        <v>5615</v>
      </c>
      <c r="I199" s="32" t="s">
        <v>39</v>
      </c>
      <c r="J199" s="32" t="s">
        <v>40</v>
      </c>
      <c r="K199" s="32" t="s">
        <v>41</v>
      </c>
      <c r="M199" s="32" t="s">
        <v>5416</v>
      </c>
      <c r="N199" s="32" t="s">
        <v>44</v>
      </c>
    </row>
    <row r="200" spans="1:14" s="32" customFormat="1" hidden="1" x14ac:dyDescent="0.3">
      <c r="A200" s="39">
        <v>46199.634652777779</v>
      </c>
      <c r="B200" s="32" t="s">
        <v>54</v>
      </c>
      <c r="C200" s="32">
        <v>51992318528</v>
      </c>
      <c r="E200" s="32">
        <v>9</v>
      </c>
      <c r="F200" s="32">
        <v>3</v>
      </c>
      <c r="G200" s="32" t="s">
        <v>38</v>
      </c>
      <c r="H200" s="32" t="s">
        <v>5616</v>
      </c>
      <c r="I200" s="32" t="s">
        <v>46</v>
      </c>
      <c r="J200" s="32" t="s">
        <v>55</v>
      </c>
      <c r="M200" s="32" t="s">
        <v>5537</v>
      </c>
      <c r="N200" s="32" t="s">
        <v>54</v>
      </c>
    </row>
    <row r="201" spans="1:14" s="32" customFormat="1" hidden="1" x14ac:dyDescent="0.3">
      <c r="A201" s="39">
        <v>46199.633506944447</v>
      </c>
      <c r="B201" s="32" t="s">
        <v>54</v>
      </c>
      <c r="C201" s="32">
        <v>49991385074</v>
      </c>
      <c r="E201" s="32">
        <v>20</v>
      </c>
      <c r="F201" s="32">
        <v>16</v>
      </c>
      <c r="G201" s="32" t="s">
        <v>38</v>
      </c>
      <c r="H201" s="32" t="s">
        <v>5617</v>
      </c>
      <c r="I201" s="32" t="s">
        <v>46</v>
      </c>
      <c r="J201" s="32" t="s">
        <v>55</v>
      </c>
      <c r="M201" s="32" t="s">
        <v>5537</v>
      </c>
      <c r="N201" s="32" t="s">
        <v>54</v>
      </c>
    </row>
    <row r="202" spans="1:14" s="32" customFormat="1" hidden="1" x14ac:dyDescent="0.3">
      <c r="A202" s="39">
        <v>46199.628553240742</v>
      </c>
      <c r="B202" s="32">
        <v>44998107650</v>
      </c>
      <c r="C202" s="32" t="s">
        <v>45</v>
      </c>
      <c r="D202" s="32">
        <v>4431268225</v>
      </c>
      <c r="E202" s="32">
        <v>1272</v>
      </c>
      <c r="F202" s="32">
        <v>1178</v>
      </c>
      <c r="G202" s="32" t="s">
        <v>38</v>
      </c>
      <c r="H202" s="32" t="s">
        <v>5618</v>
      </c>
      <c r="I202" s="32" t="s">
        <v>39</v>
      </c>
      <c r="J202" s="32" t="s">
        <v>40</v>
      </c>
      <c r="K202" s="32" t="s">
        <v>41</v>
      </c>
      <c r="L202" s="32">
        <v>5</v>
      </c>
      <c r="M202" s="32" t="s">
        <v>5421</v>
      </c>
      <c r="N202" s="32" t="s">
        <v>45</v>
      </c>
    </row>
    <row r="203" spans="1:14" s="32" customFormat="1" hidden="1" x14ac:dyDescent="0.3">
      <c r="A203" s="39">
        <v>46199.626967592594</v>
      </c>
      <c r="B203" s="32" t="s">
        <v>57</v>
      </c>
      <c r="C203" s="32">
        <v>67996430787</v>
      </c>
      <c r="E203" s="32">
        <v>62</v>
      </c>
      <c r="F203" s="32">
        <v>58</v>
      </c>
      <c r="G203" s="32" t="s">
        <v>38</v>
      </c>
      <c r="H203" s="32" t="s">
        <v>5619</v>
      </c>
      <c r="I203" s="32" t="s">
        <v>46</v>
      </c>
      <c r="J203" s="32" t="s">
        <v>55</v>
      </c>
      <c r="M203" s="32" t="s">
        <v>5456</v>
      </c>
      <c r="N203" s="32" t="s">
        <v>57</v>
      </c>
    </row>
    <row r="204" spans="1:14" s="32" customFormat="1" hidden="1" x14ac:dyDescent="0.3">
      <c r="A204" s="39">
        <v>46199.624664351853</v>
      </c>
      <c r="B204" s="32">
        <v>44998266194</v>
      </c>
      <c r="C204" s="32" t="s">
        <v>48</v>
      </c>
      <c r="D204" s="32">
        <v>4431268225</v>
      </c>
      <c r="E204" s="32">
        <v>298</v>
      </c>
      <c r="F204" s="32">
        <v>297</v>
      </c>
      <c r="G204" s="32" t="s">
        <v>38</v>
      </c>
      <c r="H204" s="32" t="s">
        <v>5620</v>
      </c>
      <c r="I204" s="32" t="s">
        <v>39</v>
      </c>
      <c r="J204" s="32" t="s">
        <v>40</v>
      </c>
      <c r="K204" s="32" t="s">
        <v>41</v>
      </c>
      <c r="M204" s="32" t="s">
        <v>5412</v>
      </c>
      <c r="N204" s="32" t="s">
        <v>48</v>
      </c>
    </row>
    <row r="205" spans="1:14" s="32" customFormat="1" hidden="1" x14ac:dyDescent="0.3">
      <c r="A205" s="39">
        <v>46199.617766203701</v>
      </c>
      <c r="B205" s="32">
        <v>44988067937</v>
      </c>
      <c r="C205" s="32" t="s">
        <v>45</v>
      </c>
      <c r="D205" s="32">
        <v>4430265054</v>
      </c>
      <c r="E205" s="32">
        <v>283</v>
      </c>
      <c r="F205" s="32">
        <v>126</v>
      </c>
      <c r="G205" s="32" t="s">
        <v>38</v>
      </c>
      <c r="H205" s="32" t="s">
        <v>5621</v>
      </c>
      <c r="I205" s="32" t="s">
        <v>39</v>
      </c>
      <c r="J205" s="32" t="s">
        <v>40</v>
      </c>
      <c r="K205" s="32" t="s">
        <v>41</v>
      </c>
      <c r="M205" s="32" t="s">
        <v>5421</v>
      </c>
      <c r="N205" s="32" t="s">
        <v>45</v>
      </c>
    </row>
    <row r="206" spans="1:14" s="32" customFormat="1" hidden="1" x14ac:dyDescent="0.3">
      <c r="A206" s="39">
        <v>46199.614571759259</v>
      </c>
      <c r="B206" s="32">
        <v>4430317020</v>
      </c>
      <c r="C206" s="32" t="s">
        <v>48</v>
      </c>
      <c r="D206" s="32">
        <v>4430265054</v>
      </c>
      <c r="E206" s="32">
        <v>274</v>
      </c>
      <c r="F206" s="32">
        <v>274</v>
      </c>
      <c r="G206" s="32" t="s">
        <v>38</v>
      </c>
      <c r="H206" s="32" t="s">
        <v>5622</v>
      </c>
      <c r="I206" s="32" t="s">
        <v>39</v>
      </c>
      <c r="J206" s="32" t="s">
        <v>40</v>
      </c>
      <c r="K206" s="32" t="s">
        <v>41</v>
      </c>
      <c r="M206" s="32" t="s">
        <v>5412</v>
      </c>
      <c r="N206" s="32" t="s">
        <v>48</v>
      </c>
    </row>
    <row r="207" spans="1:14" s="32" customFormat="1" hidden="1" x14ac:dyDescent="0.3">
      <c r="A207" s="39">
        <v>46199.60833333333</v>
      </c>
      <c r="B207" s="32">
        <v>44999209951</v>
      </c>
      <c r="C207" s="32" t="s">
        <v>48</v>
      </c>
      <c r="D207" s="32">
        <v>4430265054</v>
      </c>
      <c r="E207" s="32">
        <v>437</v>
      </c>
      <c r="F207" s="32">
        <v>302</v>
      </c>
      <c r="G207" s="32" t="s">
        <v>38</v>
      </c>
      <c r="H207" s="32" t="s">
        <v>5623</v>
      </c>
      <c r="I207" s="32" t="s">
        <v>39</v>
      </c>
      <c r="J207" s="32" t="s">
        <v>40</v>
      </c>
      <c r="K207" s="32" t="s">
        <v>41</v>
      </c>
      <c r="M207" s="32" t="s">
        <v>5412</v>
      </c>
      <c r="N207" s="32" t="s">
        <v>48</v>
      </c>
    </row>
    <row r="208" spans="1:14" s="32" customFormat="1" hidden="1" x14ac:dyDescent="0.3">
      <c r="A208" s="39">
        <v>46199.602141203701</v>
      </c>
      <c r="B208" s="32">
        <v>44999648932</v>
      </c>
      <c r="C208" s="32" t="s">
        <v>48</v>
      </c>
      <c r="D208" s="32">
        <v>4430265054</v>
      </c>
      <c r="E208" s="32">
        <v>249</v>
      </c>
      <c r="F208" s="32">
        <v>211</v>
      </c>
      <c r="G208" s="32" t="s">
        <v>38</v>
      </c>
      <c r="H208" s="32" t="s">
        <v>5624</v>
      </c>
      <c r="I208" s="32" t="s">
        <v>39</v>
      </c>
      <c r="J208" s="32" t="s">
        <v>40</v>
      </c>
      <c r="K208" s="32" t="s">
        <v>41</v>
      </c>
      <c r="M208" s="32" t="s">
        <v>5412</v>
      </c>
      <c r="N208" s="32" t="s">
        <v>48</v>
      </c>
    </row>
    <row r="209" spans="1:14" s="32" customFormat="1" hidden="1" x14ac:dyDescent="0.3">
      <c r="A209" s="39">
        <v>46199.598576388889</v>
      </c>
      <c r="B209" s="32">
        <v>4436313274</v>
      </c>
      <c r="C209" s="32" t="s">
        <v>45</v>
      </c>
      <c r="D209" s="32">
        <v>4430265054</v>
      </c>
      <c r="E209" s="32">
        <v>1467</v>
      </c>
      <c r="F209" s="32">
        <v>1368</v>
      </c>
      <c r="G209" s="32" t="s">
        <v>38</v>
      </c>
      <c r="H209" s="32" t="s">
        <v>5625</v>
      </c>
      <c r="I209" s="32" t="s">
        <v>39</v>
      </c>
      <c r="J209" s="32" t="s">
        <v>40</v>
      </c>
      <c r="K209" s="32" t="s">
        <v>41</v>
      </c>
      <c r="M209" s="32" t="s">
        <v>5421</v>
      </c>
      <c r="N209" s="32" t="s">
        <v>45</v>
      </c>
    </row>
    <row r="210" spans="1:14" s="32" customFormat="1" hidden="1" x14ac:dyDescent="0.3">
      <c r="A210" s="39">
        <v>46199.596446759257</v>
      </c>
      <c r="B210" s="32">
        <v>44997400641</v>
      </c>
      <c r="C210" s="32" t="s">
        <v>44</v>
      </c>
      <c r="D210" s="32">
        <v>4430265054</v>
      </c>
      <c r="E210" s="32">
        <v>1112</v>
      </c>
      <c r="F210" s="32">
        <v>1020</v>
      </c>
      <c r="G210" s="32" t="s">
        <v>38</v>
      </c>
      <c r="H210" s="32" t="s">
        <v>5626</v>
      </c>
      <c r="I210" s="32" t="s">
        <v>39</v>
      </c>
      <c r="J210" s="32" t="s">
        <v>40</v>
      </c>
      <c r="K210" s="32" t="s">
        <v>41</v>
      </c>
      <c r="M210" s="32" t="s">
        <v>5416</v>
      </c>
      <c r="N210" s="32" t="s">
        <v>44</v>
      </c>
    </row>
    <row r="211" spans="1:14" s="32" customFormat="1" hidden="1" x14ac:dyDescent="0.3">
      <c r="A211" s="39">
        <v>46199.593553240738</v>
      </c>
      <c r="B211" s="32">
        <v>1129630984</v>
      </c>
      <c r="C211" s="32" t="s">
        <v>45</v>
      </c>
      <c r="D211" s="32">
        <v>4430265054</v>
      </c>
      <c r="E211" s="32">
        <v>419</v>
      </c>
      <c r="F211" s="32">
        <v>358</v>
      </c>
      <c r="G211" s="32" t="s">
        <v>38</v>
      </c>
      <c r="H211" s="32" t="s">
        <v>5627</v>
      </c>
      <c r="I211" s="32" t="s">
        <v>39</v>
      </c>
      <c r="J211" s="32" t="s">
        <v>40</v>
      </c>
      <c r="K211" s="32" t="s">
        <v>41</v>
      </c>
      <c r="M211" s="32" t="s">
        <v>5421</v>
      </c>
      <c r="N211" s="32" t="s">
        <v>45</v>
      </c>
    </row>
    <row r="212" spans="1:14" s="32" customFormat="1" hidden="1" x14ac:dyDescent="0.3">
      <c r="A212" s="39">
        <v>46199.586064814815</v>
      </c>
      <c r="B212" s="32">
        <v>44999654761</v>
      </c>
      <c r="C212" s="32" t="s">
        <v>37</v>
      </c>
      <c r="D212" s="32">
        <v>4430265054</v>
      </c>
      <c r="E212" s="32">
        <v>5314</v>
      </c>
      <c r="F212" s="32">
        <v>5213</v>
      </c>
      <c r="G212" s="32" t="s">
        <v>38</v>
      </c>
      <c r="H212" s="32" t="s">
        <v>5628</v>
      </c>
      <c r="I212" s="32" t="s">
        <v>39</v>
      </c>
      <c r="J212" s="32" t="s">
        <v>40</v>
      </c>
      <c r="K212" s="32" t="s">
        <v>41</v>
      </c>
      <c r="M212" s="32" t="s">
        <v>5410</v>
      </c>
      <c r="N212" s="32" t="s">
        <v>37</v>
      </c>
    </row>
    <row r="213" spans="1:14" s="32" customFormat="1" hidden="1" x14ac:dyDescent="0.3">
      <c r="A213" s="39">
        <v>46199.574189814812</v>
      </c>
      <c r="B213" s="32">
        <v>4430162376</v>
      </c>
      <c r="C213" s="32" t="s">
        <v>45</v>
      </c>
      <c r="D213" s="32">
        <v>4430265054</v>
      </c>
      <c r="E213" s="32">
        <v>590</v>
      </c>
      <c r="F213" s="32">
        <v>496</v>
      </c>
      <c r="G213" s="32" t="s">
        <v>38</v>
      </c>
      <c r="H213" s="32" t="s">
        <v>5629</v>
      </c>
      <c r="I213" s="32" t="s">
        <v>39</v>
      </c>
      <c r="J213" s="32" t="s">
        <v>40</v>
      </c>
      <c r="K213" s="32" t="s">
        <v>41</v>
      </c>
      <c r="L213" s="32">
        <v>5</v>
      </c>
      <c r="M213" s="32" t="s">
        <v>5421</v>
      </c>
      <c r="N213" s="32" t="s">
        <v>45</v>
      </c>
    </row>
    <row r="214" spans="1:14" s="32" customFormat="1" x14ac:dyDescent="0.3">
      <c r="A214" s="39">
        <v>46199.572372685187</v>
      </c>
      <c r="B214" s="32" t="s">
        <v>44</v>
      </c>
      <c r="C214" s="32">
        <v>4434221675</v>
      </c>
      <c r="E214" s="32">
        <v>44</v>
      </c>
      <c r="F214" s="32">
        <v>40</v>
      </c>
      <c r="G214" s="32" t="s">
        <v>38</v>
      </c>
      <c r="H214" s="32" t="s">
        <v>5630</v>
      </c>
      <c r="I214" s="32" t="s">
        <v>46</v>
      </c>
      <c r="J214" s="32" t="s">
        <v>40</v>
      </c>
      <c r="M214" s="32" t="s">
        <v>5416</v>
      </c>
      <c r="N214" s="32" t="s">
        <v>44</v>
      </c>
    </row>
    <row r="215" spans="1:14" s="32" customFormat="1" x14ac:dyDescent="0.3">
      <c r="A215" s="39">
        <v>46199.572314814817</v>
      </c>
      <c r="B215" s="32" t="s">
        <v>44</v>
      </c>
      <c r="C215" s="32">
        <v>4434221675</v>
      </c>
      <c r="E215" s="32">
        <v>14</v>
      </c>
      <c r="F215" s="32">
        <v>14</v>
      </c>
      <c r="G215" s="32" t="s">
        <v>38</v>
      </c>
      <c r="H215" s="32" t="s">
        <v>5631</v>
      </c>
      <c r="I215" s="32" t="s">
        <v>46</v>
      </c>
      <c r="J215" s="32" t="s">
        <v>40</v>
      </c>
      <c r="M215" s="32" t="s">
        <v>5416</v>
      </c>
      <c r="N215" s="32" t="s">
        <v>44</v>
      </c>
    </row>
    <row r="216" spans="1:14" s="32" customFormat="1" hidden="1" x14ac:dyDescent="0.3">
      <c r="A216" s="39">
        <v>46199.563715277778</v>
      </c>
      <c r="B216" s="32">
        <v>44999637463</v>
      </c>
      <c r="C216" s="32" t="s">
        <v>45</v>
      </c>
      <c r="D216" s="32">
        <v>4430265054</v>
      </c>
      <c r="E216" s="32">
        <v>68</v>
      </c>
      <c r="F216" s="32">
        <v>41</v>
      </c>
      <c r="G216" s="32" t="s">
        <v>38</v>
      </c>
      <c r="H216" s="32" t="s">
        <v>5632</v>
      </c>
      <c r="I216" s="32" t="s">
        <v>39</v>
      </c>
      <c r="J216" s="32" t="s">
        <v>40</v>
      </c>
      <c r="K216" s="32" t="s">
        <v>41</v>
      </c>
      <c r="M216" s="32" t="s">
        <v>5421</v>
      </c>
      <c r="N216" s="32" t="s">
        <v>45</v>
      </c>
    </row>
    <row r="217" spans="1:14" s="32" customFormat="1" hidden="1" x14ac:dyDescent="0.3">
      <c r="A217" s="39">
        <v>46199.561412037037</v>
      </c>
      <c r="B217" s="32">
        <v>4430317020</v>
      </c>
      <c r="C217" s="32">
        <v>4430265054</v>
      </c>
      <c r="D217" s="32">
        <v>4430265054</v>
      </c>
      <c r="E217" s="32">
        <v>18</v>
      </c>
      <c r="F217" s="32">
        <v>17</v>
      </c>
      <c r="G217" s="32" t="s">
        <v>52</v>
      </c>
      <c r="H217" s="32" t="s">
        <v>5633</v>
      </c>
      <c r="I217" s="32" t="s">
        <v>39</v>
      </c>
      <c r="J217" s="32" t="s">
        <v>53</v>
      </c>
    </row>
    <row r="218" spans="1:14" s="32" customFormat="1" hidden="1" x14ac:dyDescent="0.3">
      <c r="A218" s="39">
        <v>46199.560081018521</v>
      </c>
      <c r="B218" s="32">
        <v>4430315826</v>
      </c>
      <c r="C218" s="32">
        <v>4430265054</v>
      </c>
      <c r="D218" s="32">
        <v>4430265054</v>
      </c>
      <c r="E218" s="32">
        <v>13</v>
      </c>
      <c r="F218" s="32">
        <v>12</v>
      </c>
      <c r="G218" s="32" t="s">
        <v>52</v>
      </c>
      <c r="H218" s="32" t="s">
        <v>5634</v>
      </c>
      <c r="I218" s="32" t="s">
        <v>39</v>
      </c>
      <c r="J218" s="32" t="s">
        <v>53</v>
      </c>
    </row>
    <row r="219" spans="1:14" s="32" customFormat="1" hidden="1" x14ac:dyDescent="0.3">
      <c r="A219" s="39">
        <v>46199.559710648151</v>
      </c>
      <c r="B219" s="32" t="s">
        <v>45</v>
      </c>
      <c r="C219" s="32">
        <v>4432622421</v>
      </c>
      <c r="E219" s="32">
        <v>232</v>
      </c>
      <c r="F219" s="32">
        <v>197</v>
      </c>
      <c r="G219" s="32" t="s">
        <v>38</v>
      </c>
      <c r="H219" s="32" t="s">
        <v>5635</v>
      </c>
      <c r="I219" s="32" t="s">
        <v>46</v>
      </c>
      <c r="J219" s="32" t="s">
        <v>40</v>
      </c>
      <c r="M219" s="32" t="s">
        <v>5421</v>
      </c>
      <c r="N219" s="32" t="s">
        <v>45</v>
      </c>
    </row>
    <row r="220" spans="1:14" s="32" customFormat="1" hidden="1" x14ac:dyDescent="0.3">
      <c r="A220" s="39">
        <v>46199.486516203702</v>
      </c>
      <c r="B220" s="32" t="s">
        <v>45</v>
      </c>
      <c r="C220" s="32">
        <v>4430315538</v>
      </c>
      <c r="E220" s="32">
        <v>87</v>
      </c>
      <c r="F220" s="32">
        <v>27</v>
      </c>
      <c r="G220" s="32" t="s">
        <v>38</v>
      </c>
      <c r="H220" s="32" t="s">
        <v>5636</v>
      </c>
      <c r="I220" s="32" t="s">
        <v>46</v>
      </c>
      <c r="J220" s="32" t="s">
        <v>40</v>
      </c>
      <c r="M220" s="32" t="s">
        <v>5421</v>
      </c>
      <c r="N220" s="32" t="s">
        <v>45</v>
      </c>
    </row>
    <row r="221" spans="1:14" s="32" customFormat="1" hidden="1" x14ac:dyDescent="0.3">
      <c r="A221" s="39">
        <v>46199.486446759256</v>
      </c>
      <c r="B221" s="32" t="s">
        <v>45</v>
      </c>
      <c r="C221" s="32">
        <v>4430315538</v>
      </c>
      <c r="E221" s="32">
        <v>14</v>
      </c>
      <c r="F221" s="32">
        <v>14</v>
      </c>
      <c r="G221" s="32" t="s">
        <v>38</v>
      </c>
      <c r="H221" s="32" t="s">
        <v>5637</v>
      </c>
      <c r="I221" s="32" t="s">
        <v>46</v>
      </c>
      <c r="J221" s="32" t="s">
        <v>40</v>
      </c>
      <c r="M221" s="32" t="s">
        <v>5421</v>
      </c>
      <c r="N221" s="32" t="s">
        <v>45</v>
      </c>
    </row>
    <row r="222" spans="1:14" s="32" customFormat="1" hidden="1" x14ac:dyDescent="0.3">
      <c r="A222" s="39">
        <v>46199.482025462959</v>
      </c>
      <c r="B222" s="32">
        <v>4430315538</v>
      </c>
      <c r="C222" s="32" t="s">
        <v>45</v>
      </c>
      <c r="D222" s="32">
        <v>4430265054</v>
      </c>
      <c r="E222" s="32">
        <v>342</v>
      </c>
      <c r="F222" s="32">
        <v>82</v>
      </c>
      <c r="G222" s="32" t="s">
        <v>38</v>
      </c>
      <c r="H222" s="32" t="s">
        <v>5638</v>
      </c>
      <c r="I222" s="32" t="s">
        <v>39</v>
      </c>
      <c r="J222" s="32" t="s">
        <v>40</v>
      </c>
      <c r="K222" s="32" t="s">
        <v>41</v>
      </c>
      <c r="M222" s="32" t="s">
        <v>5421</v>
      </c>
      <c r="N222" s="32" t="s">
        <v>45</v>
      </c>
    </row>
    <row r="223" spans="1:14" s="32" customFormat="1" hidden="1" x14ac:dyDescent="0.3">
      <c r="A223" s="39">
        <v>46199.476817129631</v>
      </c>
      <c r="B223" s="32" t="s">
        <v>54</v>
      </c>
      <c r="C223" s="32">
        <v>11967316599</v>
      </c>
      <c r="E223" s="32">
        <v>17</v>
      </c>
      <c r="F223" s="32">
        <v>2</v>
      </c>
      <c r="G223" s="32" t="s">
        <v>38</v>
      </c>
      <c r="H223" s="32" t="s">
        <v>5639</v>
      </c>
      <c r="I223" s="32" t="s">
        <v>46</v>
      </c>
      <c r="J223" s="32" t="s">
        <v>55</v>
      </c>
      <c r="M223" s="32" t="s">
        <v>5537</v>
      </c>
      <c r="N223" s="32" t="s">
        <v>54</v>
      </c>
    </row>
    <row r="224" spans="1:14" s="32" customFormat="1" hidden="1" x14ac:dyDescent="0.3">
      <c r="A224" s="39">
        <v>46199.474722222221</v>
      </c>
      <c r="B224" s="32" t="s">
        <v>54</v>
      </c>
      <c r="C224" s="32">
        <v>3335231543</v>
      </c>
      <c r="E224" s="32">
        <v>89</v>
      </c>
      <c r="F224" s="32">
        <v>84</v>
      </c>
      <c r="G224" s="32" t="s">
        <v>38</v>
      </c>
      <c r="H224" s="32" t="s">
        <v>5640</v>
      </c>
      <c r="I224" s="32" t="s">
        <v>46</v>
      </c>
      <c r="J224" s="32" t="s">
        <v>55</v>
      </c>
      <c r="M224" s="32" t="s">
        <v>5537</v>
      </c>
      <c r="N224" s="32" t="s">
        <v>54</v>
      </c>
    </row>
    <row r="225" spans="1:14" s="32" customFormat="1" hidden="1" x14ac:dyDescent="0.3">
      <c r="A225" s="39">
        <v>46199.468078703707</v>
      </c>
      <c r="B225" s="32">
        <v>6234347959</v>
      </c>
      <c r="C225" s="32" t="s">
        <v>37</v>
      </c>
      <c r="D225" s="32">
        <v>4430265054</v>
      </c>
      <c r="E225" s="32">
        <v>916</v>
      </c>
      <c r="F225" s="32">
        <v>882</v>
      </c>
      <c r="G225" s="32" t="s">
        <v>38</v>
      </c>
      <c r="H225" s="32" t="s">
        <v>5641</v>
      </c>
      <c r="I225" s="32" t="s">
        <v>39</v>
      </c>
      <c r="J225" s="32" t="s">
        <v>40</v>
      </c>
      <c r="K225" s="32" t="s">
        <v>41</v>
      </c>
      <c r="L225" s="32">
        <v>5</v>
      </c>
      <c r="M225" s="32" t="s">
        <v>5410</v>
      </c>
      <c r="N225" s="32" t="s">
        <v>37</v>
      </c>
    </row>
    <row r="226" spans="1:14" s="32" customFormat="1" hidden="1" x14ac:dyDescent="0.3">
      <c r="A226" s="39">
        <v>46199.46769675926</v>
      </c>
      <c r="B226" s="32">
        <v>44991180210</v>
      </c>
      <c r="C226" s="32" t="s">
        <v>44</v>
      </c>
      <c r="D226" s="32">
        <v>4430265054</v>
      </c>
      <c r="E226" s="32">
        <v>365</v>
      </c>
      <c r="F226" s="32">
        <v>303</v>
      </c>
      <c r="G226" s="32" t="s">
        <v>38</v>
      </c>
      <c r="H226" s="32" t="s">
        <v>5642</v>
      </c>
      <c r="I226" s="32" t="s">
        <v>39</v>
      </c>
      <c r="J226" s="32" t="s">
        <v>40</v>
      </c>
      <c r="K226" s="32" t="s">
        <v>41</v>
      </c>
      <c r="M226" s="32" t="s">
        <v>5416</v>
      </c>
      <c r="N226" s="32" t="s">
        <v>44</v>
      </c>
    </row>
    <row r="227" spans="1:14" s="32" customFormat="1" hidden="1" x14ac:dyDescent="0.3">
      <c r="A227" s="39">
        <v>46199.467650462961</v>
      </c>
      <c r="B227" s="32">
        <v>44999648932</v>
      </c>
      <c r="C227" s="32" t="s">
        <v>48</v>
      </c>
      <c r="D227" s="32">
        <v>4430265054</v>
      </c>
      <c r="E227" s="32">
        <v>214</v>
      </c>
      <c r="F227" s="32">
        <v>158</v>
      </c>
      <c r="G227" s="32" t="s">
        <v>38</v>
      </c>
      <c r="H227" s="32" t="s">
        <v>5643</v>
      </c>
      <c r="I227" s="32" t="s">
        <v>39</v>
      </c>
      <c r="J227" s="32" t="s">
        <v>40</v>
      </c>
      <c r="K227" s="32" t="s">
        <v>41</v>
      </c>
      <c r="M227" s="32" t="s">
        <v>5412</v>
      </c>
      <c r="N227" s="32" t="s">
        <v>48</v>
      </c>
    </row>
    <row r="228" spans="1:14" s="32" customFormat="1" hidden="1" x14ac:dyDescent="0.3">
      <c r="A228" s="39">
        <v>46199.461863425924</v>
      </c>
      <c r="B228" s="32">
        <v>1140330393</v>
      </c>
      <c r="C228" s="32" t="s">
        <v>48</v>
      </c>
      <c r="D228" s="32">
        <v>4430265054</v>
      </c>
      <c r="E228" s="32">
        <v>387</v>
      </c>
      <c r="F228" s="32">
        <v>302</v>
      </c>
      <c r="G228" s="32" t="s">
        <v>38</v>
      </c>
      <c r="H228" s="32" t="s">
        <v>5644</v>
      </c>
      <c r="I228" s="32" t="s">
        <v>39</v>
      </c>
      <c r="J228" s="32" t="s">
        <v>40</v>
      </c>
      <c r="K228" s="32" t="s">
        <v>41</v>
      </c>
      <c r="M228" s="32" t="s">
        <v>5412</v>
      </c>
      <c r="N228" s="32" t="s">
        <v>48</v>
      </c>
    </row>
    <row r="229" spans="1:14" s="32" customFormat="1" hidden="1" x14ac:dyDescent="0.3">
      <c r="A229" s="39">
        <v>46199.460555555554</v>
      </c>
      <c r="B229" s="32">
        <v>4435226025</v>
      </c>
      <c r="C229" s="32" t="s">
        <v>44</v>
      </c>
      <c r="D229" s="32">
        <v>4430265054</v>
      </c>
      <c r="E229" s="32">
        <v>325</v>
      </c>
      <c r="F229" s="32">
        <v>108</v>
      </c>
      <c r="G229" s="32" t="s">
        <v>38</v>
      </c>
      <c r="H229" s="32" t="s">
        <v>5645</v>
      </c>
      <c r="I229" s="32" t="s">
        <v>39</v>
      </c>
      <c r="J229" s="32" t="s">
        <v>40</v>
      </c>
      <c r="K229" s="32" t="s">
        <v>41</v>
      </c>
      <c r="M229" s="32" t="s">
        <v>5416</v>
      </c>
      <c r="N229" s="32" t="s">
        <v>44</v>
      </c>
    </row>
    <row r="230" spans="1:14" s="32" customFormat="1" hidden="1" x14ac:dyDescent="0.3">
      <c r="A230" s="39">
        <v>46199.45</v>
      </c>
      <c r="B230" s="32">
        <v>1143744993</v>
      </c>
      <c r="C230" s="32" t="s">
        <v>45</v>
      </c>
      <c r="D230" s="32">
        <v>4431268225</v>
      </c>
      <c r="E230" s="32">
        <v>1138</v>
      </c>
      <c r="F230" s="32">
        <v>1083</v>
      </c>
      <c r="G230" s="32" t="s">
        <v>38</v>
      </c>
      <c r="H230" s="32" t="s">
        <v>5646</v>
      </c>
      <c r="I230" s="32" t="s">
        <v>39</v>
      </c>
      <c r="J230" s="32" t="s">
        <v>40</v>
      </c>
      <c r="K230" s="32" t="s">
        <v>41</v>
      </c>
      <c r="M230" s="32" t="s">
        <v>5421</v>
      </c>
      <c r="N230" s="32" t="s">
        <v>45</v>
      </c>
    </row>
    <row r="231" spans="1:14" s="32" customFormat="1" hidden="1" x14ac:dyDescent="0.3">
      <c r="A231" s="39">
        <v>46199.449155092596</v>
      </c>
      <c r="B231" s="32" t="s">
        <v>37</v>
      </c>
      <c r="C231" s="32">
        <v>4435221208</v>
      </c>
      <c r="E231" s="32">
        <v>229</v>
      </c>
      <c r="F231" s="32">
        <v>215</v>
      </c>
      <c r="G231" s="32" t="s">
        <v>38</v>
      </c>
      <c r="H231" s="32" t="s">
        <v>5647</v>
      </c>
      <c r="I231" s="32" t="s">
        <v>46</v>
      </c>
      <c r="J231" s="32" t="s">
        <v>40</v>
      </c>
      <c r="L231" s="32">
        <v>5</v>
      </c>
      <c r="M231" s="32" t="s">
        <v>5410</v>
      </c>
      <c r="N231" s="32" t="s">
        <v>37</v>
      </c>
    </row>
    <row r="232" spans="1:14" s="32" customFormat="1" hidden="1" x14ac:dyDescent="0.3">
      <c r="A232" s="39">
        <v>46199.447615740741</v>
      </c>
      <c r="B232" s="32">
        <v>1143744993</v>
      </c>
      <c r="C232" s="32">
        <v>4431268225</v>
      </c>
      <c r="D232" s="32">
        <v>4431268225</v>
      </c>
      <c r="E232" s="32">
        <v>22</v>
      </c>
      <c r="F232" s="32">
        <v>22</v>
      </c>
      <c r="G232" s="32" t="s">
        <v>52</v>
      </c>
      <c r="H232" s="32" t="s">
        <v>5648</v>
      </c>
      <c r="I232" s="32" t="s">
        <v>39</v>
      </c>
      <c r="J232" s="32" t="s">
        <v>53</v>
      </c>
    </row>
    <row r="233" spans="1:14" s="32" customFormat="1" hidden="1" x14ac:dyDescent="0.3">
      <c r="A233" s="39">
        <v>46199.439340277779</v>
      </c>
      <c r="B233" s="32">
        <v>6234347959</v>
      </c>
      <c r="C233" s="32" t="s">
        <v>44</v>
      </c>
      <c r="D233" s="32">
        <v>4430265054</v>
      </c>
      <c r="E233" s="32">
        <v>1795</v>
      </c>
      <c r="F233" s="32">
        <v>1607</v>
      </c>
      <c r="G233" s="32" t="s">
        <v>38</v>
      </c>
      <c r="H233" s="32" t="s">
        <v>5649</v>
      </c>
      <c r="I233" s="32" t="s">
        <v>39</v>
      </c>
      <c r="J233" s="32" t="s">
        <v>40</v>
      </c>
      <c r="K233" s="32" t="s">
        <v>41</v>
      </c>
      <c r="M233" s="32" t="s">
        <v>5416</v>
      </c>
      <c r="N233" s="32" t="s">
        <v>44</v>
      </c>
    </row>
    <row r="234" spans="1:14" s="32" customFormat="1" hidden="1" x14ac:dyDescent="0.3">
      <c r="A234" s="39">
        <v>46199.43917824074</v>
      </c>
      <c r="B234" s="32">
        <v>4435228300</v>
      </c>
      <c r="C234" s="32" t="s">
        <v>37</v>
      </c>
      <c r="D234" s="32">
        <v>4430265054</v>
      </c>
      <c r="E234" s="32">
        <v>270</v>
      </c>
      <c r="F234" s="32">
        <v>112</v>
      </c>
      <c r="G234" s="32" t="s">
        <v>38</v>
      </c>
      <c r="H234" s="32" t="s">
        <v>5650</v>
      </c>
      <c r="I234" s="32" t="s">
        <v>39</v>
      </c>
      <c r="J234" s="32" t="s">
        <v>40</v>
      </c>
      <c r="K234" s="32" t="s">
        <v>41</v>
      </c>
      <c r="L234" s="32">
        <v>5</v>
      </c>
      <c r="M234" s="32" t="s">
        <v>5410</v>
      </c>
      <c r="N234" s="32" t="s">
        <v>37</v>
      </c>
    </row>
    <row r="235" spans="1:14" s="32" customFormat="1" hidden="1" x14ac:dyDescent="0.3">
      <c r="A235" s="39">
        <v>46199.437986111108</v>
      </c>
      <c r="B235" s="32">
        <v>4435226025</v>
      </c>
      <c r="C235" s="32">
        <v>4430265054</v>
      </c>
      <c r="D235" s="32">
        <v>4430265054</v>
      </c>
      <c r="E235" s="32">
        <v>10</v>
      </c>
      <c r="F235" s="32">
        <v>9</v>
      </c>
      <c r="G235" s="32" t="s">
        <v>52</v>
      </c>
      <c r="H235" s="32" t="s">
        <v>5651</v>
      </c>
      <c r="I235" s="32" t="s">
        <v>39</v>
      </c>
      <c r="J235" s="32" t="s">
        <v>53</v>
      </c>
    </row>
    <row r="236" spans="1:14" s="32" customFormat="1" hidden="1" x14ac:dyDescent="0.3">
      <c r="A236" s="39">
        <v>46199.437650462962</v>
      </c>
      <c r="B236" s="32" t="s">
        <v>48</v>
      </c>
      <c r="C236" s="32">
        <v>4436311970</v>
      </c>
      <c r="E236" s="32">
        <v>1305</v>
      </c>
      <c r="F236" s="32">
        <v>1293</v>
      </c>
      <c r="G236" s="32" t="s">
        <v>38</v>
      </c>
      <c r="H236" s="32" t="s">
        <v>5652</v>
      </c>
      <c r="I236" s="32" t="s">
        <v>46</v>
      </c>
      <c r="J236" s="32" t="s">
        <v>40</v>
      </c>
      <c r="M236" s="32" t="s">
        <v>5412</v>
      </c>
      <c r="N236" s="32" t="s">
        <v>48</v>
      </c>
    </row>
    <row r="237" spans="1:14" s="32" customFormat="1" hidden="1" x14ac:dyDescent="0.3">
      <c r="A237" s="39">
        <v>46199.436574074076</v>
      </c>
      <c r="B237" s="32" t="s">
        <v>45</v>
      </c>
      <c r="C237" s="32">
        <v>4430403880</v>
      </c>
      <c r="E237" s="32">
        <v>1</v>
      </c>
      <c r="F237" s="32">
        <v>0</v>
      </c>
      <c r="G237" s="32" t="s">
        <v>47</v>
      </c>
      <c r="H237" s="32" t="s">
        <v>5653</v>
      </c>
      <c r="I237" s="32" t="s">
        <v>46</v>
      </c>
      <c r="J237" s="32" t="s">
        <v>40</v>
      </c>
      <c r="M237" s="32" t="s">
        <v>5421</v>
      </c>
      <c r="N237" s="32" t="s">
        <v>45</v>
      </c>
    </row>
    <row r="238" spans="1:14" s="32" customFormat="1" hidden="1" x14ac:dyDescent="0.3">
      <c r="A238" s="39">
        <v>46199.436469907407</v>
      </c>
      <c r="B238" s="32" t="s">
        <v>45</v>
      </c>
      <c r="C238" s="32">
        <v>4430403880</v>
      </c>
      <c r="E238" s="32">
        <v>1</v>
      </c>
      <c r="F238" s="32">
        <v>0</v>
      </c>
      <c r="G238" s="32" t="s">
        <v>47</v>
      </c>
      <c r="H238" s="32" t="s">
        <v>5654</v>
      </c>
      <c r="I238" s="32" t="s">
        <v>46</v>
      </c>
      <c r="J238" s="32" t="s">
        <v>40</v>
      </c>
      <c r="M238" s="32" t="s">
        <v>5421</v>
      </c>
      <c r="N238" s="32" t="s">
        <v>45</v>
      </c>
    </row>
    <row r="239" spans="1:14" s="32" customFormat="1" hidden="1" x14ac:dyDescent="0.3">
      <c r="A239" s="39">
        <v>46199.436435185184</v>
      </c>
      <c r="B239" s="32" t="s">
        <v>45</v>
      </c>
      <c r="C239" s="32">
        <v>4430403880</v>
      </c>
      <c r="E239" s="32">
        <v>0</v>
      </c>
      <c r="F239" s="32">
        <v>0</v>
      </c>
      <c r="G239" s="32" t="s">
        <v>47</v>
      </c>
      <c r="H239" s="32" t="s">
        <v>5655</v>
      </c>
      <c r="I239" s="32" t="s">
        <v>46</v>
      </c>
      <c r="J239" s="32" t="s">
        <v>40</v>
      </c>
      <c r="M239" s="32" t="s">
        <v>5421</v>
      </c>
      <c r="N239" s="32" t="s">
        <v>45</v>
      </c>
    </row>
    <row r="240" spans="1:14" s="32" customFormat="1" hidden="1" x14ac:dyDescent="0.3">
      <c r="A240" s="39">
        <v>46199.436377314814</v>
      </c>
      <c r="B240" s="32" t="s">
        <v>45</v>
      </c>
      <c r="C240" s="32">
        <v>4430403880</v>
      </c>
      <c r="E240" s="32">
        <v>0</v>
      </c>
      <c r="F240" s="32">
        <v>0</v>
      </c>
      <c r="G240" s="32" t="s">
        <v>47</v>
      </c>
      <c r="H240" s="32" t="s">
        <v>5656</v>
      </c>
      <c r="I240" s="32" t="s">
        <v>46</v>
      </c>
      <c r="J240" s="32" t="s">
        <v>40</v>
      </c>
      <c r="M240" s="32" t="s">
        <v>5421</v>
      </c>
      <c r="N240" s="32" t="s">
        <v>45</v>
      </c>
    </row>
    <row r="241" spans="1:14" s="32" customFormat="1" hidden="1" x14ac:dyDescent="0.3">
      <c r="A241" s="39">
        <v>46199.436307870368</v>
      </c>
      <c r="B241" s="32" t="s">
        <v>48</v>
      </c>
      <c r="C241" s="32">
        <v>4436311970</v>
      </c>
      <c r="E241" s="32">
        <v>83</v>
      </c>
      <c r="F241" s="32">
        <v>75</v>
      </c>
      <c r="G241" s="32" t="s">
        <v>38</v>
      </c>
      <c r="H241" s="32" t="s">
        <v>5657</v>
      </c>
      <c r="I241" s="32" t="s">
        <v>46</v>
      </c>
      <c r="J241" s="32" t="s">
        <v>40</v>
      </c>
      <c r="M241" s="32" t="s">
        <v>5412</v>
      </c>
      <c r="N241" s="32" t="s">
        <v>48</v>
      </c>
    </row>
    <row r="242" spans="1:14" s="32" customFormat="1" hidden="1" x14ac:dyDescent="0.3">
      <c r="A242" s="39">
        <v>46199.435868055552</v>
      </c>
      <c r="B242" s="32">
        <v>4436372125</v>
      </c>
      <c r="C242" s="32">
        <v>4430265054</v>
      </c>
      <c r="D242" s="32">
        <v>4430265054</v>
      </c>
      <c r="E242" s="32">
        <v>44</v>
      </c>
      <c r="F242" s="32">
        <v>44</v>
      </c>
      <c r="G242" s="32" t="s">
        <v>52</v>
      </c>
      <c r="H242" s="32" t="s">
        <v>5658</v>
      </c>
      <c r="I242" s="32" t="s">
        <v>39</v>
      </c>
      <c r="J242" s="32" t="s">
        <v>53</v>
      </c>
      <c r="K242" s="32" t="s">
        <v>41</v>
      </c>
    </row>
    <row r="243" spans="1:14" s="32" customFormat="1" hidden="1" x14ac:dyDescent="0.3">
      <c r="A243" s="39">
        <v>46199.433854166666</v>
      </c>
      <c r="B243" s="32" t="s">
        <v>45</v>
      </c>
      <c r="C243" s="32">
        <v>4430403880</v>
      </c>
      <c r="E243" s="32">
        <v>237</v>
      </c>
      <c r="F243" s="32">
        <v>236</v>
      </c>
      <c r="G243" s="32" t="s">
        <v>38</v>
      </c>
      <c r="H243" s="32" t="s">
        <v>5659</v>
      </c>
      <c r="I243" s="32" t="s">
        <v>46</v>
      </c>
      <c r="J243" s="32" t="s">
        <v>40</v>
      </c>
      <c r="M243" s="32" t="s">
        <v>5421</v>
      </c>
      <c r="N243" s="32" t="s">
        <v>45</v>
      </c>
    </row>
    <row r="244" spans="1:14" s="32" customFormat="1" hidden="1" x14ac:dyDescent="0.3">
      <c r="A244" s="39">
        <v>46199.433668981481</v>
      </c>
      <c r="B244" s="32" t="s">
        <v>48</v>
      </c>
      <c r="C244" s="32">
        <v>4436311970</v>
      </c>
      <c r="E244" s="32">
        <v>179</v>
      </c>
      <c r="F244" s="32">
        <v>171</v>
      </c>
      <c r="G244" s="32" t="s">
        <v>38</v>
      </c>
      <c r="H244" s="32" t="s">
        <v>5660</v>
      </c>
      <c r="I244" s="32" t="s">
        <v>46</v>
      </c>
      <c r="J244" s="32" t="s">
        <v>40</v>
      </c>
      <c r="M244" s="32" t="s">
        <v>5412</v>
      </c>
      <c r="N244" s="32" t="s">
        <v>48</v>
      </c>
    </row>
    <row r="245" spans="1:14" s="32" customFormat="1" hidden="1" x14ac:dyDescent="0.3">
      <c r="A245" s="39">
        <v>46199.433645833335</v>
      </c>
      <c r="B245" s="32" t="s">
        <v>45</v>
      </c>
      <c r="C245" s="32">
        <v>4430403880</v>
      </c>
      <c r="E245" s="32">
        <v>1</v>
      </c>
      <c r="F245" s="32">
        <v>0</v>
      </c>
      <c r="G245" s="32" t="s">
        <v>47</v>
      </c>
      <c r="H245" s="32" t="s">
        <v>5661</v>
      </c>
      <c r="I245" s="32" t="s">
        <v>46</v>
      </c>
      <c r="J245" s="32" t="s">
        <v>40</v>
      </c>
      <c r="M245" s="32" t="s">
        <v>5421</v>
      </c>
      <c r="N245" s="32" t="s">
        <v>45</v>
      </c>
    </row>
    <row r="246" spans="1:14" s="32" customFormat="1" hidden="1" x14ac:dyDescent="0.3">
      <c r="A246" s="39">
        <v>46199.431192129632</v>
      </c>
      <c r="B246" s="32">
        <v>4430403880</v>
      </c>
      <c r="C246" s="32" t="s">
        <v>45</v>
      </c>
      <c r="D246" s="32">
        <v>4430265054</v>
      </c>
      <c r="E246" s="32">
        <v>228</v>
      </c>
      <c r="F246" s="32">
        <v>197</v>
      </c>
      <c r="G246" s="32" t="s">
        <v>38</v>
      </c>
      <c r="H246" s="32" t="s">
        <v>5662</v>
      </c>
      <c r="I246" s="32" t="s">
        <v>39</v>
      </c>
      <c r="J246" s="32" t="s">
        <v>40</v>
      </c>
      <c r="K246" s="32" t="s">
        <v>41</v>
      </c>
      <c r="M246" s="32" t="s">
        <v>5421</v>
      </c>
      <c r="N246" s="32" t="s">
        <v>45</v>
      </c>
    </row>
    <row r="247" spans="1:14" s="32" customFormat="1" hidden="1" x14ac:dyDescent="0.3">
      <c r="A247" s="39">
        <v>46199.429120370369</v>
      </c>
      <c r="B247" s="32" t="s">
        <v>48</v>
      </c>
      <c r="C247" s="32">
        <v>4436311970</v>
      </c>
      <c r="E247" s="32">
        <v>376</v>
      </c>
      <c r="F247" s="32">
        <v>370</v>
      </c>
      <c r="G247" s="32" t="s">
        <v>38</v>
      </c>
      <c r="H247" s="32" t="s">
        <v>5663</v>
      </c>
      <c r="I247" s="32" t="s">
        <v>46</v>
      </c>
      <c r="J247" s="32" t="s">
        <v>40</v>
      </c>
      <c r="M247" s="32" t="s">
        <v>5412</v>
      </c>
      <c r="N247" s="32" t="s">
        <v>48</v>
      </c>
    </row>
    <row r="248" spans="1:14" s="32" customFormat="1" hidden="1" x14ac:dyDescent="0.3">
      <c r="A248" s="39">
        <v>46199.41878472222</v>
      </c>
      <c r="B248" s="32" t="s">
        <v>48</v>
      </c>
      <c r="C248" s="32">
        <v>4540639075</v>
      </c>
      <c r="E248" s="32">
        <v>236</v>
      </c>
      <c r="F248" s="32">
        <v>234</v>
      </c>
      <c r="G248" s="32" t="s">
        <v>38</v>
      </c>
      <c r="H248" s="32" t="s">
        <v>5664</v>
      </c>
      <c r="I248" s="32" t="s">
        <v>46</v>
      </c>
      <c r="J248" s="32" t="s">
        <v>40</v>
      </c>
      <c r="M248" s="32" t="s">
        <v>5412</v>
      </c>
      <c r="N248" s="32" t="s">
        <v>48</v>
      </c>
    </row>
    <row r="249" spans="1:14" s="32" customFormat="1" hidden="1" x14ac:dyDescent="0.3">
      <c r="A249" s="39">
        <v>46199.412465277775</v>
      </c>
      <c r="B249" s="32" t="s">
        <v>57</v>
      </c>
      <c r="C249" s="32">
        <v>67984840109</v>
      </c>
      <c r="E249" s="32">
        <v>9</v>
      </c>
      <c r="F249" s="32">
        <v>0</v>
      </c>
      <c r="G249" s="32" t="s">
        <v>47</v>
      </c>
      <c r="H249" s="32" t="s">
        <v>5665</v>
      </c>
      <c r="I249" s="32" t="s">
        <v>46</v>
      </c>
      <c r="J249" s="32" t="s">
        <v>55</v>
      </c>
      <c r="M249" s="32" t="s">
        <v>5456</v>
      </c>
      <c r="N249" s="32" t="s">
        <v>57</v>
      </c>
    </row>
    <row r="250" spans="1:14" s="32" customFormat="1" hidden="1" x14ac:dyDescent="0.3">
      <c r="A250" s="39">
        <v>46199.411157407405</v>
      </c>
      <c r="B250" s="32" t="s">
        <v>57</v>
      </c>
      <c r="C250" s="32">
        <v>67984840109</v>
      </c>
      <c r="E250" s="32">
        <v>14</v>
      </c>
      <c r="F250" s="32">
        <v>2</v>
      </c>
      <c r="G250" s="32" t="s">
        <v>38</v>
      </c>
      <c r="H250" s="32" t="s">
        <v>5666</v>
      </c>
      <c r="I250" s="32" t="s">
        <v>46</v>
      </c>
      <c r="J250" s="32" t="s">
        <v>55</v>
      </c>
      <c r="M250" s="32" t="s">
        <v>5456</v>
      </c>
      <c r="N250" s="32" t="s">
        <v>57</v>
      </c>
    </row>
    <row r="251" spans="1:14" s="32" customFormat="1" hidden="1" x14ac:dyDescent="0.3">
      <c r="A251" s="39">
        <v>46199.403912037036</v>
      </c>
      <c r="B251" s="32">
        <v>41987771666</v>
      </c>
      <c r="C251" s="32" t="s">
        <v>44</v>
      </c>
      <c r="D251" s="32">
        <v>4430265054</v>
      </c>
      <c r="E251" s="32">
        <v>894</v>
      </c>
      <c r="F251" s="32">
        <v>747</v>
      </c>
      <c r="G251" s="32" t="s">
        <v>38</v>
      </c>
      <c r="H251" s="32" t="s">
        <v>5667</v>
      </c>
      <c r="I251" s="32" t="s">
        <v>39</v>
      </c>
      <c r="J251" s="32" t="s">
        <v>40</v>
      </c>
      <c r="K251" s="32" t="s">
        <v>41</v>
      </c>
      <c r="M251" s="32" t="s">
        <v>5416</v>
      </c>
      <c r="N251" s="32" t="s">
        <v>44</v>
      </c>
    </row>
    <row r="252" spans="1:14" s="32" customFormat="1" hidden="1" x14ac:dyDescent="0.3">
      <c r="A252" s="39">
        <v>46199.40384259259</v>
      </c>
      <c r="B252" s="32" t="s">
        <v>45</v>
      </c>
      <c r="C252" s="32">
        <v>4432622421</v>
      </c>
      <c r="E252" s="32">
        <v>278</v>
      </c>
      <c r="F252" s="32">
        <v>223</v>
      </c>
      <c r="G252" s="32" t="s">
        <v>38</v>
      </c>
      <c r="H252" s="32" t="s">
        <v>5668</v>
      </c>
      <c r="I252" s="32" t="s">
        <v>46</v>
      </c>
      <c r="J252" s="32" t="s">
        <v>40</v>
      </c>
      <c r="M252" s="32" t="s">
        <v>5421</v>
      </c>
      <c r="N252" s="32" t="s">
        <v>45</v>
      </c>
    </row>
    <row r="253" spans="1:14" s="32" customFormat="1" hidden="1" x14ac:dyDescent="0.3">
      <c r="A253" s="39">
        <v>46199.402581018519</v>
      </c>
      <c r="B253" s="32" t="s">
        <v>45</v>
      </c>
      <c r="C253" s="32">
        <v>4432622421</v>
      </c>
      <c r="E253" s="32">
        <v>100</v>
      </c>
      <c r="F253" s="32">
        <v>0</v>
      </c>
      <c r="G253" s="32" t="s">
        <v>47</v>
      </c>
      <c r="H253" s="32" t="s">
        <v>5669</v>
      </c>
      <c r="I253" s="32" t="s">
        <v>46</v>
      </c>
      <c r="J253" s="32" t="s">
        <v>40</v>
      </c>
      <c r="M253" s="32" t="s">
        <v>5421</v>
      </c>
      <c r="N253" s="32" t="s">
        <v>45</v>
      </c>
    </row>
    <row r="254" spans="1:14" s="32" customFormat="1" hidden="1" x14ac:dyDescent="0.3">
      <c r="A254" s="39">
        <v>46199.394259259258</v>
      </c>
      <c r="B254" s="32">
        <v>44998032021</v>
      </c>
      <c r="C254" s="32">
        <v>4430265054</v>
      </c>
      <c r="D254" s="32">
        <v>4430265054</v>
      </c>
      <c r="E254" s="32">
        <v>2</v>
      </c>
      <c r="F254" s="32">
        <v>1</v>
      </c>
      <c r="G254" s="32" t="s">
        <v>52</v>
      </c>
      <c r="H254" s="32" t="s">
        <v>5670</v>
      </c>
      <c r="I254" s="32" t="s">
        <v>39</v>
      </c>
      <c r="J254" s="32" t="s">
        <v>53</v>
      </c>
    </row>
    <row r="255" spans="1:14" s="32" customFormat="1" hidden="1" x14ac:dyDescent="0.3">
      <c r="A255" s="39">
        <v>46199.390740740739</v>
      </c>
      <c r="B255" s="32">
        <v>44991668902</v>
      </c>
      <c r="C255" s="32" t="s">
        <v>45</v>
      </c>
      <c r="D255" s="32">
        <v>4430265054</v>
      </c>
      <c r="E255" s="32">
        <v>193</v>
      </c>
      <c r="F255" s="32">
        <v>154</v>
      </c>
      <c r="G255" s="32" t="s">
        <v>38</v>
      </c>
      <c r="H255" s="32" t="s">
        <v>5671</v>
      </c>
      <c r="I255" s="32" t="s">
        <v>39</v>
      </c>
      <c r="J255" s="32" t="s">
        <v>40</v>
      </c>
      <c r="K255" s="32" t="s">
        <v>41</v>
      </c>
      <c r="M255" s="32" t="s">
        <v>5421</v>
      </c>
      <c r="N255" s="32" t="s">
        <v>45</v>
      </c>
    </row>
    <row r="256" spans="1:14" s="32" customFormat="1" hidden="1" x14ac:dyDescent="0.3">
      <c r="A256" s="39">
        <v>46199.384502314817</v>
      </c>
      <c r="B256" s="32">
        <v>4430152533</v>
      </c>
      <c r="C256" s="32" t="s">
        <v>44</v>
      </c>
      <c r="D256" s="32">
        <v>4430265054</v>
      </c>
      <c r="E256" s="32">
        <v>751</v>
      </c>
      <c r="F256" s="32">
        <v>701</v>
      </c>
      <c r="G256" s="32" t="s">
        <v>38</v>
      </c>
      <c r="H256" s="32" t="s">
        <v>5672</v>
      </c>
      <c r="I256" s="32" t="s">
        <v>39</v>
      </c>
      <c r="J256" s="32" t="s">
        <v>40</v>
      </c>
      <c r="K256" s="32" t="s">
        <v>41</v>
      </c>
      <c r="M256" s="32" t="s">
        <v>5416</v>
      </c>
      <c r="N256" s="32" t="s">
        <v>44</v>
      </c>
    </row>
    <row r="257" spans="1:14" s="32" customFormat="1" hidden="1" x14ac:dyDescent="0.3">
      <c r="A257" s="39">
        <v>46199.379687499997</v>
      </c>
      <c r="B257" s="32">
        <v>44999449519</v>
      </c>
      <c r="C257" s="32" t="s">
        <v>48</v>
      </c>
      <c r="D257" s="32">
        <v>4430265054</v>
      </c>
      <c r="E257" s="32">
        <v>336</v>
      </c>
      <c r="F257" s="32">
        <v>336</v>
      </c>
      <c r="G257" s="32" t="s">
        <v>38</v>
      </c>
      <c r="H257" s="32" t="s">
        <v>5673</v>
      </c>
      <c r="I257" s="32" t="s">
        <v>39</v>
      </c>
      <c r="J257" s="32" t="s">
        <v>40</v>
      </c>
      <c r="K257" s="32" t="s">
        <v>41</v>
      </c>
      <c r="M257" s="32" t="s">
        <v>5412</v>
      </c>
      <c r="N257" s="32" t="s">
        <v>48</v>
      </c>
    </row>
    <row r="258" spans="1:14" s="32" customFormat="1" hidden="1" x14ac:dyDescent="0.3">
      <c r="A258" s="39">
        <v>46199.377349537041</v>
      </c>
      <c r="B258" s="32">
        <v>4430282545</v>
      </c>
      <c r="C258" s="32" t="s">
        <v>45</v>
      </c>
      <c r="D258" s="32">
        <v>4430265054</v>
      </c>
      <c r="E258" s="32">
        <v>142</v>
      </c>
      <c r="F258" s="32">
        <v>103</v>
      </c>
      <c r="G258" s="32" t="s">
        <v>38</v>
      </c>
      <c r="H258" s="32" t="s">
        <v>5674</v>
      </c>
      <c r="I258" s="32" t="s">
        <v>39</v>
      </c>
      <c r="J258" s="32" t="s">
        <v>40</v>
      </c>
      <c r="K258" s="32" t="s">
        <v>41</v>
      </c>
      <c r="L258" s="32">
        <v>5</v>
      </c>
      <c r="M258" s="32" t="s">
        <v>5421</v>
      </c>
      <c r="N258" s="32" t="s">
        <v>45</v>
      </c>
    </row>
    <row r="259" spans="1:14" s="32" customFormat="1" hidden="1" x14ac:dyDescent="0.3">
      <c r="A259" s="39">
        <v>46199.376342592594</v>
      </c>
      <c r="B259" s="32">
        <v>44999449519</v>
      </c>
      <c r="C259" s="32" t="s">
        <v>45</v>
      </c>
      <c r="D259" s="32">
        <v>4430265054</v>
      </c>
      <c r="E259" s="32">
        <v>97</v>
      </c>
      <c r="F259" s="32">
        <v>12</v>
      </c>
      <c r="G259" s="32" t="s">
        <v>38</v>
      </c>
      <c r="H259" s="32" t="s">
        <v>5675</v>
      </c>
      <c r="I259" s="32" t="s">
        <v>39</v>
      </c>
      <c r="J259" s="32" t="s">
        <v>40</v>
      </c>
      <c r="K259" s="32" t="s">
        <v>41</v>
      </c>
      <c r="M259" s="32" t="s">
        <v>5421</v>
      </c>
      <c r="N259" s="32" t="s">
        <v>45</v>
      </c>
    </row>
    <row r="260" spans="1:14" s="32" customFormat="1" hidden="1" x14ac:dyDescent="0.3">
      <c r="A260" s="39">
        <v>46199.374340277776</v>
      </c>
      <c r="B260" s="32">
        <v>4334726613</v>
      </c>
      <c r="C260" s="32" t="s">
        <v>44</v>
      </c>
      <c r="D260" s="32">
        <v>4430265054</v>
      </c>
      <c r="E260" s="32">
        <v>369</v>
      </c>
      <c r="F260" s="32">
        <v>334</v>
      </c>
      <c r="G260" s="32" t="s">
        <v>38</v>
      </c>
      <c r="H260" s="32" t="s">
        <v>5676</v>
      </c>
      <c r="I260" s="32" t="s">
        <v>39</v>
      </c>
      <c r="J260" s="32" t="s">
        <v>40</v>
      </c>
      <c r="K260" s="32" t="s">
        <v>41</v>
      </c>
      <c r="L260" s="32">
        <v>5</v>
      </c>
      <c r="M260" s="32" t="s">
        <v>5416</v>
      </c>
      <c r="N260" s="32" t="s">
        <v>44</v>
      </c>
    </row>
    <row r="261" spans="1:14" s="32" customFormat="1" hidden="1" x14ac:dyDescent="0.3">
      <c r="A261" s="39">
        <v>46199.374085648145</v>
      </c>
      <c r="B261" s="32">
        <v>44998032021</v>
      </c>
      <c r="C261" s="32" t="s">
        <v>37</v>
      </c>
      <c r="D261" s="32">
        <v>4430265054</v>
      </c>
      <c r="E261" s="32">
        <v>1736</v>
      </c>
      <c r="F261" s="32">
        <v>1717</v>
      </c>
      <c r="G261" s="32" t="s">
        <v>38</v>
      </c>
      <c r="H261" s="32" t="s">
        <v>5677</v>
      </c>
      <c r="I261" s="32" t="s">
        <v>39</v>
      </c>
      <c r="J261" s="32" t="s">
        <v>40</v>
      </c>
      <c r="K261" s="32" t="s">
        <v>41</v>
      </c>
      <c r="M261" s="32" t="s">
        <v>5410</v>
      </c>
      <c r="N261" s="32" t="s">
        <v>37</v>
      </c>
    </row>
    <row r="262" spans="1:14" s="32" customFormat="1" hidden="1" x14ac:dyDescent="0.3">
      <c r="A262" s="39">
        <v>46199.365208333336</v>
      </c>
      <c r="B262" s="32">
        <v>81988293889</v>
      </c>
      <c r="C262" s="32" t="s">
        <v>37</v>
      </c>
      <c r="D262" s="32">
        <v>4431268225</v>
      </c>
      <c r="E262" s="32">
        <v>277</v>
      </c>
      <c r="F262" s="32">
        <v>258</v>
      </c>
      <c r="G262" s="32" t="s">
        <v>38</v>
      </c>
      <c r="H262" s="32" t="s">
        <v>5678</v>
      </c>
      <c r="I262" s="32" t="s">
        <v>39</v>
      </c>
      <c r="J262" s="32" t="s">
        <v>40</v>
      </c>
      <c r="K262" s="32" t="s">
        <v>41</v>
      </c>
      <c r="L262" s="32">
        <v>5</v>
      </c>
      <c r="M262" s="32" t="s">
        <v>5410</v>
      </c>
      <c r="N262" s="32" t="s">
        <v>37</v>
      </c>
    </row>
    <row r="263" spans="1:14" s="32" customFormat="1" hidden="1" x14ac:dyDescent="0.3">
      <c r="A263" s="39">
        <v>46199.359571759262</v>
      </c>
      <c r="B263" s="32">
        <v>44999637463</v>
      </c>
      <c r="C263" s="32" t="s">
        <v>45</v>
      </c>
      <c r="D263" s="32">
        <v>4430265054</v>
      </c>
      <c r="E263" s="32">
        <v>1233</v>
      </c>
      <c r="F263" s="32">
        <v>1173</v>
      </c>
      <c r="G263" s="32" t="s">
        <v>38</v>
      </c>
      <c r="H263" s="32" t="s">
        <v>5679</v>
      </c>
      <c r="I263" s="32" t="s">
        <v>39</v>
      </c>
      <c r="J263" s="32" t="s">
        <v>40</v>
      </c>
      <c r="K263" s="32" t="s">
        <v>41</v>
      </c>
      <c r="M263" s="32" t="s">
        <v>5421</v>
      </c>
      <c r="N263" s="32" t="s">
        <v>45</v>
      </c>
    </row>
    <row r="264" spans="1:14" s="32" customFormat="1" hidden="1" x14ac:dyDescent="0.3">
      <c r="A264" s="39">
        <v>46199.35428240741</v>
      </c>
      <c r="B264" s="32">
        <v>4430459032</v>
      </c>
      <c r="C264" s="32" t="s">
        <v>37</v>
      </c>
      <c r="D264" s="32">
        <v>4430265054</v>
      </c>
      <c r="E264" s="32">
        <v>285</v>
      </c>
      <c r="F264" s="32">
        <v>234</v>
      </c>
      <c r="G264" s="32" t="s">
        <v>38</v>
      </c>
      <c r="H264" s="32" t="s">
        <v>5680</v>
      </c>
      <c r="I264" s="32" t="s">
        <v>39</v>
      </c>
      <c r="J264" s="32" t="s">
        <v>40</v>
      </c>
      <c r="K264" s="32" t="s">
        <v>41</v>
      </c>
      <c r="L264" s="32">
        <v>5</v>
      </c>
      <c r="M264" s="32" t="s">
        <v>5410</v>
      </c>
      <c r="N264" s="32" t="s">
        <v>37</v>
      </c>
    </row>
    <row r="265" spans="1:14" s="32" customFormat="1" hidden="1" x14ac:dyDescent="0.3">
      <c r="A265" s="39">
        <v>46199.353750000002</v>
      </c>
      <c r="B265" s="32">
        <v>4430459032</v>
      </c>
      <c r="C265" s="32">
        <v>4430265054</v>
      </c>
      <c r="D265" s="32">
        <v>4430265054</v>
      </c>
      <c r="E265" s="32">
        <v>28</v>
      </c>
      <c r="F265" s="32">
        <v>28</v>
      </c>
      <c r="G265" s="32" t="s">
        <v>52</v>
      </c>
      <c r="H265" s="32" t="s">
        <v>5681</v>
      </c>
      <c r="I265" s="32" t="s">
        <v>39</v>
      </c>
      <c r="J265" s="32" t="s">
        <v>53</v>
      </c>
    </row>
    <row r="266" spans="1:14" s="32" customFormat="1" hidden="1" x14ac:dyDescent="0.3">
      <c r="A266" s="39">
        <v>46199.353368055556</v>
      </c>
      <c r="B266" s="32">
        <v>4430459032</v>
      </c>
      <c r="C266" s="32">
        <v>4430265054</v>
      </c>
      <c r="D266" s="32">
        <v>4430265054</v>
      </c>
      <c r="E266" s="32">
        <v>28</v>
      </c>
      <c r="F266" s="32">
        <v>27</v>
      </c>
      <c r="G266" s="32" t="s">
        <v>52</v>
      </c>
      <c r="H266" s="32" t="s">
        <v>5682</v>
      </c>
      <c r="I266" s="32" t="s">
        <v>39</v>
      </c>
      <c r="J266" s="32" t="s">
        <v>53</v>
      </c>
    </row>
    <row r="267" spans="1:14" s="32" customFormat="1" hidden="1" x14ac:dyDescent="0.3">
      <c r="A267" s="39">
        <v>46199.352939814817</v>
      </c>
      <c r="B267" s="32">
        <v>4430459032</v>
      </c>
      <c r="C267" s="32">
        <v>4430265054</v>
      </c>
      <c r="D267" s="32">
        <v>4430265054</v>
      </c>
      <c r="E267" s="32">
        <v>29</v>
      </c>
      <c r="F267" s="32">
        <v>29</v>
      </c>
      <c r="G267" s="32" t="s">
        <v>52</v>
      </c>
      <c r="H267" s="32" t="s">
        <v>5683</v>
      </c>
      <c r="I267" s="32" t="s">
        <v>39</v>
      </c>
      <c r="J267" s="32" t="s">
        <v>53</v>
      </c>
    </row>
    <row r="268" spans="1:14" s="32" customFormat="1" hidden="1" x14ac:dyDescent="0.3">
      <c r="A268" s="39">
        <v>46199.34646990741</v>
      </c>
      <c r="B268" s="32" t="s">
        <v>57</v>
      </c>
      <c r="C268" s="32">
        <v>67984840109</v>
      </c>
      <c r="E268" s="32">
        <v>31</v>
      </c>
      <c r="F268" s="32">
        <v>0</v>
      </c>
      <c r="G268" s="32" t="s">
        <v>47</v>
      </c>
      <c r="H268" s="32" t="s">
        <v>5684</v>
      </c>
      <c r="I268" s="32" t="s">
        <v>46</v>
      </c>
      <c r="J268" s="32" t="s">
        <v>55</v>
      </c>
      <c r="M268" s="32" t="s">
        <v>5456</v>
      </c>
      <c r="N268" s="32" t="s">
        <v>57</v>
      </c>
    </row>
    <row r="269" spans="1:14" s="32" customFormat="1" hidden="1" x14ac:dyDescent="0.3">
      <c r="A269" s="39">
        <v>46198.738900462966</v>
      </c>
      <c r="B269" s="32">
        <v>11934552189</v>
      </c>
      <c r="C269" s="32" t="s">
        <v>48</v>
      </c>
      <c r="D269" s="32">
        <v>4430265054</v>
      </c>
      <c r="E269" s="32">
        <v>326</v>
      </c>
      <c r="F269" s="32">
        <v>225</v>
      </c>
      <c r="G269" s="32" t="s">
        <v>38</v>
      </c>
      <c r="H269" s="32" t="s">
        <v>5685</v>
      </c>
      <c r="I269" s="32" t="s">
        <v>39</v>
      </c>
      <c r="J269" s="32" t="s">
        <v>40</v>
      </c>
      <c r="K269" s="32" t="s">
        <v>41</v>
      </c>
      <c r="M269" s="32" t="s">
        <v>5412</v>
      </c>
      <c r="N269" s="32" t="s">
        <v>48</v>
      </c>
    </row>
    <row r="270" spans="1:14" s="32" customFormat="1" hidden="1" x14ac:dyDescent="0.3">
      <c r="A270" s="39">
        <v>46198.737835648149</v>
      </c>
      <c r="B270" s="32" t="s">
        <v>37</v>
      </c>
      <c r="C270" s="32">
        <v>35998295948</v>
      </c>
      <c r="E270" s="32">
        <v>1002</v>
      </c>
      <c r="F270" s="32">
        <v>990</v>
      </c>
      <c r="G270" s="32" t="s">
        <v>38</v>
      </c>
      <c r="H270" s="32" t="s">
        <v>5686</v>
      </c>
      <c r="I270" s="32" t="s">
        <v>46</v>
      </c>
      <c r="J270" s="32" t="s">
        <v>40</v>
      </c>
      <c r="M270" s="32" t="s">
        <v>5410</v>
      </c>
      <c r="N270" s="32" t="s">
        <v>37</v>
      </c>
    </row>
    <row r="271" spans="1:14" s="32" customFormat="1" hidden="1" x14ac:dyDescent="0.3">
      <c r="A271" s="39">
        <v>46198.737754629627</v>
      </c>
      <c r="B271" s="32">
        <v>11934552189</v>
      </c>
      <c r="C271" s="32" t="s">
        <v>45</v>
      </c>
      <c r="D271" s="32">
        <v>4430265054</v>
      </c>
      <c r="E271" s="32">
        <v>44</v>
      </c>
      <c r="F271" s="32">
        <v>2</v>
      </c>
      <c r="G271" s="32" t="s">
        <v>38</v>
      </c>
      <c r="H271" s="32" t="s">
        <v>5687</v>
      </c>
      <c r="I271" s="32" t="s">
        <v>39</v>
      </c>
      <c r="J271" s="32" t="s">
        <v>40</v>
      </c>
      <c r="K271" s="32" t="s">
        <v>41</v>
      </c>
      <c r="M271" s="32" t="s">
        <v>5421</v>
      </c>
      <c r="N271" s="32" t="s">
        <v>45</v>
      </c>
    </row>
    <row r="272" spans="1:14" s="32" customFormat="1" hidden="1" x14ac:dyDescent="0.3">
      <c r="A272" s="39">
        <v>46198.735844907409</v>
      </c>
      <c r="B272" s="32">
        <v>44997426611</v>
      </c>
      <c r="C272" s="32" t="s">
        <v>44</v>
      </c>
      <c r="D272" s="32">
        <v>4430265054</v>
      </c>
      <c r="E272" s="32">
        <v>852</v>
      </c>
      <c r="F272" s="32">
        <v>729</v>
      </c>
      <c r="G272" s="32" t="s">
        <v>38</v>
      </c>
      <c r="H272" s="32" t="s">
        <v>5688</v>
      </c>
      <c r="I272" s="32" t="s">
        <v>39</v>
      </c>
      <c r="J272" s="32" t="s">
        <v>40</v>
      </c>
      <c r="K272" s="32" t="s">
        <v>41</v>
      </c>
      <c r="M272" s="32" t="s">
        <v>5416</v>
      </c>
      <c r="N272" s="32" t="s">
        <v>44</v>
      </c>
    </row>
    <row r="273" spans="1:14" s="32" customFormat="1" hidden="1" x14ac:dyDescent="0.3">
      <c r="A273" s="39">
        <v>46198.735231481478</v>
      </c>
      <c r="B273" s="32">
        <v>44991814587</v>
      </c>
      <c r="C273" s="32" t="s">
        <v>37</v>
      </c>
      <c r="D273" s="32">
        <v>4430265054</v>
      </c>
      <c r="E273" s="32">
        <v>166</v>
      </c>
      <c r="F273" s="32">
        <v>5</v>
      </c>
      <c r="G273" s="32" t="s">
        <v>38</v>
      </c>
      <c r="H273" s="32" t="s">
        <v>5689</v>
      </c>
      <c r="I273" s="32" t="s">
        <v>39</v>
      </c>
      <c r="J273" s="32" t="s">
        <v>40</v>
      </c>
      <c r="K273" s="32" t="s">
        <v>41</v>
      </c>
      <c r="M273" s="32" t="s">
        <v>5410</v>
      </c>
      <c r="N273" s="32" t="s">
        <v>37</v>
      </c>
    </row>
    <row r="274" spans="1:14" s="32" customFormat="1" hidden="1" x14ac:dyDescent="0.3">
      <c r="A274" s="39">
        <v>46198.730173611111</v>
      </c>
      <c r="B274" s="32">
        <v>35998295948</v>
      </c>
      <c r="C274" s="32" t="s">
        <v>45</v>
      </c>
      <c r="D274" s="32">
        <v>4430265054</v>
      </c>
      <c r="E274" s="32">
        <v>513</v>
      </c>
      <c r="F274" s="32">
        <v>285</v>
      </c>
      <c r="G274" s="32" t="s">
        <v>38</v>
      </c>
      <c r="H274" s="32" t="s">
        <v>5690</v>
      </c>
      <c r="I274" s="32" t="s">
        <v>39</v>
      </c>
      <c r="J274" s="32" t="s">
        <v>40</v>
      </c>
      <c r="K274" s="32" t="s">
        <v>41</v>
      </c>
      <c r="M274" s="32" t="s">
        <v>5421</v>
      </c>
      <c r="N274" s="32" t="s">
        <v>45</v>
      </c>
    </row>
    <row r="275" spans="1:14" s="32" customFormat="1" hidden="1" x14ac:dyDescent="0.3">
      <c r="A275" s="39">
        <v>46198.730138888888</v>
      </c>
      <c r="B275" s="32" t="s">
        <v>54</v>
      </c>
      <c r="C275" s="32">
        <v>63984917173</v>
      </c>
      <c r="E275" s="32">
        <v>19</v>
      </c>
      <c r="F275" s="32">
        <v>7</v>
      </c>
      <c r="G275" s="32" t="s">
        <v>38</v>
      </c>
      <c r="H275" s="32" t="s">
        <v>5691</v>
      </c>
      <c r="I275" s="32" t="s">
        <v>46</v>
      </c>
      <c r="J275" s="32" t="s">
        <v>55</v>
      </c>
      <c r="M275" s="32" t="s">
        <v>5537</v>
      </c>
      <c r="N275" s="32" t="s">
        <v>54</v>
      </c>
    </row>
    <row r="276" spans="1:14" s="32" customFormat="1" hidden="1" x14ac:dyDescent="0.3">
      <c r="A276" s="39">
        <v>46198.728854166664</v>
      </c>
      <c r="B276" s="32">
        <v>44999648932</v>
      </c>
      <c r="C276" s="32" t="s">
        <v>45</v>
      </c>
      <c r="D276" s="32">
        <v>4430265054</v>
      </c>
      <c r="E276" s="32">
        <v>363</v>
      </c>
      <c r="F276" s="32">
        <v>342</v>
      </c>
      <c r="G276" s="32" t="s">
        <v>38</v>
      </c>
      <c r="H276" s="32" t="s">
        <v>5692</v>
      </c>
      <c r="I276" s="32" t="s">
        <v>39</v>
      </c>
      <c r="J276" s="32" t="s">
        <v>40</v>
      </c>
      <c r="K276" s="32" t="s">
        <v>41</v>
      </c>
      <c r="L276" s="32">
        <v>5</v>
      </c>
      <c r="M276" s="32" t="s">
        <v>5421</v>
      </c>
      <c r="N276" s="32" t="s">
        <v>45</v>
      </c>
    </row>
    <row r="277" spans="1:14" s="32" customFormat="1" hidden="1" x14ac:dyDescent="0.3">
      <c r="A277" s="39">
        <v>46198.728333333333</v>
      </c>
      <c r="B277" s="32">
        <v>4334226481</v>
      </c>
      <c r="C277" s="32" t="s">
        <v>48</v>
      </c>
      <c r="D277" s="32">
        <v>4430265054</v>
      </c>
      <c r="E277" s="32">
        <v>892</v>
      </c>
      <c r="F277" s="32">
        <v>877</v>
      </c>
      <c r="G277" s="32" t="s">
        <v>38</v>
      </c>
      <c r="H277" s="32" t="s">
        <v>5693</v>
      </c>
      <c r="I277" s="32" t="s">
        <v>39</v>
      </c>
      <c r="J277" s="32" t="s">
        <v>40</v>
      </c>
      <c r="K277" s="32" t="s">
        <v>41</v>
      </c>
      <c r="M277" s="32" t="s">
        <v>5412</v>
      </c>
      <c r="N277" s="32" t="s">
        <v>48</v>
      </c>
    </row>
    <row r="278" spans="1:14" s="32" customFormat="1" hidden="1" x14ac:dyDescent="0.3">
      <c r="A278" s="39">
        <v>46198.727187500001</v>
      </c>
      <c r="B278" s="32">
        <v>4434221675</v>
      </c>
      <c r="C278" s="32" t="s">
        <v>44</v>
      </c>
      <c r="D278" s="32">
        <v>4430265054</v>
      </c>
      <c r="E278" s="32">
        <v>799</v>
      </c>
      <c r="F278" s="32">
        <v>681</v>
      </c>
      <c r="G278" s="32" t="s">
        <v>38</v>
      </c>
      <c r="H278" s="32" t="s">
        <v>5694</v>
      </c>
      <c r="I278" s="32" t="s">
        <v>39</v>
      </c>
      <c r="J278" s="32" t="s">
        <v>40</v>
      </c>
      <c r="K278" s="32" t="s">
        <v>41</v>
      </c>
      <c r="M278" s="32" t="s">
        <v>5416</v>
      </c>
      <c r="N278" s="32" t="s">
        <v>44</v>
      </c>
    </row>
    <row r="279" spans="1:14" s="32" customFormat="1" hidden="1" x14ac:dyDescent="0.3">
      <c r="A279" s="39">
        <v>46198.723182870373</v>
      </c>
      <c r="B279" s="32">
        <v>35998295948</v>
      </c>
      <c r="C279" s="32" t="s">
        <v>44</v>
      </c>
      <c r="D279" s="32">
        <v>4430265054</v>
      </c>
      <c r="E279" s="32">
        <v>239</v>
      </c>
      <c r="F279" s="32">
        <v>158</v>
      </c>
      <c r="G279" s="32" t="s">
        <v>38</v>
      </c>
      <c r="H279" s="32" t="s">
        <v>5695</v>
      </c>
      <c r="I279" s="32" t="s">
        <v>39</v>
      </c>
      <c r="J279" s="32" t="s">
        <v>40</v>
      </c>
      <c r="K279" s="32" t="s">
        <v>41</v>
      </c>
      <c r="M279" s="32" t="s">
        <v>5416</v>
      </c>
      <c r="N279" s="32" t="s">
        <v>44</v>
      </c>
    </row>
    <row r="280" spans="1:14" s="32" customFormat="1" hidden="1" x14ac:dyDescent="0.3">
      <c r="A280" s="39">
        <v>46198.721342592595</v>
      </c>
      <c r="B280" s="32">
        <v>11922031595</v>
      </c>
      <c r="C280" s="32" t="s">
        <v>44</v>
      </c>
      <c r="D280" s="32">
        <v>4430265054</v>
      </c>
      <c r="E280" s="32">
        <v>136</v>
      </c>
      <c r="F280" s="32">
        <v>51</v>
      </c>
      <c r="G280" s="32" t="s">
        <v>38</v>
      </c>
      <c r="H280" s="32" t="s">
        <v>5696</v>
      </c>
      <c r="I280" s="32" t="s">
        <v>39</v>
      </c>
      <c r="J280" s="32" t="s">
        <v>40</v>
      </c>
      <c r="K280" s="32" t="s">
        <v>41</v>
      </c>
      <c r="M280" s="32" t="s">
        <v>5416</v>
      </c>
      <c r="N280" s="32" t="s">
        <v>44</v>
      </c>
    </row>
    <row r="281" spans="1:14" s="32" customFormat="1" hidden="1" x14ac:dyDescent="0.3">
      <c r="A281" s="39">
        <v>46198.714988425927</v>
      </c>
      <c r="B281" s="32" t="s">
        <v>54</v>
      </c>
      <c r="C281" s="32">
        <v>32984058270</v>
      </c>
      <c r="E281" s="32">
        <v>34</v>
      </c>
      <c r="F281" s="32">
        <v>0</v>
      </c>
      <c r="G281" s="32" t="s">
        <v>47</v>
      </c>
      <c r="H281" s="32" t="s">
        <v>5697</v>
      </c>
      <c r="I281" s="32" t="s">
        <v>46</v>
      </c>
      <c r="J281" s="32" t="s">
        <v>55</v>
      </c>
      <c r="M281" s="32" t="s">
        <v>5537</v>
      </c>
      <c r="N281" s="32" t="s">
        <v>54</v>
      </c>
    </row>
    <row r="282" spans="1:14" s="32" customFormat="1" hidden="1" x14ac:dyDescent="0.3">
      <c r="A282" s="39">
        <v>46198.714097222219</v>
      </c>
      <c r="B282" s="32" t="s">
        <v>54</v>
      </c>
      <c r="C282" s="32">
        <v>27998299346</v>
      </c>
      <c r="E282" s="32">
        <v>1</v>
      </c>
      <c r="F282" s="32">
        <v>0</v>
      </c>
      <c r="G282" s="32" t="s">
        <v>47</v>
      </c>
      <c r="H282" s="32" t="s">
        <v>5698</v>
      </c>
      <c r="I282" s="32" t="s">
        <v>46</v>
      </c>
      <c r="J282" s="32" t="s">
        <v>55</v>
      </c>
      <c r="M282" s="32" t="s">
        <v>5537</v>
      </c>
      <c r="N282" s="32" t="s">
        <v>54</v>
      </c>
    </row>
    <row r="283" spans="1:14" s="32" customFormat="1" hidden="1" x14ac:dyDescent="0.3">
      <c r="A283" s="39">
        <v>46198.71402777778</v>
      </c>
      <c r="B283" s="32">
        <v>6234347959</v>
      </c>
      <c r="C283" s="32" t="s">
        <v>37</v>
      </c>
      <c r="D283" s="32">
        <v>4430265054</v>
      </c>
      <c r="E283" s="32">
        <v>1951</v>
      </c>
      <c r="F283" s="32">
        <v>1849</v>
      </c>
      <c r="G283" s="32" t="s">
        <v>38</v>
      </c>
      <c r="H283" s="32" t="s">
        <v>5699</v>
      </c>
      <c r="I283" s="32" t="s">
        <v>39</v>
      </c>
      <c r="J283" s="32" t="s">
        <v>40</v>
      </c>
      <c r="K283" s="32" t="s">
        <v>41</v>
      </c>
      <c r="L283" s="32">
        <v>5</v>
      </c>
      <c r="M283" s="32" t="s">
        <v>5410</v>
      </c>
      <c r="N283" s="32" t="s">
        <v>37</v>
      </c>
    </row>
    <row r="284" spans="1:14" s="32" customFormat="1" hidden="1" x14ac:dyDescent="0.3">
      <c r="A284" s="39">
        <v>46198.713182870371</v>
      </c>
      <c r="B284" s="32" t="s">
        <v>54</v>
      </c>
      <c r="C284" s="32">
        <v>11985588084</v>
      </c>
      <c r="E284" s="32">
        <v>14</v>
      </c>
      <c r="F284" s="32">
        <v>9</v>
      </c>
      <c r="G284" s="32" t="s">
        <v>38</v>
      </c>
      <c r="H284" s="32" t="s">
        <v>5700</v>
      </c>
      <c r="I284" s="32" t="s">
        <v>46</v>
      </c>
      <c r="J284" s="32" t="s">
        <v>55</v>
      </c>
      <c r="M284" s="32" t="s">
        <v>5537</v>
      </c>
      <c r="N284" s="32" t="s">
        <v>54</v>
      </c>
    </row>
    <row r="285" spans="1:14" s="32" customFormat="1" hidden="1" x14ac:dyDescent="0.3">
      <c r="A285" s="39">
        <v>46198.709699074076</v>
      </c>
      <c r="B285" s="32">
        <v>91985176746</v>
      </c>
      <c r="C285" s="32" t="s">
        <v>44</v>
      </c>
      <c r="D285" s="32">
        <v>4430265054</v>
      </c>
      <c r="E285" s="32">
        <v>771</v>
      </c>
      <c r="F285" s="32">
        <v>658</v>
      </c>
      <c r="G285" s="32" t="s">
        <v>38</v>
      </c>
      <c r="H285" s="32" t="s">
        <v>5701</v>
      </c>
      <c r="I285" s="32" t="s">
        <v>39</v>
      </c>
      <c r="J285" s="32" t="s">
        <v>40</v>
      </c>
      <c r="K285" s="32" t="s">
        <v>41</v>
      </c>
      <c r="M285" s="32" t="s">
        <v>5416</v>
      </c>
      <c r="N285" s="32" t="s">
        <v>44</v>
      </c>
    </row>
    <row r="286" spans="1:14" s="32" customFormat="1" hidden="1" x14ac:dyDescent="0.3">
      <c r="A286" s="39">
        <v>46198.709432870368</v>
      </c>
      <c r="B286" s="32" t="s">
        <v>54</v>
      </c>
      <c r="C286" s="32">
        <v>8833008346</v>
      </c>
      <c r="E286" s="32">
        <v>8</v>
      </c>
      <c r="F286" s="32">
        <v>0</v>
      </c>
      <c r="G286" s="32" t="s">
        <v>47</v>
      </c>
      <c r="H286" s="32" t="s">
        <v>5702</v>
      </c>
      <c r="I286" s="32" t="s">
        <v>46</v>
      </c>
      <c r="J286" s="32" t="s">
        <v>55</v>
      </c>
      <c r="M286" s="32" t="s">
        <v>5537</v>
      </c>
      <c r="N286" s="32" t="s">
        <v>54</v>
      </c>
    </row>
    <row r="287" spans="1:14" s="32" customFormat="1" hidden="1" x14ac:dyDescent="0.3">
      <c r="A287" s="39">
        <v>46198.709166666667</v>
      </c>
      <c r="B287" s="32">
        <v>4432520077</v>
      </c>
      <c r="C287" s="32" t="s">
        <v>45</v>
      </c>
      <c r="D287" s="32">
        <v>4430265054</v>
      </c>
      <c r="E287" s="32">
        <v>1200</v>
      </c>
      <c r="F287" s="32">
        <v>1047</v>
      </c>
      <c r="G287" s="32" t="s">
        <v>38</v>
      </c>
      <c r="H287" s="32" t="s">
        <v>5703</v>
      </c>
      <c r="I287" s="32" t="s">
        <v>39</v>
      </c>
      <c r="J287" s="32" t="s">
        <v>40</v>
      </c>
      <c r="K287" s="32" t="s">
        <v>41</v>
      </c>
      <c r="M287" s="32" t="s">
        <v>5421</v>
      </c>
      <c r="N287" s="32" t="s">
        <v>45</v>
      </c>
    </row>
    <row r="288" spans="1:14" s="32" customFormat="1" hidden="1" x14ac:dyDescent="0.3">
      <c r="A288" s="39">
        <v>46198.70815972222</v>
      </c>
      <c r="B288" s="32" t="s">
        <v>54</v>
      </c>
      <c r="C288" s="32">
        <v>32999535598</v>
      </c>
      <c r="E288" s="32">
        <v>14</v>
      </c>
      <c r="F288" s="32">
        <v>1</v>
      </c>
      <c r="G288" s="32" t="s">
        <v>38</v>
      </c>
      <c r="H288" s="32" t="s">
        <v>5704</v>
      </c>
      <c r="I288" s="32" t="s">
        <v>46</v>
      </c>
      <c r="J288" s="32" t="s">
        <v>55</v>
      </c>
      <c r="M288" s="32" t="s">
        <v>5537</v>
      </c>
      <c r="N288" s="32" t="s">
        <v>54</v>
      </c>
    </row>
    <row r="289" spans="1:14" s="32" customFormat="1" hidden="1" x14ac:dyDescent="0.3">
      <c r="A289" s="39">
        <v>46198.706759259258</v>
      </c>
      <c r="B289" s="32" t="s">
        <v>54</v>
      </c>
      <c r="C289" s="32">
        <v>41996392653</v>
      </c>
      <c r="E289" s="32">
        <v>48</v>
      </c>
      <c r="F289" s="32">
        <v>34</v>
      </c>
      <c r="G289" s="32" t="s">
        <v>38</v>
      </c>
      <c r="H289" s="32" t="s">
        <v>5705</v>
      </c>
      <c r="I289" s="32" t="s">
        <v>46</v>
      </c>
      <c r="J289" s="32" t="s">
        <v>55</v>
      </c>
      <c r="M289" s="32" t="s">
        <v>5537</v>
      </c>
      <c r="N289" s="32" t="s">
        <v>54</v>
      </c>
    </row>
    <row r="290" spans="1:14" s="32" customFormat="1" hidden="1" x14ac:dyDescent="0.3">
      <c r="A290" s="39">
        <v>46198.705740740741</v>
      </c>
      <c r="B290" s="32" t="s">
        <v>54</v>
      </c>
      <c r="C290" s="32">
        <v>28999656353</v>
      </c>
      <c r="E290" s="32">
        <v>18</v>
      </c>
      <c r="F290" s="32">
        <v>1</v>
      </c>
      <c r="G290" s="32" t="s">
        <v>38</v>
      </c>
      <c r="H290" s="32" t="s">
        <v>5706</v>
      </c>
      <c r="I290" s="32" t="s">
        <v>46</v>
      </c>
      <c r="J290" s="32" t="s">
        <v>55</v>
      </c>
      <c r="M290" s="32" t="s">
        <v>5537</v>
      </c>
      <c r="N290" s="32" t="s">
        <v>54</v>
      </c>
    </row>
    <row r="291" spans="1:14" s="32" customFormat="1" hidden="1" x14ac:dyDescent="0.3">
      <c r="A291" s="39">
        <v>46198.704641203702</v>
      </c>
      <c r="B291" s="32" t="s">
        <v>54</v>
      </c>
      <c r="C291" s="32">
        <v>8538784160</v>
      </c>
      <c r="E291" s="32">
        <v>32</v>
      </c>
      <c r="F291" s="32">
        <v>0</v>
      </c>
      <c r="G291" s="32" t="s">
        <v>47</v>
      </c>
      <c r="H291" s="32" t="s">
        <v>5707</v>
      </c>
      <c r="I291" s="32" t="s">
        <v>46</v>
      </c>
      <c r="J291" s="32" t="s">
        <v>55</v>
      </c>
      <c r="M291" s="32" t="s">
        <v>5537</v>
      </c>
      <c r="N291" s="32" t="s">
        <v>54</v>
      </c>
    </row>
    <row r="292" spans="1:14" s="32" customFormat="1" hidden="1" x14ac:dyDescent="0.3">
      <c r="A292" s="39">
        <v>46198.703298611108</v>
      </c>
      <c r="B292" s="32" t="s">
        <v>54</v>
      </c>
      <c r="C292" s="32">
        <v>11963727375</v>
      </c>
      <c r="E292" s="32">
        <v>28</v>
      </c>
      <c r="F292" s="32">
        <v>0</v>
      </c>
      <c r="G292" s="32" t="s">
        <v>47</v>
      </c>
      <c r="H292" s="32" t="s">
        <v>5708</v>
      </c>
      <c r="I292" s="32" t="s">
        <v>46</v>
      </c>
      <c r="J292" s="32" t="s">
        <v>55</v>
      </c>
      <c r="M292" s="32" t="s">
        <v>5537</v>
      </c>
      <c r="N292" s="32" t="s">
        <v>54</v>
      </c>
    </row>
    <row r="293" spans="1:14" s="32" customFormat="1" hidden="1" x14ac:dyDescent="0.3">
      <c r="A293" s="39">
        <v>46198.702488425923</v>
      </c>
      <c r="B293" s="32">
        <v>4436313274</v>
      </c>
      <c r="C293" s="32" t="s">
        <v>48</v>
      </c>
      <c r="D293" s="32">
        <v>4430265054</v>
      </c>
      <c r="E293" s="32">
        <v>2029</v>
      </c>
      <c r="F293" s="32">
        <v>1910</v>
      </c>
      <c r="G293" s="32" t="s">
        <v>38</v>
      </c>
      <c r="H293" s="32" t="s">
        <v>5709</v>
      </c>
      <c r="I293" s="32" t="s">
        <v>39</v>
      </c>
      <c r="J293" s="32" t="s">
        <v>40</v>
      </c>
      <c r="K293" s="32" t="s">
        <v>41</v>
      </c>
      <c r="M293" s="32" t="s">
        <v>5412</v>
      </c>
      <c r="N293" s="32" t="s">
        <v>48</v>
      </c>
    </row>
    <row r="294" spans="1:14" s="32" customFormat="1" hidden="1" x14ac:dyDescent="0.3">
      <c r="A294" s="39">
        <v>46198.701678240737</v>
      </c>
      <c r="B294" s="32" t="s">
        <v>54</v>
      </c>
      <c r="C294" s="32">
        <v>16994226808</v>
      </c>
      <c r="E294" s="32">
        <v>28</v>
      </c>
      <c r="F294" s="32">
        <v>0</v>
      </c>
      <c r="G294" s="32" t="s">
        <v>47</v>
      </c>
      <c r="H294" s="32" t="s">
        <v>5710</v>
      </c>
      <c r="I294" s="32" t="s">
        <v>46</v>
      </c>
      <c r="J294" s="32" t="s">
        <v>55</v>
      </c>
      <c r="M294" s="32" t="s">
        <v>5537</v>
      </c>
      <c r="N294" s="32" t="s">
        <v>54</v>
      </c>
    </row>
    <row r="295" spans="1:14" s="32" customFormat="1" hidden="1" x14ac:dyDescent="0.3">
      <c r="A295" s="39">
        <v>46198.697094907409</v>
      </c>
      <c r="B295" s="32" t="s">
        <v>54</v>
      </c>
      <c r="C295" s="32">
        <v>51997448082</v>
      </c>
      <c r="E295" s="32">
        <v>22</v>
      </c>
      <c r="F295" s="32">
        <v>0</v>
      </c>
      <c r="G295" s="32" t="s">
        <v>47</v>
      </c>
      <c r="H295" s="32" t="s">
        <v>5711</v>
      </c>
      <c r="I295" s="32" t="s">
        <v>46</v>
      </c>
      <c r="J295" s="32" t="s">
        <v>55</v>
      </c>
      <c r="M295" s="32" t="s">
        <v>5537</v>
      </c>
      <c r="N295" s="32" t="s">
        <v>54</v>
      </c>
    </row>
    <row r="296" spans="1:14" s="32" customFormat="1" hidden="1" x14ac:dyDescent="0.3">
      <c r="A296" s="39">
        <v>46198.695636574077</v>
      </c>
      <c r="B296" s="32" t="s">
        <v>54</v>
      </c>
      <c r="C296" s="32">
        <v>66987777778</v>
      </c>
      <c r="E296" s="32">
        <v>9</v>
      </c>
      <c r="F296" s="32">
        <v>0</v>
      </c>
      <c r="G296" s="32" t="s">
        <v>47</v>
      </c>
      <c r="H296" s="32" t="s">
        <v>5712</v>
      </c>
      <c r="I296" s="32" t="s">
        <v>46</v>
      </c>
      <c r="J296" s="32" t="s">
        <v>55</v>
      </c>
      <c r="M296" s="32" t="s">
        <v>5537</v>
      </c>
      <c r="N296" s="32" t="s">
        <v>54</v>
      </c>
    </row>
    <row r="297" spans="1:14" s="32" customFormat="1" hidden="1" x14ac:dyDescent="0.3">
      <c r="A297" s="39">
        <v>46198.694143518522</v>
      </c>
      <c r="B297" s="32">
        <v>35998295948</v>
      </c>
      <c r="C297" s="32" t="s">
        <v>44</v>
      </c>
      <c r="D297" s="32">
        <v>4430265054</v>
      </c>
      <c r="E297" s="32">
        <v>620</v>
      </c>
      <c r="F297" s="32">
        <v>438</v>
      </c>
      <c r="G297" s="32" t="s">
        <v>38</v>
      </c>
      <c r="H297" s="32" t="s">
        <v>5713</v>
      </c>
      <c r="I297" s="32" t="s">
        <v>39</v>
      </c>
      <c r="J297" s="32" t="s">
        <v>40</v>
      </c>
      <c r="K297" s="32" t="s">
        <v>41</v>
      </c>
      <c r="M297" s="32" t="s">
        <v>5416</v>
      </c>
      <c r="N297" s="32" t="s">
        <v>44</v>
      </c>
    </row>
    <row r="298" spans="1:14" s="32" customFormat="1" hidden="1" x14ac:dyDescent="0.3">
      <c r="A298" s="39">
        <v>46198.683194444442</v>
      </c>
      <c r="B298" s="32" t="s">
        <v>48</v>
      </c>
      <c r="C298" s="32">
        <v>4333232288</v>
      </c>
      <c r="E298" s="32">
        <v>664</v>
      </c>
      <c r="F298" s="32">
        <v>651</v>
      </c>
      <c r="G298" s="32" t="s">
        <v>38</v>
      </c>
      <c r="H298" s="32" t="s">
        <v>5714</v>
      </c>
      <c r="I298" s="32" t="s">
        <v>46</v>
      </c>
      <c r="J298" s="32" t="s">
        <v>40</v>
      </c>
      <c r="M298" s="32" t="s">
        <v>5412</v>
      </c>
      <c r="N298" s="32" t="s">
        <v>48</v>
      </c>
    </row>
    <row r="299" spans="1:14" s="32" customFormat="1" hidden="1" x14ac:dyDescent="0.3">
      <c r="A299" s="39">
        <v>46198.678530092591</v>
      </c>
      <c r="B299" s="32">
        <v>35998295948</v>
      </c>
      <c r="C299" s="32" t="s">
        <v>45</v>
      </c>
      <c r="D299" s="32">
        <v>4430265054</v>
      </c>
      <c r="E299" s="32">
        <v>139</v>
      </c>
      <c r="F299" s="32">
        <v>104</v>
      </c>
      <c r="G299" s="32" t="s">
        <v>38</v>
      </c>
      <c r="H299" s="32" t="s">
        <v>5715</v>
      </c>
      <c r="I299" s="32" t="s">
        <v>39</v>
      </c>
      <c r="J299" s="32" t="s">
        <v>40</v>
      </c>
      <c r="K299" s="32" t="s">
        <v>41</v>
      </c>
      <c r="M299" s="32" t="s">
        <v>5421</v>
      </c>
      <c r="N299" s="32" t="s">
        <v>45</v>
      </c>
    </row>
    <row r="300" spans="1:14" s="32" customFormat="1" hidden="1" x14ac:dyDescent="0.3">
      <c r="A300" s="39">
        <v>46198.67591435185</v>
      </c>
      <c r="B300" s="32">
        <v>44998640313</v>
      </c>
      <c r="C300" s="32" t="s">
        <v>37</v>
      </c>
      <c r="D300" s="32">
        <v>4430265054</v>
      </c>
      <c r="E300" s="32">
        <v>3190</v>
      </c>
      <c r="F300" s="32">
        <v>3161</v>
      </c>
      <c r="G300" s="32" t="s">
        <v>38</v>
      </c>
      <c r="H300" s="32" t="s">
        <v>5716</v>
      </c>
      <c r="I300" s="32" t="s">
        <v>39</v>
      </c>
      <c r="J300" s="32" t="s">
        <v>40</v>
      </c>
      <c r="K300" s="32" t="s">
        <v>41</v>
      </c>
      <c r="L300" s="32">
        <v>5</v>
      </c>
      <c r="M300" s="32" t="s">
        <v>5410</v>
      </c>
      <c r="N300" s="32" t="s">
        <v>37</v>
      </c>
    </row>
    <row r="301" spans="1:14" s="32" customFormat="1" hidden="1" x14ac:dyDescent="0.3">
      <c r="A301" s="39">
        <v>46198.662708333337</v>
      </c>
      <c r="B301" s="32">
        <v>43988030048</v>
      </c>
      <c r="C301" s="32" t="s">
        <v>44</v>
      </c>
      <c r="D301" s="32">
        <v>4430265054</v>
      </c>
      <c r="E301" s="32">
        <v>279</v>
      </c>
      <c r="F301" s="32">
        <v>156</v>
      </c>
      <c r="G301" s="32" t="s">
        <v>38</v>
      </c>
      <c r="H301" s="32" t="s">
        <v>5717</v>
      </c>
      <c r="I301" s="32" t="s">
        <v>39</v>
      </c>
      <c r="J301" s="32" t="s">
        <v>40</v>
      </c>
      <c r="K301" s="32" t="s">
        <v>41</v>
      </c>
      <c r="M301" s="32" t="s">
        <v>5416</v>
      </c>
      <c r="N301" s="32" t="s">
        <v>44</v>
      </c>
    </row>
    <row r="302" spans="1:14" s="32" customFormat="1" hidden="1" x14ac:dyDescent="0.3">
      <c r="A302" s="39">
        <v>46198.661053240743</v>
      </c>
      <c r="B302" s="32">
        <v>44997456641</v>
      </c>
      <c r="C302" s="32" t="s">
        <v>45</v>
      </c>
      <c r="D302" s="32">
        <v>4430265054</v>
      </c>
      <c r="E302" s="32">
        <v>352</v>
      </c>
      <c r="F302" s="32">
        <v>272</v>
      </c>
      <c r="G302" s="32" t="s">
        <v>38</v>
      </c>
      <c r="H302" s="32" t="s">
        <v>5718</v>
      </c>
      <c r="I302" s="32" t="s">
        <v>39</v>
      </c>
      <c r="J302" s="32" t="s">
        <v>40</v>
      </c>
      <c r="K302" s="32" t="s">
        <v>41</v>
      </c>
      <c r="L302" s="32">
        <v>5</v>
      </c>
      <c r="M302" s="32" t="s">
        <v>5421</v>
      </c>
      <c r="N302" s="32" t="s">
        <v>45</v>
      </c>
    </row>
    <row r="303" spans="1:14" s="32" customFormat="1" hidden="1" x14ac:dyDescent="0.3">
      <c r="A303" s="39">
        <v>46198.659085648149</v>
      </c>
      <c r="B303" s="32">
        <v>44999976008</v>
      </c>
      <c r="C303" s="32" t="s">
        <v>44</v>
      </c>
      <c r="D303" s="32">
        <v>4430265054</v>
      </c>
      <c r="E303" s="32">
        <v>373</v>
      </c>
      <c r="F303" s="32">
        <v>321</v>
      </c>
      <c r="G303" s="32" t="s">
        <v>38</v>
      </c>
      <c r="H303" s="32" t="s">
        <v>5719</v>
      </c>
      <c r="I303" s="32" t="s">
        <v>39</v>
      </c>
      <c r="J303" s="32" t="s">
        <v>40</v>
      </c>
      <c r="K303" s="32" t="s">
        <v>41</v>
      </c>
      <c r="M303" s="32" t="s">
        <v>5416</v>
      </c>
      <c r="N303" s="32" t="s">
        <v>44</v>
      </c>
    </row>
    <row r="304" spans="1:14" s="32" customFormat="1" hidden="1" x14ac:dyDescent="0.3">
      <c r="A304" s="39">
        <v>46198.656944444447</v>
      </c>
      <c r="B304" s="32" t="s">
        <v>54</v>
      </c>
      <c r="C304" s="32">
        <v>41996809420</v>
      </c>
      <c r="E304" s="32">
        <v>28</v>
      </c>
      <c r="F304" s="32">
        <v>20</v>
      </c>
      <c r="G304" s="32" t="s">
        <v>38</v>
      </c>
      <c r="H304" s="32" t="s">
        <v>5720</v>
      </c>
      <c r="I304" s="32" t="s">
        <v>46</v>
      </c>
      <c r="J304" s="32" t="s">
        <v>55</v>
      </c>
      <c r="M304" s="32" t="s">
        <v>5537</v>
      </c>
      <c r="N304" s="32" t="s">
        <v>54</v>
      </c>
    </row>
    <row r="305" spans="1:14" s="32" customFormat="1" hidden="1" x14ac:dyDescent="0.3">
      <c r="A305" s="39">
        <v>46198.655428240738</v>
      </c>
      <c r="B305" s="32" t="s">
        <v>54</v>
      </c>
      <c r="C305" s="32">
        <v>85996846034</v>
      </c>
      <c r="E305" s="32">
        <v>7</v>
      </c>
      <c r="F305" s="32">
        <v>4</v>
      </c>
      <c r="G305" s="32" t="s">
        <v>38</v>
      </c>
      <c r="H305" s="32" t="s">
        <v>5721</v>
      </c>
      <c r="I305" s="32" t="s">
        <v>46</v>
      </c>
      <c r="J305" s="32" t="s">
        <v>55</v>
      </c>
      <c r="M305" s="32" t="s">
        <v>5537</v>
      </c>
      <c r="N305" s="32" t="s">
        <v>54</v>
      </c>
    </row>
    <row r="306" spans="1:14" s="32" customFormat="1" hidden="1" x14ac:dyDescent="0.3">
      <c r="A306" s="39">
        <v>46198.654178240744</v>
      </c>
      <c r="B306" s="32" t="s">
        <v>54</v>
      </c>
      <c r="C306" s="32">
        <v>11947475050</v>
      </c>
      <c r="E306" s="32">
        <v>29</v>
      </c>
      <c r="F306" s="32">
        <v>0</v>
      </c>
      <c r="G306" s="32" t="s">
        <v>47</v>
      </c>
      <c r="H306" s="32" t="s">
        <v>5722</v>
      </c>
      <c r="I306" s="32" t="s">
        <v>46</v>
      </c>
      <c r="J306" s="32" t="s">
        <v>55</v>
      </c>
      <c r="M306" s="32" t="s">
        <v>5537</v>
      </c>
      <c r="N306" s="32" t="s">
        <v>54</v>
      </c>
    </row>
    <row r="307" spans="1:14" s="32" customFormat="1" hidden="1" x14ac:dyDescent="0.3">
      <c r="A307" s="39">
        <v>46198.650231481479</v>
      </c>
      <c r="B307" s="32">
        <v>6234347959</v>
      </c>
      <c r="C307" s="32" t="s">
        <v>45</v>
      </c>
      <c r="D307" s="32">
        <v>4430265054</v>
      </c>
      <c r="E307" s="32">
        <v>870</v>
      </c>
      <c r="F307" s="32">
        <v>687</v>
      </c>
      <c r="G307" s="32" t="s">
        <v>38</v>
      </c>
      <c r="H307" s="32" t="s">
        <v>5723</v>
      </c>
      <c r="I307" s="32" t="s">
        <v>39</v>
      </c>
      <c r="J307" s="32" t="s">
        <v>40</v>
      </c>
      <c r="K307" s="32" t="s">
        <v>41</v>
      </c>
      <c r="M307" s="32" t="s">
        <v>5421</v>
      </c>
      <c r="N307" s="32" t="s">
        <v>45</v>
      </c>
    </row>
    <row r="308" spans="1:14" s="32" customFormat="1" hidden="1" x14ac:dyDescent="0.3">
      <c r="A308" s="39">
        <v>46198.644560185188</v>
      </c>
      <c r="B308" s="32">
        <v>44999976008</v>
      </c>
      <c r="C308" s="32" t="s">
        <v>44</v>
      </c>
      <c r="D308" s="32">
        <v>4430265054</v>
      </c>
      <c r="E308" s="32">
        <v>49</v>
      </c>
      <c r="F308" s="32">
        <v>7</v>
      </c>
      <c r="G308" s="32" t="s">
        <v>38</v>
      </c>
      <c r="H308" s="32" t="s">
        <v>5724</v>
      </c>
      <c r="I308" s="32" t="s">
        <v>39</v>
      </c>
      <c r="J308" s="32" t="s">
        <v>40</v>
      </c>
      <c r="K308" s="32" t="s">
        <v>41</v>
      </c>
      <c r="M308" s="32" t="s">
        <v>5416</v>
      </c>
      <c r="N308" s="32" t="s">
        <v>44</v>
      </c>
    </row>
    <row r="309" spans="1:14" s="32" customFormat="1" hidden="1" x14ac:dyDescent="0.3">
      <c r="A309" s="39">
        <v>46198.641446759262</v>
      </c>
      <c r="B309" s="32">
        <v>4334234629</v>
      </c>
      <c r="C309" s="32" t="s">
        <v>45</v>
      </c>
      <c r="D309" s="32">
        <v>4430265054</v>
      </c>
      <c r="E309" s="32">
        <v>786</v>
      </c>
      <c r="F309" s="32">
        <v>647</v>
      </c>
      <c r="G309" s="32" t="s">
        <v>38</v>
      </c>
      <c r="H309" s="32" t="s">
        <v>5725</v>
      </c>
      <c r="I309" s="32" t="s">
        <v>39</v>
      </c>
      <c r="J309" s="32" t="s">
        <v>40</v>
      </c>
      <c r="K309" s="32" t="s">
        <v>41</v>
      </c>
      <c r="L309" s="32">
        <v>5</v>
      </c>
      <c r="M309" s="32" t="s">
        <v>5421</v>
      </c>
      <c r="N309" s="32" t="s">
        <v>45</v>
      </c>
    </row>
    <row r="310" spans="1:14" s="32" customFormat="1" hidden="1" x14ac:dyDescent="0.3">
      <c r="A310" s="39">
        <v>46198.640451388892</v>
      </c>
      <c r="B310" s="32" t="s">
        <v>48</v>
      </c>
      <c r="C310" s="32">
        <v>4436311970</v>
      </c>
      <c r="E310" s="32">
        <v>1000</v>
      </c>
      <c r="F310" s="32">
        <v>990</v>
      </c>
      <c r="G310" s="32" t="s">
        <v>38</v>
      </c>
      <c r="H310" s="32" t="s">
        <v>5726</v>
      </c>
      <c r="I310" s="32" t="s">
        <v>46</v>
      </c>
      <c r="J310" s="32" t="s">
        <v>40</v>
      </c>
      <c r="M310" s="32" t="s">
        <v>5412</v>
      </c>
      <c r="N310" s="32" t="s">
        <v>48</v>
      </c>
    </row>
    <row r="311" spans="1:14" s="32" customFormat="1" hidden="1" x14ac:dyDescent="0.3">
      <c r="A311" s="39">
        <v>46198.639664351853</v>
      </c>
      <c r="B311" s="32">
        <v>44999976008</v>
      </c>
      <c r="C311" s="32" t="s">
        <v>45</v>
      </c>
      <c r="D311" s="32">
        <v>4430265054</v>
      </c>
      <c r="E311" s="32">
        <v>157</v>
      </c>
      <c r="F311" s="32">
        <v>5</v>
      </c>
      <c r="G311" s="32" t="s">
        <v>38</v>
      </c>
      <c r="H311" s="32" t="s">
        <v>5727</v>
      </c>
      <c r="I311" s="32" t="s">
        <v>39</v>
      </c>
      <c r="J311" s="32" t="s">
        <v>40</v>
      </c>
      <c r="K311" s="32" t="s">
        <v>41</v>
      </c>
      <c r="M311" s="32" t="s">
        <v>5421</v>
      </c>
      <c r="N311" s="32" t="s">
        <v>45</v>
      </c>
    </row>
    <row r="312" spans="1:14" s="32" customFormat="1" hidden="1" x14ac:dyDescent="0.3">
      <c r="A312" s="39">
        <v>46198.637638888889</v>
      </c>
      <c r="B312" s="32" t="s">
        <v>54</v>
      </c>
      <c r="C312" s="32">
        <v>67991098595</v>
      </c>
      <c r="E312" s="32">
        <v>12</v>
      </c>
      <c r="F312" s="32">
        <v>0</v>
      </c>
      <c r="G312" s="32" t="s">
        <v>47</v>
      </c>
      <c r="H312" s="32" t="s">
        <v>5728</v>
      </c>
      <c r="I312" s="32" t="s">
        <v>46</v>
      </c>
      <c r="J312" s="32" t="s">
        <v>55</v>
      </c>
      <c r="M312" s="32" t="s">
        <v>5537</v>
      </c>
      <c r="N312" s="32" t="s">
        <v>54</v>
      </c>
    </row>
    <row r="313" spans="1:14" s="32" customFormat="1" hidden="1" x14ac:dyDescent="0.3">
      <c r="A313" s="39">
        <v>46198.637071759258</v>
      </c>
      <c r="B313" s="32" t="s">
        <v>54</v>
      </c>
      <c r="C313" s="32">
        <v>54999011977</v>
      </c>
      <c r="E313" s="32">
        <v>21</v>
      </c>
      <c r="F313" s="32">
        <v>0</v>
      </c>
      <c r="G313" s="32" t="s">
        <v>47</v>
      </c>
      <c r="H313" s="32" t="s">
        <v>5729</v>
      </c>
      <c r="I313" s="32" t="s">
        <v>46</v>
      </c>
      <c r="J313" s="32" t="s">
        <v>55</v>
      </c>
      <c r="M313" s="32" t="s">
        <v>5537</v>
      </c>
      <c r="N313" s="32" t="s">
        <v>54</v>
      </c>
    </row>
    <row r="314" spans="1:14" s="32" customFormat="1" hidden="1" x14ac:dyDescent="0.3">
      <c r="A314" s="39">
        <v>46198.636689814812</v>
      </c>
      <c r="B314" s="32" t="s">
        <v>54</v>
      </c>
      <c r="C314" s="32">
        <v>68981020494</v>
      </c>
      <c r="E314" s="32">
        <v>7</v>
      </c>
      <c r="F314" s="32">
        <v>0</v>
      </c>
      <c r="G314" s="32" t="s">
        <v>47</v>
      </c>
      <c r="H314" s="32" t="s">
        <v>5730</v>
      </c>
      <c r="I314" s="32" t="s">
        <v>46</v>
      </c>
      <c r="J314" s="32" t="s">
        <v>55</v>
      </c>
      <c r="M314" s="32" t="s">
        <v>5537</v>
      </c>
      <c r="N314" s="32" t="s">
        <v>54</v>
      </c>
    </row>
    <row r="315" spans="1:14" s="32" customFormat="1" hidden="1" x14ac:dyDescent="0.3">
      <c r="A315" s="39">
        <v>46198.634722222225</v>
      </c>
      <c r="B315" s="32">
        <v>4435226025</v>
      </c>
      <c r="C315" s="32" t="s">
        <v>37</v>
      </c>
      <c r="D315" s="32">
        <v>4430265054</v>
      </c>
      <c r="E315" s="32">
        <v>312</v>
      </c>
      <c r="F315" s="32">
        <v>150</v>
      </c>
      <c r="G315" s="32" t="s">
        <v>38</v>
      </c>
      <c r="H315" s="32" t="s">
        <v>5731</v>
      </c>
      <c r="I315" s="32" t="s">
        <v>39</v>
      </c>
      <c r="J315" s="32" t="s">
        <v>40</v>
      </c>
      <c r="K315" s="32" t="s">
        <v>41</v>
      </c>
      <c r="M315" s="32" t="s">
        <v>5410</v>
      </c>
      <c r="N315" s="32" t="s">
        <v>37</v>
      </c>
    </row>
    <row r="316" spans="1:14" s="32" customFormat="1" hidden="1" x14ac:dyDescent="0.3">
      <c r="A316" s="39">
        <v>46198.629050925927</v>
      </c>
      <c r="B316" s="32">
        <v>1128897100</v>
      </c>
      <c r="C316" s="32" t="s">
        <v>48</v>
      </c>
      <c r="D316" s="32">
        <v>4430265054</v>
      </c>
      <c r="E316" s="32">
        <v>484</v>
      </c>
      <c r="F316" s="32">
        <v>451</v>
      </c>
      <c r="G316" s="32" t="s">
        <v>38</v>
      </c>
      <c r="H316" s="32" t="s">
        <v>5732</v>
      </c>
      <c r="I316" s="32" t="s">
        <v>39</v>
      </c>
      <c r="J316" s="32" t="s">
        <v>40</v>
      </c>
      <c r="K316" s="32" t="s">
        <v>49</v>
      </c>
      <c r="M316" s="32" t="s">
        <v>5412</v>
      </c>
      <c r="N316" s="32" t="s">
        <v>48</v>
      </c>
    </row>
    <row r="317" spans="1:14" s="32" customFormat="1" hidden="1" x14ac:dyDescent="0.3">
      <c r="A317" s="39">
        <v>46198.617210648146</v>
      </c>
      <c r="B317" s="32">
        <v>4430162384</v>
      </c>
      <c r="C317" s="32" t="s">
        <v>45</v>
      </c>
      <c r="D317" s="32">
        <v>4430265054</v>
      </c>
      <c r="E317" s="32">
        <v>463</v>
      </c>
      <c r="F317" s="32">
        <v>423</v>
      </c>
      <c r="G317" s="32" t="s">
        <v>38</v>
      </c>
      <c r="H317" s="32" t="s">
        <v>5733</v>
      </c>
      <c r="I317" s="32" t="s">
        <v>39</v>
      </c>
      <c r="J317" s="32" t="s">
        <v>40</v>
      </c>
      <c r="K317" s="32" t="s">
        <v>41</v>
      </c>
      <c r="M317" s="32" t="s">
        <v>5421</v>
      </c>
      <c r="N317" s="32" t="s">
        <v>45</v>
      </c>
    </row>
    <row r="318" spans="1:14" s="32" customFormat="1" hidden="1" x14ac:dyDescent="0.3">
      <c r="A318" s="39">
        <v>46198.608819444446</v>
      </c>
      <c r="B318" s="32">
        <v>44999451200</v>
      </c>
      <c r="C318" s="32" t="s">
        <v>44</v>
      </c>
      <c r="D318" s="32">
        <v>4430265054</v>
      </c>
      <c r="E318" s="32">
        <v>649</v>
      </c>
      <c r="F318" s="32">
        <v>584</v>
      </c>
      <c r="G318" s="32" t="s">
        <v>38</v>
      </c>
      <c r="H318" s="32" t="s">
        <v>5734</v>
      </c>
      <c r="I318" s="32" t="s">
        <v>39</v>
      </c>
      <c r="J318" s="32" t="s">
        <v>40</v>
      </c>
      <c r="K318" s="32" t="s">
        <v>41</v>
      </c>
      <c r="M318" s="32" t="s">
        <v>5416</v>
      </c>
      <c r="N318" s="32" t="s">
        <v>44</v>
      </c>
    </row>
    <row r="319" spans="1:14" s="32" customFormat="1" hidden="1" x14ac:dyDescent="0.3">
      <c r="A319" s="39">
        <v>46198.600138888891</v>
      </c>
      <c r="B319" s="32">
        <v>4432272377</v>
      </c>
      <c r="C319" s="32" t="s">
        <v>44</v>
      </c>
      <c r="D319" s="32">
        <v>4430265054</v>
      </c>
      <c r="E319" s="32">
        <v>71</v>
      </c>
      <c r="F319" s="32">
        <v>18</v>
      </c>
      <c r="G319" s="32" t="s">
        <v>38</v>
      </c>
      <c r="H319" s="32" t="s">
        <v>5735</v>
      </c>
      <c r="I319" s="32" t="s">
        <v>39</v>
      </c>
      <c r="J319" s="32" t="s">
        <v>40</v>
      </c>
      <c r="K319" s="32" t="s">
        <v>41</v>
      </c>
      <c r="M319" s="32" t="s">
        <v>5416</v>
      </c>
      <c r="N319" s="32" t="s">
        <v>44</v>
      </c>
    </row>
    <row r="320" spans="1:14" s="32" customFormat="1" hidden="1" x14ac:dyDescent="0.3">
      <c r="A320" s="39">
        <v>46198.594317129631</v>
      </c>
      <c r="B320" s="32">
        <v>4434212150</v>
      </c>
      <c r="C320" s="32" t="s">
        <v>45</v>
      </c>
      <c r="D320" s="32">
        <v>4430265054</v>
      </c>
      <c r="E320" s="32">
        <v>1499</v>
      </c>
      <c r="F320" s="32">
        <v>1414</v>
      </c>
      <c r="G320" s="32" t="s">
        <v>38</v>
      </c>
      <c r="H320" s="32" t="s">
        <v>5736</v>
      </c>
      <c r="I320" s="32" t="s">
        <v>39</v>
      </c>
      <c r="J320" s="32" t="s">
        <v>40</v>
      </c>
      <c r="K320" s="32" t="s">
        <v>41</v>
      </c>
      <c r="M320" s="32" t="s">
        <v>5421</v>
      </c>
      <c r="N320" s="32" t="s">
        <v>45</v>
      </c>
    </row>
    <row r="321" spans="1:14" s="32" customFormat="1" hidden="1" x14ac:dyDescent="0.3">
      <c r="A321" s="39">
        <v>46198.587060185186</v>
      </c>
      <c r="B321" s="32">
        <v>44999976008</v>
      </c>
      <c r="C321" s="32" t="s">
        <v>37</v>
      </c>
      <c r="D321" s="32">
        <v>4430265054</v>
      </c>
      <c r="E321" s="32">
        <v>1618</v>
      </c>
      <c r="F321" s="32">
        <v>1477</v>
      </c>
      <c r="G321" s="32" t="s">
        <v>38</v>
      </c>
      <c r="H321" s="32" t="s">
        <v>5737</v>
      </c>
      <c r="I321" s="32" t="s">
        <v>39</v>
      </c>
      <c r="J321" s="32" t="s">
        <v>40</v>
      </c>
      <c r="K321" s="32" t="s">
        <v>41</v>
      </c>
      <c r="L321" s="32">
        <v>5</v>
      </c>
      <c r="M321" s="32" t="s">
        <v>5410</v>
      </c>
      <c r="N321" s="32" t="s">
        <v>37</v>
      </c>
    </row>
    <row r="322" spans="1:14" s="32" customFormat="1" hidden="1" x14ac:dyDescent="0.3">
      <c r="A322" s="39">
        <v>46198.580046296294</v>
      </c>
      <c r="B322" s="32" t="s">
        <v>48</v>
      </c>
      <c r="C322" s="32">
        <v>4436311970</v>
      </c>
      <c r="E322" s="32">
        <v>835</v>
      </c>
      <c r="F322" s="32">
        <v>828</v>
      </c>
      <c r="G322" s="32" t="s">
        <v>38</v>
      </c>
      <c r="H322" s="32" t="s">
        <v>5738</v>
      </c>
      <c r="I322" s="32" t="s">
        <v>46</v>
      </c>
      <c r="J322" s="32" t="s">
        <v>40</v>
      </c>
      <c r="M322" s="32" t="s">
        <v>5412</v>
      </c>
      <c r="N322" s="32" t="s">
        <v>48</v>
      </c>
    </row>
    <row r="323" spans="1:14" s="32" customFormat="1" hidden="1" x14ac:dyDescent="0.3">
      <c r="A323" s="39">
        <v>46198.566284722219</v>
      </c>
      <c r="B323" s="32">
        <v>44999976008</v>
      </c>
      <c r="C323" s="32">
        <v>4430265054</v>
      </c>
      <c r="D323" s="32">
        <v>4430265054</v>
      </c>
      <c r="E323" s="32">
        <v>28</v>
      </c>
      <c r="F323" s="32">
        <v>27</v>
      </c>
      <c r="G323" s="32" t="s">
        <v>52</v>
      </c>
      <c r="H323" s="32" t="s">
        <v>5739</v>
      </c>
      <c r="I323" s="32" t="s">
        <v>39</v>
      </c>
      <c r="J323" s="32" t="s">
        <v>53</v>
      </c>
    </row>
    <row r="324" spans="1:14" s="32" customFormat="1" hidden="1" x14ac:dyDescent="0.3">
      <c r="A324" s="39">
        <v>46198.547175925924</v>
      </c>
      <c r="B324" s="32" t="s">
        <v>48</v>
      </c>
      <c r="C324" s="32">
        <v>4432321324</v>
      </c>
      <c r="E324" s="32">
        <v>925</v>
      </c>
      <c r="F324" s="32">
        <v>921</v>
      </c>
      <c r="G324" s="32" t="s">
        <v>38</v>
      </c>
      <c r="H324" s="32" t="s">
        <v>5740</v>
      </c>
      <c r="I324" s="32" t="s">
        <v>46</v>
      </c>
      <c r="J324" s="32" t="s">
        <v>40</v>
      </c>
      <c r="M324" s="32" t="s">
        <v>5412</v>
      </c>
      <c r="N324" s="32" t="s">
        <v>48</v>
      </c>
    </row>
    <row r="325" spans="1:14" s="32" customFormat="1" hidden="1" x14ac:dyDescent="0.3">
      <c r="A325" s="39">
        <v>46198.487118055556</v>
      </c>
      <c r="B325" s="32">
        <v>35998295948</v>
      </c>
      <c r="C325" s="32" t="s">
        <v>45</v>
      </c>
      <c r="D325" s="32">
        <v>4430265054</v>
      </c>
      <c r="E325" s="32">
        <v>569</v>
      </c>
      <c r="F325" s="32">
        <v>545</v>
      </c>
      <c r="G325" s="32" t="s">
        <v>38</v>
      </c>
      <c r="H325" s="32" t="s">
        <v>5741</v>
      </c>
      <c r="I325" s="32" t="s">
        <v>39</v>
      </c>
      <c r="J325" s="32" t="s">
        <v>40</v>
      </c>
      <c r="K325" s="32" t="s">
        <v>41</v>
      </c>
      <c r="M325" s="32" t="s">
        <v>5421</v>
      </c>
      <c r="N325" s="32" t="s">
        <v>45</v>
      </c>
    </row>
    <row r="326" spans="1:14" s="32" customFormat="1" hidden="1" x14ac:dyDescent="0.3">
      <c r="A326" s="39">
        <v>46198.480706018519</v>
      </c>
      <c r="B326" s="32">
        <v>11934552189</v>
      </c>
      <c r="C326" s="32" t="s">
        <v>37</v>
      </c>
      <c r="D326" s="32">
        <v>4430265054</v>
      </c>
      <c r="E326" s="32">
        <v>826</v>
      </c>
      <c r="F326" s="32">
        <v>783</v>
      </c>
      <c r="G326" s="32" t="s">
        <v>38</v>
      </c>
      <c r="H326" s="32" t="s">
        <v>5742</v>
      </c>
      <c r="I326" s="32" t="s">
        <v>39</v>
      </c>
      <c r="J326" s="32" t="s">
        <v>40</v>
      </c>
      <c r="K326" s="32" t="s">
        <v>41</v>
      </c>
      <c r="L326" s="32">
        <v>5</v>
      </c>
      <c r="M326" s="32" t="s">
        <v>5410</v>
      </c>
      <c r="N326" s="32" t="s">
        <v>37</v>
      </c>
    </row>
    <row r="327" spans="1:14" s="32" customFormat="1" hidden="1" x14ac:dyDescent="0.3">
      <c r="A327" s="39">
        <v>46198.479583333334</v>
      </c>
      <c r="B327" s="32">
        <v>43988030048</v>
      </c>
      <c r="C327" s="32" t="s">
        <v>44</v>
      </c>
      <c r="D327" s="32">
        <v>4430265054</v>
      </c>
      <c r="E327" s="32">
        <v>943</v>
      </c>
      <c r="F327" s="32">
        <v>822</v>
      </c>
      <c r="G327" s="32" t="s">
        <v>38</v>
      </c>
      <c r="H327" s="32" t="s">
        <v>5743</v>
      </c>
      <c r="I327" s="32" t="s">
        <v>39</v>
      </c>
      <c r="J327" s="32" t="s">
        <v>40</v>
      </c>
      <c r="K327" s="32" t="s">
        <v>41</v>
      </c>
      <c r="M327" s="32" t="s">
        <v>5416</v>
      </c>
      <c r="N327" s="32" t="s">
        <v>44</v>
      </c>
    </row>
    <row r="328" spans="1:14" s="32" customFormat="1" hidden="1" x14ac:dyDescent="0.3">
      <c r="A328" s="39">
        <v>46198.479016203702</v>
      </c>
      <c r="B328" s="32">
        <v>44998640313</v>
      </c>
      <c r="C328" s="32" t="s">
        <v>45</v>
      </c>
      <c r="D328" s="32">
        <v>4430265054</v>
      </c>
      <c r="E328" s="32">
        <v>472</v>
      </c>
      <c r="F328" s="32">
        <v>430</v>
      </c>
      <c r="G328" s="32" t="s">
        <v>38</v>
      </c>
      <c r="H328" s="32" t="s">
        <v>5744</v>
      </c>
      <c r="I328" s="32" t="s">
        <v>39</v>
      </c>
      <c r="J328" s="32" t="s">
        <v>40</v>
      </c>
      <c r="K328" s="32" t="s">
        <v>41</v>
      </c>
      <c r="M328" s="32" t="s">
        <v>5421</v>
      </c>
      <c r="N328" s="32" t="s">
        <v>45</v>
      </c>
    </row>
    <row r="329" spans="1:14" s="32" customFormat="1" hidden="1" x14ac:dyDescent="0.3">
      <c r="A329" s="39">
        <v>46198.477997685186</v>
      </c>
      <c r="B329" s="32" t="s">
        <v>50</v>
      </c>
      <c r="C329" s="32" t="s">
        <v>57</v>
      </c>
      <c r="E329" s="32">
        <v>660</v>
      </c>
      <c r="F329" s="32">
        <v>656</v>
      </c>
      <c r="G329" s="32" t="s">
        <v>38</v>
      </c>
      <c r="H329" s="32" t="s">
        <v>5745</v>
      </c>
      <c r="I329" s="32" t="s">
        <v>51</v>
      </c>
      <c r="J329" s="32" t="s">
        <v>55</v>
      </c>
      <c r="M329" s="32" t="s">
        <v>5746</v>
      </c>
      <c r="N329" s="32" t="s">
        <v>50</v>
      </c>
    </row>
    <row r="330" spans="1:14" s="32" customFormat="1" hidden="1" x14ac:dyDescent="0.3">
      <c r="A330" s="39">
        <v>46198.471006944441</v>
      </c>
      <c r="B330" s="32" t="s">
        <v>45</v>
      </c>
      <c r="C330" s="32">
        <v>4436351414</v>
      </c>
      <c r="E330" s="32">
        <v>330</v>
      </c>
      <c r="F330" s="32">
        <v>304</v>
      </c>
      <c r="G330" s="32" t="s">
        <v>38</v>
      </c>
      <c r="H330" s="32" t="s">
        <v>5747</v>
      </c>
      <c r="I330" s="32" t="s">
        <v>46</v>
      </c>
      <c r="J330" s="32" t="s">
        <v>40</v>
      </c>
      <c r="M330" s="32" t="s">
        <v>5421</v>
      </c>
      <c r="N330" s="32" t="s">
        <v>45</v>
      </c>
    </row>
    <row r="331" spans="1:14" s="32" customFormat="1" hidden="1" x14ac:dyDescent="0.3">
      <c r="A331" s="39">
        <v>46198.458692129629</v>
      </c>
      <c r="B331" s="32">
        <v>4432321324</v>
      </c>
      <c r="C331" s="32" t="s">
        <v>48</v>
      </c>
      <c r="D331" s="32">
        <v>4430265054</v>
      </c>
      <c r="E331" s="32">
        <v>207</v>
      </c>
      <c r="F331" s="32">
        <v>171</v>
      </c>
      <c r="G331" s="32" t="s">
        <v>38</v>
      </c>
      <c r="H331" s="32" t="s">
        <v>5748</v>
      </c>
      <c r="I331" s="32" t="s">
        <v>39</v>
      </c>
      <c r="J331" s="32" t="s">
        <v>40</v>
      </c>
      <c r="K331" s="32" t="s">
        <v>41</v>
      </c>
      <c r="M331" s="32" t="s">
        <v>5412</v>
      </c>
      <c r="N331" s="32" t="s">
        <v>48</v>
      </c>
    </row>
    <row r="332" spans="1:14" s="32" customFormat="1" hidden="1" x14ac:dyDescent="0.3">
      <c r="A332" s="39">
        <v>46198.45721064815</v>
      </c>
      <c r="B332" s="32">
        <v>35998295948</v>
      </c>
      <c r="C332" s="32" t="s">
        <v>37</v>
      </c>
      <c r="D332" s="32">
        <v>4430265054</v>
      </c>
      <c r="E332" s="32">
        <v>1457</v>
      </c>
      <c r="F332" s="32">
        <v>1297</v>
      </c>
      <c r="G332" s="32" t="s">
        <v>38</v>
      </c>
      <c r="H332" s="32" t="s">
        <v>5749</v>
      </c>
      <c r="I332" s="32" t="s">
        <v>39</v>
      </c>
      <c r="J332" s="32" t="s">
        <v>40</v>
      </c>
      <c r="K332" s="32" t="s">
        <v>41</v>
      </c>
      <c r="M332" s="32" t="s">
        <v>5410</v>
      </c>
      <c r="N332" s="32" t="s">
        <v>37</v>
      </c>
    </row>
    <row r="333" spans="1:14" s="32" customFormat="1" hidden="1" x14ac:dyDescent="0.3">
      <c r="A333" s="39">
        <v>46198.452106481483</v>
      </c>
      <c r="B333" s="32" t="s">
        <v>54</v>
      </c>
      <c r="C333" s="32">
        <v>11949986962</v>
      </c>
      <c r="E333" s="32">
        <v>467</v>
      </c>
      <c r="F333" s="32">
        <v>457</v>
      </c>
      <c r="G333" s="32" t="s">
        <v>38</v>
      </c>
      <c r="H333" s="32" t="s">
        <v>5750</v>
      </c>
      <c r="I333" s="32" t="s">
        <v>46</v>
      </c>
      <c r="J333" s="32" t="s">
        <v>55</v>
      </c>
      <c r="M333" s="32" t="s">
        <v>5537</v>
      </c>
      <c r="N333" s="32" t="s">
        <v>54</v>
      </c>
    </row>
    <row r="334" spans="1:14" s="32" customFormat="1" hidden="1" x14ac:dyDescent="0.3">
      <c r="A334" s="39">
        <v>46198.448877314811</v>
      </c>
      <c r="B334" s="32">
        <v>44998068281</v>
      </c>
      <c r="C334" s="32" t="s">
        <v>44</v>
      </c>
      <c r="D334" s="32">
        <v>4430265054</v>
      </c>
      <c r="E334" s="32">
        <v>421</v>
      </c>
      <c r="F334" s="32">
        <v>390</v>
      </c>
      <c r="G334" s="32" t="s">
        <v>38</v>
      </c>
      <c r="H334" s="32" t="s">
        <v>5751</v>
      </c>
      <c r="I334" s="32" t="s">
        <v>39</v>
      </c>
      <c r="J334" s="32" t="s">
        <v>40</v>
      </c>
      <c r="K334" s="32" t="s">
        <v>41</v>
      </c>
      <c r="M334" s="32" t="s">
        <v>5416</v>
      </c>
      <c r="N334" s="32" t="s">
        <v>44</v>
      </c>
    </row>
    <row r="335" spans="1:14" s="32" customFormat="1" hidden="1" x14ac:dyDescent="0.3">
      <c r="A335" s="39">
        <v>46198.448136574072</v>
      </c>
      <c r="B335" s="32">
        <v>35998295948</v>
      </c>
      <c r="C335" s="32" t="s">
        <v>45</v>
      </c>
      <c r="D335" s="32">
        <v>4430265054</v>
      </c>
      <c r="E335" s="32">
        <v>179</v>
      </c>
      <c r="F335" s="32">
        <v>159</v>
      </c>
      <c r="G335" s="32" t="s">
        <v>38</v>
      </c>
      <c r="H335" s="32" t="s">
        <v>5752</v>
      </c>
      <c r="I335" s="32" t="s">
        <v>39</v>
      </c>
      <c r="J335" s="32" t="s">
        <v>40</v>
      </c>
      <c r="K335" s="32" t="s">
        <v>41</v>
      </c>
      <c r="M335" s="32" t="s">
        <v>5421</v>
      </c>
      <c r="N335" s="32" t="s">
        <v>45</v>
      </c>
    </row>
    <row r="336" spans="1:14" s="32" customFormat="1" hidden="1" x14ac:dyDescent="0.3">
      <c r="A336" s="39">
        <v>46198.437523148146</v>
      </c>
      <c r="B336" s="32">
        <v>4436372125</v>
      </c>
      <c r="C336" s="32" t="s">
        <v>44</v>
      </c>
      <c r="D336" s="32">
        <v>4430265054</v>
      </c>
      <c r="E336" s="32">
        <v>103</v>
      </c>
      <c r="F336" s="32">
        <v>44</v>
      </c>
      <c r="G336" s="32" t="s">
        <v>38</v>
      </c>
      <c r="H336" s="32" t="s">
        <v>5753</v>
      </c>
      <c r="I336" s="32" t="s">
        <v>39</v>
      </c>
      <c r="J336" s="32" t="s">
        <v>40</v>
      </c>
      <c r="K336" s="32" t="s">
        <v>41</v>
      </c>
      <c r="M336" s="32" t="s">
        <v>5416</v>
      </c>
      <c r="N336" s="32" t="s">
        <v>44</v>
      </c>
    </row>
    <row r="337" spans="1:14" s="32" customFormat="1" hidden="1" x14ac:dyDescent="0.3">
      <c r="A337" s="39">
        <v>46198.434178240743</v>
      </c>
      <c r="B337" s="32">
        <v>44999647912</v>
      </c>
      <c r="C337" s="32" t="s">
        <v>45</v>
      </c>
      <c r="D337" s="32">
        <v>4430265054</v>
      </c>
      <c r="E337" s="32">
        <v>766</v>
      </c>
      <c r="F337" s="32">
        <v>679</v>
      </c>
      <c r="G337" s="32" t="s">
        <v>38</v>
      </c>
      <c r="H337" s="32" t="s">
        <v>5754</v>
      </c>
      <c r="I337" s="32" t="s">
        <v>39</v>
      </c>
      <c r="J337" s="32" t="s">
        <v>40</v>
      </c>
      <c r="K337" s="32" t="s">
        <v>41</v>
      </c>
      <c r="L337" s="32">
        <v>5</v>
      </c>
      <c r="M337" s="32" t="s">
        <v>5421</v>
      </c>
      <c r="N337" s="32" t="s">
        <v>45</v>
      </c>
    </row>
    <row r="338" spans="1:14" s="32" customFormat="1" hidden="1" x14ac:dyDescent="0.3">
      <c r="A338" s="39">
        <v>46198.429571759261</v>
      </c>
      <c r="B338" s="32">
        <v>35998295948</v>
      </c>
      <c r="C338" s="32" t="s">
        <v>44</v>
      </c>
      <c r="D338" s="32">
        <v>4430265054</v>
      </c>
      <c r="E338" s="32">
        <v>485</v>
      </c>
      <c r="F338" s="32">
        <v>422</v>
      </c>
      <c r="G338" s="32" t="s">
        <v>38</v>
      </c>
      <c r="H338" s="32" t="s">
        <v>5755</v>
      </c>
      <c r="I338" s="32" t="s">
        <v>39</v>
      </c>
      <c r="J338" s="32" t="s">
        <v>40</v>
      </c>
      <c r="K338" s="32" t="s">
        <v>41</v>
      </c>
      <c r="M338" s="32" t="s">
        <v>5416</v>
      </c>
      <c r="N338" s="32" t="s">
        <v>44</v>
      </c>
    </row>
    <row r="339" spans="1:14" s="32" customFormat="1" hidden="1" x14ac:dyDescent="0.3">
      <c r="A339" s="39">
        <v>46198.41810185185</v>
      </c>
      <c r="B339" s="32">
        <v>44998640313</v>
      </c>
      <c r="C339" s="32" t="s">
        <v>45</v>
      </c>
      <c r="D339" s="32">
        <v>4430265054</v>
      </c>
      <c r="E339" s="32">
        <v>1269</v>
      </c>
      <c r="F339" s="32">
        <v>1136</v>
      </c>
      <c r="G339" s="32" t="s">
        <v>38</v>
      </c>
      <c r="H339" s="32" t="s">
        <v>5756</v>
      </c>
      <c r="I339" s="32" t="s">
        <v>39</v>
      </c>
      <c r="J339" s="32" t="s">
        <v>40</v>
      </c>
      <c r="K339" s="32" t="s">
        <v>41</v>
      </c>
      <c r="M339" s="32" t="s">
        <v>5421</v>
      </c>
      <c r="N339" s="32" t="s">
        <v>45</v>
      </c>
    </row>
    <row r="340" spans="1:14" s="32" customFormat="1" hidden="1" x14ac:dyDescent="0.3">
      <c r="A340" s="39">
        <v>46198.417395833334</v>
      </c>
      <c r="B340" s="32">
        <v>44999654761</v>
      </c>
      <c r="C340" s="32" t="s">
        <v>37</v>
      </c>
      <c r="D340" s="32">
        <v>4430265054</v>
      </c>
      <c r="E340" s="32">
        <v>2887</v>
      </c>
      <c r="F340" s="32">
        <v>2745</v>
      </c>
      <c r="G340" s="32" t="s">
        <v>38</v>
      </c>
      <c r="H340" s="32" t="s">
        <v>5757</v>
      </c>
      <c r="I340" s="32" t="s">
        <v>39</v>
      </c>
      <c r="J340" s="32" t="s">
        <v>40</v>
      </c>
      <c r="K340" s="32" t="s">
        <v>41</v>
      </c>
      <c r="M340" s="32" t="s">
        <v>5410</v>
      </c>
      <c r="N340" s="32" t="s">
        <v>37</v>
      </c>
    </row>
    <row r="341" spans="1:14" s="32" customFormat="1" hidden="1" x14ac:dyDescent="0.3">
      <c r="A341" s="39">
        <v>46198.415532407409</v>
      </c>
      <c r="B341" s="32">
        <v>1732146970</v>
      </c>
      <c r="C341" s="32" t="s">
        <v>48</v>
      </c>
      <c r="D341" s="32">
        <v>4431268225</v>
      </c>
      <c r="E341" s="32">
        <v>756</v>
      </c>
      <c r="F341" s="32">
        <v>553</v>
      </c>
      <c r="G341" s="32" t="s">
        <v>38</v>
      </c>
      <c r="H341" s="32" t="s">
        <v>5758</v>
      </c>
      <c r="I341" s="32" t="s">
        <v>39</v>
      </c>
      <c r="J341" s="32" t="s">
        <v>40</v>
      </c>
      <c r="K341" s="32" t="s">
        <v>41</v>
      </c>
      <c r="M341" s="32" t="s">
        <v>5412</v>
      </c>
      <c r="N341" s="32" t="s">
        <v>48</v>
      </c>
    </row>
    <row r="342" spans="1:14" s="32" customFormat="1" hidden="1" x14ac:dyDescent="0.3">
      <c r="A342" s="39">
        <v>46198.415231481478</v>
      </c>
      <c r="B342" s="32">
        <v>4430152533</v>
      </c>
      <c r="C342" s="32" t="s">
        <v>44</v>
      </c>
      <c r="D342" s="32">
        <v>4430265054</v>
      </c>
      <c r="E342" s="32">
        <v>652</v>
      </c>
      <c r="F342" s="32">
        <v>514</v>
      </c>
      <c r="G342" s="32" t="s">
        <v>38</v>
      </c>
      <c r="H342" s="32" t="s">
        <v>5759</v>
      </c>
      <c r="I342" s="32" t="s">
        <v>39</v>
      </c>
      <c r="J342" s="32" t="s">
        <v>40</v>
      </c>
      <c r="K342" s="32" t="s">
        <v>41</v>
      </c>
      <c r="L342" s="32">
        <v>5</v>
      </c>
      <c r="M342" s="32" t="s">
        <v>5416</v>
      </c>
      <c r="N342" s="32" t="s">
        <v>44</v>
      </c>
    </row>
    <row r="343" spans="1:14" s="32" customFormat="1" hidden="1" x14ac:dyDescent="0.3">
      <c r="A343" s="39">
        <v>46198.414641203701</v>
      </c>
      <c r="B343" s="32">
        <v>4130760170</v>
      </c>
      <c r="C343" s="32" t="s">
        <v>45</v>
      </c>
      <c r="D343" s="32">
        <v>4430265054</v>
      </c>
      <c r="E343" s="32">
        <v>459</v>
      </c>
      <c r="F343" s="32">
        <v>309</v>
      </c>
      <c r="G343" s="32" t="s">
        <v>38</v>
      </c>
      <c r="H343" s="32" t="s">
        <v>5760</v>
      </c>
      <c r="I343" s="32" t="s">
        <v>39</v>
      </c>
      <c r="J343" s="32" t="s">
        <v>40</v>
      </c>
      <c r="K343" s="32" t="s">
        <v>41</v>
      </c>
      <c r="L343" s="32">
        <v>5</v>
      </c>
      <c r="M343" s="32" t="s">
        <v>5421</v>
      </c>
      <c r="N343" s="32" t="s">
        <v>45</v>
      </c>
    </row>
    <row r="344" spans="1:14" s="32" customFormat="1" hidden="1" x14ac:dyDescent="0.3">
      <c r="A344" s="39">
        <v>46198.41337962963</v>
      </c>
      <c r="B344" s="32" t="s">
        <v>48</v>
      </c>
      <c r="C344" s="32">
        <v>4532541802</v>
      </c>
      <c r="E344" s="32">
        <v>387</v>
      </c>
      <c r="F344" s="32">
        <v>386</v>
      </c>
      <c r="G344" s="32" t="s">
        <v>38</v>
      </c>
      <c r="H344" s="32" t="s">
        <v>5761</v>
      </c>
      <c r="I344" s="32" t="s">
        <v>46</v>
      </c>
      <c r="J344" s="32" t="s">
        <v>40</v>
      </c>
      <c r="M344" s="32" t="s">
        <v>5412</v>
      </c>
      <c r="N344" s="32" t="s">
        <v>48</v>
      </c>
    </row>
    <row r="345" spans="1:14" s="32" customFormat="1" hidden="1" x14ac:dyDescent="0.3">
      <c r="A345" s="39">
        <v>46198.410173611112</v>
      </c>
      <c r="B345" s="32">
        <v>4430459032</v>
      </c>
      <c r="C345" s="32" t="s">
        <v>44</v>
      </c>
      <c r="D345" s="32">
        <v>4430265054</v>
      </c>
      <c r="E345" s="32">
        <v>525</v>
      </c>
      <c r="F345" s="32">
        <v>475</v>
      </c>
      <c r="G345" s="32" t="s">
        <v>38</v>
      </c>
      <c r="H345" s="32" t="s">
        <v>5762</v>
      </c>
      <c r="I345" s="32" t="s">
        <v>39</v>
      </c>
      <c r="J345" s="32" t="s">
        <v>40</v>
      </c>
      <c r="K345" s="32" t="s">
        <v>41</v>
      </c>
      <c r="M345" s="32" t="s">
        <v>5416</v>
      </c>
      <c r="N345" s="32" t="s">
        <v>44</v>
      </c>
    </row>
    <row r="346" spans="1:14" s="32" customFormat="1" hidden="1" x14ac:dyDescent="0.3">
      <c r="A346" s="39">
        <v>46198.407280092593</v>
      </c>
      <c r="B346" s="32">
        <v>44999647912</v>
      </c>
      <c r="C346" s="32">
        <v>4430265054</v>
      </c>
      <c r="D346" s="32">
        <v>4430265054</v>
      </c>
      <c r="E346" s="32">
        <v>103</v>
      </c>
      <c r="F346" s="32">
        <v>102</v>
      </c>
      <c r="G346" s="32" t="s">
        <v>52</v>
      </c>
      <c r="H346" s="32" t="s">
        <v>5763</v>
      </c>
      <c r="I346" s="32" t="s">
        <v>39</v>
      </c>
      <c r="J346" s="32" t="s">
        <v>53</v>
      </c>
      <c r="K346" s="32" t="s">
        <v>41</v>
      </c>
    </row>
    <row r="347" spans="1:14" s="32" customFormat="1" hidden="1" x14ac:dyDescent="0.3">
      <c r="A347" s="39">
        <v>46198.406284722223</v>
      </c>
      <c r="B347" s="32">
        <v>1732146970</v>
      </c>
      <c r="C347" s="32">
        <v>4431268225</v>
      </c>
      <c r="D347" s="32">
        <v>4431268225</v>
      </c>
      <c r="E347" s="32">
        <v>32</v>
      </c>
      <c r="F347" s="32">
        <v>31</v>
      </c>
      <c r="G347" s="32" t="s">
        <v>52</v>
      </c>
      <c r="H347" s="32" t="s">
        <v>5764</v>
      </c>
      <c r="I347" s="32" t="s">
        <v>39</v>
      </c>
      <c r="J347" s="32" t="s">
        <v>53</v>
      </c>
      <c r="K347" s="32" t="s">
        <v>41</v>
      </c>
    </row>
    <row r="348" spans="1:14" s="32" customFormat="1" hidden="1" x14ac:dyDescent="0.3">
      <c r="A348" s="39">
        <v>46198.391608796293</v>
      </c>
      <c r="B348" s="32">
        <v>35998295948</v>
      </c>
      <c r="C348" s="32" t="s">
        <v>37</v>
      </c>
      <c r="D348" s="32">
        <v>4430265054</v>
      </c>
      <c r="E348" s="32">
        <v>2292</v>
      </c>
      <c r="F348" s="32">
        <v>2193</v>
      </c>
      <c r="G348" s="32" t="s">
        <v>38</v>
      </c>
      <c r="H348" s="32" t="s">
        <v>5765</v>
      </c>
      <c r="I348" s="32" t="s">
        <v>39</v>
      </c>
      <c r="J348" s="32" t="s">
        <v>40</v>
      </c>
      <c r="K348" s="32" t="s">
        <v>41</v>
      </c>
      <c r="M348" s="32" t="s">
        <v>5410</v>
      </c>
      <c r="N348" s="32" t="s">
        <v>37</v>
      </c>
    </row>
    <row r="349" spans="1:14" s="32" customFormat="1" hidden="1" x14ac:dyDescent="0.3">
      <c r="A349" s="39">
        <v>46198.38417824074</v>
      </c>
      <c r="B349" s="32" t="s">
        <v>45</v>
      </c>
      <c r="C349" s="32">
        <v>44999497001</v>
      </c>
      <c r="E349" s="32">
        <v>993</v>
      </c>
      <c r="F349" s="32">
        <v>986</v>
      </c>
      <c r="G349" s="32" t="s">
        <v>38</v>
      </c>
      <c r="H349" s="32" t="s">
        <v>5766</v>
      </c>
      <c r="I349" s="32" t="s">
        <v>46</v>
      </c>
      <c r="J349" s="32" t="s">
        <v>40</v>
      </c>
      <c r="M349" s="32" t="s">
        <v>5421</v>
      </c>
      <c r="N349" s="32" t="s">
        <v>45</v>
      </c>
    </row>
    <row r="350" spans="1:14" s="32" customFormat="1" hidden="1" x14ac:dyDescent="0.3">
      <c r="A350" s="39">
        <v>46198.384108796294</v>
      </c>
      <c r="B350" s="32" t="s">
        <v>45</v>
      </c>
      <c r="C350" s="32">
        <v>44999497001</v>
      </c>
      <c r="E350" s="32">
        <v>4</v>
      </c>
      <c r="F350" s="32">
        <v>0</v>
      </c>
      <c r="G350" s="32" t="s">
        <v>47</v>
      </c>
      <c r="H350" s="32" t="s">
        <v>5767</v>
      </c>
      <c r="I350" s="32" t="s">
        <v>46</v>
      </c>
      <c r="J350" s="32" t="s">
        <v>40</v>
      </c>
      <c r="M350" s="32" t="s">
        <v>5421</v>
      </c>
      <c r="N350" s="32" t="s">
        <v>45</v>
      </c>
    </row>
    <row r="351" spans="1:14" s="32" customFormat="1" hidden="1" x14ac:dyDescent="0.3">
      <c r="A351" s="39">
        <v>46198.383356481485</v>
      </c>
      <c r="B351" s="32">
        <v>35998295948</v>
      </c>
      <c r="C351" s="32" t="s">
        <v>37</v>
      </c>
      <c r="D351" s="32">
        <v>4430265054</v>
      </c>
      <c r="E351" s="32">
        <v>180</v>
      </c>
      <c r="F351" s="32">
        <v>162</v>
      </c>
      <c r="G351" s="32" t="s">
        <v>38</v>
      </c>
      <c r="H351" s="32" t="s">
        <v>5768</v>
      </c>
      <c r="I351" s="32" t="s">
        <v>39</v>
      </c>
      <c r="J351" s="32" t="s">
        <v>40</v>
      </c>
      <c r="K351" s="32" t="s">
        <v>41</v>
      </c>
      <c r="M351" s="32" t="s">
        <v>5410</v>
      </c>
      <c r="N351" s="32" t="s">
        <v>37</v>
      </c>
    </row>
    <row r="352" spans="1:14" s="32" customFormat="1" x14ac:dyDescent="0.3">
      <c r="A352" s="39">
        <v>46198.371689814812</v>
      </c>
      <c r="B352" s="32" t="s">
        <v>44</v>
      </c>
      <c r="C352" s="32">
        <v>4434233230</v>
      </c>
      <c r="E352" s="32">
        <v>326</v>
      </c>
      <c r="F352" s="32">
        <v>309</v>
      </c>
      <c r="G352" s="32" t="s">
        <v>38</v>
      </c>
      <c r="H352" s="32" t="s">
        <v>5769</v>
      </c>
      <c r="I352" s="32" t="s">
        <v>46</v>
      </c>
      <c r="J352" s="32" t="s">
        <v>40</v>
      </c>
      <c r="M352" s="32" t="s">
        <v>5416</v>
      </c>
      <c r="N352" s="32" t="s">
        <v>44</v>
      </c>
    </row>
    <row r="353" spans="1:14" s="32" customFormat="1" x14ac:dyDescent="0.3">
      <c r="A353" s="39">
        <v>46198.371620370373</v>
      </c>
      <c r="B353" s="32" t="s">
        <v>44</v>
      </c>
      <c r="C353" s="32">
        <v>4434233230</v>
      </c>
      <c r="E353" s="32">
        <v>14</v>
      </c>
      <c r="F353" s="32">
        <v>14</v>
      </c>
      <c r="G353" s="32" t="s">
        <v>38</v>
      </c>
      <c r="H353" s="32" t="s">
        <v>5770</v>
      </c>
      <c r="I353" s="32" t="s">
        <v>46</v>
      </c>
      <c r="J353" s="32" t="s">
        <v>40</v>
      </c>
      <c r="M353" s="32" t="s">
        <v>5416</v>
      </c>
      <c r="N353" s="32" t="s">
        <v>44</v>
      </c>
    </row>
    <row r="354" spans="1:14" s="32" customFormat="1" hidden="1" x14ac:dyDescent="0.3">
      <c r="A354" s="39">
        <v>46198.369409722225</v>
      </c>
      <c r="B354" s="32">
        <v>4434233230</v>
      </c>
      <c r="C354" s="32" t="s">
        <v>44</v>
      </c>
      <c r="D354" s="32">
        <v>4430265054</v>
      </c>
      <c r="E354" s="32">
        <v>126</v>
      </c>
      <c r="F354" s="32">
        <v>74</v>
      </c>
      <c r="G354" s="32" t="s">
        <v>38</v>
      </c>
      <c r="H354" s="32" t="s">
        <v>5771</v>
      </c>
      <c r="I354" s="32" t="s">
        <v>39</v>
      </c>
      <c r="J354" s="32" t="s">
        <v>40</v>
      </c>
      <c r="K354" s="32" t="s">
        <v>41</v>
      </c>
      <c r="M354" s="32" t="s">
        <v>5416</v>
      </c>
      <c r="N354" s="32" t="s">
        <v>44</v>
      </c>
    </row>
    <row r="355" spans="1:14" s="32" customFormat="1" hidden="1" x14ac:dyDescent="0.3">
      <c r="A355" s="39">
        <v>46198.369293981479</v>
      </c>
      <c r="B355" s="32">
        <v>44999497001</v>
      </c>
      <c r="C355" s="32" t="s">
        <v>45</v>
      </c>
      <c r="D355" s="32">
        <v>4430265054</v>
      </c>
      <c r="E355" s="32">
        <v>400</v>
      </c>
      <c r="F355" s="32">
        <v>364</v>
      </c>
      <c r="G355" s="32" t="s">
        <v>38</v>
      </c>
      <c r="H355" s="32" t="s">
        <v>5772</v>
      </c>
      <c r="I355" s="32" t="s">
        <v>39</v>
      </c>
      <c r="J355" s="32" t="s">
        <v>40</v>
      </c>
      <c r="K355" s="32" t="s">
        <v>41</v>
      </c>
      <c r="M355" s="32" t="s">
        <v>5421</v>
      </c>
      <c r="N355" s="32" t="s">
        <v>45</v>
      </c>
    </row>
    <row r="356" spans="1:14" s="32" customFormat="1" hidden="1" x14ac:dyDescent="0.3">
      <c r="A356" s="39">
        <v>46198.367615740739</v>
      </c>
      <c r="B356" s="32">
        <v>44997450437</v>
      </c>
      <c r="C356" s="32" t="s">
        <v>37</v>
      </c>
      <c r="D356" s="32">
        <v>4430265054</v>
      </c>
      <c r="E356" s="32">
        <v>553</v>
      </c>
      <c r="F356" s="32">
        <v>534</v>
      </c>
      <c r="G356" s="32" t="s">
        <v>38</v>
      </c>
      <c r="H356" s="32" t="s">
        <v>5773</v>
      </c>
      <c r="I356" s="32" t="s">
        <v>39</v>
      </c>
      <c r="J356" s="32" t="s">
        <v>40</v>
      </c>
      <c r="K356" s="32" t="s">
        <v>41</v>
      </c>
      <c r="L356" s="32">
        <v>5</v>
      </c>
      <c r="M356" s="32" t="s">
        <v>5410</v>
      </c>
      <c r="N356" s="32" t="s">
        <v>37</v>
      </c>
    </row>
    <row r="357" spans="1:14" s="32" customFormat="1" hidden="1" x14ac:dyDescent="0.3">
      <c r="A357" s="39">
        <v>46198.367222222223</v>
      </c>
      <c r="B357" s="32" t="s">
        <v>48</v>
      </c>
      <c r="C357" s="32">
        <v>4436311970</v>
      </c>
      <c r="E357" s="32">
        <v>1054</v>
      </c>
      <c r="F357" s="32">
        <v>1046</v>
      </c>
      <c r="G357" s="32" t="s">
        <v>38</v>
      </c>
      <c r="H357" s="32" t="s">
        <v>5774</v>
      </c>
      <c r="I357" s="32" t="s">
        <v>46</v>
      </c>
      <c r="J357" s="32" t="s">
        <v>40</v>
      </c>
      <c r="M357" s="32" t="s">
        <v>5412</v>
      </c>
      <c r="N357" s="32" t="s">
        <v>48</v>
      </c>
    </row>
    <row r="358" spans="1:14" s="32" customFormat="1" hidden="1" x14ac:dyDescent="0.3">
      <c r="A358" s="39">
        <v>46198.357430555552</v>
      </c>
      <c r="B358" s="32">
        <v>11990144272</v>
      </c>
      <c r="C358" s="32" t="s">
        <v>37</v>
      </c>
      <c r="D358" s="32">
        <v>4431268225</v>
      </c>
      <c r="E358" s="32">
        <v>486</v>
      </c>
      <c r="F358" s="32">
        <v>443</v>
      </c>
      <c r="G358" s="32" t="s">
        <v>38</v>
      </c>
      <c r="H358" s="32" t="s">
        <v>5775</v>
      </c>
      <c r="I358" s="32" t="s">
        <v>39</v>
      </c>
      <c r="J358" s="32" t="s">
        <v>40</v>
      </c>
      <c r="K358" s="32" t="s">
        <v>41</v>
      </c>
      <c r="L358" s="32">
        <v>5</v>
      </c>
      <c r="M358" s="32" t="s">
        <v>5410</v>
      </c>
      <c r="N358" s="32" t="s">
        <v>37</v>
      </c>
    </row>
    <row r="359" spans="1:14" s="32" customFormat="1" hidden="1" x14ac:dyDescent="0.3">
      <c r="A359" s="39">
        <v>46198.356944444444</v>
      </c>
      <c r="B359" s="32">
        <v>1131043888</v>
      </c>
      <c r="C359" s="32" t="s">
        <v>45</v>
      </c>
      <c r="D359" s="32">
        <v>4430265054</v>
      </c>
      <c r="E359" s="32">
        <v>411</v>
      </c>
      <c r="F359" s="32">
        <v>339</v>
      </c>
      <c r="G359" s="32" t="s">
        <v>38</v>
      </c>
      <c r="H359" s="32" t="s">
        <v>5776</v>
      </c>
      <c r="I359" s="32" t="s">
        <v>39</v>
      </c>
      <c r="J359" s="32" t="s">
        <v>40</v>
      </c>
      <c r="K359" s="32" t="s">
        <v>41</v>
      </c>
      <c r="L359" s="32">
        <v>5</v>
      </c>
      <c r="M359" s="32" t="s">
        <v>5421</v>
      </c>
      <c r="N359" s="32" t="s">
        <v>45</v>
      </c>
    </row>
    <row r="360" spans="1:14" s="32" customFormat="1" hidden="1" x14ac:dyDescent="0.3">
      <c r="A360" s="39">
        <v>46198.356631944444</v>
      </c>
      <c r="B360" s="32">
        <v>44999497001</v>
      </c>
      <c r="C360" s="32" t="s">
        <v>44</v>
      </c>
      <c r="D360" s="32">
        <v>4430265054</v>
      </c>
      <c r="E360" s="32">
        <v>148</v>
      </c>
      <c r="F360" s="32">
        <v>74</v>
      </c>
      <c r="G360" s="32" t="s">
        <v>38</v>
      </c>
      <c r="H360" s="32" t="s">
        <v>5777</v>
      </c>
      <c r="I360" s="32" t="s">
        <v>39</v>
      </c>
      <c r="J360" s="32" t="s">
        <v>40</v>
      </c>
      <c r="K360" s="32" t="s">
        <v>41</v>
      </c>
      <c r="M360" s="32" t="s">
        <v>5416</v>
      </c>
      <c r="N360" s="32" t="s">
        <v>44</v>
      </c>
    </row>
    <row r="361" spans="1:14" s="32" customFormat="1" hidden="1" x14ac:dyDescent="0.3">
      <c r="A361" s="39">
        <v>46197.745983796296</v>
      </c>
      <c r="B361" s="32" t="s">
        <v>37</v>
      </c>
      <c r="C361" s="32">
        <v>11934552189</v>
      </c>
      <c r="E361" s="32">
        <v>8</v>
      </c>
      <c r="F361" s="32">
        <v>0</v>
      </c>
      <c r="G361" s="32" t="s">
        <v>47</v>
      </c>
      <c r="H361" s="32" t="s">
        <v>5778</v>
      </c>
      <c r="I361" s="32" t="s">
        <v>46</v>
      </c>
      <c r="J361" s="32" t="s">
        <v>40</v>
      </c>
      <c r="M361" s="32" t="s">
        <v>5410</v>
      </c>
      <c r="N361" s="32" t="s">
        <v>37</v>
      </c>
    </row>
    <row r="362" spans="1:14" s="32" customFormat="1" hidden="1" x14ac:dyDescent="0.3">
      <c r="A362" s="39">
        <v>46197.745775462965</v>
      </c>
      <c r="B362" s="32" t="s">
        <v>37</v>
      </c>
      <c r="C362" s="32">
        <v>11934552189</v>
      </c>
      <c r="E362" s="32">
        <v>3</v>
      </c>
      <c r="F362" s="32">
        <v>0</v>
      </c>
      <c r="G362" s="32" t="s">
        <v>47</v>
      </c>
      <c r="H362" s="32" t="s">
        <v>5779</v>
      </c>
      <c r="I362" s="32" t="s">
        <v>46</v>
      </c>
      <c r="J362" s="32" t="s">
        <v>40</v>
      </c>
      <c r="M362" s="32" t="s">
        <v>5410</v>
      </c>
      <c r="N362" s="32" t="s">
        <v>37</v>
      </c>
    </row>
    <row r="363" spans="1:14" s="32" customFormat="1" hidden="1" x14ac:dyDescent="0.3">
      <c r="A363" s="39">
        <v>46197.745671296296</v>
      </c>
      <c r="B363" s="32" t="s">
        <v>37</v>
      </c>
      <c r="C363" s="32">
        <v>11934552189</v>
      </c>
      <c r="E363" s="32">
        <v>7</v>
      </c>
      <c r="F363" s="32">
        <v>0</v>
      </c>
      <c r="G363" s="32" t="s">
        <v>47</v>
      </c>
      <c r="H363" s="32" t="s">
        <v>5780</v>
      </c>
      <c r="I363" s="32" t="s">
        <v>46</v>
      </c>
      <c r="J363" s="32" t="s">
        <v>40</v>
      </c>
      <c r="M363" s="32" t="s">
        <v>5410</v>
      </c>
      <c r="N363" s="32" t="s">
        <v>37</v>
      </c>
    </row>
    <row r="364" spans="1:14" s="32" customFormat="1" hidden="1" x14ac:dyDescent="0.3">
      <c r="A364" s="39">
        <v>46197.729178240741</v>
      </c>
      <c r="B364" s="32" t="s">
        <v>45</v>
      </c>
      <c r="C364" s="32">
        <v>44998640313</v>
      </c>
      <c r="E364" s="32">
        <v>9</v>
      </c>
      <c r="F364" s="32">
        <v>0</v>
      </c>
      <c r="G364" s="32" t="s">
        <v>47</v>
      </c>
      <c r="H364" s="32" t="s">
        <v>5781</v>
      </c>
      <c r="I364" s="32" t="s">
        <v>46</v>
      </c>
      <c r="J364" s="32" t="s">
        <v>40</v>
      </c>
      <c r="M364" s="32" t="s">
        <v>5421</v>
      </c>
      <c r="N364" s="32" t="s">
        <v>45</v>
      </c>
    </row>
    <row r="365" spans="1:14" s="32" customFormat="1" hidden="1" x14ac:dyDescent="0.3">
      <c r="A365" s="39">
        <v>46197.726886574077</v>
      </c>
      <c r="B365" s="32">
        <v>4430191401</v>
      </c>
      <c r="C365" s="32" t="s">
        <v>44</v>
      </c>
      <c r="D365" s="32">
        <v>4430265054</v>
      </c>
      <c r="E365" s="32">
        <v>440</v>
      </c>
      <c r="F365" s="32">
        <v>336</v>
      </c>
      <c r="G365" s="32" t="s">
        <v>38</v>
      </c>
      <c r="H365" s="32" t="s">
        <v>5782</v>
      </c>
      <c r="I365" s="32" t="s">
        <v>39</v>
      </c>
      <c r="J365" s="32" t="s">
        <v>40</v>
      </c>
      <c r="K365" s="32" t="s">
        <v>41</v>
      </c>
      <c r="L365" s="32">
        <v>5</v>
      </c>
      <c r="M365" s="32" t="s">
        <v>5416</v>
      </c>
      <c r="N365" s="32" t="s">
        <v>44</v>
      </c>
    </row>
    <row r="366" spans="1:14" s="32" customFormat="1" hidden="1" x14ac:dyDescent="0.3">
      <c r="A366" s="39">
        <v>46197.72111111111</v>
      </c>
      <c r="B366" s="32">
        <v>77999250878</v>
      </c>
      <c r="C366" s="32" t="s">
        <v>37</v>
      </c>
      <c r="D366" s="32">
        <v>4430265054</v>
      </c>
      <c r="E366" s="32">
        <v>332</v>
      </c>
      <c r="F366" s="32">
        <v>280</v>
      </c>
      <c r="G366" s="32" t="s">
        <v>38</v>
      </c>
      <c r="H366" s="32" t="s">
        <v>5783</v>
      </c>
      <c r="I366" s="32" t="s">
        <v>39</v>
      </c>
      <c r="J366" s="32" t="s">
        <v>40</v>
      </c>
      <c r="K366" s="32" t="s">
        <v>41</v>
      </c>
      <c r="M366" s="32" t="s">
        <v>5410</v>
      </c>
      <c r="N366" s="32" t="s">
        <v>37</v>
      </c>
    </row>
    <row r="367" spans="1:14" s="32" customFormat="1" hidden="1" x14ac:dyDescent="0.3">
      <c r="A367" s="39">
        <v>46197.720532407409</v>
      </c>
      <c r="B367" s="32">
        <v>77999250878</v>
      </c>
      <c r="C367" s="32">
        <v>4430265054</v>
      </c>
      <c r="D367" s="32">
        <v>4430265054</v>
      </c>
      <c r="E367" s="32">
        <v>39</v>
      </c>
      <c r="F367" s="32">
        <v>38</v>
      </c>
      <c r="G367" s="32" t="s">
        <v>52</v>
      </c>
      <c r="H367" s="32" t="s">
        <v>5784</v>
      </c>
      <c r="I367" s="32" t="s">
        <v>39</v>
      </c>
      <c r="J367" s="32" t="s">
        <v>53</v>
      </c>
      <c r="K367" s="32" t="s">
        <v>41</v>
      </c>
    </row>
    <row r="368" spans="1:14" s="32" customFormat="1" hidden="1" x14ac:dyDescent="0.3">
      <c r="A368" s="39">
        <v>46197.711539351854</v>
      </c>
      <c r="B368" s="32">
        <v>44999178521</v>
      </c>
      <c r="C368" s="32" t="s">
        <v>37</v>
      </c>
      <c r="D368" s="32">
        <v>4430265054</v>
      </c>
      <c r="E368" s="32">
        <v>607</v>
      </c>
      <c r="F368" s="32">
        <v>520</v>
      </c>
      <c r="G368" s="32" t="s">
        <v>38</v>
      </c>
      <c r="H368" s="32" t="s">
        <v>5785</v>
      </c>
      <c r="I368" s="32" t="s">
        <v>39</v>
      </c>
      <c r="J368" s="32" t="s">
        <v>40</v>
      </c>
      <c r="K368" s="32" t="s">
        <v>41</v>
      </c>
      <c r="M368" s="32" t="s">
        <v>5410</v>
      </c>
      <c r="N368" s="32" t="s">
        <v>37</v>
      </c>
    </row>
    <row r="369" spans="1:14" s="32" customFormat="1" hidden="1" x14ac:dyDescent="0.3">
      <c r="A369" s="39">
        <v>46197.704351851855</v>
      </c>
      <c r="B369" s="32">
        <v>44998068281</v>
      </c>
      <c r="C369" s="32">
        <v>4430265054</v>
      </c>
      <c r="D369" s="32">
        <v>4430265054</v>
      </c>
      <c r="E369" s="32">
        <v>108</v>
      </c>
      <c r="F369" s="32">
        <v>108</v>
      </c>
      <c r="G369" s="32" t="s">
        <v>52</v>
      </c>
      <c r="H369" s="32" t="s">
        <v>5786</v>
      </c>
      <c r="I369" s="32" t="s">
        <v>39</v>
      </c>
      <c r="J369" s="32" t="s">
        <v>53</v>
      </c>
      <c r="K369" s="32" t="s">
        <v>41</v>
      </c>
    </row>
    <row r="370" spans="1:14" s="32" customFormat="1" hidden="1" x14ac:dyDescent="0.3">
      <c r="A370" s="39">
        <v>46197.704236111109</v>
      </c>
      <c r="B370" s="32">
        <v>44998068281</v>
      </c>
      <c r="C370" s="32">
        <v>4430265054</v>
      </c>
      <c r="D370" s="32">
        <v>4430265054</v>
      </c>
      <c r="E370" s="32">
        <v>1</v>
      </c>
      <c r="F370" s="32">
        <v>1</v>
      </c>
      <c r="G370" s="32" t="s">
        <v>52</v>
      </c>
      <c r="H370" s="32" t="s">
        <v>5787</v>
      </c>
      <c r="I370" s="32" t="s">
        <v>39</v>
      </c>
      <c r="J370" s="32" t="s">
        <v>53</v>
      </c>
    </row>
    <row r="371" spans="1:14" s="32" customFormat="1" hidden="1" x14ac:dyDescent="0.3">
      <c r="A371" s="39">
        <v>46197.698541666665</v>
      </c>
      <c r="B371" s="32">
        <v>44998640313</v>
      </c>
      <c r="C371" s="32" t="s">
        <v>45</v>
      </c>
      <c r="D371" s="32">
        <v>4430265054</v>
      </c>
      <c r="E371" s="32">
        <v>2630</v>
      </c>
      <c r="F371" s="32">
        <v>2503</v>
      </c>
      <c r="G371" s="32" t="s">
        <v>38</v>
      </c>
      <c r="H371" s="32" t="s">
        <v>5788</v>
      </c>
      <c r="I371" s="32" t="s">
        <v>39</v>
      </c>
      <c r="J371" s="32" t="s">
        <v>40</v>
      </c>
      <c r="K371" s="32" t="s">
        <v>41</v>
      </c>
      <c r="M371" s="32" t="s">
        <v>5421</v>
      </c>
      <c r="N371" s="32" t="s">
        <v>45</v>
      </c>
    </row>
    <row r="372" spans="1:14" s="32" customFormat="1" hidden="1" x14ac:dyDescent="0.3">
      <c r="A372" s="39">
        <v>46197.698275462964</v>
      </c>
      <c r="B372" s="32">
        <v>44998068281</v>
      </c>
      <c r="C372" s="32">
        <v>4430265054</v>
      </c>
      <c r="D372" s="32">
        <v>4430265054</v>
      </c>
      <c r="E372" s="32">
        <v>108</v>
      </c>
      <c r="F372" s="32">
        <v>107</v>
      </c>
      <c r="G372" s="32" t="s">
        <v>52</v>
      </c>
      <c r="H372" s="32" t="s">
        <v>5789</v>
      </c>
      <c r="I372" s="32" t="s">
        <v>39</v>
      </c>
      <c r="J372" s="32" t="s">
        <v>53</v>
      </c>
      <c r="K372" s="32" t="s">
        <v>41</v>
      </c>
    </row>
    <row r="373" spans="1:14" s="32" customFormat="1" hidden="1" x14ac:dyDescent="0.3">
      <c r="A373" s="39">
        <v>46197.698148148149</v>
      </c>
      <c r="B373" s="32">
        <v>44998068281</v>
      </c>
      <c r="C373" s="32">
        <v>4430265054</v>
      </c>
      <c r="D373" s="32">
        <v>4430265054</v>
      </c>
      <c r="E373" s="32">
        <v>0</v>
      </c>
      <c r="F373" s="32">
        <v>0</v>
      </c>
      <c r="G373" s="32" t="s">
        <v>47</v>
      </c>
      <c r="H373" s="32" t="s">
        <v>5790</v>
      </c>
      <c r="I373" s="32" t="s">
        <v>39</v>
      </c>
      <c r="J373" s="32" t="s">
        <v>53</v>
      </c>
    </row>
    <row r="374" spans="1:14" s="32" customFormat="1" hidden="1" x14ac:dyDescent="0.3">
      <c r="A374" s="39">
        <v>46197.681018518517</v>
      </c>
      <c r="B374" s="32">
        <v>44998640313</v>
      </c>
      <c r="C374" s="32" t="s">
        <v>44</v>
      </c>
      <c r="D374" s="32">
        <v>4430265054</v>
      </c>
      <c r="E374" s="32">
        <v>382</v>
      </c>
      <c r="F374" s="32">
        <v>298</v>
      </c>
      <c r="G374" s="32" t="s">
        <v>38</v>
      </c>
      <c r="H374" s="32" t="s">
        <v>5791</v>
      </c>
      <c r="I374" s="32" t="s">
        <v>39</v>
      </c>
      <c r="J374" s="32" t="s">
        <v>40</v>
      </c>
      <c r="K374" s="32" t="s">
        <v>41</v>
      </c>
      <c r="M374" s="32" t="s">
        <v>5416</v>
      </c>
      <c r="N374" s="32" t="s">
        <v>44</v>
      </c>
    </row>
    <row r="375" spans="1:14" s="32" customFormat="1" hidden="1" x14ac:dyDescent="0.3">
      <c r="A375" s="39">
        <v>46197.678506944445</v>
      </c>
      <c r="B375" s="32" t="s">
        <v>45</v>
      </c>
      <c r="C375" s="32">
        <v>44999451200</v>
      </c>
      <c r="E375" s="32">
        <v>137</v>
      </c>
      <c r="F375" s="32">
        <v>117</v>
      </c>
      <c r="G375" s="32" t="s">
        <v>38</v>
      </c>
      <c r="H375" s="32" t="s">
        <v>5792</v>
      </c>
      <c r="I375" s="32" t="s">
        <v>46</v>
      </c>
      <c r="J375" s="32" t="s">
        <v>40</v>
      </c>
      <c r="M375" s="32" t="s">
        <v>5421</v>
      </c>
      <c r="N375" s="32" t="s">
        <v>45</v>
      </c>
    </row>
    <row r="376" spans="1:14" s="32" customFormat="1" hidden="1" x14ac:dyDescent="0.3">
      <c r="A376" s="39">
        <v>46197.678414351853</v>
      </c>
      <c r="B376" s="32" t="s">
        <v>45</v>
      </c>
      <c r="C376" s="32">
        <v>44999451200</v>
      </c>
      <c r="E376" s="32">
        <v>5</v>
      </c>
      <c r="F376" s="32">
        <v>0</v>
      </c>
      <c r="G376" s="32" t="s">
        <v>47</v>
      </c>
      <c r="H376" s="32" t="s">
        <v>5793</v>
      </c>
      <c r="I376" s="32" t="s">
        <v>46</v>
      </c>
      <c r="J376" s="32" t="s">
        <v>40</v>
      </c>
      <c r="M376" s="32" t="s">
        <v>5421</v>
      </c>
      <c r="N376" s="32" t="s">
        <v>45</v>
      </c>
    </row>
    <row r="377" spans="1:14" s="32" customFormat="1" hidden="1" x14ac:dyDescent="0.3">
      <c r="A377" s="39">
        <v>46197.677835648145</v>
      </c>
      <c r="B377" s="32">
        <v>44999451200</v>
      </c>
      <c r="C377" s="32" t="s">
        <v>45</v>
      </c>
      <c r="D377" s="32">
        <v>4430265054</v>
      </c>
      <c r="E377" s="32">
        <v>25</v>
      </c>
      <c r="F377" s="32">
        <v>5</v>
      </c>
      <c r="G377" s="32" t="s">
        <v>38</v>
      </c>
      <c r="H377" s="32" t="s">
        <v>5794</v>
      </c>
      <c r="I377" s="32" t="s">
        <v>39</v>
      </c>
      <c r="J377" s="32" t="s">
        <v>40</v>
      </c>
      <c r="K377" s="32" t="s">
        <v>41</v>
      </c>
      <c r="M377" s="32" t="s">
        <v>5421</v>
      </c>
      <c r="N377" s="32" t="s">
        <v>45</v>
      </c>
    </row>
    <row r="378" spans="1:14" s="32" customFormat="1" hidden="1" x14ac:dyDescent="0.3">
      <c r="A378" s="39">
        <v>46197.67769675926</v>
      </c>
      <c r="B378" s="32" t="s">
        <v>37</v>
      </c>
      <c r="C378" s="32">
        <v>4430315826</v>
      </c>
      <c r="E378" s="32">
        <v>1</v>
      </c>
      <c r="F378" s="32">
        <v>0</v>
      </c>
      <c r="G378" s="32" t="s">
        <v>47</v>
      </c>
      <c r="H378" s="32" t="s">
        <v>5795</v>
      </c>
      <c r="I378" s="32" t="s">
        <v>46</v>
      </c>
      <c r="J378" s="32" t="s">
        <v>40</v>
      </c>
      <c r="M378" s="32" t="s">
        <v>5410</v>
      </c>
      <c r="N378" s="32" t="s">
        <v>37</v>
      </c>
    </row>
    <row r="379" spans="1:14" s="32" customFormat="1" hidden="1" x14ac:dyDescent="0.3">
      <c r="A379" s="39">
        <v>46197.677118055559</v>
      </c>
      <c r="B379" s="32">
        <v>4430315826</v>
      </c>
      <c r="C379" s="32" t="s">
        <v>37</v>
      </c>
      <c r="D379" s="32">
        <v>4430265054</v>
      </c>
      <c r="E379" s="32">
        <v>1709</v>
      </c>
      <c r="F379" s="32">
        <v>1645</v>
      </c>
      <c r="G379" s="32" t="s">
        <v>38</v>
      </c>
      <c r="H379" s="32" t="s">
        <v>5796</v>
      </c>
      <c r="I379" s="32" t="s">
        <v>39</v>
      </c>
      <c r="J379" s="32" t="s">
        <v>40</v>
      </c>
      <c r="K379" s="32" t="s">
        <v>41</v>
      </c>
      <c r="L379" s="32">
        <v>5</v>
      </c>
      <c r="M379" s="32" t="s">
        <v>5410</v>
      </c>
      <c r="N379" s="32" t="s">
        <v>37</v>
      </c>
    </row>
    <row r="380" spans="1:14" s="32" customFormat="1" hidden="1" x14ac:dyDescent="0.3">
      <c r="A380" s="39">
        <v>46197.67701388889</v>
      </c>
      <c r="B380" s="32" t="s">
        <v>37</v>
      </c>
      <c r="C380" s="32">
        <v>4430315826</v>
      </c>
      <c r="E380" s="32">
        <v>1</v>
      </c>
      <c r="F380" s="32">
        <v>0</v>
      </c>
      <c r="G380" s="32" t="s">
        <v>47</v>
      </c>
      <c r="H380" s="32" t="s">
        <v>5797</v>
      </c>
      <c r="I380" s="32" t="s">
        <v>46</v>
      </c>
      <c r="J380" s="32" t="s">
        <v>40</v>
      </c>
      <c r="M380" s="32" t="s">
        <v>5410</v>
      </c>
      <c r="N380" s="32" t="s">
        <v>37</v>
      </c>
    </row>
    <row r="381" spans="1:14" s="32" customFormat="1" hidden="1" x14ac:dyDescent="0.3">
      <c r="A381" s="39">
        <v>46197.664675925924</v>
      </c>
      <c r="B381" s="32">
        <v>44999451200</v>
      </c>
      <c r="C381" s="32" t="s">
        <v>45</v>
      </c>
      <c r="D381" s="32">
        <v>4430265054</v>
      </c>
      <c r="E381" s="32">
        <v>301</v>
      </c>
      <c r="F381" s="32">
        <v>231</v>
      </c>
      <c r="G381" s="32" t="s">
        <v>38</v>
      </c>
      <c r="H381" s="32" t="s">
        <v>5798</v>
      </c>
      <c r="I381" s="32" t="s">
        <v>39</v>
      </c>
      <c r="J381" s="32" t="s">
        <v>40</v>
      </c>
      <c r="K381" s="32" t="s">
        <v>41</v>
      </c>
      <c r="M381" s="32" t="s">
        <v>5421</v>
      </c>
      <c r="N381" s="32" t="s">
        <v>45</v>
      </c>
    </row>
    <row r="382" spans="1:14" s="32" customFormat="1" hidden="1" x14ac:dyDescent="0.3">
      <c r="A382" s="39">
        <v>46197.663807870369</v>
      </c>
      <c r="B382" s="32">
        <v>44999451200</v>
      </c>
      <c r="C382" s="32" t="s">
        <v>45</v>
      </c>
      <c r="D382" s="32">
        <v>4430265054</v>
      </c>
      <c r="E382" s="32">
        <v>68</v>
      </c>
      <c r="F382" s="32">
        <v>28</v>
      </c>
      <c r="G382" s="32" t="s">
        <v>38</v>
      </c>
      <c r="H382" s="32" t="s">
        <v>5799</v>
      </c>
      <c r="I382" s="32" t="s">
        <v>39</v>
      </c>
      <c r="J382" s="32" t="s">
        <v>40</v>
      </c>
      <c r="K382" s="32" t="s">
        <v>41</v>
      </c>
      <c r="M382" s="32" t="s">
        <v>5421</v>
      </c>
      <c r="N382" s="32" t="s">
        <v>45</v>
      </c>
    </row>
    <row r="383" spans="1:14" s="32" customFormat="1" hidden="1" x14ac:dyDescent="0.3">
      <c r="A383" s="39">
        <v>46197.663680555554</v>
      </c>
      <c r="B383" s="32">
        <v>44999451200</v>
      </c>
      <c r="C383" s="32">
        <v>4430265054</v>
      </c>
      <c r="D383" s="32">
        <v>4430265054</v>
      </c>
      <c r="E383" s="32">
        <v>3</v>
      </c>
      <c r="F383" s="32">
        <v>3</v>
      </c>
      <c r="G383" s="32" t="s">
        <v>52</v>
      </c>
      <c r="H383" s="32" t="s">
        <v>5800</v>
      </c>
      <c r="I383" s="32" t="s">
        <v>39</v>
      </c>
      <c r="J383" s="32" t="s">
        <v>53</v>
      </c>
    </row>
    <row r="384" spans="1:14" s="32" customFormat="1" hidden="1" x14ac:dyDescent="0.3">
      <c r="A384" s="39">
        <v>46197.661087962966</v>
      </c>
      <c r="B384" s="32">
        <v>44998068281</v>
      </c>
      <c r="C384" s="32" t="s">
        <v>44</v>
      </c>
      <c r="D384" s="32">
        <v>4430265054</v>
      </c>
      <c r="E384" s="32">
        <v>459</v>
      </c>
      <c r="F384" s="32">
        <v>422</v>
      </c>
      <c r="G384" s="32" t="s">
        <v>38</v>
      </c>
      <c r="H384" s="32" t="s">
        <v>5801</v>
      </c>
      <c r="I384" s="32" t="s">
        <v>39</v>
      </c>
      <c r="J384" s="32" t="s">
        <v>40</v>
      </c>
      <c r="K384" s="32" t="s">
        <v>41</v>
      </c>
      <c r="M384" s="32" t="s">
        <v>5416</v>
      </c>
      <c r="N384" s="32" t="s">
        <v>44</v>
      </c>
    </row>
    <row r="385" spans="1:14" s="32" customFormat="1" hidden="1" x14ac:dyDescent="0.3">
      <c r="A385" s="39">
        <v>46197.658773148149</v>
      </c>
      <c r="B385" s="32">
        <v>4435226025</v>
      </c>
      <c r="C385" s="32" t="s">
        <v>48</v>
      </c>
      <c r="D385" s="32">
        <v>4430265054</v>
      </c>
      <c r="E385" s="32">
        <v>420</v>
      </c>
      <c r="F385" s="32">
        <v>380</v>
      </c>
      <c r="G385" s="32" t="s">
        <v>38</v>
      </c>
      <c r="H385" s="32" t="s">
        <v>5802</v>
      </c>
      <c r="I385" s="32" t="s">
        <v>39</v>
      </c>
      <c r="J385" s="32" t="s">
        <v>40</v>
      </c>
      <c r="K385" s="32" t="s">
        <v>41</v>
      </c>
      <c r="M385" s="32" t="s">
        <v>5412</v>
      </c>
      <c r="N385" s="32" t="s">
        <v>48</v>
      </c>
    </row>
    <row r="386" spans="1:14" s="32" customFormat="1" hidden="1" x14ac:dyDescent="0.3">
      <c r="A386" s="39">
        <v>46197.649930555555</v>
      </c>
      <c r="B386" s="32">
        <v>1128897100</v>
      </c>
      <c r="C386" s="32" t="s">
        <v>57</v>
      </c>
      <c r="D386" s="32">
        <v>4430265054</v>
      </c>
      <c r="E386" s="32">
        <v>82</v>
      </c>
      <c r="F386" s="32">
        <v>61</v>
      </c>
      <c r="G386" s="32" t="s">
        <v>38</v>
      </c>
      <c r="H386" s="32" t="s">
        <v>5803</v>
      </c>
      <c r="I386" s="32" t="s">
        <v>39</v>
      </c>
      <c r="J386" s="32" t="s">
        <v>55</v>
      </c>
      <c r="K386" s="32" t="s">
        <v>49</v>
      </c>
      <c r="M386" s="32" t="s">
        <v>5456</v>
      </c>
      <c r="N386" s="32" t="s">
        <v>57</v>
      </c>
    </row>
    <row r="387" spans="1:14" s="32" customFormat="1" hidden="1" x14ac:dyDescent="0.3">
      <c r="A387" s="39">
        <v>46197.646747685183</v>
      </c>
      <c r="B387" s="32" t="s">
        <v>45</v>
      </c>
      <c r="C387" s="32">
        <v>44999680829</v>
      </c>
      <c r="E387" s="32">
        <v>49</v>
      </c>
      <c r="F387" s="32">
        <v>36</v>
      </c>
      <c r="G387" s="32" t="s">
        <v>38</v>
      </c>
      <c r="H387" s="32" t="s">
        <v>5804</v>
      </c>
      <c r="I387" s="32" t="s">
        <v>46</v>
      </c>
      <c r="J387" s="32" t="s">
        <v>40</v>
      </c>
      <c r="M387" s="32" t="s">
        <v>5421</v>
      </c>
      <c r="N387" s="32" t="s">
        <v>45</v>
      </c>
    </row>
    <row r="388" spans="1:14" s="32" customFormat="1" hidden="1" x14ac:dyDescent="0.3">
      <c r="A388" s="39">
        <v>46197.646666666667</v>
      </c>
      <c r="B388" s="32" t="s">
        <v>45</v>
      </c>
      <c r="C388" s="32">
        <v>44999680829</v>
      </c>
      <c r="E388" s="32">
        <v>4</v>
      </c>
      <c r="F388" s="32">
        <v>0</v>
      </c>
      <c r="G388" s="32" t="s">
        <v>47</v>
      </c>
      <c r="H388" s="32" t="s">
        <v>5805</v>
      </c>
      <c r="I388" s="32" t="s">
        <v>46</v>
      </c>
      <c r="J388" s="32" t="s">
        <v>40</v>
      </c>
      <c r="M388" s="32" t="s">
        <v>5421</v>
      </c>
      <c r="N388" s="32" t="s">
        <v>45</v>
      </c>
    </row>
    <row r="389" spans="1:14" s="32" customFormat="1" hidden="1" x14ac:dyDescent="0.3">
      <c r="A389" s="39">
        <v>46197.646249999998</v>
      </c>
      <c r="B389" s="32">
        <v>4430450103</v>
      </c>
      <c r="C389" s="32" t="s">
        <v>44</v>
      </c>
      <c r="D389" s="32">
        <v>4430265054</v>
      </c>
      <c r="E389" s="32">
        <v>687</v>
      </c>
      <c r="F389" s="32">
        <v>610</v>
      </c>
      <c r="G389" s="32" t="s">
        <v>38</v>
      </c>
      <c r="H389" s="32" t="s">
        <v>5806</v>
      </c>
      <c r="I389" s="32" t="s">
        <v>39</v>
      </c>
      <c r="J389" s="32" t="s">
        <v>40</v>
      </c>
      <c r="K389" s="32" t="s">
        <v>41</v>
      </c>
      <c r="L389" s="32">
        <v>5</v>
      </c>
      <c r="M389" s="32" t="s">
        <v>5416</v>
      </c>
      <c r="N389" s="32" t="s">
        <v>44</v>
      </c>
    </row>
    <row r="390" spans="1:14" s="32" customFormat="1" hidden="1" x14ac:dyDescent="0.3">
      <c r="A390" s="39">
        <v>46197.645509259259</v>
      </c>
      <c r="B390" s="32">
        <v>4430315826</v>
      </c>
      <c r="C390" s="32" t="s">
        <v>37</v>
      </c>
      <c r="D390" s="32">
        <v>4430265054</v>
      </c>
      <c r="E390" s="32">
        <v>2700</v>
      </c>
      <c r="F390" s="32">
        <v>2588</v>
      </c>
      <c r="G390" s="32" t="s">
        <v>38</v>
      </c>
      <c r="H390" s="32" t="s">
        <v>5807</v>
      </c>
      <c r="I390" s="32" t="s">
        <v>39</v>
      </c>
      <c r="J390" s="32" t="s">
        <v>40</v>
      </c>
      <c r="K390" s="32" t="s">
        <v>41</v>
      </c>
      <c r="M390" s="32" t="s">
        <v>5410</v>
      </c>
      <c r="N390" s="32" t="s">
        <v>37</v>
      </c>
    </row>
    <row r="391" spans="1:14" s="32" customFormat="1" hidden="1" x14ac:dyDescent="0.3">
      <c r="A391" s="39">
        <v>46197.635659722226</v>
      </c>
      <c r="B391" s="32">
        <v>1128897100</v>
      </c>
      <c r="C391" s="32">
        <v>4430265054</v>
      </c>
      <c r="D391" s="32">
        <v>4430265054</v>
      </c>
      <c r="E391" s="32">
        <v>22</v>
      </c>
      <c r="F391" s="32">
        <v>22</v>
      </c>
      <c r="G391" s="32" t="s">
        <v>52</v>
      </c>
      <c r="H391" s="32" t="s">
        <v>5808</v>
      </c>
      <c r="I391" s="32" t="s">
        <v>39</v>
      </c>
      <c r="J391" s="32" t="s">
        <v>53</v>
      </c>
    </row>
    <row r="392" spans="1:14" s="32" customFormat="1" hidden="1" x14ac:dyDescent="0.3">
      <c r="A392" s="39">
        <v>46197.634675925925</v>
      </c>
      <c r="B392" s="32">
        <v>4430315826</v>
      </c>
      <c r="C392" s="32">
        <v>4430265054</v>
      </c>
      <c r="D392" s="32">
        <v>4430265054</v>
      </c>
      <c r="E392" s="32">
        <v>418</v>
      </c>
      <c r="F392" s="32">
        <v>418</v>
      </c>
      <c r="G392" s="32" t="s">
        <v>52</v>
      </c>
      <c r="H392" s="32" t="s">
        <v>5809</v>
      </c>
      <c r="I392" s="32" t="s">
        <v>39</v>
      </c>
      <c r="J392" s="32" t="s">
        <v>53</v>
      </c>
      <c r="K392" s="32" t="s">
        <v>41</v>
      </c>
    </row>
    <row r="393" spans="1:14" s="32" customFormat="1" hidden="1" x14ac:dyDescent="0.3">
      <c r="A393" s="39">
        <v>46197.634351851855</v>
      </c>
      <c r="B393" s="32">
        <v>44998107650</v>
      </c>
      <c r="C393" s="32" t="s">
        <v>48</v>
      </c>
      <c r="D393" s="32">
        <v>4431268225</v>
      </c>
      <c r="E393" s="32">
        <v>498</v>
      </c>
      <c r="F393" s="32">
        <v>152</v>
      </c>
      <c r="G393" s="32" t="s">
        <v>38</v>
      </c>
      <c r="H393" s="32" t="s">
        <v>5810</v>
      </c>
      <c r="I393" s="32" t="s">
        <v>39</v>
      </c>
      <c r="J393" s="32" t="s">
        <v>40</v>
      </c>
      <c r="K393" s="32" t="s">
        <v>41</v>
      </c>
      <c r="L393" s="32">
        <v>5</v>
      </c>
      <c r="M393" s="32" t="s">
        <v>5412</v>
      </c>
      <c r="N393" s="32" t="s">
        <v>48</v>
      </c>
    </row>
    <row r="394" spans="1:14" s="32" customFormat="1" hidden="1" x14ac:dyDescent="0.3">
      <c r="A394" s="39">
        <v>46197.633414351854</v>
      </c>
      <c r="B394" s="32">
        <v>44999680829</v>
      </c>
      <c r="C394" s="32" t="s">
        <v>44</v>
      </c>
      <c r="D394" s="32">
        <v>4431268225</v>
      </c>
      <c r="E394" s="32">
        <v>785</v>
      </c>
      <c r="F394" s="32">
        <v>720</v>
      </c>
      <c r="G394" s="32" t="s">
        <v>38</v>
      </c>
      <c r="H394" s="32" t="s">
        <v>5811</v>
      </c>
      <c r="I394" s="32" t="s">
        <v>39</v>
      </c>
      <c r="J394" s="32" t="s">
        <v>40</v>
      </c>
      <c r="K394" s="32" t="s">
        <v>41</v>
      </c>
      <c r="M394" s="32" t="s">
        <v>5416</v>
      </c>
      <c r="N394" s="32" t="s">
        <v>44</v>
      </c>
    </row>
    <row r="395" spans="1:14" s="32" customFormat="1" hidden="1" x14ac:dyDescent="0.3">
      <c r="A395" s="39">
        <v>46197.632453703707</v>
      </c>
      <c r="B395" s="32">
        <v>4430459032</v>
      </c>
      <c r="C395" s="32" t="s">
        <v>45</v>
      </c>
      <c r="D395" s="32">
        <v>4430265054</v>
      </c>
      <c r="E395" s="32">
        <v>949</v>
      </c>
      <c r="F395" s="32">
        <v>875</v>
      </c>
      <c r="G395" s="32" t="s">
        <v>38</v>
      </c>
      <c r="H395" s="32" t="s">
        <v>5812</v>
      </c>
      <c r="I395" s="32" t="s">
        <v>39</v>
      </c>
      <c r="J395" s="32" t="s">
        <v>40</v>
      </c>
      <c r="K395" s="32" t="s">
        <v>41</v>
      </c>
      <c r="L395" s="32">
        <v>5</v>
      </c>
      <c r="M395" s="32" t="s">
        <v>5421</v>
      </c>
      <c r="N395" s="32" t="s">
        <v>45</v>
      </c>
    </row>
    <row r="396" spans="1:14" s="32" customFormat="1" hidden="1" x14ac:dyDescent="0.3">
      <c r="A396" s="39">
        <v>46197.626550925925</v>
      </c>
      <c r="B396" s="32">
        <v>44991335798</v>
      </c>
      <c r="C396" s="32" t="s">
        <v>37</v>
      </c>
      <c r="D396" s="32">
        <v>4430265054</v>
      </c>
      <c r="E396" s="32">
        <v>1248</v>
      </c>
      <c r="F396" s="32">
        <v>1048</v>
      </c>
      <c r="G396" s="32" t="s">
        <v>38</v>
      </c>
      <c r="H396" s="32" t="s">
        <v>5813</v>
      </c>
      <c r="I396" s="32" t="s">
        <v>39</v>
      </c>
      <c r="J396" s="32" t="s">
        <v>40</v>
      </c>
      <c r="K396" s="32" t="s">
        <v>41</v>
      </c>
      <c r="M396" s="32" t="s">
        <v>5410</v>
      </c>
      <c r="N396" s="32" t="s">
        <v>37</v>
      </c>
    </row>
    <row r="397" spans="1:14" s="32" customFormat="1" hidden="1" x14ac:dyDescent="0.3">
      <c r="A397" s="39">
        <v>46197.62295138889</v>
      </c>
      <c r="B397" s="32">
        <v>44999680829</v>
      </c>
      <c r="C397" s="32" t="s">
        <v>45</v>
      </c>
      <c r="D397" s="32">
        <v>4431268225</v>
      </c>
      <c r="E397" s="32">
        <v>363</v>
      </c>
      <c r="F397" s="32">
        <v>265</v>
      </c>
      <c r="G397" s="32" t="s">
        <v>38</v>
      </c>
      <c r="H397" s="32" t="s">
        <v>5814</v>
      </c>
      <c r="I397" s="32" t="s">
        <v>39</v>
      </c>
      <c r="J397" s="32" t="s">
        <v>40</v>
      </c>
      <c r="K397" s="32" t="s">
        <v>41</v>
      </c>
      <c r="M397" s="32" t="s">
        <v>5421</v>
      </c>
      <c r="N397" s="32" t="s">
        <v>45</v>
      </c>
    </row>
    <row r="398" spans="1:14" s="32" customFormat="1" hidden="1" x14ac:dyDescent="0.3">
      <c r="A398" s="39">
        <v>46197.621203703704</v>
      </c>
      <c r="B398" s="32">
        <v>44999680829</v>
      </c>
      <c r="C398" s="32">
        <v>4431268225</v>
      </c>
      <c r="D398" s="32">
        <v>4431268225</v>
      </c>
      <c r="E398" s="32">
        <v>12</v>
      </c>
      <c r="F398" s="32">
        <v>11</v>
      </c>
      <c r="G398" s="32" t="s">
        <v>52</v>
      </c>
      <c r="H398" s="32" t="s">
        <v>5815</v>
      </c>
      <c r="I398" s="32" t="s">
        <v>39</v>
      </c>
      <c r="J398" s="32" t="s">
        <v>53</v>
      </c>
    </row>
    <row r="399" spans="1:14" s="32" customFormat="1" hidden="1" x14ac:dyDescent="0.3">
      <c r="A399" s="39">
        <v>46197.620347222219</v>
      </c>
      <c r="B399" s="32">
        <v>4430450103</v>
      </c>
      <c r="C399" s="32" t="s">
        <v>44</v>
      </c>
      <c r="D399" s="32">
        <v>4430265054</v>
      </c>
      <c r="E399" s="32">
        <v>675</v>
      </c>
      <c r="F399" s="32">
        <v>614</v>
      </c>
      <c r="G399" s="32" t="s">
        <v>38</v>
      </c>
      <c r="H399" s="32" t="s">
        <v>5816</v>
      </c>
      <c r="I399" s="32" t="s">
        <v>39</v>
      </c>
      <c r="J399" s="32" t="s">
        <v>40</v>
      </c>
      <c r="K399" s="32" t="s">
        <v>41</v>
      </c>
      <c r="L399" s="32">
        <v>5</v>
      </c>
      <c r="M399" s="32" t="s">
        <v>5416</v>
      </c>
      <c r="N399" s="32" t="s">
        <v>44</v>
      </c>
    </row>
    <row r="400" spans="1:14" s="32" customFormat="1" hidden="1" x14ac:dyDescent="0.3">
      <c r="A400" s="39">
        <v>46197.614745370367</v>
      </c>
      <c r="B400" s="32" t="s">
        <v>54</v>
      </c>
      <c r="C400" s="32">
        <v>44998020022</v>
      </c>
      <c r="E400" s="32">
        <v>26</v>
      </c>
      <c r="F400" s="32">
        <v>0</v>
      </c>
      <c r="G400" s="32" t="s">
        <v>47</v>
      </c>
      <c r="H400" s="32" t="s">
        <v>5817</v>
      </c>
      <c r="I400" s="32" t="s">
        <v>46</v>
      </c>
      <c r="J400" s="32" t="s">
        <v>55</v>
      </c>
      <c r="M400" s="32" t="s">
        <v>5537</v>
      </c>
      <c r="N400" s="32" t="s">
        <v>54</v>
      </c>
    </row>
    <row r="401" spans="1:14" s="32" customFormat="1" hidden="1" x14ac:dyDescent="0.3">
      <c r="A401" s="39">
        <v>46197.614687499998</v>
      </c>
      <c r="B401" s="32" t="s">
        <v>54</v>
      </c>
      <c r="C401" s="32">
        <v>44998020022</v>
      </c>
      <c r="E401" s="32">
        <v>0</v>
      </c>
      <c r="F401" s="32">
        <v>0</v>
      </c>
      <c r="G401" s="32" t="s">
        <v>47</v>
      </c>
      <c r="H401" s="32" t="s">
        <v>5818</v>
      </c>
      <c r="I401" s="32" t="s">
        <v>46</v>
      </c>
      <c r="J401" s="32" t="s">
        <v>55</v>
      </c>
      <c r="M401" s="32" t="s">
        <v>5537</v>
      </c>
      <c r="N401" s="32" t="s">
        <v>54</v>
      </c>
    </row>
    <row r="402" spans="1:14" s="32" customFormat="1" hidden="1" x14ac:dyDescent="0.3">
      <c r="A402" s="39">
        <v>46197.614155092589</v>
      </c>
      <c r="B402" s="32" t="s">
        <v>54</v>
      </c>
      <c r="C402" s="32">
        <v>4436291345</v>
      </c>
      <c r="E402" s="32">
        <v>8</v>
      </c>
      <c r="F402" s="32">
        <v>8</v>
      </c>
      <c r="G402" s="32" t="s">
        <v>38</v>
      </c>
      <c r="H402" s="32" t="s">
        <v>5819</v>
      </c>
      <c r="I402" s="32" t="s">
        <v>46</v>
      </c>
      <c r="J402" s="32" t="s">
        <v>55</v>
      </c>
      <c r="M402" s="32" t="s">
        <v>5537</v>
      </c>
      <c r="N402" s="32" t="s">
        <v>54</v>
      </c>
    </row>
    <row r="403" spans="1:14" s="32" customFormat="1" hidden="1" x14ac:dyDescent="0.3">
      <c r="A403" s="39">
        <v>46197.614074074074</v>
      </c>
      <c r="B403" s="32" t="s">
        <v>54</v>
      </c>
      <c r="C403" s="32">
        <v>4436291345</v>
      </c>
      <c r="E403" s="32">
        <v>0</v>
      </c>
      <c r="F403" s="32">
        <v>0</v>
      </c>
      <c r="G403" s="32" t="s">
        <v>47</v>
      </c>
      <c r="H403" s="32" t="s">
        <v>5820</v>
      </c>
      <c r="I403" s="32" t="s">
        <v>46</v>
      </c>
      <c r="J403" s="32" t="s">
        <v>55</v>
      </c>
      <c r="M403" s="32" t="s">
        <v>5537</v>
      </c>
      <c r="N403" s="32" t="s">
        <v>54</v>
      </c>
    </row>
    <row r="404" spans="1:14" s="32" customFormat="1" hidden="1" x14ac:dyDescent="0.3">
      <c r="A404" s="39">
        <v>46197.613877314812</v>
      </c>
      <c r="B404" s="32" t="s">
        <v>54</v>
      </c>
      <c r="C404" s="32">
        <v>4436291345</v>
      </c>
      <c r="E404" s="32">
        <v>14</v>
      </c>
      <c r="F404" s="32">
        <v>13</v>
      </c>
      <c r="G404" s="32" t="s">
        <v>38</v>
      </c>
      <c r="H404" s="32" t="s">
        <v>5821</v>
      </c>
      <c r="I404" s="32" t="s">
        <v>46</v>
      </c>
      <c r="J404" s="32" t="s">
        <v>55</v>
      </c>
      <c r="M404" s="32" t="s">
        <v>5537</v>
      </c>
      <c r="N404" s="32" t="s">
        <v>54</v>
      </c>
    </row>
    <row r="405" spans="1:14" s="32" customFormat="1" hidden="1" x14ac:dyDescent="0.3">
      <c r="A405" s="39">
        <v>46197.609571759262</v>
      </c>
      <c r="B405" s="32">
        <v>4432272377</v>
      </c>
      <c r="C405" s="32" t="s">
        <v>37</v>
      </c>
      <c r="D405" s="32">
        <v>4430265054</v>
      </c>
      <c r="E405" s="32">
        <v>891</v>
      </c>
      <c r="F405" s="32">
        <v>786</v>
      </c>
      <c r="G405" s="32" t="s">
        <v>38</v>
      </c>
      <c r="H405" s="32" t="s">
        <v>5822</v>
      </c>
      <c r="I405" s="32" t="s">
        <v>39</v>
      </c>
      <c r="J405" s="32" t="s">
        <v>40</v>
      </c>
      <c r="K405" s="32" t="s">
        <v>41</v>
      </c>
      <c r="M405" s="32" t="s">
        <v>5410</v>
      </c>
      <c r="N405" s="32" t="s">
        <v>37</v>
      </c>
    </row>
    <row r="406" spans="1:14" s="32" customFormat="1" hidden="1" x14ac:dyDescent="0.3">
      <c r="A406" s="39">
        <v>46197.605914351851</v>
      </c>
      <c r="B406" s="32">
        <v>4435226025</v>
      </c>
      <c r="C406" s="32" t="s">
        <v>48</v>
      </c>
      <c r="D406" s="32">
        <v>4430265054</v>
      </c>
      <c r="E406" s="32">
        <v>414</v>
      </c>
      <c r="F406" s="32">
        <v>413</v>
      </c>
      <c r="G406" s="32" t="s">
        <v>38</v>
      </c>
      <c r="H406" s="32" t="s">
        <v>5823</v>
      </c>
      <c r="I406" s="32" t="s">
        <v>39</v>
      </c>
      <c r="J406" s="32" t="s">
        <v>40</v>
      </c>
      <c r="K406" s="32" t="s">
        <v>41</v>
      </c>
      <c r="M406" s="32" t="s">
        <v>5412</v>
      </c>
      <c r="N406" s="32" t="s">
        <v>48</v>
      </c>
    </row>
    <row r="407" spans="1:14" s="32" customFormat="1" hidden="1" x14ac:dyDescent="0.3">
      <c r="A407" s="39">
        <v>46197.599722222221</v>
      </c>
      <c r="B407" s="32">
        <v>4430459032</v>
      </c>
      <c r="C407" s="32" t="s">
        <v>45</v>
      </c>
      <c r="D407" s="32">
        <v>4430265054</v>
      </c>
      <c r="E407" s="32">
        <v>1012</v>
      </c>
      <c r="F407" s="32">
        <v>958</v>
      </c>
      <c r="G407" s="32" t="s">
        <v>38</v>
      </c>
      <c r="H407" s="32" t="s">
        <v>5824</v>
      </c>
      <c r="I407" s="32" t="s">
        <v>39</v>
      </c>
      <c r="J407" s="32" t="s">
        <v>40</v>
      </c>
      <c r="K407" s="32" t="s">
        <v>41</v>
      </c>
      <c r="L407" s="32">
        <v>5</v>
      </c>
      <c r="M407" s="32" t="s">
        <v>5421</v>
      </c>
      <c r="N407" s="32" t="s">
        <v>45</v>
      </c>
    </row>
    <row r="408" spans="1:14" s="32" customFormat="1" hidden="1" x14ac:dyDescent="0.3">
      <c r="A408" s="39">
        <v>46197.593171296299</v>
      </c>
      <c r="B408" s="32">
        <v>65996747163</v>
      </c>
      <c r="C408" s="32">
        <v>4430265054</v>
      </c>
      <c r="D408" s="32">
        <v>4430265054</v>
      </c>
      <c r="E408" s="32">
        <v>61</v>
      </c>
      <c r="F408" s="32">
        <v>61</v>
      </c>
      <c r="G408" s="32" t="s">
        <v>52</v>
      </c>
      <c r="H408" s="32" t="s">
        <v>5825</v>
      </c>
      <c r="I408" s="32" t="s">
        <v>39</v>
      </c>
      <c r="J408" s="32" t="s">
        <v>53</v>
      </c>
      <c r="K408" s="32" t="s">
        <v>41</v>
      </c>
    </row>
    <row r="409" spans="1:14" s="32" customFormat="1" hidden="1" x14ac:dyDescent="0.3">
      <c r="A409" s="39">
        <v>46197.590150462966</v>
      </c>
      <c r="B409" s="32" t="s">
        <v>37</v>
      </c>
      <c r="C409" s="32">
        <v>4432697000</v>
      </c>
      <c r="E409" s="32">
        <v>1418</v>
      </c>
      <c r="F409" s="32">
        <v>1404</v>
      </c>
      <c r="G409" s="32" t="s">
        <v>38</v>
      </c>
      <c r="H409" s="32" t="s">
        <v>5826</v>
      </c>
      <c r="I409" s="32" t="s">
        <v>46</v>
      </c>
      <c r="J409" s="32" t="s">
        <v>40</v>
      </c>
      <c r="L409" s="32">
        <v>5</v>
      </c>
      <c r="M409" s="32" t="s">
        <v>5410</v>
      </c>
      <c r="N409" s="32" t="s">
        <v>37</v>
      </c>
    </row>
    <row r="410" spans="1:14" s="32" customFormat="1" hidden="1" x14ac:dyDescent="0.3">
      <c r="A410" s="39">
        <v>46197.589803240742</v>
      </c>
      <c r="B410" s="32">
        <v>44997270192</v>
      </c>
      <c r="C410" s="32" t="s">
        <v>54</v>
      </c>
      <c r="D410" s="32">
        <v>4430265054</v>
      </c>
      <c r="E410" s="32">
        <v>430</v>
      </c>
      <c r="F410" s="32">
        <v>363</v>
      </c>
      <c r="G410" s="32" t="s">
        <v>38</v>
      </c>
      <c r="H410" s="32" t="s">
        <v>5827</v>
      </c>
      <c r="I410" s="32" t="s">
        <v>39</v>
      </c>
      <c r="J410" s="32" t="s">
        <v>55</v>
      </c>
      <c r="K410" s="32" t="s">
        <v>49</v>
      </c>
      <c r="M410" s="32" t="s">
        <v>5537</v>
      </c>
      <c r="N410" s="32" t="s">
        <v>54</v>
      </c>
    </row>
    <row r="411" spans="1:14" s="32" customFormat="1" hidden="1" x14ac:dyDescent="0.3">
      <c r="A411" s="39">
        <v>46197.582048611112</v>
      </c>
      <c r="B411" s="32">
        <v>43984040334</v>
      </c>
      <c r="C411" s="32" t="s">
        <v>45</v>
      </c>
      <c r="D411" s="32">
        <v>4430265054</v>
      </c>
      <c r="E411" s="32">
        <v>742</v>
      </c>
      <c r="F411" s="32">
        <v>695</v>
      </c>
      <c r="G411" s="32" t="s">
        <v>38</v>
      </c>
      <c r="H411" s="32" t="s">
        <v>5828</v>
      </c>
      <c r="I411" s="32" t="s">
        <v>39</v>
      </c>
      <c r="J411" s="32" t="s">
        <v>40</v>
      </c>
      <c r="K411" s="32" t="s">
        <v>41</v>
      </c>
      <c r="L411" s="32">
        <v>5</v>
      </c>
      <c r="M411" s="32" t="s">
        <v>5421</v>
      </c>
      <c r="N411" s="32" t="s">
        <v>45</v>
      </c>
    </row>
    <row r="412" spans="1:14" s="32" customFormat="1" hidden="1" x14ac:dyDescent="0.3">
      <c r="A412" s="39">
        <v>46197.580925925926</v>
      </c>
      <c r="B412" s="32">
        <v>6234347959</v>
      </c>
      <c r="C412" s="32" t="s">
        <v>44</v>
      </c>
      <c r="D412" s="32">
        <v>4430265054</v>
      </c>
      <c r="E412" s="32">
        <v>457</v>
      </c>
      <c r="F412" s="32">
        <v>405</v>
      </c>
      <c r="G412" s="32" t="s">
        <v>38</v>
      </c>
      <c r="H412" s="32" t="s">
        <v>5829</v>
      </c>
      <c r="I412" s="32" t="s">
        <v>39</v>
      </c>
      <c r="J412" s="32" t="s">
        <v>40</v>
      </c>
      <c r="K412" s="32" t="s">
        <v>41</v>
      </c>
      <c r="M412" s="32" t="s">
        <v>5416</v>
      </c>
      <c r="N412" s="32" t="s">
        <v>44</v>
      </c>
    </row>
    <row r="413" spans="1:14" s="32" customFormat="1" hidden="1" x14ac:dyDescent="0.3">
      <c r="A413" s="39">
        <v>46197.571273148147</v>
      </c>
      <c r="B413" s="32">
        <v>44998849102</v>
      </c>
      <c r="C413" s="32" t="s">
        <v>37</v>
      </c>
      <c r="D413" s="32">
        <v>4430265054</v>
      </c>
      <c r="E413" s="32">
        <v>396</v>
      </c>
      <c r="F413" s="32">
        <v>306</v>
      </c>
      <c r="G413" s="32" t="s">
        <v>38</v>
      </c>
      <c r="H413" s="32" t="s">
        <v>5830</v>
      </c>
      <c r="I413" s="32" t="s">
        <v>39</v>
      </c>
      <c r="J413" s="32" t="s">
        <v>40</v>
      </c>
      <c r="K413" s="32" t="s">
        <v>41</v>
      </c>
      <c r="M413" s="32" t="s">
        <v>5410</v>
      </c>
      <c r="N413" s="32" t="s">
        <v>37</v>
      </c>
    </row>
    <row r="414" spans="1:14" s="32" customFormat="1" hidden="1" x14ac:dyDescent="0.3">
      <c r="A414" s="39">
        <v>46197.569861111115</v>
      </c>
      <c r="B414" s="32">
        <v>73982188717</v>
      </c>
      <c r="C414" s="32" t="s">
        <v>45</v>
      </c>
      <c r="D414" s="32">
        <v>4430265054</v>
      </c>
      <c r="E414" s="32">
        <v>806</v>
      </c>
      <c r="F414" s="32">
        <v>757</v>
      </c>
      <c r="G414" s="32" t="s">
        <v>38</v>
      </c>
      <c r="H414" s="32" t="s">
        <v>5831</v>
      </c>
      <c r="I414" s="32" t="s">
        <v>39</v>
      </c>
      <c r="J414" s="32" t="s">
        <v>40</v>
      </c>
      <c r="K414" s="32" t="s">
        <v>41</v>
      </c>
      <c r="M414" s="32" t="s">
        <v>5421</v>
      </c>
      <c r="N414" s="32" t="s">
        <v>45</v>
      </c>
    </row>
    <row r="415" spans="1:14" s="32" customFormat="1" hidden="1" x14ac:dyDescent="0.3">
      <c r="A415" s="39">
        <v>46197.56726851852</v>
      </c>
      <c r="B415" s="32">
        <v>44998640313</v>
      </c>
      <c r="C415" s="32" t="s">
        <v>57</v>
      </c>
      <c r="D415" s="32">
        <v>4430265054</v>
      </c>
      <c r="E415" s="32">
        <v>375</v>
      </c>
      <c r="F415" s="32">
        <v>328</v>
      </c>
      <c r="G415" s="32" t="s">
        <v>38</v>
      </c>
      <c r="H415" s="32" t="s">
        <v>5832</v>
      </c>
      <c r="I415" s="32" t="s">
        <v>39</v>
      </c>
      <c r="J415" s="32" t="s">
        <v>55</v>
      </c>
      <c r="K415" s="32" t="s">
        <v>49</v>
      </c>
      <c r="M415" s="32" t="s">
        <v>5456</v>
      </c>
      <c r="N415" s="32" t="s">
        <v>57</v>
      </c>
    </row>
    <row r="416" spans="1:14" s="32" customFormat="1" hidden="1" x14ac:dyDescent="0.3">
      <c r="A416" s="39">
        <v>46197.531458333331</v>
      </c>
      <c r="B416" s="32">
        <v>11934552189</v>
      </c>
      <c r="C416" s="32">
        <v>4430265054</v>
      </c>
      <c r="D416" s="32">
        <v>4430265054</v>
      </c>
      <c r="E416" s="32">
        <v>13</v>
      </c>
      <c r="F416" s="32">
        <v>13</v>
      </c>
      <c r="G416" s="32" t="s">
        <v>52</v>
      </c>
      <c r="H416" s="32" t="s">
        <v>5833</v>
      </c>
      <c r="I416" s="32" t="s">
        <v>39</v>
      </c>
      <c r="J416" s="32" t="s">
        <v>53</v>
      </c>
    </row>
    <row r="417" spans="1:14" s="32" customFormat="1" hidden="1" x14ac:dyDescent="0.3">
      <c r="A417" s="39">
        <v>46197.473310185182</v>
      </c>
      <c r="B417" s="32" t="s">
        <v>50</v>
      </c>
      <c r="C417" s="32" t="s">
        <v>57</v>
      </c>
      <c r="E417" s="32">
        <v>526</v>
      </c>
      <c r="F417" s="32">
        <v>523</v>
      </c>
      <c r="G417" s="32" t="s">
        <v>38</v>
      </c>
      <c r="H417" s="32" t="s">
        <v>5834</v>
      </c>
      <c r="I417" s="32" t="s">
        <v>51</v>
      </c>
      <c r="J417" s="32" t="s">
        <v>55</v>
      </c>
      <c r="M417" s="32" t="s">
        <v>5746</v>
      </c>
      <c r="N417" s="32" t="s">
        <v>50</v>
      </c>
    </row>
    <row r="418" spans="1:14" s="32" customFormat="1" hidden="1" x14ac:dyDescent="0.3">
      <c r="A418" s="39">
        <v>46197.472013888888</v>
      </c>
      <c r="B418" s="32">
        <v>4430289556</v>
      </c>
      <c r="C418" s="32" t="s">
        <v>44</v>
      </c>
      <c r="D418" s="32">
        <v>4430265054</v>
      </c>
      <c r="E418" s="32">
        <v>213</v>
      </c>
      <c r="F418" s="32">
        <v>110</v>
      </c>
      <c r="G418" s="32" t="s">
        <v>38</v>
      </c>
      <c r="H418" s="32" t="s">
        <v>5835</v>
      </c>
      <c r="I418" s="32" t="s">
        <v>39</v>
      </c>
      <c r="J418" s="32" t="s">
        <v>40</v>
      </c>
      <c r="K418" s="32" t="s">
        <v>41</v>
      </c>
      <c r="M418" s="32" t="s">
        <v>5416</v>
      </c>
      <c r="N418" s="32" t="s">
        <v>44</v>
      </c>
    </row>
    <row r="419" spans="1:14" s="32" customFormat="1" hidden="1" x14ac:dyDescent="0.3">
      <c r="A419" s="39">
        <v>46197.460960648146</v>
      </c>
      <c r="B419" s="32">
        <v>4436311970</v>
      </c>
      <c r="C419" s="32" t="s">
        <v>44</v>
      </c>
      <c r="D419" s="32">
        <v>4430265054</v>
      </c>
      <c r="E419" s="32">
        <v>270</v>
      </c>
      <c r="F419" s="32">
        <v>32</v>
      </c>
      <c r="G419" s="32" t="s">
        <v>38</v>
      </c>
      <c r="H419" s="32" t="s">
        <v>5836</v>
      </c>
      <c r="I419" s="32" t="s">
        <v>39</v>
      </c>
      <c r="J419" s="32" t="s">
        <v>40</v>
      </c>
      <c r="K419" s="32" t="s">
        <v>41</v>
      </c>
      <c r="M419" s="32" t="s">
        <v>5416</v>
      </c>
      <c r="N419" s="32" t="s">
        <v>44</v>
      </c>
    </row>
    <row r="420" spans="1:14" s="32" customFormat="1" hidden="1" x14ac:dyDescent="0.3">
      <c r="A420" s="39">
        <v>46197.455474537041</v>
      </c>
      <c r="B420" s="32">
        <v>41999717893</v>
      </c>
      <c r="C420" s="32" t="s">
        <v>37</v>
      </c>
      <c r="D420" s="32">
        <v>4430265054</v>
      </c>
      <c r="E420" s="32">
        <v>818</v>
      </c>
      <c r="F420" s="32">
        <v>716</v>
      </c>
      <c r="G420" s="32" t="s">
        <v>38</v>
      </c>
      <c r="H420" s="32" t="s">
        <v>5837</v>
      </c>
      <c r="I420" s="32" t="s">
        <v>39</v>
      </c>
      <c r="J420" s="32" t="s">
        <v>40</v>
      </c>
      <c r="K420" s="32" t="s">
        <v>41</v>
      </c>
      <c r="M420" s="32" t="s">
        <v>5410</v>
      </c>
      <c r="N420" s="32" t="s">
        <v>37</v>
      </c>
    </row>
    <row r="421" spans="1:14" s="32" customFormat="1" hidden="1" x14ac:dyDescent="0.3">
      <c r="A421" s="39">
        <v>46197.451273148145</v>
      </c>
      <c r="B421" s="32">
        <v>44999717086</v>
      </c>
      <c r="C421" s="32" t="s">
        <v>44</v>
      </c>
      <c r="D421" s="32">
        <v>4430265054</v>
      </c>
      <c r="E421" s="32">
        <v>999</v>
      </c>
      <c r="F421" s="32">
        <v>960</v>
      </c>
      <c r="G421" s="32" t="s">
        <v>38</v>
      </c>
      <c r="H421" s="32" t="s">
        <v>5838</v>
      </c>
      <c r="I421" s="32" t="s">
        <v>39</v>
      </c>
      <c r="J421" s="32" t="s">
        <v>40</v>
      </c>
      <c r="K421" s="32" t="s">
        <v>41</v>
      </c>
      <c r="L421" s="32">
        <v>5</v>
      </c>
      <c r="M421" s="32" t="s">
        <v>5416</v>
      </c>
      <c r="N421" s="32" t="s">
        <v>44</v>
      </c>
    </row>
    <row r="422" spans="1:14" s="32" customFormat="1" hidden="1" x14ac:dyDescent="0.3">
      <c r="A422" s="39">
        <v>46197.450960648152</v>
      </c>
      <c r="B422" s="32">
        <v>11934552189</v>
      </c>
      <c r="C422" s="32" t="s">
        <v>37</v>
      </c>
      <c r="D422" s="32">
        <v>4430265054</v>
      </c>
      <c r="E422" s="32">
        <v>700</v>
      </c>
      <c r="F422" s="32">
        <v>602</v>
      </c>
      <c r="G422" s="32" t="s">
        <v>38</v>
      </c>
      <c r="H422" s="32" t="s">
        <v>5839</v>
      </c>
      <c r="I422" s="32" t="s">
        <v>39</v>
      </c>
      <c r="J422" s="32" t="s">
        <v>40</v>
      </c>
      <c r="K422" s="32" t="s">
        <v>41</v>
      </c>
      <c r="L422" s="32">
        <v>5</v>
      </c>
      <c r="M422" s="32" t="s">
        <v>5410</v>
      </c>
      <c r="N422" s="32" t="s">
        <v>37</v>
      </c>
    </row>
    <row r="423" spans="1:14" s="32" customFormat="1" hidden="1" x14ac:dyDescent="0.3">
      <c r="A423" s="39">
        <v>46197.450023148151</v>
      </c>
      <c r="B423" s="32">
        <v>11934552189</v>
      </c>
      <c r="C423" s="32">
        <v>4430265054</v>
      </c>
      <c r="D423" s="32">
        <v>4430265054</v>
      </c>
      <c r="E423" s="32">
        <v>20</v>
      </c>
      <c r="F423" s="32">
        <v>20</v>
      </c>
      <c r="G423" s="32" t="s">
        <v>52</v>
      </c>
      <c r="H423" s="32" t="s">
        <v>5840</v>
      </c>
      <c r="I423" s="32" t="s">
        <v>39</v>
      </c>
      <c r="J423" s="32" t="s">
        <v>53</v>
      </c>
    </row>
    <row r="424" spans="1:14" s="32" customFormat="1" hidden="1" x14ac:dyDescent="0.3">
      <c r="A424" s="39">
        <v>46197.449791666666</v>
      </c>
      <c r="B424" s="32">
        <v>44997426611</v>
      </c>
      <c r="C424" s="32" t="s">
        <v>45</v>
      </c>
      <c r="D424" s="32">
        <v>4430265054</v>
      </c>
      <c r="E424" s="32">
        <v>724</v>
      </c>
      <c r="F424" s="32">
        <v>568</v>
      </c>
      <c r="G424" s="32" t="s">
        <v>38</v>
      </c>
      <c r="H424" s="32" t="s">
        <v>5841</v>
      </c>
      <c r="I424" s="32" t="s">
        <v>39</v>
      </c>
      <c r="J424" s="32" t="s">
        <v>40</v>
      </c>
      <c r="K424" s="32" t="s">
        <v>41</v>
      </c>
      <c r="M424" s="32" t="s">
        <v>5421</v>
      </c>
      <c r="N424" s="32" t="s">
        <v>45</v>
      </c>
    </row>
    <row r="425" spans="1:14" s="32" customFormat="1" hidden="1" x14ac:dyDescent="0.3">
      <c r="A425" s="39">
        <v>46197.446111111109</v>
      </c>
      <c r="B425" s="32" t="s">
        <v>50</v>
      </c>
      <c r="C425" s="32" t="s">
        <v>57</v>
      </c>
      <c r="E425" s="32">
        <v>7</v>
      </c>
      <c r="F425" s="32">
        <v>0</v>
      </c>
      <c r="G425" s="32" t="s">
        <v>47</v>
      </c>
      <c r="H425" s="32" t="s">
        <v>5842</v>
      </c>
      <c r="I425" s="32" t="s">
        <v>51</v>
      </c>
      <c r="J425" s="32" t="s">
        <v>55</v>
      </c>
      <c r="M425" s="32" t="s">
        <v>5746</v>
      </c>
      <c r="N425" s="32" t="s">
        <v>50</v>
      </c>
    </row>
    <row r="426" spans="1:14" s="32" customFormat="1" hidden="1" x14ac:dyDescent="0.3">
      <c r="A426" s="39">
        <v>46197.438090277778</v>
      </c>
      <c r="B426" s="32">
        <v>4432272377</v>
      </c>
      <c r="C426" s="32" t="s">
        <v>44</v>
      </c>
      <c r="D426" s="32">
        <v>4430265054</v>
      </c>
      <c r="E426" s="32">
        <v>316</v>
      </c>
      <c r="F426" s="32">
        <v>237</v>
      </c>
      <c r="G426" s="32" t="s">
        <v>38</v>
      </c>
      <c r="H426" s="32" t="s">
        <v>5843</v>
      </c>
      <c r="I426" s="32" t="s">
        <v>39</v>
      </c>
      <c r="J426" s="32" t="s">
        <v>40</v>
      </c>
      <c r="K426" s="32" t="s">
        <v>41</v>
      </c>
      <c r="M426" s="32" t="s">
        <v>5416</v>
      </c>
      <c r="N426" s="32" t="s">
        <v>44</v>
      </c>
    </row>
    <row r="427" spans="1:14" s="32" customFormat="1" hidden="1" x14ac:dyDescent="0.3">
      <c r="A427" s="39">
        <v>46197.433148148149</v>
      </c>
      <c r="B427" s="32" t="s">
        <v>45</v>
      </c>
      <c r="C427" s="32">
        <v>4432234544</v>
      </c>
      <c r="E427" s="32">
        <v>3</v>
      </c>
      <c r="F427" s="32">
        <v>0</v>
      </c>
      <c r="G427" s="32" t="s">
        <v>47</v>
      </c>
      <c r="H427" s="32" t="s">
        <v>5844</v>
      </c>
      <c r="I427" s="32" t="s">
        <v>46</v>
      </c>
      <c r="J427" s="32" t="s">
        <v>40</v>
      </c>
      <c r="M427" s="32" t="s">
        <v>5421</v>
      </c>
      <c r="N427" s="32" t="s">
        <v>45</v>
      </c>
    </row>
    <row r="428" spans="1:14" s="32" customFormat="1" hidden="1" x14ac:dyDescent="0.3">
      <c r="A428" s="39">
        <v>46197.433032407411</v>
      </c>
      <c r="B428" s="32" t="s">
        <v>45</v>
      </c>
      <c r="C428" s="32">
        <v>4432234544</v>
      </c>
      <c r="E428" s="32">
        <v>6</v>
      </c>
      <c r="F428" s="32">
        <v>0</v>
      </c>
      <c r="G428" s="32" t="s">
        <v>47</v>
      </c>
      <c r="H428" s="32" t="s">
        <v>5845</v>
      </c>
      <c r="I428" s="32" t="s">
        <v>46</v>
      </c>
      <c r="J428" s="32" t="s">
        <v>40</v>
      </c>
      <c r="M428" s="32" t="s">
        <v>5421</v>
      </c>
      <c r="N428" s="32" t="s">
        <v>45</v>
      </c>
    </row>
    <row r="429" spans="1:14" s="32" customFormat="1" hidden="1" x14ac:dyDescent="0.3">
      <c r="A429" s="39">
        <v>46197.43173611111</v>
      </c>
      <c r="B429" s="32" t="s">
        <v>45</v>
      </c>
      <c r="C429" s="32">
        <v>4432211744</v>
      </c>
      <c r="E429" s="32">
        <v>102</v>
      </c>
      <c r="F429" s="32">
        <v>0</v>
      </c>
      <c r="G429" s="32" t="s">
        <v>47</v>
      </c>
      <c r="H429" s="32" t="s">
        <v>5846</v>
      </c>
      <c r="I429" s="32" t="s">
        <v>46</v>
      </c>
      <c r="J429" s="32" t="s">
        <v>40</v>
      </c>
      <c r="M429" s="32" t="s">
        <v>5421</v>
      </c>
      <c r="N429" s="32" t="s">
        <v>45</v>
      </c>
    </row>
    <row r="430" spans="1:14" s="32" customFormat="1" hidden="1" x14ac:dyDescent="0.3">
      <c r="A430" s="39">
        <v>46197.430532407408</v>
      </c>
      <c r="B430" s="32" t="s">
        <v>45</v>
      </c>
      <c r="C430" s="32">
        <v>4430261318</v>
      </c>
      <c r="E430" s="32">
        <v>64</v>
      </c>
      <c r="F430" s="32">
        <v>31</v>
      </c>
      <c r="G430" s="32" t="s">
        <v>38</v>
      </c>
      <c r="H430" s="32" t="s">
        <v>5847</v>
      </c>
      <c r="I430" s="32" t="s">
        <v>46</v>
      </c>
      <c r="J430" s="32" t="s">
        <v>40</v>
      </c>
      <c r="M430" s="32" t="s">
        <v>5421</v>
      </c>
      <c r="N430" s="32" t="s">
        <v>45</v>
      </c>
    </row>
    <row r="431" spans="1:14" s="32" customFormat="1" hidden="1" x14ac:dyDescent="0.3">
      <c r="A431" s="39">
        <v>46197.429386574076</v>
      </c>
      <c r="B431" s="32">
        <v>44997450437</v>
      </c>
      <c r="C431" s="32" t="s">
        <v>37</v>
      </c>
      <c r="D431" s="32">
        <v>4430265054</v>
      </c>
      <c r="E431" s="32">
        <v>1383</v>
      </c>
      <c r="F431" s="32">
        <v>1326</v>
      </c>
      <c r="G431" s="32" t="s">
        <v>38</v>
      </c>
      <c r="H431" s="32" t="s">
        <v>5848</v>
      </c>
      <c r="I431" s="32" t="s">
        <v>39</v>
      </c>
      <c r="J431" s="32" t="s">
        <v>40</v>
      </c>
      <c r="K431" s="32" t="s">
        <v>41</v>
      </c>
      <c r="L431" s="32">
        <v>5</v>
      </c>
      <c r="M431" s="32" t="s">
        <v>5410</v>
      </c>
      <c r="N431" s="32" t="s">
        <v>37</v>
      </c>
    </row>
    <row r="432" spans="1:14" s="32" customFormat="1" hidden="1" x14ac:dyDescent="0.3">
      <c r="A432" s="39">
        <v>46197.424618055556</v>
      </c>
      <c r="B432" s="32" t="s">
        <v>45</v>
      </c>
      <c r="C432" s="32">
        <v>4430282545</v>
      </c>
      <c r="E432" s="32">
        <v>216</v>
      </c>
      <c r="F432" s="32">
        <v>190</v>
      </c>
      <c r="G432" s="32" t="s">
        <v>38</v>
      </c>
      <c r="H432" s="32" t="s">
        <v>5849</v>
      </c>
      <c r="I432" s="32" t="s">
        <v>46</v>
      </c>
      <c r="J432" s="32" t="s">
        <v>40</v>
      </c>
      <c r="M432" s="32" t="s">
        <v>5421</v>
      </c>
      <c r="N432" s="32" t="s">
        <v>45</v>
      </c>
    </row>
    <row r="433" spans="1:14" s="32" customFormat="1" hidden="1" x14ac:dyDescent="0.3">
      <c r="A433" s="39">
        <v>46197.420590277776</v>
      </c>
      <c r="B433" s="32" t="s">
        <v>54</v>
      </c>
      <c r="C433" s="32">
        <v>81989502369</v>
      </c>
      <c r="E433" s="32">
        <v>9</v>
      </c>
      <c r="F433" s="32">
        <v>3</v>
      </c>
      <c r="G433" s="32" t="s">
        <v>38</v>
      </c>
      <c r="H433" s="32" t="s">
        <v>5850</v>
      </c>
      <c r="I433" s="32" t="s">
        <v>46</v>
      </c>
      <c r="J433" s="32" t="s">
        <v>55</v>
      </c>
      <c r="M433" s="32" t="s">
        <v>5537</v>
      </c>
      <c r="N433" s="32" t="s">
        <v>54</v>
      </c>
    </row>
    <row r="434" spans="1:14" s="32" customFormat="1" hidden="1" x14ac:dyDescent="0.3">
      <c r="A434" s="39">
        <v>46197.420532407406</v>
      </c>
      <c r="B434" s="32">
        <v>44999497001</v>
      </c>
      <c r="C434" s="32" t="s">
        <v>48</v>
      </c>
      <c r="D434" s="32">
        <v>4430265054</v>
      </c>
      <c r="E434" s="32">
        <v>320</v>
      </c>
      <c r="F434" s="32">
        <v>294</v>
      </c>
      <c r="G434" s="32" t="s">
        <v>38</v>
      </c>
      <c r="H434" s="32" t="s">
        <v>5851</v>
      </c>
      <c r="I434" s="32" t="s">
        <v>39</v>
      </c>
      <c r="J434" s="32" t="s">
        <v>40</v>
      </c>
      <c r="K434" s="32" t="s">
        <v>41</v>
      </c>
      <c r="M434" s="32" t="s">
        <v>5412</v>
      </c>
      <c r="N434" s="32" t="s">
        <v>48</v>
      </c>
    </row>
    <row r="435" spans="1:14" s="32" customFormat="1" hidden="1" x14ac:dyDescent="0.3">
      <c r="A435" s="39">
        <v>46197.419791666667</v>
      </c>
      <c r="B435" s="32">
        <v>4430450103</v>
      </c>
      <c r="C435" s="32" t="s">
        <v>37</v>
      </c>
      <c r="D435" s="32">
        <v>4430265054</v>
      </c>
      <c r="E435" s="32">
        <v>405</v>
      </c>
      <c r="F435" s="32">
        <v>306</v>
      </c>
      <c r="G435" s="32" t="s">
        <v>38</v>
      </c>
      <c r="H435" s="32" t="s">
        <v>5852</v>
      </c>
      <c r="I435" s="32" t="s">
        <v>39</v>
      </c>
      <c r="J435" s="32" t="s">
        <v>40</v>
      </c>
      <c r="K435" s="32" t="s">
        <v>41</v>
      </c>
      <c r="L435" s="32">
        <v>5</v>
      </c>
      <c r="M435" s="32" t="s">
        <v>5410</v>
      </c>
      <c r="N435" s="32" t="s">
        <v>37</v>
      </c>
    </row>
    <row r="436" spans="1:14" s="32" customFormat="1" hidden="1" x14ac:dyDescent="0.3">
      <c r="A436" s="39">
        <v>46197.419548611113</v>
      </c>
      <c r="B436" s="32" t="s">
        <v>54</v>
      </c>
      <c r="C436" s="32">
        <v>99991707676</v>
      </c>
      <c r="E436" s="32">
        <v>14</v>
      </c>
      <c r="F436" s="32">
        <v>2</v>
      </c>
      <c r="G436" s="32" t="s">
        <v>38</v>
      </c>
      <c r="H436" s="32" t="s">
        <v>5853</v>
      </c>
      <c r="I436" s="32" t="s">
        <v>46</v>
      </c>
      <c r="J436" s="32" t="s">
        <v>55</v>
      </c>
      <c r="M436" s="32" t="s">
        <v>5537</v>
      </c>
      <c r="N436" s="32" t="s">
        <v>54</v>
      </c>
    </row>
    <row r="437" spans="1:14" s="32" customFormat="1" hidden="1" x14ac:dyDescent="0.3">
      <c r="A437" s="39">
        <v>46197.418530092589</v>
      </c>
      <c r="B437" s="32" t="s">
        <v>54</v>
      </c>
      <c r="C437" s="32">
        <v>11950632051</v>
      </c>
      <c r="E437" s="32">
        <v>11</v>
      </c>
      <c r="F437" s="32">
        <v>0</v>
      </c>
      <c r="G437" s="32" t="s">
        <v>47</v>
      </c>
      <c r="H437" s="32" t="s">
        <v>5854</v>
      </c>
      <c r="I437" s="32" t="s">
        <v>46</v>
      </c>
      <c r="J437" s="32" t="s">
        <v>55</v>
      </c>
      <c r="M437" s="32" t="s">
        <v>5537</v>
      </c>
      <c r="N437" s="32" t="s">
        <v>54</v>
      </c>
    </row>
    <row r="438" spans="1:14" s="32" customFormat="1" hidden="1" x14ac:dyDescent="0.3">
      <c r="A438" s="39">
        <v>46197.416909722226</v>
      </c>
      <c r="B438" s="32">
        <v>4432325260</v>
      </c>
      <c r="C438" s="32" t="s">
        <v>44</v>
      </c>
      <c r="D438" s="32">
        <v>4430265054</v>
      </c>
      <c r="E438" s="32">
        <v>318</v>
      </c>
      <c r="F438" s="32">
        <v>275</v>
      </c>
      <c r="G438" s="32" t="s">
        <v>38</v>
      </c>
      <c r="H438" s="32" t="s">
        <v>5855</v>
      </c>
      <c r="I438" s="32" t="s">
        <v>39</v>
      </c>
      <c r="J438" s="32" t="s">
        <v>40</v>
      </c>
      <c r="K438" s="32" t="s">
        <v>41</v>
      </c>
      <c r="L438" s="32">
        <v>5</v>
      </c>
      <c r="M438" s="32" t="s">
        <v>5416</v>
      </c>
      <c r="N438" s="32" t="s">
        <v>44</v>
      </c>
    </row>
    <row r="439" spans="1:14" s="32" customFormat="1" hidden="1" x14ac:dyDescent="0.3">
      <c r="A439" s="39">
        <v>46197.406157407408</v>
      </c>
      <c r="B439" s="32">
        <v>4432264063</v>
      </c>
      <c r="C439" s="32" t="s">
        <v>48</v>
      </c>
      <c r="D439" s="32">
        <v>4430265054</v>
      </c>
      <c r="E439" s="32">
        <v>926</v>
      </c>
      <c r="F439" s="32">
        <v>926</v>
      </c>
      <c r="G439" s="32" t="s">
        <v>38</v>
      </c>
      <c r="H439" s="32" t="s">
        <v>5856</v>
      </c>
      <c r="I439" s="32" t="s">
        <v>39</v>
      </c>
      <c r="J439" s="32" t="s">
        <v>40</v>
      </c>
      <c r="K439" s="32" t="s">
        <v>41</v>
      </c>
      <c r="M439" s="32" t="s">
        <v>5412</v>
      </c>
      <c r="N439" s="32" t="s">
        <v>48</v>
      </c>
    </row>
    <row r="440" spans="1:14" s="32" customFormat="1" hidden="1" x14ac:dyDescent="0.3">
      <c r="A440" s="39">
        <v>46197.391238425924</v>
      </c>
      <c r="B440" s="32">
        <v>4434239353</v>
      </c>
      <c r="C440" s="32" t="s">
        <v>45</v>
      </c>
      <c r="D440" s="32">
        <v>4430265054</v>
      </c>
      <c r="E440" s="32">
        <v>1591</v>
      </c>
      <c r="F440" s="32">
        <v>1460</v>
      </c>
      <c r="G440" s="32" t="s">
        <v>38</v>
      </c>
      <c r="H440" s="32" t="s">
        <v>5857</v>
      </c>
      <c r="I440" s="32" t="s">
        <v>39</v>
      </c>
      <c r="J440" s="32" t="s">
        <v>40</v>
      </c>
      <c r="K440" s="32" t="s">
        <v>41</v>
      </c>
      <c r="L440" s="32">
        <v>5</v>
      </c>
      <c r="M440" s="32" t="s">
        <v>5421</v>
      </c>
      <c r="N440" s="32" t="s">
        <v>45</v>
      </c>
    </row>
    <row r="441" spans="1:14" s="32" customFormat="1" hidden="1" x14ac:dyDescent="0.3">
      <c r="A441" s="39">
        <v>46197.389849537038</v>
      </c>
      <c r="B441" s="32">
        <v>43999965552</v>
      </c>
      <c r="C441" s="32">
        <v>4430265054</v>
      </c>
      <c r="D441" s="32">
        <v>4430265054</v>
      </c>
      <c r="E441" s="32">
        <v>76</v>
      </c>
      <c r="F441" s="32">
        <v>75</v>
      </c>
      <c r="G441" s="32" t="s">
        <v>52</v>
      </c>
      <c r="H441" s="32" t="s">
        <v>5858</v>
      </c>
      <c r="I441" s="32" t="s">
        <v>39</v>
      </c>
      <c r="J441" s="32" t="s">
        <v>53</v>
      </c>
      <c r="K441" s="32" t="s">
        <v>41</v>
      </c>
    </row>
    <row r="442" spans="1:14" s="32" customFormat="1" hidden="1" x14ac:dyDescent="0.3">
      <c r="A442" s="39">
        <v>46197.380659722221</v>
      </c>
      <c r="B442" s="32" t="s">
        <v>54</v>
      </c>
      <c r="C442" s="32">
        <v>54996076308</v>
      </c>
      <c r="E442" s="32">
        <v>11</v>
      </c>
      <c r="F442" s="32">
        <v>0</v>
      </c>
      <c r="G442" s="32" t="s">
        <v>47</v>
      </c>
      <c r="H442" s="32" t="s">
        <v>5859</v>
      </c>
      <c r="I442" s="32" t="s">
        <v>46</v>
      </c>
      <c r="J442" s="32" t="s">
        <v>55</v>
      </c>
      <c r="M442" s="32" t="s">
        <v>5537</v>
      </c>
      <c r="N442" s="32" t="s">
        <v>54</v>
      </c>
    </row>
    <row r="443" spans="1:14" s="32" customFormat="1" hidden="1" x14ac:dyDescent="0.3">
      <c r="A443" s="39">
        <v>46197.370335648149</v>
      </c>
      <c r="B443" s="32">
        <v>4430284942</v>
      </c>
      <c r="C443" s="32" t="s">
        <v>37</v>
      </c>
      <c r="D443" s="32">
        <v>4430265054</v>
      </c>
      <c r="E443" s="32">
        <v>1064</v>
      </c>
      <c r="F443" s="32">
        <v>1036</v>
      </c>
      <c r="G443" s="32" t="s">
        <v>38</v>
      </c>
      <c r="H443" s="32" t="s">
        <v>5860</v>
      </c>
      <c r="I443" s="32" t="s">
        <v>39</v>
      </c>
      <c r="J443" s="32" t="s">
        <v>40</v>
      </c>
      <c r="K443" s="32" t="s">
        <v>41</v>
      </c>
      <c r="L443" s="32">
        <v>5</v>
      </c>
      <c r="M443" s="32" t="s">
        <v>5410</v>
      </c>
      <c r="N443" s="32" t="s">
        <v>37</v>
      </c>
    </row>
    <row r="444" spans="1:14" s="32" customFormat="1" hidden="1" x14ac:dyDescent="0.3">
      <c r="A444" s="39">
        <v>46197.36078703704</v>
      </c>
      <c r="B444" s="32">
        <v>35998295948</v>
      </c>
      <c r="C444" s="32" t="s">
        <v>45</v>
      </c>
      <c r="D444" s="32">
        <v>4430265054</v>
      </c>
      <c r="E444" s="32">
        <v>690</v>
      </c>
      <c r="F444" s="32">
        <v>590</v>
      </c>
      <c r="G444" s="32" t="s">
        <v>38</v>
      </c>
      <c r="H444" s="32" t="s">
        <v>5861</v>
      </c>
      <c r="I444" s="32" t="s">
        <v>39</v>
      </c>
      <c r="J444" s="32" t="s">
        <v>40</v>
      </c>
      <c r="K444" s="32" t="s">
        <v>41</v>
      </c>
      <c r="M444" s="32" t="s">
        <v>5421</v>
      </c>
      <c r="N444" s="32" t="s">
        <v>45</v>
      </c>
    </row>
    <row r="445" spans="1:14" s="32" customFormat="1" hidden="1" x14ac:dyDescent="0.3">
      <c r="A445" s="39">
        <v>46196.742361111108</v>
      </c>
      <c r="B445" s="32">
        <v>11934552189</v>
      </c>
      <c r="C445" s="32" t="s">
        <v>44</v>
      </c>
      <c r="D445" s="32">
        <v>4430265054</v>
      </c>
      <c r="E445" s="32">
        <v>412</v>
      </c>
      <c r="F445" s="32">
        <v>369</v>
      </c>
      <c r="G445" s="32" t="s">
        <v>38</v>
      </c>
      <c r="H445" s="32" t="s">
        <v>5862</v>
      </c>
      <c r="I445" s="32" t="s">
        <v>39</v>
      </c>
      <c r="J445" s="32" t="s">
        <v>40</v>
      </c>
      <c r="K445" s="32" t="s">
        <v>41</v>
      </c>
      <c r="M445" s="32" t="s">
        <v>5416</v>
      </c>
      <c r="N445" s="32" t="s">
        <v>44</v>
      </c>
    </row>
    <row r="446" spans="1:14" s="32" customFormat="1" hidden="1" x14ac:dyDescent="0.3">
      <c r="A446" s="39">
        <v>46196.736724537041</v>
      </c>
      <c r="B446" s="32">
        <v>4432272377</v>
      </c>
      <c r="C446" s="32" t="s">
        <v>37</v>
      </c>
      <c r="D446" s="32">
        <v>4430265054</v>
      </c>
      <c r="E446" s="32">
        <v>852</v>
      </c>
      <c r="F446" s="32">
        <v>812</v>
      </c>
      <c r="G446" s="32" t="s">
        <v>38</v>
      </c>
      <c r="H446" s="32" t="s">
        <v>5863</v>
      </c>
      <c r="I446" s="32" t="s">
        <v>39</v>
      </c>
      <c r="J446" s="32" t="s">
        <v>40</v>
      </c>
      <c r="K446" s="32" t="s">
        <v>41</v>
      </c>
      <c r="L446" s="32">
        <v>5</v>
      </c>
      <c r="M446" s="32" t="s">
        <v>5410</v>
      </c>
      <c r="N446" s="32" t="s">
        <v>37</v>
      </c>
    </row>
    <row r="447" spans="1:14" s="32" customFormat="1" hidden="1" x14ac:dyDescent="0.3">
      <c r="A447" s="39">
        <v>46196.724560185183</v>
      </c>
      <c r="B447" s="32" t="s">
        <v>48</v>
      </c>
      <c r="C447" s="32">
        <v>4432321324</v>
      </c>
      <c r="E447" s="32">
        <v>64</v>
      </c>
      <c r="F447" s="32">
        <v>53</v>
      </c>
      <c r="G447" s="32" t="s">
        <v>38</v>
      </c>
      <c r="H447" s="32" t="s">
        <v>5864</v>
      </c>
      <c r="I447" s="32" t="s">
        <v>46</v>
      </c>
      <c r="J447" s="32" t="s">
        <v>40</v>
      </c>
      <c r="M447" s="32" t="s">
        <v>5412</v>
      </c>
      <c r="N447" s="32" t="s">
        <v>48</v>
      </c>
    </row>
    <row r="448" spans="1:14" s="32" customFormat="1" hidden="1" x14ac:dyDescent="0.3">
      <c r="A448" s="39">
        <v>46196.720983796295</v>
      </c>
      <c r="B448" s="32">
        <v>4432321324</v>
      </c>
      <c r="C448" s="32">
        <v>4430265054</v>
      </c>
      <c r="D448" s="32">
        <v>4430265054</v>
      </c>
      <c r="E448" s="32">
        <v>57</v>
      </c>
      <c r="F448" s="32">
        <v>56</v>
      </c>
      <c r="G448" s="32" t="s">
        <v>52</v>
      </c>
      <c r="H448" s="32" t="s">
        <v>5865</v>
      </c>
      <c r="I448" s="32" t="s">
        <v>39</v>
      </c>
      <c r="J448" s="32" t="s">
        <v>53</v>
      </c>
      <c r="K448" s="32" t="s">
        <v>41</v>
      </c>
    </row>
    <row r="449" spans="1:14" s="32" customFormat="1" hidden="1" x14ac:dyDescent="0.3">
      <c r="A449" s="39">
        <v>46196.720393518517</v>
      </c>
      <c r="B449" s="32">
        <v>44997650834</v>
      </c>
      <c r="C449" s="32" t="s">
        <v>37</v>
      </c>
      <c r="D449" s="32">
        <v>4430265054</v>
      </c>
      <c r="E449" s="32">
        <v>608</v>
      </c>
      <c r="F449" s="32">
        <v>577</v>
      </c>
      <c r="G449" s="32" t="s">
        <v>38</v>
      </c>
      <c r="H449" s="32" t="s">
        <v>5866</v>
      </c>
      <c r="I449" s="32" t="s">
        <v>39</v>
      </c>
      <c r="J449" s="32" t="s">
        <v>40</v>
      </c>
      <c r="K449" s="32" t="s">
        <v>41</v>
      </c>
      <c r="L449" s="32">
        <v>5</v>
      </c>
      <c r="M449" s="32" t="s">
        <v>5410</v>
      </c>
      <c r="N449" s="32" t="s">
        <v>37</v>
      </c>
    </row>
    <row r="450" spans="1:14" s="32" customFormat="1" hidden="1" x14ac:dyDescent="0.3">
      <c r="A450" s="39">
        <v>46196.720370370371</v>
      </c>
      <c r="B450" s="32" t="s">
        <v>37</v>
      </c>
      <c r="C450" s="32">
        <v>44997650834</v>
      </c>
      <c r="E450" s="32">
        <v>7</v>
      </c>
      <c r="F450" s="32">
        <v>0</v>
      </c>
      <c r="G450" s="32" t="s">
        <v>47</v>
      </c>
      <c r="H450" s="32" t="s">
        <v>5867</v>
      </c>
      <c r="I450" s="32" t="s">
        <v>46</v>
      </c>
      <c r="J450" s="32" t="s">
        <v>40</v>
      </c>
      <c r="M450" s="32" t="s">
        <v>5410</v>
      </c>
      <c r="N450" s="32" t="s">
        <v>37</v>
      </c>
    </row>
    <row r="451" spans="1:14" s="32" customFormat="1" hidden="1" x14ac:dyDescent="0.3">
      <c r="A451" s="39">
        <v>46196.719039351854</v>
      </c>
      <c r="B451" s="32">
        <v>44997650834</v>
      </c>
      <c r="C451" s="32" t="s">
        <v>37</v>
      </c>
      <c r="D451" s="32">
        <v>4430265054</v>
      </c>
      <c r="E451" s="32">
        <v>102</v>
      </c>
      <c r="F451" s="32">
        <v>48</v>
      </c>
      <c r="G451" s="32" t="s">
        <v>38</v>
      </c>
      <c r="H451" s="32" t="s">
        <v>5868</v>
      </c>
      <c r="I451" s="32" t="s">
        <v>39</v>
      </c>
      <c r="J451" s="32" t="s">
        <v>40</v>
      </c>
      <c r="K451" s="32" t="s">
        <v>41</v>
      </c>
      <c r="M451" s="32" t="s">
        <v>5410</v>
      </c>
      <c r="N451" s="32" t="s">
        <v>37</v>
      </c>
    </row>
    <row r="452" spans="1:14" s="32" customFormat="1" hidden="1" x14ac:dyDescent="0.3">
      <c r="A452" s="39">
        <v>46196.718263888892</v>
      </c>
      <c r="B452" s="32" t="s">
        <v>37</v>
      </c>
      <c r="C452" s="32">
        <v>44997650834</v>
      </c>
      <c r="E452" s="32">
        <v>23</v>
      </c>
      <c r="F452" s="32">
        <v>0</v>
      </c>
      <c r="G452" s="32" t="s">
        <v>47</v>
      </c>
      <c r="H452" s="32" t="s">
        <v>5869</v>
      </c>
      <c r="I452" s="32" t="s">
        <v>46</v>
      </c>
      <c r="J452" s="32" t="s">
        <v>40</v>
      </c>
      <c r="M452" s="32" t="s">
        <v>5410</v>
      </c>
      <c r="N452" s="32" t="s">
        <v>37</v>
      </c>
    </row>
    <row r="453" spans="1:14" s="32" customFormat="1" hidden="1" x14ac:dyDescent="0.3">
      <c r="A453" s="39">
        <v>46196.717962962961</v>
      </c>
      <c r="B453" s="32" t="s">
        <v>37</v>
      </c>
      <c r="C453" s="32">
        <v>44997650834</v>
      </c>
      <c r="E453" s="32">
        <v>21</v>
      </c>
      <c r="F453" s="32">
        <v>0</v>
      </c>
      <c r="G453" s="32" t="s">
        <v>47</v>
      </c>
      <c r="H453" s="32" t="s">
        <v>5870</v>
      </c>
      <c r="I453" s="32" t="s">
        <v>46</v>
      </c>
      <c r="J453" s="32" t="s">
        <v>40</v>
      </c>
      <c r="M453" s="32" t="s">
        <v>5410</v>
      </c>
      <c r="N453" s="32" t="s">
        <v>37</v>
      </c>
    </row>
    <row r="454" spans="1:14" s="32" customFormat="1" hidden="1" x14ac:dyDescent="0.3">
      <c r="A454" s="39">
        <v>46196.717685185184</v>
      </c>
      <c r="B454" s="32" t="s">
        <v>37</v>
      </c>
      <c r="C454" s="32">
        <v>44997650834</v>
      </c>
      <c r="E454" s="32">
        <v>21</v>
      </c>
      <c r="F454" s="32">
        <v>0</v>
      </c>
      <c r="G454" s="32" t="s">
        <v>47</v>
      </c>
      <c r="H454" s="32" t="s">
        <v>5871</v>
      </c>
      <c r="I454" s="32" t="s">
        <v>46</v>
      </c>
      <c r="J454" s="32" t="s">
        <v>40</v>
      </c>
      <c r="M454" s="32" t="s">
        <v>5410</v>
      </c>
      <c r="N454" s="32" t="s">
        <v>37</v>
      </c>
    </row>
    <row r="455" spans="1:14" s="32" customFormat="1" hidden="1" x14ac:dyDescent="0.3">
      <c r="A455" s="39">
        <v>46196.712893518517</v>
      </c>
      <c r="B455" s="32">
        <v>4432321324</v>
      </c>
      <c r="C455" s="32" t="s">
        <v>44</v>
      </c>
      <c r="D455" s="32">
        <v>4430265054</v>
      </c>
      <c r="E455" s="32">
        <v>156</v>
      </c>
      <c r="F455" s="32">
        <v>115</v>
      </c>
      <c r="G455" s="32" t="s">
        <v>38</v>
      </c>
      <c r="H455" s="32" t="s">
        <v>5872</v>
      </c>
      <c r="I455" s="32" t="s">
        <v>39</v>
      </c>
      <c r="J455" s="32" t="s">
        <v>40</v>
      </c>
      <c r="K455" s="32" t="s">
        <v>41</v>
      </c>
      <c r="M455" s="32" t="s">
        <v>5416</v>
      </c>
      <c r="N455" s="32" t="s">
        <v>44</v>
      </c>
    </row>
    <row r="456" spans="1:14" s="32" customFormat="1" hidden="1" x14ac:dyDescent="0.3">
      <c r="A456" s="39">
        <v>46196.71234953704</v>
      </c>
      <c r="B456" s="32">
        <v>44997650834</v>
      </c>
      <c r="C456" s="32" t="s">
        <v>37</v>
      </c>
      <c r="D456" s="32">
        <v>4430265054</v>
      </c>
      <c r="E456" s="32">
        <v>446</v>
      </c>
      <c r="F456" s="32">
        <v>383</v>
      </c>
      <c r="G456" s="32" t="s">
        <v>38</v>
      </c>
      <c r="H456" s="32" t="s">
        <v>5873</v>
      </c>
      <c r="I456" s="32" t="s">
        <v>39</v>
      </c>
      <c r="J456" s="32" t="s">
        <v>40</v>
      </c>
      <c r="K456" s="32" t="s">
        <v>41</v>
      </c>
      <c r="M456" s="32" t="s">
        <v>5410</v>
      </c>
      <c r="N456" s="32" t="s">
        <v>37</v>
      </c>
    </row>
    <row r="457" spans="1:14" s="32" customFormat="1" hidden="1" x14ac:dyDescent="0.3">
      <c r="A457" s="39">
        <v>46196.710856481484</v>
      </c>
      <c r="B457" s="32">
        <v>4432322192</v>
      </c>
      <c r="C457" s="32">
        <v>4430265054</v>
      </c>
      <c r="D457" s="32">
        <v>4430265054</v>
      </c>
      <c r="E457" s="32">
        <v>103</v>
      </c>
      <c r="F457" s="32">
        <v>102</v>
      </c>
      <c r="G457" s="32" t="s">
        <v>52</v>
      </c>
      <c r="H457" s="32" t="s">
        <v>5874</v>
      </c>
      <c r="I457" s="32" t="s">
        <v>39</v>
      </c>
      <c r="J457" s="32" t="s">
        <v>53</v>
      </c>
      <c r="K457" s="32" t="s">
        <v>41</v>
      </c>
    </row>
    <row r="458" spans="1:14" s="32" customFormat="1" hidden="1" x14ac:dyDescent="0.3">
      <c r="A458" s="39">
        <v>46196.704988425925</v>
      </c>
      <c r="B458" s="32">
        <v>44999917849</v>
      </c>
      <c r="C458" s="32" t="s">
        <v>44</v>
      </c>
      <c r="D458" s="32">
        <v>4430265054</v>
      </c>
      <c r="E458" s="32">
        <v>689</v>
      </c>
      <c r="F458" s="32">
        <v>609</v>
      </c>
      <c r="G458" s="32" t="s">
        <v>38</v>
      </c>
      <c r="H458" s="32" t="s">
        <v>5875</v>
      </c>
      <c r="I458" s="32" t="s">
        <v>39</v>
      </c>
      <c r="J458" s="32" t="s">
        <v>40</v>
      </c>
      <c r="K458" s="32" t="s">
        <v>41</v>
      </c>
      <c r="L458" s="32">
        <v>5</v>
      </c>
      <c r="M458" s="32" t="s">
        <v>5416</v>
      </c>
      <c r="N458" s="32" t="s">
        <v>44</v>
      </c>
    </row>
    <row r="459" spans="1:14" s="32" customFormat="1" hidden="1" x14ac:dyDescent="0.3">
      <c r="A459" s="39">
        <v>46196.699976851851</v>
      </c>
      <c r="B459" s="32">
        <v>4330333542</v>
      </c>
      <c r="C459" s="32" t="s">
        <v>45</v>
      </c>
      <c r="D459" s="32">
        <v>4430265054</v>
      </c>
      <c r="E459" s="32">
        <v>2705</v>
      </c>
      <c r="F459" s="32">
        <v>2604</v>
      </c>
      <c r="G459" s="32" t="s">
        <v>38</v>
      </c>
      <c r="H459" s="32" t="s">
        <v>5876</v>
      </c>
      <c r="I459" s="32" t="s">
        <v>39</v>
      </c>
      <c r="J459" s="32" t="s">
        <v>40</v>
      </c>
      <c r="K459" s="32" t="s">
        <v>41</v>
      </c>
      <c r="M459" s="32" t="s">
        <v>5421</v>
      </c>
      <c r="N459" s="32" t="s">
        <v>45</v>
      </c>
    </row>
    <row r="460" spans="1:14" s="32" customFormat="1" hidden="1" x14ac:dyDescent="0.3">
      <c r="A460" s="39">
        <v>46196.699583333335</v>
      </c>
      <c r="B460" s="32">
        <v>11934552189</v>
      </c>
      <c r="C460" s="32" t="s">
        <v>37</v>
      </c>
      <c r="D460" s="32">
        <v>4430265054</v>
      </c>
      <c r="E460" s="32">
        <v>982</v>
      </c>
      <c r="F460" s="32">
        <v>898</v>
      </c>
      <c r="G460" s="32" t="s">
        <v>38</v>
      </c>
      <c r="H460" s="32" t="s">
        <v>5877</v>
      </c>
      <c r="I460" s="32" t="s">
        <v>39</v>
      </c>
      <c r="J460" s="32" t="s">
        <v>40</v>
      </c>
      <c r="K460" s="32" t="s">
        <v>41</v>
      </c>
      <c r="M460" s="32" t="s">
        <v>5410</v>
      </c>
      <c r="N460" s="32" t="s">
        <v>37</v>
      </c>
    </row>
    <row r="461" spans="1:14" s="32" customFormat="1" hidden="1" x14ac:dyDescent="0.3">
      <c r="A461" s="39">
        <v>46196.689236111109</v>
      </c>
      <c r="B461" s="32">
        <v>11934552189</v>
      </c>
      <c r="C461" s="32" t="s">
        <v>45</v>
      </c>
      <c r="D461" s="32">
        <v>4430265054</v>
      </c>
      <c r="E461" s="32">
        <v>313</v>
      </c>
      <c r="F461" s="32">
        <v>289</v>
      </c>
      <c r="G461" s="32" t="s">
        <v>38</v>
      </c>
      <c r="H461" s="32" t="s">
        <v>5878</v>
      </c>
      <c r="I461" s="32" t="s">
        <v>39</v>
      </c>
      <c r="J461" s="32" t="s">
        <v>40</v>
      </c>
      <c r="K461" s="32" t="s">
        <v>41</v>
      </c>
      <c r="M461" s="32" t="s">
        <v>5421</v>
      </c>
      <c r="N461" s="32" t="s">
        <v>45</v>
      </c>
    </row>
    <row r="462" spans="1:14" s="32" customFormat="1" hidden="1" x14ac:dyDescent="0.3">
      <c r="A462" s="39">
        <v>46196.681643518517</v>
      </c>
      <c r="B462" s="32" t="s">
        <v>48</v>
      </c>
      <c r="C462" s="32">
        <v>4432321324</v>
      </c>
      <c r="E462" s="32">
        <v>276</v>
      </c>
      <c r="F462" s="32">
        <v>271</v>
      </c>
      <c r="G462" s="32" t="s">
        <v>38</v>
      </c>
      <c r="H462" s="32" t="s">
        <v>5879</v>
      </c>
      <c r="I462" s="32" t="s">
        <v>46</v>
      </c>
      <c r="J462" s="32" t="s">
        <v>40</v>
      </c>
      <c r="M462" s="32" t="s">
        <v>5412</v>
      </c>
      <c r="N462" s="32" t="s">
        <v>48</v>
      </c>
    </row>
    <row r="463" spans="1:14" s="32" customFormat="1" hidden="1" x14ac:dyDescent="0.3">
      <c r="A463" s="39">
        <v>46196.669328703705</v>
      </c>
      <c r="B463" s="32" t="s">
        <v>45</v>
      </c>
      <c r="C463" s="32">
        <v>11947305571</v>
      </c>
      <c r="E463" s="32">
        <v>63</v>
      </c>
      <c r="F463" s="32">
        <v>30</v>
      </c>
      <c r="G463" s="32" t="s">
        <v>38</v>
      </c>
      <c r="H463" s="32" t="s">
        <v>5880</v>
      </c>
      <c r="I463" s="32" t="s">
        <v>46</v>
      </c>
      <c r="J463" s="32" t="s">
        <v>40</v>
      </c>
      <c r="M463" s="32" t="s">
        <v>5421</v>
      </c>
      <c r="N463" s="32" t="s">
        <v>45</v>
      </c>
    </row>
    <row r="464" spans="1:14" s="32" customFormat="1" hidden="1" x14ac:dyDescent="0.3">
      <c r="A464" s="39">
        <v>46196.657187500001</v>
      </c>
      <c r="B464" s="32">
        <v>11934552189</v>
      </c>
      <c r="C464" s="32" t="s">
        <v>45</v>
      </c>
      <c r="D464" s="32">
        <v>4430265054</v>
      </c>
      <c r="E464" s="32">
        <v>220</v>
      </c>
      <c r="F464" s="32">
        <v>191</v>
      </c>
      <c r="G464" s="32" t="s">
        <v>38</v>
      </c>
      <c r="H464" s="32" t="s">
        <v>5881</v>
      </c>
      <c r="I464" s="32" t="s">
        <v>39</v>
      </c>
      <c r="J464" s="32" t="s">
        <v>40</v>
      </c>
      <c r="K464" s="32" t="s">
        <v>41</v>
      </c>
      <c r="L464" s="32">
        <v>5</v>
      </c>
      <c r="M464" s="32" t="s">
        <v>5421</v>
      </c>
      <c r="N464" s="32" t="s">
        <v>45</v>
      </c>
    </row>
    <row r="465" spans="1:14" s="32" customFormat="1" hidden="1" x14ac:dyDescent="0.3">
      <c r="A465" s="39">
        <v>46196.65115740741</v>
      </c>
      <c r="B465" s="32">
        <v>44998849102</v>
      </c>
      <c r="C465" s="32" t="s">
        <v>37</v>
      </c>
      <c r="D465" s="32">
        <v>4430265054</v>
      </c>
      <c r="E465" s="32">
        <v>921</v>
      </c>
      <c r="F465" s="32">
        <v>806</v>
      </c>
      <c r="G465" s="32" t="s">
        <v>38</v>
      </c>
      <c r="H465" s="32" t="s">
        <v>5882</v>
      </c>
      <c r="I465" s="32" t="s">
        <v>39</v>
      </c>
      <c r="J465" s="32" t="s">
        <v>40</v>
      </c>
      <c r="K465" s="32" t="s">
        <v>41</v>
      </c>
      <c r="M465" s="32" t="s">
        <v>5410</v>
      </c>
      <c r="N465" s="32" t="s">
        <v>37</v>
      </c>
    </row>
    <row r="466" spans="1:14" s="32" customFormat="1" hidden="1" x14ac:dyDescent="0.3">
      <c r="A466" s="39">
        <v>46196.644629629627</v>
      </c>
      <c r="B466" s="32">
        <v>91984985454</v>
      </c>
      <c r="C466" s="32" t="s">
        <v>45</v>
      </c>
      <c r="D466" s="32">
        <v>4430265054</v>
      </c>
      <c r="E466" s="32">
        <v>412</v>
      </c>
      <c r="F466" s="32">
        <v>318</v>
      </c>
      <c r="G466" s="32" t="s">
        <v>38</v>
      </c>
      <c r="H466" s="32" t="s">
        <v>5883</v>
      </c>
      <c r="I466" s="32" t="s">
        <v>39</v>
      </c>
      <c r="J466" s="32" t="s">
        <v>40</v>
      </c>
      <c r="K466" s="32" t="s">
        <v>41</v>
      </c>
      <c r="M466" s="32" t="s">
        <v>5421</v>
      </c>
      <c r="N466" s="32" t="s">
        <v>45</v>
      </c>
    </row>
    <row r="467" spans="1:14" s="32" customFormat="1" hidden="1" x14ac:dyDescent="0.3">
      <c r="A467" s="39">
        <v>46196.638067129628</v>
      </c>
      <c r="B467" s="32">
        <v>91981311350</v>
      </c>
      <c r="C467" s="32" t="s">
        <v>48</v>
      </c>
      <c r="D467" s="32">
        <v>4430265054</v>
      </c>
      <c r="E467" s="32">
        <v>1051</v>
      </c>
      <c r="F467" s="32">
        <v>1050</v>
      </c>
      <c r="G467" s="32" t="s">
        <v>38</v>
      </c>
      <c r="H467" s="32" t="s">
        <v>5884</v>
      </c>
      <c r="I467" s="32" t="s">
        <v>39</v>
      </c>
      <c r="J467" s="32" t="s">
        <v>40</v>
      </c>
      <c r="K467" s="32" t="s">
        <v>41</v>
      </c>
      <c r="L467" s="32">
        <v>5</v>
      </c>
      <c r="M467" s="32" t="s">
        <v>5412</v>
      </c>
      <c r="N467" s="32" t="s">
        <v>48</v>
      </c>
    </row>
    <row r="468" spans="1:14" s="32" customFormat="1" hidden="1" x14ac:dyDescent="0.3">
      <c r="A468" s="39">
        <v>46196.635509259257</v>
      </c>
      <c r="B468" s="32">
        <v>6234347959</v>
      </c>
      <c r="C468" s="32" t="s">
        <v>44</v>
      </c>
      <c r="D468" s="32">
        <v>4430265054</v>
      </c>
      <c r="E468" s="32">
        <v>317</v>
      </c>
      <c r="F468" s="32">
        <v>297</v>
      </c>
      <c r="G468" s="32" t="s">
        <v>38</v>
      </c>
      <c r="H468" s="32" t="s">
        <v>5885</v>
      </c>
      <c r="I468" s="32" t="s">
        <v>39</v>
      </c>
      <c r="J468" s="32" t="s">
        <v>40</v>
      </c>
      <c r="K468" s="32" t="s">
        <v>41</v>
      </c>
      <c r="L468" s="32">
        <v>5</v>
      </c>
      <c r="M468" s="32" t="s">
        <v>5416</v>
      </c>
      <c r="N468" s="32" t="s">
        <v>44</v>
      </c>
    </row>
    <row r="469" spans="1:14" s="32" customFormat="1" hidden="1" x14ac:dyDescent="0.3">
      <c r="A469" s="39">
        <v>46196.634004629632</v>
      </c>
      <c r="B469" s="32">
        <v>6434534421</v>
      </c>
      <c r="C469" s="32" t="s">
        <v>37</v>
      </c>
      <c r="D469" s="32">
        <v>4430265054</v>
      </c>
      <c r="E469" s="32">
        <v>1354</v>
      </c>
      <c r="F469" s="32">
        <v>1250</v>
      </c>
      <c r="G469" s="32" t="s">
        <v>38</v>
      </c>
      <c r="H469" s="32" t="s">
        <v>5886</v>
      </c>
      <c r="I469" s="32" t="s">
        <v>39</v>
      </c>
      <c r="J469" s="32" t="s">
        <v>40</v>
      </c>
      <c r="K469" s="32" t="s">
        <v>41</v>
      </c>
      <c r="L469" s="32">
        <v>5</v>
      </c>
      <c r="M469" s="32" t="s">
        <v>5410</v>
      </c>
      <c r="N469" s="32" t="s">
        <v>37</v>
      </c>
    </row>
    <row r="470" spans="1:14" s="32" customFormat="1" hidden="1" x14ac:dyDescent="0.3">
      <c r="A470" s="39">
        <v>46196.625625000001</v>
      </c>
      <c r="B470" s="32" t="s">
        <v>54</v>
      </c>
      <c r="C470" s="32">
        <v>61996337606</v>
      </c>
      <c r="E470" s="32">
        <v>8</v>
      </c>
      <c r="F470" s="32">
        <v>0</v>
      </c>
      <c r="G470" s="32" t="s">
        <v>47</v>
      </c>
      <c r="H470" s="32" t="s">
        <v>5887</v>
      </c>
      <c r="I470" s="32" t="s">
        <v>46</v>
      </c>
      <c r="J470" s="32" t="s">
        <v>55</v>
      </c>
      <c r="M470" s="32" t="s">
        <v>5537</v>
      </c>
      <c r="N470" s="32" t="s">
        <v>54</v>
      </c>
    </row>
    <row r="471" spans="1:14" s="32" customFormat="1" hidden="1" x14ac:dyDescent="0.3">
      <c r="A471" s="39">
        <v>46196.623414351852</v>
      </c>
      <c r="B471" s="32" t="s">
        <v>54</v>
      </c>
      <c r="C471" s="32">
        <v>19997491199</v>
      </c>
      <c r="E471" s="32">
        <v>15</v>
      </c>
      <c r="F471" s="32">
        <v>0</v>
      </c>
      <c r="G471" s="32" t="s">
        <v>47</v>
      </c>
      <c r="H471" s="32" t="s">
        <v>5888</v>
      </c>
      <c r="I471" s="32" t="s">
        <v>46</v>
      </c>
      <c r="J471" s="32" t="s">
        <v>55</v>
      </c>
      <c r="M471" s="32" t="s">
        <v>5537</v>
      </c>
      <c r="N471" s="32" t="s">
        <v>54</v>
      </c>
    </row>
    <row r="472" spans="1:14" s="32" customFormat="1" hidden="1" x14ac:dyDescent="0.3">
      <c r="A472" s="39">
        <v>46196.622847222221</v>
      </c>
      <c r="B472" s="32" t="s">
        <v>37</v>
      </c>
      <c r="C472" s="32">
        <v>41999717893</v>
      </c>
      <c r="E472" s="32">
        <v>171</v>
      </c>
      <c r="F472" s="32">
        <v>152</v>
      </c>
      <c r="G472" s="32" t="s">
        <v>38</v>
      </c>
      <c r="H472" s="32" t="s">
        <v>5889</v>
      </c>
      <c r="I472" s="32" t="s">
        <v>46</v>
      </c>
      <c r="J472" s="32" t="s">
        <v>40</v>
      </c>
      <c r="M472" s="32" t="s">
        <v>5410</v>
      </c>
      <c r="N472" s="32" t="s">
        <v>37</v>
      </c>
    </row>
    <row r="473" spans="1:14" s="32" customFormat="1" hidden="1" x14ac:dyDescent="0.3">
      <c r="A473" s="39">
        <v>46196.622175925928</v>
      </c>
      <c r="B473" s="32">
        <v>11947305571</v>
      </c>
      <c r="C473" s="32" t="s">
        <v>45</v>
      </c>
      <c r="D473" s="32">
        <v>4430265054</v>
      </c>
      <c r="E473" s="32">
        <v>1969</v>
      </c>
      <c r="F473" s="32">
        <v>1933</v>
      </c>
      <c r="G473" s="32" t="s">
        <v>38</v>
      </c>
      <c r="H473" s="32" t="s">
        <v>5890</v>
      </c>
      <c r="I473" s="32" t="s">
        <v>39</v>
      </c>
      <c r="J473" s="32" t="s">
        <v>40</v>
      </c>
      <c r="K473" s="32" t="s">
        <v>41</v>
      </c>
      <c r="M473" s="32" t="s">
        <v>5421</v>
      </c>
      <c r="N473" s="32" t="s">
        <v>45</v>
      </c>
    </row>
    <row r="474" spans="1:14" s="32" customFormat="1" hidden="1" x14ac:dyDescent="0.3">
      <c r="A474" s="39">
        <v>46196.622013888889</v>
      </c>
      <c r="B474" s="32" t="s">
        <v>54</v>
      </c>
      <c r="C474" s="32">
        <v>51999084942</v>
      </c>
      <c r="E474" s="32">
        <v>1</v>
      </c>
      <c r="F474" s="32">
        <v>0</v>
      </c>
      <c r="G474" s="32" t="s">
        <v>47</v>
      </c>
      <c r="H474" s="32" t="s">
        <v>5891</v>
      </c>
      <c r="I474" s="32" t="s">
        <v>46</v>
      </c>
      <c r="J474" s="32" t="s">
        <v>55</v>
      </c>
      <c r="M474" s="32" t="s">
        <v>5537</v>
      </c>
      <c r="N474" s="32" t="s">
        <v>54</v>
      </c>
    </row>
    <row r="475" spans="1:14" s="32" customFormat="1" hidden="1" x14ac:dyDescent="0.3">
      <c r="A475" s="39">
        <v>46196.621319444443</v>
      </c>
      <c r="B475" s="32" t="s">
        <v>48</v>
      </c>
      <c r="C475" s="32">
        <v>4435228300</v>
      </c>
      <c r="E475" s="32">
        <v>227</v>
      </c>
      <c r="F475" s="32">
        <v>216</v>
      </c>
      <c r="G475" s="32" t="s">
        <v>38</v>
      </c>
      <c r="H475" s="32" t="s">
        <v>5892</v>
      </c>
      <c r="I475" s="32" t="s">
        <v>46</v>
      </c>
      <c r="J475" s="32" t="s">
        <v>40</v>
      </c>
      <c r="M475" s="32" t="s">
        <v>5412</v>
      </c>
      <c r="N475" s="32" t="s">
        <v>48</v>
      </c>
    </row>
    <row r="476" spans="1:14" s="32" customFormat="1" hidden="1" x14ac:dyDescent="0.3">
      <c r="A476" s="39">
        <v>46196.621249999997</v>
      </c>
      <c r="B476" s="32" t="s">
        <v>48</v>
      </c>
      <c r="C476" s="32">
        <v>4435228300</v>
      </c>
      <c r="E476" s="32">
        <v>14</v>
      </c>
      <c r="F476" s="32">
        <v>14</v>
      </c>
      <c r="G476" s="32" t="s">
        <v>38</v>
      </c>
      <c r="H476" s="32" t="s">
        <v>5893</v>
      </c>
      <c r="I476" s="32" t="s">
        <v>46</v>
      </c>
      <c r="J476" s="32" t="s">
        <v>40</v>
      </c>
      <c r="M476" s="32" t="s">
        <v>5412</v>
      </c>
      <c r="N476" s="32" t="s">
        <v>48</v>
      </c>
    </row>
    <row r="477" spans="1:14" s="32" customFormat="1" hidden="1" x14ac:dyDescent="0.3">
      <c r="A477" s="39">
        <v>46196.620972222219</v>
      </c>
      <c r="B477" s="32">
        <v>44984241715</v>
      </c>
      <c r="C477" s="32" t="s">
        <v>44</v>
      </c>
      <c r="D477" s="32">
        <v>4430265054</v>
      </c>
      <c r="E477" s="32">
        <v>599</v>
      </c>
      <c r="F477" s="32">
        <v>467</v>
      </c>
      <c r="G477" s="32" t="s">
        <v>38</v>
      </c>
      <c r="H477" s="32" t="s">
        <v>5894</v>
      </c>
      <c r="I477" s="32" t="s">
        <v>39</v>
      </c>
      <c r="J477" s="32" t="s">
        <v>40</v>
      </c>
      <c r="K477" s="32" t="s">
        <v>41</v>
      </c>
      <c r="L477" s="32">
        <v>5</v>
      </c>
      <c r="M477" s="32" t="s">
        <v>5416</v>
      </c>
      <c r="N477" s="32" t="s">
        <v>44</v>
      </c>
    </row>
    <row r="478" spans="1:14" s="32" customFormat="1" hidden="1" x14ac:dyDescent="0.3">
      <c r="A478" s="39">
        <v>46196.620034722226</v>
      </c>
      <c r="B478" s="32" t="s">
        <v>48</v>
      </c>
      <c r="C478" s="32">
        <v>4435221208</v>
      </c>
      <c r="E478" s="32">
        <v>7</v>
      </c>
      <c r="F478" s="32">
        <v>0</v>
      </c>
      <c r="G478" s="32" t="s">
        <v>47</v>
      </c>
      <c r="H478" s="32" t="s">
        <v>5895</v>
      </c>
      <c r="I478" s="32" t="s">
        <v>46</v>
      </c>
      <c r="J478" s="32" t="s">
        <v>40</v>
      </c>
      <c r="M478" s="32" t="s">
        <v>5412</v>
      </c>
      <c r="N478" s="32" t="s">
        <v>48</v>
      </c>
    </row>
    <row r="479" spans="1:14" s="32" customFormat="1" hidden="1" x14ac:dyDescent="0.3">
      <c r="A479" s="39">
        <v>46196.606180555558</v>
      </c>
      <c r="B479" s="32" t="s">
        <v>45</v>
      </c>
      <c r="C479" s="32">
        <v>43984810043</v>
      </c>
      <c r="E479" s="32">
        <v>310</v>
      </c>
      <c r="F479" s="32">
        <v>294</v>
      </c>
      <c r="G479" s="32" t="s">
        <v>38</v>
      </c>
      <c r="H479" s="32" t="s">
        <v>5896</v>
      </c>
      <c r="I479" s="32" t="s">
        <v>46</v>
      </c>
      <c r="J479" s="32" t="s">
        <v>40</v>
      </c>
      <c r="L479" s="32">
        <v>5</v>
      </c>
      <c r="M479" s="32" t="s">
        <v>5421</v>
      </c>
      <c r="N479" s="32" t="s">
        <v>45</v>
      </c>
    </row>
    <row r="480" spans="1:14" s="32" customFormat="1" hidden="1" x14ac:dyDescent="0.3">
      <c r="A480" s="39">
        <v>46196.598368055558</v>
      </c>
      <c r="B480" s="32">
        <v>44997343311</v>
      </c>
      <c r="C480" s="32" t="s">
        <v>37</v>
      </c>
      <c r="D480" s="32">
        <v>4430265054</v>
      </c>
      <c r="E480" s="32">
        <v>1148</v>
      </c>
      <c r="F480" s="32">
        <v>1096</v>
      </c>
      <c r="G480" s="32" t="s">
        <v>38</v>
      </c>
      <c r="H480" s="32" t="s">
        <v>5897</v>
      </c>
      <c r="I480" s="32" t="s">
        <v>39</v>
      </c>
      <c r="J480" s="32" t="s">
        <v>40</v>
      </c>
      <c r="K480" s="32" t="s">
        <v>41</v>
      </c>
      <c r="L480" s="32">
        <v>5</v>
      </c>
      <c r="M480" s="32" t="s">
        <v>5410</v>
      </c>
      <c r="N480" s="32" t="s">
        <v>37</v>
      </c>
    </row>
    <row r="481" spans="1:14" s="32" customFormat="1" hidden="1" x14ac:dyDescent="0.3">
      <c r="A481" s="39">
        <v>46196.596944444442</v>
      </c>
      <c r="B481" s="32" t="s">
        <v>45</v>
      </c>
      <c r="C481" s="32">
        <v>4430282545</v>
      </c>
      <c r="E481" s="32">
        <v>41</v>
      </c>
      <c r="F481" s="32">
        <v>18</v>
      </c>
      <c r="G481" s="32" t="s">
        <v>38</v>
      </c>
      <c r="H481" s="32" t="s">
        <v>5898</v>
      </c>
      <c r="I481" s="32" t="s">
        <v>46</v>
      </c>
      <c r="J481" s="32" t="s">
        <v>40</v>
      </c>
      <c r="M481" s="32" t="s">
        <v>5421</v>
      </c>
      <c r="N481" s="32" t="s">
        <v>45</v>
      </c>
    </row>
    <row r="482" spans="1:14" s="32" customFormat="1" hidden="1" x14ac:dyDescent="0.3">
      <c r="A482" s="39">
        <v>46196.5940625</v>
      </c>
      <c r="B482" s="32" t="s">
        <v>45</v>
      </c>
      <c r="C482" s="32">
        <v>1732146970</v>
      </c>
      <c r="E482" s="32">
        <v>136</v>
      </c>
      <c r="F482" s="32">
        <v>134</v>
      </c>
      <c r="G482" s="32" t="s">
        <v>38</v>
      </c>
      <c r="H482" s="32" t="s">
        <v>5899</v>
      </c>
      <c r="I482" s="32" t="s">
        <v>46</v>
      </c>
      <c r="J482" s="32" t="s">
        <v>40</v>
      </c>
      <c r="M482" s="32" t="s">
        <v>5421</v>
      </c>
      <c r="N482" s="32" t="s">
        <v>45</v>
      </c>
    </row>
    <row r="483" spans="1:14" s="32" customFormat="1" hidden="1" x14ac:dyDescent="0.3">
      <c r="A483" s="39">
        <v>46196.587858796294</v>
      </c>
      <c r="B483" s="32">
        <v>44998640313</v>
      </c>
      <c r="C483" s="32">
        <v>4430265054</v>
      </c>
      <c r="D483" s="32">
        <v>4430265054</v>
      </c>
      <c r="E483" s="32">
        <v>77</v>
      </c>
      <c r="F483" s="32">
        <v>76</v>
      </c>
      <c r="G483" s="32" t="s">
        <v>52</v>
      </c>
      <c r="H483" s="32" t="s">
        <v>5900</v>
      </c>
      <c r="I483" s="32" t="s">
        <v>39</v>
      </c>
      <c r="J483" s="32" t="s">
        <v>53</v>
      </c>
      <c r="K483" s="32" t="s">
        <v>41</v>
      </c>
    </row>
    <row r="484" spans="1:14" s="32" customFormat="1" hidden="1" x14ac:dyDescent="0.3">
      <c r="A484" s="39">
        <v>46196.58425925926</v>
      </c>
      <c r="B484" s="32">
        <v>4430191385</v>
      </c>
      <c r="C484" s="32" t="s">
        <v>45</v>
      </c>
      <c r="D484" s="32">
        <v>4430265054</v>
      </c>
      <c r="E484" s="32">
        <v>213</v>
      </c>
      <c r="F484" s="32">
        <v>175</v>
      </c>
      <c r="G484" s="32" t="s">
        <v>38</v>
      </c>
      <c r="H484" s="32" t="s">
        <v>5901</v>
      </c>
      <c r="I484" s="32" t="s">
        <v>39</v>
      </c>
      <c r="J484" s="32" t="s">
        <v>40</v>
      </c>
      <c r="K484" s="32" t="s">
        <v>41</v>
      </c>
      <c r="M484" s="32" t="s">
        <v>5421</v>
      </c>
      <c r="N484" s="32" t="s">
        <v>45</v>
      </c>
    </row>
    <row r="485" spans="1:14" s="32" customFormat="1" hidden="1" x14ac:dyDescent="0.3">
      <c r="A485" s="39">
        <v>46196.575601851851</v>
      </c>
      <c r="B485" s="32">
        <v>4334226481</v>
      </c>
      <c r="C485" s="32" t="s">
        <v>37</v>
      </c>
      <c r="D485" s="32">
        <v>4430265054</v>
      </c>
      <c r="E485" s="32">
        <v>728</v>
      </c>
      <c r="F485" s="32">
        <v>699</v>
      </c>
      <c r="G485" s="32" t="s">
        <v>38</v>
      </c>
      <c r="H485" s="32" t="s">
        <v>5902</v>
      </c>
      <c r="I485" s="32" t="s">
        <v>39</v>
      </c>
      <c r="J485" s="32" t="s">
        <v>40</v>
      </c>
      <c r="K485" s="32" t="s">
        <v>41</v>
      </c>
      <c r="M485" s="32" t="s">
        <v>5410</v>
      </c>
      <c r="N485" s="32" t="s">
        <v>37</v>
      </c>
    </row>
    <row r="486" spans="1:14" s="32" customFormat="1" hidden="1" x14ac:dyDescent="0.3">
      <c r="A486" s="39">
        <v>46196.574282407404</v>
      </c>
      <c r="B486" s="32">
        <v>44988067937</v>
      </c>
      <c r="C486" s="32" t="s">
        <v>37</v>
      </c>
      <c r="D486" s="32">
        <v>4430265054</v>
      </c>
      <c r="E486" s="32">
        <v>119</v>
      </c>
      <c r="F486" s="32">
        <v>76</v>
      </c>
      <c r="G486" s="32" t="s">
        <v>38</v>
      </c>
      <c r="H486" s="32" t="s">
        <v>5903</v>
      </c>
      <c r="I486" s="32" t="s">
        <v>39</v>
      </c>
      <c r="J486" s="32" t="s">
        <v>40</v>
      </c>
      <c r="K486" s="32" t="s">
        <v>41</v>
      </c>
      <c r="M486" s="32" t="s">
        <v>5410</v>
      </c>
      <c r="N486" s="32" t="s">
        <v>37</v>
      </c>
    </row>
    <row r="487" spans="1:14" s="32" customFormat="1" hidden="1" x14ac:dyDescent="0.3">
      <c r="A487" s="39">
        <v>46196.571817129632</v>
      </c>
      <c r="B487" s="32" t="s">
        <v>45</v>
      </c>
      <c r="C487" s="32">
        <v>4430282545</v>
      </c>
      <c r="E487" s="32">
        <v>82</v>
      </c>
      <c r="F487" s="32">
        <v>67</v>
      </c>
      <c r="G487" s="32" t="s">
        <v>38</v>
      </c>
      <c r="H487" s="32" t="s">
        <v>5904</v>
      </c>
      <c r="I487" s="32" t="s">
        <v>46</v>
      </c>
      <c r="J487" s="32" t="s">
        <v>40</v>
      </c>
      <c r="M487" s="32" t="s">
        <v>5421</v>
      </c>
      <c r="N487" s="32" t="s">
        <v>45</v>
      </c>
    </row>
    <row r="488" spans="1:14" s="32" customFormat="1" hidden="1" x14ac:dyDescent="0.3">
      <c r="A488" s="39">
        <v>46196.570868055554</v>
      </c>
      <c r="B488" s="32">
        <v>4430141092</v>
      </c>
      <c r="C488" s="32" t="s">
        <v>44</v>
      </c>
      <c r="D488" s="32">
        <v>4430265054</v>
      </c>
      <c r="E488" s="32">
        <v>520</v>
      </c>
      <c r="F488" s="32">
        <v>441</v>
      </c>
      <c r="G488" s="32" t="s">
        <v>38</v>
      </c>
      <c r="H488" s="32" t="s">
        <v>5905</v>
      </c>
      <c r="I488" s="32" t="s">
        <v>39</v>
      </c>
      <c r="J488" s="32" t="s">
        <v>40</v>
      </c>
      <c r="K488" s="32" t="s">
        <v>41</v>
      </c>
      <c r="M488" s="32" t="s">
        <v>5416</v>
      </c>
      <c r="N488" s="32" t="s">
        <v>44</v>
      </c>
    </row>
    <row r="489" spans="1:14" s="32" customFormat="1" hidden="1" x14ac:dyDescent="0.3">
      <c r="A489" s="39">
        <v>46196.569456018522</v>
      </c>
      <c r="B489" s="32">
        <v>44988067937</v>
      </c>
      <c r="C489" s="32">
        <v>4430265054</v>
      </c>
      <c r="D489" s="32">
        <v>4430265054</v>
      </c>
      <c r="E489" s="32">
        <v>97</v>
      </c>
      <c r="F489" s="32">
        <v>96</v>
      </c>
      <c r="G489" s="32" t="s">
        <v>52</v>
      </c>
      <c r="H489" s="32" t="s">
        <v>5906</v>
      </c>
      <c r="I489" s="32" t="s">
        <v>39</v>
      </c>
      <c r="J489" s="32" t="s">
        <v>53</v>
      </c>
      <c r="K489" s="32" t="s">
        <v>41</v>
      </c>
    </row>
    <row r="490" spans="1:14" s="32" customFormat="1" hidden="1" x14ac:dyDescent="0.3">
      <c r="A490" s="39">
        <v>46196.558171296296</v>
      </c>
      <c r="B490" s="32">
        <v>4430141092</v>
      </c>
      <c r="C490" s="32">
        <v>4430265054</v>
      </c>
      <c r="D490" s="32">
        <v>4430265054</v>
      </c>
      <c r="E490" s="32">
        <v>16</v>
      </c>
      <c r="F490" s="32">
        <v>15</v>
      </c>
      <c r="G490" s="32" t="s">
        <v>52</v>
      </c>
      <c r="H490" s="32" t="s">
        <v>5907</v>
      </c>
      <c r="I490" s="32" t="s">
        <v>39</v>
      </c>
      <c r="J490" s="32" t="s">
        <v>53</v>
      </c>
    </row>
    <row r="491" spans="1:14" s="32" customFormat="1" hidden="1" x14ac:dyDescent="0.3">
      <c r="A491" s="39">
        <v>46196.509479166663</v>
      </c>
      <c r="B491" s="32" t="s">
        <v>45</v>
      </c>
      <c r="C491" s="32">
        <v>4432622421</v>
      </c>
      <c r="E491" s="32">
        <v>229</v>
      </c>
      <c r="F491" s="32">
        <v>192</v>
      </c>
      <c r="G491" s="32" t="s">
        <v>38</v>
      </c>
      <c r="H491" s="32" t="s">
        <v>5908</v>
      </c>
      <c r="I491" s="32" t="s">
        <v>46</v>
      </c>
      <c r="J491" s="32" t="s">
        <v>40</v>
      </c>
      <c r="M491" s="32" t="s">
        <v>5421</v>
      </c>
      <c r="N491" s="32" t="s">
        <v>45</v>
      </c>
    </row>
    <row r="492" spans="1:14" s="32" customFormat="1" hidden="1" x14ac:dyDescent="0.3">
      <c r="A492" s="39">
        <v>46196.50576388889</v>
      </c>
      <c r="B492" s="32" t="s">
        <v>45</v>
      </c>
      <c r="C492" s="32">
        <v>4430315453</v>
      </c>
      <c r="E492" s="32">
        <v>6</v>
      </c>
      <c r="F492" s="32">
        <v>0</v>
      </c>
      <c r="G492" s="32" t="s">
        <v>47</v>
      </c>
      <c r="H492" s="32" t="s">
        <v>5909</v>
      </c>
      <c r="I492" s="32" t="s">
        <v>46</v>
      </c>
      <c r="J492" s="32" t="s">
        <v>40</v>
      </c>
      <c r="M492" s="32" t="s">
        <v>5421</v>
      </c>
      <c r="N492" s="32" t="s">
        <v>45</v>
      </c>
    </row>
    <row r="493" spans="1:14" s="32" customFormat="1" hidden="1" x14ac:dyDescent="0.3">
      <c r="A493" s="39">
        <v>46196.479178240741</v>
      </c>
      <c r="B493" s="32">
        <v>11934552189</v>
      </c>
      <c r="C493" s="32" t="s">
        <v>37</v>
      </c>
      <c r="D493" s="32">
        <v>4430265054</v>
      </c>
      <c r="E493" s="32">
        <v>1484</v>
      </c>
      <c r="F493" s="32">
        <v>1330</v>
      </c>
      <c r="G493" s="32" t="s">
        <v>38</v>
      </c>
      <c r="H493" s="32" t="s">
        <v>5910</v>
      </c>
      <c r="I493" s="32" t="s">
        <v>39</v>
      </c>
      <c r="J493" s="32" t="s">
        <v>40</v>
      </c>
      <c r="K493" s="32" t="s">
        <v>41</v>
      </c>
      <c r="M493" s="32" t="s">
        <v>5410</v>
      </c>
      <c r="N493" s="32" t="s">
        <v>37</v>
      </c>
    </row>
    <row r="494" spans="1:14" s="32" customFormat="1" hidden="1" x14ac:dyDescent="0.3">
      <c r="A494" s="39">
        <v>46196.476041666669</v>
      </c>
      <c r="B494" s="32">
        <v>67996356530</v>
      </c>
      <c r="C494" s="32" t="s">
        <v>37</v>
      </c>
      <c r="D494" s="32">
        <v>4430265054</v>
      </c>
      <c r="E494" s="32">
        <v>292</v>
      </c>
      <c r="F494" s="32">
        <v>235</v>
      </c>
      <c r="G494" s="32" t="s">
        <v>38</v>
      </c>
      <c r="H494" s="32" t="s">
        <v>5911</v>
      </c>
      <c r="I494" s="32" t="s">
        <v>39</v>
      </c>
      <c r="J494" s="32" t="s">
        <v>40</v>
      </c>
      <c r="K494" s="32" t="s">
        <v>41</v>
      </c>
      <c r="L494" s="32">
        <v>5</v>
      </c>
      <c r="M494" s="32" t="s">
        <v>5410</v>
      </c>
      <c r="N494" s="32" t="s">
        <v>37</v>
      </c>
    </row>
    <row r="495" spans="1:14" s="32" customFormat="1" hidden="1" x14ac:dyDescent="0.3">
      <c r="A495" s="39">
        <v>46196.47216435185</v>
      </c>
      <c r="B495" s="32">
        <v>83988398480</v>
      </c>
      <c r="C495" s="32" t="s">
        <v>45</v>
      </c>
      <c r="D495" s="32">
        <v>4430265054</v>
      </c>
      <c r="E495" s="32">
        <v>1098</v>
      </c>
      <c r="F495" s="32">
        <v>1029</v>
      </c>
      <c r="G495" s="32" t="s">
        <v>38</v>
      </c>
      <c r="H495" s="32" t="s">
        <v>5912</v>
      </c>
      <c r="I495" s="32" t="s">
        <v>39</v>
      </c>
      <c r="J495" s="32" t="s">
        <v>40</v>
      </c>
      <c r="K495" s="32" t="s">
        <v>41</v>
      </c>
      <c r="M495" s="32" t="s">
        <v>5421</v>
      </c>
      <c r="N495" s="32" t="s">
        <v>45</v>
      </c>
    </row>
    <row r="496" spans="1:14" s="32" customFormat="1" hidden="1" x14ac:dyDescent="0.3">
      <c r="A496" s="39">
        <v>46196.464074074072</v>
      </c>
      <c r="B496" s="32">
        <v>4435228300</v>
      </c>
      <c r="C496" s="32" t="s">
        <v>48</v>
      </c>
      <c r="D496" s="32">
        <v>4430265054</v>
      </c>
      <c r="E496" s="32">
        <v>1324</v>
      </c>
      <c r="F496" s="32">
        <v>1236</v>
      </c>
      <c r="G496" s="32" t="s">
        <v>38</v>
      </c>
      <c r="H496" s="32" t="s">
        <v>5913</v>
      </c>
      <c r="I496" s="32" t="s">
        <v>39</v>
      </c>
      <c r="J496" s="32" t="s">
        <v>40</v>
      </c>
      <c r="K496" s="32" t="s">
        <v>41</v>
      </c>
      <c r="M496" s="32" t="s">
        <v>5412</v>
      </c>
      <c r="N496" s="32" t="s">
        <v>48</v>
      </c>
    </row>
    <row r="497" spans="1:14" s="32" customFormat="1" hidden="1" x14ac:dyDescent="0.3">
      <c r="A497" s="39">
        <v>46196.463113425925</v>
      </c>
      <c r="B497" s="32">
        <v>43984040334</v>
      </c>
      <c r="C497" s="32" t="s">
        <v>44</v>
      </c>
      <c r="D497" s="32">
        <v>4430265054</v>
      </c>
      <c r="E497" s="32">
        <v>457</v>
      </c>
      <c r="F497" s="32">
        <v>369</v>
      </c>
      <c r="G497" s="32" t="s">
        <v>38</v>
      </c>
      <c r="H497" s="32" t="s">
        <v>5914</v>
      </c>
      <c r="I497" s="32" t="s">
        <v>39</v>
      </c>
      <c r="J497" s="32" t="s">
        <v>40</v>
      </c>
      <c r="K497" s="32" t="s">
        <v>41</v>
      </c>
      <c r="L497" s="32">
        <v>5</v>
      </c>
      <c r="M497" s="32" t="s">
        <v>5416</v>
      </c>
      <c r="N497" s="32" t="s">
        <v>44</v>
      </c>
    </row>
    <row r="498" spans="1:14" s="32" customFormat="1" hidden="1" x14ac:dyDescent="0.3">
      <c r="A498" s="39">
        <v>46196.460590277777</v>
      </c>
      <c r="B498" s="32">
        <v>4430282545</v>
      </c>
      <c r="C498" s="32" t="s">
        <v>44</v>
      </c>
      <c r="D498" s="32">
        <v>4430265054</v>
      </c>
      <c r="E498" s="32">
        <v>242</v>
      </c>
      <c r="F498" s="32">
        <v>163</v>
      </c>
      <c r="G498" s="32" t="s">
        <v>38</v>
      </c>
      <c r="H498" s="32" t="s">
        <v>5915</v>
      </c>
      <c r="I498" s="32" t="s">
        <v>39</v>
      </c>
      <c r="J498" s="32" t="s">
        <v>40</v>
      </c>
      <c r="K498" s="32" t="s">
        <v>41</v>
      </c>
      <c r="M498" s="32" t="s">
        <v>5416</v>
      </c>
      <c r="N498" s="32" t="s">
        <v>44</v>
      </c>
    </row>
    <row r="499" spans="1:14" s="32" customFormat="1" hidden="1" x14ac:dyDescent="0.3">
      <c r="A499" s="39">
        <v>46196.453414351854</v>
      </c>
      <c r="B499" s="32">
        <v>44999646909</v>
      </c>
      <c r="C499" s="32" t="s">
        <v>44</v>
      </c>
      <c r="D499" s="32">
        <v>4430265054</v>
      </c>
      <c r="E499" s="32">
        <v>219</v>
      </c>
      <c r="F499" s="32">
        <v>122</v>
      </c>
      <c r="G499" s="32" t="s">
        <v>38</v>
      </c>
      <c r="H499" s="32" t="s">
        <v>5916</v>
      </c>
      <c r="I499" s="32" t="s">
        <v>39</v>
      </c>
      <c r="J499" s="32" t="s">
        <v>40</v>
      </c>
      <c r="K499" s="32" t="s">
        <v>41</v>
      </c>
      <c r="M499" s="32" t="s">
        <v>5416</v>
      </c>
      <c r="N499" s="32" t="s">
        <v>44</v>
      </c>
    </row>
    <row r="500" spans="1:14" s="32" customFormat="1" hidden="1" x14ac:dyDescent="0.3">
      <c r="A500" s="39">
        <v>46196.449374999997</v>
      </c>
      <c r="B500" s="32">
        <v>4432637197</v>
      </c>
      <c r="C500" s="32" t="s">
        <v>44</v>
      </c>
      <c r="D500" s="32">
        <v>4430265054</v>
      </c>
      <c r="E500" s="32">
        <v>235</v>
      </c>
      <c r="F500" s="32">
        <v>139</v>
      </c>
      <c r="G500" s="32" t="s">
        <v>38</v>
      </c>
      <c r="H500" s="32" t="s">
        <v>5917</v>
      </c>
      <c r="I500" s="32" t="s">
        <v>39</v>
      </c>
      <c r="J500" s="32" t="s">
        <v>40</v>
      </c>
      <c r="K500" s="32" t="s">
        <v>41</v>
      </c>
      <c r="M500" s="32" t="s">
        <v>5416</v>
      </c>
      <c r="N500" s="32" t="s">
        <v>44</v>
      </c>
    </row>
    <row r="501" spans="1:14" s="32" customFormat="1" hidden="1" x14ac:dyDescent="0.3">
      <c r="A501" s="39">
        <v>46196.44667824074</v>
      </c>
      <c r="B501" s="32">
        <v>4432697000</v>
      </c>
      <c r="C501" s="32" t="s">
        <v>37</v>
      </c>
      <c r="D501" s="32">
        <v>4430265054</v>
      </c>
      <c r="E501" s="32">
        <v>2116</v>
      </c>
      <c r="F501" s="32">
        <v>1984</v>
      </c>
      <c r="G501" s="32" t="s">
        <v>38</v>
      </c>
      <c r="H501" s="32" t="s">
        <v>5918</v>
      </c>
      <c r="I501" s="32" t="s">
        <v>39</v>
      </c>
      <c r="J501" s="32" t="s">
        <v>40</v>
      </c>
      <c r="K501" s="32" t="s">
        <v>41</v>
      </c>
      <c r="M501" s="32" t="s">
        <v>5410</v>
      </c>
      <c r="N501" s="32" t="s">
        <v>37</v>
      </c>
    </row>
    <row r="502" spans="1:14" s="32" customFormat="1" hidden="1" x14ac:dyDescent="0.3">
      <c r="A502" s="39">
        <v>46196.445868055554</v>
      </c>
      <c r="B502" s="32">
        <v>18996991511</v>
      </c>
      <c r="C502" s="32" t="s">
        <v>45</v>
      </c>
      <c r="D502" s="32">
        <v>4430265054</v>
      </c>
      <c r="E502" s="32">
        <v>1788</v>
      </c>
      <c r="F502" s="32">
        <v>1753</v>
      </c>
      <c r="G502" s="32" t="s">
        <v>38</v>
      </c>
      <c r="H502" s="32" t="s">
        <v>5919</v>
      </c>
      <c r="I502" s="32" t="s">
        <v>39</v>
      </c>
      <c r="J502" s="32" t="s">
        <v>40</v>
      </c>
      <c r="K502" s="32" t="s">
        <v>41</v>
      </c>
      <c r="L502" s="32">
        <v>5</v>
      </c>
      <c r="M502" s="32" t="s">
        <v>5421</v>
      </c>
      <c r="N502" s="32" t="s">
        <v>45</v>
      </c>
    </row>
    <row r="503" spans="1:14" s="32" customFormat="1" hidden="1" x14ac:dyDescent="0.3">
      <c r="A503" s="39">
        <v>46196.445081018515</v>
      </c>
      <c r="B503" s="32" t="s">
        <v>45</v>
      </c>
      <c r="C503" s="32">
        <v>18996991511</v>
      </c>
      <c r="E503" s="32">
        <v>22</v>
      </c>
      <c r="F503" s="32">
        <v>9</v>
      </c>
      <c r="G503" s="32" t="s">
        <v>38</v>
      </c>
      <c r="H503" s="32" t="s">
        <v>5920</v>
      </c>
      <c r="I503" s="32" t="s">
        <v>46</v>
      </c>
      <c r="J503" s="32" t="s">
        <v>40</v>
      </c>
      <c r="M503" s="32" t="s">
        <v>5421</v>
      </c>
      <c r="N503" s="32" t="s">
        <v>45</v>
      </c>
    </row>
    <row r="504" spans="1:14" s="32" customFormat="1" hidden="1" x14ac:dyDescent="0.3">
      <c r="A504" s="39">
        <v>46196.444340277776</v>
      </c>
      <c r="B504" s="32" t="s">
        <v>45</v>
      </c>
      <c r="C504" s="32">
        <v>18996991511</v>
      </c>
      <c r="E504" s="32">
        <v>14</v>
      </c>
      <c r="F504" s="32">
        <v>0</v>
      </c>
      <c r="G504" s="32" t="s">
        <v>47</v>
      </c>
      <c r="H504" s="32" t="s">
        <v>5921</v>
      </c>
      <c r="I504" s="32" t="s">
        <v>46</v>
      </c>
      <c r="J504" s="32" t="s">
        <v>40</v>
      </c>
      <c r="M504" s="32" t="s">
        <v>5421</v>
      </c>
      <c r="N504" s="32" t="s">
        <v>45</v>
      </c>
    </row>
    <row r="505" spans="1:14" s="32" customFormat="1" hidden="1" x14ac:dyDescent="0.3">
      <c r="A505" s="39">
        <v>46196.442673611113</v>
      </c>
      <c r="B505" s="32">
        <v>45999061818</v>
      </c>
      <c r="C505" s="32" t="s">
        <v>57</v>
      </c>
      <c r="D505" s="32">
        <v>4430265054</v>
      </c>
      <c r="E505" s="32">
        <v>439</v>
      </c>
      <c r="F505" s="32">
        <v>306</v>
      </c>
      <c r="G505" s="32" t="s">
        <v>38</v>
      </c>
      <c r="H505" s="32" t="s">
        <v>5922</v>
      </c>
      <c r="I505" s="32" t="s">
        <v>39</v>
      </c>
      <c r="J505" s="32" t="s">
        <v>55</v>
      </c>
      <c r="K505" s="32" t="s">
        <v>49</v>
      </c>
      <c r="M505" s="32" t="s">
        <v>5456</v>
      </c>
      <c r="N505" s="32" t="s">
        <v>57</v>
      </c>
    </row>
    <row r="506" spans="1:14" s="32" customFormat="1" hidden="1" x14ac:dyDescent="0.3">
      <c r="A506" s="39">
        <v>46196.436793981484</v>
      </c>
      <c r="B506" s="32">
        <v>41999102968</v>
      </c>
      <c r="C506" s="32" t="s">
        <v>44</v>
      </c>
      <c r="D506" s="32">
        <v>4430265054</v>
      </c>
      <c r="E506" s="32">
        <v>512</v>
      </c>
      <c r="F506" s="32">
        <v>379</v>
      </c>
      <c r="G506" s="32" t="s">
        <v>38</v>
      </c>
      <c r="H506" s="32" t="s">
        <v>5923</v>
      </c>
      <c r="I506" s="32" t="s">
        <v>39</v>
      </c>
      <c r="J506" s="32" t="s">
        <v>40</v>
      </c>
      <c r="K506" s="32" t="s">
        <v>41</v>
      </c>
      <c r="M506" s="32" t="s">
        <v>5416</v>
      </c>
      <c r="N506" s="32" t="s">
        <v>44</v>
      </c>
    </row>
    <row r="507" spans="1:14" s="32" customFormat="1" hidden="1" x14ac:dyDescent="0.3">
      <c r="A507" s="39">
        <v>46196.430520833332</v>
      </c>
      <c r="B507" s="32" t="s">
        <v>45</v>
      </c>
      <c r="C507" s="32">
        <v>4430282545</v>
      </c>
      <c r="E507" s="32">
        <v>43</v>
      </c>
      <c r="F507" s="32">
        <v>29</v>
      </c>
      <c r="G507" s="32" t="s">
        <v>38</v>
      </c>
      <c r="H507" s="32" t="s">
        <v>5924</v>
      </c>
      <c r="I507" s="32" t="s">
        <v>46</v>
      </c>
      <c r="J507" s="32" t="s">
        <v>40</v>
      </c>
      <c r="M507" s="32" t="s">
        <v>5421</v>
      </c>
      <c r="N507" s="32" t="s">
        <v>45</v>
      </c>
    </row>
    <row r="508" spans="1:14" s="32" customFormat="1" hidden="1" x14ac:dyDescent="0.3">
      <c r="A508" s="39">
        <v>46196.414710648147</v>
      </c>
      <c r="B508" s="32">
        <v>44997400641</v>
      </c>
      <c r="C508" s="32" t="s">
        <v>37</v>
      </c>
      <c r="D508" s="32">
        <v>4430265054</v>
      </c>
      <c r="E508" s="32">
        <v>849</v>
      </c>
      <c r="F508" s="32">
        <v>736</v>
      </c>
      <c r="G508" s="32" t="s">
        <v>38</v>
      </c>
      <c r="H508" s="32" t="s">
        <v>5925</v>
      </c>
      <c r="I508" s="32" t="s">
        <v>39</v>
      </c>
      <c r="J508" s="32" t="s">
        <v>40</v>
      </c>
      <c r="K508" s="32" t="s">
        <v>41</v>
      </c>
      <c r="M508" s="32" t="s">
        <v>5410</v>
      </c>
      <c r="N508" s="32" t="s">
        <v>37</v>
      </c>
    </row>
    <row r="509" spans="1:14" s="32" customFormat="1" hidden="1" x14ac:dyDescent="0.3">
      <c r="A509" s="39">
        <v>46196.407511574071</v>
      </c>
      <c r="B509" s="32">
        <v>35998295948</v>
      </c>
      <c r="C509" s="32" t="s">
        <v>44</v>
      </c>
      <c r="D509" s="32">
        <v>4430265054</v>
      </c>
      <c r="E509" s="32">
        <v>635</v>
      </c>
      <c r="F509" s="32">
        <v>580</v>
      </c>
      <c r="G509" s="32" t="s">
        <v>38</v>
      </c>
      <c r="H509" s="32" t="s">
        <v>5926</v>
      </c>
      <c r="I509" s="32" t="s">
        <v>39</v>
      </c>
      <c r="J509" s="32" t="s">
        <v>40</v>
      </c>
      <c r="K509" s="32" t="s">
        <v>41</v>
      </c>
      <c r="M509" s="32" t="s">
        <v>5416</v>
      </c>
      <c r="N509" s="32" t="s">
        <v>44</v>
      </c>
    </row>
    <row r="510" spans="1:14" s="32" customFormat="1" hidden="1" x14ac:dyDescent="0.3">
      <c r="A510" s="39">
        <v>46196.399907407409</v>
      </c>
      <c r="B510" s="32">
        <v>4430282545</v>
      </c>
      <c r="C510" s="32" t="s">
        <v>37</v>
      </c>
      <c r="D510" s="32">
        <v>4430265054</v>
      </c>
      <c r="E510" s="32">
        <v>163</v>
      </c>
      <c r="F510" s="32">
        <v>31</v>
      </c>
      <c r="G510" s="32" t="s">
        <v>38</v>
      </c>
      <c r="H510" s="32" t="s">
        <v>5927</v>
      </c>
      <c r="I510" s="32" t="s">
        <v>39</v>
      </c>
      <c r="J510" s="32" t="s">
        <v>40</v>
      </c>
      <c r="K510" s="32" t="s">
        <v>41</v>
      </c>
      <c r="M510" s="32" t="s">
        <v>5410</v>
      </c>
      <c r="N510" s="32" t="s">
        <v>37</v>
      </c>
    </row>
    <row r="511" spans="1:14" s="32" customFormat="1" hidden="1" x14ac:dyDescent="0.3">
      <c r="A511" s="39">
        <v>46196.396377314813</v>
      </c>
      <c r="B511" s="32">
        <v>35998295948</v>
      </c>
      <c r="C511" s="32" t="s">
        <v>44</v>
      </c>
      <c r="D511" s="32">
        <v>4430265054</v>
      </c>
      <c r="E511" s="32">
        <v>183</v>
      </c>
      <c r="F511" s="32">
        <v>105</v>
      </c>
      <c r="G511" s="32" t="s">
        <v>38</v>
      </c>
      <c r="H511" s="32" t="s">
        <v>5928</v>
      </c>
      <c r="I511" s="32" t="s">
        <v>39</v>
      </c>
      <c r="J511" s="32" t="s">
        <v>40</v>
      </c>
      <c r="K511" s="32" t="s">
        <v>41</v>
      </c>
      <c r="M511" s="32" t="s">
        <v>5416</v>
      </c>
      <c r="N511" s="32" t="s">
        <v>44</v>
      </c>
    </row>
    <row r="512" spans="1:14" s="32" customFormat="1" hidden="1" x14ac:dyDescent="0.3">
      <c r="A512" s="39">
        <v>46196.3909375</v>
      </c>
      <c r="B512" s="32">
        <v>44999743444</v>
      </c>
      <c r="C512" s="32" t="s">
        <v>48</v>
      </c>
      <c r="D512" s="32">
        <v>4430265054</v>
      </c>
      <c r="E512" s="32">
        <v>236</v>
      </c>
      <c r="F512" s="32">
        <v>214</v>
      </c>
      <c r="G512" s="32" t="s">
        <v>38</v>
      </c>
      <c r="H512" s="32" t="s">
        <v>5929</v>
      </c>
      <c r="I512" s="32" t="s">
        <v>39</v>
      </c>
      <c r="J512" s="32" t="s">
        <v>40</v>
      </c>
      <c r="K512" s="32" t="s">
        <v>41</v>
      </c>
      <c r="M512" s="32" t="s">
        <v>5412</v>
      </c>
      <c r="N512" s="32" t="s">
        <v>48</v>
      </c>
    </row>
    <row r="513" spans="1:14" s="32" customFormat="1" hidden="1" x14ac:dyDescent="0.3">
      <c r="A513" s="39">
        <v>46196.389328703706</v>
      </c>
      <c r="B513" s="32">
        <v>44999743444</v>
      </c>
      <c r="C513" s="32" t="s">
        <v>44</v>
      </c>
      <c r="D513" s="32">
        <v>4430265054</v>
      </c>
      <c r="E513" s="32">
        <v>136</v>
      </c>
      <c r="F513" s="32">
        <v>73</v>
      </c>
      <c r="G513" s="32" t="s">
        <v>38</v>
      </c>
      <c r="H513" s="32" t="s">
        <v>5930</v>
      </c>
      <c r="I513" s="32" t="s">
        <v>39</v>
      </c>
      <c r="J513" s="32" t="s">
        <v>40</v>
      </c>
      <c r="K513" s="32" t="s">
        <v>41</v>
      </c>
      <c r="M513" s="32" t="s">
        <v>5416</v>
      </c>
      <c r="N513" s="32" t="s">
        <v>44</v>
      </c>
    </row>
    <row r="514" spans="1:14" s="32" customFormat="1" hidden="1" x14ac:dyDescent="0.3">
      <c r="A514" s="39">
        <v>46196.388865740744</v>
      </c>
      <c r="B514" s="32">
        <v>35998295948</v>
      </c>
      <c r="C514" s="32" t="s">
        <v>37</v>
      </c>
      <c r="D514" s="32">
        <v>4430265054</v>
      </c>
      <c r="E514" s="32">
        <v>288</v>
      </c>
      <c r="F514" s="32">
        <v>212</v>
      </c>
      <c r="G514" s="32" t="s">
        <v>38</v>
      </c>
      <c r="H514" s="32" t="s">
        <v>5931</v>
      </c>
      <c r="I514" s="32" t="s">
        <v>39</v>
      </c>
      <c r="J514" s="32" t="s">
        <v>40</v>
      </c>
      <c r="K514" s="32" t="s">
        <v>41</v>
      </c>
      <c r="M514" s="32" t="s">
        <v>5410</v>
      </c>
      <c r="N514" s="32" t="s">
        <v>37</v>
      </c>
    </row>
    <row r="515" spans="1:14" s="32" customFormat="1" hidden="1" x14ac:dyDescent="0.3">
      <c r="A515" s="39">
        <v>46196.382094907407</v>
      </c>
      <c r="B515" s="32">
        <v>44998107650</v>
      </c>
      <c r="C515" s="32" t="s">
        <v>45</v>
      </c>
      <c r="D515" s="32">
        <v>4431268225</v>
      </c>
      <c r="E515" s="32">
        <v>2252</v>
      </c>
      <c r="F515" s="32">
        <v>2031</v>
      </c>
      <c r="G515" s="32" t="s">
        <v>38</v>
      </c>
      <c r="H515" s="32" t="s">
        <v>5932</v>
      </c>
      <c r="I515" s="32" t="s">
        <v>39</v>
      </c>
      <c r="J515" s="32" t="s">
        <v>40</v>
      </c>
      <c r="K515" s="32" t="s">
        <v>41</v>
      </c>
      <c r="L515" s="32">
        <v>5</v>
      </c>
      <c r="M515" s="32" t="s">
        <v>5421</v>
      </c>
      <c r="N515" s="32" t="s">
        <v>45</v>
      </c>
    </row>
    <row r="516" spans="1:14" s="32" customFormat="1" hidden="1" x14ac:dyDescent="0.3">
      <c r="A516" s="39">
        <v>46196.378842592596</v>
      </c>
      <c r="B516" s="32">
        <v>4434231198</v>
      </c>
      <c r="C516" s="32" t="s">
        <v>44</v>
      </c>
      <c r="D516" s="32">
        <v>4430265054</v>
      </c>
      <c r="E516" s="32">
        <v>578</v>
      </c>
      <c r="F516" s="32">
        <v>526</v>
      </c>
      <c r="G516" s="32" t="s">
        <v>38</v>
      </c>
      <c r="H516" s="32" t="s">
        <v>5933</v>
      </c>
      <c r="I516" s="32" t="s">
        <v>39</v>
      </c>
      <c r="J516" s="32" t="s">
        <v>40</v>
      </c>
      <c r="K516" s="32" t="s">
        <v>41</v>
      </c>
      <c r="M516" s="32" t="s">
        <v>5416</v>
      </c>
      <c r="N516" s="32" t="s">
        <v>44</v>
      </c>
    </row>
    <row r="517" spans="1:14" s="32" customFormat="1" hidden="1" x14ac:dyDescent="0.3">
      <c r="A517" s="39">
        <v>46196.376238425924</v>
      </c>
      <c r="B517" s="32">
        <v>35998295948</v>
      </c>
      <c r="C517" s="32" t="s">
        <v>45</v>
      </c>
      <c r="D517" s="32">
        <v>4430265054</v>
      </c>
      <c r="E517" s="32">
        <v>641</v>
      </c>
      <c r="F517" s="32">
        <v>620</v>
      </c>
      <c r="G517" s="32" t="s">
        <v>38</v>
      </c>
      <c r="H517" s="32" t="s">
        <v>5934</v>
      </c>
      <c r="I517" s="32" t="s">
        <v>39</v>
      </c>
      <c r="J517" s="32" t="s">
        <v>40</v>
      </c>
      <c r="K517" s="32" t="s">
        <v>41</v>
      </c>
      <c r="L517" s="32">
        <v>5</v>
      </c>
      <c r="M517" s="32" t="s">
        <v>5421</v>
      </c>
      <c r="N517" s="32" t="s">
        <v>45</v>
      </c>
    </row>
    <row r="518" spans="1:14" s="32" customFormat="1" hidden="1" x14ac:dyDescent="0.3">
      <c r="A518" s="39">
        <v>46196.368333333332</v>
      </c>
      <c r="B518" s="32" t="s">
        <v>45</v>
      </c>
      <c r="C518" s="32">
        <v>4430282545</v>
      </c>
      <c r="E518" s="32">
        <v>46</v>
      </c>
      <c r="F518" s="32">
        <v>24</v>
      </c>
      <c r="G518" s="32" t="s">
        <v>38</v>
      </c>
      <c r="H518" s="32" t="s">
        <v>5935</v>
      </c>
      <c r="I518" s="32" t="s">
        <v>46</v>
      </c>
      <c r="J518" s="32" t="s">
        <v>40</v>
      </c>
      <c r="M518" s="32" t="s">
        <v>5421</v>
      </c>
      <c r="N518" s="32" t="s">
        <v>45</v>
      </c>
    </row>
    <row r="519" spans="1:14" s="32" customFormat="1" hidden="1" x14ac:dyDescent="0.3">
      <c r="A519" s="39">
        <v>46196.366516203707</v>
      </c>
      <c r="B519" s="32" t="s">
        <v>45</v>
      </c>
      <c r="C519" s="32">
        <v>1143744993</v>
      </c>
      <c r="E519" s="32">
        <v>125</v>
      </c>
      <c r="F519" s="32">
        <v>113</v>
      </c>
      <c r="G519" s="32" t="s">
        <v>38</v>
      </c>
      <c r="H519" s="32" t="s">
        <v>5936</v>
      </c>
      <c r="I519" s="32" t="s">
        <v>46</v>
      </c>
      <c r="J519" s="32" t="s">
        <v>40</v>
      </c>
      <c r="M519" s="32" t="s">
        <v>5421</v>
      </c>
      <c r="N519" s="32" t="s">
        <v>45</v>
      </c>
    </row>
    <row r="520" spans="1:14" s="32" customFormat="1" hidden="1" x14ac:dyDescent="0.3">
      <c r="A520" s="39">
        <v>46196.363807870373</v>
      </c>
      <c r="B520" s="32">
        <v>83988398480</v>
      </c>
      <c r="C520" s="32" t="s">
        <v>37</v>
      </c>
      <c r="D520" s="32">
        <v>4430265054</v>
      </c>
      <c r="E520" s="32">
        <v>505</v>
      </c>
      <c r="F520" s="32">
        <v>494</v>
      </c>
      <c r="G520" s="32" t="s">
        <v>38</v>
      </c>
      <c r="H520" s="32" t="s">
        <v>5937</v>
      </c>
      <c r="I520" s="32" t="s">
        <v>39</v>
      </c>
      <c r="J520" s="32" t="s">
        <v>40</v>
      </c>
      <c r="K520" s="32" t="s">
        <v>41</v>
      </c>
      <c r="L520" s="32">
        <v>5</v>
      </c>
      <c r="M520" s="32" t="s">
        <v>5410</v>
      </c>
      <c r="N520" s="32" t="s">
        <v>37</v>
      </c>
    </row>
    <row r="521" spans="1:14" s="32" customFormat="1" hidden="1" x14ac:dyDescent="0.3">
      <c r="A521" s="39">
        <v>46196.361122685186</v>
      </c>
      <c r="B521" s="32" t="s">
        <v>37</v>
      </c>
      <c r="C521" s="32">
        <v>41999717893</v>
      </c>
      <c r="E521" s="32">
        <v>34</v>
      </c>
      <c r="F521" s="32">
        <v>0</v>
      </c>
      <c r="G521" s="32" t="s">
        <v>47</v>
      </c>
      <c r="H521" s="32" t="s">
        <v>5938</v>
      </c>
      <c r="I521" s="32" t="s">
        <v>46</v>
      </c>
      <c r="J521" s="32" t="s">
        <v>40</v>
      </c>
      <c r="M521" s="32" t="s">
        <v>5410</v>
      </c>
      <c r="N521" s="32" t="s">
        <v>37</v>
      </c>
    </row>
    <row r="522" spans="1:14" s="32" customFormat="1" hidden="1" x14ac:dyDescent="0.3">
      <c r="A522" s="39">
        <v>46196.359837962962</v>
      </c>
      <c r="B522" s="32">
        <v>4430162384</v>
      </c>
      <c r="C522" s="32" t="s">
        <v>45</v>
      </c>
      <c r="D522" s="32">
        <v>4430265054</v>
      </c>
      <c r="E522" s="32">
        <v>447</v>
      </c>
      <c r="F522" s="32">
        <v>385</v>
      </c>
      <c r="G522" s="32" t="s">
        <v>38</v>
      </c>
      <c r="H522" s="32" t="s">
        <v>5939</v>
      </c>
      <c r="I522" s="32" t="s">
        <v>39</v>
      </c>
      <c r="J522" s="32" t="s">
        <v>40</v>
      </c>
      <c r="K522" s="32" t="s">
        <v>41</v>
      </c>
      <c r="L522" s="32">
        <v>5</v>
      </c>
      <c r="M522" s="32" t="s">
        <v>5421</v>
      </c>
      <c r="N522" s="32" t="s">
        <v>45</v>
      </c>
    </row>
    <row r="523" spans="1:14" s="32" customFormat="1" hidden="1" x14ac:dyDescent="0.3">
      <c r="A523" s="39">
        <v>46195.80332175926</v>
      </c>
      <c r="B523" s="32">
        <v>31998432423</v>
      </c>
      <c r="C523" s="32">
        <v>4430265054</v>
      </c>
      <c r="D523" s="32">
        <v>4430265054</v>
      </c>
      <c r="E523" s="32">
        <v>4</v>
      </c>
      <c r="F523" s="32">
        <v>4</v>
      </c>
      <c r="G523" s="32" t="s">
        <v>52</v>
      </c>
      <c r="H523" s="32" t="s">
        <v>5940</v>
      </c>
      <c r="I523" s="32" t="s">
        <v>39</v>
      </c>
      <c r="J523" s="32" t="s">
        <v>53</v>
      </c>
    </row>
    <row r="524" spans="1:14" s="32" customFormat="1" hidden="1" x14ac:dyDescent="0.3">
      <c r="A524" s="39">
        <v>46195.735775462963</v>
      </c>
      <c r="B524" s="32">
        <v>44998107650</v>
      </c>
      <c r="C524" s="32" t="s">
        <v>37</v>
      </c>
      <c r="D524" s="32">
        <v>4431268225</v>
      </c>
      <c r="E524" s="32">
        <v>860</v>
      </c>
      <c r="F524" s="32">
        <v>618</v>
      </c>
      <c r="G524" s="32" t="s">
        <v>38</v>
      </c>
      <c r="H524" s="32" t="s">
        <v>5941</v>
      </c>
      <c r="I524" s="32" t="s">
        <v>39</v>
      </c>
      <c r="J524" s="32" t="s">
        <v>40</v>
      </c>
      <c r="K524" s="32" t="s">
        <v>41</v>
      </c>
      <c r="L524" s="32">
        <v>5</v>
      </c>
      <c r="M524" s="32" t="s">
        <v>5410</v>
      </c>
      <c r="N524" s="32" t="s">
        <v>37</v>
      </c>
    </row>
    <row r="525" spans="1:14" s="32" customFormat="1" hidden="1" x14ac:dyDescent="0.3">
      <c r="A525" s="39">
        <v>46195.712997685187</v>
      </c>
      <c r="B525" s="32">
        <v>6434534421</v>
      </c>
      <c r="C525" s="32" t="s">
        <v>44</v>
      </c>
      <c r="D525" s="32">
        <v>4430265054</v>
      </c>
      <c r="E525" s="32">
        <v>1084</v>
      </c>
      <c r="F525" s="32">
        <v>984</v>
      </c>
      <c r="G525" s="32" t="s">
        <v>38</v>
      </c>
      <c r="H525" s="32" t="s">
        <v>5942</v>
      </c>
      <c r="I525" s="32" t="s">
        <v>39</v>
      </c>
      <c r="J525" s="32" t="s">
        <v>40</v>
      </c>
      <c r="K525" s="32" t="s">
        <v>41</v>
      </c>
      <c r="L525" s="32">
        <v>5</v>
      </c>
      <c r="M525" s="32" t="s">
        <v>5416</v>
      </c>
      <c r="N525" s="32" t="s">
        <v>44</v>
      </c>
    </row>
    <row r="526" spans="1:14" s="32" customFormat="1" hidden="1" x14ac:dyDescent="0.3">
      <c r="A526" s="39">
        <v>46195.707974537036</v>
      </c>
      <c r="B526" s="32" t="s">
        <v>45</v>
      </c>
      <c r="C526" s="32">
        <v>4430282545</v>
      </c>
      <c r="E526" s="32">
        <v>547</v>
      </c>
      <c r="F526" s="32">
        <v>528</v>
      </c>
      <c r="G526" s="32" t="s">
        <v>38</v>
      </c>
      <c r="H526" s="32" t="s">
        <v>5943</v>
      </c>
      <c r="I526" s="32" t="s">
        <v>46</v>
      </c>
      <c r="J526" s="32" t="s">
        <v>40</v>
      </c>
      <c r="M526" s="32" t="s">
        <v>5421</v>
      </c>
      <c r="N526" s="32" t="s">
        <v>45</v>
      </c>
    </row>
    <row r="527" spans="1:14" s="32" customFormat="1" hidden="1" x14ac:dyDescent="0.3">
      <c r="A527" s="39">
        <v>46195.705497685187</v>
      </c>
      <c r="B527" s="32" t="s">
        <v>45</v>
      </c>
      <c r="C527" s="32">
        <v>93991495484</v>
      </c>
      <c r="E527" s="32">
        <v>70</v>
      </c>
      <c r="F527" s="32">
        <v>30</v>
      </c>
      <c r="G527" s="32" t="s">
        <v>38</v>
      </c>
      <c r="H527" s="32" t="s">
        <v>5944</v>
      </c>
      <c r="I527" s="32" t="s">
        <v>46</v>
      </c>
      <c r="J527" s="32" t="s">
        <v>40</v>
      </c>
      <c r="M527" s="32" t="s">
        <v>5421</v>
      </c>
      <c r="N527" s="32" t="s">
        <v>45</v>
      </c>
    </row>
    <row r="528" spans="1:14" s="32" customFormat="1" hidden="1" x14ac:dyDescent="0.3">
      <c r="A528" s="39">
        <v>46195.704895833333</v>
      </c>
      <c r="B528" s="32">
        <v>44998107650</v>
      </c>
      <c r="C528" s="32" t="s">
        <v>37</v>
      </c>
      <c r="D528" s="32">
        <v>4431268225</v>
      </c>
      <c r="E528" s="32">
        <v>899</v>
      </c>
      <c r="F528" s="32">
        <v>832</v>
      </c>
      <c r="G528" s="32" t="s">
        <v>38</v>
      </c>
      <c r="H528" s="32" t="s">
        <v>5945</v>
      </c>
      <c r="I528" s="32" t="s">
        <v>39</v>
      </c>
      <c r="J528" s="32" t="s">
        <v>40</v>
      </c>
      <c r="K528" s="32" t="s">
        <v>41</v>
      </c>
      <c r="L528" s="32">
        <v>3</v>
      </c>
      <c r="M528" s="32" t="s">
        <v>5410</v>
      </c>
      <c r="N528" s="32" t="s">
        <v>37</v>
      </c>
    </row>
    <row r="529" spans="1:14" s="32" customFormat="1" hidden="1" x14ac:dyDescent="0.3">
      <c r="A529" s="39">
        <v>46195.686076388891</v>
      </c>
      <c r="B529" s="32">
        <v>4432541200</v>
      </c>
      <c r="C529" s="32" t="s">
        <v>48</v>
      </c>
      <c r="D529" s="32">
        <v>4430265054</v>
      </c>
      <c r="E529" s="32">
        <v>148</v>
      </c>
      <c r="F529" s="32">
        <v>147</v>
      </c>
      <c r="G529" s="32" t="s">
        <v>38</v>
      </c>
      <c r="H529" s="32" t="s">
        <v>5946</v>
      </c>
      <c r="I529" s="32" t="s">
        <v>39</v>
      </c>
      <c r="J529" s="32" t="s">
        <v>40</v>
      </c>
      <c r="K529" s="32" t="s">
        <v>41</v>
      </c>
      <c r="L529" s="32">
        <v>5</v>
      </c>
      <c r="M529" s="32" t="s">
        <v>5412</v>
      </c>
      <c r="N529" s="32" t="s">
        <v>48</v>
      </c>
    </row>
    <row r="530" spans="1:14" s="32" customFormat="1" hidden="1" x14ac:dyDescent="0.3">
      <c r="A530" s="39">
        <v>46195.683449074073</v>
      </c>
      <c r="B530" s="32">
        <v>45999334612</v>
      </c>
      <c r="C530" s="32" t="s">
        <v>37</v>
      </c>
      <c r="D530" s="32">
        <v>4430265054</v>
      </c>
      <c r="E530" s="32">
        <v>494</v>
      </c>
      <c r="F530" s="32">
        <v>471</v>
      </c>
      <c r="G530" s="32" t="s">
        <v>38</v>
      </c>
      <c r="H530" s="32" t="s">
        <v>5947</v>
      </c>
      <c r="I530" s="32" t="s">
        <v>39</v>
      </c>
      <c r="J530" s="32" t="s">
        <v>40</v>
      </c>
      <c r="K530" s="32" t="s">
        <v>41</v>
      </c>
      <c r="L530" s="32">
        <v>5</v>
      </c>
      <c r="M530" s="32" t="s">
        <v>5410</v>
      </c>
      <c r="N530" s="32" t="s">
        <v>37</v>
      </c>
    </row>
    <row r="531" spans="1:14" s="32" customFormat="1" hidden="1" x14ac:dyDescent="0.3">
      <c r="A531" s="39">
        <v>46195.682476851849</v>
      </c>
      <c r="B531" s="32">
        <v>4532541802</v>
      </c>
      <c r="C531" s="32" t="s">
        <v>45</v>
      </c>
      <c r="D531" s="32">
        <v>4430265054</v>
      </c>
      <c r="E531" s="32">
        <v>148</v>
      </c>
      <c r="F531" s="32">
        <v>67</v>
      </c>
      <c r="G531" s="32" t="s">
        <v>38</v>
      </c>
      <c r="H531" s="32" t="s">
        <v>5948</v>
      </c>
      <c r="I531" s="32" t="s">
        <v>39</v>
      </c>
      <c r="J531" s="32" t="s">
        <v>40</v>
      </c>
      <c r="K531" s="32" t="s">
        <v>41</v>
      </c>
      <c r="M531" s="32" t="s">
        <v>5421</v>
      </c>
      <c r="N531" s="32" t="s">
        <v>45</v>
      </c>
    </row>
    <row r="532" spans="1:14" s="32" customFormat="1" hidden="1" x14ac:dyDescent="0.3">
      <c r="A532" s="39">
        <v>46195.669942129629</v>
      </c>
      <c r="B532" s="32">
        <v>4436249360</v>
      </c>
      <c r="C532" s="32" t="s">
        <v>48</v>
      </c>
      <c r="D532" s="32">
        <v>4430265054</v>
      </c>
      <c r="E532" s="32">
        <v>464</v>
      </c>
      <c r="F532" s="32">
        <v>463</v>
      </c>
      <c r="G532" s="32" t="s">
        <v>38</v>
      </c>
      <c r="H532" s="32" t="s">
        <v>5949</v>
      </c>
      <c r="I532" s="32" t="s">
        <v>39</v>
      </c>
      <c r="J532" s="32" t="s">
        <v>40</v>
      </c>
      <c r="K532" s="32" t="s">
        <v>41</v>
      </c>
      <c r="M532" s="32" t="s">
        <v>5412</v>
      </c>
      <c r="N532" s="32" t="s">
        <v>48</v>
      </c>
    </row>
    <row r="533" spans="1:14" s="32" customFormat="1" hidden="1" x14ac:dyDescent="0.3">
      <c r="A533" s="39">
        <v>46195.666759259257</v>
      </c>
      <c r="B533" s="32" t="s">
        <v>45</v>
      </c>
      <c r="C533" s="32">
        <v>1143744993</v>
      </c>
      <c r="E533" s="32">
        <v>39</v>
      </c>
      <c r="F533" s="32">
        <v>25</v>
      </c>
      <c r="G533" s="32" t="s">
        <v>38</v>
      </c>
      <c r="H533" s="32" t="s">
        <v>5950</v>
      </c>
      <c r="I533" s="32" t="s">
        <v>46</v>
      </c>
      <c r="J533" s="32" t="s">
        <v>40</v>
      </c>
      <c r="M533" s="32" t="s">
        <v>5421</v>
      </c>
      <c r="N533" s="32" t="s">
        <v>45</v>
      </c>
    </row>
    <row r="534" spans="1:14" s="32" customFormat="1" hidden="1" x14ac:dyDescent="0.3">
      <c r="A534" s="39">
        <v>46195.664085648146</v>
      </c>
      <c r="B534" s="32">
        <v>41997840159</v>
      </c>
      <c r="C534" s="32" t="s">
        <v>44</v>
      </c>
      <c r="D534" s="32">
        <v>4431268225</v>
      </c>
      <c r="E534" s="32">
        <v>555</v>
      </c>
      <c r="F534" s="32">
        <v>473</v>
      </c>
      <c r="G534" s="32" t="s">
        <v>38</v>
      </c>
      <c r="H534" s="32" t="s">
        <v>5951</v>
      </c>
      <c r="I534" s="32" t="s">
        <v>39</v>
      </c>
      <c r="J534" s="32" t="s">
        <v>40</v>
      </c>
      <c r="K534" s="32" t="s">
        <v>41</v>
      </c>
      <c r="M534" s="32" t="s">
        <v>5416</v>
      </c>
      <c r="N534" s="32" t="s">
        <v>44</v>
      </c>
    </row>
    <row r="535" spans="1:14" s="32" customFormat="1" hidden="1" x14ac:dyDescent="0.3">
      <c r="A535" s="39">
        <v>46195.662997685184</v>
      </c>
      <c r="B535" s="32">
        <v>44997400641</v>
      </c>
      <c r="C535" s="32" t="s">
        <v>37</v>
      </c>
      <c r="D535" s="32">
        <v>4430265054</v>
      </c>
      <c r="E535" s="32">
        <v>359</v>
      </c>
      <c r="F535" s="32">
        <v>315</v>
      </c>
      <c r="G535" s="32" t="s">
        <v>38</v>
      </c>
      <c r="H535" s="32" t="s">
        <v>5952</v>
      </c>
      <c r="I535" s="32" t="s">
        <v>39</v>
      </c>
      <c r="J535" s="32" t="s">
        <v>40</v>
      </c>
      <c r="K535" s="32" t="s">
        <v>41</v>
      </c>
      <c r="M535" s="32" t="s">
        <v>5410</v>
      </c>
      <c r="N535" s="32" t="s">
        <v>37</v>
      </c>
    </row>
    <row r="536" spans="1:14" s="32" customFormat="1" hidden="1" x14ac:dyDescent="0.3">
      <c r="A536" s="39">
        <v>46195.653703703705</v>
      </c>
      <c r="B536" s="32">
        <v>44998107650</v>
      </c>
      <c r="C536" s="32" t="s">
        <v>48</v>
      </c>
      <c r="D536" s="32">
        <v>4431268225</v>
      </c>
      <c r="E536" s="32">
        <v>349</v>
      </c>
      <c r="F536" s="32">
        <v>349</v>
      </c>
      <c r="G536" s="32" t="s">
        <v>38</v>
      </c>
      <c r="H536" s="32" t="s">
        <v>5953</v>
      </c>
      <c r="I536" s="32" t="s">
        <v>39</v>
      </c>
      <c r="J536" s="32" t="s">
        <v>40</v>
      </c>
      <c r="K536" s="32" t="s">
        <v>41</v>
      </c>
      <c r="M536" s="32" t="s">
        <v>5412</v>
      </c>
      <c r="N536" s="32" t="s">
        <v>48</v>
      </c>
    </row>
    <row r="537" spans="1:14" s="32" customFormat="1" hidden="1" x14ac:dyDescent="0.3">
      <c r="A537" s="39">
        <v>46195.651053240741</v>
      </c>
      <c r="B537" s="32">
        <v>44999540372</v>
      </c>
      <c r="C537" s="32" t="s">
        <v>45</v>
      </c>
      <c r="D537" s="32">
        <v>4430265054</v>
      </c>
      <c r="E537" s="32">
        <v>916</v>
      </c>
      <c r="F537" s="32">
        <v>730</v>
      </c>
      <c r="G537" s="32" t="s">
        <v>38</v>
      </c>
      <c r="H537" s="32" t="s">
        <v>5954</v>
      </c>
      <c r="I537" s="32" t="s">
        <v>39</v>
      </c>
      <c r="J537" s="32" t="s">
        <v>40</v>
      </c>
      <c r="K537" s="32" t="s">
        <v>41</v>
      </c>
      <c r="M537" s="32" t="s">
        <v>5421</v>
      </c>
      <c r="N537" s="32" t="s">
        <v>45</v>
      </c>
    </row>
    <row r="538" spans="1:14" s="32" customFormat="1" hidden="1" x14ac:dyDescent="0.3">
      <c r="A538" s="39">
        <v>46195.647245370368</v>
      </c>
      <c r="B538" s="32" t="s">
        <v>45</v>
      </c>
      <c r="C538" s="32">
        <v>12981700386</v>
      </c>
      <c r="E538" s="32">
        <v>77</v>
      </c>
      <c r="F538" s="32">
        <v>60</v>
      </c>
      <c r="G538" s="32" t="s">
        <v>38</v>
      </c>
      <c r="H538" s="32" t="s">
        <v>5955</v>
      </c>
      <c r="I538" s="32" t="s">
        <v>46</v>
      </c>
      <c r="J538" s="32" t="s">
        <v>40</v>
      </c>
      <c r="M538" s="32" t="s">
        <v>5421</v>
      </c>
      <c r="N538" s="32" t="s">
        <v>45</v>
      </c>
    </row>
    <row r="539" spans="1:14" s="32" customFormat="1" hidden="1" x14ac:dyDescent="0.3">
      <c r="A539" s="39">
        <v>46195.645821759259</v>
      </c>
      <c r="B539" s="32" t="s">
        <v>45</v>
      </c>
      <c r="C539" s="32">
        <v>45999211357</v>
      </c>
      <c r="E539" s="32">
        <v>41</v>
      </c>
      <c r="F539" s="32">
        <v>27</v>
      </c>
      <c r="G539" s="32" t="s">
        <v>38</v>
      </c>
      <c r="H539" s="32" t="s">
        <v>5956</v>
      </c>
      <c r="I539" s="32" t="s">
        <v>46</v>
      </c>
      <c r="J539" s="32" t="s">
        <v>40</v>
      </c>
      <c r="M539" s="32" t="s">
        <v>5421</v>
      </c>
      <c r="N539" s="32" t="s">
        <v>45</v>
      </c>
    </row>
    <row r="540" spans="1:14" s="32" customFormat="1" hidden="1" x14ac:dyDescent="0.3">
      <c r="A540" s="39">
        <v>46195.63616898148</v>
      </c>
      <c r="B540" s="32" t="s">
        <v>57</v>
      </c>
      <c r="C540" s="32" t="s">
        <v>50</v>
      </c>
      <c r="E540" s="32">
        <v>138</v>
      </c>
      <c r="F540" s="32">
        <v>135</v>
      </c>
      <c r="G540" s="32" t="s">
        <v>38</v>
      </c>
      <c r="H540" s="32" t="s">
        <v>5957</v>
      </c>
      <c r="I540" s="32" t="s">
        <v>51</v>
      </c>
      <c r="J540" s="32" t="s">
        <v>55</v>
      </c>
      <c r="M540" s="32" t="s">
        <v>5456</v>
      </c>
      <c r="N540" s="32" t="s">
        <v>57</v>
      </c>
    </row>
    <row r="541" spans="1:14" s="32" customFormat="1" hidden="1" x14ac:dyDescent="0.3">
      <c r="A541" s="39">
        <v>46195.627280092594</v>
      </c>
      <c r="B541" s="32" t="s">
        <v>50</v>
      </c>
      <c r="C541" s="32" t="s">
        <v>57</v>
      </c>
      <c r="E541" s="32">
        <v>11</v>
      </c>
      <c r="F541" s="32">
        <v>0</v>
      </c>
      <c r="G541" s="32" t="s">
        <v>47</v>
      </c>
      <c r="H541" s="32" t="s">
        <v>5958</v>
      </c>
      <c r="I541" s="32" t="s">
        <v>51</v>
      </c>
      <c r="J541" s="32" t="s">
        <v>55</v>
      </c>
      <c r="M541" s="32" t="s">
        <v>5746</v>
      </c>
      <c r="N541" s="32" t="s">
        <v>50</v>
      </c>
    </row>
    <row r="542" spans="1:14" s="32" customFormat="1" hidden="1" x14ac:dyDescent="0.3">
      <c r="A542" s="39">
        <v>46195.622361111113</v>
      </c>
      <c r="B542" s="32" t="s">
        <v>50</v>
      </c>
      <c r="C542" s="32" t="s">
        <v>57</v>
      </c>
      <c r="E542" s="32">
        <v>13</v>
      </c>
      <c r="F542" s="32">
        <v>0</v>
      </c>
      <c r="G542" s="32" t="s">
        <v>47</v>
      </c>
      <c r="H542" s="32" t="s">
        <v>5959</v>
      </c>
      <c r="I542" s="32" t="s">
        <v>51</v>
      </c>
      <c r="J542" s="32" t="s">
        <v>55</v>
      </c>
      <c r="M542" s="32" t="s">
        <v>5746</v>
      </c>
      <c r="N542" s="32" t="s">
        <v>50</v>
      </c>
    </row>
    <row r="543" spans="1:14" s="32" customFormat="1" hidden="1" x14ac:dyDescent="0.3">
      <c r="A543" s="39">
        <v>46195.614965277775</v>
      </c>
      <c r="B543" s="32" t="s">
        <v>45</v>
      </c>
      <c r="C543" s="32">
        <v>4433235524</v>
      </c>
      <c r="E543" s="32">
        <v>1020</v>
      </c>
      <c r="F543" s="32">
        <v>1013</v>
      </c>
      <c r="G543" s="32" t="s">
        <v>38</v>
      </c>
      <c r="H543" s="32" t="s">
        <v>5960</v>
      </c>
      <c r="I543" s="32" t="s">
        <v>46</v>
      </c>
      <c r="J543" s="32" t="s">
        <v>40</v>
      </c>
      <c r="L543" s="32">
        <v>5</v>
      </c>
      <c r="M543" s="32" t="s">
        <v>5421</v>
      </c>
      <c r="N543" s="32" t="s">
        <v>45</v>
      </c>
    </row>
    <row r="544" spans="1:14" s="32" customFormat="1" hidden="1" x14ac:dyDescent="0.3">
      <c r="A544" s="39">
        <v>46195.614884259259</v>
      </c>
      <c r="B544" s="32" t="s">
        <v>45</v>
      </c>
      <c r="C544" s="32">
        <v>4433235524</v>
      </c>
      <c r="E544" s="32">
        <v>14</v>
      </c>
      <c r="F544" s="32">
        <v>14</v>
      </c>
      <c r="G544" s="32" t="s">
        <v>38</v>
      </c>
      <c r="H544" s="32" t="s">
        <v>5961</v>
      </c>
      <c r="I544" s="32" t="s">
        <v>46</v>
      </c>
      <c r="J544" s="32" t="s">
        <v>40</v>
      </c>
      <c r="M544" s="32" t="s">
        <v>5421</v>
      </c>
      <c r="N544" s="32" t="s">
        <v>45</v>
      </c>
    </row>
    <row r="545" spans="1:14" s="32" customFormat="1" hidden="1" x14ac:dyDescent="0.3">
      <c r="A545" s="39">
        <v>46195.603726851848</v>
      </c>
      <c r="B545" s="32">
        <v>73982188717</v>
      </c>
      <c r="C545" s="32" t="s">
        <v>45</v>
      </c>
      <c r="D545" s="32">
        <v>4430265054</v>
      </c>
      <c r="E545" s="32">
        <v>962</v>
      </c>
      <c r="F545" s="32">
        <v>925</v>
      </c>
      <c r="G545" s="32" t="s">
        <v>38</v>
      </c>
      <c r="H545" s="32" t="s">
        <v>5962</v>
      </c>
      <c r="I545" s="32" t="s">
        <v>39</v>
      </c>
      <c r="J545" s="32" t="s">
        <v>40</v>
      </c>
      <c r="K545" s="32" t="s">
        <v>41</v>
      </c>
      <c r="M545" s="32" t="s">
        <v>5421</v>
      </c>
      <c r="N545" s="32" t="s">
        <v>45</v>
      </c>
    </row>
    <row r="546" spans="1:14" s="32" customFormat="1" hidden="1" x14ac:dyDescent="0.3">
      <c r="A546" s="39">
        <v>46195.596666666665</v>
      </c>
      <c r="B546" s="32" t="s">
        <v>37</v>
      </c>
      <c r="C546" s="32">
        <v>44991237155</v>
      </c>
      <c r="E546" s="32">
        <v>1047</v>
      </c>
      <c r="F546" s="32">
        <v>1035</v>
      </c>
      <c r="G546" s="32" t="s">
        <v>38</v>
      </c>
      <c r="H546" s="32" t="s">
        <v>5963</v>
      </c>
      <c r="I546" s="32" t="s">
        <v>46</v>
      </c>
      <c r="J546" s="32" t="s">
        <v>40</v>
      </c>
      <c r="M546" s="32" t="s">
        <v>5410</v>
      </c>
      <c r="N546" s="32" t="s">
        <v>37</v>
      </c>
    </row>
    <row r="547" spans="1:14" s="32" customFormat="1" hidden="1" x14ac:dyDescent="0.3">
      <c r="A547" s="39">
        <v>46195.596168981479</v>
      </c>
      <c r="B547" s="32" t="s">
        <v>37</v>
      </c>
      <c r="C547" s="32">
        <v>44991237155</v>
      </c>
      <c r="E547" s="32">
        <v>63</v>
      </c>
      <c r="F547" s="32">
        <v>25</v>
      </c>
      <c r="G547" s="32" t="s">
        <v>38</v>
      </c>
      <c r="H547" s="32" t="s">
        <v>5964</v>
      </c>
      <c r="I547" s="32" t="s">
        <v>46</v>
      </c>
      <c r="J547" s="32" t="s">
        <v>40</v>
      </c>
      <c r="M547" s="32" t="s">
        <v>5410</v>
      </c>
      <c r="N547" s="32" t="s">
        <v>37</v>
      </c>
    </row>
    <row r="548" spans="1:14" s="32" customFormat="1" hidden="1" x14ac:dyDescent="0.3">
      <c r="A548" s="39">
        <v>46195.595173611109</v>
      </c>
      <c r="B548" s="32">
        <v>44998107650</v>
      </c>
      <c r="C548" s="32" t="s">
        <v>44</v>
      </c>
      <c r="D548" s="32">
        <v>4431268225</v>
      </c>
      <c r="E548" s="32">
        <v>1176</v>
      </c>
      <c r="F548" s="32">
        <v>927</v>
      </c>
      <c r="G548" s="32" t="s">
        <v>38</v>
      </c>
      <c r="H548" s="32" t="s">
        <v>5965</v>
      </c>
      <c r="I548" s="32" t="s">
        <v>39</v>
      </c>
      <c r="J548" s="32" t="s">
        <v>40</v>
      </c>
      <c r="K548" s="32" t="s">
        <v>41</v>
      </c>
      <c r="M548" s="32" t="s">
        <v>5416</v>
      </c>
      <c r="N548" s="32" t="s">
        <v>44</v>
      </c>
    </row>
    <row r="549" spans="1:14" s="32" customFormat="1" hidden="1" x14ac:dyDescent="0.3">
      <c r="A549" s="39">
        <v>46195.590682870374</v>
      </c>
      <c r="B549" s="32">
        <v>4433235524</v>
      </c>
      <c r="C549" s="32" t="s">
        <v>45</v>
      </c>
      <c r="D549" s="32">
        <v>4430265054</v>
      </c>
      <c r="E549" s="32">
        <v>851</v>
      </c>
      <c r="F549" s="32">
        <v>810</v>
      </c>
      <c r="G549" s="32" t="s">
        <v>38</v>
      </c>
      <c r="H549" s="32" t="s">
        <v>5966</v>
      </c>
      <c r="I549" s="32" t="s">
        <v>39</v>
      </c>
      <c r="J549" s="32" t="s">
        <v>40</v>
      </c>
      <c r="K549" s="32" t="s">
        <v>41</v>
      </c>
      <c r="M549" s="32" t="s">
        <v>5421</v>
      </c>
      <c r="N549" s="32" t="s">
        <v>45</v>
      </c>
    </row>
    <row r="550" spans="1:14" s="32" customFormat="1" hidden="1" x14ac:dyDescent="0.3">
      <c r="A550" s="39">
        <v>46195.589143518519</v>
      </c>
      <c r="B550" s="32">
        <v>4436281154</v>
      </c>
      <c r="C550" s="32" t="s">
        <v>44</v>
      </c>
      <c r="D550" s="32">
        <v>4430265054</v>
      </c>
      <c r="E550" s="32">
        <v>536</v>
      </c>
      <c r="F550" s="32">
        <v>378</v>
      </c>
      <c r="G550" s="32" t="s">
        <v>38</v>
      </c>
      <c r="H550" s="32" t="s">
        <v>5967</v>
      </c>
      <c r="I550" s="32" t="s">
        <v>39</v>
      </c>
      <c r="J550" s="32" t="s">
        <v>40</v>
      </c>
      <c r="K550" s="32" t="s">
        <v>41</v>
      </c>
      <c r="M550" s="32" t="s">
        <v>5416</v>
      </c>
      <c r="N550" s="32" t="s">
        <v>44</v>
      </c>
    </row>
    <row r="551" spans="1:14" s="32" customFormat="1" hidden="1" x14ac:dyDescent="0.3">
      <c r="A551" s="39">
        <v>46195.574467592596</v>
      </c>
      <c r="B551" s="32">
        <v>4432637197</v>
      </c>
      <c r="C551" s="32" t="s">
        <v>44</v>
      </c>
      <c r="D551" s="32">
        <v>4430265054</v>
      </c>
      <c r="E551" s="32">
        <v>195</v>
      </c>
      <c r="F551" s="32">
        <v>71</v>
      </c>
      <c r="G551" s="32" t="s">
        <v>38</v>
      </c>
      <c r="H551" s="32" t="s">
        <v>5968</v>
      </c>
      <c r="I551" s="32" t="s">
        <v>39</v>
      </c>
      <c r="J551" s="32" t="s">
        <v>40</v>
      </c>
      <c r="K551" s="32" t="s">
        <v>41</v>
      </c>
      <c r="M551" s="32" t="s">
        <v>5416</v>
      </c>
      <c r="N551" s="32" t="s">
        <v>44</v>
      </c>
    </row>
    <row r="552" spans="1:14" s="32" customFormat="1" hidden="1" x14ac:dyDescent="0.3">
      <c r="A552" s="39">
        <v>46195.520428240743</v>
      </c>
      <c r="B552" s="32" t="s">
        <v>45</v>
      </c>
      <c r="C552" s="32">
        <v>44999479853</v>
      </c>
      <c r="E552" s="32">
        <v>37</v>
      </c>
      <c r="F552" s="32">
        <v>0</v>
      </c>
      <c r="G552" s="32" t="s">
        <v>47</v>
      </c>
      <c r="H552" s="32" t="s">
        <v>5969</v>
      </c>
      <c r="I552" s="32" t="s">
        <v>46</v>
      </c>
      <c r="J552" s="32" t="s">
        <v>40</v>
      </c>
      <c r="M552" s="32" t="s">
        <v>5421</v>
      </c>
      <c r="N552" s="32" t="s">
        <v>45</v>
      </c>
    </row>
    <row r="553" spans="1:14" s="32" customFormat="1" hidden="1" x14ac:dyDescent="0.3">
      <c r="A553" s="39">
        <v>46195.496446759258</v>
      </c>
      <c r="B553" s="32">
        <v>1143744993</v>
      </c>
      <c r="C553" s="32" t="s">
        <v>44</v>
      </c>
      <c r="D553" s="32">
        <v>4431268225</v>
      </c>
      <c r="E553" s="32">
        <v>83</v>
      </c>
      <c r="F553" s="32">
        <v>41</v>
      </c>
      <c r="G553" s="32" t="s">
        <v>38</v>
      </c>
      <c r="H553" s="32" t="s">
        <v>5970</v>
      </c>
      <c r="I553" s="32" t="s">
        <v>39</v>
      </c>
      <c r="J553" s="32" t="s">
        <v>40</v>
      </c>
      <c r="K553" s="32" t="s">
        <v>41</v>
      </c>
      <c r="M553" s="32" t="s">
        <v>5416</v>
      </c>
      <c r="N553" s="32" t="s">
        <v>44</v>
      </c>
    </row>
    <row r="554" spans="1:14" s="32" customFormat="1" hidden="1" x14ac:dyDescent="0.3">
      <c r="A554" s="39">
        <v>46195.489178240743</v>
      </c>
      <c r="B554" s="32">
        <v>12981700386</v>
      </c>
      <c r="C554" s="32" t="s">
        <v>45</v>
      </c>
      <c r="D554" s="32">
        <v>4430265054</v>
      </c>
      <c r="E554" s="32">
        <v>1286</v>
      </c>
      <c r="F554" s="32">
        <v>1237</v>
      </c>
      <c r="G554" s="32" t="s">
        <v>38</v>
      </c>
      <c r="H554" s="32" t="s">
        <v>5971</v>
      </c>
      <c r="I554" s="32" t="s">
        <v>39</v>
      </c>
      <c r="J554" s="32" t="s">
        <v>40</v>
      </c>
      <c r="K554" s="32" t="s">
        <v>41</v>
      </c>
      <c r="M554" s="32" t="s">
        <v>5421</v>
      </c>
      <c r="N554" s="32" t="s">
        <v>45</v>
      </c>
    </row>
    <row r="555" spans="1:14" s="32" customFormat="1" hidden="1" x14ac:dyDescent="0.3">
      <c r="A555" s="39">
        <v>46195.4846412037</v>
      </c>
      <c r="B555" s="32" t="s">
        <v>57</v>
      </c>
      <c r="C555" s="32">
        <v>12973439454</v>
      </c>
      <c r="E555" s="32">
        <v>9</v>
      </c>
      <c r="F555" s="32">
        <v>0</v>
      </c>
      <c r="G555" s="32" t="s">
        <v>47</v>
      </c>
      <c r="H555" s="32" t="s">
        <v>5972</v>
      </c>
      <c r="I555" s="32" t="s">
        <v>46</v>
      </c>
      <c r="J555" s="32" t="s">
        <v>55</v>
      </c>
      <c r="M555" s="32" t="s">
        <v>5456</v>
      </c>
      <c r="N555" s="32" t="s">
        <v>57</v>
      </c>
    </row>
    <row r="556" spans="1:14" s="32" customFormat="1" hidden="1" x14ac:dyDescent="0.3">
      <c r="A556" s="39">
        <v>46195.481273148151</v>
      </c>
      <c r="B556" s="32">
        <v>19992211619</v>
      </c>
      <c r="C556" s="32" t="s">
        <v>37</v>
      </c>
      <c r="D556" s="32">
        <v>4430265054</v>
      </c>
      <c r="E556" s="32">
        <v>1579</v>
      </c>
      <c r="F556" s="32">
        <v>1479</v>
      </c>
      <c r="G556" s="32" t="s">
        <v>38</v>
      </c>
      <c r="H556" s="32" t="s">
        <v>5973</v>
      </c>
      <c r="I556" s="32" t="s">
        <v>39</v>
      </c>
      <c r="J556" s="32" t="s">
        <v>40</v>
      </c>
      <c r="K556" s="32" t="s">
        <v>41</v>
      </c>
      <c r="M556" s="32" t="s">
        <v>5410</v>
      </c>
      <c r="N556" s="32" t="s">
        <v>37</v>
      </c>
    </row>
    <row r="557" spans="1:14" s="32" customFormat="1" hidden="1" x14ac:dyDescent="0.3">
      <c r="A557" s="39">
        <v>46195.469768518517</v>
      </c>
      <c r="B557" s="32" t="s">
        <v>54</v>
      </c>
      <c r="C557" s="32">
        <v>19996732865</v>
      </c>
      <c r="E557" s="32">
        <v>7</v>
      </c>
      <c r="F557" s="32">
        <v>0</v>
      </c>
      <c r="G557" s="32" t="s">
        <v>47</v>
      </c>
      <c r="H557" s="32" t="s">
        <v>5974</v>
      </c>
      <c r="I557" s="32" t="s">
        <v>46</v>
      </c>
      <c r="J557" s="32" t="s">
        <v>55</v>
      </c>
      <c r="M557" s="32" t="s">
        <v>5537</v>
      </c>
      <c r="N557" s="32" t="s">
        <v>54</v>
      </c>
    </row>
    <row r="558" spans="1:14" s="32" customFormat="1" hidden="1" x14ac:dyDescent="0.3">
      <c r="A558" s="39">
        <v>46195.466539351852</v>
      </c>
      <c r="B558" s="32">
        <v>47991434216</v>
      </c>
      <c r="C558" s="32" t="s">
        <v>37</v>
      </c>
      <c r="D558" s="32">
        <v>4430265054</v>
      </c>
      <c r="E558" s="32">
        <v>501</v>
      </c>
      <c r="F558" s="32">
        <v>473</v>
      </c>
      <c r="G558" s="32" t="s">
        <v>38</v>
      </c>
      <c r="H558" s="32" t="s">
        <v>5975</v>
      </c>
      <c r="I558" s="32" t="s">
        <v>39</v>
      </c>
      <c r="J558" s="32" t="s">
        <v>40</v>
      </c>
      <c r="K558" s="32" t="s">
        <v>41</v>
      </c>
      <c r="M558" s="32" t="s">
        <v>5410</v>
      </c>
      <c r="N558" s="32" t="s">
        <v>37</v>
      </c>
    </row>
    <row r="559" spans="1:14" s="32" customFormat="1" hidden="1" x14ac:dyDescent="0.3">
      <c r="A559" s="39">
        <v>46195.464629629627</v>
      </c>
      <c r="B559" s="32">
        <v>44999497001</v>
      </c>
      <c r="C559" s="32" t="s">
        <v>37</v>
      </c>
      <c r="D559" s="32">
        <v>4430265054</v>
      </c>
      <c r="E559" s="32">
        <v>244</v>
      </c>
      <c r="F559" s="32">
        <v>218</v>
      </c>
      <c r="G559" s="32" t="s">
        <v>38</v>
      </c>
      <c r="H559" s="32" t="s">
        <v>5976</v>
      </c>
      <c r="I559" s="32" t="s">
        <v>39</v>
      </c>
      <c r="J559" s="32" t="s">
        <v>40</v>
      </c>
      <c r="K559" s="32" t="s">
        <v>41</v>
      </c>
      <c r="M559" s="32" t="s">
        <v>5410</v>
      </c>
      <c r="N559" s="32" t="s">
        <v>37</v>
      </c>
    </row>
    <row r="560" spans="1:14" s="32" customFormat="1" hidden="1" x14ac:dyDescent="0.3">
      <c r="A560" s="39">
        <v>46195.464016203703</v>
      </c>
      <c r="B560" s="32">
        <v>1143744993</v>
      </c>
      <c r="C560" s="32" t="s">
        <v>45</v>
      </c>
      <c r="D560" s="32">
        <v>4431268225</v>
      </c>
      <c r="E560" s="32">
        <v>1255</v>
      </c>
      <c r="F560" s="32">
        <v>1219</v>
      </c>
      <c r="G560" s="32" t="s">
        <v>38</v>
      </c>
      <c r="H560" s="32" t="s">
        <v>5977</v>
      </c>
      <c r="I560" s="32" t="s">
        <v>39</v>
      </c>
      <c r="J560" s="32" t="s">
        <v>40</v>
      </c>
      <c r="K560" s="32" t="s">
        <v>41</v>
      </c>
      <c r="M560" s="32" t="s">
        <v>5421</v>
      </c>
      <c r="N560" s="32" t="s">
        <v>45</v>
      </c>
    </row>
    <row r="561" spans="1:14" s="32" customFormat="1" hidden="1" x14ac:dyDescent="0.3">
      <c r="A561" s="39">
        <v>46195.459189814814</v>
      </c>
      <c r="B561" s="32" t="s">
        <v>37</v>
      </c>
      <c r="C561" s="32">
        <v>4432226677</v>
      </c>
      <c r="E561" s="32">
        <v>452</v>
      </c>
      <c r="F561" s="32">
        <v>437</v>
      </c>
      <c r="G561" s="32" t="s">
        <v>38</v>
      </c>
      <c r="H561" s="32" t="s">
        <v>5978</v>
      </c>
      <c r="I561" s="32" t="s">
        <v>46</v>
      </c>
      <c r="J561" s="32" t="s">
        <v>40</v>
      </c>
      <c r="L561" s="32">
        <v>5</v>
      </c>
      <c r="M561" s="32" t="s">
        <v>5410</v>
      </c>
      <c r="N561" s="32" t="s">
        <v>37</v>
      </c>
    </row>
    <row r="562" spans="1:14" s="32" customFormat="1" hidden="1" x14ac:dyDescent="0.3">
      <c r="A562" s="39">
        <v>46195.458101851851</v>
      </c>
      <c r="B562" s="32">
        <v>93991495484</v>
      </c>
      <c r="C562" s="32" t="s">
        <v>45</v>
      </c>
      <c r="D562" s="32">
        <v>4430265054</v>
      </c>
      <c r="E562" s="32">
        <v>515</v>
      </c>
      <c r="F562" s="32">
        <v>489</v>
      </c>
      <c r="G562" s="32" t="s">
        <v>38</v>
      </c>
      <c r="H562" s="32" t="s">
        <v>5979</v>
      </c>
      <c r="I562" s="32" t="s">
        <v>39</v>
      </c>
      <c r="J562" s="32" t="s">
        <v>40</v>
      </c>
      <c r="K562" s="32" t="s">
        <v>41</v>
      </c>
      <c r="L562" s="32">
        <v>5</v>
      </c>
      <c r="M562" s="32" t="s">
        <v>5421</v>
      </c>
      <c r="N562" s="32" t="s">
        <v>45</v>
      </c>
    </row>
    <row r="563" spans="1:14" s="32" customFormat="1" hidden="1" x14ac:dyDescent="0.3">
      <c r="A563" s="39">
        <v>46195.453125</v>
      </c>
      <c r="B563" s="32">
        <v>45999211357</v>
      </c>
      <c r="C563" s="32">
        <v>3000</v>
      </c>
      <c r="D563" s="32">
        <v>4431268225</v>
      </c>
      <c r="E563" s="32">
        <v>291</v>
      </c>
      <c r="F563" s="32">
        <v>272</v>
      </c>
      <c r="G563" s="32" t="s">
        <v>38</v>
      </c>
      <c r="H563" s="32" t="s">
        <v>5980</v>
      </c>
      <c r="I563" s="32" t="s">
        <v>39</v>
      </c>
      <c r="J563" s="32" t="s">
        <v>53</v>
      </c>
      <c r="K563" s="32" t="s">
        <v>41</v>
      </c>
    </row>
    <row r="564" spans="1:14" s="32" customFormat="1" hidden="1" x14ac:dyDescent="0.3">
      <c r="A564" s="39">
        <v>46195.452048611114</v>
      </c>
      <c r="B564" s="32">
        <v>45999211357</v>
      </c>
      <c r="C564" s="32" t="s">
        <v>57</v>
      </c>
      <c r="D564" s="32">
        <v>4431268225</v>
      </c>
      <c r="E564" s="32">
        <v>76</v>
      </c>
      <c r="F564" s="32">
        <v>46</v>
      </c>
      <c r="G564" s="32" t="s">
        <v>38</v>
      </c>
      <c r="H564" s="32" t="s">
        <v>5981</v>
      </c>
      <c r="I564" s="32" t="s">
        <v>39</v>
      </c>
      <c r="J564" s="32" t="s">
        <v>55</v>
      </c>
      <c r="K564" s="32" t="s">
        <v>49</v>
      </c>
      <c r="M564" s="32" t="s">
        <v>5456</v>
      </c>
      <c r="N564" s="32" t="s">
        <v>57</v>
      </c>
    </row>
    <row r="565" spans="1:14" s="32" customFormat="1" hidden="1" x14ac:dyDescent="0.3">
      <c r="A565" s="39">
        <v>46195.446064814816</v>
      </c>
      <c r="B565" s="32">
        <v>44999497001</v>
      </c>
      <c r="C565" s="32" t="s">
        <v>37</v>
      </c>
      <c r="D565" s="32">
        <v>4430265054</v>
      </c>
      <c r="E565" s="32">
        <v>412</v>
      </c>
      <c r="F565" s="32">
        <v>175</v>
      </c>
      <c r="G565" s="32" t="s">
        <v>38</v>
      </c>
      <c r="H565" s="32" t="s">
        <v>5982</v>
      </c>
      <c r="I565" s="32" t="s">
        <v>39</v>
      </c>
      <c r="J565" s="32" t="s">
        <v>40</v>
      </c>
      <c r="K565" s="32" t="s">
        <v>41</v>
      </c>
      <c r="M565" s="32" t="s">
        <v>5410</v>
      </c>
      <c r="N565" s="32" t="s">
        <v>37</v>
      </c>
    </row>
    <row r="566" spans="1:14" s="32" customFormat="1" hidden="1" x14ac:dyDescent="0.3">
      <c r="A566" s="39">
        <v>46195.442997685182</v>
      </c>
      <c r="B566" s="32">
        <v>4432524636</v>
      </c>
      <c r="C566" s="32" t="s">
        <v>45</v>
      </c>
      <c r="D566" s="32">
        <v>4430265054</v>
      </c>
      <c r="E566" s="32">
        <v>1285</v>
      </c>
      <c r="F566" s="32">
        <v>1205</v>
      </c>
      <c r="G566" s="32" t="s">
        <v>38</v>
      </c>
      <c r="H566" s="32" t="s">
        <v>5983</v>
      </c>
      <c r="I566" s="32" t="s">
        <v>39</v>
      </c>
      <c r="J566" s="32" t="s">
        <v>40</v>
      </c>
      <c r="K566" s="32" t="s">
        <v>41</v>
      </c>
      <c r="L566" s="32">
        <v>4</v>
      </c>
      <c r="M566" s="32" t="s">
        <v>5421</v>
      </c>
      <c r="N566" s="32" t="s">
        <v>45</v>
      </c>
    </row>
    <row r="567" spans="1:14" s="32" customFormat="1" hidden="1" x14ac:dyDescent="0.3">
      <c r="A567" s="39">
        <v>46195.441874999997</v>
      </c>
      <c r="B567" s="32">
        <v>4432325260</v>
      </c>
      <c r="C567" s="32" t="s">
        <v>44</v>
      </c>
      <c r="D567" s="32">
        <v>4430265054</v>
      </c>
      <c r="E567" s="32">
        <v>904</v>
      </c>
      <c r="F567" s="32">
        <v>770</v>
      </c>
      <c r="G567" s="32" t="s">
        <v>38</v>
      </c>
      <c r="H567" s="32" t="s">
        <v>5984</v>
      </c>
      <c r="I567" s="32" t="s">
        <v>39</v>
      </c>
      <c r="J567" s="32" t="s">
        <v>40</v>
      </c>
      <c r="K567" s="32" t="s">
        <v>41</v>
      </c>
      <c r="M567" s="32" t="s">
        <v>5416</v>
      </c>
      <c r="N567" s="32" t="s">
        <v>44</v>
      </c>
    </row>
    <row r="568" spans="1:14" s="32" customFormat="1" hidden="1" x14ac:dyDescent="0.3">
      <c r="A568" s="39">
        <v>46195.434837962966</v>
      </c>
      <c r="B568" s="32">
        <v>44998454020</v>
      </c>
      <c r="C568" s="32" t="s">
        <v>44</v>
      </c>
      <c r="D568" s="32">
        <v>4430265054</v>
      </c>
      <c r="E568" s="32">
        <v>332</v>
      </c>
      <c r="F568" s="32">
        <v>315</v>
      </c>
      <c r="G568" s="32" t="s">
        <v>38</v>
      </c>
      <c r="H568" s="32" t="s">
        <v>5985</v>
      </c>
      <c r="I568" s="32" t="s">
        <v>39</v>
      </c>
      <c r="J568" s="32" t="s">
        <v>40</v>
      </c>
      <c r="K568" s="32" t="s">
        <v>41</v>
      </c>
      <c r="M568" s="32" t="s">
        <v>5416</v>
      </c>
      <c r="N568" s="32" t="s">
        <v>44</v>
      </c>
    </row>
    <row r="569" spans="1:14" s="32" customFormat="1" hidden="1" x14ac:dyDescent="0.3">
      <c r="A569" s="39">
        <v>46195.431631944448</v>
      </c>
      <c r="B569" s="32">
        <v>4432226677</v>
      </c>
      <c r="C569" s="32" t="s">
        <v>37</v>
      </c>
      <c r="D569" s="32">
        <v>4430265054</v>
      </c>
      <c r="E569" s="32">
        <v>1026</v>
      </c>
      <c r="F569" s="32">
        <v>926</v>
      </c>
      <c r="G569" s="32" t="s">
        <v>38</v>
      </c>
      <c r="H569" s="32" t="s">
        <v>5986</v>
      </c>
      <c r="I569" s="32" t="s">
        <v>39</v>
      </c>
      <c r="J569" s="32" t="s">
        <v>40</v>
      </c>
      <c r="K569" s="32" t="s">
        <v>41</v>
      </c>
      <c r="M569" s="32" t="s">
        <v>5410</v>
      </c>
      <c r="N569" s="32" t="s">
        <v>37</v>
      </c>
    </row>
    <row r="570" spans="1:14" s="32" customFormat="1" hidden="1" x14ac:dyDescent="0.3">
      <c r="A570" s="39">
        <v>46195.422199074077</v>
      </c>
      <c r="B570" s="32">
        <v>4432524636</v>
      </c>
      <c r="C570" s="32" t="s">
        <v>44</v>
      </c>
      <c r="D570" s="32">
        <v>4430265054</v>
      </c>
      <c r="E570" s="32">
        <v>841</v>
      </c>
      <c r="F570" s="32">
        <v>725</v>
      </c>
      <c r="G570" s="32" t="s">
        <v>38</v>
      </c>
      <c r="H570" s="32" t="s">
        <v>5987</v>
      </c>
      <c r="I570" s="32" t="s">
        <v>39</v>
      </c>
      <c r="J570" s="32" t="s">
        <v>40</v>
      </c>
      <c r="K570" s="32" t="s">
        <v>41</v>
      </c>
      <c r="L570" s="32">
        <v>5</v>
      </c>
      <c r="M570" s="32" t="s">
        <v>5416</v>
      </c>
      <c r="N570" s="32" t="s">
        <v>44</v>
      </c>
    </row>
    <row r="571" spans="1:14" s="32" customFormat="1" hidden="1" x14ac:dyDescent="0.3">
      <c r="A571" s="39">
        <v>46195.421875</v>
      </c>
      <c r="B571" s="32">
        <v>4430282545</v>
      </c>
      <c r="C571" s="32" t="s">
        <v>45</v>
      </c>
      <c r="D571" s="32">
        <v>4430265054</v>
      </c>
      <c r="E571" s="32">
        <v>1722</v>
      </c>
      <c r="F571" s="32">
        <v>1607</v>
      </c>
      <c r="G571" s="32" t="s">
        <v>38</v>
      </c>
      <c r="H571" s="32" t="s">
        <v>5988</v>
      </c>
      <c r="I571" s="32" t="s">
        <v>39</v>
      </c>
      <c r="J571" s="32" t="s">
        <v>40</v>
      </c>
      <c r="K571" s="32" t="s">
        <v>41</v>
      </c>
      <c r="M571" s="32" t="s">
        <v>5421</v>
      </c>
      <c r="N571" s="32" t="s">
        <v>45</v>
      </c>
    </row>
    <row r="572" spans="1:14" s="32" customFormat="1" hidden="1" x14ac:dyDescent="0.3">
      <c r="A572" s="39">
        <v>46195.404131944444</v>
      </c>
      <c r="B572" s="32">
        <v>83988398480</v>
      </c>
      <c r="C572" s="32" t="s">
        <v>44</v>
      </c>
      <c r="D572" s="32">
        <v>4430265054</v>
      </c>
      <c r="E572" s="32">
        <v>325</v>
      </c>
      <c r="F572" s="32">
        <v>273</v>
      </c>
      <c r="G572" s="32" t="s">
        <v>38</v>
      </c>
      <c r="H572" s="32" t="s">
        <v>5989</v>
      </c>
      <c r="I572" s="32" t="s">
        <v>39</v>
      </c>
      <c r="J572" s="32" t="s">
        <v>40</v>
      </c>
      <c r="K572" s="32" t="s">
        <v>41</v>
      </c>
      <c r="M572" s="32" t="s">
        <v>5416</v>
      </c>
      <c r="N572" s="32" t="s">
        <v>44</v>
      </c>
    </row>
    <row r="573" spans="1:14" s="32" customFormat="1" hidden="1" x14ac:dyDescent="0.3">
      <c r="A573" s="39">
        <v>46195.386550925927</v>
      </c>
      <c r="B573" s="32">
        <v>4430141092</v>
      </c>
      <c r="C573" s="32">
        <v>4430265054</v>
      </c>
      <c r="D573" s="32">
        <v>4430265054</v>
      </c>
      <c r="E573" s="32">
        <v>32</v>
      </c>
      <c r="F573" s="32">
        <v>31</v>
      </c>
      <c r="G573" s="32" t="s">
        <v>52</v>
      </c>
      <c r="H573" s="32" t="s">
        <v>5990</v>
      </c>
      <c r="I573" s="32" t="s">
        <v>39</v>
      </c>
      <c r="J573" s="32" t="s">
        <v>53</v>
      </c>
      <c r="K573" s="32" t="s">
        <v>41</v>
      </c>
    </row>
    <row r="574" spans="1:14" s="32" customFormat="1" hidden="1" x14ac:dyDescent="0.3">
      <c r="A574" s="39">
        <v>46195.385879629626</v>
      </c>
      <c r="B574" s="32">
        <v>35998295948</v>
      </c>
      <c r="C574" s="32" t="s">
        <v>44</v>
      </c>
      <c r="D574" s="32">
        <v>4430265054</v>
      </c>
      <c r="E574" s="32">
        <v>556</v>
      </c>
      <c r="F574" s="32">
        <v>521</v>
      </c>
      <c r="G574" s="32" t="s">
        <v>38</v>
      </c>
      <c r="H574" s="32" t="s">
        <v>5991</v>
      </c>
      <c r="I574" s="32" t="s">
        <v>39</v>
      </c>
      <c r="J574" s="32" t="s">
        <v>40</v>
      </c>
      <c r="K574" s="32" t="s">
        <v>41</v>
      </c>
      <c r="M574" s="32" t="s">
        <v>5416</v>
      </c>
      <c r="N574" s="32" t="s">
        <v>44</v>
      </c>
    </row>
    <row r="575" spans="1:14" s="32" customFormat="1" hidden="1" x14ac:dyDescent="0.3">
      <c r="A575" s="39">
        <v>46195.381145833337</v>
      </c>
      <c r="B575" s="32">
        <v>47991434216</v>
      </c>
      <c r="C575" s="32" t="s">
        <v>37</v>
      </c>
      <c r="D575" s="32">
        <v>4430265054</v>
      </c>
      <c r="E575" s="32">
        <v>428</v>
      </c>
      <c r="F575" s="32">
        <v>413</v>
      </c>
      <c r="G575" s="32" t="s">
        <v>38</v>
      </c>
      <c r="H575" s="32" t="s">
        <v>5992</v>
      </c>
      <c r="I575" s="32" t="s">
        <v>39</v>
      </c>
      <c r="J575" s="32" t="s">
        <v>40</v>
      </c>
      <c r="K575" s="32" t="s">
        <v>41</v>
      </c>
      <c r="M575" s="32" t="s">
        <v>5410</v>
      </c>
      <c r="N575" s="32" t="s">
        <v>37</v>
      </c>
    </row>
    <row r="576" spans="1:14" s="32" customFormat="1" hidden="1" x14ac:dyDescent="0.3">
      <c r="A576" s="39">
        <v>46195.375115740739</v>
      </c>
      <c r="B576" s="32">
        <v>4432672194</v>
      </c>
      <c r="C576" s="32" t="s">
        <v>45</v>
      </c>
      <c r="D576" s="32">
        <v>4430265054</v>
      </c>
      <c r="E576" s="32">
        <v>3272</v>
      </c>
      <c r="F576" s="32">
        <v>3237</v>
      </c>
      <c r="G576" s="32" t="s">
        <v>38</v>
      </c>
      <c r="H576" s="32" t="s">
        <v>5993</v>
      </c>
      <c r="I576" s="32" t="s">
        <v>39</v>
      </c>
      <c r="J576" s="32" t="s">
        <v>40</v>
      </c>
      <c r="K576" s="32" t="s">
        <v>41</v>
      </c>
      <c r="M576" s="32" t="s">
        <v>5421</v>
      </c>
      <c r="N576" s="32" t="s">
        <v>45</v>
      </c>
    </row>
    <row r="577" spans="1:14" s="32" customFormat="1" hidden="1" x14ac:dyDescent="0.3">
      <c r="A577" s="39">
        <v>46195.36855324074</v>
      </c>
      <c r="B577" s="32" t="s">
        <v>54</v>
      </c>
      <c r="C577" s="32">
        <v>79999965544</v>
      </c>
      <c r="E577" s="32">
        <v>7</v>
      </c>
      <c r="F577" s="32">
        <v>4</v>
      </c>
      <c r="G577" s="32" t="s">
        <v>38</v>
      </c>
      <c r="H577" s="32" t="s">
        <v>5994</v>
      </c>
      <c r="I577" s="32" t="s">
        <v>46</v>
      </c>
      <c r="J577" s="32" t="s">
        <v>55</v>
      </c>
      <c r="M577" s="32" t="s">
        <v>5537</v>
      </c>
      <c r="N577" s="32" t="s">
        <v>54</v>
      </c>
    </row>
    <row r="578" spans="1:14" s="32" customFormat="1" hidden="1" x14ac:dyDescent="0.3">
      <c r="A578" s="39">
        <v>46195.368391203701</v>
      </c>
      <c r="B578" s="32" t="s">
        <v>54</v>
      </c>
      <c r="C578" s="32">
        <v>79999965544</v>
      </c>
      <c r="E578" s="32">
        <v>7</v>
      </c>
      <c r="F578" s="32">
        <v>3</v>
      </c>
      <c r="G578" s="32" t="s">
        <v>38</v>
      </c>
      <c r="H578" s="32" t="s">
        <v>5995</v>
      </c>
      <c r="I578" s="32" t="s">
        <v>46</v>
      </c>
      <c r="J578" s="32" t="s">
        <v>55</v>
      </c>
      <c r="M578" s="32" t="s">
        <v>5537</v>
      </c>
      <c r="N578" s="32" t="s">
        <v>54</v>
      </c>
    </row>
    <row r="579" spans="1:14" s="32" customFormat="1" hidden="1" x14ac:dyDescent="0.3">
      <c r="A579" s="39">
        <v>46195.359976851854</v>
      </c>
      <c r="B579" s="32">
        <v>47991434216</v>
      </c>
      <c r="C579" s="32" t="s">
        <v>44</v>
      </c>
      <c r="D579" s="32">
        <v>4430265054</v>
      </c>
      <c r="E579" s="32">
        <v>529</v>
      </c>
      <c r="F579" s="32">
        <v>481</v>
      </c>
      <c r="G579" s="32" t="s">
        <v>38</v>
      </c>
      <c r="H579" s="32" t="s">
        <v>5996</v>
      </c>
      <c r="I579" s="32" t="s">
        <v>39</v>
      </c>
      <c r="J579" s="32" t="s">
        <v>40</v>
      </c>
      <c r="K579" s="32" t="s">
        <v>41</v>
      </c>
      <c r="M579" s="32" t="s">
        <v>5416</v>
      </c>
      <c r="N579" s="32" t="s">
        <v>44</v>
      </c>
    </row>
    <row r="580" spans="1:14" s="32" customFormat="1" hidden="1" x14ac:dyDescent="0.3">
      <c r="A580" s="39">
        <v>46195.350648148145</v>
      </c>
      <c r="B580" s="32" t="s">
        <v>45</v>
      </c>
      <c r="C580" s="32">
        <v>4433231037</v>
      </c>
      <c r="E580" s="32">
        <v>130</v>
      </c>
      <c r="F580" s="32">
        <v>120</v>
      </c>
      <c r="G580" s="32" t="s">
        <v>38</v>
      </c>
      <c r="H580" s="32" t="s">
        <v>5997</v>
      </c>
      <c r="I580" s="32" t="s">
        <v>46</v>
      </c>
      <c r="J580" s="32" t="s">
        <v>40</v>
      </c>
      <c r="M580" s="32" t="s">
        <v>5421</v>
      </c>
      <c r="N580" s="32" t="s">
        <v>45</v>
      </c>
    </row>
    <row r="581" spans="1:14" s="32" customFormat="1" hidden="1" x14ac:dyDescent="0.3">
      <c r="A581" s="39">
        <v>46193.414826388886</v>
      </c>
      <c r="B581" s="32">
        <v>1438160351</v>
      </c>
      <c r="C581" s="32">
        <v>4430265054</v>
      </c>
      <c r="D581" s="32">
        <v>4430265054</v>
      </c>
      <c r="E581" s="32">
        <v>8</v>
      </c>
      <c r="F581" s="32">
        <v>8</v>
      </c>
      <c r="G581" s="32" t="s">
        <v>52</v>
      </c>
      <c r="H581" s="32" t="s">
        <v>5998</v>
      </c>
      <c r="I581" s="32" t="s">
        <v>39</v>
      </c>
      <c r="J581" s="32" t="s">
        <v>53</v>
      </c>
    </row>
    <row r="582" spans="1:14" s="32" customFormat="1" hidden="1" x14ac:dyDescent="0.3">
      <c r="A582" s="39">
        <v>46193.380266203705</v>
      </c>
      <c r="B582" s="32">
        <v>1438160351</v>
      </c>
      <c r="C582" s="32">
        <v>4430265054</v>
      </c>
      <c r="D582" s="32">
        <v>4430265054</v>
      </c>
      <c r="E582" s="32">
        <v>8</v>
      </c>
      <c r="F582" s="32">
        <v>8</v>
      </c>
      <c r="G582" s="32" t="s">
        <v>52</v>
      </c>
      <c r="H582" s="32" t="s">
        <v>5999</v>
      </c>
      <c r="I582" s="32" t="s">
        <v>39</v>
      </c>
      <c r="J582" s="32" t="s">
        <v>53</v>
      </c>
    </row>
    <row r="583" spans="1:14" s="32" customFormat="1" hidden="1" x14ac:dyDescent="0.3">
      <c r="A583" s="39">
        <v>46192.741273148145</v>
      </c>
      <c r="B583" s="32">
        <v>93991495484</v>
      </c>
      <c r="C583" s="32" t="s">
        <v>37</v>
      </c>
      <c r="D583" s="32">
        <v>4430265054</v>
      </c>
      <c r="E583" s="32">
        <v>635</v>
      </c>
      <c r="F583" s="32">
        <v>537</v>
      </c>
      <c r="G583" s="32" t="s">
        <v>38</v>
      </c>
      <c r="H583" s="32" t="s">
        <v>6000</v>
      </c>
      <c r="I583" s="32" t="s">
        <v>39</v>
      </c>
      <c r="J583" s="32" t="s">
        <v>40</v>
      </c>
      <c r="K583" s="32" t="s">
        <v>41</v>
      </c>
      <c r="L583" s="32">
        <v>5</v>
      </c>
      <c r="M583" s="32" t="s">
        <v>5410</v>
      </c>
      <c r="N583" s="32" t="s">
        <v>37</v>
      </c>
    </row>
    <row r="584" spans="1:14" s="32" customFormat="1" hidden="1" x14ac:dyDescent="0.3">
      <c r="A584" s="39">
        <v>46192.728506944448</v>
      </c>
      <c r="B584" s="32" t="s">
        <v>45</v>
      </c>
      <c r="C584" s="32">
        <v>4436351818</v>
      </c>
      <c r="E584" s="32">
        <v>142</v>
      </c>
      <c r="F584" s="32">
        <v>126</v>
      </c>
      <c r="G584" s="32" t="s">
        <v>38</v>
      </c>
      <c r="H584" s="32" t="s">
        <v>6001</v>
      </c>
      <c r="I584" s="32" t="s">
        <v>46</v>
      </c>
      <c r="J584" s="32" t="s">
        <v>40</v>
      </c>
      <c r="M584" s="32" t="s">
        <v>5421</v>
      </c>
      <c r="N584" s="32" t="s">
        <v>45</v>
      </c>
    </row>
    <row r="585" spans="1:14" s="32" customFormat="1" hidden="1" x14ac:dyDescent="0.3">
      <c r="A585" s="39">
        <v>46192.728449074071</v>
      </c>
      <c r="B585" s="32" t="s">
        <v>45</v>
      </c>
      <c r="C585" s="32">
        <v>4436351818</v>
      </c>
      <c r="E585" s="32">
        <v>14</v>
      </c>
      <c r="F585" s="32">
        <v>14</v>
      </c>
      <c r="G585" s="32" t="s">
        <v>38</v>
      </c>
      <c r="H585" s="32" t="s">
        <v>6002</v>
      </c>
      <c r="I585" s="32" t="s">
        <v>46</v>
      </c>
      <c r="J585" s="32" t="s">
        <v>40</v>
      </c>
      <c r="M585" s="32" t="s">
        <v>5421</v>
      </c>
      <c r="N585" s="32" t="s">
        <v>45</v>
      </c>
    </row>
    <row r="586" spans="1:14" s="32" customFormat="1" hidden="1" x14ac:dyDescent="0.3">
      <c r="A586" s="39">
        <v>46192.728125000001</v>
      </c>
      <c r="B586" s="32" t="s">
        <v>45</v>
      </c>
      <c r="C586" s="32">
        <v>44999841615</v>
      </c>
      <c r="E586" s="32">
        <v>40</v>
      </c>
      <c r="F586" s="32">
        <v>29</v>
      </c>
      <c r="G586" s="32" t="s">
        <v>38</v>
      </c>
      <c r="H586" s="32" t="s">
        <v>6003</v>
      </c>
      <c r="I586" s="32" t="s">
        <v>46</v>
      </c>
      <c r="J586" s="32" t="s">
        <v>40</v>
      </c>
      <c r="M586" s="32" t="s">
        <v>5421</v>
      </c>
      <c r="N586" s="32" t="s">
        <v>45</v>
      </c>
    </row>
    <row r="587" spans="1:14" s="32" customFormat="1" hidden="1" x14ac:dyDescent="0.3">
      <c r="A587" s="39">
        <v>46192.724247685182</v>
      </c>
      <c r="B587" s="32">
        <v>4430562296</v>
      </c>
      <c r="C587" s="32" t="s">
        <v>48</v>
      </c>
      <c r="D587" s="32">
        <v>4430265054</v>
      </c>
      <c r="E587" s="32">
        <v>957</v>
      </c>
      <c r="F587" s="32">
        <v>956</v>
      </c>
      <c r="G587" s="32" t="s">
        <v>38</v>
      </c>
      <c r="H587" s="32" t="s">
        <v>6004</v>
      </c>
      <c r="I587" s="32" t="s">
        <v>39</v>
      </c>
      <c r="J587" s="32" t="s">
        <v>40</v>
      </c>
      <c r="K587" s="32" t="s">
        <v>41</v>
      </c>
      <c r="M587" s="32" t="s">
        <v>5412</v>
      </c>
      <c r="N587" s="32" t="s">
        <v>48</v>
      </c>
    </row>
    <row r="588" spans="1:14" s="32" customFormat="1" hidden="1" x14ac:dyDescent="0.3">
      <c r="A588" s="39">
        <v>46192.722407407404</v>
      </c>
      <c r="B588" s="32" t="s">
        <v>37</v>
      </c>
      <c r="C588" s="32">
        <v>44999680829</v>
      </c>
      <c r="E588" s="32">
        <v>194</v>
      </c>
      <c r="F588" s="32">
        <v>179</v>
      </c>
      <c r="G588" s="32" t="s">
        <v>38</v>
      </c>
      <c r="H588" s="32" t="s">
        <v>6005</v>
      </c>
      <c r="I588" s="32" t="s">
        <v>46</v>
      </c>
      <c r="J588" s="32" t="s">
        <v>40</v>
      </c>
      <c r="M588" s="32" t="s">
        <v>5410</v>
      </c>
      <c r="N588" s="32" t="s">
        <v>37</v>
      </c>
    </row>
    <row r="589" spans="1:14" s="32" customFormat="1" hidden="1" x14ac:dyDescent="0.3">
      <c r="A589" s="39">
        <v>46192.722395833334</v>
      </c>
      <c r="B589" s="32">
        <v>44999680829</v>
      </c>
      <c r="C589" s="32" t="s">
        <v>44</v>
      </c>
      <c r="D589" s="32">
        <v>4431268225</v>
      </c>
      <c r="E589" s="32">
        <v>140</v>
      </c>
      <c r="F589" s="32">
        <v>44</v>
      </c>
      <c r="G589" s="32" t="s">
        <v>38</v>
      </c>
      <c r="H589" s="32" t="s">
        <v>6006</v>
      </c>
      <c r="I589" s="32" t="s">
        <v>39</v>
      </c>
      <c r="J589" s="32" t="s">
        <v>40</v>
      </c>
      <c r="K589" s="32" t="s">
        <v>41</v>
      </c>
      <c r="M589" s="32" t="s">
        <v>5416</v>
      </c>
      <c r="N589" s="32" t="s">
        <v>44</v>
      </c>
    </row>
    <row r="590" spans="1:14" s="32" customFormat="1" hidden="1" x14ac:dyDescent="0.3">
      <c r="A590" s="39">
        <v>46192.72184027778</v>
      </c>
      <c r="B590" s="32" t="s">
        <v>37</v>
      </c>
      <c r="C590" s="32">
        <v>44999680829</v>
      </c>
      <c r="E590" s="32">
        <v>13</v>
      </c>
      <c r="F590" s="32">
        <v>0</v>
      </c>
      <c r="G590" s="32" t="s">
        <v>47</v>
      </c>
      <c r="H590" s="32" t="s">
        <v>6007</v>
      </c>
      <c r="I590" s="32" t="s">
        <v>46</v>
      </c>
      <c r="J590" s="32" t="s">
        <v>40</v>
      </c>
      <c r="M590" s="32" t="s">
        <v>5410</v>
      </c>
      <c r="N590" s="32" t="s">
        <v>37</v>
      </c>
    </row>
    <row r="591" spans="1:14" s="32" customFormat="1" hidden="1" x14ac:dyDescent="0.3">
      <c r="A591" s="39">
        <v>46192.721261574072</v>
      </c>
      <c r="B591" s="32" t="s">
        <v>37</v>
      </c>
      <c r="C591" s="32">
        <v>44998887654</v>
      </c>
      <c r="E591" s="32">
        <v>6</v>
      </c>
      <c r="F591" s="32">
        <v>0</v>
      </c>
      <c r="G591" s="32" t="s">
        <v>47</v>
      </c>
      <c r="H591" s="32" t="s">
        <v>6008</v>
      </c>
      <c r="I591" s="32" t="s">
        <v>46</v>
      </c>
      <c r="J591" s="32" t="s">
        <v>40</v>
      </c>
      <c r="M591" s="32" t="s">
        <v>5410</v>
      </c>
      <c r="N591" s="32" t="s">
        <v>37</v>
      </c>
    </row>
    <row r="592" spans="1:14" s="32" customFormat="1" hidden="1" x14ac:dyDescent="0.3">
      <c r="A592" s="39">
        <v>46192.712708333333</v>
      </c>
      <c r="B592" s="32" t="s">
        <v>54</v>
      </c>
      <c r="C592" s="32">
        <v>51985098814</v>
      </c>
      <c r="E592" s="32">
        <v>16</v>
      </c>
      <c r="F592" s="32">
        <v>0</v>
      </c>
      <c r="G592" s="32" t="s">
        <v>47</v>
      </c>
      <c r="H592" s="32" t="s">
        <v>6009</v>
      </c>
      <c r="I592" s="32" t="s">
        <v>46</v>
      </c>
      <c r="J592" s="32" t="s">
        <v>55</v>
      </c>
      <c r="M592" s="32" t="s">
        <v>5537</v>
      </c>
      <c r="N592" s="32" t="s">
        <v>54</v>
      </c>
    </row>
    <row r="593" spans="1:14" s="32" customFormat="1" hidden="1" x14ac:dyDescent="0.3">
      <c r="A593" s="39">
        <v>46192.711631944447</v>
      </c>
      <c r="B593" s="32" t="s">
        <v>54</v>
      </c>
      <c r="C593" s="32">
        <v>84991812225</v>
      </c>
      <c r="E593" s="32">
        <v>40</v>
      </c>
      <c r="F593" s="32">
        <v>1</v>
      </c>
      <c r="G593" s="32" t="s">
        <v>38</v>
      </c>
      <c r="H593" s="32" t="s">
        <v>6010</v>
      </c>
      <c r="I593" s="32" t="s">
        <v>46</v>
      </c>
      <c r="J593" s="32" t="s">
        <v>55</v>
      </c>
      <c r="M593" s="32" t="s">
        <v>5537</v>
      </c>
      <c r="N593" s="32" t="s">
        <v>54</v>
      </c>
    </row>
    <row r="594" spans="1:14" s="32" customFormat="1" hidden="1" x14ac:dyDescent="0.3">
      <c r="A594" s="39">
        <v>46192.709363425929</v>
      </c>
      <c r="B594" s="32" t="s">
        <v>54</v>
      </c>
      <c r="C594" s="32">
        <v>11994533404</v>
      </c>
      <c r="E594" s="32">
        <v>34</v>
      </c>
      <c r="F594" s="32">
        <v>3</v>
      </c>
      <c r="G594" s="32" t="s">
        <v>38</v>
      </c>
      <c r="H594" s="32" t="s">
        <v>6011</v>
      </c>
      <c r="I594" s="32" t="s">
        <v>46</v>
      </c>
      <c r="J594" s="32" t="s">
        <v>55</v>
      </c>
      <c r="M594" s="32" t="s">
        <v>5537</v>
      </c>
      <c r="N594" s="32" t="s">
        <v>54</v>
      </c>
    </row>
    <row r="595" spans="1:14" s="32" customFormat="1" hidden="1" x14ac:dyDescent="0.3">
      <c r="A595" s="39">
        <v>46192.708171296297</v>
      </c>
      <c r="B595" s="32" t="s">
        <v>54</v>
      </c>
      <c r="C595" s="32">
        <v>85991579477</v>
      </c>
      <c r="E595" s="32">
        <v>8</v>
      </c>
      <c r="F595" s="32">
        <v>2</v>
      </c>
      <c r="G595" s="32" t="s">
        <v>38</v>
      </c>
      <c r="H595" s="32" t="s">
        <v>6012</v>
      </c>
      <c r="I595" s="32" t="s">
        <v>46</v>
      </c>
      <c r="J595" s="32" t="s">
        <v>55</v>
      </c>
      <c r="M595" s="32" t="s">
        <v>5537</v>
      </c>
      <c r="N595" s="32" t="s">
        <v>54</v>
      </c>
    </row>
    <row r="596" spans="1:14" s="32" customFormat="1" hidden="1" x14ac:dyDescent="0.3">
      <c r="A596" s="39">
        <v>46192.705254629633</v>
      </c>
      <c r="B596" s="32">
        <v>44997307457</v>
      </c>
      <c r="C596" s="32" t="s">
        <v>44</v>
      </c>
      <c r="D596" s="32">
        <v>4430265054</v>
      </c>
      <c r="E596" s="32">
        <v>1250</v>
      </c>
      <c r="F596" s="32">
        <v>1198</v>
      </c>
      <c r="G596" s="32" t="s">
        <v>38</v>
      </c>
      <c r="H596" s="32" t="s">
        <v>6013</v>
      </c>
      <c r="I596" s="32" t="s">
        <v>39</v>
      </c>
      <c r="J596" s="32" t="s">
        <v>40</v>
      </c>
      <c r="K596" s="32" t="s">
        <v>41</v>
      </c>
      <c r="M596" s="32" t="s">
        <v>5416</v>
      </c>
      <c r="N596" s="32" t="s">
        <v>44</v>
      </c>
    </row>
    <row r="597" spans="1:14" s="32" customFormat="1" hidden="1" x14ac:dyDescent="0.3">
      <c r="A597" s="39">
        <v>46192.705069444448</v>
      </c>
      <c r="B597" s="32" t="s">
        <v>57</v>
      </c>
      <c r="C597" s="32">
        <v>44991552855</v>
      </c>
      <c r="E597" s="32">
        <v>47</v>
      </c>
      <c r="F597" s="32">
        <v>10</v>
      </c>
      <c r="G597" s="32" t="s">
        <v>38</v>
      </c>
      <c r="H597" s="32" t="s">
        <v>6014</v>
      </c>
      <c r="I597" s="32" t="s">
        <v>46</v>
      </c>
      <c r="J597" s="32" t="s">
        <v>55</v>
      </c>
      <c r="M597" s="32" t="s">
        <v>5456</v>
      </c>
      <c r="N597" s="32" t="s">
        <v>57</v>
      </c>
    </row>
    <row r="598" spans="1:14" s="32" customFormat="1" hidden="1" x14ac:dyDescent="0.3">
      <c r="A598" s="39">
        <v>46192.704814814817</v>
      </c>
      <c r="B598" s="32" t="s">
        <v>57</v>
      </c>
      <c r="C598" s="32">
        <v>4434228345</v>
      </c>
      <c r="E598" s="32">
        <v>5</v>
      </c>
      <c r="F598" s="32">
        <v>0</v>
      </c>
      <c r="G598" s="32" t="s">
        <v>47</v>
      </c>
      <c r="H598" s="32" t="s">
        <v>6015</v>
      </c>
      <c r="I598" s="32" t="s">
        <v>46</v>
      </c>
      <c r="J598" s="32" t="s">
        <v>55</v>
      </c>
      <c r="M598" s="32" t="s">
        <v>5456</v>
      </c>
      <c r="N598" s="32" t="s">
        <v>57</v>
      </c>
    </row>
    <row r="599" spans="1:14" s="32" customFormat="1" hidden="1" x14ac:dyDescent="0.3">
      <c r="A599" s="39">
        <v>46192.70449074074</v>
      </c>
      <c r="B599" s="32" t="s">
        <v>57</v>
      </c>
      <c r="C599" s="32">
        <v>4439001644</v>
      </c>
      <c r="E599" s="32">
        <v>5</v>
      </c>
      <c r="F599" s="32">
        <v>0</v>
      </c>
      <c r="G599" s="32" t="s">
        <v>47</v>
      </c>
      <c r="H599" s="32" t="s">
        <v>6016</v>
      </c>
      <c r="I599" s="32" t="s">
        <v>46</v>
      </c>
      <c r="J599" s="32" t="s">
        <v>55</v>
      </c>
      <c r="M599" s="32" t="s">
        <v>5456</v>
      </c>
      <c r="N599" s="32" t="s">
        <v>57</v>
      </c>
    </row>
    <row r="600" spans="1:14" s="32" customFormat="1" hidden="1" x14ac:dyDescent="0.3">
      <c r="A600" s="39">
        <v>46192.70417824074</v>
      </c>
      <c r="B600" s="32" t="s">
        <v>57</v>
      </c>
      <c r="C600" s="32">
        <v>4434228345</v>
      </c>
      <c r="E600" s="32">
        <v>5</v>
      </c>
      <c r="F600" s="32">
        <v>0</v>
      </c>
      <c r="G600" s="32" t="s">
        <v>47</v>
      </c>
      <c r="H600" s="32" t="s">
        <v>6017</v>
      </c>
      <c r="I600" s="32" t="s">
        <v>46</v>
      </c>
      <c r="J600" s="32" t="s">
        <v>55</v>
      </c>
      <c r="M600" s="32" t="s">
        <v>5456</v>
      </c>
      <c r="N600" s="32" t="s">
        <v>57</v>
      </c>
    </row>
    <row r="601" spans="1:14" s="32" customFormat="1" hidden="1" x14ac:dyDescent="0.3">
      <c r="A601" s="39">
        <v>46192.69903935185</v>
      </c>
      <c r="B601" s="32" t="s">
        <v>54</v>
      </c>
      <c r="C601" s="32">
        <v>3733213841</v>
      </c>
      <c r="E601" s="32">
        <v>14</v>
      </c>
      <c r="F601" s="32">
        <v>2</v>
      </c>
      <c r="G601" s="32" t="s">
        <v>38</v>
      </c>
      <c r="H601" s="32" t="s">
        <v>6018</v>
      </c>
      <c r="I601" s="32" t="s">
        <v>46</v>
      </c>
      <c r="J601" s="32" t="s">
        <v>55</v>
      </c>
      <c r="M601" s="32" t="s">
        <v>5537</v>
      </c>
      <c r="N601" s="32" t="s">
        <v>54</v>
      </c>
    </row>
    <row r="602" spans="1:14" s="32" customFormat="1" hidden="1" x14ac:dyDescent="0.3">
      <c r="A602" s="39">
        <v>46192.697615740741</v>
      </c>
      <c r="B602" s="32" t="s">
        <v>54</v>
      </c>
      <c r="C602" s="32">
        <v>51981183417</v>
      </c>
      <c r="E602" s="32">
        <v>42</v>
      </c>
      <c r="F602" s="32">
        <v>5</v>
      </c>
      <c r="G602" s="32" t="s">
        <v>38</v>
      </c>
      <c r="H602" s="32" t="s">
        <v>6019</v>
      </c>
      <c r="I602" s="32" t="s">
        <v>46</v>
      </c>
      <c r="J602" s="32" t="s">
        <v>55</v>
      </c>
      <c r="M602" s="32" t="s">
        <v>5537</v>
      </c>
      <c r="N602" s="32" t="s">
        <v>54</v>
      </c>
    </row>
    <row r="603" spans="1:14" s="32" customFormat="1" hidden="1" x14ac:dyDescent="0.3">
      <c r="A603" s="39">
        <v>46192.695787037039</v>
      </c>
      <c r="B603" s="32">
        <v>4430141092</v>
      </c>
      <c r="C603" s="32" t="s">
        <v>37</v>
      </c>
      <c r="D603" s="32">
        <v>4430265054</v>
      </c>
      <c r="E603" s="32">
        <v>940</v>
      </c>
      <c r="F603" s="32">
        <v>901</v>
      </c>
      <c r="G603" s="32" t="s">
        <v>38</v>
      </c>
      <c r="H603" s="32" t="s">
        <v>6020</v>
      </c>
      <c r="I603" s="32" t="s">
        <v>39</v>
      </c>
      <c r="J603" s="32" t="s">
        <v>40</v>
      </c>
      <c r="K603" s="32" t="s">
        <v>41</v>
      </c>
      <c r="L603" s="32">
        <v>5</v>
      </c>
      <c r="M603" s="32" t="s">
        <v>5410</v>
      </c>
      <c r="N603" s="32" t="s">
        <v>37</v>
      </c>
    </row>
    <row r="604" spans="1:14" s="32" customFormat="1" hidden="1" x14ac:dyDescent="0.3">
      <c r="A604" s="39">
        <v>46192.691689814812</v>
      </c>
      <c r="B604" s="32">
        <v>4430346845</v>
      </c>
      <c r="C604" s="32" t="s">
        <v>44</v>
      </c>
      <c r="D604" s="32">
        <v>4430265054</v>
      </c>
      <c r="E604" s="32">
        <v>666</v>
      </c>
      <c r="F604" s="32">
        <v>610</v>
      </c>
      <c r="G604" s="32" t="s">
        <v>38</v>
      </c>
      <c r="H604" s="32" t="s">
        <v>6021</v>
      </c>
      <c r="I604" s="32" t="s">
        <v>39</v>
      </c>
      <c r="J604" s="32" t="s">
        <v>40</v>
      </c>
      <c r="K604" s="32" t="s">
        <v>41</v>
      </c>
      <c r="M604" s="32" t="s">
        <v>5416</v>
      </c>
      <c r="N604" s="32" t="s">
        <v>44</v>
      </c>
    </row>
    <row r="605" spans="1:14" s="32" customFormat="1" hidden="1" x14ac:dyDescent="0.3">
      <c r="A605" s="39">
        <v>46192.687256944446</v>
      </c>
      <c r="B605" s="32">
        <v>4430468268</v>
      </c>
      <c r="C605" s="32" t="s">
        <v>37</v>
      </c>
      <c r="D605" s="32">
        <v>4430265054</v>
      </c>
      <c r="E605" s="32">
        <v>610</v>
      </c>
      <c r="F605" s="32">
        <v>553</v>
      </c>
      <c r="G605" s="32" t="s">
        <v>38</v>
      </c>
      <c r="H605" s="32" t="s">
        <v>6022</v>
      </c>
      <c r="I605" s="32" t="s">
        <v>39</v>
      </c>
      <c r="J605" s="32" t="s">
        <v>40</v>
      </c>
      <c r="K605" s="32" t="s">
        <v>41</v>
      </c>
      <c r="L605" s="32">
        <v>5</v>
      </c>
      <c r="M605" s="32" t="s">
        <v>5410</v>
      </c>
      <c r="N605" s="32" t="s">
        <v>37</v>
      </c>
    </row>
    <row r="606" spans="1:14" s="32" customFormat="1" hidden="1" x14ac:dyDescent="0.3">
      <c r="A606" s="39">
        <v>46192.686550925922</v>
      </c>
      <c r="B606" s="32">
        <v>93991495484</v>
      </c>
      <c r="C606" s="32">
        <v>4430265054</v>
      </c>
      <c r="D606" s="32">
        <v>4430265054</v>
      </c>
      <c r="E606" s="32">
        <v>48</v>
      </c>
      <c r="F606" s="32">
        <v>48</v>
      </c>
      <c r="G606" s="32" t="s">
        <v>52</v>
      </c>
      <c r="H606" s="32" t="s">
        <v>6023</v>
      </c>
      <c r="I606" s="32" t="s">
        <v>39</v>
      </c>
      <c r="J606" s="32" t="s">
        <v>53</v>
      </c>
      <c r="K606" s="32" t="s">
        <v>41</v>
      </c>
    </row>
    <row r="607" spans="1:14" s="32" customFormat="1" hidden="1" x14ac:dyDescent="0.3">
      <c r="A607" s="39">
        <v>46192.685833333337</v>
      </c>
      <c r="B607" s="32" t="s">
        <v>54</v>
      </c>
      <c r="C607" s="32">
        <v>61995517758</v>
      </c>
      <c r="E607" s="32">
        <v>35</v>
      </c>
      <c r="F607" s="32">
        <v>0</v>
      </c>
      <c r="G607" s="32" t="s">
        <v>47</v>
      </c>
      <c r="H607" s="32" t="s">
        <v>6024</v>
      </c>
      <c r="I607" s="32" t="s">
        <v>46</v>
      </c>
      <c r="J607" s="32" t="s">
        <v>55</v>
      </c>
      <c r="M607" s="32" t="s">
        <v>5537</v>
      </c>
      <c r="N607" s="32" t="s">
        <v>54</v>
      </c>
    </row>
    <row r="608" spans="1:14" s="32" customFormat="1" hidden="1" x14ac:dyDescent="0.3">
      <c r="A608" s="39">
        <v>46192.683912037035</v>
      </c>
      <c r="B608" s="32" t="s">
        <v>54</v>
      </c>
      <c r="C608" s="32">
        <v>84996440217</v>
      </c>
      <c r="E608" s="32">
        <v>20</v>
      </c>
      <c r="F608" s="32">
        <v>5</v>
      </c>
      <c r="G608" s="32" t="s">
        <v>38</v>
      </c>
      <c r="H608" s="32" t="s">
        <v>6025</v>
      </c>
      <c r="I608" s="32" t="s">
        <v>46</v>
      </c>
      <c r="J608" s="32" t="s">
        <v>55</v>
      </c>
      <c r="M608" s="32" t="s">
        <v>5537</v>
      </c>
      <c r="N608" s="32" t="s">
        <v>54</v>
      </c>
    </row>
    <row r="609" spans="1:14" s="32" customFormat="1" hidden="1" x14ac:dyDescent="0.3">
      <c r="A609" s="39">
        <v>46192.683055555557</v>
      </c>
      <c r="B609" s="32" t="s">
        <v>54</v>
      </c>
      <c r="C609" s="32">
        <v>41991820778</v>
      </c>
      <c r="E609" s="32">
        <v>9</v>
      </c>
      <c r="F609" s="32">
        <v>0</v>
      </c>
      <c r="G609" s="32" t="s">
        <v>47</v>
      </c>
      <c r="H609" s="32" t="s">
        <v>6026</v>
      </c>
      <c r="I609" s="32" t="s">
        <v>46</v>
      </c>
      <c r="J609" s="32" t="s">
        <v>55</v>
      </c>
      <c r="M609" s="32" t="s">
        <v>5537</v>
      </c>
      <c r="N609" s="32" t="s">
        <v>54</v>
      </c>
    </row>
    <row r="610" spans="1:14" s="32" customFormat="1" hidden="1" x14ac:dyDescent="0.3">
      <c r="A610" s="39">
        <v>46192.681689814817</v>
      </c>
      <c r="B610" s="32" t="s">
        <v>54</v>
      </c>
      <c r="C610" s="32">
        <v>53991255589</v>
      </c>
      <c r="E610" s="32">
        <v>8</v>
      </c>
      <c r="F610" s="32">
        <v>3</v>
      </c>
      <c r="G610" s="32" t="s">
        <v>38</v>
      </c>
      <c r="H610" s="32" t="s">
        <v>6027</v>
      </c>
      <c r="I610" s="32" t="s">
        <v>46</v>
      </c>
      <c r="J610" s="32" t="s">
        <v>55</v>
      </c>
      <c r="M610" s="32" t="s">
        <v>5537</v>
      </c>
      <c r="N610" s="32" t="s">
        <v>54</v>
      </c>
    </row>
    <row r="611" spans="1:14" s="32" customFormat="1" hidden="1" x14ac:dyDescent="0.3">
      <c r="A611" s="39">
        <v>46192.681284722225</v>
      </c>
      <c r="B611" s="32">
        <v>4436281154</v>
      </c>
      <c r="C611" s="32" t="s">
        <v>37</v>
      </c>
      <c r="D611" s="32">
        <v>4430265054</v>
      </c>
      <c r="E611" s="32">
        <v>132</v>
      </c>
      <c r="F611" s="32">
        <v>108</v>
      </c>
      <c r="G611" s="32" t="s">
        <v>38</v>
      </c>
      <c r="H611" s="32" t="s">
        <v>6028</v>
      </c>
      <c r="I611" s="32" t="s">
        <v>39</v>
      </c>
      <c r="J611" s="32" t="s">
        <v>40</v>
      </c>
      <c r="K611" s="32" t="s">
        <v>41</v>
      </c>
      <c r="M611" s="32" t="s">
        <v>5410</v>
      </c>
      <c r="N611" s="32" t="s">
        <v>37</v>
      </c>
    </row>
    <row r="612" spans="1:14" s="32" customFormat="1" hidden="1" x14ac:dyDescent="0.3">
      <c r="A612" s="39">
        <v>46192.68105324074</v>
      </c>
      <c r="B612" s="32" t="s">
        <v>57</v>
      </c>
      <c r="C612" s="32">
        <v>4430459001</v>
      </c>
      <c r="E612" s="32">
        <v>256</v>
      </c>
      <c r="F612" s="32">
        <v>246</v>
      </c>
      <c r="G612" s="32" t="s">
        <v>38</v>
      </c>
      <c r="H612" s="32" t="s">
        <v>6029</v>
      </c>
      <c r="I612" s="32" t="s">
        <v>46</v>
      </c>
      <c r="J612" s="32" t="s">
        <v>55</v>
      </c>
      <c r="M612" s="32" t="s">
        <v>5456</v>
      </c>
      <c r="N612" s="32" t="s">
        <v>57</v>
      </c>
    </row>
    <row r="613" spans="1:14" s="32" customFormat="1" hidden="1" x14ac:dyDescent="0.3">
      <c r="A613" s="39">
        <v>46192.680474537039</v>
      </c>
      <c r="B613" s="32" t="s">
        <v>54</v>
      </c>
      <c r="C613" s="32">
        <v>47999277340</v>
      </c>
      <c r="E613" s="32">
        <v>7</v>
      </c>
      <c r="F613" s="32">
        <v>4</v>
      </c>
      <c r="G613" s="32" t="s">
        <v>38</v>
      </c>
      <c r="H613" s="32" t="s">
        <v>6030</v>
      </c>
      <c r="I613" s="32" t="s">
        <v>46</v>
      </c>
      <c r="J613" s="32" t="s">
        <v>55</v>
      </c>
      <c r="M613" s="32" t="s">
        <v>5537</v>
      </c>
      <c r="N613" s="32" t="s">
        <v>54</v>
      </c>
    </row>
    <row r="614" spans="1:14" s="32" customFormat="1" hidden="1" x14ac:dyDescent="0.3">
      <c r="A614" s="39">
        <v>46192.67696759259</v>
      </c>
      <c r="B614" s="32" t="s">
        <v>57</v>
      </c>
      <c r="C614" s="32">
        <v>4435252512</v>
      </c>
      <c r="E614" s="32">
        <v>1</v>
      </c>
      <c r="F614" s="32">
        <v>0</v>
      </c>
      <c r="G614" s="32" t="s">
        <v>47</v>
      </c>
      <c r="H614" s="32" t="s">
        <v>6031</v>
      </c>
      <c r="I614" s="32" t="s">
        <v>46</v>
      </c>
      <c r="J614" s="32" t="s">
        <v>55</v>
      </c>
      <c r="M614" s="32" t="s">
        <v>5456</v>
      </c>
      <c r="N614" s="32" t="s">
        <v>57</v>
      </c>
    </row>
    <row r="615" spans="1:14" s="32" customFormat="1" hidden="1" x14ac:dyDescent="0.3">
      <c r="A615" s="39">
        <v>46192.676851851851</v>
      </c>
      <c r="B615" s="32" t="s">
        <v>57</v>
      </c>
      <c r="C615" s="32">
        <v>4430175515</v>
      </c>
      <c r="E615" s="32">
        <v>1</v>
      </c>
      <c r="F615" s="32">
        <v>0</v>
      </c>
      <c r="G615" s="32" t="s">
        <v>47</v>
      </c>
      <c r="H615" s="32" t="s">
        <v>6032</v>
      </c>
      <c r="I615" s="32" t="s">
        <v>46</v>
      </c>
      <c r="J615" s="32" t="s">
        <v>55</v>
      </c>
      <c r="M615" s="32" t="s">
        <v>5456</v>
      </c>
      <c r="N615" s="32" t="s">
        <v>57</v>
      </c>
    </row>
    <row r="616" spans="1:14" s="32" customFormat="1" hidden="1" x14ac:dyDescent="0.3">
      <c r="A616" s="39">
        <v>46192.675092592595</v>
      </c>
      <c r="B616" s="32" t="s">
        <v>57</v>
      </c>
      <c r="C616" s="32">
        <v>44997313311</v>
      </c>
      <c r="E616" s="32">
        <v>10</v>
      </c>
      <c r="F616" s="32">
        <v>0</v>
      </c>
      <c r="G616" s="32" t="s">
        <v>47</v>
      </c>
      <c r="H616" s="32" t="s">
        <v>6033</v>
      </c>
      <c r="I616" s="32" t="s">
        <v>46</v>
      </c>
      <c r="J616" s="32" t="s">
        <v>55</v>
      </c>
      <c r="M616" s="32" t="s">
        <v>5456</v>
      </c>
      <c r="N616" s="32" t="s">
        <v>57</v>
      </c>
    </row>
    <row r="617" spans="1:14" s="32" customFormat="1" hidden="1" x14ac:dyDescent="0.3">
      <c r="A617" s="39">
        <v>46192.673171296294</v>
      </c>
      <c r="B617" s="32" t="s">
        <v>54</v>
      </c>
      <c r="C617" s="32">
        <v>8533006523</v>
      </c>
      <c r="E617" s="32">
        <v>8</v>
      </c>
      <c r="F617" s="32">
        <v>0</v>
      </c>
      <c r="G617" s="32" t="s">
        <v>47</v>
      </c>
      <c r="H617" s="32" t="s">
        <v>6034</v>
      </c>
      <c r="I617" s="32" t="s">
        <v>46</v>
      </c>
      <c r="J617" s="32" t="s">
        <v>55</v>
      </c>
      <c r="M617" s="32" t="s">
        <v>5537</v>
      </c>
      <c r="N617" s="32" t="s">
        <v>54</v>
      </c>
    </row>
    <row r="618" spans="1:14" s="32" customFormat="1" hidden="1" x14ac:dyDescent="0.3">
      <c r="A618" s="39">
        <v>46192.673148148147</v>
      </c>
      <c r="B618" s="32" t="s">
        <v>45</v>
      </c>
      <c r="C618" s="32">
        <v>74981021354</v>
      </c>
      <c r="E618" s="32">
        <v>4519</v>
      </c>
      <c r="F618" s="32">
        <v>4510</v>
      </c>
      <c r="G618" s="32" t="s">
        <v>38</v>
      </c>
      <c r="H618" s="32" t="s">
        <v>6035</v>
      </c>
      <c r="I618" s="32" t="s">
        <v>46</v>
      </c>
      <c r="J618" s="32" t="s">
        <v>40</v>
      </c>
      <c r="M618" s="32" t="s">
        <v>5421</v>
      </c>
      <c r="N618" s="32" t="s">
        <v>45</v>
      </c>
    </row>
    <row r="619" spans="1:14" s="32" customFormat="1" hidden="1" x14ac:dyDescent="0.3">
      <c r="A619" s="39">
        <v>46192.673078703701</v>
      </c>
      <c r="B619" s="32" t="s">
        <v>54</v>
      </c>
      <c r="C619" s="32">
        <v>8533006523</v>
      </c>
      <c r="E619" s="32">
        <v>3</v>
      </c>
      <c r="F619" s="32">
        <v>0</v>
      </c>
      <c r="G619" s="32" t="s">
        <v>47</v>
      </c>
      <c r="H619" s="32" t="s">
        <v>6036</v>
      </c>
      <c r="I619" s="32" t="s">
        <v>46</v>
      </c>
      <c r="J619" s="32" t="s">
        <v>55</v>
      </c>
      <c r="M619" s="32" t="s">
        <v>5537</v>
      </c>
      <c r="N619" s="32" t="s">
        <v>54</v>
      </c>
    </row>
    <row r="620" spans="1:14" s="32" customFormat="1" hidden="1" x14ac:dyDescent="0.3">
      <c r="A620" s="39">
        <v>46192.672546296293</v>
      </c>
      <c r="B620" s="32" t="s">
        <v>57</v>
      </c>
      <c r="C620" s="32">
        <v>4430175515</v>
      </c>
      <c r="E620" s="32">
        <v>1</v>
      </c>
      <c r="F620" s="32">
        <v>0</v>
      </c>
      <c r="G620" s="32" t="s">
        <v>47</v>
      </c>
      <c r="H620" s="32" t="s">
        <v>6037</v>
      </c>
      <c r="I620" s="32" t="s">
        <v>46</v>
      </c>
      <c r="J620" s="32" t="s">
        <v>55</v>
      </c>
      <c r="M620" s="32" t="s">
        <v>5456</v>
      </c>
      <c r="N620" s="32" t="s">
        <v>57</v>
      </c>
    </row>
    <row r="621" spans="1:14" s="32" customFormat="1" hidden="1" x14ac:dyDescent="0.3">
      <c r="A621" s="39">
        <v>46192.672465277778</v>
      </c>
      <c r="B621" s="32" t="s">
        <v>57</v>
      </c>
      <c r="C621" s="32">
        <v>4430175515</v>
      </c>
      <c r="E621" s="32">
        <v>1</v>
      </c>
      <c r="F621" s="32">
        <v>0</v>
      </c>
      <c r="G621" s="32" t="s">
        <v>47</v>
      </c>
      <c r="H621" s="32" t="s">
        <v>6038</v>
      </c>
      <c r="I621" s="32" t="s">
        <v>46</v>
      </c>
      <c r="J621" s="32" t="s">
        <v>55</v>
      </c>
      <c r="M621" s="32" t="s">
        <v>5456</v>
      </c>
      <c r="N621" s="32" t="s">
        <v>57</v>
      </c>
    </row>
    <row r="622" spans="1:14" s="32" customFormat="1" hidden="1" x14ac:dyDescent="0.3">
      <c r="A622" s="39">
        <v>46192.672164351854</v>
      </c>
      <c r="B622" s="32" t="s">
        <v>57</v>
      </c>
      <c r="C622" s="32">
        <v>44997343300</v>
      </c>
      <c r="E622" s="32">
        <v>11</v>
      </c>
      <c r="F622" s="32">
        <v>7</v>
      </c>
      <c r="G622" s="32" t="s">
        <v>38</v>
      </c>
      <c r="H622" s="32" t="s">
        <v>6039</v>
      </c>
      <c r="I622" s="32" t="s">
        <v>46</v>
      </c>
      <c r="J622" s="32" t="s">
        <v>55</v>
      </c>
      <c r="M622" s="32" t="s">
        <v>5456</v>
      </c>
      <c r="N622" s="32" t="s">
        <v>57</v>
      </c>
    </row>
    <row r="623" spans="1:14" s="32" customFormat="1" hidden="1" x14ac:dyDescent="0.3">
      <c r="A623" s="39">
        <v>46192.672037037039</v>
      </c>
      <c r="B623" s="32" t="s">
        <v>54</v>
      </c>
      <c r="C623" s="32">
        <v>8538792013</v>
      </c>
      <c r="E623" s="32">
        <v>31</v>
      </c>
      <c r="F623" s="32">
        <v>0</v>
      </c>
      <c r="G623" s="32" t="s">
        <v>47</v>
      </c>
      <c r="H623" s="32" t="s">
        <v>6040</v>
      </c>
      <c r="I623" s="32" t="s">
        <v>46</v>
      </c>
      <c r="J623" s="32" t="s">
        <v>55</v>
      </c>
      <c r="M623" s="32" t="s">
        <v>5537</v>
      </c>
      <c r="N623" s="32" t="s">
        <v>54</v>
      </c>
    </row>
    <row r="624" spans="1:14" s="32" customFormat="1" hidden="1" x14ac:dyDescent="0.3">
      <c r="A624" s="39">
        <v>46192.670798611114</v>
      </c>
      <c r="B624" s="32" t="s">
        <v>54</v>
      </c>
      <c r="C624" s="32">
        <v>51992342809</v>
      </c>
      <c r="E624" s="32">
        <v>31</v>
      </c>
      <c r="F624" s="32">
        <v>0</v>
      </c>
      <c r="G624" s="32" t="s">
        <v>47</v>
      </c>
      <c r="H624" s="32" t="s">
        <v>6041</v>
      </c>
      <c r="I624" s="32" t="s">
        <v>46</v>
      </c>
      <c r="J624" s="32" t="s">
        <v>55</v>
      </c>
      <c r="M624" s="32" t="s">
        <v>5537</v>
      </c>
      <c r="N624" s="32" t="s">
        <v>54</v>
      </c>
    </row>
    <row r="625" spans="1:14" s="32" customFormat="1" hidden="1" x14ac:dyDescent="0.3">
      <c r="A625" s="39">
        <v>46192.669629629629</v>
      </c>
      <c r="B625" s="32" t="s">
        <v>54</v>
      </c>
      <c r="C625" s="32">
        <v>63992108100</v>
      </c>
      <c r="E625" s="32">
        <v>16</v>
      </c>
      <c r="F625" s="32">
        <v>7</v>
      </c>
      <c r="G625" s="32" t="s">
        <v>38</v>
      </c>
      <c r="H625" s="32" t="s">
        <v>6042</v>
      </c>
      <c r="I625" s="32" t="s">
        <v>46</v>
      </c>
      <c r="J625" s="32" t="s">
        <v>55</v>
      </c>
      <c r="M625" s="32" t="s">
        <v>5537</v>
      </c>
      <c r="N625" s="32" t="s">
        <v>54</v>
      </c>
    </row>
    <row r="626" spans="1:14" s="32" customFormat="1" hidden="1" x14ac:dyDescent="0.3">
      <c r="A626" s="39">
        <v>46192.668599537035</v>
      </c>
      <c r="B626" s="32" t="s">
        <v>54</v>
      </c>
      <c r="C626" s="32">
        <v>98981541459</v>
      </c>
      <c r="E626" s="32">
        <v>12</v>
      </c>
      <c r="F626" s="32">
        <v>0</v>
      </c>
      <c r="G626" s="32" t="s">
        <v>47</v>
      </c>
      <c r="H626" s="32" t="s">
        <v>6043</v>
      </c>
      <c r="I626" s="32" t="s">
        <v>46</v>
      </c>
      <c r="J626" s="32" t="s">
        <v>55</v>
      </c>
      <c r="M626" s="32" t="s">
        <v>5537</v>
      </c>
      <c r="N626" s="32" t="s">
        <v>54</v>
      </c>
    </row>
    <row r="627" spans="1:14" s="32" customFormat="1" hidden="1" x14ac:dyDescent="0.3">
      <c r="A627" s="39">
        <v>46192.667824074073</v>
      </c>
      <c r="B627" s="32" t="s">
        <v>54</v>
      </c>
      <c r="C627" s="32">
        <v>85989745024</v>
      </c>
      <c r="E627" s="32">
        <v>9</v>
      </c>
      <c r="F627" s="32">
        <v>0</v>
      </c>
      <c r="G627" s="32" t="s">
        <v>47</v>
      </c>
      <c r="H627" s="32" t="s">
        <v>6044</v>
      </c>
      <c r="I627" s="32" t="s">
        <v>46</v>
      </c>
      <c r="J627" s="32" t="s">
        <v>55</v>
      </c>
      <c r="M627" s="32" t="s">
        <v>5537</v>
      </c>
      <c r="N627" s="32" t="s">
        <v>54</v>
      </c>
    </row>
    <row r="628" spans="1:14" s="32" customFormat="1" hidden="1" x14ac:dyDescent="0.3">
      <c r="A628" s="39">
        <v>46192.667210648149</v>
      </c>
      <c r="B628" s="32" t="s">
        <v>54</v>
      </c>
      <c r="C628" s="32">
        <v>98991276322</v>
      </c>
      <c r="E628" s="32">
        <v>18</v>
      </c>
      <c r="F628" s="32">
        <v>9</v>
      </c>
      <c r="G628" s="32" t="s">
        <v>38</v>
      </c>
      <c r="H628" s="32" t="s">
        <v>6045</v>
      </c>
      <c r="I628" s="32" t="s">
        <v>46</v>
      </c>
      <c r="J628" s="32" t="s">
        <v>55</v>
      </c>
      <c r="M628" s="32" t="s">
        <v>5537</v>
      </c>
      <c r="N628" s="32" t="s">
        <v>54</v>
      </c>
    </row>
    <row r="629" spans="1:14" s="32" customFormat="1" hidden="1" x14ac:dyDescent="0.3">
      <c r="A629" s="39">
        <v>46192.662905092591</v>
      </c>
      <c r="B629" s="32" t="s">
        <v>48</v>
      </c>
      <c r="C629" s="32">
        <v>44999632140</v>
      </c>
      <c r="E629" s="32">
        <v>111</v>
      </c>
      <c r="F629" s="32">
        <v>102</v>
      </c>
      <c r="G629" s="32" t="s">
        <v>38</v>
      </c>
      <c r="H629" s="32" t="s">
        <v>6046</v>
      </c>
      <c r="I629" s="32" t="s">
        <v>46</v>
      </c>
      <c r="J629" s="32" t="s">
        <v>40</v>
      </c>
      <c r="M629" s="32" t="s">
        <v>5412</v>
      </c>
      <c r="N629" s="32" t="s">
        <v>48</v>
      </c>
    </row>
    <row r="630" spans="1:14" s="32" customFormat="1" hidden="1" x14ac:dyDescent="0.3">
      <c r="A630" s="39">
        <v>46192.662835648145</v>
      </c>
      <c r="B630" s="32" t="s">
        <v>48</v>
      </c>
      <c r="C630" s="32">
        <v>44999632140</v>
      </c>
      <c r="E630" s="32">
        <v>3</v>
      </c>
      <c r="F630" s="32">
        <v>0</v>
      </c>
      <c r="G630" s="32" t="s">
        <v>47</v>
      </c>
      <c r="H630" s="32" t="s">
        <v>6047</v>
      </c>
      <c r="I630" s="32" t="s">
        <v>46</v>
      </c>
      <c r="J630" s="32" t="s">
        <v>40</v>
      </c>
      <c r="M630" s="32" t="s">
        <v>5412</v>
      </c>
      <c r="N630" s="32" t="s">
        <v>48</v>
      </c>
    </row>
    <row r="631" spans="1:14" s="32" customFormat="1" hidden="1" x14ac:dyDescent="0.3">
      <c r="A631" s="39">
        <v>46192.662604166668</v>
      </c>
      <c r="B631" s="32" t="s">
        <v>54</v>
      </c>
      <c r="C631" s="32">
        <v>32999655662</v>
      </c>
      <c r="E631" s="32">
        <v>1</v>
      </c>
      <c r="F631" s="32">
        <v>0</v>
      </c>
      <c r="G631" s="32" t="s">
        <v>47</v>
      </c>
      <c r="H631" s="32" t="s">
        <v>6048</v>
      </c>
      <c r="I631" s="32" t="s">
        <v>46</v>
      </c>
      <c r="J631" s="32" t="s">
        <v>55</v>
      </c>
      <c r="M631" s="32" t="s">
        <v>5537</v>
      </c>
      <c r="N631" s="32" t="s">
        <v>54</v>
      </c>
    </row>
    <row r="632" spans="1:14" s="32" customFormat="1" hidden="1" x14ac:dyDescent="0.3">
      <c r="A632" s="39">
        <v>46192.662418981483</v>
      </c>
      <c r="B632" s="32" t="s">
        <v>37</v>
      </c>
      <c r="C632" s="32">
        <v>44997426611</v>
      </c>
      <c r="E632" s="32">
        <v>161</v>
      </c>
      <c r="F632" s="32">
        <v>142</v>
      </c>
      <c r="G632" s="32" t="s">
        <v>38</v>
      </c>
      <c r="H632" s="32" t="s">
        <v>6049</v>
      </c>
      <c r="I632" s="32" t="s">
        <v>46</v>
      </c>
      <c r="J632" s="32" t="s">
        <v>40</v>
      </c>
      <c r="M632" s="32" t="s">
        <v>5410</v>
      </c>
      <c r="N632" s="32" t="s">
        <v>37</v>
      </c>
    </row>
    <row r="633" spans="1:14" s="32" customFormat="1" hidden="1" x14ac:dyDescent="0.3">
      <c r="A633" s="39">
        <v>46192.659328703703</v>
      </c>
      <c r="B633" s="32" t="s">
        <v>57</v>
      </c>
      <c r="C633" s="32">
        <v>4436721260</v>
      </c>
      <c r="E633" s="32">
        <v>303</v>
      </c>
      <c r="F633" s="32">
        <v>294</v>
      </c>
      <c r="G633" s="32" t="s">
        <v>38</v>
      </c>
      <c r="H633" s="32" t="s">
        <v>6050</v>
      </c>
      <c r="I633" s="32" t="s">
        <v>46</v>
      </c>
      <c r="J633" s="32" t="s">
        <v>55</v>
      </c>
      <c r="M633" s="32" t="s">
        <v>5456</v>
      </c>
      <c r="N633" s="32" t="s">
        <v>57</v>
      </c>
    </row>
    <row r="634" spans="1:14" s="32" customFormat="1" hidden="1" x14ac:dyDescent="0.3">
      <c r="A634" s="39">
        <v>46192.65896990741</v>
      </c>
      <c r="B634" s="32" t="s">
        <v>54</v>
      </c>
      <c r="C634" s="32">
        <v>83988183533</v>
      </c>
      <c r="E634" s="32">
        <v>2</v>
      </c>
      <c r="F634" s="32">
        <v>0</v>
      </c>
      <c r="G634" s="32" t="s">
        <v>47</v>
      </c>
      <c r="H634" s="32" t="s">
        <v>6051</v>
      </c>
      <c r="I634" s="32" t="s">
        <v>46</v>
      </c>
      <c r="J634" s="32" t="s">
        <v>55</v>
      </c>
      <c r="M634" s="32" t="s">
        <v>5537</v>
      </c>
      <c r="N634" s="32" t="s">
        <v>54</v>
      </c>
    </row>
    <row r="635" spans="1:14" s="32" customFormat="1" hidden="1" x14ac:dyDescent="0.3">
      <c r="A635" s="39">
        <v>46192.653136574074</v>
      </c>
      <c r="B635" s="32">
        <v>44991113954</v>
      </c>
      <c r="C635" s="32" t="s">
        <v>44</v>
      </c>
      <c r="D635" s="32">
        <v>4430265054</v>
      </c>
      <c r="E635" s="32">
        <v>292</v>
      </c>
      <c r="F635" s="32">
        <v>188</v>
      </c>
      <c r="G635" s="32" t="s">
        <v>38</v>
      </c>
      <c r="H635" s="32" t="s">
        <v>6052</v>
      </c>
      <c r="I635" s="32" t="s">
        <v>39</v>
      </c>
      <c r="J635" s="32" t="s">
        <v>40</v>
      </c>
      <c r="K635" s="32" t="s">
        <v>41</v>
      </c>
      <c r="M635" s="32" t="s">
        <v>5416</v>
      </c>
      <c r="N635" s="32" t="s">
        <v>44</v>
      </c>
    </row>
    <row r="636" spans="1:14" s="32" customFormat="1" x14ac:dyDescent="0.3">
      <c r="A636" s="39">
        <v>46192.65284722222</v>
      </c>
      <c r="B636" s="32" t="s">
        <v>44</v>
      </c>
      <c r="C636" s="32">
        <v>41997840159</v>
      </c>
      <c r="E636" s="32">
        <v>91</v>
      </c>
      <c r="F636" s="32">
        <v>76</v>
      </c>
      <c r="G636" s="32" t="s">
        <v>38</v>
      </c>
      <c r="H636" s="32" t="s">
        <v>6053</v>
      </c>
      <c r="I636" s="32" t="s">
        <v>46</v>
      </c>
      <c r="J636" s="32" t="s">
        <v>40</v>
      </c>
      <c r="M636" s="32" t="s">
        <v>5416</v>
      </c>
      <c r="N636" s="32" t="s">
        <v>44</v>
      </c>
    </row>
    <row r="637" spans="1:14" s="32" customFormat="1" hidden="1" x14ac:dyDescent="0.3">
      <c r="A637" s="39">
        <v>46192.651273148149</v>
      </c>
      <c r="B637" s="32" t="s">
        <v>57</v>
      </c>
      <c r="C637" s="32">
        <v>44984157278</v>
      </c>
      <c r="E637" s="32">
        <v>102</v>
      </c>
      <c r="F637" s="32">
        <v>92</v>
      </c>
      <c r="G637" s="32" t="s">
        <v>38</v>
      </c>
      <c r="H637" s="32" t="s">
        <v>6054</v>
      </c>
      <c r="I637" s="32" t="s">
        <v>46</v>
      </c>
      <c r="J637" s="32" t="s">
        <v>55</v>
      </c>
      <c r="M637" s="32" t="s">
        <v>5456</v>
      </c>
      <c r="N637" s="32" t="s">
        <v>57</v>
      </c>
    </row>
    <row r="638" spans="1:14" s="32" customFormat="1" hidden="1" x14ac:dyDescent="0.3">
      <c r="A638" s="39">
        <v>46192.651145833333</v>
      </c>
      <c r="B638" s="32" t="s">
        <v>57</v>
      </c>
      <c r="C638" s="32">
        <v>4436731134</v>
      </c>
      <c r="E638" s="32">
        <v>1</v>
      </c>
      <c r="F638" s="32">
        <v>0</v>
      </c>
      <c r="G638" s="32" t="s">
        <v>47</v>
      </c>
      <c r="H638" s="32" t="s">
        <v>6055</v>
      </c>
      <c r="I638" s="32" t="s">
        <v>46</v>
      </c>
      <c r="J638" s="32" t="s">
        <v>55</v>
      </c>
      <c r="M638" s="32" t="s">
        <v>5456</v>
      </c>
      <c r="N638" s="32" t="s">
        <v>57</v>
      </c>
    </row>
    <row r="639" spans="1:14" s="32" customFormat="1" hidden="1" x14ac:dyDescent="0.3">
      <c r="A639" s="39">
        <v>46192.651030092595</v>
      </c>
      <c r="B639" s="32" t="s">
        <v>57</v>
      </c>
      <c r="C639" s="32">
        <v>4436731134</v>
      </c>
      <c r="E639" s="32">
        <v>1</v>
      </c>
      <c r="F639" s="32">
        <v>0</v>
      </c>
      <c r="G639" s="32" t="s">
        <v>47</v>
      </c>
      <c r="H639" s="32" t="s">
        <v>6056</v>
      </c>
      <c r="I639" s="32" t="s">
        <v>46</v>
      </c>
      <c r="J639" s="32" t="s">
        <v>55</v>
      </c>
      <c r="M639" s="32" t="s">
        <v>5456</v>
      </c>
      <c r="N639" s="32" t="s">
        <v>57</v>
      </c>
    </row>
    <row r="640" spans="1:14" s="32" customFormat="1" hidden="1" x14ac:dyDescent="0.3">
      <c r="A640" s="39">
        <v>46192.648495370369</v>
      </c>
      <c r="B640" s="32">
        <v>45999211357</v>
      </c>
      <c r="C640" s="32">
        <v>3000</v>
      </c>
      <c r="D640" s="32">
        <v>4431268225</v>
      </c>
      <c r="E640" s="32">
        <v>135</v>
      </c>
      <c r="F640" s="32">
        <v>107</v>
      </c>
      <c r="G640" s="32" t="s">
        <v>38</v>
      </c>
      <c r="H640" s="32" t="s">
        <v>6057</v>
      </c>
      <c r="I640" s="32" t="s">
        <v>39</v>
      </c>
      <c r="J640" s="32" t="s">
        <v>53</v>
      </c>
      <c r="K640" s="32" t="s">
        <v>41</v>
      </c>
    </row>
    <row r="641" spans="1:14" s="32" customFormat="1" hidden="1" x14ac:dyDescent="0.3">
      <c r="A641" s="39">
        <v>46192.647777777776</v>
      </c>
      <c r="B641" s="32" t="s">
        <v>54</v>
      </c>
      <c r="C641" s="32">
        <v>2130123858</v>
      </c>
      <c r="E641" s="32">
        <v>5</v>
      </c>
      <c r="F641" s="32">
        <v>0</v>
      </c>
      <c r="G641" s="32" t="s">
        <v>47</v>
      </c>
      <c r="H641" s="32" t="s">
        <v>6058</v>
      </c>
      <c r="I641" s="32" t="s">
        <v>46</v>
      </c>
      <c r="J641" s="32" t="s">
        <v>55</v>
      </c>
      <c r="M641" s="32" t="s">
        <v>5537</v>
      </c>
      <c r="N641" s="32" t="s">
        <v>54</v>
      </c>
    </row>
    <row r="642" spans="1:14" s="32" customFormat="1" hidden="1" x14ac:dyDescent="0.3">
      <c r="A642" s="39">
        <v>46192.645543981482</v>
      </c>
      <c r="B642" s="32">
        <v>4436372125</v>
      </c>
      <c r="C642" s="32" t="s">
        <v>45</v>
      </c>
      <c r="D642" s="32">
        <v>4430265054</v>
      </c>
      <c r="E642" s="32">
        <v>2183</v>
      </c>
      <c r="F642" s="32">
        <v>2102</v>
      </c>
      <c r="G642" s="32" t="s">
        <v>38</v>
      </c>
      <c r="H642" s="32" t="s">
        <v>6059</v>
      </c>
      <c r="I642" s="32" t="s">
        <v>39</v>
      </c>
      <c r="J642" s="32" t="s">
        <v>40</v>
      </c>
      <c r="K642" s="32" t="s">
        <v>41</v>
      </c>
      <c r="M642" s="32" t="s">
        <v>5421</v>
      </c>
      <c r="N642" s="32" t="s">
        <v>45</v>
      </c>
    </row>
    <row r="643" spans="1:14" s="32" customFormat="1" hidden="1" x14ac:dyDescent="0.3">
      <c r="A643" s="39">
        <v>46192.645358796297</v>
      </c>
      <c r="B643" s="32">
        <v>45999211357</v>
      </c>
      <c r="C643" s="32">
        <v>3000</v>
      </c>
      <c r="D643" s="32">
        <v>4431268225</v>
      </c>
      <c r="E643" s="32">
        <v>161</v>
      </c>
      <c r="F643" s="32">
        <v>133</v>
      </c>
      <c r="G643" s="32" t="s">
        <v>38</v>
      </c>
      <c r="H643" s="32" t="s">
        <v>6060</v>
      </c>
      <c r="I643" s="32" t="s">
        <v>39</v>
      </c>
      <c r="J643" s="32" t="s">
        <v>53</v>
      </c>
      <c r="K643" s="32" t="s">
        <v>41</v>
      </c>
    </row>
    <row r="644" spans="1:14" s="32" customFormat="1" hidden="1" x14ac:dyDescent="0.3">
      <c r="A644" s="39">
        <v>46192.638923611114</v>
      </c>
      <c r="B644" s="32" t="s">
        <v>45</v>
      </c>
      <c r="C644" s="32">
        <v>83988398480</v>
      </c>
      <c r="E644" s="32">
        <v>48</v>
      </c>
      <c r="F644" s="32">
        <v>34</v>
      </c>
      <c r="G644" s="32" t="s">
        <v>38</v>
      </c>
      <c r="H644" s="32" t="s">
        <v>6061</v>
      </c>
      <c r="I644" s="32" t="s">
        <v>46</v>
      </c>
      <c r="J644" s="32" t="s">
        <v>40</v>
      </c>
      <c r="M644" s="32" t="s">
        <v>5421</v>
      </c>
      <c r="N644" s="32" t="s">
        <v>45</v>
      </c>
    </row>
    <row r="645" spans="1:14" s="32" customFormat="1" hidden="1" x14ac:dyDescent="0.3">
      <c r="A645" s="39">
        <v>46192.637499999997</v>
      </c>
      <c r="B645" s="32">
        <v>44999632140</v>
      </c>
      <c r="C645" s="32" t="s">
        <v>48</v>
      </c>
      <c r="D645" s="32">
        <v>4430265054</v>
      </c>
      <c r="E645" s="32">
        <v>294</v>
      </c>
      <c r="F645" s="32">
        <v>137</v>
      </c>
      <c r="G645" s="32" t="s">
        <v>38</v>
      </c>
      <c r="H645" s="32" t="s">
        <v>6062</v>
      </c>
      <c r="I645" s="32" t="s">
        <v>39</v>
      </c>
      <c r="J645" s="32" t="s">
        <v>40</v>
      </c>
      <c r="K645" s="32" t="s">
        <v>41</v>
      </c>
      <c r="M645" s="32" t="s">
        <v>5412</v>
      </c>
      <c r="N645" s="32" t="s">
        <v>48</v>
      </c>
    </row>
    <row r="646" spans="1:14" s="32" customFormat="1" hidden="1" x14ac:dyDescent="0.3">
      <c r="A646" s="39">
        <v>46192.637152777781</v>
      </c>
      <c r="B646" s="32">
        <v>83988398480</v>
      </c>
      <c r="C646" s="32" t="s">
        <v>45</v>
      </c>
      <c r="D646" s="32">
        <v>4430265054</v>
      </c>
      <c r="E646" s="32">
        <v>136</v>
      </c>
      <c r="F646" s="32">
        <v>86</v>
      </c>
      <c r="G646" s="32" t="s">
        <v>38</v>
      </c>
      <c r="H646" s="32" t="s">
        <v>6063</v>
      </c>
      <c r="I646" s="32" t="s">
        <v>39</v>
      </c>
      <c r="J646" s="32" t="s">
        <v>40</v>
      </c>
      <c r="K646" s="32" t="s">
        <v>41</v>
      </c>
      <c r="M646" s="32" t="s">
        <v>5421</v>
      </c>
      <c r="N646" s="32" t="s">
        <v>45</v>
      </c>
    </row>
    <row r="647" spans="1:14" s="32" customFormat="1" hidden="1" x14ac:dyDescent="0.3">
      <c r="A647" s="39">
        <v>46192.634166666663</v>
      </c>
      <c r="B647" s="32">
        <v>44997426611</v>
      </c>
      <c r="C647" s="32" t="s">
        <v>37</v>
      </c>
      <c r="D647" s="32">
        <v>4430265054</v>
      </c>
      <c r="E647" s="32">
        <v>1923</v>
      </c>
      <c r="F647" s="32">
        <v>1903</v>
      </c>
      <c r="G647" s="32" t="s">
        <v>38</v>
      </c>
      <c r="H647" s="32" t="s">
        <v>6064</v>
      </c>
      <c r="I647" s="32" t="s">
        <v>39</v>
      </c>
      <c r="J647" s="32" t="s">
        <v>40</v>
      </c>
      <c r="K647" s="32" t="s">
        <v>41</v>
      </c>
      <c r="L647" s="32">
        <v>5</v>
      </c>
      <c r="M647" s="32" t="s">
        <v>5410</v>
      </c>
      <c r="N647" s="32" t="s">
        <v>37</v>
      </c>
    </row>
    <row r="648" spans="1:14" s="32" customFormat="1" hidden="1" x14ac:dyDescent="0.3">
      <c r="A648" s="39">
        <v>46192.633958333332</v>
      </c>
      <c r="B648" s="32" t="s">
        <v>54</v>
      </c>
      <c r="C648" s="32">
        <v>11948614444</v>
      </c>
      <c r="E648" s="32">
        <v>32</v>
      </c>
      <c r="F648" s="32">
        <v>24</v>
      </c>
      <c r="G648" s="32" t="s">
        <v>38</v>
      </c>
      <c r="H648" s="32" t="s">
        <v>6065</v>
      </c>
      <c r="I648" s="32" t="s">
        <v>46</v>
      </c>
      <c r="J648" s="32" t="s">
        <v>55</v>
      </c>
      <c r="M648" s="32" t="s">
        <v>5537</v>
      </c>
      <c r="N648" s="32" t="s">
        <v>54</v>
      </c>
    </row>
    <row r="649" spans="1:14" s="32" customFormat="1" hidden="1" x14ac:dyDescent="0.3">
      <c r="A649" s="39">
        <v>46192.633148148147</v>
      </c>
      <c r="B649" s="32" t="s">
        <v>54</v>
      </c>
      <c r="C649" s="32">
        <v>44998324840</v>
      </c>
      <c r="E649" s="32">
        <v>0</v>
      </c>
      <c r="F649" s="32">
        <v>0</v>
      </c>
      <c r="G649" s="32" t="s">
        <v>47</v>
      </c>
      <c r="H649" s="32" t="s">
        <v>6066</v>
      </c>
      <c r="I649" s="32" t="s">
        <v>46</v>
      </c>
      <c r="J649" s="32" t="s">
        <v>55</v>
      </c>
      <c r="M649" s="32" t="s">
        <v>5537</v>
      </c>
      <c r="N649" s="32" t="s">
        <v>54</v>
      </c>
    </row>
    <row r="650" spans="1:14" s="32" customFormat="1" hidden="1" x14ac:dyDescent="0.3">
      <c r="A650" s="39">
        <v>46192.632465277777</v>
      </c>
      <c r="B650" s="32">
        <v>45999211357</v>
      </c>
      <c r="C650" s="32" t="s">
        <v>57</v>
      </c>
      <c r="D650" s="32">
        <v>4431268225</v>
      </c>
      <c r="E650" s="32">
        <v>84</v>
      </c>
      <c r="F650" s="32">
        <v>60</v>
      </c>
      <c r="G650" s="32" t="s">
        <v>38</v>
      </c>
      <c r="H650" s="32" t="s">
        <v>6067</v>
      </c>
      <c r="I650" s="32" t="s">
        <v>39</v>
      </c>
      <c r="J650" s="32" t="s">
        <v>55</v>
      </c>
      <c r="K650" s="32" t="s">
        <v>49</v>
      </c>
      <c r="M650" s="32" t="s">
        <v>5456</v>
      </c>
      <c r="N650" s="32" t="s">
        <v>57</v>
      </c>
    </row>
    <row r="651" spans="1:14" s="32" customFormat="1" hidden="1" x14ac:dyDescent="0.3">
      <c r="A651" s="39">
        <v>46192.631898148145</v>
      </c>
      <c r="B651" s="32">
        <v>44997307457</v>
      </c>
      <c r="C651" s="32" t="s">
        <v>44</v>
      </c>
      <c r="D651" s="32">
        <v>4430265054</v>
      </c>
      <c r="E651" s="32">
        <v>1377</v>
      </c>
      <c r="F651" s="32">
        <v>1319</v>
      </c>
      <c r="G651" s="32" t="s">
        <v>38</v>
      </c>
      <c r="H651" s="32" t="s">
        <v>6068</v>
      </c>
      <c r="I651" s="32" t="s">
        <v>39</v>
      </c>
      <c r="J651" s="32" t="s">
        <v>40</v>
      </c>
      <c r="K651" s="32" t="s">
        <v>41</v>
      </c>
      <c r="M651" s="32" t="s">
        <v>5416</v>
      </c>
      <c r="N651" s="32" t="s">
        <v>44</v>
      </c>
    </row>
    <row r="652" spans="1:14" s="32" customFormat="1" hidden="1" x14ac:dyDescent="0.3">
      <c r="A652" s="39">
        <v>46192.63009259259</v>
      </c>
      <c r="B652" s="32" t="s">
        <v>57</v>
      </c>
      <c r="C652" s="32">
        <v>4432522678</v>
      </c>
      <c r="E652" s="32">
        <v>105</v>
      </c>
      <c r="F652" s="32">
        <v>97</v>
      </c>
      <c r="G652" s="32" t="s">
        <v>38</v>
      </c>
      <c r="H652" s="32" t="s">
        <v>6069</v>
      </c>
      <c r="I652" s="32" t="s">
        <v>46</v>
      </c>
      <c r="J652" s="32" t="s">
        <v>55</v>
      </c>
      <c r="M652" s="32" t="s">
        <v>5456</v>
      </c>
      <c r="N652" s="32" t="s">
        <v>57</v>
      </c>
    </row>
    <row r="653" spans="1:14" s="32" customFormat="1" hidden="1" x14ac:dyDescent="0.3">
      <c r="A653" s="39">
        <v>46192.626354166663</v>
      </c>
      <c r="B653" s="32">
        <v>1438160351</v>
      </c>
      <c r="C653" s="32">
        <v>4430265054</v>
      </c>
      <c r="D653" s="32">
        <v>4430265054</v>
      </c>
      <c r="E653" s="32">
        <v>9</v>
      </c>
      <c r="F653" s="32">
        <v>9</v>
      </c>
      <c r="G653" s="32" t="s">
        <v>52</v>
      </c>
      <c r="H653" s="32" t="s">
        <v>6070</v>
      </c>
      <c r="I653" s="32" t="s">
        <v>39</v>
      </c>
      <c r="J653" s="32" t="s">
        <v>53</v>
      </c>
    </row>
    <row r="654" spans="1:14" s="32" customFormat="1" hidden="1" x14ac:dyDescent="0.3">
      <c r="A654" s="39">
        <v>46192.626307870371</v>
      </c>
      <c r="B654" s="32">
        <v>45999334612</v>
      </c>
      <c r="C654" s="32" t="s">
        <v>48</v>
      </c>
      <c r="D654" s="32">
        <v>4430265054</v>
      </c>
      <c r="E654" s="32">
        <v>673</v>
      </c>
      <c r="F654" s="32">
        <v>672</v>
      </c>
      <c r="G654" s="32" t="s">
        <v>38</v>
      </c>
      <c r="H654" s="32" t="s">
        <v>6071</v>
      </c>
      <c r="I654" s="32" t="s">
        <v>39</v>
      </c>
      <c r="J654" s="32" t="s">
        <v>40</v>
      </c>
      <c r="K654" s="32" t="s">
        <v>41</v>
      </c>
      <c r="L654" s="32">
        <v>5</v>
      </c>
      <c r="M654" s="32" t="s">
        <v>5412</v>
      </c>
      <c r="N654" s="32" t="s">
        <v>48</v>
      </c>
    </row>
    <row r="655" spans="1:14" s="32" customFormat="1" hidden="1" x14ac:dyDescent="0.3">
      <c r="A655" s="39">
        <v>46192.625914351855</v>
      </c>
      <c r="B655" s="32" t="s">
        <v>54</v>
      </c>
      <c r="C655" s="32">
        <v>11956595812</v>
      </c>
      <c r="E655" s="32">
        <v>34</v>
      </c>
      <c r="F655" s="32">
        <v>0</v>
      </c>
      <c r="G655" s="32" t="s">
        <v>47</v>
      </c>
      <c r="H655" s="32" t="s">
        <v>6072</v>
      </c>
      <c r="I655" s="32" t="s">
        <v>46</v>
      </c>
      <c r="J655" s="32" t="s">
        <v>55</v>
      </c>
      <c r="M655" s="32" t="s">
        <v>5537</v>
      </c>
      <c r="N655" s="32" t="s">
        <v>54</v>
      </c>
    </row>
    <row r="656" spans="1:14" s="32" customFormat="1" hidden="1" x14ac:dyDescent="0.3">
      <c r="A656" s="39">
        <v>46192.623935185184</v>
      </c>
      <c r="B656" s="32">
        <v>4433235524</v>
      </c>
      <c r="C656" s="32" t="s">
        <v>45</v>
      </c>
      <c r="D656" s="32">
        <v>4430265054</v>
      </c>
      <c r="E656" s="32">
        <v>909</v>
      </c>
      <c r="F656" s="32">
        <v>822</v>
      </c>
      <c r="G656" s="32" t="s">
        <v>38</v>
      </c>
      <c r="H656" s="32" t="s">
        <v>6073</v>
      </c>
      <c r="I656" s="32" t="s">
        <v>39</v>
      </c>
      <c r="J656" s="32" t="s">
        <v>40</v>
      </c>
      <c r="K656" s="32" t="s">
        <v>41</v>
      </c>
      <c r="M656" s="32" t="s">
        <v>5421</v>
      </c>
      <c r="N656" s="32" t="s">
        <v>45</v>
      </c>
    </row>
    <row r="657" spans="1:14" s="32" customFormat="1" hidden="1" x14ac:dyDescent="0.3">
      <c r="A657" s="39">
        <v>46192.620729166665</v>
      </c>
      <c r="B657" s="32">
        <v>41997840159</v>
      </c>
      <c r="C657" s="32" t="s">
        <v>44</v>
      </c>
      <c r="D657" s="32">
        <v>4431268225</v>
      </c>
      <c r="E657" s="32">
        <v>791</v>
      </c>
      <c r="F657" s="32">
        <v>703</v>
      </c>
      <c r="G657" s="32" t="s">
        <v>38</v>
      </c>
      <c r="H657" s="32" t="s">
        <v>6074</v>
      </c>
      <c r="I657" s="32" t="s">
        <v>39</v>
      </c>
      <c r="J657" s="32" t="s">
        <v>40</v>
      </c>
      <c r="K657" s="32" t="s">
        <v>41</v>
      </c>
      <c r="M657" s="32" t="s">
        <v>5416</v>
      </c>
      <c r="N657" s="32" t="s">
        <v>44</v>
      </c>
    </row>
    <row r="658" spans="1:14" s="32" customFormat="1" hidden="1" x14ac:dyDescent="0.3">
      <c r="A658" s="39">
        <v>46192.616446759261</v>
      </c>
      <c r="B658" s="32" t="s">
        <v>57</v>
      </c>
      <c r="C658" s="32">
        <v>41991471225</v>
      </c>
      <c r="E658" s="32">
        <v>649</v>
      </c>
      <c r="F658" s="32">
        <v>637</v>
      </c>
      <c r="G658" s="32" t="s">
        <v>38</v>
      </c>
      <c r="H658" s="32" t="s">
        <v>6075</v>
      </c>
      <c r="I658" s="32" t="s">
        <v>46</v>
      </c>
      <c r="J658" s="32" t="s">
        <v>55</v>
      </c>
      <c r="M658" s="32" t="s">
        <v>5456</v>
      </c>
      <c r="N658" s="32" t="s">
        <v>57</v>
      </c>
    </row>
    <row r="659" spans="1:14" s="32" customFormat="1" hidden="1" x14ac:dyDescent="0.3">
      <c r="A659" s="39">
        <v>46192.616296296299</v>
      </c>
      <c r="B659" s="32" t="s">
        <v>57</v>
      </c>
      <c r="C659" s="32">
        <v>4130892122</v>
      </c>
      <c r="E659" s="32">
        <v>1</v>
      </c>
      <c r="F659" s="32">
        <v>0</v>
      </c>
      <c r="G659" s="32" t="s">
        <v>47</v>
      </c>
      <c r="H659" s="32" t="s">
        <v>6076</v>
      </c>
      <c r="I659" s="32" t="s">
        <v>46</v>
      </c>
      <c r="J659" s="32" t="s">
        <v>55</v>
      </c>
      <c r="M659" s="32" t="s">
        <v>5456</v>
      </c>
      <c r="N659" s="32" t="s">
        <v>57</v>
      </c>
    </row>
    <row r="660" spans="1:14" s="32" customFormat="1" hidden="1" x14ac:dyDescent="0.3">
      <c r="A660" s="39">
        <v>46192.616168981483</v>
      </c>
      <c r="B660" s="32" t="s">
        <v>57</v>
      </c>
      <c r="C660" s="32">
        <v>4133339932</v>
      </c>
      <c r="E660" s="32">
        <v>2</v>
      </c>
      <c r="F660" s="32">
        <v>0</v>
      </c>
      <c r="G660" s="32" t="s">
        <v>47</v>
      </c>
      <c r="H660" s="32" t="s">
        <v>6077</v>
      </c>
      <c r="I660" s="32" t="s">
        <v>46</v>
      </c>
      <c r="J660" s="32" t="s">
        <v>55</v>
      </c>
      <c r="M660" s="32" t="s">
        <v>5456</v>
      </c>
      <c r="N660" s="32" t="s">
        <v>57</v>
      </c>
    </row>
    <row r="661" spans="1:14" s="32" customFormat="1" hidden="1" x14ac:dyDescent="0.3">
      <c r="A661" s="39">
        <v>46192.615983796299</v>
      </c>
      <c r="B661" s="32" t="s">
        <v>57</v>
      </c>
      <c r="C661" s="32">
        <v>4130892122</v>
      </c>
      <c r="E661" s="32">
        <v>1</v>
      </c>
      <c r="F661" s="32">
        <v>0</v>
      </c>
      <c r="G661" s="32" t="s">
        <v>47</v>
      </c>
      <c r="H661" s="32" t="s">
        <v>6078</v>
      </c>
      <c r="I661" s="32" t="s">
        <v>46</v>
      </c>
      <c r="J661" s="32" t="s">
        <v>55</v>
      </c>
      <c r="M661" s="32" t="s">
        <v>5456</v>
      </c>
      <c r="N661" s="32" t="s">
        <v>57</v>
      </c>
    </row>
    <row r="662" spans="1:14" s="32" customFormat="1" hidden="1" x14ac:dyDescent="0.3">
      <c r="A662" s="39">
        <v>46192.613668981481</v>
      </c>
      <c r="B662" s="32">
        <v>44999680829</v>
      </c>
      <c r="C662" s="32" t="s">
        <v>37</v>
      </c>
      <c r="D662" s="32">
        <v>4430265054</v>
      </c>
      <c r="E662" s="32">
        <v>963</v>
      </c>
      <c r="F662" s="32">
        <v>851</v>
      </c>
      <c r="G662" s="32" t="s">
        <v>38</v>
      </c>
      <c r="H662" s="32" t="s">
        <v>6079</v>
      </c>
      <c r="I662" s="32" t="s">
        <v>39</v>
      </c>
      <c r="J662" s="32" t="s">
        <v>40</v>
      </c>
      <c r="K662" s="32" t="s">
        <v>41</v>
      </c>
      <c r="M662" s="32" t="s">
        <v>5410</v>
      </c>
      <c r="N662" s="32" t="s">
        <v>37</v>
      </c>
    </row>
    <row r="663" spans="1:14" s="32" customFormat="1" hidden="1" x14ac:dyDescent="0.3">
      <c r="A663" s="39">
        <v>46192.613206018519</v>
      </c>
      <c r="B663" s="32" t="s">
        <v>54</v>
      </c>
      <c r="C663" s="32">
        <v>47991240765</v>
      </c>
      <c r="E663" s="32">
        <v>46</v>
      </c>
      <c r="F663" s="32">
        <v>9</v>
      </c>
      <c r="G663" s="32" t="s">
        <v>38</v>
      </c>
      <c r="H663" s="32" t="s">
        <v>6080</v>
      </c>
      <c r="I663" s="32" t="s">
        <v>46</v>
      </c>
      <c r="J663" s="32" t="s">
        <v>55</v>
      </c>
      <c r="M663" s="32" t="s">
        <v>5537</v>
      </c>
      <c r="N663" s="32" t="s">
        <v>54</v>
      </c>
    </row>
    <row r="664" spans="1:14" s="32" customFormat="1" hidden="1" x14ac:dyDescent="0.3">
      <c r="A664" s="39">
        <v>46192.611875000002</v>
      </c>
      <c r="B664" s="32" t="s">
        <v>37</v>
      </c>
      <c r="C664" s="32">
        <v>4130263118</v>
      </c>
      <c r="E664" s="32">
        <v>185</v>
      </c>
      <c r="F664" s="32">
        <v>177</v>
      </c>
      <c r="G664" s="32" t="s">
        <v>38</v>
      </c>
      <c r="H664" s="32" t="s">
        <v>6081</v>
      </c>
      <c r="I664" s="32" t="s">
        <v>46</v>
      </c>
      <c r="J664" s="32" t="s">
        <v>40</v>
      </c>
      <c r="M664" s="32" t="s">
        <v>5410</v>
      </c>
      <c r="N664" s="32" t="s">
        <v>37</v>
      </c>
    </row>
    <row r="665" spans="1:14" s="32" customFormat="1" hidden="1" x14ac:dyDescent="0.3">
      <c r="A665" s="39">
        <v>46192.609918981485</v>
      </c>
      <c r="B665" s="32">
        <v>44999680829</v>
      </c>
      <c r="C665" s="32">
        <v>4430265054</v>
      </c>
      <c r="D665" s="32">
        <v>4430265054</v>
      </c>
      <c r="E665" s="32">
        <v>66</v>
      </c>
      <c r="F665" s="32">
        <v>65</v>
      </c>
      <c r="G665" s="32" t="s">
        <v>52</v>
      </c>
      <c r="H665" s="32" t="s">
        <v>6082</v>
      </c>
      <c r="I665" s="32" t="s">
        <v>39</v>
      </c>
      <c r="J665" s="32" t="s">
        <v>53</v>
      </c>
      <c r="K665" s="32" t="s">
        <v>41</v>
      </c>
    </row>
    <row r="666" spans="1:14" s="32" customFormat="1" hidden="1" x14ac:dyDescent="0.3">
      <c r="A666" s="39">
        <v>46192.608506944445</v>
      </c>
      <c r="B666" s="32" t="s">
        <v>57</v>
      </c>
      <c r="C666" s="32">
        <v>6230863114</v>
      </c>
      <c r="E666" s="32">
        <v>148</v>
      </c>
      <c r="F666" s="32">
        <v>136</v>
      </c>
      <c r="G666" s="32" t="s">
        <v>38</v>
      </c>
      <c r="H666" s="32" t="s">
        <v>6083</v>
      </c>
      <c r="I666" s="32" t="s">
        <v>46</v>
      </c>
      <c r="J666" s="32" t="s">
        <v>55</v>
      </c>
      <c r="M666" s="32" t="s">
        <v>5456</v>
      </c>
      <c r="N666" s="32" t="s">
        <v>57</v>
      </c>
    </row>
    <row r="667" spans="1:14" s="32" customFormat="1" hidden="1" x14ac:dyDescent="0.3">
      <c r="A667" s="39">
        <v>46192.604305555556</v>
      </c>
      <c r="B667" s="32">
        <v>44999680829</v>
      </c>
      <c r="C667" s="32">
        <v>4430265054</v>
      </c>
      <c r="D667" s="32">
        <v>4430265054</v>
      </c>
      <c r="E667" s="32">
        <v>123</v>
      </c>
      <c r="F667" s="32">
        <v>122</v>
      </c>
      <c r="G667" s="32" t="s">
        <v>52</v>
      </c>
      <c r="H667" s="32" t="s">
        <v>6084</v>
      </c>
      <c r="I667" s="32" t="s">
        <v>39</v>
      </c>
      <c r="J667" s="32" t="s">
        <v>53</v>
      </c>
      <c r="K667" s="32" t="s">
        <v>41</v>
      </c>
    </row>
    <row r="668" spans="1:14" s="32" customFormat="1" hidden="1" x14ac:dyDescent="0.3">
      <c r="A668" s="39">
        <v>46192.600254629629</v>
      </c>
      <c r="B668" s="32">
        <v>44997134514</v>
      </c>
      <c r="C668" s="32" t="s">
        <v>37</v>
      </c>
      <c r="D668" s="32">
        <v>4430265054</v>
      </c>
      <c r="E668" s="32">
        <v>445</v>
      </c>
      <c r="F668" s="32">
        <v>342</v>
      </c>
      <c r="G668" s="32" t="s">
        <v>38</v>
      </c>
      <c r="H668" s="32" t="s">
        <v>6085</v>
      </c>
      <c r="I668" s="32" t="s">
        <v>39</v>
      </c>
      <c r="J668" s="32" t="s">
        <v>40</v>
      </c>
      <c r="K668" s="32" t="s">
        <v>41</v>
      </c>
      <c r="M668" s="32" t="s">
        <v>5410</v>
      </c>
      <c r="N668" s="32" t="s">
        <v>37</v>
      </c>
    </row>
    <row r="669" spans="1:14" s="32" customFormat="1" hidden="1" x14ac:dyDescent="0.3">
      <c r="A669" s="39">
        <v>46192.599594907406</v>
      </c>
      <c r="B669" s="32">
        <v>44999238893</v>
      </c>
      <c r="C669" s="32">
        <v>4430265054</v>
      </c>
      <c r="D669" s="32">
        <v>4430265054</v>
      </c>
      <c r="E669" s="32">
        <v>24</v>
      </c>
      <c r="F669" s="32">
        <v>23</v>
      </c>
      <c r="G669" s="32" t="s">
        <v>52</v>
      </c>
      <c r="H669" s="32" t="s">
        <v>6086</v>
      </c>
      <c r="I669" s="32" t="s">
        <v>39</v>
      </c>
      <c r="J669" s="32" t="s">
        <v>53</v>
      </c>
    </row>
    <row r="670" spans="1:14" s="32" customFormat="1" hidden="1" x14ac:dyDescent="0.3">
      <c r="A670" s="39">
        <v>46192.593912037039</v>
      </c>
      <c r="B670" s="32">
        <v>4432272377</v>
      </c>
      <c r="C670" s="32" t="s">
        <v>44</v>
      </c>
      <c r="D670" s="32">
        <v>4430265054</v>
      </c>
      <c r="E670" s="32">
        <v>987</v>
      </c>
      <c r="F670" s="32">
        <v>926</v>
      </c>
      <c r="G670" s="32" t="s">
        <v>38</v>
      </c>
      <c r="H670" s="32" t="s">
        <v>6087</v>
      </c>
      <c r="I670" s="32" t="s">
        <v>39</v>
      </c>
      <c r="J670" s="32" t="s">
        <v>40</v>
      </c>
      <c r="K670" s="32" t="s">
        <v>41</v>
      </c>
      <c r="M670" s="32" t="s">
        <v>5416</v>
      </c>
      <c r="N670" s="32" t="s">
        <v>44</v>
      </c>
    </row>
    <row r="671" spans="1:14" s="32" customFormat="1" hidden="1" x14ac:dyDescent="0.3">
      <c r="A671" s="39">
        <v>46192.583483796298</v>
      </c>
      <c r="B671" s="32">
        <v>44999743444</v>
      </c>
      <c r="C671" s="32" t="s">
        <v>45</v>
      </c>
      <c r="D671" s="32">
        <v>4430265054</v>
      </c>
      <c r="E671" s="32">
        <v>282</v>
      </c>
      <c r="F671" s="32">
        <v>163</v>
      </c>
      <c r="G671" s="32" t="s">
        <v>38</v>
      </c>
      <c r="H671" s="32" t="s">
        <v>6088</v>
      </c>
      <c r="I671" s="32" t="s">
        <v>39</v>
      </c>
      <c r="J671" s="32" t="s">
        <v>40</v>
      </c>
      <c r="K671" s="32" t="s">
        <v>41</v>
      </c>
      <c r="M671" s="32" t="s">
        <v>5421</v>
      </c>
      <c r="N671" s="32" t="s">
        <v>45</v>
      </c>
    </row>
    <row r="672" spans="1:14" s="32" customFormat="1" hidden="1" x14ac:dyDescent="0.3">
      <c r="A672" s="39">
        <v>46192.575219907405</v>
      </c>
      <c r="B672" s="32">
        <v>44988303530</v>
      </c>
      <c r="C672" s="32" t="s">
        <v>45</v>
      </c>
      <c r="D672" s="32">
        <v>4430265054</v>
      </c>
      <c r="E672" s="32">
        <v>274</v>
      </c>
      <c r="F672" s="32">
        <v>195</v>
      </c>
      <c r="G672" s="32" t="s">
        <v>38</v>
      </c>
      <c r="H672" s="32" t="s">
        <v>6089</v>
      </c>
      <c r="I672" s="32" t="s">
        <v>39</v>
      </c>
      <c r="J672" s="32" t="s">
        <v>40</v>
      </c>
      <c r="K672" s="32" t="s">
        <v>41</v>
      </c>
      <c r="M672" s="32" t="s">
        <v>5421</v>
      </c>
      <c r="N672" s="32" t="s">
        <v>45</v>
      </c>
    </row>
    <row r="673" spans="1:14" s="32" customFormat="1" hidden="1" x14ac:dyDescent="0.3">
      <c r="A673" s="39">
        <v>46192.57435185185</v>
      </c>
      <c r="B673" s="32">
        <v>4130263118</v>
      </c>
      <c r="C673" s="32" t="s">
        <v>37</v>
      </c>
      <c r="D673" s="32">
        <v>4430265054</v>
      </c>
      <c r="E673" s="32">
        <v>908</v>
      </c>
      <c r="F673" s="32">
        <v>788</v>
      </c>
      <c r="G673" s="32" t="s">
        <v>38</v>
      </c>
      <c r="H673" s="32" t="s">
        <v>6090</v>
      </c>
      <c r="I673" s="32" t="s">
        <v>39</v>
      </c>
      <c r="J673" s="32" t="s">
        <v>40</v>
      </c>
      <c r="K673" s="32" t="s">
        <v>41</v>
      </c>
      <c r="M673" s="32" t="s">
        <v>5410</v>
      </c>
      <c r="N673" s="32" t="s">
        <v>37</v>
      </c>
    </row>
    <row r="674" spans="1:14" s="32" customFormat="1" hidden="1" x14ac:dyDescent="0.3">
      <c r="A674" s="39">
        <v>46192.573287037034</v>
      </c>
      <c r="B674" s="32" t="s">
        <v>37</v>
      </c>
      <c r="C674" s="32">
        <v>4433321380</v>
      </c>
      <c r="E674" s="32">
        <v>9</v>
      </c>
      <c r="F674" s="32">
        <v>0</v>
      </c>
      <c r="G674" s="32" t="s">
        <v>47</v>
      </c>
      <c r="H674" s="32" t="s">
        <v>6091</v>
      </c>
      <c r="I674" s="32" t="s">
        <v>46</v>
      </c>
      <c r="J674" s="32" t="s">
        <v>40</v>
      </c>
      <c r="M674" s="32" t="s">
        <v>5410</v>
      </c>
      <c r="N674" s="32" t="s">
        <v>37</v>
      </c>
    </row>
    <row r="675" spans="1:14" s="32" customFormat="1" hidden="1" x14ac:dyDescent="0.3">
      <c r="A675" s="39">
        <v>46192.564513888887</v>
      </c>
      <c r="B675" s="32">
        <v>4430288517</v>
      </c>
      <c r="C675" s="32" t="s">
        <v>48</v>
      </c>
      <c r="D675" s="32">
        <v>4430265054</v>
      </c>
      <c r="E675" s="32">
        <v>420</v>
      </c>
      <c r="F675" s="32">
        <v>419</v>
      </c>
      <c r="G675" s="32" t="s">
        <v>38</v>
      </c>
      <c r="H675" s="32" t="s">
        <v>6092</v>
      </c>
      <c r="I675" s="32" t="s">
        <v>39</v>
      </c>
      <c r="J675" s="32" t="s">
        <v>40</v>
      </c>
      <c r="K675" s="32" t="s">
        <v>41</v>
      </c>
      <c r="M675" s="32" t="s">
        <v>5412</v>
      </c>
      <c r="N675" s="32" t="s">
        <v>48</v>
      </c>
    </row>
    <row r="676" spans="1:14" s="32" customFormat="1" hidden="1" x14ac:dyDescent="0.3">
      <c r="A676" s="39">
        <v>46192.563831018517</v>
      </c>
      <c r="B676" s="32">
        <v>44998721566</v>
      </c>
      <c r="C676" s="32" t="s">
        <v>45</v>
      </c>
      <c r="D676" s="32">
        <v>4430265054</v>
      </c>
      <c r="E676" s="32">
        <v>335</v>
      </c>
      <c r="F676" s="32">
        <v>241</v>
      </c>
      <c r="G676" s="32" t="s">
        <v>38</v>
      </c>
      <c r="H676" s="32" t="s">
        <v>6093</v>
      </c>
      <c r="I676" s="32" t="s">
        <v>39</v>
      </c>
      <c r="J676" s="32" t="s">
        <v>40</v>
      </c>
      <c r="K676" s="32" t="s">
        <v>41</v>
      </c>
      <c r="M676" s="32" t="s">
        <v>5421</v>
      </c>
      <c r="N676" s="32" t="s">
        <v>45</v>
      </c>
    </row>
    <row r="677" spans="1:14" s="32" customFormat="1" hidden="1" x14ac:dyDescent="0.3">
      <c r="A677" s="39">
        <v>46192.563680555555</v>
      </c>
      <c r="B677" s="32">
        <v>4430318516</v>
      </c>
      <c r="C677" s="32">
        <v>4430265054</v>
      </c>
      <c r="D677" s="32">
        <v>4430265054</v>
      </c>
      <c r="E677" s="32">
        <v>7</v>
      </c>
      <c r="F677" s="32">
        <v>6</v>
      </c>
      <c r="G677" s="32" t="s">
        <v>52</v>
      </c>
      <c r="H677" s="32" t="s">
        <v>6094</v>
      </c>
      <c r="I677" s="32" t="s">
        <v>39</v>
      </c>
      <c r="J677" s="32" t="s">
        <v>53</v>
      </c>
    </row>
    <row r="678" spans="1:14" s="32" customFormat="1" hidden="1" x14ac:dyDescent="0.3">
      <c r="A678" s="39">
        <v>46192.562384259261</v>
      </c>
      <c r="B678" s="32">
        <v>44998721566</v>
      </c>
      <c r="C678" s="32">
        <v>4430265054</v>
      </c>
      <c r="D678" s="32">
        <v>4430265054</v>
      </c>
      <c r="E678" s="32">
        <v>29</v>
      </c>
      <c r="F678" s="32">
        <v>28</v>
      </c>
      <c r="G678" s="32" t="s">
        <v>52</v>
      </c>
      <c r="H678" s="32" t="s">
        <v>6095</v>
      </c>
      <c r="I678" s="32" t="s">
        <v>39</v>
      </c>
      <c r="J678" s="32" t="s">
        <v>53</v>
      </c>
    </row>
    <row r="679" spans="1:14" s="32" customFormat="1" hidden="1" x14ac:dyDescent="0.3">
      <c r="A679" s="39">
        <v>46192.556111111109</v>
      </c>
      <c r="B679" s="32">
        <v>4430318514</v>
      </c>
      <c r="C679" s="32">
        <v>4430265054</v>
      </c>
      <c r="D679" s="32">
        <v>4430265054</v>
      </c>
      <c r="E679" s="32">
        <v>2</v>
      </c>
      <c r="F679" s="32">
        <v>2</v>
      </c>
      <c r="G679" s="32" t="s">
        <v>52</v>
      </c>
      <c r="H679" s="32" t="s">
        <v>6096</v>
      </c>
      <c r="I679" s="32" t="s">
        <v>39</v>
      </c>
      <c r="J679" s="32" t="s">
        <v>53</v>
      </c>
    </row>
    <row r="680" spans="1:14" s="32" customFormat="1" hidden="1" x14ac:dyDescent="0.3">
      <c r="A680" s="39">
        <v>46192.555937500001</v>
      </c>
      <c r="B680" s="32">
        <v>4430288517</v>
      </c>
      <c r="C680" s="32">
        <v>4430265054</v>
      </c>
      <c r="D680" s="32">
        <v>4430265054</v>
      </c>
      <c r="E680" s="32">
        <v>1</v>
      </c>
      <c r="F680" s="32">
        <v>1</v>
      </c>
      <c r="G680" s="32" t="s">
        <v>52</v>
      </c>
      <c r="H680" s="32" t="s">
        <v>6097</v>
      </c>
      <c r="I680" s="32" t="s">
        <v>39</v>
      </c>
      <c r="J680" s="32" t="s">
        <v>53</v>
      </c>
    </row>
    <row r="681" spans="1:14" s="32" customFormat="1" hidden="1" x14ac:dyDescent="0.3">
      <c r="A681" s="39">
        <v>46192.494444444441</v>
      </c>
      <c r="B681" s="32" t="s">
        <v>45</v>
      </c>
      <c r="C681" s="32">
        <v>11965990735</v>
      </c>
      <c r="E681" s="32">
        <v>36</v>
      </c>
      <c r="F681" s="32">
        <v>0</v>
      </c>
      <c r="G681" s="32" t="s">
        <v>47</v>
      </c>
      <c r="H681" s="32" t="s">
        <v>6098</v>
      </c>
      <c r="I681" s="32" t="s">
        <v>46</v>
      </c>
      <c r="J681" s="32" t="s">
        <v>40</v>
      </c>
      <c r="M681" s="32" t="s">
        <v>5421</v>
      </c>
      <c r="N681" s="32" t="s">
        <v>45</v>
      </c>
    </row>
    <row r="682" spans="1:14" s="32" customFormat="1" hidden="1" x14ac:dyDescent="0.3">
      <c r="A682" s="39">
        <v>46192.484733796293</v>
      </c>
      <c r="B682" s="32" t="s">
        <v>45</v>
      </c>
      <c r="C682" s="32">
        <v>4532541996</v>
      </c>
      <c r="E682" s="32">
        <v>250</v>
      </c>
      <c r="F682" s="32">
        <v>239</v>
      </c>
      <c r="G682" s="32" t="s">
        <v>38</v>
      </c>
      <c r="H682" s="32" t="s">
        <v>6099</v>
      </c>
      <c r="I682" s="32" t="s">
        <v>46</v>
      </c>
      <c r="J682" s="32" t="s">
        <v>40</v>
      </c>
      <c r="M682" s="32" t="s">
        <v>5421</v>
      </c>
      <c r="N682" s="32" t="s">
        <v>45</v>
      </c>
    </row>
    <row r="683" spans="1:14" s="32" customFormat="1" hidden="1" x14ac:dyDescent="0.3">
      <c r="A683" s="39">
        <v>46192.470555555556</v>
      </c>
      <c r="B683" s="32" t="s">
        <v>37</v>
      </c>
      <c r="C683" s="32">
        <v>93991495484</v>
      </c>
      <c r="E683" s="32">
        <v>444</v>
      </c>
      <c r="F683" s="32">
        <v>438</v>
      </c>
      <c r="G683" s="32" t="s">
        <v>38</v>
      </c>
      <c r="H683" s="32" t="s">
        <v>6100</v>
      </c>
      <c r="I683" s="32" t="s">
        <v>46</v>
      </c>
      <c r="J683" s="32" t="s">
        <v>40</v>
      </c>
      <c r="L683" s="32">
        <v>5</v>
      </c>
      <c r="M683" s="32" t="s">
        <v>5410</v>
      </c>
      <c r="N683" s="32" t="s">
        <v>37</v>
      </c>
    </row>
    <row r="684" spans="1:14" s="32" customFormat="1" hidden="1" x14ac:dyDescent="0.3">
      <c r="A684" s="39">
        <v>46192.468668981484</v>
      </c>
      <c r="B684" s="32">
        <v>44999654761</v>
      </c>
      <c r="C684" s="32">
        <v>3000</v>
      </c>
      <c r="D684" s="32">
        <v>4430265054</v>
      </c>
      <c r="E684" s="32">
        <v>659</v>
      </c>
      <c r="F684" s="32">
        <v>637</v>
      </c>
      <c r="G684" s="32" t="s">
        <v>38</v>
      </c>
      <c r="H684" s="32" t="s">
        <v>6101</v>
      </c>
      <c r="I684" s="32" t="s">
        <v>39</v>
      </c>
      <c r="J684" s="32" t="s">
        <v>53</v>
      </c>
      <c r="K684" s="32" t="s">
        <v>41</v>
      </c>
    </row>
    <row r="685" spans="1:14" s="32" customFormat="1" hidden="1" x14ac:dyDescent="0.3">
      <c r="A685" s="39">
        <v>46192.466215277775</v>
      </c>
      <c r="B685" s="32" t="s">
        <v>54</v>
      </c>
      <c r="C685" s="32">
        <v>85996948786</v>
      </c>
      <c r="E685" s="32">
        <v>11</v>
      </c>
      <c r="F685" s="32">
        <v>0</v>
      </c>
      <c r="G685" s="32" t="s">
        <v>47</v>
      </c>
      <c r="H685" s="32" t="s">
        <v>6102</v>
      </c>
      <c r="I685" s="32" t="s">
        <v>46</v>
      </c>
      <c r="J685" s="32" t="s">
        <v>55</v>
      </c>
      <c r="M685" s="32" t="s">
        <v>5537</v>
      </c>
      <c r="N685" s="32" t="s">
        <v>54</v>
      </c>
    </row>
    <row r="686" spans="1:14" s="32" customFormat="1" hidden="1" x14ac:dyDescent="0.3">
      <c r="A686" s="39">
        <v>46192.465891203705</v>
      </c>
      <c r="B686" s="32" t="s">
        <v>54</v>
      </c>
      <c r="C686" s="32">
        <v>11999158720</v>
      </c>
      <c r="E686" s="32">
        <v>10</v>
      </c>
      <c r="F686" s="32">
        <v>0</v>
      </c>
      <c r="G686" s="32" t="s">
        <v>47</v>
      </c>
      <c r="H686" s="32" t="s">
        <v>6103</v>
      </c>
      <c r="I686" s="32" t="s">
        <v>46</v>
      </c>
      <c r="J686" s="32" t="s">
        <v>55</v>
      </c>
      <c r="M686" s="32" t="s">
        <v>5537</v>
      </c>
      <c r="N686" s="32" t="s">
        <v>54</v>
      </c>
    </row>
    <row r="687" spans="1:14" s="32" customFormat="1" hidden="1" x14ac:dyDescent="0.3">
      <c r="A687" s="39">
        <v>46192.465578703705</v>
      </c>
      <c r="B687" s="32">
        <v>44998636008</v>
      </c>
      <c r="C687" s="32" t="s">
        <v>45</v>
      </c>
      <c r="D687" s="32">
        <v>4430265054</v>
      </c>
      <c r="E687" s="32">
        <v>1292</v>
      </c>
      <c r="F687" s="32">
        <v>1131</v>
      </c>
      <c r="G687" s="32" t="s">
        <v>38</v>
      </c>
      <c r="H687" s="32" t="s">
        <v>6104</v>
      </c>
      <c r="I687" s="32" t="s">
        <v>39</v>
      </c>
      <c r="J687" s="32" t="s">
        <v>40</v>
      </c>
      <c r="K687" s="32" t="s">
        <v>41</v>
      </c>
      <c r="L687" s="40">
        <v>4</v>
      </c>
      <c r="M687" s="34" t="s">
        <v>7604</v>
      </c>
    </row>
    <row r="688" spans="1:14" s="32" customFormat="1" hidden="1" x14ac:dyDescent="0.3">
      <c r="A688" s="39">
        <v>46192.465486111112</v>
      </c>
      <c r="B688" s="32">
        <v>93991495484</v>
      </c>
      <c r="C688" s="32" t="s">
        <v>37</v>
      </c>
      <c r="D688" s="32">
        <v>4430265054</v>
      </c>
      <c r="E688" s="32">
        <v>455</v>
      </c>
      <c r="F688" s="32">
        <v>408</v>
      </c>
      <c r="G688" s="32" t="s">
        <v>38</v>
      </c>
      <c r="H688" s="32" t="s">
        <v>6105</v>
      </c>
      <c r="I688" s="32" t="s">
        <v>39</v>
      </c>
      <c r="J688" s="32" t="s">
        <v>40</v>
      </c>
      <c r="K688" s="32" t="s">
        <v>41</v>
      </c>
      <c r="M688" s="32" t="s">
        <v>5410</v>
      </c>
      <c r="N688" s="32" t="s">
        <v>37</v>
      </c>
    </row>
    <row r="689" spans="1:14" s="32" customFormat="1" hidden="1" x14ac:dyDescent="0.3">
      <c r="A689" s="39">
        <v>46192.465011574073</v>
      </c>
      <c r="B689" s="32" t="s">
        <v>45</v>
      </c>
      <c r="C689" s="32">
        <v>4532541996</v>
      </c>
      <c r="E689" s="32">
        <v>61</v>
      </c>
      <c r="F689" s="32">
        <v>48</v>
      </c>
      <c r="G689" s="32" t="s">
        <v>38</v>
      </c>
      <c r="H689" s="32" t="s">
        <v>6106</v>
      </c>
      <c r="I689" s="32" t="s">
        <v>46</v>
      </c>
      <c r="J689" s="32" t="s">
        <v>40</v>
      </c>
      <c r="M689" s="32" t="s">
        <v>5421</v>
      </c>
      <c r="N689" s="32" t="s">
        <v>45</v>
      </c>
    </row>
    <row r="690" spans="1:14" s="32" customFormat="1" hidden="1" x14ac:dyDescent="0.3">
      <c r="A690" s="39">
        <v>46192.462881944448</v>
      </c>
      <c r="B690" s="32" t="s">
        <v>54</v>
      </c>
      <c r="C690" s="32">
        <v>37999419980</v>
      </c>
      <c r="E690" s="32">
        <v>20</v>
      </c>
      <c r="F690" s="32">
        <v>16</v>
      </c>
      <c r="G690" s="32" t="s">
        <v>38</v>
      </c>
      <c r="H690" s="32" t="s">
        <v>6107</v>
      </c>
      <c r="I690" s="32" t="s">
        <v>46</v>
      </c>
      <c r="J690" s="32" t="s">
        <v>55</v>
      </c>
      <c r="M690" s="32" t="s">
        <v>5537</v>
      </c>
      <c r="N690" s="32" t="s">
        <v>54</v>
      </c>
    </row>
    <row r="691" spans="1:14" s="32" customFormat="1" hidden="1" x14ac:dyDescent="0.3">
      <c r="A691" s="39">
        <v>46192.462141203701</v>
      </c>
      <c r="B691" s="32" t="s">
        <v>54</v>
      </c>
      <c r="C691" s="32">
        <v>85986806368</v>
      </c>
      <c r="E691" s="32">
        <v>7</v>
      </c>
      <c r="F691" s="32">
        <v>0</v>
      </c>
      <c r="G691" s="32" t="s">
        <v>47</v>
      </c>
      <c r="H691" s="32" t="s">
        <v>6108</v>
      </c>
      <c r="I691" s="32" t="s">
        <v>46</v>
      </c>
      <c r="J691" s="32" t="s">
        <v>55</v>
      </c>
      <c r="M691" s="32" t="s">
        <v>5537</v>
      </c>
      <c r="N691" s="32" t="s">
        <v>54</v>
      </c>
    </row>
    <row r="692" spans="1:14" s="32" customFormat="1" hidden="1" x14ac:dyDescent="0.3">
      <c r="A692" s="39">
        <v>46192.461504629631</v>
      </c>
      <c r="B692" s="32">
        <v>4532541996</v>
      </c>
      <c r="C692" s="32" t="s">
        <v>45</v>
      </c>
      <c r="D692" s="32">
        <v>4430265054</v>
      </c>
      <c r="E692" s="32">
        <v>292</v>
      </c>
      <c r="F692" s="32">
        <v>271</v>
      </c>
      <c r="G692" s="32" t="s">
        <v>38</v>
      </c>
      <c r="H692" s="32" t="s">
        <v>6109</v>
      </c>
      <c r="I692" s="32" t="s">
        <v>39</v>
      </c>
      <c r="J692" s="32" t="s">
        <v>40</v>
      </c>
      <c r="K692" s="32" t="s">
        <v>41</v>
      </c>
      <c r="M692" s="32" t="s">
        <v>5421</v>
      </c>
      <c r="N692" s="32" t="s">
        <v>45</v>
      </c>
    </row>
    <row r="693" spans="1:14" s="32" customFormat="1" hidden="1" x14ac:dyDescent="0.3">
      <c r="A693" s="39">
        <v>46192.460960648146</v>
      </c>
      <c r="B693" s="32" t="s">
        <v>54</v>
      </c>
      <c r="C693" s="32">
        <v>47997244881</v>
      </c>
      <c r="E693" s="32">
        <v>8</v>
      </c>
      <c r="F693" s="32">
        <v>0</v>
      </c>
      <c r="G693" s="32" t="s">
        <v>47</v>
      </c>
      <c r="H693" s="32" t="s">
        <v>6110</v>
      </c>
      <c r="I693" s="32" t="s">
        <v>46</v>
      </c>
      <c r="J693" s="32" t="s">
        <v>55</v>
      </c>
      <c r="M693" s="32" t="s">
        <v>5537</v>
      </c>
      <c r="N693" s="32" t="s">
        <v>54</v>
      </c>
    </row>
    <row r="694" spans="1:14" s="32" customFormat="1" hidden="1" x14ac:dyDescent="0.3">
      <c r="A694" s="39">
        <v>46192.4606712963</v>
      </c>
      <c r="B694" s="32" t="s">
        <v>54</v>
      </c>
      <c r="C694" s="32">
        <v>47997244881</v>
      </c>
      <c r="E694" s="32">
        <v>14</v>
      </c>
      <c r="F694" s="32">
        <v>0</v>
      </c>
      <c r="G694" s="32" t="s">
        <v>47</v>
      </c>
      <c r="H694" s="32" t="s">
        <v>6111</v>
      </c>
      <c r="I694" s="32" t="s">
        <v>46</v>
      </c>
      <c r="J694" s="32" t="s">
        <v>55</v>
      </c>
      <c r="M694" s="32" t="s">
        <v>5537</v>
      </c>
      <c r="N694" s="32" t="s">
        <v>54</v>
      </c>
    </row>
    <row r="695" spans="1:14" s="32" customFormat="1" hidden="1" x14ac:dyDescent="0.3">
      <c r="A695" s="39">
        <v>46192.459062499998</v>
      </c>
      <c r="B695" s="32" t="s">
        <v>54</v>
      </c>
      <c r="C695" s="32">
        <v>65999712363</v>
      </c>
      <c r="E695" s="32">
        <v>20</v>
      </c>
      <c r="F695" s="32">
        <v>1</v>
      </c>
      <c r="G695" s="32" t="s">
        <v>38</v>
      </c>
      <c r="H695" s="32" t="s">
        <v>6112</v>
      </c>
      <c r="I695" s="32" t="s">
        <v>46</v>
      </c>
      <c r="J695" s="32" t="s">
        <v>55</v>
      </c>
      <c r="M695" s="32" t="s">
        <v>5537</v>
      </c>
      <c r="N695" s="32" t="s">
        <v>54</v>
      </c>
    </row>
    <row r="696" spans="1:14" s="32" customFormat="1" hidden="1" x14ac:dyDescent="0.3">
      <c r="A696" s="39">
        <v>46192.457592592589</v>
      </c>
      <c r="B696" s="32" t="s">
        <v>54</v>
      </c>
      <c r="C696" s="32">
        <v>85999553838</v>
      </c>
      <c r="E696" s="32">
        <v>18</v>
      </c>
      <c r="F696" s="32">
        <v>9</v>
      </c>
      <c r="G696" s="32" t="s">
        <v>38</v>
      </c>
      <c r="H696" s="32" t="s">
        <v>6113</v>
      </c>
      <c r="I696" s="32" t="s">
        <v>46</v>
      </c>
      <c r="J696" s="32" t="s">
        <v>55</v>
      </c>
      <c r="M696" s="32" t="s">
        <v>5537</v>
      </c>
      <c r="N696" s="32" t="s">
        <v>54</v>
      </c>
    </row>
    <row r="697" spans="1:14" s="32" customFormat="1" hidden="1" x14ac:dyDescent="0.3">
      <c r="A697" s="39">
        <v>46192.456493055557</v>
      </c>
      <c r="B697" s="32">
        <v>44991213399</v>
      </c>
      <c r="C697" s="32">
        <v>4430265054</v>
      </c>
      <c r="D697" s="32">
        <v>4430265054</v>
      </c>
      <c r="E697" s="32">
        <v>72</v>
      </c>
      <c r="F697" s="32">
        <v>72</v>
      </c>
      <c r="G697" s="32" t="s">
        <v>52</v>
      </c>
      <c r="H697" s="32" t="s">
        <v>6114</v>
      </c>
      <c r="I697" s="32" t="s">
        <v>39</v>
      </c>
      <c r="J697" s="32" t="s">
        <v>53</v>
      </c>
      <c r="K697" s="32" t="s">
        <v>41</v>
      </c>
    </row>
    <row r="698" spans="1:14" s="32" customFormat="1" hidden="1" x14ac:dyDescent="0.3">
      <c r="A698" s="39">
        <v>46192.455092592594</v>
      </c>
      <c r="B698" s="32">
        <v>41997840159</v>
      </c>
      <c r="C698" s="32" t="s">
        <v>44</v>
      </c>
      <c r="D698" s="32">
        <v>4431268225</v>
      </c>
      <c r="E698" s="32">
        <v>947</v>
      </c>
      <c r="F698" s="32">
        <v>635</v>
      </c>
      <c r="G698" s="32" t="s">
        <v>38</v>
      </c>
      <c r="H698" s="32" t="s">
        <v>6115</v>
      </c>
      <c r="I698" s="32" t="s">
        <v>39</v>
      </c>
      <c r="J698" s="32" t="s">
        <v>40</v>
      </c>
      <c r="K698" s="32" t="s">
        <v>41</v>
      </c>
      <c r="L698" s="32">
        <v>5</v>
      </c>
      <c r="M698" s="32" t="s">
        <v>5416</v>
      </c>
      <c r="N698" s="32" t="s">
        <v>44</v>
      </c>
    </row>
    <row r="699" spans="1:14" s="32" customFormat="1" hidden="1" x14ac:dyDescent="0.3">
      <c r="A699" s="39">
        <v>46192.441076388888</v>
      </c>
      <c r="B699" s="32" t="s">
        <v>54</v>
      </c>
      <c r="C699" s="32">
        <v>69984134016</v>
      </c>
      <c r="E699" s="32">
        <v>7</v>
      </c>
      <c r="F699" s="32">
        <v>0</v>
      </c>
      <c r="G699" s="32" t="s">
        <v>47</v>
      </c>
      <c r="H699" s="32" t="s">
        <v>6116</v>
      </c>
      <c r="I699" s="32" t="s">
        <v>46</v>
      </c>
      <c r="J699" s="32" t="s">
        <v>55</v>
      </c>
      <c r="M699" s="32" t="s">
        <v>5537</v>
      </c>
      <c r="N699" s="32" t="s">
        <v>54</v>
      </c>
    </row>
    <row r="700" spans="1:14" s="32" customFormat="1" hidden="1" x14ac:dyDescent="0.3">
      <c r="A700" s="39">
        <v>46192.440069444441</v>
      </c>
      <c r="B700" s="32" t="s">
        <v>54</v>
      </c>
      <c r="C700" s="32">
        <v>31975956816</v>
      </c>
      <c r="E700" s="32">
        <v>26</v>
      </c>
      <c r="F700" s="32">
        <v>7</v>
      </c>
      <c r="G700" s="32" t="s">
        <v>38</v>
      </c>
      <c r="H700" s="32" t="s">
        <v>6117</v>
      </c>
      <c r="I700" s="32" t="s">
        <v>46</v>
      </c>
      <c r="J700" s="32" t="s">
        <v>55</v>
      </c>
      <c r="M700" s="32" t="s">
        <v>5537</v>
      </c>
      <c r="N700" s="32" t="s">
        <v>54</v>
      </c>
    </row>
    <row r="701" spans="1:14" s="32" customFormat="1" hidden="1" x14ac:dyDescent="0.3">
      <c r="A701" s="39">
        <v>46192.438657407409</v>
      </c>
      <c r="B701" s="32" t="s">
        <v>54</v>
      </c>
      <c r="C701" s="32">
        <v>11947721276</v>
      </c>
      <c r="E701" s="32">
        <v>8</v>
      </c>
      <c r="F701" s="32">
        <v>0</v>
      </c>
      <c r="G701" s="32" t="s">
        <v>38</v>
      </c>
      <c r="H701" s="32" t="s">
        <v>6118</v>
      </c>
      <c r="I701" s="32" t="s">
        <v>46</v>
      </c>
      <c r="J701" s="32" t="s">
        <v>55</v>
      </c>
      <c r="M701" s="32" t="s">
        <v>5537</v>
      </c>
      <c r="N701" s="32" t="s">
        <v>54</v>
      </c>
    </row>
    <row r="702" spans="1:14" s="32" customFormat="1" hidden="1" x14ac:dyDescent="0.3">
      <c r="A702" s="39">
        <v>46192.437731481485</v>
      </c>
      <c r="B702" s="32" t="s">
        <v>57</v>
      </c>
      <c r="C702" s="32">
        <v>44999629349</v>
      </c>
      <c r="E702" s="32">
        <v>38</v>
      </c>
      <c r="F702" s="32">
        <v>32</v>
      </c>
      <c r="G702" s="32" t="s">
        <v>38</v>
      </c>
      <c r="H702" s="32" t="s">
        <v>6119</v>
      </c>
      <c r="I702" s="32" t="s">
        <v>46</v>
      </c>
      <c r="J702" s="32" t="s">
        <v>55</v>
      </c>
      <c r="M702" s="32" t="s">
        <v>5456</v>
      </c>
      <c r="N702" s="32" t="s">
        <v>57</v>
      </c>
    </row>
    <row r="703" spans="1:14" s="32" customFormat="1" hidden="1" x14ac:dyDescent="0.3">
      <c r="A703" s="39">
        <v>46192.432800925926</v>
      </c>
      <c r="B703" s="32" t="s">
        <v>54</v>
      </c>
      <c r="C703" s="32">
        <v>41999490312</v>
      </c>
      <c r="E703" s="32">
        <v>12</v>
      </c>
      <c r="F703" s="32">
        <v>0</v>
      </c>
      <c r="G703" s="32" t="s">
        <v>47</v>
      </c>
      <c r="H703" s="32" t="s">
        <v>6120</v>
      </c>
      <c r="I703" s="32" t="s">
        <v>46</v>
      </c>
      <c r="J703" s="32" t="s">
        <v>55</v>
      </c>
      <c r="M703" s="32" t="s">
        <v>5537</v>
      </c>
      <c r="N703" s="32" t="s">
        <v>54</v>
      </c>
    </row>
    <row r="704" spans="1:14" s="32" customFormat="1" hidden="1" x14ac:dyDescent="0.3">
      <c r="A704" s="39">
        <v>46192.430972222224</v>
      </c>
      <c r="B704" s="32">
        <v>4532541996</v>
      </c>
      <c r="C704" s="32">
        <v>4430265054</v>
      </c>
      <c r="D704" s="32">
        <v>4430265054</v>
      </c>
      <c r="E704" s="32">
        <v>0</v>
      </c>
      <c r="F704" s="32">
        <v>0</v>
      </c>
      <c r="G704" s="32" t="s">
        <v>47</v>
      </c>
      <c r="H704" s="32" t="s">
        <v>6121</v>
      </c>
      <c r="I704" s="32" t="s">
        <v>39</v>
      </c>
      <c r="J704" s="32" t="s">
        <v>53</v>
      </c>
    </row>
    <row r="705" spans="1:14" s="32" customFormat="1" hidden="1" x14ac:dyDescent="0.3">
      <c r="A705" s="39">
        <v>46192.430023148147</v>
      </c>
      <c r="B705" s="32" t="s">
        <v>54</v>
      </c>
      <c r="C705" s="32">
        <v>62984713973</v>
      </c>
      <c r="E705" s="32">
        <v>26</v>
      </c>
      <c r="F705" s="32">
        <v>6</v>
      </c>
      <c r="G705" s="32" t="s">
        <v>38</v>
      </c>
      <c r="H705" s="32" t="s">
        <v>6122</v>
      </c>
      <c r="I705" s="32" t="s">
        <v>46</v>
      </c>
      <c r="J705" s="32" t="s">
        <v>55</v>
      </c>
      <c r="M705" s="32" t="s">
        <v>5537</v>
      </c>
      <c r="N705" s="32" t="s">
        <v>54</v>
      </c>
    </row>
    <row r="706" spans="1:14" s="32" customFormat="1" hidden="1" x14ac:dyDescent="0.3">
      <c r="A706" s="39">
        <v>46192.429085648146</v>
      </c>
      <c r="B706" s="32">
        <v>44998721566</v>
      </c>
      <c r="C706" s="32">
        <v>4430265054</v>
      </c>
      <c r="D706" s="32">
        <v>4430265054</v>
      </c>
      <c r="E706" s="32">
        <v>126</v>
      </c>
      <c r="F706" s="32">
        <v>125</v>
      </c>
      <c r="G706" s="32" t="s">
        <v>52</v>
      </c>
      <c r="H706" s="32" t="s">
        <v>6123</v>
      </c>
      <c r="I706" s="32" t="s">
        <v>39</v>
      </c>
      <c r="J706" s="32" t="s">
        <v>53</v>
      </c>
      <c r="K706" s="32" t="s">
        <v>41</v>
      </c>
    </row>
    <row r="707" spans="1:14" s="32" customFormat="1" hidden="1" x14ac:dyDescent="0.3">
      <c r="A707" s="39">
        <v>46192.428877314815</v>
      </c>
      <c r="B707" s="32" t="s">
        <v>54</v>
      </c>
      <c r="C707" s="32">
        <v>12996292210</v>
      </c>
      <c r="E707" s="32">
        <v>5</v>
      </c>
      <c r="F707" s="32">
        <v>0</v>
      </c>
      <c r="G707" s="32" t="s">
        <v>47</v>
      </c>
      <c r="H707" s="32" t="s">
        <v>6124</v>
      </c>
      <c r="I707" s="32" t="s">
        <v>46</v>
      </c>
      <c r="J707" s="32" t="s">
        <v>55</v>
      </c>
      <c r="M707" s="32" t="s">
        <v>5537</v>
      </c>
      <c r="N707" s="32" t="s">
        <v>54</v>
      </c>
    </row>
    <row r="708" spans="1:14" s="32" customFormat="1" hidden="1" x14ac:dyDescent="0.3">
      <c r="A708" s="39">
        <v>46192.42864583333</v>
      </c>
      <c r="B708" s="32">
        <v>44999827582</v>
      </c>
      <c r="C708" s="32" t="s">
        <v>37</v>
      </c>
      <c r="D708" s="32">
        <v>4430265054</v>
      </c>
      <c r="E708" s="32">
        <v>451</v>
      </c>
      <c r="F708" s="32">
        <v>254</v>
      </c>
      <c r="G708" s="32" t="s">
        <v>38</v>
      </c>
      <c r="H708" s="32" t="s">
        <v>6125</v>
      </c>
      <c r="I708" s="32" t="s">
        <v>39</v>
      </c>
      <c r="J708" s="32" t="s">
        <v>40</v>
      </c>
      <c r="K708" s="32" t="s">
        <v>41</v>
      </c>
      <c r="L708" s="32">
        <v>5</v>
      </c>
      <c r="M708" s="32" t="s">
        <v>5410</v>
      </c>
      <c r="N708" s="32" t="s">
        <v>37</v>
      </c>
    </row>
    <row r="709" spans="1:14" s="32" customFormat="1" hidden="1" x14ac:dyDescent="0.3">
      <c r="A709" s="39">
        <v>46192.428055555552</v>
      </c>
      <c r="B709" s="32">
        <v>44999827582</v>
      </c>
      <c r="C709" s="32">
        <v>4430265054</v>
      </c>
      <c r="D709" s="32">
        <v>4430265054</v>
      </c>
      <c r="E709" s="32">
        <v>16</v>
      </c>
      <c r="F709" s="32">
        <v>15</v>
      </c>
      <c r="G709" s="32" t="s">
        <v>52</v>
      </c>
      <c r="H709" s="32" t="s">
        <v>6126</v>
      </c>
      <c r="I709" s="32" t="s">
        <v>39</v>
      </c>
      <c r="J709" s="32" t="s">
        <v>53</v>
      </c>
    </row>
    <row r="710" spans="1:14" s="32" customFormat="1" hidden="1" x14ac:dyDescent="0.3">
      <c r="A710" s="39">
        <v>46192.423055555555</v>
      </c>
      <c r="B710" s="32" t="s">
        <v>54</v>
      </c>
      <c r="C710" s="32">
        <v>92992875517</v>
      </c>
      <c r="E710" s="32">
        <v>15</v>
      </c>
      <c r="F710" s="32">
        <v>8</v>
      </c>
      <c r="G710" s="32" t="s">
        <v>38</v>
      </c>
      <c r="H710" s="32" t="s">
        <v>6127</v>
      </c>
      <c r="I710" s="32" t="s">
        <v>46</v>
      </c>
      <c r="J710" s="32" t="s">
        <v>55</v>
      </c>
      <c r="M710" s="32" t="s">
        <v>5537</v>
      </c>
      <c r="N710" s="32" t="s">
        <v>54</v>
      </c>
    </row>
    <row r="711" spans="1:14" s="32" customFormat="1" hidden="1" x14ac:dyDescent="0.3">
      <c r="A711" s="39">
        <v>46192.421643518515</v>
      </c>
      <c r="B711" s="32">
        <v>44999917849</v>
      </c>
      <c r="C711" s="32" t="s">
        <v>44</v>
      </c>
      <c r="D711" s="32">
        <v>4430265054</v>
      </c>
      <c r="E711" s="32">
        <v>420</v>
      </c>
      <c r="F711" s="32">
        <v>339</v>
      </c>
      <c r="G711" s="32" t="s">
        <v>38</v>
      </c>
      <c r="H711" s="32" t="s">
        <v>6128</v>
      </c>
      <c r="I711" s="32" t="s">
        <v>39</v>
      </c>
      <c r="J711" s="32" t="s">
        <v>40</v>
      </c>
      <c r="K711" s="32" t="s">
        <v>41</v>
      </c>
      <c r="M711" s="32" t="s">
        <v>5416</v>
      </c>
      <c r="N711" s="32" t="s">
        <v>44</v>
      </c>
    </row>
    <row r="712" spans="1:14" s="32" customFormat="1" hidden="1" x14ac:dyDescent="0.3">
      <c r="A712" s="39">
        <v>46192.419328703705</v>
      </c>
      <c r="B712" s="32">
        <v>41997840159</v>
      </c>
      <c r="C712" s="32">
        <v>4431268225</v>
      </c>
      <c r="D712" s="32">
        <v>4431268225</v>
      </c>
      <c r="E712" s="32">
        <v>10</v>
      </c>
      <c r="F712" s="32">
        <v>9</v>
      </c>
      <c r="G712" s="32" t="s">
        <v>52</v>
      </c>
      <c r="H712" s="32" t="s">
        <v>6129</v>
      </c>
      <c r="I712" s="32" t="s">
        <v>39</v>
      </c>
      <c r="J712" s="32" t="s">
        <v>53</v>
      </c>
    </row>
    <row r="713" spans="1:14" s="32" customFormat="1" hidden="1" x14ac:dyDescent="0.3">
      <c r="A713" s="39">
        <v>46192.418240740742</v>
      </c>
      <c r="B713" s="32">
        <v>44998107650</v>
      </c>
      <c r="C713" s="32" t="s">
        <v>45</v>
      </c>
      <c r="D713" s="32">
        <v>4431268225</v>
      </c>
      <c r="E713" s="32">
        <v>1046</v>
      </c>
      <c r="F713" s="32">
        <v>1006</v>
      </c>
      <c r="G713" s="32" t="s">
        <v>38</v>
      </c>
      <c r="H713" s="32" t="s">
        <v>6130</v>
      </c>
      <c r="I713" s="32" t="s">
        <v>39</v>
      </c>
      <c r="J713" s="32" t="s">
        <v>40</v>
      </c>
      <c r="K713" s="32" t="s">
        <v>41</v>
      </c>
      <c r="L713" s="32">
        <v>5</v>
      </c>
      <c r="M713" s="32" t="s">
        <v>5421</v>
      </c>
      <c r="N713" s="32" t="s">
        <v>45</v>
      </c>
    </row>
    <row r="714" spans="1:14" s="32" customFormat="1" hidden="1" x14ac:dyDescent="0.3">
      <c r="A714" s="39">
        <v>46192.412928240738</v>
      </c>
      <c r="B714" s="32">
        <v>45999334612</v>
      </c>
      <c r="C714" s="32" t="s">
        <v>44</v>
      </c>
      <c r="D714" s="32">
        <v>4430265054</v>
      </c>
      <c r="E714" s="32">
        <v>521</v>
      </c>
      <c r="F714" s="32">
        <v>429</v>
      </c>
      <c r="G714" s="32" t="s">
        <v>38</v>
      </c>
      <c r="H714" s="32" t="s">
        <v>6131</v>
      </c>
      <c r="I714" s="32" t="s">
        <v>39</v>
      </c>
      <c r="J714" s="32" t="s">
        <v>40</v>
      </c>
      <c r="K714" s="32" t="s">
        <v>41</v>
      </c>
      <c r="L714" s="32">
        <v>5</v>
      </c>
      <c r="M714" s="32" t="s">
        <v>5416</v>
      </c>
      <c r="N714" s="32" t="s">
        <v>44</v>
      </c>
    </row>
    <row r="715" spans="1:14" s="32" customFormat="1" hidden="1" x14ac:dyDescent="0.3">
      <c r="A715" s="39">
        <v>46192.410196759258</v>
      </c>
      <c r="B715" s="32">
        <v>4432268889</v>
      </c>
      <c r="C715" s="32" t="s">
        <v>48</v>
      </c>
      <c r="D715" s="32">
        <v>4430265054</v>
      </c>
      <c r="E715" s="32">
        <v>372</v>
      </c>
      <c r="F715" s="32">
        <v>371</v>
      </c>
      <c r="G715" s="32" t="s">
        <v>38</v>
      </c>
      <c r="H715" s="32" t="s">
        <v>6132</v>
      </c>
      <c r="I715" s="32" t="s">
        <v>39</v>
      </c>
      <c r="J715" s="32" t="s">
        <v>40</v>
      </c>
      <c r="K715" s="32" t="s">
        <v>41</v>
      </c>
      <c r="M715" s="32" t="s">
        <v>5412</v>
      </c>
      <c r="N715" s="32" t="s">
        <v>48</v>
      </c>
    </row>
    <row r="716" spans="1:14" s="32" customFormat="1" hidden="1" x14ac:dyDescent="0.3">
      <c r="A716" s="39">
        <v>46192.409490740742</v>
      </c>
      <c r="B716" s="32">
        <v>43996893235</v>
      </c>
      <c r="C716" s="32" t="s">
        <v>44</v>
      </c>
      <c r="D716" s="32">
        <v>4430265054</v>
      </c>
      <c r="E716" s="32">
        <v>285</v>
      </c>
      <c r="F716" s="32">
        <v>223</v>
      </c>
      <c r="G716" s="32" t="s">
        <v>38</v>
      </c>
      <c r="H716" s="32" t="s">
        <v>6133</v>
      </c>
      <c r="I716" s="32" t="s">
        <v>39</v>
      </c>
      <c r="J716" s="32" t="s">
        <v>40</v>
      </c>
      <c r="K716" s="32" t="s">
        <v>41</v>
      </c>
      <c r="M716" s="32" t="s">
        <v>5416</v>
      </c>
      <c r="N716" s="32" t="s">
        <v>44</v>
      </c>
    </row>
    <row r="717" spans="1:14" s="32" customFormat="1" hidden="1" x14ac:dyDescent="0.3">
      <c r="A717" s="39">
        <v>46192.40347222222</v>
      </c>
      <c r="B717" s="32" t="s">
        <v>54</v>
      </c>
      <c r="C717" s="32">
        <v>1127273743</v>
      </c>
      <c r="E717" s="32">
        <v>16</v>
      </c>
      <c r="F717" s="32">
        <v>7</v>
      </c>
      <c r="G717" s="32" t="s">
        <v>38</v>
      </c>
      <c r="H717" s="32" t="s">
        <v>6134</v>
      </c>
      <c r="I717" s="32" t="s">
        <v>46</v>
      </c>
      <c r="J717" s="32" t="s">
        <v>55</v>
      </c>
      <c r="M717" s="32" t="s">
        <v>5537</v>
      </c>
      <c r="N717" s="32" t="s">
        <v>54</v>
      </c>
    </row>
    <row r="718" spans="1:14" s="32" customFormat="1" hidden="1" x14ac:dyDescent="0.3">
      <c r="A718" s="39">
        <v>46192.40320601852</v>
      </c>
      <c r="B718" s="32">
        <v>1438160351</v>
      </c>
      <c r="C718" s="32">
        <v>4430265054</v>
      </c>
      <c r="D718" s="32">
        <v>4430265054</v>
      </c>
      <c r="E718" s="32">
        <v>9</v>
      </c>
      <c r="F718" s="32">
        <v>8</v>
      </c>
      <c r="G718" s="32" t="s">
        <v>52</v>
      </c>
      <c r="H718" s="32" t="s">
        <v>6135</v>
      </c>
      <c r="I718" s="32" t="s">
        <v>39</v>
      </c>
      <c r="J718" s="32" t="s">
        <v>53</v>
      </c>
    </row>
    <row r="719" spans="1:14" s="32" customFormat="1" hidden="1" x14ac:dyDescent="0.3">
      <c r="A719" s="39">
        <v>46192.402083333334</v>
      </c>
      <c r="B719" s="32">
        <v>4432325260</v>
      </c>
      <c r="C719" s="32" t="s">
        <v>37</v>
      </c>
      <c r="D719" s="32">
        <v>4430265054</v>
      </c>
      <c r="E719" s="32">
        <v>1284</v>
      </c>
      <c r="F719" s="32">
        <v>1126</v>
      </c>
      <c r="G719" s="32" t="s">
        <v>38</v>
      </c>
      <c r="H719" s="32" t="s">
        <v>6136</v>
      </c>
      <c r="I719" s="32" t="s">
        <v>39</v>
      </c>
      <c r="J719" s="32" t="s">
        <v>40</v>
      </c>
      <c r="K719" s="32" t="s">
        <v>41</v>
      </c>
      <c r="L719" s="32">
        <v>5</v>
      </c>
      <c r="M719" s="32" t="s">
        <v>5410</v>
      </c>
      <c r="N719" s="32" t="s">
        <v>37</v>
      </c>
    </row>
    <row r="720" spans="1:14" s="32" customFormat="1" hidden="1" x14ac:dyDescent="0.3">
      <c r="A720" s="39">
        <v>46192.383379629631</v>
      </c>
      <c r="B720" s="32">
        <v>44991249108</v>
      </c>
      <c r="C720" s="32" t="s">
        <v>44</v>
      </c>
      <c r="D720" s="32">
        <v>4430265054</v>
      </c>
      <c r="E720" s="32">
        <v>415</v>
      </c>
      <c r="F720" s="32">
        <v>369</v>
      </c>
      <c r="G720" s="32" t="s">
        <v>38</v>
      </c>
      <c r="H720" s="32" t="s">
        <v>6137</v>
      </c>
      <c r="I720" s="32" t="s">
        <v>39</v>
      </c>
      <c r="J720" s="32" t="s">
        <v>40</v>
      </c>
      <c r="K720" s="32" t="s">
        <v>41</v>
      </c>
      <c r="L720" s="32">
        <v>5</v>
      </c>
      <c r="M720" s="32" t="s">
        <v>5416</v>
      </c>
      <c r="N720" s="32" t="s">
        <v>44</v>
      </c>
    </row>
    <row r="721" spans="1:14" s="32" customFormat="1" hidden="1" x14ac:dyDescent="0.3">
      <c r="A721" s="39">
        <v>46192.358067129629</v>
      </c>
      <c r="B721" s="32" t="s">
        <v>45</v>
      </c>
      <c r="C721" s="32">
        <v>1732146970</v>
      </c>
      <c r="E721" s="32">
        <v>416</v>
      </c>
      <c r="F721" s="32">
        <v>415</v>
      </c>
      <c r="G721" s="32" t="s">
        <v>38</v>
      </c>
      <c r="H721" s="32" t="s">
        <v>6138</v>
      </c>
      <c r="I721" s="32" t="s">
        <v>46</v>
      </c>
      <c r="J721" s="32" t="s">
        <v>40</v>
      </c>
      <c r="L721" s="32">
        <v>5</v>
      </c>
      <c r="M721" s="32" t="s">
        <v>5421</v>
      </c>
      <c r="N721" s="32" t="s">
        <v>45</v>
      </c>
    </row>
    <row r="722" spans="1:14" s="32" customFormat="1" hidden="1" x14ac:dyDescent="0.3">
      <c r="A722" s="39">
        <v>46192.35800925926</v>
      </c>
      <c r="B722" s="32">
        <v>11964449514</v>
      </c>
      <c r="C722" s="32" t="s">
        <v>37</v>
      </c>
      <c r="D722" s="32">
        <v>4431268225</v>
      </c>
      <c r="E722" s="32">
        <v>861</v>
      </c>
      <c r="F722" s="32">
        <v>722</v>
      </c>
      <c r="G722" s="32" t="s">
        <v>38</v>
      </c>
      <c r="H722" s="32" t="s">
        <v>6139</v>
      </c>
      <c r="I722" s="32" t="s">
        <v>39</v>
      </c>
      <c r="J722" s="32" t="s">
        <v>40</v>
      </c>
      <c r="K722" s="32" t="s">
        <v>41</v>
      </c>
      <c r="L722" s="32">
        <v>5</v>
      </c>
      <c r="M722" s="32" t="s">
        <v>5410</v>
      </c>
      <c r="N722" s="32" t="s">
        <v>37</v>
      </c>
    </row>
    <row r="723" spans="1:14" s="32" customFormat="1" hidden="1" x14ac:dyDescent="0.3">
      <c r="A723" s="39">
        <v>46192.352002314816</v>
      </c>
      <c r="B723" s="32" t="s">
        <v>45</v>
      </c>
      <c r="C723" s="32">
        <v>44999917849</v>
      </c>
      <c r="E723" s="32">
        <v>34</v>
      </c>
      <c r="F723" s="32">
        <v>26</v>
      </c>
      <c r="G723" s="32" t="s">
        <v>38</v>
      </c>
      <c r="H723" s="32" t="s">
        <v>6140</v>
      </c>
      <c r="I723" s="32" t="s">
        <v>46</v>
      </c>
      <c r="J723" s="32" t="s">
        <v>40</v>
      </c>
      <c r="M723" s="32" t="s">
        <v>5421</v>
      </c>
      <c r="N723" s="32" t="s">
        <v>45</v>
      </c>
    </row>
    <row r="724" spans="1:14" s="32" customFormat="1" hidden="1" x14ac:dyDescent="0.3">
      <c r="A724" s="39">
        <v>46192.349849537037</v>
      </c>
      <c r="B724" s="32" t="s">
        <v>45</v>
      </c>
      <c r="C724" s="32">
        <v>4432622421</v>
      </c>
      <c r="E724" s="32">
        <v>76</v>
      </c>
      <c r="F724" s="32">
        <v>23</v>
      </c>
      <c r="G724" s="32" t="s">
        <v>38</v>
      </c>
      <c r="H724" s="32" t="s">
        <v>6141</v>
      </c>
      <c r="I724" s="32" t="s">
        <v>46</v>
      </c>
      <c r="J724" s="32" t="s">
        <v>40</v>
      </c>
      <c r="M724" s="32" t="s">
        <v>5421</v>
      </c>
      <c r="N724" s="32" t="s">
        <v>45</v>
      </c>
    </row>
    <row r="725" spans="1:14" s="32" customFormat="1" hidden="1" x14ac:dyDescent="0.3">
      <c r="A725" s="39">
        <v>46192.348344907405</v>
      </c>
      <c r="B725" s="32">
        <v>1438160351</v>
      </c>
      <c r="C725" s="32">
        <v>4430265054</v>
      </c>
      <c r="D725" s="32">
        <v>4430265054</v>
      </c>
      <c r="E725" s="32">
        <v>8</v>
      </c>
      <c r="F725" s="32">
        <v>8</v>
      </c>
      <c r="G725" s="32" t="s">
        <v>52</v>
      </c>
      <c r="H725" s="32" t="s">
        <v>6142</v>
      </c>
      <c r="I725" s="32" t="s">
        <v>39</v>
      </c>
      <c r="J725" s="32" t="s">
        <v>53</v>
      </c>
    </row>
    <row r="726" spans="1:14" s="32" customFormat="1" hidden="1" x14ac:dyDescent="0.3">
      <c r="A726" s="39">
        <v>46192.347939814812</v>
      </c>
      <c r="B726" s="32" t="s">
        <v>45</v>
      </c>
      <c r="C726" s="32">
        <v>4430468268</v>
      </c>
      <c r="E726" s="32">
        <v>151</v>
      </c>
      <c r="F726" s="32">
        <v>136</v>
      </c>
      <c r="G726" s="32" t="s">
        <v>38</v>
      </c>
      <c r="H726" s="32" t="s">
        <v>6143</v>
      </c>
      <c r="I726" s="32" t="s">
        <v>46</v>
      </c>
      <c r="J726" s="32" t="s">
        <v>40</v>
      </c>
      <c r="M726" s="32" t="s">
        <v>5421</v>
      </c>
      <c r="N726" s="32" t="s">
        <v>45</v>
      </c>
    </row>
    <row r="727" spans="1:14" s="32" customFormat="1" hidden="1" x14ac:dyDescent="0.3">
      <c r="A727" s="39">
        <v>46192.347824074073</v>
      </c>
      <c r="B727" s="32" t="s">
        <v>45</v>
      </c>
      <c r="C727" s="32">
        <v>4430468268</v>
      </c>
      <c r="E727" s="32">
        <v>14</v>
      </c>
      <c r="F727" s="32">
        <v>13</v>
      </c>
      <c r="G727" s="32" t="s">
        <v>38</v>
      </c>
      <c r="H727" s="32" t="s">
        <v>6144</v>
      </c>
      <c r="I727" s="32" t="s">
        <v>46</v>
      </c>
      <c r="J727" s="32" t="s">
        <v>40</v>
      </c>
      <c r="M727" s="32" t="s">
        <v>5421</v>
      </c>
      <c r="N727" s="32" t="s">
        <v>45</v>
      </c>
    </row>
    <row r="728" spans="1:14" s="32" customFormat="1" hidden="1" x14ac:dyDescent="0.3">
      <c r="A728" s="39">
        <v>46191.733877314815</v>
      </c>
      <c r="B728" s="32" t="s">
        <v>37</v>
      </c>
      <c r="C728" s="32">
        <v>4532541802</v>
      </c>
      <c r="E728" s="32">
        <v>260</v>
      </c>
      <c r="F728" s="32">
        <v>259</v>
      </c>
      <c r="G728" s="32" t="s">
        <v>38</v>
      </c>
      <c r="H728" s="32" t="s">
        <v>6145</v>
      </c>
      <c r="I728" s="32" t="s">
        <v>46</v>
      </c>
      <c r="J728" s="32" t="s">
        <v>40</v>
      </c>
      <c r="L728" s="32">
        <v>5</v>
      </c>
      <c r="M728" s="32" t="s">
        <v>5410</v>
      </c>
      <c r="N728" s="32" t="s">
        <v>37</v>
      </c>
    </row>
    <row r="729" spans="1:14" s="32" customFormat="1" hidden="1" x14ac:dyDescent="0.3">
      <c r="A729" s="39">
        <v>46191.731307870374</v>
      </c>
      <c r="B729" s="32" t="s">
        <v>48</v>
      </c>
      <c r="C729" s="32">
        <v>4430451715</v>
      </c>
      <c r="E729" s="32">
        <v>981</v>
      </c>
      <c r="F729" s="32">
        <v>969</v>
      </c>
      <c r="G729" s="32" t="s">
        <v>38</v>
      </c>
      <c r="H729" s="32" t="s">
        <v>6146</v>
      </c>
      <c r="I729" s="32" t="s">
        <v>46</v>
      </c>
      <c r="J729" s="32" t="s">
        <v>40</v>
      </c>
      <c r="M729" s="32" t="s">
        <v>5412</v>
      </c>
      <c r="N729" s="32" t="s">
        <v>48</v>
      </c>
    </row>
    <row r="730" spans="1:14" s="32" customFormat="1" hidden="1" x14ac:dyDescent="0.3">
      <c r="A730" s="39">
        <v>46191.730729166666</v>
      </c>
      <c r="B730" s="32">
        <v>44991484476</v>
      </c>
      <c r="C730" s="32" t="s">
        <v>44</v>
      </c>
      <c r="D730" s="32">
        <v>4430265054</v>
      </c>
      <c r="E730" s="32">
        <v>275</v>
      </c>
      <c r="F730" s="32">
        <v>226</v>
      </c>
      <c r="G730" s="32" t="s">
        <v>38</v>
      </c>
      <c r="H730" s="32" t="s">
        <v>6147</v>
      </c>
      <c r="I730" s="32" t="s">
        <v>39</v>
      </c>
      <c r="J730" s="32" t="s">
        <v>40</v>
      </c>
      <c r="K730" s="32" t="s">
        <v>41</v>
      </c>
      <c r="M730" s="32" t="s">
        <v>5416</v>
      </c>
      <c r="N730" s="32" t="s">
        <v>44</v>
      </c>
    </row>
    <row r="731" spans="1:14" s="32" customFormat="1" hidden="1" x14ac:dyDescent="0.3">
      <c r="A731" s="39">
        <v>46191.720358796294</v>
      </c>
      <c r="B731" s="32">
        <v>46991011067</v>
      </c>
      <c r="C731" s="32" t="s">
        <v>45</v>
      </c>
      <c r="D731" s="32">
        <v>4430265054</v>
      </c>
      <c r="E731" s="32">
        <v>626</v>
      </c>
      <c r="F731" s="32">
        <v>523</v>
      </c>
      <c r="G731" s="32" t="s">
        <v>38</v>
      </c>
      <c r="H731" s="32" t="s">
        <v>6148</v>
      </c>
      <c r="I731" s="32" t="s">
        <v>39</v>
      </c>
      <c r="J731" s="32" t="s">
        <v>40</v>
      </c>
      <c r="K731" s="32" t="s">
        <v>41</v>
      </c>
      <c r="L731" s="32">
        <v>5</v>
      </c>
      <c r="M731" s="32" t="s">
        <v>5421</v>
      </c>
      <c r="N731" s="32" t="s">
        <v>45</v>
      </c>
    </row>
    <row r="732" spans="1:14" s="32" customFormat="1" hidden="1" x14ac:dyDescent="0.3">
      <c r="A732" s="39">
        <v>46191.706203703703</v>
      </c>
      <c r="B732" s="32">
        <v>45999061818</v>
      </c>
      <c r="C732" s="32" t="s">
        <v>37</v>
      </c>
      <c r="D732" s="32">
        <v>4430265054</v>
      </c>
      <c r="E732" s="32">
        <v>537</v>
      </c>
      <c r="F732" s="32">
        <v>509</v>
      </c>
      <c r="G732" s="32" t="s">
        <v>38</v>
      </c>
      <c r="H732" s="32" t="s">
        <v>6149</v>
      </c>
      <c r="I732" s="32" t="s">
        <v>39</v>
      </c>
      <c r="J732" s="32" t="s">
        <v>40</v>
      </c>
      <c r="K732" s="32" t="s">
        <v>41</v>
      </c>
      <c r="M732" s="32" t="s">
        <v>5410</v>
      </c>
      <c r="N732" s="32" t="s">
        <v>37</v>
      </c>
    </row>
    <row r="733" spans="1:14" s="32" customFormat="1" hidden="1" x14ac:dyDescent="0.3">
      <c r="A733" s="39">
        <v>46191.703483796293</v>
      </c>
      <c r="B733" s="32">
        <v>44999387742</v>
      </c>
      <c r="C733" s="32" t="s">
        <v>45</v>
      </c>
      <c r="D733" s="32">
        <v>4430265054</v>
      </c>
      <c r="E733" s="32">
        <v>703</v>
      </c>
      <c r="F733" s="32">
        <v>594</v>
      </c>
      <c r="G733" s="32" t="s">
        <v>38</v>
      </c>
      <c r="H733" s="32" t="s">
        <v>6150</v>
      </c>
      <c r="I733" s="32" t="s">
        <v>39</v>
      </c>
      <c r="J733" s="32" t="s">
        <v>40</v>
      </c>
      <c r="K733" s="32" t="s">
        <v>41</v>
      </c>
      <c r="M733" s="32" t="s">
        <v>5421</v>
      </c>
      <c r="N733" s="32" t="s">
        <v>45</v>
      </c>
    </row>
    <row r="734" spans="1:14" s="32" customFormat="1" hidden="1" x14ac:dyDescent="0.3">
      <c r="A734" s="39">
        <v>46191.702152777776</v>
      </c>
      <c r="B734" s="32">
        <v>1128897100</v>
      </c>
      <c r="C734" s="32" t="s">
        <v>56</v>
      </c>
      <c r="D734" s="32">
        <v>4430265054</v>
      </c>
      <c r="E734" s="32">
        <v>541</v>
      </c>
      <c r="F734" s="32">
        <v>506</v>
      </c>
      <c r="G734" s="32" t="s">
        <v>38</v>
      </c>
      <c r="H734" s="32" t="s">
        <v>6151</v>
      </c>
      <c r="I734" s="32" t="s">
        <v>39</v>
      </c>
      <c r="J734" s="32" t="s">
        <v>53</v>
      </c>
      <c r="K734" s="32" t="s">
        <v>41</v>
      </c>
      <c r="M734" s="32" t="s">
        <v>5440</v>
      </c>
      <c r="N734" s="32" t="s">
        <v>56</v>
      </c>
    </row>
    <row r="735" spans="1:14" s="32" customFormat="1" hidden="1" x14ac:dyDescent="0.3">
      <c r="A735" s="39">
        <v>46191.701909722222</v>
      </c>
      <c r="B735" s="32" t="s">
        <v>37</v>
      </c>
      <c r="C735" s="32">
        <v>44997710633</v>
      </c>
      <c r="E735" s="32">
        <v>9</v>
      </c>
      <c r="F735" s="32">
        <v>0</v>
      </c>
      <c r="G735" s="32" t="s">
        <v>47</v>
      </c>
      <c r="H735" s="32" t="s">
        <v>6152</v>
      </c>
      <c r="I735" s="32" t="s">
        <v>46</v>
      </c>
      <c r="J735" s="32" t="s">
        <v>40</v>
      </c>
      <c r="M735" s="32" t="s">
        <v>5410</v>
      </c>
      <c r="N735" s="32" t="s">
        <v>37</v>
      </c>
    </row>
    <row r="736" spans="1:14" s="32" customFormat="1" hidden="1" x14ac:dyDescent="0.3">
      <c r="A736" s="39">
        <v>46191.701608796298</v>
      </c>
      <c r="B736" s="32" t="s">
        <v>37</v>
      </c>
      <c r="C736" s="32">
        <v>44997710633</v>
      </c>
      <c r="E736" s="32">
        <v>13</v>
      </c>
      <c r="F736" s="32">
        <v>0</v>
      </c>
      <c r="G736" s="32" t="s">
        <v>47</v>
      </c>
      <c r="H736" s="32" t="s">
        <v>6153</v>
      </c>
      <c r="I736" s="32" t="s">
        <v>46</v>
      </c>
      <c r="J736" s="32" t="s">
        <v>40</v>
      </c>
      <c r="M736" s="32" t="s">
        <v>5410</v>
      </c>
      <c r="N736" s="32" t="s">
        <v>37</v>
      </c>
    </row>
    <row r="737" spans="1:14" s="32" customFormat="1" hidden="1" x14ac:dyDescent="0.3">
      <c r="A737" s="39">
        <v>46191.700995370367</v>
      </c>
      <c r="B737" s="32" t="s">
        <v>37</v>
      </c>
      <c r="C737" s="32">
        <v>4430255858</v>
      </c>
      <c r="E737" s="32">
        <v>29</v>
      </c>
      <c r="F737" s="32">
        <v>0</v>
      </c>
      <c r="G737" s="32" t="s">
        <v>47</v>
      </c>
      <c r="H737" s="32" t="s">
        <v>6154</v>
      </c>
      <c r="I737" s="32" t="s">
        <v>46</v>
      </c>
      <c r="J737" s="32" t="s">
        <v>40</v>
      </c>
      <c r="M737" s="32" t="s">
        <v>5410</v>
      </c>
      <c r="N737" s="32" t="s">
        <v>37</v>
      </c>
    </row>
    <row r="738" spans="1:14" s="32" customFormat="1" hidden="1" x14ac:dyDescent="0.3">
      <c r="A738" s="39">
        <v>46191.70045138889</v>
      </c>
      <c r="B738" s="32">
        <v>1128897100</v>
      </c>
      <c r="C738" s="32">
        <v>4430265054</v>
      </c>
      <c r="D738" s="32">
        <v>4430265054</v>
      </c>
      <c r="E738" s="32">
        <v>90</v>
      </c>
      <c r="F738" s="32">
        <v>89</v>
      </c>
      <c r="G738" s="32" t="s">
        <v>52</v>
      </c>
      <c r="H738" s="32" t="s">
        <v>6155</v>
      </c>
      <c r="I738" s="32" t="s">
        <v>39</v>
      </c>
      <c r="J738" s="32" t="s">
        <v>53</v>
      </c>
      <c r="K738" s="32" t="s">
        <v>41</v>
      </c>
    </row>
    <row r="739" spans="1:14" s="32" customFormat="1" hidden="1" x14ac:dyDescent="0.3">
      <c r="A739" s="39">
        <v>46191.700243055559</v>
      </c>
      <c r="B739" s="32">
        <v>4532541802</v>
      </c>
      <c r="C739" s="32" t="s">
        <v>48</v>
      </c>
      <c r="D739" s="32">
        <v>4430265054</v>
      </c>
      <c r="E739" s="32">
        <v>743</v>
      </c>
      <c r="F739" s="32">
        <v>742</v>
      </c>
      <c r="G739" s="32" t="s">
        <v>38</v>
      </c>
      <c r="H739" s="32" t="s">
        <v>6156</v>
      </c>
      <c r="I739" s="32" t="s">
        <v>39</v>
      </c>
      <c r="J739" s="32" t="s">
        <v>40</v>
      </c>
      <c r="K739" s="32" t="s">
        <v>41</v>
      </c>
      <c r="M739" s="32" t="s">
        <v>5412</v>
      </c>
      <c r="N739" s="32" t="s">
        <v>48</v>
      </c>
    </row>
    <row r="740" spans="1:14" s="32" customFormat="1" hidden="1" x14ac:dyDescent="0.3">
      <c r="A740" s="39">
        <v>46191.695127314815</v>
      </c>
      <c r="B740" s="32" t="s">
        <v>54</v>
      </c>
      <c r="C740" s="32">
        <v>19992934282</v>
      </c>
      <c r="E740" s="32">
        <v>10</v>
      </c>
      <c r="F740" s="32">
        <v>2</v>
      </c>
      <c r="G740" s="32" t="s">
        <v>38</v>
      </c>
      <c r="H740" s="32" t="s">
        <v>6157</v>
      </c>
      <c r="I740" s="32" t="s">
        <v>46</v>
      </c>
      <c r="J740" s="32" t="s">
        <v>55</v>
      </c>
      <c r="M740" s="32" t="s">
        <v>5537</v>
      </c>
      <c r="N740" s="32" t="s">
        <v>54</v>
      </c>
    </row>
    <row r="741" spans="1:14" s="32" customFormat="1" hidden="1" x14ac:dyDescent="0.3">
      <c r="A741" s="39">
        <v>46191.694398148145</v>
      </c>
      <c r="B741" s="32" t="s">
        <v>54</v>
      </c>
      <c r="C741" s="32">
        <v>19992934282</v>
      </c>
      <c r="E741" s="32">
        <v>4</v>
      </c>
      <c r="F741" s="32">
        <v>0</v>
      </c>
      <c r="G741" s="32" t="s">
        <v>47</v>
      </c>
      <c r="H741" s="32" t="s">
        <v>6158</v>
      </c>
      <c r="I741" s="32" t="s">
        <v>46</v>
      </c>
      <c r="J741" s="32" t="s">
        <v>55</v>
      </c>
      <c r="M741" s="32" t="s">
        <v>5537</v>
      </c>
      <c r="N741" s="32" t="s">
        <v>54</v>
      </c>
    </row>
    <row r="742" spans="1:14" s="32" customFormat="1" hidden="1" x14ac:dyDescent="0.3">
      <c r="A742" s="39">
        <v>46191.691770833335</v>
      </c>
      <c r="B742" s="32">
        <v>44999680829</v>
      </c>
      <c r="C742" s="32">
        <v>4430265054</v>
      </c>
      <c r="D742" s="32">
        <v>4430265054</v>
      </c>
      <c r="E742" s="32">
        <v>156</v>
      </c>
      <c r="F742" s="32">
        <v>155</v>
      </c>
      <c r="G742" s="32" t="s">
        <v>52</v>
      </c>
      <c r="H742" s="32" t="s">
        <v>6159</v>
      </c>
      <c r="I742" s="32" t="s">
        <v>39</v>
      </c>
      <c r="J742" s="32" t="s">
        <v>53</v>
      </c>
      <c r="K742" s="32" t="s">
        <v>41</v>
      </c>
    </row>
    <row r="743" spans="1:14" s="32" customFormat="1" hidden="1" x14ac:dyDescent="0.3">
      <c r="A743" s="39">
        <v>46191.690659722219</v>
      </c>
      <c r="B743" s="32" t="s">
        <v>54</v>
      </c>
      <c r="C743" s="32">
        <v>1138514431</v>
      </c>
      <c r="E743" s="32">
        <v>6</v>
      </c>
      <c r="F743" s="32">
        <v>4</v>
      </c>
      <c r="G743" s="32" t="s">
        <v>38</v>
      </c>
      <c r="H743" s="32" t="s">
        <v>6160</v>
      </c>
      <c r="I743" s="32" t="s">
        <v>46</v>
      </c>
      <c r="J743" s="32" t="s">
        <v>55</v>
      </c>
      <c r="M743" s="32" t="s">
        <v>5537</v>
      </c>
      <c r="N743" s="32" t="s">
        <v>54</v>
      </c>
    </row>
    <row r="744" spans="1:14" s="32" customFormat="1" hidden="1" x14ac:dyDescent="0.3">
      <c r="A744" s="39">
        <v>46191.684328703705</v>
      </c>
      <c r="B744" s="32">
        <v>53981112780</v>
      </c>
      <c r="C744" s="32" t="s">
        <v>37</v>
      </c>
      <c r="D744" s="32">
        <v>4430265054</v>
      </c>
      <c r="E744" s="32">
        <v>256</v>
      </c>
      <c r="F744" s="32">
        <v>145</v>
      </c>
      <c r="G744" s="32" t="s">
        <v>38</v>
      </c>
      <c r="H744" s="32" t="s">
        <v>6161</v>
      </c>
      <c r="I744" s="32" t="s">
        <v>39</v>
      </c>
      <c r="J744" s="32" t="s">
        <v>40</v>
      </c>
      <c r="K744" s="32" t="s">
        <v>41</v>
      </c>
      <c r="L744" s="32">
        <v>5</v>
      </c>
      <c r="M744" s="32" t="s">
        <v>5410</v>
      </c>
      <c r="N744" s="32" t="s">
        <v>37</v>
      </c>
    </row>
    <row r="745" spans="1:14" s="32" customFormat="1" hidden="1" x14ac:dyDescent="0.3">
      <c r="A745" s="39">
        <v>46191.68340277778</v>
      </c>
      <c r="B745" s="32">
        <v>44999917849</v>
      </c>
      <c r="C745" s="32" t="s">
        <v>45</v>
      </c>
      <c r="D745" s="32">
        <v>4430265054</v>
      </c>
      <c r="E745" s="32">
        <v>1710</v>
      </c>
      <c r="F745" s="32">
        <v>1587</v>
      </c>
      <c r="G745" s="32" t="s">
        <v>38</v>
      </c>
      <c r="H745" s="32" t="s">
        <v>6162</v>
      </c>
      <c r="I745" s="32" t="s">
        <v>39</v>
      </c>
      <c r="J745" s="32" t="s">
        <v>40</v>
      </c>
      <c r="K745" s="32" t="s">
        <v>41</v>
      </c>
      <c r="M745" s="32" t="s">
        <v>5421</v>
      </c>
      <c r="N745" s="32" t="s">
        <v>45</v>
      </c>
    </row>
    <row r="746" spans="1:14" s="32" customFormat="1" hidden="1" x14ac:dyDescent="0.3">
      <c r="A746" s="39">
        <v>46191.680208333331</v>
      </c>
      <c r="B746" s="32" t="s">
        <v>48</v>
      </c>
      <c r="C746" s="32">
        <v>4430451715</v>
      </c>
      <c r="E746" s="32">
        <v>362</v>
      </c>
      <c r="F746" s="32">
        <v>354</v>
      </c>
      <c r="G746" s="32" t="s">
        <v>38</v>
      </c>
      <c r="H746" s="32" t="s">
        <v>6163</v>
      </c>
      <c r="I746" s="32" t="s">
        <v>46</v>
      </c>
      <c r="J746" s="32" t="s">
        <v>40</v>
      </c>
      <c r="M746" s="32" t="s">
        <v>5412</v>
      </c>
      <c r="N746" s="32" t="s">
        <v>48</v>
      </c>
    </row>
    <row r="747" spans="1:14" s="32" customFormat="1" hidden="1" x14ac:dyDescent="0.3">
      <c r="A747" s="39">
        <v>46191.678171296298</v>
      </c>
      <c r="B747" s="32" t="s">
        <v>54</v>
      </c>
      <c r="C747" s="32">
        <v>11983816621</v>
      </c>
      <c r="E747" s="32">
        <v>12</v>
      </c>
      <c r="F747" s="32">
        <v>0</v>
      </c>
      <c r="G747" s="32" t="s">
        <v>47</v>
      </c>
      <c r="H747" s="32" t="s">
        <v>6164</v>
      </c>
      <c r="I747" s="32" t="s">
        <v>46</v>
      </c>
      <c r="J747" s="32" t="s">
        <v>55</v>
      </c>
      <c r="M747" s="32" t="s">
        <v>5537</v>
      </c>
      <c r="N747" s="32" t="s">
        <v>54</v>
      </c>
    </row>
    <row r="748" spans="1:14" s="32" customFormat="1" hidden="1" x14ac:dyDescent="0.3">
      <c r="A748" s="39">
        <v>46191.678113425929</v>
      </c>
      <c r="B748" s="32" t="s">
        <v>57</v>
      </c>
      <c r="C748" s="32">
        <v>44998582382</v>
      </c>
      <c r="E748" s="32">
        <v>274</v>
      </c>
      <c r="F748" s="32">
        <v>269</v>
      </c>
      <c r="G748" s="32" t="s">
        <v>38</v>
      </c>
      <c r="H748" s="32" t="s">
        <v>6165</v>
      </c>
      <c r="I748" s="32" t="s">
        <v>46</v>
      </c>
      <c r="J748" s="32" t="s">
        <v>55</v>
      </c>
      <c r="M748" s="32" t="s">
        <v>5456</v>
      </c>
      <c r="N748" s="32" t="s">
        <v>57</v>
      </c>
    </row>
    <row r="749" spans="1:14" s="32" customFormat="1" hidden="1" x14ac:dyDescent="0.3">
      <c r="A749" s="39">
        <v>46191.677893518521</v>
      </c>
      <c r="B749" s="32" t="s">
        <v>57</v>
      </c>
      <c r="C749" s="32">
        <v>4435221484</v>
      </c>
      <c r="E749" s="32">
        <v>5</v>
      </c>
      <c r="F749" s="32">
        <v>0</v>
      </c>
      <c r="G749" s="32" t="s">
        <v>47</v>
      </c>
      <c r="H749" s="32" t="s">
        <v>6166</v>
      </c>
      <c r="I749" s="32" t="s">
        <v>46</v>
      </c>
      <c r="J749" s="32" t="s">
        <v>55</v>
      </c>
      <c r="M749" s="32" t="s">
        <v>5456</v>
      </c>
      <c r="N749" s="32" t="s">
        <v>57</v>
      </c>
    </row>
    <row r="750" spans="1:14" s="32" customFormat="1" hidden="1" x14ac:dyDescent="0.3">
      <c r="A750" s="39">
        <v>46191.677754629629</v>
      </c>
      <c r="B750" s="32" t="s">
        <v>37</v>
      </c>
      <c r="C750" s="32">
        <v>41999717893</v>
      </c>
      <c r="E750" s="32">
        <v>176</v>
      </c>
      <c r="F750" s="32">
        <v>163</v>
      </c>
      <c r="G750" s="32" t="s">
        <v>38</v>
      </c>
      <c r="H750" s="32" t="s">
        <v>6167</v>
      </c>
      <c r="I750" s="32" t="s">
        <v>46</v>
      </c>
      <c r="J750" s="32" t="s">
        <v>40</v>
      </c>
      <c r="M750" s="32" t="s">
        <v>5410</v>
      </c>
      <c r="N750" s="32" t="s">
        <v>37</v>
      </c>
    </row>
    <row r="751" spans="1:14" s="32" customFormat="1" hidden="1" x14ac:dyDescent="0.3">
      <c r="A751" s="39">
        <v>46191.677719907406</v>
      </c>
      <c r="B751" s="32" t="s">
        <v>57</v>
      </c>
      <c r="C751" s="32">
        <v>4435222047</v>
      </c>
      <c r="E751" s="32">
        <v>6</v>
      </c>
      <c r="F751" s="32">
        <v>0</v>
      </c>
      <c r="G751" s="32" t="s">
        <v>47</v>
      </c>
      <c r="H751" s="32" t="s">
        <v>6168</v>
      </c>
      <c r="I751" s="32" t="s">
        <v>46</v>
      </c>
      <c r="J751" s="32" t="s">
        <v>55</v>
      </c>
      <c r="M751" s="32" t="s">
        <v>5456</v>
      </c>
      <c r="N751" s="32" t="s">
        <v>57</v>
      </c>
    </row>
    <row r="752" spans="1:14" s="32" customFormat="1" hidden="1" x14ac:dyDescent="0.3">
      <c r="A752" s="39">
        <v>46191.676585648151</v>
      </c>
      <c r="B752" s="32" t="s">
        <v>54</v>
      </c>
      <c r="C752" s="32">
        <v>14996305655</v>
      </c>
      <c r="E752" s="32">
        <v>6</v>
      </c>
      <c r="F752" s="32">
        <v>0</v>
      </c>
      <c r="G752" s="32" t="s">
        <v>47</v>
      </c>
      <c r="H752" s="32" t="s">
        <v>6169</v>
      </c>
      <c r="I752" s="32" t="s">
        <v>46</v>
      </c>
      <c r="J752" s="32" t="s">
        <v>55</v>
      </c>
      <c r="M752" s="32" t="s">
        <v>5537</v>
      </c>
      <c r="N752" s="32" t="s">
        <v>54</v>
      </c>
    </row>
    <row r="753" spans="1:14" s="32" customFormat="1" hidden="1" x14ac:dyDescent="0.3">
      <c r="A753" s="39">
        <v>46191.672719907408</v>
      </c>
      <c r="B753" s="32" t="s">
        <v>57</v>
      </c>
      <c r="C753" s="32">
        <v>44997032981</v>
      </c>
      <c r="E753" s="32">
        <v>11</v>
      </c>
      <c r="F753" s="32">
        <v>0</v>
      </c>
      <c r="G753" s="32" t="s">
        <v>47</v>
      </c>
      <c r="H753" s="32" t="s">
        <v>6170</v>
      </c>
      <c r="I753" s="32" t="s">
        <v>46</v>
      </c>
      <c r="J753" s="32" t="s">
        <v>55</v>
      </c>
      <c r="M753" s="32" t="s">
        <v>5456</v>
      </c>
      <c r="N753" s="32" t="s">
        <v>57</v>
      </c>
    </row>
    <row r="754" spans="1:14" s="32" customFormat="1" hidden="1" x14ac:dyDescent="0.3">
      <c r="A754" s="39">
        <v>46191.669687499998</v>
      </c>
      <c r="B754" s="32" t="s">
        <v>57</v>
      </c>
      <c r="C754" s="32">
        <v>4436232122</v>
      </c>
      <c r="E754" s="32">
        <v>199</v>
      </c>
      <c r="F754" s="32">
        <v>189</v>
      </c>
      <c r="G754" s="32" t="s">
        <v>38</v>
      </c>
      <c r="H754" s="32" t="s">
        <v>6171</v>
      </c>
      <c r="I754" s="32" t="s">
        <v>46</v>
      </c>
      <c r="J754" s="32" t="s">
        <v>55</v>
      </c>
      <c r="M754" s="32" t="s">
        <v>5456</v>
      </c>
      <c r="N754" s="32" t="s">
        <v>57</v>
      </c>
    </row>
    <row r="755" spans="1:14" s="32" customFormat="1" hidden="1" x14ac:dyDescent="0.3">
      <c r="A755" s="39">
        <v>46191.661990740744</v>
      </c>
      <c r="B755" s="32">
        <v>44997719213</v>
      </c>
      <c r="C755" s="32" t="s">
        <v>48</v>
      </c>
      <c r="D755" s="32">
        <v>4430265054</v>
      </c>
      <c r="E755" s="32">
        <v>1368</v>
      </c>
      <c r="F755" s="32">
        <v>1180</v>
      </c>
      <c r="G755" s="32" t="s">
        <v>38</v>
      </c>
      <c r="H755" s="32" t="s">
        <v>6172</v>
      </c>
      <c r="I755" s="32" t="s">
        <v>39</v>
      </c>
      <c r="J755" s="32" t="s">
        <v>40</v>
      </c>
      <c r="K755" s="32" t="s">
        <v>41</v>
      </c>
      <c r="M755" s="32" t="s">
        <v>5412</v>
      </c>
      <c r="N755" s="32" t="s">
        <v>48</v>
      </c>
    </row>
    <row r="756" spans="1:14" s="32" customFormat="1" hidden="1" x14ac:dyDescent="0.3">
      <c r="A756" s="39">
        <v>46191.660393518519</v>
      </c>
      <c r="B756" s="32">
        <v>1143744993</v>
      </c>
      <c r="C756" s="32" t="s">
        <v>44</v>
      </c>
      <c r="D756" s="32">
        <v>4431268225</v>
      </c>
      <c r="E756" s="32">
        <v>676</v>
      </c>
      <c r="F756" s="32">
        <v>639</v>
      </c>
      <c r="G756" s="32" t="s">
        <v>38</v>
      </c>
      <c r="H756" s="32" t="s">
        <v>6173</v>
      </c>
      <c r="I756" s="32" t="s">
        <v>39</v>
      </c>
      <c r="J756" s="32" t="s">
        <v>40</v>
      </c>
      <c r="K756" s="32" t="s">
        <v>41</v>
      </c>
      <c r="M756" s="32" t="s">
        <v>5416</v>
      </c>
      <c r="N756" s="32" t="s">
        <v>44</v>
      </c>
    </row>
    <row r="757" spans="1:14" s="32" customFormat="1" hidden="1" x14ac:dyDescent="0.3">
      <c r="A757" s="39">
        <v>46191.658356481479</v>
      </c>
      <c r="B757" s="32" t="s">
        <v>57</v>
      </c>
      <c r="C757" s="32">
        <v>44997032981</v>
      </c>
      <c r="E757" s="32">
        <v>2</v>
      </c>
      <c r="F757" s="32">
        <v>0</v>
      </c>
      <c r="G757" s="32" t="s">
        <v>47</v>
      </c>
      <c r="H757" s="32" t="s">
        <v>6174</v>
      </c>
      <c r="I757" s="32" t="s">
        <v>46</v>
      </c>
      <c r="J757" s="32" t="s">
        <v>55</v>
      </c>
      <c r="M757" s="32" t="s">
        <v>5456</v>
      </c>
      <c r="N757" s="32" t="s">
        <v>57</v>
      </c>
    </row>
    <row r="758" spans="1:14" s="32" customFormat="1" hidden="1" x14ac:dyDescent="0.3">
      <c r="A758" s="39">
        <v>46191.658055555556</v>
      </c>
      <c r="B758" s="32" t="s">
        <v>57</v>
      </c>
      <c r="C758" s="32">
        <v>4436232122</v>
      </c>
      <c r="E758" s="32">
        <v>7</v>
      </c>
      <c r="F758" s="32">
        <v>0</v>
      </c>
      <c r="G758" s="32" t="s">
        <v>47</v>
      </c>
      <c r="H758" s="32" t="s">
        <v>6175</v>
      </c>
      <c r="I758" s="32" t="s">
        <v>46</v>
      </c>
      <c r="J758" s="32" t="s">
        <v>55</v>
      </c>
      <c r="M758" s="32" t="s">
        <v>5456</v>
      </c>
      <c r="N758" s="32" t="s">
        <v>57</v>
      </c>
    </row>
    <row r="759" spans="1:14" s="32" customFormat="1" hidden="1" x14ac:dyDescent="0.3">
      <c r="A759" s="39">
        <v>46191.656666666669</v>
      </c>
      <c r="B759" s="32">
        <v>4436351818</v>
      </c>
      <c r="C759" s="32" t="s">
        <v>45</v>
      </c>
      <c r="D759" s="32">
        <v>4430265054</v>
      </c>
      <c r="E759" s="32">
        <v>1685</v>
      </c>
      <c r="F759" s="32">
        <v>1664</v>
      </c>
      <c r="G759" s="32" t="s">
        <v>38</v>
      </c>
      <c r="H759" s="32" t="s">
        <v>6176</v>
      </c>
      <c r="I759" s="32" t="s">
        <v>39</v>
      </c>
      <c r="J759" s="32" t="s">
        <v>40</v>
      </c>
      <c r="K759" s="32" t="s">
        <v>41</v>
      </c>
      <c r="M759" s="32" t="s">
        <v>5421</v>
      </c>
      <c r="N759" s="32" t="s">
        <v>45</v>
      </c>
    </row>
    <row r="760" spans="1:14" s="32" customFormat="1" hidden="1" x14ac:dyDescent="0.3">
      <c r="A760" s="39">
        <v>46191.655775462961</v>
      </c>
      <c r="B760" s="32">
        <v>1128897100</v>
      </c>
      <c r="C760" s="32" t="s">
        <v>45</v>
      </c>
      <c r="D760" s="32">
        <v>4430265054</v>
      </c>
      <c r="E760" s="32">
        <v>82</v>
      </c>
      <c r="F760" s="32">
        <v>39</v>
      </c>
      <c r="G760" s="32" t="s">
        <v>38</v>
      </c>
      <c r="H760" s="32" t="s">
        <v>6177</v>
      </c>
      <c r="I760" s="32" t="s">
        <v>39</v>
      </c>
      <c r="J760" s="32" t="s">
        <v>40</v>
      </c>
      <c r="K760" s="32" t="s">
        <v>41</v>
      </c>
      <c r="M760" s="32" t="s">
        <v>5421</v>
      </c>
      <c r="N760" s="32" t="s">
        <v>45</v>
      </c>
    </row>
    <row r="761" spans="1:14" s="32" customFormat="1" hidden="1" x14ac:dyDescent="0.3">
      <c r="A761" s="39">
        <v>46191.652870370373</v>
      </c>
      <c r="B761" s="32">
        <v>4334232912</v>
      </c>
      <c r="C761" s="32" t="s">
        <v>37</v>
      </c>
      <c r="D761" s="32">
        <v>4430265054</v>
      </c>
      <c r="E761" s="32">
        <v>1807</v>
      </c>
      <c r="F761" s="32">
        <v>1750</v>
      </c>
      <c r="G761" s="32" t="s">
        <v>38</v>
      </c>
      <c r="H761" s="32" t="s">
        <v>6178</v>
      </c>
      <c r="I761" s="32" t="s">
        <v>39</v>
      </c>
      <c r="J761" s="32" t="s">
        <v>40</v>
      </c>
      <c r="K761" s="32" t="s">
        <v>41</v>
      </c>
      <c r="L761" s="32">
        <v>5</v>
      </c>
      <c r="M761" s="32" t="s">
        <v>5410</v>
      </c>
      <c r="N761" s="32" t="s">
        <v>37</v>
      </c>
    </row>
    <row r="762" spans="1:14" s="32" customFormat="1" hidden="1" x14ac:dyDescent="0.3">
      <c r="A762" s="39">
        <v>46191.652696759258</v>
      </c>
      <c r="B762" s="32">
        <v>4436351414</v>
      </c>
      <c r="C762" s="32">
        <v>4430265054</v>
      </c>
      <c r="D762" s="32">
        <v>4430265054</v>
      </c>
      <c r="E762" s="32">
        <v>21</v>
      </c>
      <c r="F762" s="32">
        <v>20</v>
      </c>
      <c r="G762" s="32" t="s">
        <v>52</v>
      </c>
      <c r="H762" s="32" t="s">
        <v>6179</v>
      </c>
      <c r="I762" s="32" t="s">
        <v>39</v>
      </c>
      <c r="J762" s="32" t="s">
        <v>53</v>
      </c>
    </row>
    <row r="763" spans="1:14" s="32" customFormat="1" hidden="1" x14ac:dyDescent="0.3">
      <c r="A763" s="39">
        <v>46191.650625000002</v>
      </c>
      <c r="B763" s="32">
        <v>41997840159</v>
      </c>
      <c r="C763" s="32" t="s">
        <v>48</v>
      </c>
      <c r="D763" s="32">
        <v>4431268225</v>
      </c>
      <c r="E763" s="32">
        <v>1165</v>
      </c>
      <c r="F763" s="32">
        <v>1164</v>
      </c>
      <c r="G763" s="32" t="s">
        <v>38</v>
      </c>
      <c r="H763" s="32" t="s">
        <v>6180</v>
      </c>
      <c r="I763" s="32" t="s">
        <v>39</v>
      </c>
      <c r="J763" s="32" t="s">
        <v>40</v>
      </c>
      <c r="K763" s="32" t="s">
        <v>41</v>
      </c>
      <c r="M763" s="32" t="s">
        <v>5412</v>
      </c>
      <c r="N763" s="32" t="s">
        <v>48</v>
      </c>
    </row>
    <row r="764" spans="1:14" s="32" customFormat="1" hidden="1" x14ac:dyDescent="0.3">
      <c r="A764" s="39">
        <v>46191.646585648145</v>
      </c>
      <c r="B764" s="32">
        <v>44988067937</v>
      </c>
      <c r="C764" s="32" t="s">
        <v>44</v>
      </c>
      <c r="D764" s="32">
        <v>4430265054</v>
      </c>
      <c r="E764" s="32">
        <v>456</v>
      </c>
      <c r="F764" s="32">
        <v>356</v>
      </c>
      <c r="G764" s="32" t="s">
        <v>38</v>
      </c>
      <c r="H764" s="32" t="s">
        <v>6181</v>
      </c>
      <c r="I764" s="32" t="s">
        <v>39</v>
      </c>
      <c r="J764" s="32" t="s">
        <v>40</v>
      </c>
      <c r="K764" s="32" t="s">
        <v>41</v>
      </c>
      <c r="M764" s="32" t="s">
        <v>5416</v>
      </c>
      <c r="N764" s="32" t="s">
        <v>44</v>
      </c>
    </row>
    <row r="765" spans="1:14" s="32" customFormat="1" hidden="1" x14ac:dyDescent="0.3">
      <c r="A765" s="39">
        <v>46191.644583333335</v>
      </c>
      <c r="B765" s="32" t="s">
        <v>57</v>
      </c>
      <c r="C765" s="32">
        <v>44999167997</v>
      </c>
      <c r="E765" s="32">
        <v>2</v>
      </c>
      <c r="F765" s="32">
        <v>0</v>
      </c>
      <c r="G765" s="32" t="s">
        <v>47</v>
      </c>
      <c r="H765" s="32" t="s">
        <v>6182</v>
      </c>
      <c r="I765" s="32" t="s">
        <v>46</v>
      </c>
      <c r="J765" s="32" t="s">
        <v>55</v>
      </c>
      <c r="M765" s="32" t="s">
        <v>5456</v>
      </c>
      <c r="N765" s="32" t="s">
        <v>57</v>
      </c>
    </row>
    <row r="766" spans="1:14" s="32" customFormat="1" hidden="1" x14ac:dyDescent="0.3">
      <c r="A766" s="39">
        <v>46191.644467592596</v>
      </c>
      <c r="B766" s="32" t="s">
        <v>57</v>
      </c>
      <c r="C766" s="32">
        <v>4432462558</v>
      </c>
      <c r="E766" s="32">
        <v>1</v>
      </c>
      <c r="F766" s="32">
        <v>0</v>
      </c>
      <c r="G766" s="32" t="s">
        <v>47</v>
      </c>
      <c r="H766" s="32" t="s">
        <v>6183</v>
      </c>
      <c r="I766" s="32" t="s">
        <v>46</v>
      </c>
      <c r="J766" s="32" t="s">
        <v>55</v>
      </c>
      <c r="M766" s="32" t="s">
        <v>5456</v>
      </c>
      <c r="N766" s="32" t="s">
        <v>57</v>
      </c>
    </row>
    <row r="767" spans="1:14" s="32" customFormat="1" hidden="1" x14ac:dyDescent="0.3">
      <c r="A767" s="39">
        <v>46191.643217592595</v>
      </c>
      <c r="B767" s="32" t="s">
        <v>57</v>
      </c>
      <c r="C767" s="32">
        <v>44999270783</v>
      </c>
      <c r="E767" s="32">
        <v>2</v>
      </c>
      <c r="F767" s="32">
        <v>0</v>
      </c>
      <c r="G767" s="32" t="s">
        <v>47</v>
      </c>
      <c r="H767" s="32" t="s">
        <v>6184</v>
      </c>
      <c r="I767" s="32" t="s">
        <v>46</v>
      </c>
      <c r="J767" s="32" t="s">
        <v>55</v>
      </c>
      <c r="M767" s="32" t="s">
        <v>5456</v>
      </c>
      <c r="N767" s="32" t="s">
        <v>57</v>
      </c>
    </row>
    <row r="768" spans="1:14" s="32" customFormat="1" hidden="1" x14ac:dyDescent="0.3">
      <c r="A768" s="39">
        <v>46191.643090277779</v>
      </c>
      <c r="B768" s="32" t="s">
        <v>57</v>
      </c>
      <c r="C768" s="32">
        <v>4432462558</v>
      </c>
      <c r="E768" s="32">
        <v>1</v>
      </c>
      <c r="F768" s="32">
        <v>0</v>
      </c>
      <c r="G768" s="32" t="s">
        <v>47</v>
      </c>
      <c r="H768" s="32" t="s">
        <v>6185</v>
      </c>
      <c r="I768" s="32" t="s">
        <v>46</v>
      </c>
      <c r="J768" s="32" t="s">
        <v>55</v>
      </c>
      <c r="M768" s="32" t="s">
        <v>5456</v>
      </c>
      <c r="N768" s="32" t="s">
        <v>57</v>
      </c>
    </row>
    <row r="769" spans="1:14" s="32" customFormat="1" hidden="1" x14ac:dyDescent="0.3">
      <c r="A769" s="39">
        <v>46191.642928240741</v>
      </c>
      <c r="B769" s="32" t="s">
        <v>57</v>
      </c>
      <c r="C769" s="32">
        <v>4432462558</v>
      </c>
      <c r="E769" s="32">
        <v>1</v>
      </c>
      <c r="F769" s="32">
        <v>0</v>
      </c>
      <c r="G769" s="32" t="s">
        <v>47</v>
      </c>
      <c r="H769" s="32" t="s">
        <v>6186</v>
      </c>
      <c r="I769" s="32" t="s">
        <v>46</v>
      </c>
      <c r="J769" s="32" t="s">
        <v>55</v>
      </c>
      <c r="M769" s="32" t="s">
        <v>5456</v>
      </c>
      <c r="N769" s="32" t="s">
        <v>57</v>
      </c>
    </row>
    <row r="770" spans="1:14" s="32" customFormat="1" hidden="1" x14ac:dyDescent="0.3">
      <c r="A770" s="39">
        <v>46191.639745370368</v>
      </c>
      <c r="B770" s="32">
        <v>1128897100</v>
      </c>
      <c r="C770" s="32" t="s">
        <v>57</v>
      </c>
      <c r="D770" s="32">
        <v>4430265054</v>
      </c>
      <c r="E770" s="32">
        <v>222</v>
      </c>
      <c r="F770" s="32">
        <v>199</v>
      </c>
      <c r="G770" s="32" t="s">
        <v>38</v>
      </c>
      <c r="H770" s="32" t="s">
        <v>6187</v>
      </c>
      <c r="I770" s="32" t="s">
        <v>39</v>
      </c>
      <c r="J770" s="32" t="s">
        <v>55</v>
      </c>
      <c r="K770" s="32" t="s">
        <v>49</v>
      </c>
      <c r="M770" s="32" t="s">
        <v>5456</v>
      </c>
      <c r="N770" s="32" t="s">
        <v>57</v>
      </c>
    </row>
    <row r="771" spans="1:14" s="32" customFormat="1" hidden="1" x14ac:dyDescent="0.3">
      <c r="A771" s="39">
        <v>46191.632361111115</v>
      </c>
      <c r="B771" s="32" t="s">
        <v>45</v>
      </c>
      <c r="C771" s="32">
        <v>11965990735</v>
      </c>
      <c r="E771" s="32">
        <v>115</v>
      </c>
      <c r="F771" s="32">
        <v>107</v>
      </c>
      <c r="G771" s="32" t="s">
        <v>38</v>
      </c>
      <c r="H771" s="32" t="s">
        <v>6188</v>
      </c>
      <c r="I771" s="32" t="s">
        <v>46</v>
      </c>
      <c r="J771" s="32" t="s">
        <v>40</v>
      </c>
      <c r="L771" s="32">
        <v>5</v>
      </c>
      <c r="M771" s="32" t="s">
        <v>5421</v>
      </c>
      <c r="N771" s="32" t="s">
        <v>45</v>
      </c>
    </row>
    <row r="772" spans="1:14" s="32" customFormat="1" hidden="1" x14ac:dyDescent="0.3">
      <c r="A772" s="39">
        <v>46191.626400462963</v>
      </c>
      <c r="B772" s="32">
        <v>4430141092</v>
      </c>
      <c r="C772" s="32" t="s">
        <v>44</v>
      </c>
      <c r="D772" s="32">
        <v>4430265054</v>
      </c>
      <c r="E772" s="32">
        <v>527</v>
      </c>
      <c r="F772" s="32">
        <v>321</v>
      </c>
      <c r="G772" s="32" t="s">
        <v>38</v>
      </c>
      <c r="H772" s="32" t="s">
        <v>6189</v>
      </c>
      <c r="I772" s="32" t="s">
        <v>39</v>
      </c>
      <c r="J772" s="32" t="s">
        <v>40</v>
      </c>
      <c r="K772" s="32" t="s">
        <v>41</v>
      </c>
      <c r="L772" s="32">
        <v>5</v>
      </c>
      <c r="M772" s="32" t="s">
        <v>5416</v>
      </c>
      <c r="N772" s="32" t="s">
        <v>44</v>
      </c>
    </row>
    <row r="773" spans="1:14" s="32" customFormat="1" hidden="1" x14ac:dyDescent="0.3">
      <c r="A773" s="39">
        <v>46191.614710648151</v>
      </c>
      <c r="B773" s="32">
        <v>53981112780</v>
      </c>
      <c r="C773" s="32" t="s">
        <v>45</v>
      </c>
      <c r="D773" s="32">
        <v>4430265054</v>
      </c>
      <c r="E773" s="32">
        <v>311</v>
      </c>
      <c r="F773" s="32">
        <v>166</v>
      </c>
      <c r="G773" s="32" t="s">
        <v>38</v>
      </c>
      <c r="H773" s="32" t="s">
        <v>6190</v>
      </c>
      <c r="I773" s="32" t="s">
        <v>39</v>
      </c>
      <c r="J773" s="32" t="s">
        <v>40</v>
      </c>
      <c r="K773" s="32" t="s">
        <v>41</v>
      </c>
      <c r="L773" s="32">
        <v>5</v>
      </c>
      <c r="M773" s="32" t="s">
        <v>5421</v>
      </c>
      <c r="N773" s="32" t="s">
        <v>45</v>
      </c>
    </row>
    <row r="774" spans="1:14" s="32" customFormat="1" hidden="1" x14ac:dyDescent="0.3">
      <c r="A774" s="39">
        <v>46191.604502314818</v>
      </c>
      <c r="B774" s="32">
        <v>4430318516</v>
      </c>
      <c r="C774" s="32">
        <v>4430265054</v>
      </c>
      <c r="D774" s="32">
        <v>4430265054</v>
      </c>
      <c r="E774" s="32">
        <v>4</v>
      </c>
      <c r="F774" s="32">
        <v>4</v>
      </c>
      <c r="G774" s="32" t="s">
        <v>52</v>
      </c>
      <c r="H774" s="32" t="s">
        <v>6191</v>
      </c>
      <c r="I774" s="32" t="s">
        <v>39</v>
      </c>
      <c r="J774" s="32" t="s">
        <v>53</v>
      </c>
    </row>
    <row r="775" spans="1:14" s="32" customFormat="1" hidden="1" x14ac:dyDescent="0.3">
      <c r="A775" s="39">
        <v>46191.604270833333</v>
      </c>
      <c r="B775" s="32">
        <v>4430141092</v>
      </c>
      <c r="C775" s="32" t="s">
        <v>44</v>
      </c>
      <c r="D775" s="32">
        <v>4430265054</v>
      </c>
      <c r="E775" s="32">
        <v>227</v>
      </c>
      <c r="F775" s="32">
        <v>159</v>
      </c>
      <c r="G775" s="32" t="s">
        <v>38</v>
      </c>
      <c r="H775" s="32" t="s">
        <v>6192</v>
      </c>
      <c r="I775" s="32" t="s">
        <v>39</v>
      </c>
      <c r="J775" s="32" t="s">
        <v>40</v>
      </c>
      <c r="K775" s="32" t="s">
        <v>41</v>
      </c>
      <c r="M775" s="32" t="s">
        <v>5416</v>
      </c>
      <c r="N775" s="32" t="s">
        <v>44</v>
      </c>
    </row>
    <row r="776" spans="1:14" s="32" customFormat="1" hidden="1" x14ac:dyDescent="0.3">
      <c r="A776" s="39">
        <v>46191.603877314818</v>
      </c>
      <c r="B776" s="32">
        <v>41999102968</v>
      </c>
      <c r="C776" s="32" t="s">
        <v>48</v>
      </c>
      <c r="D776" s="32">
        <v>4430265054</v>
      </c>
      <c r="E776" s="32">
        <v>217</v>
      </c>
      <c r="F776" s="32">
        <v>216</v>
      </c>
      <c r="G776" s="32" t="s">
        <v>38</v>
      </c>
      <c r="H776" s="32" t="s">
        <v>6193</v>
      </c>
      <c r="I776" s="32" t="s">
        <v>39</v>
      </c>
      <c r="J776" s="32" t="s">
        <v>40</v>
      </c>
      <c r="K776" s="32" t="s">
        <v>41</v>
      </c>
      <c r="M776" s="32" t="s">
        <v>5412</v>
      </c>
      <c r="N776" s="32" t="s">
        <v>48</v>
      </c>
    </row>
    <row r="777" spans="1:14" s="32" customFormat="1" hidden="1" x14ac:dyDescent="0.3">
      <c r="A777" s="39">
        <v>46191.602754629632</v>
      </c>
      <c r="B777" s="32" t="s">
        <v>37</v>
      </c>
      <c r="C777" s="32">
        <v>4430451715</v>
      </c>
      <c r="E777" s="32">
        <v>550</v>
      </c>
      <c r="F777" s="32">
        <v>543</v>
      </c>
      <c r="G777" s="32" t="s">
        <v>38</v>
      </c>
      <c r="H777" s="32" t="s">
        <v>6194</v>
      </c>
      <c r="I777" s="32" t="s">
        <v>46</v>
      </c>
      <c r="J777" s="32" t="s">
        <v>40</v>
      </c>
      <c r="M777" s="32" t="s">
        <v>5410</v>
      </c>
      <c r="N777" s="32" t="s">
        <v>37</v>
      </c>
    </row>
    <row r="778" spans="1:14" s="32" customFormat="1" hidden="1" x14ac:dyDescent="0.3">
      <c r="A778" s="39">
        <v>46191.599907407406</v>
      </c>
      <c r="B778" s="32">
        <v>93991495484</v>
      </c>
      <c r="C778" s="32" t="s">
        <v>45</v>
      </c>
      <c r="D778" s="32">
        <v>4430265054</v>
      </c>
      <c r="E778" s="32">
        <v>485</v>
      </c>
      <c r="F778" s="32">
        <v>414</v>
      </c>
      <c r="G778" s="32" t="s">
        <v>38</v>
      </c>
      <c r="H778" s="32" t="s">
        <v>6195</v>
      </c>
      <c r="I778" s="32" t="s">
        <v>39</v>
      </c>
      <c r="J778" s="32" t="s">
        <v>40</v>
      </c>
      <c r="K778" s="32" t="s">
        <v>41</v>
      </c>
      <c r="M778" s="32" t="s">
        <v>5421</v>
      </c>
      <c r="N778" s="32" t="s">
        <v>45</v>
      </c>
    </row>
    <row r="779" spans="1:14" s="32" customFormat="1" hidden="1" x14ac:dyDescent="0.3">
      <c r="A779" s="39">
        <v>46191.597546296296</v>
      </c>
      <c r="B779" s="32">
        <v>4430191401</v>
      </c>
      <c r="C779" s="32" t="s">
        <v>44</v>
      </c>
      <c r="D779" s="32">
        <v>4430265054</v>
      </c>
      <c r="E779" s="32">
        <v>409</v>
      </c>
      <c r="F779" s="32">
        <v>172</v>
      </c>
      <c r="G779" s="32" t="s">
        <v>38</v>
      </c>
      <c r="H779" s="32" t="s">
        <v>6196</v>
      </c>
      <c r="I779" s="32" t="s">
        <v>39</v>
      </c>
      <c r="J779" s="32" t="s">
        <v>40</v>
      </c>
      <c r="K779" s="32" t="s">
        <v>41</v>
      </c>
      <c r="L779" s="32">
        <v>5</v>
      </c>
      <c r="M779" s="32" t="s">
        <v>5416</v>
      </c>
      <c r="N779" s="32" t="s">
        <v>44</v>
      </c>
    </row>
    <row r="780" spans="1:14" s="32" customFormat="1" hidden="1" x14ac:dyDescent="0.3">
      <c r="A780" s="39">
        <v>46191.586099537039</v>
      </c>
      <c r="B780" s="32">
        <v>4334728840</v>
      </c>
      <c r="C780" s="32" t="s">
        <v>37</v>
      </c>
      <c r="D780" s="32">
        <v>4430265054</v>
      </c>
      <c r="E780" s="32">
        <v>920</v>
      </c>
      <c r="F780" s="32">
        <v>802</v>
      </c>
      <c r="G780" s="32" t="s">
        <v>38</v>
      </c>
      <c r="H780" s="32" t="s">
        <v>6197</v>
      </c>
      <c r="I780" s="32" t="s">
        <v>39</v>
      </c>
      <c r="J780" s="32" t="s">
        <v>40</v>
      </c>
      <c r="K780" s="32" t="s">
        <v>41</v>
      </c>
      <c r="L780" s="32">
        <v>5</v>
      </c>
      <c r="M780" s="32" t="s">
        <v>5410</v>
      </c>
      <c r="N780" s="32" t="s">
        <v>37</v>
      </c>
    </row>
    <row r="781" spans="1:14" s="32" customFormat="1" hidden="1" x14ac:dyDescent="0.3">
      <c r="A781" s="39">
        <v>46191.58252314815</v>
      </c>
      <c r="B781" s="32" t="s">
        <v>45</v>
      </c>
      <c r="C781" s="32">
        <v>4434212150</v>
      </c>
      <c r="E781" s="32">
        <v>48</v>
      </c>
      <c r="F781" s="32">
        <v>37</v>
      </c>
      <c r="G781" s="32" t="s">
        <v>38</v>
      </c>
      <c r="H781" s="32" t="s">
        <v>6198</v>
      </c>
      <c r="I781" s="32" t="s">
        <v>46</v>
      </c>
      <c r="J781" s="32" t="s">
        <v>40</v>
      </c>
      <c r="M781" s="32" t="s">
        <v>5421</v>
      </c>
      <c r="N781" s="32" t="s">
        <v>45</v>
      </c>
    </row>
    <row r="782" spans="1:14" s="32" customFormat="1" hidden="1" x14ac:dyDescent="0.3">
      <c r="A782" s="39">
        <v>46191.582453703704</v>
      </c>
      <c r="B782" s="32" t="s">
        <v>45</v>
      </c>
      <c r="C782" s="32">
        <v>4434212150</v>
      </c>
      <c r="E782" s="32">
        <v>14</v>
      </c>
      <c r="F782" s="32">
        <v>14</v>
      </c>
      <c r="G782" s="32" t="s">
        <v>38</v>
      </c>
      <c r="H782" s="32" t="s">
        <v>6199</v>
      </c>
      <c r="I782" s="32" t="s">
        <v>46</v>
      </c>
      <c r="J782" s="32" t="s">
        <v>40</v>
      </c>
      <c r="M782" s="32" t="s">
        <v>5421</v>
      </c>
      <c r="N782" s="32" t="s">
        <v>45</v>
      </c>
    </row>
    <row r="783" spans="1:14" s="32" customFormat="1" hidden="1" x14ac:dyDescent="0.3">
      <c r="A783" s="39">
        <v>46191.575972222221</v>
      </c>
      <c r="B783" s="32">
        <v>53981112780</v>
      </c>
      <c r="C783" s="32" t="s">
        <v>37</v>
      </c>
      <c r="D783" s="32">
        <v>4430265054</v>
      </c>
      <c r="E783" s="32">
        <v>402</v>
      </c>
      <c r="F783" s="32">
        <v>178</v>
      </c>
      <c r="G783" s="32" t="s">
        <v>38</v>
      </c>
      <c r="H783" s="32" t="s">
        <v>6200</v>
      </c>
      <c r="I783" s="32" t="s">
        <v>39</v>
      </c>
      <c r="J783" s="32" t="s">
        <v>40</v>
      </c>
      <c r="K783" s="32" t="s">
        <v>41</v>
      </c>
      <c r="L783" s="32">
        <v>5</v>
      </c>
      <c r="M783" s="32" t="s">
        <v>5410</v>
      </c>
      <c r="N783" s="32" t="s">
        <v>37</v>
      </c>
    </row>
    <row r="784" spans="1:14" s="32" customFormat="1" hidden="1" x14ac:dyDescent="0.3">
      <c r="A784" s="39">
        <v>46191.573368055557</v>
      </c>
      <c r="B784" s="32" t="s">
        <v>37</v>
      </c>
      <c r="C784" s="32">
        <v>83988398480</v>
      </c>
      <c r="E784" s="32">
        <v>265</v>
      </c>
      <c r="F784" s="32">
        <v>244</v>
      </c>
      <c r="G784" s="32" t="s">
        <v>38</v>
      </c>
      <c r="H784" s="32" t="s">
        <v>6201</v>
      </c>
      <c r="I784" s="32" t="s">
        <v>46</v>
      </c>
      <c r="J784" s="32" t="s">
        <v>40</v>
      </c>
      <c r="M784" s="32" t="s">
        <v>5410</v>
      </c>
      <c r="N784" s="32" t="s">
        <v>37</v>
      </c>
    </row>
    <row r="785" spans="1:14" s="32" customFormat="1" hidden="1" x14ac:dyDescent="0.3">
      <c r="A785" s="39">
        <v>46191.572372685187</v>
      </c>
      <c r="B785" s="32">
        <v>44999743444</v>
      </c>
      <c r="C785" s="32" t="s">
        <v>48</v>
      </c>
      <c r="D785" s="32">
        <v>4430265054</v>
      </c>
      <c r="E785" s="32">
        <v>619</v>
      </c>
      <c r="F785" s="32">
        <v>325</v>
      </c>
      <c r="G785" s="32" t="s">
        <v>38</v>
      </c>
      <c r="H785" s="32" t="s">
        <v>6202</v>
      </c>
      <c r="I785" s="32" t="s">
        <v>39</v>
      </c>
      <c r="J785" s="32" t="s">
        <v>40</v>
      </c>
      <c r="K785" s="32" t="s">
        <v>41</v>
      </c>
      <c r="M785" s="32" t="s">
        <v>5412</v>
      </c>
      <c r="N785" s="32" t="s">
        <v>48</v>
      </c>
    </row>
    <row r="786" spans="1:14" s="32" customFormat="1" hidden="1" x14ac:dyDescent="0.3">
      <c r="A786" s="39">
        <v>46191.569722222222</v>
      </c>
      <c r="B786" s="32">
        <v>83988398480</v>
      </c>
      <c r="C786" s="32" t="s">
        <v>37</v>
      </c>
      <c r="D786" s="32">
        <v>4430265054</v>
      </c>
      <c r="E786" s="32">
        <v>304</v>
      </c>
      <c r="F786" s="32">
        <v>288</v>
      </c>
      <c r="G786" s="32" t="s">
        <v>38</v>
      </c>
      <c r="H786" s="32" t="s">
        <v>6203</v>
      </c>
      <c r="I786" s="32" t="s">
        <v>39</v>
      </c>
      <c r="J786" s="32" t="s">
        <v>40</v>
      </c>
      <c r="K786" s="32" t="s">
        <v>41</v>
      </c>
      <c r="M786" s="32" t="s">
        <v>5410</v>
      </c>
      <c r="N786" s="32" t="s">
        <v>37</v>
      </c>
    </row>
    <row r="787" spans="1:14" s="32" customFormat="1" hidden="1" x14ac:dyDescent="0.3">
      <c r="A787" s="39">
        <v>46191.568148148152</v>
      </c>
      <c r="B787" s="32">
        <v>44997450437</v>
      </c>
      <c r="C787" s="32" t="s">
        <v>44</v>
      </c>
      <c r="D787" s="32">
        <v>4430265054</v>
      </c>
      <c r="E787" s="32">
        <v>859</v>
      </c>
      <c r="F787" s="32">
        <v>739</v>
      </c>
      <c r="G787" s="32" t="s">
        <v>38</v>
      </c>
      <c r="H787" s="32" t="s">
        <v>6204</v>
      </c>
      <c r="I787" s="32" t="s">
        <v>39</v>
      </c>
      <c r="J787" s="32" t="s">
        <v>40</v>
      </c>
      <c r="K787" s="32" t="s">
        <v>41</v>
      </c>
      <c r="M787" s="32" t="s">
        <v>5416</v>
      </c>
      <c r="N787" s="32" t="s">
        <v>44</v>
      </c>
    </row>
    <row r="788" spans="1:14" s="32" customFormat="1" hidden="1" x14ac:dyDescent="0.3">
      <c r="A788" s="39">
        <v>46191.567858796298</v>
      </c>
      <c r="B788" s="32">
        <v>4434212150</v>
      </c>
      <c r="C788" s="32" t="s">
        <v>45</v>
      </c>
      <c r="D788" s="32">
        <v>4430265054</v>
      </c>
      <c r="E788" s="32">
        <v>1264</v>
      </c>
      <c r="F788" s="32">
        <v>1204</v>
      </c>
      <c r="G788" s="32" t="s">
        <v>38</v>
      </c>
      <c r="H788" s="32" t="s">
        <v>6205</v>
      </c>
      <c r="I788" s="32" t="s">
        <v>39</v>
      </c>
      <c r="J788" s="32" t="s">
        <v>40</v>
      </c>
      <c r="K788" s="32" t="s">
        <v>41</v>
      </c>
      <c r="M788" s="32" t="s">
        <v>5421</v>
      </c>
      <c r="N788" s="32" t="s">
        <v>45</v>
      </c>
    </row>
    <row r="789" spans="1:14" s="32" customFormat="1" hidden="1" x14ac:dyDescent="0.3">
      <c r="A789" s="39">
        <v>46191.471365740741</v>
      </c>
      <c r="B789" s="32">
        <v>12997346335</v>
      </c>
      <c r="C789" s="32" t="s">
        <v>44</v>
      </c>
      <c r="D789" s="32">
        <v>4430265054</v>
      </c>
      <c r="E789" s="32">
        <v>390</v>
      </c>
      <c r="F789" s="32">
        <v>292</v>
      </c>
      <c r="G789" s="32" t="s">
        <v>38</v>
      </c>
      <c r="H789" s="32" t="s">
        <v>6206</v>
      </c>
      <c r="I789" s="32" t="s">
        <v>39</v>
      </c>
      <c r="J789" s="32" t="s">
        <v>40</v>
      </c>
      <c r="K789" s="32" t="s">
        <v>41</v>
      </c>
      <c r="L789" s="32">
        <v>5</v>
      </c>
      <c r="M789" s="32" t="s">
        <v>5416</v>
      </c>
      <c r="N789" s="32" t="s">
        <v>44</v>
      </c>
    </row>
    <row r="790" spans="1:14" s="32" customFormat="1" hidden="1" x14ac:dyDescent="0.3">
      <c r="A790" s="39">
        <v>46191.470393518517</v>
      </c>
      <c r="B790" s="32">
        <v>12997346335</v>
      </c>
      <c r="C790" s="32">
        <v>4430265054</v>
      </c>
      <c r="D790" s="32">
        <v>4430265054</v>
      </c>
      <c r="E790" s="32">
        <v>38</v>
      </c>
      <c r="F790" s="32">
        <v>37</v>
      </c>
      <c r="G790" s="32" t="s">
        <v>52</v>
      </c>
      <c r="H790" s="32" t="s">
        <v>6207</v>
      </c>
      <c r="I790" s="32" t="s">
        <v>39</v>
      </c>
      <c r="J790" s="32" t="s">
        <v>53</v>
      </c>
      <c r="K790" s="32" t="s">
        <v>41</v>
      </c>
    </row>
    <row r="791" spans="1:14" s="32" customFormat="1" hidden="1" x14ac:dyDescent="0.3">
      <c r="A791" s="39">
        <v>46191.460393518515</v>
      </c>
      <c r="B791" s="32" t="s">
        <v>48</v>
      </c>
      <c r="C791" s="32">
        <v>44999743444</v>
      </c>
      <c r="E791" s="32">
        <v>598</v>
      </c>
      <c r="F791" s="32">
        <v>586</v>
      </c>
      <c r="G791" s="32" t="s">
        <v>38</v>
      </c>
      <c r="H791" s="32" t="s">
        <v>6208</v>
      </c>
      <c r="I791" s="32" t="s">
        <v>46</v>
      </c>
      <c r="J791" s="32" t="s">
        <v>40</v>
      </c>
      <c r="M791" s="32" t="s">
        <v>5412</v>
      </c>
      <c r="N791" s="32" t="s">
        <v>48</v>
      </c>
    </row>
    <row r="792" spans="1:14" s="32" customFormat="1" hidden="1" x14ac:dyDescent="0.3">
      <c r="A792" s="39">
        <v>46191.459236111114</v>
      </c>
      <c r="B792" s="32">
        <v>44991177471</v>
      </c>
      <c r="C792" s="32" t="s">
        <v>44</v>
      </c>
      <c r="D792" s="32">
        <v>4430265054</v>
      </c>
      <c r="E792" s="32">
        <v>239</v>
      </c>
      <c r="F792" s="32">
        <v>180</v>
      </c>
      <c r="G792" s="32" t="s">
        <v>38</v>
      </c>
      <c r="H792" s="32" t="s">
        <v>6209</v>
      </c>
      <c r="I792" s="32" t="s">
        <v>39</v>
      </c>
      <c r="J792" s="32" t="s">
        <v>40</v>
      </c>
      <c r="K792" s="32" t="s">
        <v>41</v>
      </c>
      <c r="M792" s="32" t="s">
        <v>5416</v>
      </c>
      <c r="N792" s="32" t="s">
        <v>44</v>
      </c>
    </row>
    <row r="793" spans="1:14" s="32" customFormat="1" hidden="1" x14ac:dyDescent="0.3">
      <c r="A793" s="39">
        <v>46191.459166666667</v>
      </c>
      <c r="B793" s="32">
        <v>4430468268</v>
      </c>
      <c r="C793" s="32" t="s">
        <v>45</v>
      </c>
      <c r="D793" s="32">
        <v>4430265054</v>
      </c>
      <c r="E793" s="32">
        <v>549</v>
      </c>
      <c r="F793" s="32">
        <v>519</v>
      </c>
      <c r="G793" s="32" t="s">
        <v>38</v>
      </c>
      <c r="H793" s="32" t="s">
        <v>6210</v>
      </c>
      <c r="I793" s="32" t="s">
        <v>39</v>
      </c>
      <c r="J793" s="32" t="s">
        <v>40</v>
      </c>
      <c r="K793" s="32" t="s">
        <v>41</v>
      </c>
      <c r="M793" s="32" t="s">
        <v>5421</v>
      </c>
      <c r="N793" s="32" t="s">
        <v>45</v>
      </c>
    </row>
    <row r="794" spans="1:14" s="32" customFormat="1" hidden="1" x14ac:dyDescent="0.3">
      <c r="A794" s="39">
        <v>46191.458460648151</v>
      </c>
      <c r="B794" s="32">
        <v>44997450437</v>
      </c>
      <c r="C794" s="32">
        <v>4430265054</v>
      </c>
      <c r="D794" s="32">
        <v>4430265054</v>
      </c>
      <c r="E794" s="32">
        <v>40</v>
      </c>
      <c r="F794" s="32">
        <v>40</v>
      </c>
      <c r="G794" s="32" t="s">
        <v>52</v>
      </c>
      <c r="H794" s="32" t="s">
        <v>6211</v>
      </c>
      <c r="I794" s="32" t="s">
        <v>39</v>
      </c>
      <c r="J794" s="32" t="s">
        <v>53</v>
      </c>
      <c r="K794" s="32" t="s">
        <v>41</v>
      </c>
    </row>
    <row r="795" spans="1:14" s="32" customFormat="1" hidden="1" x14ac:dyDescent="0.3">
      <c r="A795" s="39">
        <v>46191.458333333336</v>
      </c>
      <c r="B795" s="32" t="s">
        <v>57</v>
      </c>
      <c r="C795" s="32">
        <v>6434533677</v>
      </c>
      <c r="E795" s="32">
        <v>779</v>
      </c>
      <c r="F795" s="32">
        <v>773</v>
      </c>
      <c r="G795" s="32" t="s">
        <v>38</v>
      </c>
      <c r="H795" s="32" t="s">
        <v>6212</v>
      </c>
      <c r="I795" s="32" t="s">
        <v>46</v>
      </c>
      <c r="J795" s="32" t="s">
        <v>55</v>
      </c>
      <c r="M795" s="32" t="s">
        <v>5456</v>
      </c>
      <c r="N795" s="32" t="s">
        <v>57</v>
      </c>
    </row>
    <row r="796" spans="1:14" s="32" customFormat="1" hidden="1" x14ac:dyDescent="0.3">
      <c r="A796" s="39">
        <v>46191.457337962966</v>
      </c>
      <c r="B796" s="32">
        <v>44999743444</v>
      </c>
      <c r="C796" s="32" t="s">
        <v>44</v>
      </c>
      <c r="D796" s="32">
        <v>4430265054</v>
      </c>
      <c r="E796" s="32">
        <v>147</v>
      </c>
      <c r="F796" s="32">
        <v>97</v>
      </c>
      <c r="G796" s="32" t="s">
        <v>38</v>
      </c>
      <c r="H796" s="32" t="s">
        <v>6213</v>
      </c>
      <c r="I796" s="32" t="s">
        <v>39</v>
      </c>
      <c r="J796" s="32" t="s">
        <v>40</v>
      </c>
      <c r="K796" s="32" t="s">
        <v>41</v>
      </c>
      <c r="M796" s="32" t="s">
        <v>5416</v>
      </c>
      <c r="N796" s="32" t="s">
        <v>44</v>
      </c>
    </row>
    <row r="797" spans="1:14" s="32" customFormat="1" hidden="1" x14ac:dyDescent="0.3">
      <c r="A797" s="39">
        <v>46191.454502314817</v>
      </c>
      <c r="B797" s="32" t="s">
        <v>57</v>
      </c>
      <c r="C797" s="32">
        <v>4334721811</v>
      </c>
      <c r="E797" s="32">
        <v>172</v>
      </c>
      <c r="F797" s="32">
        <v>151</v>
      </c>
      <c r="G797" s="32" t="s">
        <v>38</v>
      </c>
      <c r="H797" s="32" t="s">
        <v>6214</v>
      </c>
      <c r="I797" s="32" t="s">
        <v>46</v>
      </c>
      <c r="J797" s="32" t="s">
        <v>55</v>
      </c>
      <c r="M797" s="32" t="s">
        <v>5456</v>
      </c>
      <c r="N797" s="32" t="s">
        <v>57</v>
      </c>
    </row>
    <row r="798" spans="1:14" s="32" customFormat="1" hidden="1" x14ac:dyDescent="0.3">
      <c r="A798" s="39">
        <v>46191.452557870369</v>
      </c>
      <c r="B798" s="32">
        <v>81983567163</v>
      </c>
      <c r="C798" s="32" t="s">
        <v>37</v>
      </c>
      <c r="D798" s="32">
        <v>4431268225</v>
      </c>
      <c r="E798" s="32">
        <v>649</v>
      </c>
      <c r="F798" s="32">
        <v>597</v>
      </c>
      <c r="G798" s="32" t="s">
        <v>38</v>
      </c>
      <c r="H798" s="32" t="s">
        <v>6215</v>
      </c>
      <c r="I798" s="32" t="s">
        <v>39</v>
      </c>
      <c r="J798" s="32" t="s">
        <v>40</v>
      </c>
      <c r="K798" s="32" t="s">
        <v>41</v>
      </c>
      <c r="L798" s="32">
        <v>5</v>
      </c>
      <c r="M798" s="32" t="s">
        <v>5410</v>
      </c>
      <c r="N798" s="32" t="s">
        <v>37</v>
      </c>
    </row>
    <row r="799" spans="1:14" s="32" customFormat="1" hidden="1" x14ac:dyDescent="0.3">
      <c r="A799" s="39">
        <v>46191.451666666668</v>
      </c>
      <c r="B799" s="32" t="s">
        <v>37</v>
      </c>
      <c r="C799" s="32">
        <v>41999717893</v>
      </c>
      <c r="E799" s="32">
        <v>31</v>
      </c>
      <c r="F799" s="32">
        <v>0</v>
      </c>
      <c r="G799" s="32" t="s">
        <v>47</v>
      </c>
      <c r="H799" s="32" t="s">
        <v>6216</v>
      </c>
      <c r="I799" s="32" t="s">
        <v>46</v>
      </c>
      <c r="J799" s="32" t="s">
        <v>40</v>
      </c>
      <c r="M799" s="32" t="s">
        <v>5410</v>
      </c>
      <c r="N799" s="32" t="s">
        <v>37</v>
      </c>
    </row>
    <row r="800" spans="1:14" s="32" customFormat="1" hidden="1" x14ac:dyDescent="0.3">
      <c r="A800" s="39">
        <v>46191.451180555552</v>
      </c>
      <c r="B800" s="32" t="s">
        <v>37</v>
      </c>
      <c r="C800" s="32">
        <v>41999717893</v>
      </c>
      <c r="E800" s="32">
        <v>37</v>
      </c>
      <c r="F800" s="32">
        <v>0</v>
      </c>
      <c r="G800" s="32" t="s">
        <v>47</v>
      </c>
      <c r="H800" s="32" t="s">
        <v>6217</v>
      </c>
      <c r="I800" s="32" t="s">
        <v>46</v>
      </c>
      <c r="J800" s="32" t="s">
        <v>40</v>
      </c>
      <c r="M800" s="32" t="s">
        <v>5410</v>
      </c>
      <c r="N800" s="32" t="s">
        <v>37</v>
      </c>
    </row>
    <row r="801" spans="1:14" s="32" customFormat="1" hidden="1" x14ac:dyDescent="0.3">
      <c r="A801" s="39">
        <v>46191.444988425923</v>
      </c>
      <c r="B801" s="32">
        <v>4436281154</v>
      </c>
      <c r="C801" s="32" t="s">
        <v>44</v>
      </c>
      <c r="D801" s="32">
        <v>4430265054</v>
      </c>
      <c r="E801" s="32">
        <v>402</v>
      </c>
      <c r="F801" s="32">
        <v>352</v>
      </c>
      <c r="G801" s="32" t="s">
        <v>38</v>
      </c>
      <c r="H801" s="32" t="s">
        <v>6218</v>
      </c>
      <c r="I801" s="32" t="s">
        <v>39</v>
      </c>
      <c r="J801" s="32" t="s">
        <v>40</v>
      </c>
      <c r="K801" s="32" t="s">
        <v>41</v>
      </c>
      <c r="M801" s="32" t="s">
        <v>5416</v>
      </c>
      <c r="N801" s="32" t="s">
        <v>44</v>
      </c>
    </row>
    <row r="802" spans="1:14" s="32" customFormat="1" hidden="1" x14ac:dyDescent="0.3">
      <c r="A802" s="39">
        <v>46191.438310185185</v>
      </c>
      <c r="B802" s="32">
        <v>4432541200</v>
      </c>
      <c r="C802" s="32" t="s">
        <v>45</v>
      </c>
      <c r="D802" s="32">
        <v>4430265054</v>
      </c>
      <c r="E802" s="32">
        <v>1601</v>
      </c>
      <c r="F802" s="32">
        <v>1583</v>
      </c>
      <c r="G802" s="32" t="s">
        <v>38</v>
      </c>
      <c r="H802" s="32" t="s">
        <v>6219</v>
      </c>
      <c r="I802" s="32" t="s">
        <v>39</v>
      </c>
      <c r="J802" s="32" t="s">
        <v>40</v>
      </c>
      <c r="K802" s="32" t="s">
        <v>41</v>
      </c>
      <c r="M802" s="32" t="s">
        <v>5421</v>
      </c>
      <c r="N802" s="32" t="s">
        <v>45</v>
      </c>
    </row>
    <row r="803" spans="1:14" s="32" customFormat="1" hidden="1" x14ac:dyDescent="0.3">
      <c r="A803" s="39">
        <v>46191.437430555554</v>
      </c>
      <c r="B803" s="32">
        <v>44997618065</v>
      </c>
      <c r="C803" s="32" t="s">
        <v>37</v>
      </c>
      <c r="D803" s="32">
        <v>4430265054</v>
      </c>
      <c r="E803" s="32">
        <v>442</v>
      </c>
      <c r="F803" s="32">
        <v>379</v>
      </c>
      <c r="G803" s="32" t="s">
        <v>38</v>
      </c>
      <c r="H803" s="32" t="s">
        <v>6220</v>
      </c>
      <c r="I803" s="32" t="s">
        <v>39</v>
      </c>
      <c r="J803" s="32" t="s">
        <v>40</v>
      </c>
      <c r="K803" s="32" t="s">
        <v>41</v>
      </c>
      <c r="M803" s="32" t="s">
        <v>5410</v>
      </c>
      <c r="N803" s="32" t="s">
        <v>37</v>
      </c>
    </row>
    <row r="804" spans="1:14" s="32" customFormat="1" hidden="1" x14ac:dyDescent="0.3">
      <c r="A804" s="39">
        <v>46191.433842592596</v>
      </c>
      <c r="B804" s="32">
        <v>91985176746</v>
      </c>
      <c r="C804" s="32" t="s">
        <v>44</v>
      </c>
      <c r="D804" s="32">
        <v>4430265054</v>
      </c>
      <c r="E804" s="32">
        <v>495</v>
      </c>
      <c r="F804" s="32">
        <v>391</v>
      </c>
      <c r="G804" s="32" t="s">
        <v>38</v>
      </c>
      <c r="H804" s="32" t="s">
        <v>6221</v>
      </c>
      <c r="I804" s="32" t="s">
        <v>39</v>
      </c>
      <c r="J804" s="32" t="s">
        <v>40</v>
      </c>
      <c r="K804" s="32" t="s">
        <v>41</v>
      </c>
      <c r="M804" s="32" t="s">
        <v>5416</v>
      </c>
      <c r="N804" s="32" t="s">
        <v>44</v>
      </c>
    </row>
    <row r="805" spans="1:14" s="32" customFormat="1" hidden="1" x14ac:dyDescent="0.3">
      <c r="A805" s="39">
        <v>46191.430590277778</v>
      </c>
      <c r="B805" s="32">
        <v>44999449519</v>
      </c>
      <c r="C805" s="32" t="s">
        <v>37</v>
      </c>
      <c r="D805" s="32">
        <v>4430265054</v>
      </c>
      <c r="E805" s="32">
        <v>509</v>
      </c>
      <c r="F805" s="32">
        <v>487</v>
      </c>
      <c r="G805" s="32" t="s">
        <v>38</v>
      </c>
      <c r="H805" s="32" t="s">
        <v>6222</v>
      </c>
      <c r="I805" s="32" t="s">
        <v>39</v>
      </c>
      <c r="J805" s="32" t="s">
        <v>40</v>
      </c>
      <c r="K805" s="32" t="s">
        <v>41</v>
      </c>
      <c r="L805" s="32">
        <v>5</v>
      </c>
      <c r="M805" s="32" t="s">
        <v>5410</v>
      </c>
      <c r="N805" s="32" t="s">
        <v>37</v>
      </c>
    </row>
    <row r="806" spans="1:14" s="32" customFormat="1" hidden="1" x14ac:dyDescent="0.3">
      <c r="A806" s="39">
        <v>46191.427824074075</v>
      </c>
      <c r="B806" s="32">
        <v>4430191401</v>
      </c>
      <c r="C806" s="32" t="s">
        <v>45</v>
      </c>
      <c r="D806" s="32">
        <v>4430265054</v>
      </c>
      <c r="E806" s="32">
        <v>681</v>
      </c>
      <c r="F806" s="32">
        <v>625</v>
      </c>
      <c r="G806" s="32" t="s">
        <v>38</v>
      </c>
      <c r="H806" s="32" t="s">
        <v>6223</v>
      </c>
      <c r="I806" s="32" t="s">
        <v>39</v>
      </c>
      <c r="J806" s="32" t="s">
        <v>40</v>
      </c>
      <c r="K806" s="32" t="s">
        <v>41</v>
      </c>
      <c r="M806" s="32" t="s">
        <v>5421</v>
      </c>
      <c r="N806" s="32" t="s">
        <v>45</v>
      </c>
    </row>
    <row r="807" spans="1:14" s="32" customFormat="1" hidden="1" x14ac:dyDescent="0.3">
      <c r="A807" s="39">
        <v>46191.427337962959</v>
      </c>
      <c r="B807" s="32" t="s">
        <v>48</v>
      </c>
      <c r="C807" s="32">
        <v>44999743444</v>
      </c>
      <c r="E807" s="32">
        <v>39</v>
      </c>
      <c r="F807" s="32">
        <v>0</v>
      </c>
      <c r="G807" s="32" t="s">
        <v>47</v>
      </c>
      <c r="H807" s="32" t="s">
        <v>6224</v>
      </c>
      <c r="I807" s="32" t="s">
        <v>46</v>
      </c>
      <c r="J807" s="32" t="s">
        <v>40</v>
      </c>
      <c r="M807" s="32" t="s">
        <v>5412</v>
      </c>
      <c r="N807" s="32" t="s">
        <v>48</v>
      </c>
    </row>
    <row r="808" spans="1:14" s="32" customFormat="1" hidden="1" x14ac:dyDescent="0.3">
      <c r="A808" s="39">
        <v>46191.425868055558</v>
      </c>
      <c r="B808" s="32">
        <v>81988293889</v>
      </c>
      <c r="C808" s="32" t="s">
        <v>44</v>
      </c>
      <c r="D808" s="32">
        <v>4431268225</v>
      </c>
      <c r="E808" s="32">
        <v>721</v>
      </c>
      <c r="F808" s="32">
        <v>583</v>
      </c>
      <c r="G808" s="32" t="s">
        <v>38</v>
      </c>
      <c r="H808" s="32" t="s">
        <v>6225</v>
      </c>
      <c r="I808" s="32" t="s">
        <v>39</v>
      </c>
      <c r="J808" s="32" t="s">
        <v>40</v>
      </c>
      <c r="K808" s="32" t="s">
        <v>41</v>
      </c>
      <c r="L808" s="32">
        <v>5</v>
      </c>
      <c r="M808" s="32" t="s">
        <v>5416</v>
      </c>
      <c r="N808" s="32" t="s">
        <v>44</v>
      </c>
    </row>
    <row r="809" spans="1:14" s="32" customFormat="1" hidden="1" x14ac:dyDescent="0.3">
      <c r="A809" s="39">
        <v>46191.423344907409</v>
      </c>
      <c r="B809" s="32">
        <v>43984040334</v>
      </c>
      <c r="C809" s="32" t="s">
        <v>37</v>
      </c>
      <c r="D809" s="32">
        <v>4430265054</v>
      </c>
      <c r="E809" s="32">
        <v>366</v>
      </c>
      <c r="F809" s="32">
        <v>243</v>
      </c>
      <c r="G809" s="32" t="s">
        <v>38</v>
      </c>
      <c r="H809" s="32" t="s">
        <v>6226</v>
      </c>
      <c r="I809" s="32" t="s">
        <v>39</v>
      </c>
      <c r="J809" s="32" t="s">
        <v>40</v>
      </c>
      <c r="K809" s="32" t="s">
        <v>41</v>
      </c>
      <c r="L809" s="32">
        <v>5</v>
      </c>
      <c r="M809" s="32" t="s">
        <v>5410</v>
      </c>
      <c r="N809" s="32" t="s">
        <v>37</v>
      </c>
    </row>
    <row r="810" spans="1:14" s="32" customFormat="1" hidden="1" x14ac:dyDescent="0.3">
      <c r="A810" s="39">
        <v>46191.422129629631</v>
      </c>
      <c r="B810" s="32" t="s">
        <v>54</v>
      </c>
      <c r="C810" s="32">
        <v>7536341227</v>
      </c>
      <c r="E810" s="32">
        <v>1</v>
      </c>
      <c r="F810" s="32">
        <v>0</v>
      </c>
      <c r="G810" s="32" t="s">
        <v>47</v>
      </c>
      <c r="H810" s="32" t="s">
        <v>6227</v>
      </c>
      <c r="I810" s="32" t="s">
        <v>46</v>
      </c>
      <c r="J810" s="32" t="s">
        <v>55</v>
      </c>
      <c r="M810" s="32" t="s">
        <v>5537</v>
      </c>
      <c r="N810" s="32" t="s">
        <v>54</v>
      </c>
    </row>
    <row r="811" spans="1:14" s="32" customFormat="1" hidden="1" x14ac:dyDescent="0.3">
      <c r="A811" s="39">
        <v>46191.419432870367</v>
      </c>
      <c r="B811" s="32" t="s">
        <v>54</v>
      </c>
      <c r="C811" s="32">
        <v>31996919456</v>
      </c>
      <c r="E811" s="32">
        <v>3</v>
      </c>
      <c r="F811" s="32">
        <v>0</v>
      </c>
      <c r="G811" s="32" t="s">
        <v>47</v>
      </c>
      <c r="H811" s="32" t="s">
        <v>6228</v>
      </c>
      <c r="I811" s="32" t="s">
        <v>46</v>
      </c>
      <c r="J811" s="32" t="s">
        <v>55</v>
      </c>
      <c r="M811" s="32" t="s">
        <v>5537</v>
      </c>
      <c r="N811" s="32" t="s">
        <v>54</v>
      </c>
    </row>
    <row r="812" spans="1:14" s="32" customFormat="1" hidden="1" x14ac:dyDescent="0.3">
      <c r="A812" s="39">
        <v>46191.414537037039</v>
      </c>
      <c r="B812" s="32">
        <v>4430459001</v>
      </c>
      <c r="C812" s="32" t="s">
        <v>37</v>
      </c>
      <c r="D812" s="32">
        <v>4430265054</v>
      </c>
      <c r="E812" s="32">
        <v>659</v>
      </c>
      <c r="F812" s="32">
        <v>601</v>
      </c>
      <c r="G812" s="32" t="s">
        <v>38</v>
      </c>
      <c r="H812" s="32" t="s">
        <v>6229</v>
      </c>
      <c r="I812" s="32" t="s">
        <v>39</v>
      </c>
      <c r="J812" s="32" t="s">
        <v>40</v>
      </c>
      <c r="K812" s="32" t="s">
        <v>41</v>
      </c>
      <c r="L812" s="32">
        <v>5</v>
      </c>
      <c r="M812" s="32" t="s">
        <v>5410</v>
      </c>
      <c r="N812" s="32" t="s">
        <v>37</v>
      </c>
    </row>
    <row r="813" spans="1:14" s="32" customFormat="1" hidden="1" x14ac:dyDescent="0.3">
      <c r="A813" s="39">
        <v>46191.392847222225</v>
      </c>
      <c r="B813" s="32">
        <v>1145007008</v>
      </c>
      <c r="C813" s="32">
        <v>4430265054</v>
      </c>
      <c r="D813" s="32">
        <v>4430265054</v>
      </c>
      <c r="E813" s="32">
        <v>8</v>
      </c>
      <c r="F813" s="32">
        <v>7</v>
      </c>
      <c r="G813" s="32" t="s">
        <v>52</v>
      </c>
      <c r="H813" s="32" t="s">
        <v>6230</v>
      </c>
      <c r="I813" s="32" t="s">
        <v>39</v>
      </c>
      <c r="J813" s="32" t="s">
        <v>53</v>
      </c>
    </row>
    <row r="814" spans="1:14" s="32" customFormat="1" hidden="1" x14ac:dyDescent="0.3">
      <c r="A814" s="39">
        <v>46191.392847222225</v>
      </c>
      <c r="B814" s="32">
        <v>4433231254</v>
      </c>
      <c r="C814" s="32" t="s">
        <v>45</v>
      </c>
      <c r="D814" s="32">
        <v>4430265054</v>
      </c>
      <c r="E814" s="32">
        <v>271</v>
      </c>
      <c r="F814" s="32">
        <v>213</v>
      </c>
      <c r="G814" s="32" t="s">
        <v>38</v>
      </c>
      <c r="H814" s="32" t="s">
        <v>6231</v>
      </c>
      <c r="I814" s="32" t="s">
        <v>39</v>
      </c>
      <c r="J814" s="32" t="s">
        <v>40</v>
      </c>
      <c r="K814" s="32" t="s">
        <v>41</v>
      </c>
      <c r="M814" s="32" t="s">
        <v>5421</v>
      </c>
      <c r="N814" s="32" t="s">
        <v>45</v>
      </c>
    </row>
    <row r="815" spans="1:14" s="32" customFormat="1" hidden="1" x14ac:dyDescent="0.3">
      <c r="A815" s="39">
        <v>46191.392835648148</v>
      </c>
      <c r="B815" s="32">
        <v>1438160351</v>
      </c>
      <c r="C815" s="32">
        <v>4430265054</v>
      </c>
      <c r="D815" s="32">
        <v>4430265054</v>
      </c>
      <c r="E815" s="32">
        <v>1</v>
      </c>
      <c r="F815" s="32">
        <v>1</v>
      </c>
      <c r="G815" s="32" t="s">
        <v>52</v>
      </c>
      <c r="H815" s="32" t="s">
        <v>6232</v>
      </c>
      <c r="I815" s="32" t="s">
        <v>39</v>
      </c>
      <c r="J815" s="32" t="s">
        <v>53</v>
      </c>
    </row>
    <row r="816" spans="1:14" s="32" customFormat="1" hidden="1" x14ac:dyDescent="0.3">
      <c r="A816" s="39">
        <v>46191.391516203701</v>
      </c>
      <c r="B816" s="32">
        <v>83988398480</v>
      </c>
      <c r="C816" s="32" t="s">
        <v>44</v>
      </c>
      <c r="D816" s="32">
        <v>4430265054</v>
      </c>
      <c r="E816" s="32">
        <v>663</v>
      </c>
      <c r="F816" s="32">
        <v>616</v>
      </c>
      <c r="G816" s="32" t="s">
        <v>38</v>
      </c>
      <c r="H816" s="32" t="s">
        <v>6233</v>
      </c>
      <c r="I816" s="32" t="s">
        <v>39</v>
      </c>
      <c r="J816" s="32" t="s">
        <v>40</v>
      </c>
      <c r="K816" s="32" t="s">
        <v>41</v>
      </c>
      <c r="M816" s="32" t="s">
        <v>5416</v>
      </c>
      <c r="N816" s="32" t="s">
        <v>44</v>
      </c>
    </row>
    <row r="817" spans="1:14" s="32" customFormat="1" hidden="1" x14ac:dyDescent="0.3">
      <c r="A817" s="39">
        <v>46191.388472222221</v>
      </c>
      <c r="B817" s="32">
        <v>1732146970</v>
      </c>
      <c r="C817" s="32" t="s">
        <v>45</v>
      </c>
      <c r="D817" s="32">
        <v>4431268225</v>
      </c>
      <c r="E817" s="32">
        <v>337</v>
      </c>
      <c r="F817" s="32">
        <v>152</v>
      </c>
      <c r="G817" s="32" t="s">
        <v>38</v>
      </c>
      <c r="H817" s="32" t="s">
        <v>6234</v>
      </c>
      <c r="I817" s="32" t="s">
        <v>39</v>
      </c>
      <c r="J817" s="32" t="s">
        <v>40</v>
      </c>
      <c r="K817" s="32" t="s">
        <v>41</v>
      </c>
      <c r="M817" s="32" t="s">
        <v>5421</v>
      </c>
      <c r="N817" s="32" t="s">
        <v>45</v>
      </c>
    </row>
    <row r="818" spans="1:14" s="32" customFormat="1" hidden="1" x14ac:dyDescent="0.3">
      <c r="A818" s="39">
        <v>46191.386261574073</v>
      </c>
      <c r="B818" s="32">
        <v>4430162384</v>
      </c>
      <c r="C818" s="32" t="s">
        <v>37</v>
      </c>
      <c r="D818" s="32">
        <v>4430265054</v>
      </c>
      <c r="E818" s="32">
        <v>1718</v>
      </c>
      <c r="F818" s="32">
        <v>1597</v>
      </c>
      <c r="G818" s="32" t="s">
        <v>38</v>
      </c>
      <c r="H818" s="32" t="s">
        <v>6235</v>
      </c>
      <c r="I818" s="32" t="s">
        <v>39</v>
      </c>
      <c r="J818" s="32" t="s">
        <v>40</v>
      </c>
      <c r="K818" s="32" t="s">
        <v>41</v>
      </c>
      <c r="L818" s="32">
        <v>5</v>
      </c>
      <c r="M818" s="32" t="s">
        <v>5410</v>
      </c>
      <c r="N818" s="32" t="s">
        <v>37</v>
      </c>
    </row>
    <row r="819" spans="1:14" s="32" customFormat="1" hidden="1" x14ac:dyDescent="0.3">
      <c r="A819" s="39">
        <v>46191.382233796299</v>
      </c>
      <c r="B819" s="32">
        <v>4433231254</v>
      </c>
      <c r="C819" s="32" t="s">
        <v>45</v>
      </c>
      <c r="D819" s="32">
        <v>4430265054</v>
      </c>
      <c r="E819" s="32">
        <v>540</v>
      </c>
      <c r="F819" s="32">
        <v>506</v>
      </c>
      <c r="G819" s="32" t="s">
        <v>38</v>
      </c>
      <c r="H819" s="32" t="s">
        <v>6236</v>
      </c>
      <c r="I819" s="32" t="s">
        <v>39</v>
      </c>
      <c r="J819" s="32" t="s">
        <v>40</v>
      </c>
      <c r="K819" s="32" t="s">
        <v>41</v>
      </c>
      <c r="M819" s="32" t="s">
        <v>5421</v>
      </c>
      <c r="N819" s="32" t="s">
        <v>45</v>
      </c>
    </row>
    <row r="820" spans="1:14" s="32" customFormat="1" hidden="1" x14ac:dyDescent="0.3">
      <c r="A820" s="39">
        <v>46191.380856481483</v>
      </c>
      <c r="B820" s="32">
        <v>4430162384</v>
      </c>
      <c r="C820" s="32">
        <v>4430265054</v>
      </c>
      <c r="D820" s="32">
        <v>4430265054</v>
      </c>
      <c r="E820" s="32">
        <v>55</v>
      </c>
      <c r="F820" s="32">
        <v>55</v>
      </c>
      <c r="G820" s="32" t="s">
        <v>52</v>
      </c>
      <c r="H820" s="32" t="s">
        <v>6237</v>
      </c>
      <c r="I820" s="32" t="s">
        <v>39</v>
      </c>
      <c r="J820" s="32" t="s">
        <v>53</v>
      </c>
      <c r="K820" s="32" t="s">
        <v>41</v>
      </c>
    </row>
    <row r="821" spans="1:14" s="32" customFormat="1" hidden="1" x14ac:dyDescent="0.3">
      <c r="A821" s="39">
        <v>46191.377314814818</v>
      </c>
      <c r="B821" s="32">
        <v>44999449519</v>
      </c>
      <c r="C821" s="32" t="s">
        <v>48</v>
      </c>
      <c r="D821" s="32">
        <v>4430265054</v>
      </c>
      <c r="E821" s="32">
        <v>1270</v>
      </c>
      <c r="F821" s="32">
        <v>1269</v>
      </c>
      <c r="G821" s="32" t="s">
        <v>38</v>
      </c>
      <c r="H821" s="32" t="s">
        <v>6238</v>
      </c>
      <c r="I821" s="32" t="s">
        <v>39</v>
      </c>
      <c r="J821" s="32" t="s">
        <v>40</v>
      </c>
      <c r="K821" s="32" t="s">
        <v>41</v>
      </c>
      <c r="L821" s="32">
        <v>5</v>
      </c>
      <c r="M821" s="32" t="s">
        <v>5412</v>
      </c>
      <c r="N821" s="32" t="s">
        <v>48</v>
      </c>
    </row>
    <row r="822" spans="1:14" s="32" customFormat="1" hidden="1" x14ac:dyDescent="0.3">
      <c r="A822" s="39">
        <v>46191.375648148147</v>
      </c>
      <c r="B822" s="32">
        <v>4432524636</v>
      </c>
      <c r="C822" s="32" t="s">
        <v>37</v>
      </c>
      <c r="D822" s="32">
        <v>4430265054</v>
      </c>
      <c r="E822" s="32">
        <v>735</v>
      </c>
      <c r="F822" s="32">
        <v>720</v>
      </c>
      <c r="G822" s="32" t="s">
        <v>38</v>
      </c>
      <c r="H822" s="32" t="s">
        <v>6239</v>
      </c>
      <c r="I822" s="32" t="s">
        <v>39</v>
      </c>
      <c r="J822" s="32" t="s">
        <v>40</v>
      </c>
      <c r="K822" s="32" t="s">
        <v>41</v>
      </c>
      <c r="L822" s="32">
        <v>5</v>
      </c>
      <c r="M822" s="32" t="s">
        <v>5410</v>
      </c>
      <c r="N822" s="32" t="s">
        <v>37</v>
      </c>
    </row>
    <row r="823" spans="1:14" s="32" customFormat="1" hidden="1" x14ac:dyDescent="0.3">
      <c r="A823" s="39">
        <v>46191.371724537035</v>
      </c>
      <c r="B823" s="32">
        <v>4433231254</v>
      </c>
      <c r="C823" s="32" t="s">
        <v>44</v>
      </c>
      <c r="D823" s="32">
        <v>4430265054</v>
      </c>
      <c r="E823" s="32">
        <v>391</v>
      </c>
      <c r="F823" s="32">
        <v>267</v>
      </c>
      <c r="G823" s="32" t="s">
        <v>38</v>
      </c>
      <c r="H823" s="32" t="s">
        <v>6240</v>
      </c>
      <c r="I823" s="32" t="s">
        <v>39</v>
      </c>
      <c r="J823" s="32" t="s">
        <v>40</v>
      </c>
      <c r="K823" s="32" t="s">
        <v>41</v>
      </c>
      <c r="L823" s="32">
        <v>5</v>
      </c>
      <c r="M823" s="32" t="s">
        <v>5416</v>
      </c>
      <c r="N823" s="32" t="s">
        <v>44</v>
      </c>
    </row>
    <row r="824" spans="1:14" s="32" customFormat="1" hidden="1" x14ac:dyDescent="0.3">
      <c r="A824" s="39">
        <v>46191.369479166664</v>
      </c>
      <c r="B824" s="32">
        <v>4432541200</v>
      </c>
      <c r="C824" s="32" t="s">
        <v>45</v>
      </c>
      <c r="D824" s="32">
        <v>4430265054</v>
      </c>
      <c r="E824" s="32">
        <v>624</v>
      </c>
      <c r="F824" s="32">
        <v>564</v>
      </c>
      <c r="G824" s="32" t="s">
        <v>38</v>
      </c>
      <c r="H824" s="32" t="s">
        <v>6241</v>
      </c>
      <c r="I824" s="32" t="s">
        <v>39</v>
      </c>
      <c r="J824" s="32" t="s">
        <v>40</v>
      </c>
      <c r="K824" s="32" t="s">
        <v>41</v>
      </c>
      <c r="M824" s="32" t="s">
        <v>5421</v>
      </c>
      <c r="N824" s="32" t="s">
        <v>45</v>
      </c>
    </row>
    <row r="825" spans="1:14" s="32" customFormat="1" hidden="1" x14ac:dyDescent="0.3">
      <c r="A825" s="39">
        <v>46191.369467592594</v>
      </c>
      <c r="B825" s="32" t="s">
        <v>50</v>
      </c>
      <c r="C825" s="32" t="s">
        <v>57</v>
      </c>
      <c r="E825" s="32">
        <v>88</v>
      </c>
      <c r="F825" s="32">
        <v>85</v>
      </c>
      <c r="G825" s="32" t="s">
        <v>38</v>
      </c>
      <c r="H825" s="32" t="s">
        <v>6242</v>
      </c>
      <c r="I825" s="32" t="s">
        <v>51</v>
      </c>
      <c r="J825" s="32" t="s">
        <v>55</v>
      </c>
      <c r="M825" s="32" t="s">
        <v>5746</v>
      </c>
      <c r="N825" s="32" t="s">
        <v>50</v>
      </c>
    </row>
    <row r="826" spans="1:14" s="32" customFormat="1" hidden="1" x14ac:dyDescent="0.3">
      <c r="A826" s="39">
        <v>46191.356817129628</v>
      </c>
      <c r="B826" s="32">
        <v>4432321428</v>
      </c>
      <c r="C826" s="32">
        <v>4430265054</v>
      </c>
      <c r="D826" s="32">
        <v>4430265054</v>
      </c>
      <c r="E826" s="32">
        <v>15</v>
      </c>
      <c r="F826" s="32">
        <v>15</v>
      </c>
      <c r="G826" s="32" t="s">
        <v>52</v>
      </c>
      <c r="H826" s="32" t="s">
        <v>6243</v>
      </c>
      <c r="I826" s="32" t="s">
        <v>39</v>
      </c>
      <c r="J826" s="32" t="s">
        <v>53</v>
      </c>
    </row>
    <row r="827" spans="1:14" s="32" customFormat="1" hidden="1" x14ac:dyDescent="0.3">
      <c r="A827" s="39">
        <v>46191.356412037036</v>
      </c>
      <c r="B827" s="32">
        <v>44988067937</v>
      </c>
      <c r="C827" s="32" t="s">
        <v>44</v>
      </c>
      <c r="D827" s="32">
        <v>4430265054</v>
      </c>
      <c r="E827" s="32">
        <v>688</v>
      </c>
      <c r="F827" s="32">
        <v>514</v>
      </c>
      <c r="G827" s="32" t="s">
        <v>38</v>
      </c>
      <c r="H827" s="32" t="s">
        <v>6244</v>
      </c>
      <c r="I827" s="32" t="s">
        <v>39</v>
      </c>
      <c r="J827" s="32" t="s">
        <v>40</v>
      </c>
      <c r="K827" s="32" t="s">
        <v>41</v>
      </c>
      <c r="M827" s="32" t="s">
        <v>5416</v>
      </c>
      <c r="N827" s="32" t="s">
        <v>44</v>
      </c>
    </row>
    <row r="828" spans="1:14" s="32" customFormat="1" hidden="1" x14ac:dyDescent="0.3">
      <c r="A828" s="39">
        <v>46191.35496527778</v>
      </c>
      <c r="B828" s="32" t="s">
        <v>45</v>
      </c>
      <c r="C828" s="32">
        <v>44999814176</v>
      </c>
      <c r="E828" s="32">
        <v>69</v>
      </c>
      <c r="F828" s="32">
        <v>29</v>
      </c>
      <c r="G828" s="32" t="s">
        <v>38</v>
      </c>
      <c r="H828" s="32" t="s">
        <v>6245</v>
      </c>
      <c r="I828" s="32" t="s">
        <v>46</v>
      </c>
      <c r="J828" s="32" t="s">
        <v>40</v>
      </c>
      <c r="M828" s="32" t="s">
        <v>5421</v>
      </c>
      <c r="N828" s="32" t="s">
        <v>45</v>
      </c>
    </row>
    <row r="829" spans="1:14" s="32" customFormat="1" hidden="1" x14ac:dyDescent="0.3">
      <c r="A829" s="39">
        <v>46191.354560185187</v>
      </c>
      <c r="B829" s="32" t="s">
        <v>45</v>
      </c>
      <c r="C829" s="32">
        <v>4432321428</v>
      </c>
      <c r="E829" s="32">
        <v>60</v>
      </c>
      <c r="F829" s="32">
        <v>51</v>
      </c>
      <c r="G829" s="32" t="s">
        <v>38</v>
      </c>
      <c r="H829" s="32" t="s">
        <v>6246</v>
      </c>
      <c r="I829" s="32" t="s">
        <v>46</v>
      </c>
      <c r="J829" s="32" t="s">
        <v>40</v>
      </c>
      <c r="M829" s="32" t="s">
        <v>5421</v>
      </c>
      <c r="N829" s="32" t="s">
        <v>45</v>
      </c>
    </row>
    <row r="830" spans="1:14" s="32" customFormat="1" hidden="1" x14ac:dyDescent="0.3">
      <c r="A830" s="39">
        <v>46191.352800925924</v>
      </c>
      <c r="B830" s="32" t="s">
        <v>45</v>
      </c>
      <c r="C830" s="32">
        <v>4432321428</v>
      </c>
      <c r="E830" s="32">
        <v>83</v>
      </c>
      <c r="F830" s="32">
        <v>74</v>
      </c>
      <c r="G830" s="32" t="s">
        <v>38</v>
      </c>
      <c r="H830" s="32" t="s">
        <v>6247</v>
      </c>
      <c r="I830" s="32" t="s">
        <v>46</v>
      </c>
      <c r="J830" s="32" t="s">
        <v>40</v>
      </c>
      <c r="M830" s="32" t="s">
        <v>5421</v>
      </c>
      <c r="N830" s="32" t="s">
        <v>45</v>
      </c>
    </row>
    <row r="831" spans="1:14" s="32" customFormat="1" hidden="1" x14ac:dyDescent="0.3">
      <c r="A831" s="39">
        <v>46191.352766203701</v>
      </c>
      <c r="B831" s="32" t="s">
        <v>48</v>
      </c>
      <c r="C831" s="32">
        <v>44999743444</v>
      </c>
      <c r="E831" s="32">
        <v>10</v>
      </c>
      <c r="F831" s="32">
        <v>0</v>
      </c>
      <c r="G831" s="32" t="s">
        <v>47</v>
      </c>
      <c r="H831" s="32" t="s">
        <v>6248</v>
      </c>
      <c r="I831" s="32" t="s">
        <v>46</v>
      </c>
      <c r="J831" s="32" t="s">
        <v>40</v>
      </c>
      <c r="M831" s="32" t="s">
        <v>5412</v>
      </c>
      <c r="N831" s="32" t="s">
        <v>48</v>
      </c>
    </row>
    <row r="832" spans="1:14" s="32" customFormat="1" hidden="1" x14ac:dyDescent="0.3">
      <c r="A832" s="39">
        <v>46191.352708333332</v>
      </c>
      <c r="B832" s="32" t="s">
        <v>48</v>
      </c>
      <c r="C832" s="32">
        <v>44999743444</v>
      </c>
      <c r="E832" s="32">
        <v>2</v>
      </c>
      <c r="F832" s="32">
        <v>0</v>
      </c>
      <c r="G832" s="32" t="s">
        <v>47</v>
      </c>
      <c r="H832" s="32" t="s">
        <v>6249</v>
      </c>
      <c r="I832" s="32" t="s">
        <v>46</v>
      </c>
      <c r="J832" s="32" t="s">
        <v>40</v>
      </c>
      <c r="M832" s="32" t="s">
        <v>5412</v>
      </c>
      <c r="N832" s="32" t="s">
        <v>48</v>
      </c>
    </row>
    <row r="833" spans="1:14" s="32" customFormat="1" hidden="1" x14ac:dyDescent="0.3">
      <c r="A833" s="39">
        <v>46191.352233796293</v>
      </c>
      <c r="B833" s="32" t="s">
        <v>45</v>
      </c>
      <c r="C833" s="32">
        <v>44997235101</v>
      </c>
      <c r="E833" s="32">
        <v>22</v>
      </c>
      <c r="F833" s="32">
        <v>0</v>
      </c>
      <c r="G833" s="32" t="s">
        <v>47</v>
      </c>
      <c r="H833" s="32" t="s">
        <v>6250</v>
      </c>
      <c r="I833" s="32" t="s">
        <v>46</v>
      </c>
      <c r="J833" s="32" t="s">
        <v>40</v>
      </c>
      <c r="M833" s="32" t="s">
        <v>5421</v>
      </c>
      <c r="N833" s="32" t="s">
        <v>45</v>
      </c>
    </row>
    <row r="834" spans="1:14" s="32" customFormat="1" hidden="1" x14ac:dyDescent="0.3">
      <c r="A834" s="39">
        <v>46191.350115740737</v>
      </c>
      <c r="B834" s="32">
        <v>44999449519</v>
      </c>
      <c r="C834" s="32">
        <v>4430265054</v>
      </c>
      <c r="D834" s="32">
        <v>4430265054</v>
      </c>
      <c r="E834" s="32">
        <v>17</v>
      </c>
      <c r="F834" s="32">
        <v>16</v>
      </c>
      <c r="G834" s="32" t="s">
        <v>52</v>
      </c>
      <c r="H834" s="32" t="s">
        <v>6251</v>
      </c>
      <c r="I834" s="32" t="s">
        <v>39</v>
      </c>
      <c r="J834" s="32" t="s">
        <v>53</v>
      </c>
    </row>
    <row r="835" spans="1:14" s="32" customFormat="1" hidden="1" x14ac:dyDescent="0.3">
      <c r="A835" s="39">
        <v>46191.348495370374</v>
      </c>
      <c r="B835" s="32" t="s">
        <v>45</v>
      </c>
      <c r="C835" s="32">
        <v>45998160883</v>
      </c>
      <c r="E835" s="32">
        <v>13</v>
      </c>
      <c r="F835" s="32">
        <v>0</v>
      </c>
      <c r="G835" s="32" t="s">
        <v>47</v>
      </c>
      <c r="H835" s="32" t="s">
        <v>6252</v>
      </c>
      <c r="I835" s="32" t="s">
        <v>46</v>
      </c>
      <c r="J835" s="32" t="s">
        <v>40</v>
      </c>
      <c r="M835" s="32" t="s">
        <v>5421</v>
      </c>
      <c r="N835" s="32" t="s">
        <v>45</v>
      </c>
    </row>
    <row r="836" spans="1:14" s="32" customFormat="1" hidden="1" x14ac:dyDescent="0.3">
      <c r="A836" s="39">
        <v>46191.344641203701</v>
      </c>
      <c r="B836" s="32" t="s">
        <v>45</v>
      </c>
      <c r="C836" s="32">
        <v>4432321428</v>
      </c>
      <c r="E836" s="32">
        <v>43</v>
      </c>
      <c r="F836" s="32">
        <v>34</v>
      </c>
      <c r="G836" s="32" t="s">
        <v>38</v>
      </c>
      <c r="H836" s="32" t="s">
        <v>6253</v>
      </c>
      <c r="I836" s="32" t="s">
        <v>46</v>
      </c>
      <c r="J836" s="32" t="s">
        <v>40</v>
      </c>
      <c r="M836" s="32" t="s">
        <v>5421</v>
      </c>
      <c r="N836" s="32" t="s">
        <v>45</v>
      </c>
    </row>
    <row r="837" spans="1:14" s="32" customFormat="1" hidden="1" x14ac:dyDescent="0.3">
      <c r="A837" s="39">
        <v>46191.343877314815</v>
      </c>
      <c r="B837" s="32" t="s">
        <v>45</v>
      </c>
      <c r="C837" s="32">
        <v>4432321428</v>
      </c>
      <c r="E837" s="32">
        <v>91</v>
      </c>
      <c r="F837" s="32">
        <v>82</v>
      </c>
      <c r="G837" s="32" t="s">
        <v>38</v>
      </c>
      <c r="H837" s="32" t="s">
        <v>6254</v>
      </c>
      <c r="I837" s="32" t="s">
        <v>46</v>
      </c>
      <c r="J837" s="32" t="s">
        <v>40</v>
      </c>
      <c r="M837" s="32" t="s">
        <v>5421</v>
      </c>
      <c r="N837" s="32" t="s">
        <v>45</v>
      </c>
    </row>
    <row r="838" spans="1:14" s="32" customFormat="1" hidden="1" x14ac:dyDescent="0.3">
      <c r="A838" s="39">
        <v>46191.338541666664</v>
      </c>
      <c r="B838" s="32" t="s">
        <v>48</v>
      </c>
      <c r="C838" s="32">
        <v>44999743444</v>
      </c>
      <c r="E838" s="32">
        <v>40</v>
      </c>
      <c r="F838" s="32">
        <v>29</v>
      </c>
      <c r="G838" s="32" t="s">
        <v>38</v>
      </c>
      <c r="H838" s="32" t="s">
        <v>6255</v>
      </c>
      <c r="I838" s="32" t="s">
        <v>46</v>
      </c>
      <c r="J838" s="32" t="s">
        <v>40</v>
      </c>
      <c r="M838" s="32" t="s">
        <v>5412</v>
      </c>
      <c r="N838" s="32" t="s">
        <v>48</v>
      </c>
    </row>
    <row r="839" spans="1:14" s="32" customFormat="1" hidden="1" x14ac:dyDescent="0.3">
      <c r="A839" s="39">
        <v>46190.740127314813</v>
      </c>
      <c r="B839" s="32">
        <v>41992013248</v>
      </c>
      <c r="C839" s="32">
        <v>4430265054</v>
      </c>
      <c r="D839" s="32">
        <v>4430265054</v>
      </c>
      <c r="E839" s="32">
        <v>102</v>
      </c>
      <c r="F839" s="32">
        <v>101</v>
      </c>
      <c r="G839" s="32" t="s">
        <v>52</v>
      </c>
      <c r="H839" s="32" t="s">
        <v>6256</v>
      </c>
      <c r="I839" s="32" t="s">
        <v>39</v>
      </c>
      <c r="J839" s="32" t="s">
        <v>53</v>
      </c>
      <c r="K839" s="32" t="s">
        <v>41</v>
      </c>
    </row>
    <row r="840" spans="1:14" s="32" customFormat="1" hidden="1" x14ac:dyDescent="0.3">
      <c r="A840" s="39">
        <v>46190.735983796294</v>
      </c>
      <c r="B840" s="32" t="s">
        <v>37</v>
      </c>
      <c r="C840" s="32">
        <v>44997710633</v>
      </c>
      <c r="E840" s="32">
        <v>15</v>
      </c>
      <c r="F840" s="32">
        <v>0</v>
      </c>
      <c r="G840" s="32" t="s">
        <v>47</v>
      </c>
      <c r="H840" s="32" t="s">
        <v>6257</v>
      </c>
      <c r="I840" s="32" t="s">
        <v>46</v>
      </c>
      <c r="J840" s="32" t="s">
        <v>40</v>
      </c>
      <c r="M840" s="32" t="s">
        <v>5410</v>
      </c>
      <c r="N840" s="32" t="s">
        <v>37</v>
      </c>
    </row>
    <row r="841" spans="1:14" s="32" customFormat="1" hidden="1" x14ac:dyDescent="0.3">
      <c r="A841" s="39">
        <v>46190.732824074075</v>
      </c>
      <c r="B841" s="32" t="s">
        <v>37</v>
      </c>
      <c r="C841" s="32">
        <v>44997710633</v>
      </c>
      <c r="E841" s="32">
        <v>13</v>
      </c>
      <c r="F841" s="32">
        <v>0</v>
      </c>
      <c r="G841" s="32" t="s">
        <v>47</v>
      </c>
      <c r="H841" s="32" t="s">
        <v>6258</v>
      </c>
      <c r="I841" s="32" t="s">
        <v>46</v>
      </c>
      <c r="J841" s="32" t="s">
        <v>40</v>
      </c>
      <c r="M841" s="32" t="s">
        <v>5410</v>
      </c>
      <c r="N841" s="32" t="s">
        <v>37</v>
      </c>
    </row>
    <row r="842" spans="1:14" s="32" customFormat="1" hidden="1" x14ac:dyDescent="0.3">
      <c r="A842" s="39">
        <v>46190.731863425928</v>
      </c>
      <c r="B842" s="32" t="s">
        <v>37</v>
      </c>
      <c r="C842" s="32">
        <v>44997710633</v>
      </c>
      <c r="E842" s="32">
        <v>18</v>
      </c>
      <c r="F842" s="32">
        <v>0</v>
      </c>
      <c r="G842" s="32" t="s">
        <v>47</v>
      </c>
      <c r="H842" s="32" t="s">
        <v>6259</v>
      </c>
      <c r="I842" s="32" t="s">
        <v>46</v>
      </c>
      <c r="J842" s="32" t="s">
        <v>40</v>
      </c>
      <c r="M842" s="32" t="s">
        <v>5410</v>
      </c>
      <c r="N842" s="32" t="s">
        <v>37</v>
      </c>
    </row>
    <row r="843" spans="1:14" s="32" customFormat="1" hidden="1" x14ac:dyDescent="0.3">
      <c r="A843" s="39">
        <v>46190.731041666666</v>
      </c>
      <c r="B843" s="32">
        <v>44999903759</v>
      </c>
      <c r="C843" s="32" t="s">
        <v>48</v>
      </c>
      <c r="D843" s="32">
        <v>4430265054</v>
      </c>
      <c r="E843" s="32">
        <v>715</v>
      </c>
      <c r="F843" s="32">
        <v>715</v>
      </c>
      <c r="G843" s="32" t="s">
        <v>38</v>
      </c>
      <c r="H843" s="32" t="s">
        <v>6260</v>
      </c>
      <c r="I843" s="32" t="s">
        <v>39</v>
      </c>
      <c r="J843" s="32" t="s">
        <v>40</v>
      </c>
      <c r="K843" s="32" t="s">
        <v>41</v>
      </c>
      <c r="L843" s="32">
        <v>5</v>
      </c>
      <c r="M843" s="32" t="s">
        <v>5412</v>
      </c>
      <c r="N843" s="32" t="s">
        <v>48</v>
      </c>
    </row>
    <row r="844" spans="1:14" s="32" customFormat="1" hidden="1" x14ac:dyDescent="0.3">
      <c r="A844" s="39">
        <v>46190.728958333333</v>
      </c>
      <c r="B844" s="32">
        <v>44999903759</v>
      </c>
      <c r="C844" s="32" t="s">
        <v>37</v>
      </c>
      <c r="D844" s="32">
        <v>4430265054</v>
      </c>
      <c r="E844" s="32">
        <v>174</v>
      </c>
      <c r="F844" s="32">
        <v>37</v>
      </c>
      <c r="G844" s="32" t="s">
        <v>38</v>
      </c>
      <c r="H844" s="32" t="s">
        <v>6261</v>
      </c>
      <c r="I844" s="32" t="s">
        <v>39</v>
      </c>
      <c r="J844" s="32" t="s">
        <v>40</v>
      </c>
      <c r="K844" s="32" t="s">
        <v>41</v>
      </c>
      <c r="M844" s="32" t="s">
        <v>5410</v>
      </c>
      <c r="N844" s="32" t="s">
        <v>37</v>
      </c>
    </row>
    <row r="845" spans="1:14" s="32" customFormat="1" hidden="1" x14ac:dyDescent="0.3">
      <c r="A845" s="39">
        <v>46190.728032407409</v>
      </c>
      <c r="B845" s="32">
        <v>44999903759</v>
      </c>
      <c r="C845" s="32">
        <v>4430265054</v>
      </c>
      <c r="D845" s="32">
        <v>4430265054</v>
      </c>
      <c r="E845" s="32">
        <v>3</v>
      </c>
      <c r="F845" s="32">
        <v>2</v>
      </c>
      <c r="G845" s="32" t="s">
        <v>52</v>
      </c>
      <c r="H845" s="32" t="s">
        <v>6262</v>
      </c>
      <c r="I845" s="32" t="s">
        <v>39</v>
      </c>
      <c r="J845" s="32" t="s">
        <v>53</v>
      </c>
    </row>
    <row r="846" spans="1:14" s="32" customFormat="1" hidden="1" x14ac:dyDescent="0.3">
      <c r="A846" s="39">
        <v>46190.727766203701</v>
      </c>
      <c r="B846" s="32" t="s">
        <v>37</v>
      </c>
      <c r="C846" s="32">
        <v>44997710633</v>
      </c>
      <c r="E846" s="32">
        <v>20</v>
      </c>
      <c r="F846" s="32">
        <v>0</v>
      </c>
      <c r="G846" s="32" t="s">
        <v>47</v>
      </c>
      <c r="H846" s="32" t="s">
        <v>6263</v>
      </c>
      <c r="I846" s="32" t="s">
        <v>46</v>
      </c>
      <c r="J846" s="32" t="s">
        <v>40</v>
      </c>
      <c r="M846" s="32" t="s">
        <v>5410</v>
      </c>
      <c r="N846" s="32" t="s">
        <v>37</v>
      </c>
    </row>
    <row r="847" spans="1:14" s="32" customFormat="1" hidden="1" x14ac:dyDescent="0.3">
      <c r="A847" s="39">
        <v>46190.725439814814</v>
      </c>
      <c r="B847" s="32" t="s">
        <v>45</v>
      </c>
      <c r="C847" s="32">
        <v>4432321428</v>
      </c>
      <c r="E847" s="32">
        <v>126</v>
      </c>
      <c r="F847" s="32">
        <v>117</v>
      </c>
      <c r="G847" s="32" t="s">
        <v>38</v>
      </c>
      <c r="H847" s="32" t="s">
        <v>6264</v>
      </c>
      <c r="I847" s="32" t="s">
        <v>46</v>
      </c>
      <c r="J847" s="32" t="s">
        <v>40</v>
      </c>
      <c r="M847" s="32" t="s">
        <v>5421</v>
      </c>
      <c r="N847" s="32" t="s">
        <v>45</v>
      </c>
    </row>
    <row r="848" spans="1:14" s="32" customFormat="1" hidden="1" x14ac:dyDescent="0.3">
      <c r="A848" s="39">
        <v>46190.724965277775</v>
      </c>
      <c r="B848" s="32" t="s">
        <v>45</v>
      </c>
      <c r="C848" s="32">
        <v>4432321428</v>
      </c>
      <c r="E848" s="32">
        <v>67</v>
      </c>
      <c r="F848" s="32">
        <v>58</v>
      </c>
      <c r="G848" s="32" t="s">
        <v>38</v>
      </c>
      <c r="H848" s="32" t="s">
        <v>6265</v>
      </c>
      <c r="I848" s="32" t="s">
        <v>46</v>
      </c>
      <c r="J848" s="32" t="s">
        <v>40</v>
      </c>
      <c r="M848" s="32" t="s">
        <v>5421</v>
      </c>
      <c r="N848" s="32" t="s">
        <v>45</v>
      </c>
    </row>
    <row r="849" spans="1:14" s="32" customFormat="1" hidden="1" x14ac:dyDescent="0.3">
      <c r="A849" s="39">
        <v>46190.716377314813</v>
      </c>
      <c r="B849" s="32">
        <v>43984996095</v>
      </c>
      <c r="C849" s="32" t="s">
        <v>45</v>
      </c>
      <c r="D849" s="32">
        <v>4430265054</v>
      </c>
      <c r="E849" s="32">
        <v>467</v>
      </c>
      <c r="F849" s="32">
        <v>329</v>
      </c>
      <c r="G849" s="32" t="s">
        <v>38</v>
      </c>
      <c r="H849" s="32" t="s">
        <v>6266</v>
      </c>
      <c r="I849" s="32" t="s">
        <v>39</v>
      </c>
      <c r="J849" s="32" t="s">
        <v>40</v>
      </c>
      <c r="K849" s="32" t="s">
        <v>41</v>
      </c>
      <c r="M849" s="32" t="s">
        <v>5421</v>
      </c>
      <c r="N849" s="32" t="s">
        <v>45</v>
      </c>
    </row>
    <row r="850" spans="1:14" s="32" customFormat="1" hidden="1" x14ac:dyDescent="0.3">
      <c r="A850" s="39">
        <v>46190.716006944444</v>
      </c>
      <c r="B850" s="32">
        <v>43999829064</v>
      </c>
      <c r="C850" s="32">
        <v>4430265054</v>
      </c>
      <c r="D850" s="32">
        <v>4430265054</v>
      </c>
      <c r="E850" s="32">
        <v>25</v>
      </c>
      <c r="F850" s="32">
        <v>25</v>
      </c>
      <c r="G850" s="32" t="s">
        <v>52</v>
      </c>
      <c r="H850" s="32" t="s">
        <v>6267</v>
      </c>
      <c r="I850" s="32" t="s">
        <v>39</v>
      </c>
      <c r="J850" s="32" t="s">
        <v>53</v>
      </c>
    </row>
    <row r="851" spans="1:14" s="32" customFormat="1" hidden="1" x14ac:dyDescent="0.3">
      <c r="A851" s="39">
        <v>46190.713067129633</v>
      </c>
      <c r="B851" s="32">
        <v>44997710633</v>
      </c>
      <c r="C851" s="32" t="s">
        <v>37</v>
      </c>
      <c r="D851" s="32">
        <v>4430265054</v>
      </c>
      <c r="E851" s="32">
        <v>1180</v>
      </c>
      <c r="F851" s="32">
        <v>1002</v>
      </c>
      <c r="G851" s="32" t="s">
        <v>38</v>
      </c>
      <c r="H851" s="32" t="s">
        <v>6268</v>
      </c>
      <c r="I851" s="32" t="s">
        <v>39</v>
      </c>
      <c r="J851" s="32" t="s">
        <v>40</v>
      </c>
      <c r="K851" s="32" t="s">
        <v>41</v>
      </c>
      <c r="M851" s="32" t="s">
        <v>5410</v>
      </c>
      <c r="N851" s="32" t="s">
        <v>37</v>
      </c>
    </row>
    <row r="852" spans="1:14" s="32" customFormat="1" hidden="1" x14ac:dyDescent="0.3">
      <c r="A852" s="39">
        <v>46190.709699074076</v>
      </c>
      <c r="B852" s="32">
        <v>44999844110</v>
      </c>
      <c r="C852" s="32" t="s">
        <v>44</v>
      </c>
      <c r="D852" s="32">
        <v>4430265054</v>
      </c>
      <c r="E852" s="32">
        <v>1034</v>
      </c>
      <c r="F852" s="32">
        <v>999</v>
      </c>
      <c r="G852" s="32" t="s">
        <v>38</v>
      </c>
      <c r="H852" s="32" t="s">
        <v>6269</v>
      </c>
      <c r="I852" s="32" t="s">
        <v>39</v>
      </c>
      <c r="J852" s="32" t="s">
        <v>40</v>
      </c>
      <c r="K852" s="32" t="s">
        <v>41</v>
      </c>
      <c r="L852" s="32">
        <v>5</v>
      </c>
      <c r="M852" s="32" t="s">
        <v>5416</v>
      </c>
      <c r="N852" s="32" t="s">
        <v>44</v>
      </c>
    </row>
    <row r="853" spans="1:14" s="32" customFormat="1" hidden="1" x14ac:dyDescent="0.3">
      <c r="A853" s="39">
        <v>46190.709409722222</v>
      </c>
      <c r="B853" s="32">
        <v>44997134514</v>
      </c>
      <c r="C853" s="32">
        <v>4431268225</v>
      </c>
      <c r="D853" s="32">
        <v>4431268225</v>
      </c>
      <c r="E853" s="32">
        <v>6</v>
      </c>
      <c r="F853" s="32">
        <v>6</v>
      </c>
      <c r="G853" s="32" t="s">
        <v>52</v>
      </c>
      <c r="H853" s="32" t="s">
        <v>6270</v>
      </c>
      <c r="I853" s="32" t="s">
        <v>39</v>
      </c>
      <c r="J853" s="32" t="s">
        <v>53</v>
      </c>
    </row>
    <row r="854" spans="1:14" s="32" customFormat="1" hidden="1" x14ac:dyDescent="0.3">
      <c r="A854" s="39">
        <v>46190.707962962966</v>
      </c>
      <c r="B854" s="32">
        <v>67996356530</v>
      </c>
      <c r="C854" s="32" t="s">
        <v>57</v>
      </c>
      <c r="D854" s="32">
        <v>4430265054</v>
      </c>
      <c r="E854" s="32">
        <v>638</v>
      </c>
      <c r="F854" s="32">
        <v>612</v>
      </c>
      <c r="G854" s="32" t="s">
        <v>38</v>
      </c>
      <c r="H854" s="32" t="s">
        <v>6271</v>
      </c>
      <c r="I854" s="32" t="s">
        <v>39</v>
      </c>
      <c r="J854" s="32" t="s">
        <v>55</v>
      </c>
      <c r="K854" s="32" t="s">
        <v>49</v>
      </c>
      <c r="M854" s="32" t="s">
        <v>5456</v>
      </c>
      <c r="N854" s="32" t="s">
        <v>57</v>
      </c>
    </row>
    <row r="855" spans="1:14" s="32" customFormat="1" hidden="1" x14ac:dyDescent="0.3">
      <c r="A855" s="39">
        <v>46190.706331018519</v>
      </c>
      <c r="B855" s="32">
        <v>4432520077</v>
      </c>
      <c r="C855" s="32" t="s">
        <v>45</v>
      </c>
      <c r="D855" s="32">
        <v>4430265054</v>
      </c>
      <c r="E855" s="32">
        <v>874</v>
      </c>
      <c r="F855" s="32">
        <v>819</v>
      </c>
      <c r="G855" s="32" t="s">
        <v>38</v>
      </c>
      <c r="H855" s="32" t="s">
        <v>6272</v>
      </c>
      <c r="I855" s="32" t="s">
        <v>39</v>
      </c>
      <c r="J855" s="32" t="s">
        <v>40</v>
      </c>
      <c r="K855" s="32" t="s">
        <v>41</v>
      </c>
      <c r="M855" s="32" t="s">
        <v>5421</v>
      </c>
      <c r="N855" s="32" t="s">
        <v>45</v>
      </c>
    </row>
    <row r="856" spans="1:14" s="32" customFormat="1" x14ac:dyDescent="0.3">
      <c r="A856" s="39">
        <v>46190.704641203702</v>
      </c>
      <c r="B856" s="32" t="s">
        <v>44</v>
      </c>
      <c r="C856" s="32">
        <v>44997134514</v>
      </c>
      <c r="E856" s="32">
        <v>63</v>
      </c>
      <c r="F856" s="32">
        <v>27</v>
      </c>
      <c r="G856" s="32" t="s">
        <v>38</v>
      </c>
      <c r="H856" s="32" t="s">
        <v>6273</v>
      </c>
      <c r="I856" s="32" t="s">
        <v>46</v>
      </c>
      <c r="J856" s="32" t="s">
        <v>40</v>
      </c>
      <c r="M856" s="32" t="s">
        <v>5416</v>
      </c>
      <c r="N856" s="32" t="s">
        <v>44</v>
      </c>
    </row>
    <row r="857" spans="1:14" s="32" customFormat="1" x14ac:dyDescent="0.3">
      <c r="A857" s="39">
        <v>46190.704594907409</v>
      </c>
      <c r="B857" s="32" t="s">
        <v>44</v>
      </c>
      <c r="C857" s="32">
        <v>44997134514</v>
      </c>
      <c r="E857" s="32">
        <v>4</v>
      </c>
      <c r="F857" s="32">
        <v>0</v>
      </c>
      <c r="G857" s="32" t="s">
        <v>47</v>
      </c>
      <c r="H857" s="32" t="s">
        <v>6274</v>
      </c>
      <c r="I857" s="32" t="s">
        <v>46</v>
      </c>
      <c r="J857" s="32" t="s">
        <v>40</v>
      </c>
      <c r="M857" s="32" t="s">
        <v>5416</v>
      </c>
      <c r="N857" s="32" t="s">
        <v>44</v>
      </c>
    </row>
    <row r="858" spans="1:14" s="32" customFormat="1" hidden="1" x14ac:dyDescent="0.3">
      <c r="A858" s="39">
        <v>46190.704317129632</v>
      </c>
      <c r="B858" s="32" t="s">
        <v>45</v>
      </c>
      <c r="C858" s="32">
        <v>44999689445</v>
      </c>
      <c r="E858" s="32">
        <v>221</v>
      </c>
      <c r="F858" s="32">
        <v>212</v>
      </c>
      <c r="G858" s="32" t="s">
        <v>38</v>
      </c>
      <c r="H858" s="32" t="s">
        <v>6275</v>
      </c>
      <c r="I858" s="32" t="s">
        <v>46</v>
      </c>
      <c r="J858" s="32" t="s">
        <v>40</v>
      </c>
      <c r="M858" s="32" t="s">
        <v>5421</v>
      </c>
      <c r="N858" s="32" t="s">
        <v>45</v>
      </c>
    </row>
    <row r="859" spans="1:14" s="32" customFormat="1" hidden="1" x14ac:dyDescent="0.3">
      <c r="A859" s="39">
        <v>46190.703900462962</v>
      </c>
      <c r="B859" s="32" t="s">
        <v>45</v>
      </c>
      <c r="C859" s="32">
        <v>4436281154</v>
      </c>
      <c r="E859" s="32">
        <v>3</v>
      </c>
      <c r="F859" s="32">
        <v>0</v>
      </c>
      <c r="G859" s="32" t="s">
        <v>47</v>
      </c>
      <c r="H859" s="32" t="s">
        <v>6276</v>
      </c>
      <c r="I859" s="32" t="s">
        <v>46</v>
      </c>
      <c r="J859" s="32" t="s">
        <v>40</v>
      </c>
      <c r="M859" s="32" t="s">
        <v>5421</v>
      </c>
      <c r="N859" s="32" t="s">
        <v>45</v>
      </c>
    </row>
    <row r="860" spans="1:14" s="32" customFormat="1" hidden="1" x14ac:dyDescent="0.3">
      <c r="A860" s="39">
        <v>46190.703842592593</v>
      </c>
      <c r="B860" s="32" t="s">
        <v>45</v>
      </c>
      <c r="C860" s="32">
        <v>4436281154</v>
      </c>
      <c r="E860" s="32">
        <v>14</v>
      </c>
      <c r="F860" s="32">
        <v>13</v>
      </c>
      <c r="G860" s="32" t="s">
        <v>38</v>
      </c>
      <c r="H860" s="32" t="s">
        <v>6277</v>
      </c>
      <c r="I860" s="32" t="s">
        <v>46</v>
      </c>
      <c r="J860" s="32" t="s">
        <v>40</v>
      </c>
      <c r="M860" s="32" t="s">
        <v>5421</v>
      </c>
      <c r="N860" s="32" t="s">
        <v>45</v>
      </c>
    </row>
    <row r="861" spans="1:14" s="32" customFormat="1" hidden="1" x14ac:dyDescent="0.3">
      <c r="A861" s="39">
        <v>46190.702870370369</v>
      </c>
      <c r="B861" s="32">
        <v>14997225372</v>
      </c>
      <c r="C861" s="32" t="s">
        <v>37</v>
      </c>
      <c r="D861" s="32">
        <v>4430265054</v>
      </c>
      <c r="E861" s="32">
        <v>908</v>
      </c>
      <c r="F861" s="32">
        <v>750</v>
      </c>
      <c r="G861" s="32" t="s">
        <v>38</v>
      </c>
      <c r="H861" s="32" t="s">
        <v>6278</v>
      </c>
      <c r="I861" s="32" t="s">
        <v>39</v>
      </c>
      <c r="J861" s="32" t="s">
        <v>40</v>
      </c>
      <c r="K861" s="32" t="s">
        <v>41</v>
      </c>
      <c r="L861" s="32">
        <v>5</v>
      </c>
      <c r="M861" s="32" t="s">
        <v>5410</v>
      </c>
      <c r="N861" s="32" t="s">
        <v>37</v>
      </c>
    </row>
    <row r="862" spans="1:14" s="32" customFormat="1" hidden="1" x14ac:dyDescent="0.3">
      <c r="A862" s="39">
        <v>46190.696458333332</v>
      </c>
      <c r="B862" s="32">
        <v>4430459032</v>
      </c>
      <c r="C862" s="32" t="s">
        <v>37</v>
      </c>
      <c r="D862" s="32">
        <v>4430265054</v>
      </c>
      <c r="E862" s="32">
        <v>596</v>
      </c>
      <c r="F862" s="32">
        <v>568</v>
      </c>
      <c r="G862" s="32" t="s">
        <v>38</v>
      </c>
      <c r="H862" s="32" t="s">
        <v>6279</v>
      </c>
      <c r="I862" s="32" t="s">
        <v>39</v>
      </c>
      <c r="J862" s="32" t="s">
        <v>40</v>
      </c>
      <c r="K862" s="32" t="s">
        <v>41</v>
      </c>
      <c r="L862" s="32">
        <v>5</v>
      </c>
      <c r="M862" s="32" t="s">
        <v>5410</v>
      </c>
      <c r="N862" s="32" t="s">
        <v>37</v>
      </c>
    </row>
    <row r="863" spans="1:14" s="32" customFormat="1" x14ac:dyDescent="0.3">
      <c r="A863" s="39">
        <v>46190.695937500001</v>
      </c>
      <c r="B863" s="32" t="s">
        <v>44</v>
      </c>
      <c r="C863" s="32">
        <v>1129630984</v>
      </c>
      <c r="E863" s="32">
        <v>373</v>
      </c>
      <c r="F863" s="32">
        <v>366</v>
      </c>
      <c r="G863" s="32" t="s">
        <v>38</v>
      </c>
      <c r="H863" s="32" t="s">
        <v>6280</v>
      </c>
      <c r="I863" s="32" t="s">
        <v>46</v>
      </c>
      <c r="J863" s="32" t="s">
        <v>40</v>
      </c>
      <c r="M863" s="32" t="s">
        <v>5416</v>
      </c>
      <c r="N863" s="32" t="s">
        <v>44</v>
      </c>
    </row>
    <row r="864" spans="1:14" s="32" customFormat="1" hidden="1" x14ac:dyDescent="0.3">
      <c r="A864" s="39">
        <v>46190.694224537037</v>
      </c>
      <c r="B864" s="32">
        <v>1129630984</v>
      </c>
      <c r="C864" s="32" t="s">
        <v>44</v>
      </c>
      <c r="D864" s="32">
        <v>4430265054</v>
      </c>
      <c r="E864" s="32">
        <v>147</v>
      </c>
      <c r="F864" s="32">
        <v>57</v>
      </c>
      <c r="G864" s="32" t="s">
        <v>38</v>
      </c>
      <c r="H864" s="32" t="s">
        <v>6281</v>
      </c>
      <c r="I864" s="32" t="s">
        <v>39</v>
      </c>
      <c r="J864" s="32" t="s">
        <v>40</v>
      </c>
      <c r="K864" s="32" t="s">
        <v>41</v>
      </c>
      <c r="M864" s="32" t="s">
        <v>5416</v>
      </c>
      <c r="N864" s="32" t="s">
        <v>44</v>
      </c>
    </row>
    <row r="865" spans="1:14" s="32" customFormat="1" hidden="1" x14ac:dyDescent="0.3">
      <c r="A865" s="39">
        <v>46190.693738425929</v>
      </c>
      <c r="B865" s="32">
        <v>43984996095</v>
      </c>
      <c r="C865" s="32" t="s">
        <v>45</v>
      </c>
      <c r="D865" s="32">
        <v>4430265054</v>
      </c>
      <c r="E865" s="32">
        <v>631</v>
      </c>
      <c r="F865" s="32">
        <v>630</v>
      </c>
      <c r="G865" s="32" t="s">
        <v>38</v>
      </c>
      <c r="H865" s="32" t="s">
        <v>6282</v>
      </c>
      <c r="I865" s="32" t="s">
        <v>39</v>
      </c>
      <c r="J865" s="32" t="s">
        <v>40</v>
      </c>
      <c r="K865" s="32" t="s">
        <v>41</v>
      </c>
      <c r="M865" s="32" t="s">
        <v>5421</v>
      </c>
      <c r="N865" s="32" t="s">
        <v>45</v>
      </c>
    </row>
    <row r="866" spans="1:14" s="32" customFormat="1" hidden="1" x14ac:dyDescent="0.3">
      <c r="A866" s="39">
        <v>46190.693402777775</v>
      </c>
      <c r="B866" s="32">
        <v>43999829064</v>
      </c>
      <c r="C866" s="32">
        <v>4430265054</v>
      </c>
      <c r="D866" s="32">
        <v>4430265054</v>
      </c>
      <c r="E866" s="32">
        <v>17</v>
      </c>
      <c r="F866" s="32">
        <v>17</v>
      </c>
      <c r="G866" s="32" t="s">
        <v>52</v>
      </c>
      <c r="H866" s="32" t="s">
        <v>6283</v>
      </c>
      <c r="I866" s="32" t="s">
        <v>39</v>
      </c>
      <c r="J866" s="32" t="s">
        <v>53</v>
      </c>
    </row>
    <row r="867" spans="1:14" s="32" customFormat="1" hidden="1" x14ac:dyDescent="0.3">
      <c r="A867" s="39">
        <v>46190.68949074074</v>
      </c>
      <c r="B867" s="32" t="s">
        <v>37</v>
      </c>
      <c r="C867" s="32">
        <v>41999717893</v>
      </c>
      <c r="E867" s="32">
        <v>39</v>
      </c>
      <c r="F867" s="32">
        <v>0</v>
      </c>
      <c r="G867" s="32" t="s">
        <v>47</v>
      </c>
      <c r="H867" s="32" t="s">
        <v>6284</v>
      </c>
      <c r="I867" s="32" t="s">
        <v>46</v>
      </c>
      <c r="J867" s="32" t="s">
        <v>40</v>
      </c>
      <c r="M867" s="32" t="s">
        <v>5410</v>
      </c>
      <c r="N867" s="32" t="s">
        <v>37</v>
      </c>
    </row>
    <row r="868" spans="1:14" s="32" customFormat="1" hidden="1" x14ac:dyDescent="0.3">
      <c r="A868" s="39">
        <v>46190.688807870371</v>
      </c>
      <c r="B868" s="32" t="s">
        <v>37</v>
      </c>
      <c r="C868" s="32">
        <v>41999717893</v>
      </c>
      <c r="E868" s="32">
        <v>29</v>
      </c>
      <c r="F868" s="32">
        <v>0</v>
      </c>
      <c r="G868" s="32" t="s">
        <v>47</v>
      </c>
      <c r="H868" s="32" t="s">
        <v>6285</v>
      </c>
      <c r="I868" s="32" t="s">
        <v>46</v>
      </c>
      <c r="J868" s="32" t="s">
        <v>40</v>
      </c>
      <c r="M868" s="32" t="s">
        <v>5410</v>
      </c>
      <c r="N868" s="32" t="s">
        <v>37</v>
      </c>
    </row>
    <row r="869" spans="1:14" s="32" customFormat="1" hidden="1" x14ac:dyDescent="0.3">
      <c r="A869" s="39">
        <v>46190.683634259258</v>
      </c>
      <c r="B869" s="32">
        <v>4436372125</v>
      </c>
      <c r="C869" s="32" t="s">
        <v>48</v>
      </c>
      <c r="D869" s="32">
        <v>4430265054</v>
      </c>
      <c r="E869" s="32">
        <v>444</v>
      </c>
      <c r="F869" s="32">
        <v>443</v>
      </c>
      <c r="G869" s="32" t="s">
        <v>38</v>
      </c>
      <c r="H869" s="32" t="s">
        <v>6286</v>
      </c>
      <c r="I869" s="32" t="s">
        <v>39</v>
      </c>
      <c r="J869" s="32" t="s">
        <v>40</v>
      </c>
      <c r="K869" s="32" t="s">
        <v>41</v>
      </c>
      <c r="M869" s="32" t="s">
        <v>5412</v>
      </c>
      <c r="N869" s="32" t="s">
        <v>48</v>
      </c>
    </row>
    <row r="870" spans="1:14" s="32" customFormat="1" hidden="1" x14ac:dyDescent="0.3">
      <c r="A870" s="39">
        <v>46190.683148148149</v>
      </c>
      <c r="B870" s="32" t="s">
        <v>45</v>
      </c>
      <c r="C870" s="32">
        <v>1129630984</v>
      </c>
      <c r="E870" s="32">
        <v>583</v>
      </c>
      <c r="F870" s="32">
        <v>576</v>
      </c>
      <c r="G870" s="32" t="s">
        <v>38</v>
      </c>
      <c r="H870" s="32" t="s">
        <v>6287</v>
      </c>
      <c r="I870" s="32" t="s">
        <v>46</v>
      </c>
      <c r="J870" s="32" t="s">
        <v>40</v>
      </c>
      <c r="M870" s="32" t="s">
        <v>5421</v>
      </c>
      <c r="N870" s="32" t="s">
        <v>45</v>
      </c>
    </row>
    <row r="871" spans="1:14" s="32" customFormat="1" hidden="1" x14ac:dyDescent="0.3">
      <c r="A871" s="39">
        <v>46190.676874999997</v>
      </c>
      <c r="B871" s="32">
        <v>41997840159</v>
      </c>
      <c r="C871" s="32" t="s">
        <v>48</v>
      </c>
      <c r="D871" s="32">
        <v>4431268225</v>
      </c>
      <c r="E871" s="32">
        <v>298</v>
      </c>
      <c r="F871" s="32">
        <v>297</v>
      </c>
      <c r="G871" s="32" t="s">
        <v>38</v>
      </c>
      <c r="H871" s="32" t="s">
        <v>6288</v>
      </c>
      <c r="I871" s="32" t="s">
        <v>39</v>
      </c>
      <c r="J871" s="32" t="s">
        <v>40</v>
      </c>
      <c r="K871" s="32" t="s">
        <v>41</v>
      </c>
      <c r="M871" s="32" t="s">
        <v>5412</v>
      </c>
      <c r="N871" s="32" t="s">
        <v>48</v>
      </c>
    </row>
    <row r="872" spans="1:14" s="32" customFormat="1" hidden="1" x14ac:dyDescent="0.3">
      <c r="A872" s="39">
        <v>46190.672361111108</v>
      </c>
      <c r="B872" s="32">
        <v>1129630984</v>
      </c>
      <c r="C872" s="32" t="s">
        <v>45</v>
      </c>
      <c r="D872" s="32">
        <v>4430265054</v>
      </c>
      <c r="E872" s="32">
        <v>922</v>
      </c>
      <c r="F872" s="32">
        <v>903</v>
      </c>
      <c r="G872" s="32" t="s">
        <v>38</v>
      </c>
      <c r="H872" s="32" t="s">
        <v>6289</v>
      </c>
      <c r="I872" s="32" t="s">
        <v>39</v>
      </c>
      <c r="J872" s="32" t="s">
        <v>40</v>
      </c>
      <c r="K872" s="32" t="s">
        <v>41</v>
      </c>
      <c r="M872" s="32" t="s">
        <v>5421</v>
      </c>
      <c r="N872" s="32" t="s">
        <v>45</v>
      </c>
    </row>
    <row r="873" spans="1:14" s="32" customFormat="1" hidden="1" x14ac:dyDescent="0.3">
      <c r="A873" s="39">
        <v>46190.671817129631</v>
      </c>
      <c r="B873" s="32" t="s">
        <v>45</v>
      </c>
      <c r="C873" s="32">
        <v>1129630984</v>
      </c>
      <c r="E873" s="32">
        <v>2</v>
      </c>
      <c r="F873" s="32">
        <v>0</v>
      </c>
      <c r="G873" s="32" t="s">
        <v>47</v>
      </c>
      <c r="H873" s="32" t="s">
        <v>6290</v>
      </c>
      <c r="I873" s="32" t="s">
        <v>46</v>
      </c>
      <c r="J873" s="32" t="s">
        <v>40</v>
      </c>
      <c r="M873" s="32" t="s">
        <v>5421</v>
      </c>
      <c r="N873" s="32" t="s">
        <v>45</v>
      </c>
    </row>
    <row r="874" spans="1:14" s="32" customFormat="1" hidden="1" x14ac:dyDescent="0.3">
      <c r="A874" s="39">
        <v>46190.671574074076</v>
      </c>
      <c r="B874" s="32" t="s">
        <v>45</v>
      </c>
      <c r="C874" s="32">
        <v>1142184677</v>
      </c>
      <c r="E874" s="32">
        <v>5</v>
      </c>
      <c r="F874" s="32">
        <v>0</v>
      </c>
      <c r="G874" s="32" t="s">
        <v>47</v>
      </c>
      <c r="H874" s="32" t="s">
        <v>6291</v>
      </c>
      <c r="I874" s="32" t="s">
        <v>46</v>
      </c>
      <c r="J874" s="32" t="s">
        <v>40</v>
      </c>
      <c r="M874" s="32" t="s">
        <v>5421</v>
      </c>
      <c r="N874" s="32" t="s">
        <v>45</v>
      </c>
    </row>
    <row r="875" spans="1:14" s="32" customFormat="1" hidden="1" x14ac:dyDescent="0.3">
      <c r="A875" s="39">
        <v>46190.671273148146</v>
      </c>
      <c r="B875" s="32" t="s">
        <v>45</v>
      </c>
      <c r="C875" s="32">
        <v>1129630984</v>
      </c>
      <c r="E875" s="32">
        <v>2</v>
      </c>
      <c r="F875" s="32">
        <v>0</v>
      </c>
      <c r="G875" s="32" t="s">
        <v>47</v>
      </c>
      <c r="H875" s="32" t="s">
        <v>6292</v>
      </c>
      <c r="I875" s="32" t="s">
        <v>46</v>
      </c>
      <c r="J875" s="32" t="s">
        <v>40</v>
      </c>
      <c r="M875" s="32" t="s">
        <v>5421</v>
      </c>
      <c r="N875" s="32" t="s">
        <v>45</v>
      </c>
    </row>
    <row r="876" spans="1:14" s="32" customFormat="1" hidden="1" x14ac:dyDescent="0.3">
      <c r="A876" s="39">
        <v>46190.669930555552</v>
      </c>
      <c r="B876" s="32">
        <v>44991798896</v>
      </c>
      <c r="C876" s="32">
        <v>4430265054</v>
      </c>
      <c r="D876" s="32">
        <v>4430265054</v>
      </c>
      <c r="E876" s="32">
        <v>66</v>
      </c>
      <c r="F876" s="32">
        <v>65</v>
      </c>
      <c r="G876" s="32" t="s">
        <v>52</v>
      </c>
      <c r="H876" s="32" t="s">
        <v>6293</v>
      </c>
      <c r="I876" s="32" t="s">
        <v>39</v>
      </c>
      <c r="J876" s="32" t="s">
        <v>53</v>
      </c>
      <c r="K876" s="32" t="s">
        <v>41</v>
      </c>
    </row>
    <row r="877" spans="1:14" s="32" customFormat="1" hidden="1" x14ac:dyDescent="0.3">
      <c r="A877" s="39">
        <v>46190.668067129627</v>
      </c>
      <c r="B877" s="32">
        <v>44999743444</v>
      </c>
      <c r="C877" s="32" t="s">
        <v>48</v>
      </c>
      <c r="D877" s="32">
        <v>4430265054</v>
      </c>
      <c r="E877" s="32">
        <v>270</v>
      </c>
      <c r="F877" s="32">
        <v>224</v>
      </c>
      <c r="G877" s="32" t="s">
        <v>38</v>
      </c>
      <c r="H877" s="32" t="s">
        <v>6294</v>
      </c>
      <c r="I877" s="32" t="s">
        <v>39</v>
      </c>
      <c r="J877" s="32" t="s">
        <v>40</v>
      </c>
      <c r="K877" s="32" t="s">
        <v>41</v>
      </c>
      <c r="M877" s="32" t="s">
        <v>5412</v>
      </c>
      <c r="N877" s="32" t="s">
        <v>48</v>
      </c>
    </row>
    <row r="878" spans="1:14" s="32" customFormat="1" hidden="1" x14ac:dyDescent="0.3">
      <c r="A878" s="39">
        <v>46190.667430555557</v>
      </c>
      <c r="B878" s="32">
        <v>1129630984</v>
      </c>
      <c r="C878" s="32" t="s">
        <v>45</v>
      </c>
      <c r="D878" s="32">
        <v>4430265054</v>
      </c>
      <c r="E878" s="32">
        <v>345</v>
      </c>
      <c r="F878" s="32">
        <v>44</v>
      </c>
      <c r="G878" s="32" t="s">
        <v>38</v>
      </c>
      <c r="H878" s="32" t="s">
        <v>6295</v>
      </c>
      <c r="I878" s="32" t="s">
        <v>39</v>
      </c>
      <c r="J878" s="32" t="s">
        <v>40</v>
      </c>
      <c r="K878" s="32" t="s">
        <v>41</v>
      </c>
      <c r="M878" s="32" t="s">
        <v>5421</v>
      </c>
      <c r="N878" s="32" t="s">
        <v>45</v>
      </c>
    </row>
    <row r="879" spans="1:14" s="32" customFormat="1" hidden="1" x14ac:dyDescent="0.3">
      <c r="A879" s="39">
        <v>46190.661909722221</v>
      </c>
      <c r="B879" s="32">
        <v>18997449617</v>
      </c>
      <c r="C879" s="32" t="s">
        <v>45</v>
      </c>
      <c r="D879" s="32">
        <v>4430265054</v>
      </c>
      <c r="E879" s="32">
        <v>398</v>
      </c>
      <c r="F879" s="32">
        <v>184</v>
      </c>
      <c r="G879" s="32" t="s">
        <v>38</v>
      </c>
      <c r="H879" s="32" t="s">
        <v>6296</v>
      </c>
      <c r="I879" s="32" t="s">
        <v>39</v>
      </c>
      <c r="J879" s="32" t="s">
        <v>40</v>
      </c>
      <c r="K879" s="32" t="s">
        <v>41</v>
      </c>
      <c r="M879" s="32" t="s">
        <v>5421</v>
      </c>
      <c r="N879" s="32" t="s">
        <v>45</v>
      </c>
    </row>
    <row r="880" spans="1:14" s="32" customFormat="1" hidden="1" x14ac:dyDescent="0.3">
      <c r="A880" s="39">
        <v>46190.661793981482</v>
      </c>
      <c r="B880" s="32">
        <v>1128897100</v>
      </c>
      <c r="C880" s="32">
        <v>4430265054</v>
      </c>
      <c r="D880" s="32">
        <v>4430265054</v>
      </c>
      <c r="E880" s="32">
        <v>25</v>
      </c>
      <c r="F880" s="32">
        <v>25</v>
      </c>
      <c r="G880" s="32" t="s">
        <v>52</v>
      </c>
      <c r="H880" s="32" t="s">
        <v>6297</v>
      </c>
      <c r="I880" s="32" t="s">
        <v>39</v>
      </c>
      <c r="J880" s="32" t="s">
        <v>53</v>
      </c>
    </row>
    <row r="881" spans="1:14" s="32" customFormat="1" hidden="1" x14ac:dyDescent="0.3">
      <c r="A881" s="39">
        <v>46190.658888888887</v>
      </c>
      <c r="B881" s="32">
        <v>44997134514</v>
      </c>
      <c r="C881" s="32" t="s">
        <v>44</v>
      </c>
      <c r="D881" s="32">
        <v>4430265054</v>
      </c>
      <c r="E881" s="32">
        <v>630</v>
      </c>
      <c r="F881" s="32">
        <v>569</v>
      </c>
      <c r="G881" s="32" t="s">
        <v>38</v>
      </c>
      <c r="H881" s="32" t="s">
        <v>6298</v>
      </c>
      <c r="I881" s="32" t="s">
        <v>39</v>
      </c>
      <c r="J881" s="32" t="s">
        <v>40</v>
      </c>
      <c r="K881" s="32" t="s">
        <v>41</v>
      </c>
      <c r="M881" s="32" t="s">
        <v>5416</v>
      </c>
      <c r="N881" s="32" t="s">
        <v>44</v>
      </c>
    </row>
    <row r="882" spans="1:14" s="32" customFormat="1" hidden="1" x14ac:dyDescent="0.3">
      <c r="A882" s="39">
        <v>46190.656655092593</v>
      </c>
      <c r="B882" s="32" t="s">
        <v>37</v>
      </c>
      <c r="C882" s="32">
        <v>4431414588</v>
      </c>
      <c r="E882" s="32">
        <v>1079</v>
      </c>
      <c r="F882" s="32">
        <v>1073</v>
      </c>
      <c r="G882" s="32" t="s">
        <v>38</v>
      </c>
      <c r="H882" s="32" t="s">
        <v>6299</v>
      </c>
      <c r="I882" s="32" t="s">
        <v>46</v>
      </c>
      <c r="J882" s="32" t="s">
        <v>40</v>
      </c>
      <c r="M882" s="32" t="s">
        <v>5410</v>
      </c>
      <c r="N882" s="32" t="s">
        <v>37</v>
      </c>
    </row>
    <row r="883" spans="1:14" s="32" customFormat="1" hidden="1" x14ac:dyDescent="0.3">
      <c r="A883" s="39">
        <v>46190.656493055554</v>
      </c>
      <c r="B883" s="32" t="s">
        <v>37</v>
      </c>
      <c r="C883" s="32">
        <v>4431414588</v>
      </c>
      <c r="E883" s="32">
        <v>10</v>
      </c>
      <c r="F883" s="32">
        <v>1</v>
      </c>
      <c r="G883" s="32" t="s">
        <v>38</v>
      </c>
      <c r="H883" s="32" t="s">
        <v>6300</v>
      </c>
      <c r="I883" s="32" t="s">
        <v>46</v>
      </c>
      <c r="J883" s="32" t="s">
        <v>40</v>
      </c>
      <c r="M883" s="32" t="s">
        <v>5410</v>
      </c>
      <c r="N883" s="32" t="s">
        <v>37</v>
      </c>
    </row>
    <row r="884" spans="1:14" s="32" customFormat="1" hidden="1" x14ac:dyDescent="0.3">
      <c r="A884" s="39">
        <v>46190.641655092593</v>
      </c>
      <c r="B884" s="32" t="s">
        <v>45</v>
      </c>
      <c r="C884" s="32">
        <v>45998160883</v>
      </c>
      <c r="E884" s="32">
        <v>70</v>
      </c>
      <c r="F884" s="32">
        <v>31</v>
      </c>
      <c r="G884" s="32" t="s">
        <v>38</v>
      </c>
      <c r="H884" s="32" t="s">
        <v>6301</v>
      </c>
      <c r="I884" s="32" t="s">
        <v>46</v>
      </c>
      <c r="J884" s="32" t="s">
        <v>40</v>
      </c>
      <c r="M884" s="32" t="s">
        <v>5421</v>
      </c>
      <c r="N884" s="32" t="s">
        <v>45</v>
      </c>
    </row>
    <row r="885" spans="1:14" s="32" customFormat="1" hidden="1" x14ac:dyDescent="0.3">
      <c r="A885" s="39">
        <v>46190.639768518522</v>
      </c>
      <c r="B885" s="32">
        <v>4432321428</v>
      </c>
      <c r="C885" s="32" t="s">
        <v>37</v>
      </c>
      <c r="D885" s="32">
        <v>4430265054</v>
      </c>
      <c r="E885" s="32">
        <v>506</v>
      </c>
      <c r="F885" s="32">
        <v>409</v>
      </c>
      <c r="G885" s="32" t="s">
        <v>38</v>
      </c>
      <c r="H885" s="32" t="s">
        <v>6302</v>
      </c>
      <c r="I885" s="32" t="s">
        <v>39</v>
      </c>
      <c r="J885" s="32" t="s">
        <v>40</v>
      </c>
      <c r="K885" s="32" t="s">
        <v>41</v>
      </c>
      <c r="M885" s="32" t="s">
        <v>5410</v>
      </c>
      <c r="N885" s="32" t="s">
        <v>37</v>
      </c>
    </row>
    <row r="886" spans="1:14" s="32" customFormat="1" hidden="1" x14ac:dyDescent="0.3">
      <c r="A886" s="39">
        <v>46190.638483796298</v>
      </c>
      <c r="B886" s="32">
        <v>4432321232</v>
      </c>
      <c r="C886" s="32">
        <v>4430265054</v>
      </c>
      <c r="D886" s="32">
        <v>4430265054</v>
      </c>
      <c r="E886" s="32">
        <v>85</v>
      </c>
      <c r="F886" s="32">
        <v>85</v>
      </c>
      <c r="G886" s="32" t="s">
        <v>52</v>
      </c>
      <c r="H886" s="32" t="s">
        <v>6303</v>
      </c>
      <c r="I886" s="32" t="s">
        <v>39</v>
      </c>
      <c r="J886" s="32" t="s">
        <v>53</v>
      </c>
      <c r="K886" s="32" t="s">
        <v>41</v>
      </c>
    </row>
    <row r="887" spans="1:14" s="32" customFormat="1" hidden="1" x14ac:dyDescent="0.3">
      <c r="A887" s="39">
        <v>46190.631608796299</v>
      </c>
      <c r="B887" s="32">
        <v>44998464499</v>
      </c>
      <c r="C887" s="32" t="s">
        <v>45</v>
      </c>
      <c r="D887" s="32">
        <v>4430265054</v>
      </c>
      <c r="E887" s="32">
        <v>853</v>
      </c>
      <c r="F887" s="32">
        <v>516</v>
      </c>
      <c r="G887" s="32" t="s">
        <v>38</v>
      </c>
      <c r="H887" s="32" t="s">
        <v>6304</v>
      </c>
      <c r="I887" s="32" t="s">
        <v>39</v>
      </c>
      <c r="J887" s="32" t="s">
        <v>40</v>
      </c>
      <c r="K887" s="32" t="s">
        <v>41</v>
      </c>
      <c r="L887" s="32">
        <v>5</v>
      </c>
      <c r="M887" s="32" t="s">
        <v>5421</v>
      </c>
      <c r="N887" s="32" t="s">
        <v>45</v>
      </c>
    </row>
    <row r="888" spans="1:14" s="32" customFormat="1" hidden="1" x14ac:dyDescent="0.3">
      <c r="A888" s="39">
        <v>46190.630243055559</v>
      </c>
      <c r="B888" s="32">
        <v>44984241715</v>
      </c>
      <c r="C888" s="32" t="s">
        <v>45</v>
      </c>
      <c r="D888" s="32">
        <v>4430265054</v>
      </c>
      <c r="E888" s="32">
        <v>224</v>
      </c>
      <c r="F888" s="32">
        <v>65</v>
      </c>
      <c r="G888" s="32" t="s">
        <v>38</v>
      </c>
      <c r="H888" s="32" t="s">
        <v>6305</v>
      </c>
      <c r="I888" s="32" t="s">
        <v>39</v>
      </c>
      <c r="J888" s="32" t="s">
        <v>40</v>
      </c>
      <c r="K888" s="32" t="s">
        <v>41</v>
      </c>
      <c r="L888" s="32">
        <v>5</v>
      </c>
      <c r="M888" s="32" t="s">
        <v>5421</v>
      </c>
      <c r="N888" s="32" t="s">
        <v>45</v>
      </c>
    </row>
    <row r="889" spans="1:14" s="32" customFormat="1" hidden="1" x14ac:dyDescent="0.3">
      <c r="A889" s="39">
        <v>46190.626747685186</v>
      </c>
      <c r="B889" s="32">
        <v>44999903759</v>
      </c>
      <c r="C889" s="32" t="s">
        <v>44</v>
      </c>
      <c r="D889" s="32">
        <v>4430265054</v>
      </c>
      <c r="E889" s="32">
        <v>587</v>
      </c>
      <c r="F889" s="32">
        <v>522</v>
      </c>
      <c r="G889" s="32" t="s">
        <v>38</v>
      </c>
      <c r="H889" s="32" t="s">
        <v>6306</v>
      </c>
      <c r="I889" s="32" t="s">
        <v>39</v>
      </c>
      <c r="J889" s="32" t="s">
        <v>40</v>
      </c>
      <c r="K889" s="32" t="s">
        <v>41</v>
      </c>
      <c r="L889" s="32">
        <v>5</v>
      </c>
      <c r="M889" s="32" t="s">
        <v>5416</v>
      </c>
      <c r="N889" s="32" t="s">
        <v>44</v>
      </c>
    </row>
    <row r="890" spans="1:14" s="32" customFormat="1" hidden="1" x14ac:dyDescent="0.3">
      <c r="A890" s="39">
        <v>46190.626307870371</v>
      </c>
      <c r="B890" s="32" t="s">
        <v>45</v>
      </c>
      <c r="C890" s="32">
        <v>4432321428</v>
      </c>
      <c r="E890" s="32">
        <v>253</v>
      </c>
      <c r="F890" s="32">
        <v>244</v>
      </c>
      <c r="G890" s="32" t="s">
        <v>38</v>
      </c>
      <c r="H890" s="32" t="s">
        <v>6307</v>
      </c>
      <c r="I890" s="32" t="s">
        <v>46</v>
      </c>
      <c r="J890" s="32" t="s">
        <v>40</v>
      </c>
      <c r="M890" s="32" t="s">
        <v>5421</v>
      </c>
      <c r="N890" s="32" t="s">
        <v>45</v>
      </c>
    </row>
    <row r="891" spans="1:14" s="32" customFormat="1" hidden="1" x14ac:dyDescent="0.3">
      <c r="A891" s="39">
        <v>46190.626006944447</v>
      </c>
      <c r="B891" s="32" t="s">
        <v>45</v>
      </c>
      <c r="C891" s="32">
        <v>4432321232</v>
      </c>
      <c r="E891" s="32">
        <v>1</v>
      </c>
      <c r="F891" s="32">
        <v>0</v>
      </c>
      <c r="G891" s="32" t="s">
        <v>47</v>
      </c>
      <c r="H891" s="32" t="s">
        <v>6308</v>
      </c>
      <c r="I891" s="32" t="s">
        <v>46</v>
      </c>
      <c r="J891" s="32" t="s">
        <v>40</v>
      </c>
      <c r="M891" s="32" t="s">
        <v>5421</v>
      </c>
      <c r="N891" s="32" t="s">
        <v>45</v>
      </c>
    </row>
    <row r="892" spans="1:14" s="32" customFormat="1" hidden="1" x14ac:dyDescent="0.3">
      <c r="A892" s="39">
        <v>46190.625590277778</v>
      </c>
      <c r="B892" s="32" t="s">
        <v>45</v>
      </c>
      <c r="C892" s="32">
        <v>4432321232</v>
      </c>
      <c r="E892" s="32">
        <v>62</v>
      </c>
      <c r="F892" s="32">
        <v>53</v>
      </c>
      <c r="G892" s="32" t="s">
        <v>38</v>
      </c>
      <c r="H892" s="32" t="s">
        <v>6309</v>
      </c>
      <c r="I892" s="32" t="s">
        <v>46</v>
      </c>
      <c r="J892" s="32" t="s">
        <v>40</v>
      </c>
      <c r="M892" s="32" t="s">
        <v>5421</v>
      </c>
      <c r="N892" s="32" t="s">
        <v>45</v>
      </c>
    </row>
    <row r="893" spans="1:14" s="32" customFormat="1" hidden="1" x14ac:dyDescent="0.3">
      <c r="A893" s="39">
        <v>46190.625520833331</v>
      </c>
      <c r="B893" s="32" t="s">
        <v>45</v>
      </c>
      <c r="C893" s="32">
        <v>4432321232</v>
      </c>
      <c r="E893" s="32">
        <v>14</v>
      </c>
      <c r="F893" s="32">
        <v>14</v>
      </c>
      <c r="G893" s="32" t="s">
        <v>38</v>
      </c>
      <c r="H893" s="32" t="s">
        <v>6310</v>
      </c>
      <c r="I893" s="32" t="s">
        <v>46</v>
      </c>
      <c r="J893" s="32" t="s">
        <v>40</v>
      </c>
      <c r="M893" s="32" t="s">
        <v>5421</v>
      </c>
      <c r="N893" s="32" t="s">
        <v>45</v>
      </c>
    </row>
    <row r="894" spans="1:14" s="32" customFormat="1" x14ac:dyDescent="0.3">
      <c r="A894" s="39">
        <v>46190.601006944446</v>
      </c>
      <c r="B894" s="32" t="s">
        <v>44</v>
      </c>
      <c r="C894" s="32">
        <v>4431337559</v>
      </c>
      <c r="E894" s="32">
        <v>1611</v>
      </c>
      <c r="F894" s="32">
        <v>1599</v>
      </c>
      <c r="G894" s="32" t="s">
        <v>38</v>
      </c>
      <c r="H894" s="32" t="s">
        <v>6311</v>
      </c>
      <c r="I894" s="32" t="s">
        <v>46</v>
      </c>
      <c r="J894" s="32" t="s">
        <v>40</v>
      </c>
      <c r="M894" s="32" t="s">
        <v>5416</v>
      </c>
      <c r="N894" s="32" t="s">
        <v>44</v>
      </c>
    </row>
    <row r="895" spans="1:14" s="32" customFormat="1" x14ac:dyDescent="0.3">
      <c r="A895" s="39">
        <v>46190.600937499999</v>
      </c>
      <c r="B895" s="32" t="s">
        <v>44</v>
      </c>
      <c r="C895" s="32">
        <v>4431337559</v>
      </c>
      <c r="E895" s="32">
        <v>14</v>
      </c>
      <c r="F895" s="32">
        <v>14</v>
      </c>
      <c r="G895" s="32" t="s">
        <v>38</v>
      </c>
      <c r="H895" s="32" t="s">
        <v>6312</v>
      </c>
      <c r="I895" s="32" t="s">
        <v>46</v>
      </c>
      <c r="J895" s="32" t="s">
        <v>40</v>
      </c>
      <c r="M895" s="32" t="s">
        <v>5416</v>
      </c>
      <c r="N895" s="32" t="s">
        <v>44</v>
      </c>
    </row>
    <row r="896" spans="1:14" s="32" customFormat="1" hidden="1" x14ac:dyDescent="0.3">
      <c r="A896" s="39">
        <v>46190.594895833332</v>
      </c>
      <c r="B896" s="32">
        <v>43984996095</v>
      </c>
      <c r="C896" s="32" t="s">
        <v>37</v>
      </c>
      <c r="D896" s="32">
        <v>4430265054</v>
      </c>
      <c r="E896" s="32">
        <v>126</v>
      </c>
      <c r="F896" s="32">
        <v>53</v>
      </c>
      <c r="G896" s="32" t="s">
        <v>38</v>
      </c>
      <c r="H896" s="32" t="s">
        <v>6313</v>
      </c>
      <c r="I896" s="32" t="s">
        <v>39</v>
      </c>
      <c r="J896" s="32" t="s">
        <v>40</v>
      </c>
      <c r="K896" s="32" t="s">
        <v>41</v>
      </c>
      <c r="M896" s="32" t="s">
        <v>5410</v>
      </c>
      <c r="N896" s="32" t="s">
        <v>37</v>
      </c>
    </row>
    <row r="897" spans="1:14" s="32" customFormat="1" hidden="1" x14ac:dyDescent="0.3">
      <c r="A897" s="39">
        <v>46190.594571759262</v>
      </c>
      <c r="B897" s="32">
        <v>43999829064</v>
      </c>
      <c r="C897" s="32">
        <v>4430265054</v>
      </c>
      <c r="D897" s="32">
        <v>4430265054</v>
      </c>
      <c r="E897" s="32">
        <v>17</v>
      </c>
      <c r="F897" s="32">
        <v>17</v>
      </c>
      <c r="G897" s="32" t="s">
        <v>52</v>
      </c>
      <c r="H897" s="32" t="s">
        <v>6314</v>
      </c>
      <c r="I897" s="32" t="s">
        <v>39</v>
      </c>
      <c r="J897" s="32" t="s">
        <v>53</v>
      </c>
    </row>
    <row r="898" spans="1:14" s="32" customFormat="1" hidden="1" x14ac:dyDescent="0.3">
      <c r="A898" s="39">
        <v>46190.587939814817</v>
      </c>
      <c r="B898" s="32">
        <v>44997650834</v>
      </c>
      <c r="C898" s="32" t="s">
        <v>37</v>
      </c>
      <c r="D898" s="32">
        <v>4430265054</v>
      </c>
      <c r="E898" s="32">
        <v>269</v>
      </c>
      <c r="F898" s="32">
        <v>186</v>
      </c>
      <c r="G898" s="32" t="s">
        <v>38</v>
      </c>
      <c r="H898" s="32" t="s">
        <v>6315</v>
      </c>
      <c r="I898" s="32" t="s">
        <v>39</v>
      </c>
      <c r="J898" s="32" t="s">
        <v>40</v>
      </c>
      <c r="K898" s="32" t="s">
        <v>41</v>
      </c>
      <c r="L898" s="32">
        <v>5</v>
      </c>
      <c r="M898" s="32" t="s">
        <v>5410</v>
      </c>
      <c r="N898" s="32" t="s">
        <v>37</v>
      </c>
    </row>
    <row r="899" spans="1:14" s="32" customFormat="1" hidden="1" x14ac:dyDescent="0.3">
      <c r="A899" s="39">
        <v>46190.578692129631</v>
      </c>
      <c r="B899" s="32">
        <v>4431337559</v>
      </c>
      <c r="C899" s="32" t="s">
        <v>37</v>
      </c>
      <c r="D899" s="32">
        <v>4430265054</v>
      </c>
      <c r="E899" s="32">
        <v>203</v>
      </c>
      <c r="F899" s="32">
        <v>44</v>
      </c>
      <c r="G899" s="32" t="s">
        <v>38</v>
      </c>
      <c r="H899" s="32" t="s">
        <v>6316</v>
      </c>
      <c r="I899" s="32" t="s">
        <v>39</v>
      </c>
      <c r="J899" s="32" t="s">
        <v>40</v>
      </c>
      <c r="K899" s="32" t="s">
        <v>41</v>
      </c>
      <c r="M899" s="32" t="s">
        <v>5410</v>
      </c>
      <c r="N899" s="32" t="s">
        <v>37</v>
      </c>
    </row>
    <row r="900" spans="1:14" s="32" customFormat="1" hidden="1" x14ac:dyDescent="0.3">
      <c r="A900" s="39">
        <v>46190.578680555554</v>
      </c>
      <c r="B900" s="32">
        <v>4432321232</v>
      </c>
      <c r="C900" s="32" t="s">
        <v>45</v>
      </c>
      <c r="D900" s="32">
        <v>4430265054</v>
      </c>
      <c r="E900" s="32">
        <v>3692</v>
      </c>
      <c r="F900" s="32">
        <v>3514</v>
      </c>
      <c r="G900" s="32" t="s">
        <v>38</v>
      </c>
      <c r="H900" s="32" t="s">
        <v>6317</v>
      </c>
      <c r="I900" s="32" t="s">
        <v>39</v>
      </c>
      <c r="J900" s="32" t="s">
        <v>40</v>
      </c>
      <c r="K900" s="32" t="s">
        <v>41</v>
      </c>
      <c r="M900" s="32" t="s">
        <v>5421</v>
      </c>
      <c r="N900" s="32" t="s">
        <v>45</v>
      </c>
    </row>
    <row r="901" spans="1:14" s="32" customFormat="1" hidden="1" x14ac:dyDescent="0.3">
      <c r="A901" s="39">
        <v>46190.577615740738</v>
      </c>
      <c r="B901" s="32">
        <v>4432321371</v>
      </c>
      <c r="C901" s="32">
        <v>4430265054</v>
      </c>
      <c r="D901" s="32">
        <v>4430265054</v>
      </c>
      <c r="E901" s="32">
        <v>54</v>
      </c>
      <c r="F901" s="32">
        <v>54</v>
      </c>
      <c r="G901" s="32" t="s">
        <v>52</v>
      </c>
      <c r="H901" s="32" t="s">
        <v>6318</v>
      </c>
      <c r="I901" s="32" t="s">
        <v>39</v>
      </c>
      <c r="J901" s="32" t="s">
        <v>53</v>
      </c>
      <c r="K901" s="32" t="s">
        <v>41</v>
      </c>
    </row>
    <row r="902" spans="1:14" s="32" customFormat="1" hidden="1" x14ac:dyDescent="0.3">
      <c r="A902" s="39">
        <v>46190.575289351851</v>
      </c>
      <c r="B902" s="32">
        <v>4430468268</v>
      </c>
      <c r="C902" s="32" t="s">
        <v>44</v>
      </c>
      <c r="D902" s="32">
        <v>4430265054</v>
      </c>
      <c r="E902" s="32">
        <v>941</v>
      </c>
      <c r="F902" s="32">
        <v>912</v>
      </c>
      <c r="G902" s="32" t="s">
        <v>38</v>
      </c>
      <c r="H902" s="32" t="s">
        <v>6319</v>
      </c>
      <c r="I902" s="32" t="s">
        <v>39</v>
      </c>
      <c r="J902" s="32" t="s">
        <v>40</v>
      </c>
      <c r="K902" s="32" t="s">
        <v>41</v>
      </c>
      <c r="L902" s="32">
        <v>5</v>
      </c>
      <c r="M902" s="32" t="s">
        <v>5416</v>
      </c>
      <c r="N902" s="32" t="s">
        <v>44</v>
      </c>
    </row>
    <row r="903" spans="1:14" s="32" customFormat="1" hidden="1" x14ac:dyDescent="0.3">
      <c r="A903" s="39">
        <v>46190.569537037038</v>
      </c>
      <c r="B903" s="32">
        <v>44999917849</v>
      </c>
      <c r="C903" s="32" t="s">
        <v>45</v>
      </c>
      <c r="D903" s="32">
        <v>4430265054</v>
      </c>
      <c r="E903" s="32">
        <v>653</v>
      </c>
      <c r="F903" s="32">
        <v>609</v>
      </c>
      <c r="G903" s="32" t="s">
        <v>38</v>
      </c>
      <c r="H903" s="32" t="s">
        <v>6320</v>
      </c>
      <c r="I903" s="32" t="s">
        <v>39</v>
      </c>
      <c r="J903" s="32" t="s">
        <v>40</v>
      </c>
      <c r="K903" s="32" t="s">
        <v>41</v>
      </c>
      <c r="L903" s="32">
        <v>5</v>
      </c>
      <c r="M903" s="32" t="s">
        <v>5421</v>
      </c>
      <c r="N903" s="32" t="s">
        <v>45</v>
      </c>
    </row>
    <row r="904" spans="1:14" s="32" customFormat="1" hidden="1" x14ac:dyDescent="0.3">
      <c r="A904" s="39">
        <v>46190.569027777776</v>
      </c>
      <c r="B904" s="32">
        <v>1143744993</v>
      </c>
      <c r="C904" s="32" t="s">
        <v>48</v>
      </c>
      <c r="D904" s="32">
        <v>4431268225</v>
      </c>
      <c r="E904" s="32">
        <v>412</v>
      </c>
      <c r="F904" s="32">
        <v>336</v>
      </c>
      <c r="G904" s="32" t="s">
        <v>38</v>
      </c>
      <c r="H904" s="32" t="s">
        <v>6321</v>
      </c>
      <c r="I904" s="32" t="s">
        <v>39</v>
      </c>
      <c r="J904" s="32" t="s">
        <v>40</v>
      </c>
      <c r="K904" s="32" t="s">
        <v>41</v>
      </c>
      <c r="M904" s="32" t="s">
        <v>5412</v>
      </c>
      <c r="N904" s="32" t="s">
        <v>48</v>
      </c>
    </row>
    <row r="905" spans="1:14" s="32" customFormat="1" hidden="1" x14ac:dyDescent="0.3">
      <c r="A905" s="39">
        <v>46190.56832175926</v>
      </c>
      <c r="B905" s="32">
        <v>44997400641</v>
      </c>
      <c r="C905" s="32" t="s">
        <v>37</v>
      </c>
      <c r="D905" s="32">
        <v>4430265054</v>
      </c>
      <c r="E905" s="32">
        <v>788</v>
      </c>
      <c r="F905" s="32">
        <v>667</v>
      </c>
      <c r="G905" s="32" t="s">
        <v>38</v>
      </c>
      <c r="H905" s="32" t="s">
        <v>6322</v>
      </c>
      <c r="I905" s="32" t="s">
        <v>39</v>
      </c>
      <c r="J905" s="32" t="s">
        <v>40</v>
      </c>
      <c r="K905" s="32" t="s">
        <v>41</v>
      </c>
      <c r="M905" s="32" t="s">
        <v>5410</v>
      </c>
      <c r="N905" s="32" t="s">
        <v>37</v>
      </c>
    </row>
    <row r="906" spans="1:14" s="32" customFormat="1" hidden="1" x14ac:dyDescent="0.3">
      <c r="A906" s="39">
        <v>46190.563136574077</v>
      </c>
      <c r="B906" s="32" t="s">
        <v>45</v>
      </c>
      <c r="C906" s="32">
        <v>45998160883</v>
      </c>
      <c r="E906" s="32">
        <v>39</v>
      </c>
      <c r="F906" s="32">
        <v>0</v>
      </c>
      <c r="G906" s="32" t="s">
        <v>47</v>
      </c>
      <c r="H906" s="32" t="s">
        <v>6323</v>
      </c>
      <c r="I906" s="32" t="s">
        <v>46</v>
      </c>
      <c r="J906" s="32" t="s">
        <v>40</v>
      </c>
      <c r="M906" s="32" t="s">
        <v>5421</v>
      </c>
      <c r="N906" s="32" t="s">
        <v>45</v>
      </c>
    </row>
    <row r="907" spans="1:14" s="32" customFormat="1" hidden="1" x14ac:dyDescent="0.3">
      <c r="A907" s="39">
        <v>46190.485763888886</v>
      </c>
      <c r="B907" s="32" t="s">
        <v>37</v>
      </c>
      <c r="C907" s="32">
        <v>4431414588</v>
      </c>
      <c r="E907" s="32">
        <v>38</v>
      </c>
      <c r="F907" s="32">
        <v>0</v>
      </c>
      <c r="G907" s="32" t="s">
        <v>47</v>
      </c>
      <c r="H907" s="32" t="s">
        <v>6324</v>
      </c>
      <c r="I907" s="32" t="s">
        <v>46</v>
      </c>
      <c r="J907" s="32" t="s">
        <v>40</v>
      </c>
      <c r="M907" s="32" t="s">
        <v>5410</v>
      </c>
      <c r="N907" s="32" t="s">
        <v>37</v>
      </c>
    </row>
    <row r="908" spans="1:14" s="32" customFormat="1" hidden="1" x14ac:dyDescent="0.3">
      <c r="A908" s="39">
        <v>46190.484918981485</v>
      </c>
      <c r="B908" s="32" t="s">
        <v>37</v>
      </c>
      <c r="C908" s="32">
        <v>4431414588</v>
      </c>
      <c r="E908" s="32">
        <v>67</v>
      </c>
      <c r="F908" s="32">
        <v>0</v>
      </c>
      <c r="G908" s="32" t="s">
        <v>47</v>
      </c>
      <c r="H908" s="32" t="s">
        <v>6325</v>
      </c>
      <c r="I908" s="32" t="s">
        <v>46</v>
      </c>
      <c r="J908" s="32" t="s">
        <v>40</v>
      </c>
      <c r="M908" s="32" t="s">
        <v>5410</v>
      </c>
      <c r="N908" s="32" t="s">
        <v>37</v>
      </c>
    </row>
    <row r="909" spans="1:14" s="32" customFormat="1" hidden="1" x14ac:dyDescent="0.3">
      <c r="A909" s="39">
        <v>46190.484571759262</v>
      </c>
      <c r="B909" s="32" t="s">
        <v>37</v>
      </c>
      <c r="C909" s="32">
        <v>4430451715</v>
      </c>
      <c r="E909" s="32">
        <v>26</v>
      </c>
      <c r="F909" s="32">
        <v>0</v>
      </c>
      <c r="G909" s="32" t="s">
        <v>47</v>
      </c>
      <c r="H909" s="32" t="s">
        <v>6326</v>
      </c>
      <c r="I909" s="32" t="s">
        <v>46</v>
      </c>
      <c r="J909" s="32" t="s">
        <v>40</v>
      </c>
      <c r="M909" s="32" t="s">
        <v>5410</v>
      </c>
      <c r="N909" s="32" t="s">
        <v>37</v>
      </c>
    </row>
    <row r="910" spans="1:14" s="32" customFormat="1" hidden="1" x14ac:dyDescent="0.3">
      <c r="A910" s="39">
        <v>46190.477708333332</v>
      </c>
      <c r="B910" s="32" t="s">
        <v>48</v>
      </c>
      <c r="C910" s="32">
        <v>4435222047</v>
      </c>
      <c r="E910" s="32">
        <v>5</v>
      </c>
      <c r="F910" s="32">
        <v>0</v>
      </c>
      <c r="G910" s="32" t="s">
        <v>47</v>
      </c>
      <c r="H910" s="32" t="s">
        <v>6327</v>
      </c>
      <c r="I910" s="32" t="s">
        <v>46</v>
      </c>
      <c r="J910" s="32" t="s">
        <v>40</v>
      </c>
      <c r="M910" s="32" t="s">
        <v>5412</v>
      </c>
      <c r="N910" s="32" t="s">
        <v>48</v>
      </c>
    </row>
    <row r="911" spans="1:14" s="32" customFormat="1" hidden="1" x14ac:dyDescent="0.3">
      <c r="A911" s="39">
        <v>46190.471087962964</v>
      </c>
      <c r="B911" s="32">
        <v>4431337559</v>
      </c>
      <c r="C911" s="32" t="s">
        <v>44</v>
      </c>
      <c r="D911" s="32">
        <v>4430265054</v>
      </c>
      <c r="E911" s="32">
        <v>1459</v>
      </c>
      <c r="F911" s="32">
        <v>1405</v>
      </c>
      <c r="G911" s="32" t="s">
        <v>38</v>
      </c>
      <c r="H911" s="32" t="s">
        <v>6328</v>
      </c>
      <c r="I911" s="32" t="s">
        <v>39</v>
      </c>
      <c r="J911" s="32" t="s">
        <v>40</v>
      </c>
      <c r="K911" s="32" t="s">
        <v>41</v>
      </c>
      <c r="M911" s="32" t="s">
        <v>5416</v>
      </c>
      <c r="N911" s="32" t="s">
        <v>44</v>
      </c>
    </row>
    <row r="912" spans="1:14" s="32" customFormat="1" hidden="1" x14ac:dyDescent="0.3">
      <c r="A912" s="39">
        <v>46190.455138888887</v>
      </c>
      <c r="B912" s="32">
        <v>4432325260</v>
      </c>
      <c r="C912" s="32" t="s">
        <v>48</v>
      </c>
      <c r="D912" s="32">
        <v>4430265054</v>
      </c>
      <c r="E912" s="32">
        <v>127</v>
      </c>
      <c r="F912" s="32">
        <v>55</v>
      </c>
      <c r="G912" s="32" t="s">
        <v>38</v>
      </c>
      <c r="H912" s="32" t="s">
        <v>6329</v>
      </c>
      <c r="I912" s="32" t="s">
        <v>39</v>
      </c>
      <c r="J912" s="32" t="s">
        <v>40</v>
      </c>
      <c r="K912" s="32" t="s">
        <v>41</v>
      </c>
      <c r="M912" s="32" t="s">
        <v>5412</v>
      </c>
      <c r="N912" s="32" t="s">
        <v>48</v>
      </c>
    </row>
    <row r="913" spans="1:14" s="32" customFormat="1" hidden="1" x14ac:dyDescent="0.3">
      <c r="A913" s="39">
        <v>46190.454131944447</v>
      </c>
      <c r="B913" s="32">
        <v>1143744993</v>
      </c>
      <c r="C913" s="32" t="s">
        <v>45</v>
      </c>
      <c r="D913" s="32">
        <v>4431268225</v>
      </c>
      <c r="E913" s="32">
        <v>717</v>
      </c>
      <c r="F913" s="32">
        <v>505</v>
      </c>
      <c r="G913" s="32" t="s">
        <v>38</v>
      </c>
      <c r="H913" s="32" t="s">
        <v>6330</v>
      </c>
      <c r="I913" s="32" t="s">
        <v>39</v>
      </c>
      <c r="J913" s="32" t="s">
        <v>40</v>
      </c>
      <c r="K913" s="32" t="s">
        <v>41</v>
      </c>
      <c r="M913" s="32" t="s">
        <v>5421</v>
      </c>
      <c r="N913" s="32" t="s">
        <v>45</v>
      </c>
    </row>
    <row r="914" spans="1:14" s="32" customFormat="1" hidden="1" x14ac:dyDescent="0.3">
      <c r="A914" s="39">
        <v>46190.450509259259</v>
      </c>
      <c r="B914" s="32">
        <v>44998464499</v>
      </c>
      <c r="C914" s="32" t="s">
        <v>48</v>
      </c>
      <c r="D914" s="32">
        <v>4430265054</v>
      </c>
      <c r="E914" s="32">
        <v>475</v>
      </c>
      <c r="F914" s="32">
        <v>451</v>
      </c>
      <c r="G914" s="32" t="s">
        <v>38</v>
      </c>
      <c r="H914" s="32" t="s">
        <v>6331</v>
      </c>
      <c r="I914" s="32" t="s">
        <v>39</v>
      </c>
      <c r="J914" s="32" t="s">
        <v>40</v>
      </c>
      <c r="K914" s="32" t="s">
        <v>41</v>
      </c>
      <c r="M914" s="32" t="s">
        <v>5412</v>
      </c>
      <c r="N914" s="32" t="s">
        <v>48</v>
      </c>
    </row>
    <row r="915" spans="1:14" s="32" customFormat="1" hidden="1" x14ac:dyDescent="0.3">
      <c r="A915" s="39">
        <v>46190.448854166665</v>
      </c>
      <c r="B915" s="32">
        <v>4431337559</v>
      </c>
      <c r="C915" s="32" t="s">
        <v>44</v>
      </c>
      <c r="D915" s="32">
        <v>4430265054</v>
      </c>
      <c r="E915" s="32">
        <v>265</v>
      </c>
      <c r="F915" s="32">
        <v>216</v>
      </c>
      <c r="G915" s="32" t="s">
        <v>38</v>
      </c>
      <c r="H915" s="32" t="s">
        <v>6332</v>
      </c>
      <c r="I915" s="32" t="s">
        <v>39</v>
      </c>
      <c r="J915" s="32" t="s">
        <v>40</v>
      </c>
      <c r="K915" s="32" t="s">
        <v>41</v>
      </c>
      <c r="M915" s="32" t="s">
        <v>5416</v>
      </c>
      <c r="N915" s="32" t="s">
        <v>44</v>
      </c>
    </row>
    <row r="916" spans="1:14" s="32" customFormat="1" hidden="1" x14ac:dyDescent="0.3">
      <c r="A916" s="39">
        <v>46190.447962962964</v>
      </c>
      <c r="B916" s="32">
        <v>45999334612</v>
      </c>
      <c r="C916" s="32" t="s">
        <v>45</v>
      </c>
      <c r="D916" s="32">
        <v>4430265054</v>
      </c>
      <c r="E916" s="32">
        <v>284</v>
      </c>
      <c r="F916" s="32">
        <v>226</v>
      </c>
      <c r="G916" s="32" t="s">
        <v>38</v>
      </c>
      <c r="H916" s="32" t="s">
        <v>6333</v>
      </c>
      <c r="I916" s="32" t="s">
        <v>39</v>
      </c>
      <c r="J916" s="32" t="s">
        <v>40</v>
      </c>
      <c r="K916" s="32" t="s">
        <v>41</v>
      </c>
      <c r="L916" s="32">
        <v>5</v>
      </c>
      <c r="M916" s="32" t="s">
        <v>5421</v>
      </c>
      <c r="N916" s="32" t="s">
        <v>45</v>
      </c>
    </row>
    <row r="917" spans="1:14" s="32" customFormat="1" hidden="1" x14ac:dyDescent="0.3">
      <c r="A917" s="39">
        <v>46190.445775462962</v>
      </c>
      <c r="B917" s="32">
        <v>44999378207</v>
      </c>
      <c r="C917" s="32" t="s">
        <v>37</v>
      </c>
      <c r="D917" s="32">
        <v>4430265054</v>
      </c>
      <c r="E917" s="32">
        <v>1944</v>
      </c>
      <c r="F917" s="32">
        <v>1837</v>
      </c>
      <c r="G917" s="32" t="s">
        <v>38</v>
      </c>
      <c r="H917" s="32" t="s">
        <v>6334</v>
      </c>
      <c r="I917" s="32" t="s">
        <v>39</v>
      </c>
      <c r="J917" s="32" t="s">
        <v>40</v>
      </c>
      <c r="K917" s="32" t="s">
        <v>41</v>
      </c>
      <c r="M917" s="32" t="s">
        <v>5410</v>
      </c>
      <c r="N917" s="32" t="s">
        <v>37</v>
      </c>
    </row>
    <row r="918" spans="1:14" s="32" customFormat="1" hidden="1" x14ac:dyDescent="0.3">
      <c r="A918" s="39">
        <v>46190.43990740741</v>
      </c>
      <c r="B918" s="32">
        <v>44998620323</v>
      </c>
      <c r="C918" s="32" t="s">
        <v>37</v>
      </c>
      <c r="D918" s="32">
        <v>4430265054</v>
      </c>
      <c r="E918" s="32">
        <v>301</v>
      </c>
      <c r="F918" s="32">
        <v>201</v>
      </c>
      <c r="G918" s="32" t="s">
        <v>38</v>
      </c>
      <c r="H918" s="32" t="s">
        <v>6335</v>
      </c>
      <c r="I918" s="32" t="s">
        <v>39</v>
      </c>
      <c r="J918" s="32" t="s">
        <v>40</v>
      </c>
      <c r="K918" s="32" t="s">
        <v>41</v>
      </c>
      <c r="M918" s="32" t="s">
        <v>5410</v>
      </c>
      <c r="N918" s="32" t="s">
        <v>37</v>
      </c>
    </row>
    <row r="919" spans="1:14" s="32" customFormat="1" hidden="1" x14ac:dyDescent="0.3">
      <c r="A919" s="39">
        <v>46190.422766203701</v>
      </c>
      <c r="B919" s="32">
        <v>44999646909</v>
      </c>
      <c r="C919" s="32" t="s">
        <v>45</v>
      </c>
      <c r="D919" s="32">
        <v>4430265054</v>
      </c>
      <c r="E919" s="32">
        <v>2138</v>
      </c>
      <c r="F919" s="32">
        <v>2055</v>
      </c>
      <c r="G919" s="32" t="s">
        <v>38</v>
      </c>
      <c r="H919" s="32" t="s">
        <v>6336</v>
      </c>
      <c r="I919" s="32" t="s">
        <v>39</v>
      </c>
      <c r="J919" s="32" t="s">
        <v>40</v>
      </c>
      <c r="K919" s="32" t="s">
        <v>41</v>
      </c>
      <c r="M919" s="32" t="s">
        <v>5421</v>
      </c>
      <c r="N919" s="32" t="s">
        <v>45</v>
      </c>
    </row>
    <row r="920" spans="1:14" s="32" customFormat="1" hidden="1" x14ac:dyDescent="0.3">
      <c r="A920" s="39">
        <v>46190.418298611112</v>
      </c>
      <c r="B920" s="32" t="s">
        <v>45</v>
      </c>
      <c r="C920" s="32">
        <v>43999829064</v>
      </c>
      <c r="E920" s="32">
        <v>40</v>
      </c>
      <c r="F920" s="32">
        <v>0</v>
      </c>
      <c r="G920" s="32" t="s">
        <v>47</v>
      </c>
      <c r="H920" s="32" t="s">
        <v>6337</v>
      </c>
      <c r="I920" s="32" t="s">
        <v>46</v>
      </c>
      <c r="J920" s="32" t="s">
        <v>40</v>
      </c>
      <c r="M920" s="32" t="s">
        <v>5421</v>
      </c>
      <c r="N920" s="32" t="s">
        <v>45</v>
      </c>
    </row>
    <row r="921" spans="1:14" s="32" customFormat="1" hidden="1" x14ac:dyDescent="0.3">
      <c r="A921" s="39">
        <v>46190.416377314818</v>
      </c>
      <c r="B921" s="32">
        <v>44997734943</v>
      </c>
      <c r="C921" s="32" t="s">
        <v>37</v>
      </c>
      <c r="D921" s="32">
        <v>4430265054</v>
      </c>
      <c r="E921" s="32">
        <v>265</v>
      </c>
      <c r="F921" s="32">
        <v>239</v>
      </c>
      <c r="G921" s="32" t="s">
        <v>38</v>
      </c>
      <c r="H921" s="32" t="s">
        <v>6338</v>
      </c>
      <c r="I921" s="32" t="s">
        <v>39</v>
      </c>
      <c r="J921" s="32" t="s">
        <v>40</v>
      </c>
      <c r="K921" s="32" t="s">
        <v>41</v>
      </c>
      <c r="M921" s="32" t="s">
        <v>5410</v>
      </c>
      <c r="N921" s="32" t="s">
        <v>37</v>
      </c>
    </row>
    <row r="922" spans="1:14" s="32" customFormat="1" hidden="1" x14ac:dyDescent="0.3">
      <c r="A922" s="39">
        <v>46190.405370370368</v>
      </c>
      <c r="B922" s="32">
        <v>93991064249</v>
      </c>
      <c r="C922" s="32" t="s">
        <v>48</v>
      </c>
      <c r="D922" s="32">
        <v>4431268225</v>
      </c>
      <c r="E922" s="32">
        <v>197</v>
      </c>
      <c r="F922" s="32">
        <v>153</v>
      </c>
      <c r="G922" s="32" t="s">
        <v>38</v>
      </c>
      <c r="H922" s="32" t="s">
        <v>6339</v>
      </c>
      <c r="I922" s="32" t="s">
        <v>39</v>
      </c>
      <c r="J922" s="32" t="s">
        <v>40</v>
      </c>
      <c r="K922" s="32" t="s">
        <v>41</v>
      </c>
      <c r="M922" s="32" t="s">
        <v>5412</v>
      </c>
      <c r="N922" s="32" t="s">
        <v>48</v>
      </c>
    </row>
    <row r="923" spans="1:14" s="32" customFormat="1" hidden="1" x14ac:dyDescent="0.3">
      <c r="A923" s="39">
        <v>46190.40483796296</v>
      </c>
      <c r="B923" s="32">
        <v>44999629349</v>
      </c>
      <c r="C923" s="32" t="s">
        <v>44</v>
      </c>
      <c r="D923" s="32">
        <v>4430265054</v>
      </c>
      <c r="E923" s="32">
        <v>846</v>
      </c>
      <c r="F923" s="32">
        <v>728</v>
      </c>
      <c r="G923" s="32" t="s">
        <v>38</v>
      </c>
      <c r="H923" s="32" t="s">
        <v>6340</v>
      </c>
      <c r="I923" s="32" t="s">
        <v>39</v>
      </c>
      <c r="J923" s="32" t="s">
        <v>40</v>
      </c>
      <c r="K923" s="32" t="s">
        <v>41</v>
      </c>
      <c r="L923" s="32">
        <v>5</v>
      </c>
      <c r="M923" s="32" t="s">
        <v>5416</v>
      </c>
      <c r="N923" s="32" t="s">
        <v>44</v>
      </c>
    </row>
    <row r="924" spans="1:14" s="32" customFormat="1" hidden="1" x14ac:dyDescent="0.3">
      <c r="A924" s="39">
        <v>46190.404085648152</v>
      </c>
      <c r="B924" s="32">
        <v>4432321428</v>
      </c>
      <c r="C924" s="32">
        <v>4430265054</v>
      </c>
      <c r="D924" s="32">
        <v>4430265054</v>
      </c>
      <c r="E924" s="32">
        <v>14</v>
      </c>
      <c r="F924" s="32">
        <v>13</v>
      </c>
      <c r="G924" s="32" t="s">
        <v>52</v>
      </c>
      <c r="H924" s="32" t="s">
        <v>6341</v>
      </c>
      <c r="I924" s="32" t="s">
        <v>39</v>
      </c>
      <c r="J924" s="32" t="s">
        <v>53</v>
      </c>
    </row>
    <row r="925" spans="1:14" s="32" customFormat="1" hidden="1" x14ac:dyDescent="0.3">
      <c r="A925" s="39">
        <v>46190.40388888889</v>
      </c>
      <c r="B925" s="32" t="s">
        <v>37</v>
      </c>
      <c r="C925" s="32">
        <v>4432321371</v>
      </c>
      <c r="E925" s="32">
        <v>248</v>
      </c>
      <c r="F925" s="32">
        <v>239</v>
      </c>
      <c r="G925" s="32" t="s">
        <v>38</v>
      </c>
      <c r="H925" s="32" t="s">
        <v>6342</v>
      </c>
      <c r="I925" s="32" t="s">
        <v>46</v>
      </c>
      <c r="J925" s="32" t="s">
        <v>40</v>
      </c>
      <c r="L925" s="32">
        <v>5</v>
      </c>
      <c r="M925" s="32" t="s">
        <v>5410</v>
      </c>
      <c r="N925" s="32" t="s">
        <v>37</v>
      </c>
    </row>
    <row r="926" spans="1:14" s="32" customFormat="1" hidden="1" x14ac:dyDescent="0.3">
      <c r="A926" s="39">
        <v>46190.403611111113</v>
      </c>
      <c r="B926" s="32">
        <v>4432321232</v>
      </c>
      <c r="C926" s="32">
        <v>4430265054</v>
      </c>
      <c r="D926" s="32">
        <v>4430265054</v>
      </c>
      <c r="E926" s="32">
        <v>29</v>
      </c>
      <c r="F926" s="32">
        <v>28</v>
      </c>
      <c r="G926" s="32" t="s">
        <v>52</v>
      </c>
      <c r="H926" s="32" t="s">
        <v>6343</v>
      </c>
      <c r="I926" s="32" t="s">
        <v>39</v>
      </c>
      <c r="J926" s="32" t="s">
        <v>53</v>
      </c>
    </row>
    <row r="927" spans="1:14" s="32" customFormat="1" hidden="1" x14ac:dyDescent="0.3">
      <c r="A927" s="39">
        <v>46190.40283564815</v>
      </c>
      <c r="B927" s="32" t="s">
        <v>37</v>
      </c>
      <c r="C927" s="32">
        <v>4432321371</v>
      </c>
      <c r="E927" s="32">
        <v>52</v>
      </c>
      <c r="F927" s="32">
        <v>43</v>
      </c>
      <c r="G927" s="32" t="s">
        <v>38</v>
      </c>
      <c r="H927" s="32" t="s">
        <v>6344</v>
      </c>
      <c r="I927" s="32" t="s">
        <v>46</v>
      </c>
      <c r="J927" s="32" t="s">
        <v>40</v>
      </c>
      <c r="M927" s="32" t="s">
        <v>5410</v>
      </c>
      <c r="N927" s="32" t="s">
        <v>37</v>
      </c>
    </row>
    <row r="928" spans="1:14" s="32" customFormat="1" hidden="1" x14ac:dyDescent="0.3">
      <c r="A928" s="39">
        <v>46190.401423611111</v>
      </c>
      <c r="B928" s="32" t="s">
        <v>37</v>
      </c>
      <c r="C928" s="32">
        <v>4432321371</v>
      </c>
      <c r="E928" s="32">
        <v>57</v>
      </c>
      <c r="F928" s="32">
        <v>48</v>
      </c>
      <c r="G928" s="32" t="s">
        <v>38</v>
      </c>
      <c r="H928" s="32" t="s">
        <v>6345</v>
      </c>
      <c r="I928" s="32" t="s">
        <v>46</v>
      </c>
      <c r="J928" s="32" t="s">
        <v>40</v>
      </c>
      <c r="M928" s="32" t="s">
        <v>5410</v>
      </c>
      <c r="N928" s="32" t="s">
        <v>37</v>
      </c>
    </row>
    <row r="929" spans="1:14" s="32" customFormat="1" hidden="1" x14ac:dyDescent="0.3">
      <c r="A929" s="39">
        <v>46190.401307870372</v>
      </c>
      <c r="B929" s="32" t="s">
        <v>37</v>
      </c>
      <c r="C929" s="32">
        <v>4432321371</v>
      </c>
      <c r="E929" s="32">
        <v>14</v>
      </c>
      <c r="F929" s="32">
        <v>13</v>
      </c>
      <c r="G929" s="32" t="s">
        <v>38</v>
      </c>
      <c r="H929" s="32" t="s">
        <v>6346</v>
      </c>
      <c r="I929" s="32" t="s">
        <v>46</v>
      </c>
      <c r="J929" s="32" t="s">
        <v>40</v>
      </c>
      <c r="M929" s="32" t="s">
        <v>5410</v>
      </c>
      <c r="N929" s="32" t="s">
        <v>37</v>
      </c>
    </row>
    <row r="930" spans="1:14" s="32" customFormat="1" hidden="1" x14ac:dyDescent="0.3">
      <c r="A930" s="39">
        <v>46190.396909722222</v>
      </c>
      <c r="B930" s="32" t="s">
        <v>45</v>
      </c>
      <c r="C930" s="32">
        <v>4532541802</v>
      </c>
      <c r="E930" s="32">
        <v>1654</v>
      </c>
      <c r="F930" s="32">
        <v>1652</v>
      </c>
      <c r="G930" s="32" t="s">
        <v>38</v>
      </c>
      <c r="H930" s="32" t="s">
        <v>6347</v>
      </c>
      <c r="I930" s="32" t="s">
        <v>46</v>
      </c>
      <c r="J930" s="32" t="s">
        <v>40</v>
      </c>
      <c r="L930" s="32">
        <v>5</v>
      </c>
      <c r="M930" s="32" t="s">
        <v>5421</v>
      </c>
      <c r="N930" s="32" t="s">
        <v>45</v>
      </c>
    </row>
    <row r="931" spans="1:14" s="32" customFormat="1" hidden="1" x14ac:dyDescent="0.3">
      <c r="A931" s="39">
        <v>46190.383703703701</v>
      </c>
      <c r="B931" s="32" t="s">
        <v>45</v>
      </c>
      <c r="C931" s="32">
        <v>4430196655</v>
      </c>
      <c r="E931" s="32">
        <v>71</v>
      </c>
      <c r="F931" s="32">
        <v>62</v>
      </c>
      <c r="G931" s="32" t="s">
        <v>38</v>
      </c>
      <c r="H931" s="32" t="s">
        <v>6348</v>
      </c>
      <c r="I931" s="32" t="s">
        <v>46</v>
      </c>
      <c r="J931" s="32" t="s">
        <v>40</v>
      </c>
      <c r="M931" s="32" t="s">
        <v>5421</v>
      </c>
      <c r="N931" s="32" t="s">
        <v>45</v>
      </c>
    </row>
    <row r="932" spans="1:14" s="32" customFormat="1" hidden="1" x14ac:dyDescent="0.3">
      <c r="A932" s="39">
        <v>46190.383634259262</v>
      </c>
      <c r="B932" s="32">
        <v>4432321371</v>
      </c>
      <c r="C932" s="32" t="s">
        <v>37</v>
      </c>
      <c r="D932" s="32">
        <v>4430265054</v>
      </c>
      <c r="E932" s="32">
        <v>1395</v>
      </c>
      <c r="F932" s="32">
        <v>1277</v>
      </c>
      <c r="G932" s="32" t="s">
        <v>38</v>
      </c>
      <c r="H932" s="32" t="s">
        <v>6349</v>
      </c>
      <c r="I932" s="32" t="s">
        <v>39</v>
      </c>
      <c r="J932" s="32" t="s">
        <v>40</v>
      </c>
      <c r="K932" s="32" t="s">
        <v>41</v>
      </c>
      <c r="M932" s="32" t="s">
        <v>5410</v>
      </c>
      <c r="N932" s="32" t="s">
        <v>37</v>
      </c>
    </row>
    <row r="933" spans="1:14" s="32" customFormat="1" hidden="1" x14ac:dyDescent="0.3">
      <c r="A933" s="39">
        <v>46190.383622685185</v>
      </c>
      <c r="B933" s="32" t="s">
        <v>45</v>
      </c>
      <c r="C933" s="32">
        <v>4430196655</v>
      </c>
      <c r="E933" s="32">
        <v>14</v>
      </c>
      <c r="F933" s="32">
        <v>13</v>
      </c>
      <c r="G933" s="32" t="s">
        <v>38</v>
      </c>
      <c r="H933" s="32" t="s">
        <v>6350</v>
      </c>
      <c r="I933" s="32" t="s">
        <v>46</v>
      </c>
      <c r="J933" s="32" t="s">
        <v>40</v>
      </c>
      <c r="M933" s="32" t="s">
        <v>5421</v>
      </c>
      <c r="N933" s="32" t="s">
        <v>45</v>
      </c>
    </row>
    <row r="934" spans="1:14" s="32" customFormat="1" hidden="1" x14ac:dyDescent="0.3">
      <c r="A934" s="39">
        <v>46190.383449074077</v>
      </c>
      <c r="B934" s="32">
        <v>4432325260</v>
      </c>
      <c r="C934" s="32" t="s">
        <v>48</v>
      </c>
      <c r="D934" s="32">
        <v>4430265054</v>
      </c>
      <c r="E934" s="32">
        <v>402</v>
      </c>
      <c r="F934" s="32">
        <v>367</v>
      </c>
      <c r="G934" s="32" t="s">
        <v>38</v>
      </c>
      <c r="H934" s="32" t="s">
        <v>6351</v>
      </c>
      <c r="I934" s="32" t="s">
        <v>39</v>
      </c>
      <c r="J934" s="32" t="s">
        <v>40</v>
      </c>
      <c r="K934" s="32" t="s">
        <v>41</v>
      </c>
      <c r="M934" s="32" t="s">
        <v>5412</v>
      </c>
      <c r="N934" s="32" t="s">
        <v>48</v>
      </c>
    </row>
    <row r="935" spans="1:14" s="32" customFormat="1" hidden="1" x14ac:dyDescent="0.3">
      <c r="A935" s="39">
        <v>46190.381018518521</v>
      </c>
      <c r="B935" s="32">
        <v>1732146970</v>
      </c>
      <c r="C935" s="32" t="s">
        <v>44</v>
      </c>
      <c r="D935" s="32">
        <v>4431268225</v>
      </c>
      <c r="E935" s="32">
        <v>1395</v>
      </c>
      <c r="F935" s="32">
        <v>1344</v>
      </c>
      <c r="G935" s="32" t="s">
        <v>38</v>
      </c>
      <c r="H935" s="32" t="s">
        <v>6352</v>
      </c>
      <c r="I935" s="32" t="s">
        <v>39</v>
      </c>
      <c r="J935" s="32" t="s">
        <v>40</v>
      </c>
      <c r="K935" s="32" t="s">
        <v>41</v>
      </c>
      <c r="M935" s="32" t="s">
        <v>5416</v>
      </c>
      <c r="N935" s="32" t="s">
        <v>44</v>
      </c>
    </row>
    <row r="936" spans="1:14" s="32" customFormat="1" hidden="1" x14ac:dyDescent="0.3">
      <c r="A936" s="39">
        <v>46190.377800925926</v>
      </c>
      <c r="B936" s="32">
        <v>67992613909</v>
      </c>
      <c r="C936" s="32" t="s">
        <v>37</v>
      </c>
      <c r="D936" s="32">
        <v>4430265054</v>
      </c>
      <c r="E936" s="32">
        <v>483</v>
      </c>
      <c r="F936" s="32">
        <v>302</v>
      </c>
      <c r="G936" s="32" t="s">
        <v>38</v>
      </c>
      <c r="H936" s="32" t="s">
        <v>6353</v>
      </c>
      <c r="I936" s="32" t="s">
        <v>39</v>
      </c>
      <c r="J936" s="32" t="s">
        <v>40</v>
      </c>
      <c r="K936" s="32" t="s">
        <v>41</v>
      </c>
      <c r="L936" s="32">
        <v>5</v>
      </c>
      <c r="M936" s="32" t="s">
        <v>5410</v>
      </c>
      <c r="N936" s="32" t="s">
        <v>37</v>
      </c>
    </row>
    <row r="937" spans="1:14" s="32" customFormat="1" hidden="1" x14ac:dyDescent="0.3">
      <c r="A937" s="39">
        <v>46190.365312499998</v>
      </c>
      <c r="B937" s="32">
        <v>45998160883</v>
      </c>
      <c r="C937" s="32" t="s">
        <v>45</v>
      </c>
      <c r="D937" s="32">
        <v>4430265054</v>
      </c>
      <c r="E937" s="32">
        <v>1318</v>
      </c>
      <c r="F937" s="32">
        <v>1266</v>
      </c>
      <c r="G937" s="32" t="s">
        <v>38</v>
      </c>
      <c r="H937" s="32" t="s">
        <v>6354</v>
      </c>
      <c r="I937" s="32" t="s">
        <v>39</v>
      </c>
      <c r="J937" s="32" t="s">
        <v>40</v>
      </c>
      <c r="K937" s="32" t="s">
        <v>41</v>
      </c>
      <c r="M937" s="32" t="s">
        <v>5421</v>
      </c>
      <c r="N937" s="32" t="s">
        <v>45</v>
      </c>
    </row>
    <row r="938" spans="1:14" s="32" customFormat="1" hidden="1" x14ac:dyDescent="0.3">
      <c r="A938" s="39">
        <v>46190.364907407406</v>
      </c>
      <c r="B938" s="32">
        <v>44997734943</v>
      </c>
      <c r="C938" s="32" t="s">
        <v>37</v>
      </c>
      <c r="D938" s="32">
        <v>4430265054</v>
      </c>
      <c r="E938" s="32">
        <v>1041</v>
      </c>
      <c r="F938" s="32">
        <v>1013</v>
      </c>
      <c r="G938" s="32" t="s">
        <v>38</v>
      </c>
      <c r="H938" s="32" t="s">
        <v>6355</v>
      </c>
      <c r="I938" s="32" t="s">
        <v>39</v>
      </c>
      <c r="J938" s="32" t="s">
        <v>40</v>
      </c>
      <c r="K938" s="32" t="s">
        <v>41</v>
      </c>
      <c r="M938" s="32" t="s">
        <v>5410</v>
      </c>
      <c r="N938" s="32" t="s">
        <v>37</v>
      </c>
    </row>
    <row r="939" spans="1:14" s="32" customFormat="1" hidden="1" x14ac:dyDescent="0.3">
      <c r="A939" s="39">
        <v>46190.360011574077</v>
      </c>
      <c r="B939" s="32">
        <v>4432226677</v>
      </c>
      <c r="C939" s="32" t="s">
        <v>44</v>
      </c>
      <c r="D939" s="32">
        <v>4430265054</v>
      </c>
      <c r="E939" s="32">
        <v>798</v>
      </c>
      <c r="F939" s="32">
        <v>761</v>
      </c>
      <c r="G939" s="32" t="s">
        <v>38</v>
      </c>
      <c r="H939" s="32" t="s">
        <v>6356</v>
      </c>
      <c r="I939" s="32" t="s">
        <v>39</v>
      </c>
      <c r="J939" s="32" t="s">
        <v>40</v>
      </c>
      <c r="K939" s="32" t="s">
        <v>41</v>
      </c>
      <c r="L939" s="32">
        <v>5</v>
      </c>
      <c r="M939" s="32" t="s">
        <v>5416</v>
      </c>
      <c r="N939" s="32" t="s">
        <v>44</v>
      </c>
    </row>
    <row r="940" spans="1:14" s="32" customFormat="1" hidden="1" x14ac:dyDescent="0.3">
      <c r="A940" s="39">
        <v>46190.3593287037</v>
      </c>
      <c r="B940" s="32">
        <v>4432226677</v>
      </c>
      <c r="C940" s="32">
        <v>4430265054</v>
      </c>
      <c r="D940" s="32">
        <v>4430265054</v>
      </c>
      <c r="E940" s="32">
        <v>15</v>
      </c>
      <c r="F940" s="32">
        <v>14</v>
      </c>
      <c r="G940" s="32" t="s">
        <v>52</v>
      </c>
      <c r="H940" s="32" t="s">
        <v>6357</v>
      </c>
      <c r="I940" s="32" t="s">
        <v>39</v>
      </c>
      <c r="J940" s="32" t="s">
        <v>53</v>
      </c>
    </row>
    <row r="941" spans="1:14" s="32" customFormat="1" hidden="1" x14ac:dyDescent="0.3">
      <c r="A941" s="39">
        <v>46190.358553240738</v>
      </c>
      <c r="B941" s="32" t="s">
        <v>37</v>
      </c>
      <c r="C941" s="32">
        <v>77999014770</v>
      </c>
      <c r="E941" s="32">
        <v>116</v>
      </c>
      <c r="F941" s="32">
        <v>87</v>
      </c>
      <c r="G941" s="32" t="s">
        <v>38</v>
      </c>
      <c r="H941" s="32" t="s">
        <v>6358</v>
      </c>
      <c r="I941" s="32" t="s">
        <v>46</v>
      </c>
      <c r="J941" s="32" t="s">
        <v>40</v>
      </c>
      <c r="L941" s="32">
        <v>5</v>
      </c>
      <c r="M941" s="32" t="s">
        <v>5410</v>
      </c>
      <c r="N941" s="32" t="s">
        <v>37</v>
      </c>
    </row>
    <row r="942" spans="1:14" s="32" customFormat="1" hidden="1" x14ac:dyDescent="0.3">
      <c r="A942" s="39">
        <v>46190.358252314814</v>
      </c>
      <c r="B942" s="32" t="s">
        <v>48</v>
      </c>
      <c r="C942" s="32">
        <v>44997006780</v>
      </c>
      <c r="E942" s="32">
        <v>263</v>
      </c>
      <c r="F942" s="32">
        <v>251</v>
      </c>
      <c r="G942" s="32" t="s">
        <v>38</v>
      </c>
      <c r="H942" s="32" t="s">
        <v>6359</v>
      </c>
      <c r="I942" s="32" t="s">
        <v>46</v>
      </c>
      <c r="J942" s="32" t="s">
        <v>40</v>
      </c>
      <c r="M942" s="32" t="s">
        <v>5412</v>
      </c>
      <c r="N942" s="32" t="s">
        <v>48</v>
      </c>
    </row>
    <row r="943" spans="1:14" s="32" customFormat="1" hidden="1" x14ac:dyDescent="0.3">
      <c r="A943" s="39">
        <v>46190.358032407406</v>
      </c>
      <c r="B943" s="32">
        <v>44988303530</v>
      </c>
      <c r="C943" s="32" t="s">
        <v>44</v>
      </c>
      <c r="D943" s="32">
        <v>4430265054</v>
      </c>
      <c r="E943" s="32">
        <v>169</v>
      </c>
      <c r="F943" s="32">
        <v>88</v>
      </c>
      <c r="G943" s="32" t="s">
        <v>38</v>
      </c>
      <c r="H943" s="32" t="s">
        <v>6360</v>
      </c>
      <c r="I943" s="32" t="s">
        <v>39</v>
      </c>
      <c r="J943" s="32" t="s">
        <v>40</v>
      </c>
      <c r="K943" s="32" t="s">
        <v>41</v>
      </c>
      <c r="M943" s="32" t="s">
        <v>5416</v>
      </c>
      <c r="N943" s="32" t="s">
        <v>44</v>
      </c>
    </row>
    <row r="944" spans="1:14" s="32" customFormat="1" hidden="1" x14ac:dyDescent="0.3">
      <c r="A944" s="39">
        <v>46190.357847222222</v>
      </c>
      <c r="B944" s="32" t="s">
        <v>37</v>
      </c>
      <c r="C944" s="32">
        <v>77999014770</v>
      </c>
      <c r="E944" s="32">
        <v>50</v>
      </c>
      <c r="F944" s="32">
        <v>0</v>
      </c>
      <c r="G944" s="32" t="s">
        <v>47</v>
      </c>
      <c r="H944" s="32" t="s">
        <v>6361</v>
      </c>
      <c r="I944" s="32" t="s">
        <v>46</v>
      </c>
      <c r="J944" s="32" t="s">
        <v>40</v>
      </c>
      <c r="M944" s="32" t="s">
        <v>5410</v>
      </c>
      <c r="N944" s="32" t="s">
        <v>37</v>
      </c>
    </row>
    <row r="945" spans="1:14" s="32" customFormat="1" hidden="1" x14ac:dyDescent="0.3">
      <c r="A945" s="39">
        <v>46190.351620370369</v>
      </c>
      <c r="B945" s="32">
        <v>45998160883</v>
      </c>
      <c r="C945" s="32">
        <v>4430265054</v>
      </c>
      <c r="D945" s="32">
        <v>4430265054</v>
      </c>
      <c r="E945" s="32">
        <v>10</v>
      </c>
      <c r="F945" s="32">
        <v>10</v>
      </c>
      <c r="G945" s="32" t="s">
        <v>52</v>
      </c>
      <c r="H945" s="32" t="s">
        <v>6362</v>
      </c>
      <c r="I945" s="32" t="s">
        <v>39</v>
      </c>
      <c r="J945" s="32" t="s">
        <v>53</v>
      </c>
    </row>
    <row r="946" spans="1:14" s="32" customFormat="1" hidden="1" x14ac:dyDescent="0.3">
      <c r="A946" s="39">
        <v>46190.351215277777</v>
      </c>
      <c r="B946" s="32">
        <v>45998160883</v>
      </c>
      <c r="C946" s="32">
        <v>4430265054</v>
      </c>
      <c r="D946" s="32">
        <v>4430265054</v>
      </c>
      <c r="E946" s="32">
        <v>29</v>
      </c>
      <c r="F946" s="32">
        <v>28</v>
      </c>
      <c r="G946" s="32" t="s">
        <v>52</v>
      </c>
      <c r="H946" s="32" t="s">
        <v>6363</v>
      </c>
      <c r="I946" s="32" t="s">
        <v>39</v>
      </c>
      <c r="J946" s="32" t="s">
        <v>53</v>
      </c>
    </row>
    <row r="947" spans="1:14" s="32" customFormat="1" hidden="1" x14ac:dyDescent="0.3">
      <c r="A947" s="39">
        <v>46190.345335648148</v>
      </c>
      <c r="B947" s="32" t="s">
        <v>45</v>
      </c>
      <c r="C947" s="32">
        <v>4532541802</v>
      </c>
      <c r="E947" s="32">
        <v>1311</v>
      </c>
      <c r="F947" s="32">
        <v>1310</v>
      </c>
      <c r="G947" s="32" t="s">
        <v>38</v>
      </c>
      <c r="H947" s="32" t="s">
        <v>6364</v>
      </c>
      <c r="I947" s="32" t="s">
        <v>46</v>
      </c>
      <c r="J947" s="32" t="s">
        <v>40</v>
      </c>
      <c r="M947" s="32" t="s">
        <v>5421</v>
      </c>
      <c r="N947" s="32" t="s">
        <v>45</v>
      </c>
    </row>
    <row r="948" spans="1:14" s="32" customFormat="1" hidden="1" x14ac:dyDescent="0.3">
      <c r="A948" s="39">
        <v>46190.344837962963</v>
      </c>
      <c r="B948" s="32">
        <v>1145007000</v>
      </c>
      <c r="C948" s="32">
        <v>4430265054</v>
      </c>
      <c r="D948" s="32">
        <v>4430265054</v>
      </c>
      <c r="E948" s="32">
        <v>8</v>
      </c>
      <c r="F948" s="32">
        <v>7</v>
      </c>
      <c r="G948" s="32" t="s">
        <v>52</v>
      </c>
      <c r="H948" s="32" t="s">
        <v>6365</v>
      </c>
      <c r="I948" s="32" t="s">
        <v>39</v>
      </c>
      <c r="J948" s="32" t="s">
        <v>53</v>
      </c>
    </row>
    <row r="949" spans="1:14" s="32" customFormat="1" hidden="1" x14ac:dyDescent="0.3">
      <c r="A949" s="39">
        <v>46189.981469907405</v>
      </c>
      <c r="B949" s="32">
        <v>43999965552</v>
      </c>
      <c r="C949" s="32">
        <v>4430265054</v>
      </c>
      <c r="D949" s="32">
        <v>4430265054</v>
      </c>
      <c r="E949" s="32">
        <v>4</v>
      </c>
      <c r="F949" s="32">
        <v>4</v>
      </c>
      <c r="G949" s="32" t="s">
        <v>52</v>
      </c>
      <c r="H949" s="32" t="s">
        <v>6366</v>
      </c>
      <c r="I949" s="32" t="s">
        <v>39</v>
      </c>
      <c r="J949" s="32" t="s">
        <v>53</v>
      </c>
    </row>
    <row r="950" spans="1:14" s="32" customFormat="1" hidden="1" x14ac:dyDescent="0.3">
      <c r="A950" s="39">
        <v>46189.980370370373</v>
      </c>
      <c r="B950" s="32">
        <v>43999336003</v>
      </c>
      <c r="C950" s="32">
        <v>4431268225</v>
      </c>
      <c r="D950" s="32">
        <v>4431268225</v>
      </c>
      <c r="E950" s="32">
        <v>6</v>
      </c>
      <c r="F950" s="32">
        <v>5</v>
      </c>
      <c r="G950" s="32" t="s">
        <v>52</v>
      </c>
      <c r="H950" s="32" t="s">
        <v>6367</v>
      </c>
      <c r="I950" s="32" t="s">
        <v>39</v>
      </c>
      <c r="J950" s="32" t="s">
        <v>53</v>
      </c>
    </row>
    <row r="951" spans="1:14" s="32" customFormat="1" hidden="1" x14ac:dyDescent="0.3">
      <c r="A951" s="39">
        <v>46189.736643518518</v>
      </c>
      <c r="B951" s="32" t="s">
        <v>43</v>
      </c>
      <c r="C951" s="32">
        <v>4430191513</v>
      </c>
      <c r="E951" s="32">
        <v>303</v>
      </c>
      <c r="F951" s="32">
        <v>295</v>
      </c>
      <c r="G951" s="32" t="s">
        <v>38</v>
      </c>
      <c r="H951" s="32" t="s">
        <v>6368</v>
      </c>
      <c r="I951" s="32" t="s">
        <v>46</v>
      </c>
      <c r="J951" s="32" t="s">
        <v>40</v>
      </c>
      <c r="M951" s="32" t="s">
        <v>5418</v>
      </c>
      <c r="N951" s="32" t="s">
        <v>43</v>
      </c>
    </row>
    <row r="952" spans="1:14" s="32" customFormat="1" hidden="1" x14ac:dyDescent="0.3">
      <c r="A952" s="39">
        <v>46189.72997685185</v>
      </c>
      <c r="B952" s="32" t="s">
        <v>45</v>
      </c>
      <c r="C952" s="32">
        <v>43999829064</v>
      </c>
      <c r="E952" s="32">
        <v>220</v>
      </c>
      <c r="F952" s="32">
        <v>204</v>
      </c>
      <c r="G952" s="32" t="s">
        <v>38</v>
      </c>
      <c r="H952" s="32" t="s">
        <v>6369</v>
      </c>
      <c r="I952" s="32" t="s">
        <v>46</v>
      </c>
      <c r="J952" s="32" t="s">
        <v>40</v>
      </c>
      <c r="L952" s="32">
        <v>5</v>
      </c>
      <c r="M952" s="32" t="s">
        <v>5421</v>
      </c>
      <c r="N952" s="32" t="s">
        <v>45</v>
      </c>
    </row>
    <row r="953" spans="1:14" s="32" customFormat="1" hidden="1" x14ac:dyDescent="0.3">
      <c r="A953" s="39">
        <v>46189.727893518517</v>
      </c>
      <c r="B953" s="32" t="s">
        <v>54</v>
      </c>
      <c r="C953" s="32">
        <v>62996592326</v>
      </c>
      <c r="E953" s="32">
        <v>5</v>
      </c>
      <c r="F953" s="32">
        <v>0</v>
      </c>
      <c r="G953" s="32" t="s">
        <v>47</v>
      </c>
      <c r="H953" s="32" t="s">
        <v>6370</v>
      </c>
      <c r="I953" s="32" t="s">
        <v>46</v>
      </c>
      <c r="J953" s="32" t="s">
        <v>55</v>
      </c>
      <c r="M953" s="32" t="s">
        <v>5537</v>
      </c>
      <c r="N953" s="32" t="s">
        <v>54</v>
      </c>
    </row>
    <row r="954" spans="1:14" s="32" customFormat="1" hidden="1" x14ac:dyDescent="0.3">
      <c r="A954" s="39">
        <v>46189.723981481482</v>
      </c>
      <c r="B954" s="32">
        <v>44999680829</v>
      </c>
      <c r="C954" s="32" t="s">
        <v>43</v>
      </c>
      <c r="D954" s="32">
        <v>4430265054</v>
      </c>
      <c r="E954" s="32">
        <v>965</v>
      </c>
      <c r="F954" s="32">
        <v>812</v>
      </c>
      <c r="G954" s="32" t="s">
        <v>38</v>
      </c>
      <c r="H954" s="32" t="s">
        <v>6371</v>
      </c>
      <c r="I954" s="32" t="s">
        <v>39</v>
      </c>
      <c r="J954" s="32" t="s">
        <v>40</v>
      </c>
      <c r="K954" s="32" t="s">
        <v>41</v>
      </c>
      <c r="L954" s="32">
        <v>5</v>
      </c>
      <c r="M954" s="32" t="s">
        <v>5418</v>
      </c>
      <c r="N954" s="32" t="s">
        <v>43</v>
      </c>
    </row>
    <row r="955" spans="1:14" s="32" customFormat="1" hidden="1" x14ac:dyDescent="0.3">
      <c r="A955" s="39">
        <v>46189.718784722223</v>
      </c>
      <c r="B955" s="32">
        <v>44997215491</v>
      </c>
      <c r="C955" s="32" t="s">
        <v>48</v>
      </c>
      <c r="D955" s="32">
        <v>4430265054</v>
      </c>
      <c r="E955" s="32">
        <v>1148</v>
      </c>
      <c r="F955" s="32">
        <v>1069</v>
      </c>
      <c r="G955" s="32" t="s">
        <v>38</v>
      </c>
      <c r="H955" s="32" t="s">
        <v>6372</v>
      </c>
      <c r="I955" s="32" t="s">
        <v>39</v>
      </c>
      <c r="J955" s="32" t="s">
        <v>40</v>
      </c>
      <c r="K955" s="32" t="s">
        <v>41</v>
      </c>
      <c r="M955" s="32" t="s">
        <v>5412</v>
      </c>
      <c r="N955" s="32" t="s">
        <v>48</v>
      </c>
    </row>
    <row r="956" spans="1:14" s="32" customFormat="1" hidden="1" x14ac:dyDescent="0.3">
      <c r="A956" s="39">
        <v>46189.717743055553</v>
      </c>
      <c r="B956" s="32">
        <v>4432256273</v>
      </c>
      <c r="C956" s="32" t="s">
        <v>43</v>
      </c>
      <c r="D956" s="32">
        <v>4430265054</v>
      </c>
      <c r="E956" s="32">
        <v>333</v>
      </c>
      <c r="F956" s="32">
        <v>273</v>
      </c>
      <c r="G956" s="32" t="s">
        <v>38</v>
      </c>
      <c r="H956" s="32" t="s">
        <v>6373</v>
      </c>
      <c r="I956" s="32" t="s">
        <v>39</v>
      </c>
      <c r="J956" s="32" t="s">
        <v>40</v>
      </c>
      <c r="K956" s="32" t="s">
        <v>41</v>
      </c>
      <c r="L956" s="32">
        <v>5</v>
      </c>
      <c r="M956" s="32" t="s">
        <v>5418</v>
      </c>
      <c r="N956" s="32" t="s">
        <v>43</v>
      </c>
    </row>
    <row r="957" spans="1:14" s="32" customFormat="1" hidden="1" x14ac:dyDescent="0.3">
      <c r="A957" s="39">
        <v>46189.717719907407</v>
      </c>
      <c r="B957" s="32">
        <v>44998107650</v>
      </c>
      <c r="C957" s="32" t="s">
        <v>44</v>
      </c>
      <c r="D957" s="32">
        <v>4431268225</v>
      </c>
      <c r="E957" s="32">
        <v>1225</v>
      </c>
      <c r="F957" s="32">
        <v>1167</v>
      </c>
      <c r="G957" s="32" t="s">
        <v>38</v>
      </c>
      <c r="H957" s="32" t="s">
        <v>6374</v>
      </c>
      <c r="I957" s="32" t="s">
        <v>39</v>
      </c>
      <c r="J957" s="32" t="s">
        <v>40</v>
      </c>
      <c r="K957" s="32" t="s">
        <v>41</v>
      </c>
      <c r="L957" s="32">
        <v>5</v>
      </c>
      <c r="M957" s="32" t="s">
        <v>5416</v>
      </c>
      <c r="N957" s="32" t="s">
        <v>44</v>
      </c>
    </row>
    <row r="958" spans="1:14" s="32" customFormat="1" hidden="1" x14ac:dyDescent="0.3">
      <c r="A958" s="39">
        <v>46189.71497685185</v>
      </c>
      <c r="B958" s="32">
        <v>43999829064</v>
      </c>
      <c r="C958" s="32" t="s">
        <v>45</v>
      </c>
      <c r="D958" s="32">
        <v>4430265054</v>
      </c>
      <c r="E958" s="32">
        <v>768</v>
      </c>
      <c r="F958" s="32">
        <v>673</v>
      </c>
      <c r="G958" s="32" t="s">
        <v>38</v>
      </c>
      <c r="H958" s="32" t="s">
        <v>6375</v>
      </c>
      <c r="I958" s="32" t="s">
        <v>39</v>
      </c>
      <c r="J958" s="32" t="s">
        <v>40</v>
      </c>
      <c r="K958" s="32" t="s">
        <v>41</v>
      </c>
      <c r="M958" s="32" t="s">
        <v>5421</v>
      </c>
      <c r="N958" s="32" t="s">
        <v>45</v>
      </c>
    </row>
    <row r="959" spans="1:14" s="32" customFormat="1" hidden="1" x14ac:dyDescent="0.3">
      <c r="A959" s="39">
        <v>46189.713726851849</v>
      </c>
      <c r="B959" s="32">
        <v>44984241715</v>
      </c>
      <c r="C959" s="32" t="s">
        <v>43</v>
      </c>
      <c r="D959" s="32">
        <v>4430265054</v>
      </c>
      <c r="E959" s="32">
        <v>146</v>
      </c>
      <c r="F959" s="32">
        <v>101</v>
      </c>
      <c r="G959" s="32" t="s">
        <v>38</v>
      </c>
      <c r="H959" s="32" t="s">
        <v>6376</v>
      </c>
      <c r="I959" s="32" t="s">
        <v>39</v>
      </c>
      <c r="J959" s="32" t="s">
        <v>40</v>
      </c>
      <c r="K959" s="32" t="s">
        <v>41</v>
      </c>
      <c r="M959" s="32" t="s">
        <v>5418</v>
      </c>
      <c r="N959" s="32" t="s">
        <v>43</v>
      </c>
    </row>
    <row r="960" spans="1:14" s="32" customFormat="1" hidden="1" x14ac:dyDescent="0.3">
      <c r="A960" s="39">
        <v>46189.71234953704</v>
      </c>
      <c r="B960" s="32" t="s">
        <v>45</v>
      </c>
      <c r="C960" s="32">
        <v>4532541802</v>
      </c>
      <c r="E960" s="32">
        <v>241</v>
      </c>
      <c r="F960" s="32">
        <v>240</v>
      </c>
      <c r="G960" s="32" t="s">
        <v>38</v>
      </c>
      <c r="H960" s="32" t="s">
        <v>6377</v>
      </c>
      <c r="I960" s="32" t="s">
        <v>46</v>
      </c>
      <c r="J960" s="32" t="s">
        <v>40</v>
      </c>
      <c r="M960" s="32" t="s">
        <v>5421</v>
      </c>
      <c r="N960" s="32" t="s">
        <v>45</v>
      </c>
    </row>
    <row r="961" spans="1:14" s="32" customFormat="1" hidden="1" x14ac:dyDescent="0.3">
      <c r="A961" s="39">
        <v>46189.711550925924</v>
      </c>
      <c r="B961" s="32">
        <v>4430317020</v>
      </c>
      <c r="C961" s="32">
        <v>4430265054</v>
      </c>
      <c r="D961" s="32">
        <v>4430265054</v>
      </c>
      <c r="E961" s="32">
        <v>103</v>
      </c>
      <c r="F961" s="32">
        <v>102</v>
      </c>
      <c r="G961" s="32" t="s">
        <v>52</v>
      </c>
      <c r="H961" s="32" t="s">
        <v>6378</v>
      </c>
      <c r="I961" s="32" t="s">
        <v>39</v>
      </c>
      <c r="J961" s="32" t="s">
        <v>53</v>
      </c>
      <c r="K961" s="32" t="s">
        <v>41</v>
      </c>
    </row>
    <row r="962" spans="1:14" s="32" customFormat="1" hidden="1" x14ac:dyDescent="0.3">
      <c r="A962" s="39">
        <v>46189.709513888891</v>
      </c>
      <c r="B962" s="32">
        <v>44999680829</v>
      </c>
      <c r="C962" s="32" t="s">
        <v>45</v>
      </c>
      <c r="D962" s="32">
        <v>4430265054</v>
      </c>
      <c r="E962" s="32">
        <v>176</v>
      </c>
      <c r="F962" s="32">
        <v>85</v>
      </c>
      <c r="G962" s="32" t="s">
        <v>38</v>
      </c>
      <c r="H962" s="32" t="s">
        <v>6379</v>
      </c>
      <c r="I962" s="32" t="s">
        <v>39</v>
      </c>
      <c r="J962" s="32" t="s">
        <v>40</v>
      </c>
      <c r="K962" s="32" t="s">
        <v>41</v>
      </c>
      <c r="L962" s="32">
        <v>5</v>
      </c>
      <c r="M962" s="32" t="s">
        <v>5421</v>
      </c>
      <c r="N962" s="32" t="s">
        <v>45</v>
      </c>
    </row>
    <row r="963" spans="1:14" s="32" customFormat="1" hidden="1" x14ac:dyDescent="0.3">
      <c r="A963" s="39">
        <v>46189.705995370372</v>
      </c>
      <c r="B963" s="32">
        <v>43984996095</v>
      </c>
      <c r="C963" s="32" t="s">
        <v>44</v>
      </c>
      <c r="D963" s="32">
        <v>4430265054</v>
      </c>
      <c r="E963" s="32">
        <v>251</v>
      </c>
      <c r="F963" s="32">
        <v>188</v>
      </c>
      <c r="G963" s="32" t="s">
        <v>38</v>
      </c>
      <c r="H963" s="32" t="s">
        <v>6380</v>
      </c>
      <c r="I963" s="32" t="s">
        <v>39</v>
      </c>
      <c r="J963" s="32" t="s">
        <v>40</v>
      </c>
      <c r="K963" s="32" t="s">
        <v>41</v>
      </c>
      <c r="L963" s="32">
        <v>5</v>
      </c>
      <c r="M963" s="32" t="s">
        <v>5416</v>
      </c>
      <c r="N963" s="32" t="s">
        <v>44</v>
      </c>
    </row>
    <row r="964" spans="1:14" s="32" customFormat="1" hidden="1" x14ac:dyDescent="0.3">
      <c r="A964" s="39">
        <v>46189.703599537039</v>
      </c>
      <c r="B964" s="32">
        <v>4330333542</v>
      </c>
      <c r="C964" s="32" t="s">
        <v>43</v>
      </c>
      <c r="D964" s="32">
        <v>4430265054</v>
      </c>
      <c r="E964" s="32">
        <v>456</v>
      </c>
      <c r="F964" s="32">
        <v>396</v>
      </c>
      <c r="G964" s="32" t="s">
        <v>38</v>
      </c>
      <c r="H964" s="32" t="s">
        <v>6381</v>
      </c>
      <c r="I964" s="32" t="s">
        <v>39</v>
      </c>
      <c r="J964" s="32" t="s">
        <v>40</v>
      </c>
      <c r="K964" s="32" t="s">
        <v>41</v>
      </c>
      <c r="M964" s="32" t="s">
        <v>5418</v>
      </c>
      <c r="N964" s="32" t="s">
        <v>43</v>
      </c>
    </row>
    <row r="965" spans="1:14" s="32" customFormat="1" hidden="1" x14ac:dyDescent="0.3">
      <c r="A965" s="39">
        <v>46189.701597222222</v>
      </c>
      <c r="B965" s="32" t="s">
        <v>37</v>
      </c>
      <c r="C965" s="32">
        <v>4431337559</v>
      </c>
      <c r="E965" s="32">
        <v>1763</v>
      </c>
      <c r="F965" s="32">
        <v>1752</v>
      </c>
      <c r="G965" s="32" t="s">
        <v>38</v>
      </c>
      <c r="H965" s="32" t="s">
        <v>6382</v>
      </c>
      <c r="I965" s="32" t="s">
        <v>46</v>
      </c>
      <c r="J965" s="32" t="s">
        <v>40</v>
      </c>
      <c r="M965" s="32" t="s">
        <v>5410</v>
      </c>
      <c r="N965" s="32" t="s">
        <v>37</v>
      </c>
    </row>
    <row r="966" spans="1:14" s="32" customFormat="1" hidden="1" x14ac:dyDescent="0.3">
      <c r="A966" s="39">
        <v>46189.701504629629</v>
      </c>
      <c r="B966" s="32" t="s">
        <v>37</v>
      </c>
      <c r="C966" s="32">
        <v>4431337559</v>
      </c>
      <c r="E966" s="32">
        <v>14</v>
      </c>
      <c r="F966" s="32">
        <v>13</v>
      </c>
      <c r="G966" s="32" t="s">
        <v>38</v>
      </c>
      <c r="H966" s="32" t="s">
        <v>6383</v>
      </c>
      <c r="I966" s="32" t="s">
        <v>46</v>
      </c>
      <c r="J966" s="32" t="s">
        <v>40</v>
      </c>
      <c r="M966" s="32" t="s">
        <v>5410</v>
      </c>
      <c r="N966" s="32" t="s">
        <v>37</v>
      </c>
    </row>
    <row r="967" spans="1:14" s="32" customFormat="1" hidden="1" x14ac:dyDescent="0.3">
      <c r="A967" s="39">
        <v>46189.697812500002</v>
      </c>
      <c r="B967" s="32" t="s">
        <v>57</v>
      </c>
      <c r="C967" s="32">
        <v>4436232122</v>
      </c>
      <c r="E967" s="32">
        <v>131</v>
      </c>
      <c r="F967" s="32">
        <v>120</v>
      </c>
      <c r="G967" s="32" t="s">
        <v>38</v>
      </c>
      <c r="H967" s="32" t="s">
        <v>6384</v>
      </c>
      <c r="I967" s="32" t="s">
        <v>46</v>
      </c>
      <c r="J967" s="32" t="s">
        <v>55</v>
      </c>
      <c r="M967" s="32" t="s">
        <v>5456</v>
      </c>
      <c r="N967" s="32" t="s">
        <v>57</v>
      </c>
    </row>
    <row r="968" spans="1:14" s="32" customFormat="1" hidden="1" x14ac:dyDescent="0.3">
      <c r="A968" s="39">
        <v>46189.697534722225</v>
      </c>
      <c r="B968" s="32" t="s">
        <v>57</v>
      </c>
      <c r="C968" s="32">
        <v>4436241591</v>
      </c>
      <c r="E968" s="32">
        <v>0</v>
      </c>
      <c r="F968" s="32">
        <v>0</v>
      </c>
      <c r="G968" s="32" t="s">
        <v>47</v>
      </c>
      <c r="H968" s="32" t="s">
        <v>6385</v>
      </c>
      <c r="I968" s="32" t="s">
        <v>46</v>
      </c>
      <c r="J968" s="32" t="s">
        <v>55</v>
      </c>
      <c r="M968" s="32" t="s">
        <v>5456</v>
      </c>
      <c r="N968" s="32" t="s">
        <v>57</v>
      </c>
    </row>
    <row r="969" spans="1:14" s="32" customFormat="1" hidden="1" x14ac:dyDescent="0.3">
      <c r="A969" s="39">
        <v>46189.697384259256</v>
      </c>
      <c r="B969" s="32" t="s">
        <v>57</v>
      </c>
      <c r="C969" s="32">
        <v>4436241591</v>
      </c>
      <c r="E969" s="32">
        <v>1</v>
      </c>
      <c r="F969" s="32">
        <v>0</v>
      </c>
      <c r="G969" s="32" t="s">
        <v>47</v>
      </c>
      <c r="H969" s="32" t="s">
        <v>6386</v>
      </c>
      <c r="I969" s="32" t="s">
        <v>46</v>
      </c>
      <c r="J969" s="32" t="s">
        <v>55</v>
      </c>
      <c r="M969" s="32" t="s">
        <v>5456</v>
      </c>
      <c r="N969" s="32" t="s">
        <v>57</v>
      </c>
    </row>
    <row r="970" spans="1:14" s="32" customFormat="1" hidden="1" x14ac:dyDescent="0.3">
      <c r="A970" s="39">
        <v>46189.696875000001</v>
      </c>
      <c r="B970" s="32" t="s">
        <v>57</v>
      </c>
      <c r="C970" s="32">
        <v>4432232122</v>
      </c>
      <c r="E970" s="32">
        <v>36</v>
      </c>
      <c r="F970" s="32">
        <v>14</v>
      </c>
      <c r="G970" s="32" t="s">
        <v>38</v>
      </c>
      <c r="H970" s="32" t="s">
        <v>6387</v>
      </c>
      <c r="I970" s="32" t="s">
        <v>46</v>
      </c>
      <c r="J970" s="32" t="s">
        <v>55</v>
      </c>
      <c r="M970" s="32" t="s">
        <v>5456</v>
      </c>
      <c r="N970" s="32" t="s">
        <v>57</v>
      </c>
    </row>
    <row r="971" spans="1:14" s="32" customFormat="1" hidden="1" x14ac:dyDescent="0.3">
      <c r="A971" s="39">
        <v>46189.695069444446</v>
      </c>
      <c r="B971" s="32" t="s">
        <v>57</v>
      </c>
      <c r="C971" s="32">
        <v>44999270783</v>
      </c>
      <c r="E971" s="32">
        <v>87</v>
      </c>
      <c r="F971" s="32">
        <v>74</v>
      </c>
      <c r="G971" s="32" t="s">
        <v>38</v>
      </c>
      <c r="H971" s="32" t="s">
        <v>6388</v>
      </c>
      <c r="I971" s="32" t="s">
        <v>46</v>
      </c>
      <c r="J971" s="32" t="s">
        <v>55</v>
      </c>
      <c r="M971" s="32" t="s">
        <v>5456</v>
      </c>
      <c r="N971" s="32" t="s">
        <v>57</v>
      </c>
    </row>
    <row r="972" spans="1:14" s="32" customFormat="1" hidden="1" x14ac:dyDescent="0.3">
      <c r="A972" s="39">
        <v>46189.694965277777</v>
      </c>
      <c r="B972" s="32" t="s">
        <v>57</v>
      </c>
      <c r="C972" s="32">
        <v>4432462558</v>
      </c>
      <c r="E972" s="32">
        <v>1</v>
      </c>
      <c r="F972" s="32">
        <v>0</v>
      </c>
      <c r="G972" s="32" t="s">
        <v>47</v>
      </c>
      <c r="H972" s="32" t="s">
        <v>6389</v>
      </c>
      <c r="I972" s="32" t="s">
        <v>46</v>
      </c>
      <c r="J972" s="32" t="s">
        <v>55</v>
      </c>
      <c r="M972" s="32" t="s">
        <v>5456</v>
      </c>
      <c r="N972" s="32" t="s">
        <v>57</v>
      </c>
    </row>
    <row r="973" spans="1:14" s="32" customFormat="1" hidden="1" x14ac:dyDescent="0.3">
      <c r="A973" s="39">
        <v>46189.694803240738</v>
      </c>
      <c r="B973" s="32" t="s">
        <v>57</v>
      </c>
      <c r="C973" s="32">
        <v>4432462558</v>
      </c>
      <c r="E973" s="32">
        <v>0</v>
      </c>
      <c r="F973" s="32">
        <v>0</v>
      </c>
      <c r="G973" s="32" t="s">
        <v>47</v>
      </c>
      <c r="H973" s="32" t="s">
        <v>6390</v>
      </c>
      <c r="I973" s="32" t="s">
        <v>46</v>
      </c>
      <c r="J973" s="32" t="s">
        <v>55</v>
      </c>
      <c r="M973" s="32" t="s">
        <v>5456</v>
      </c>
      <c r="N973" s="32" t="s">
        <v>57</v>
      </c>
    </row>
    <row r="974" spans="1:14" s="32" customFormat="1" hidden="1" x14ac:dyDescent="0.3">
      <c r="A974" s="39">
        <v>46189.693761574075</v>
      </c>
      <c r="B974" s="32">
        <v>41999865917</v>
      </c>
      <c r="C974" s="32" t="s">
        <v>44</v>
      </c>
      <c r="D974" s="32">
        <v>4430265054</v>
      </c>
      <c r="E974" s="32">
        <v>187</v>
      </c>
      <c r="F974" s="32">
        <v>123</v>
      </c>
      <c r="G974" s="32" t="s">
        <v>38</v>
      </c>
      <c r="H974" s="32" t="s">
        <v>6391</v>
      </c>
      <c r="I974" s="32" t="s">
        <v>39</v>
      </c>
      <c r="J974" s="32" t="s">
        <v>40</v>
      </c>
      <c r="K974" s="32" t="s">
        <v>41</v>
      </c>
      <c r="M974" s="32" t="s">
        <v>5416</v>
      </c>
      <c r="N974" s="32" t="s">
        <v>44</v>
      </c>
    </row>
    <row r="975" spans="1:14" s="32" customFormat="1" hidden="1" x14ac:dyDescent="0.3">
      <c r="A975" s="39">
        <v>46189.690833333334</v>
      </c>
      <c r="B975" s="32" t="s">
        <v>43</v>
      </c>
      <c r="C975" s="32">
        <v>44984241715</v>
      </c>
      <c r="E975" s="32">
        <v>130</v>
      </c>
      <c r="F975" s="32">
        <v>120</v>
      </c>
      <c r="G975" s="32" t="s">
        <v>38</v>
      </c>
      <c r="H975" s="32" t="s">
        <v>6392</v>
      </c>
      <c r="I975" s="32" t="s">
        <v>46</v>
      </c>
      <c r="J975" s="32" t="s">
        <v>40</v>
      </c>
      <c r="M975" s="32" t="s">
        <v>5418</v>
      </c>
      <c r="N975" s="32" t="s">
        <v>43</v>
      </c>
    </row>
    <row r="976" spans="1:14" s="32" customFormat="1" hidden="1" x14ac:dyDescent="0.3">
      <c r="A976" s="39">
        <v>46189.690312500003</v>
      </c>
      <c r="B976" s="32" t="s">
        <v>43</v>
      </c>
      <c r="C976" s="32">
        <v>4430451715</v>
      </c>
      <c r="E976" s="32">
        <v>26</v>
      </c>
      <c r="F976" s="32">
        <v>0</v>
      </c>
      <c r="G976" s="32" t="s">
        <v>47</v>
      </c>
      <c r="H976" s="32" t="s">
        <v>6393</v>
      </c>
      <c r="I976" s="32" t="s">
        <v>46</v>
      </c>
      <c r="J976" s="32" t="s">
        <v>40</v>
      </c>
      <c r="M976" s="32" t="s">
        <v>5418</v>
      </c>
      <c r="N976" s="32" t="s">
        <v>43</v>
      </c>
    </row>
    <row r="977" spans="1:14" s="32" customFormat="1" hidden="1" x14ac:dyDescent="0.3">
      <c r="A977" s="39">
        <v>46189.690185185187</v>
      </c>
      <c r="B977" s="32">
        <v>4431337559</v>
      </c>
      <c r="C977" s="32" t="s">
        <v>37</v>
      </c>
      <c r="D977" s="32">
        <v>4430265054</v>
      </c>
      <c r="E977" s="32">
        <v>970</v>
      </c>
      <c r="F977" s="32">
        <v>812</v>
      </c>
      <c r="G977" s="32" t="s">
        <v>38</v>
      </c>
      <c r="H977" s="32" t="s">
        <v>6394</v>
      </c>
      <c r="I977" s="32" t="s">
        <v>39</v>
      </c>
      <c r="J977" s="32" t="s">
        <v>40</v>
      </c>
      <c r="K977" s="32" t="s">
        <v>41</v>
      </c>
      <c r="M977" s="32" t="s">
        <v>5410</v>
      </c>
      <c r="N977" s="32" t="s">
        <v>37</v>
      </c>
    </row>
    <row r="978" spans="1:14" s="32" customFormat="1" hidden="1" x14ac:dyDescent="0.3">
      <c r="A978" s="39">
        <v>46189.690162037034</v>
      </c>
      <c r="B978" s="32" t="s">
        <v>57</v>
      </c>
      <c r="C978" s="32">
        <v>4532541802</v>
      </c>
      <c r="E978" s="32">
        <v>133</v>
      </c>
      <c r="F978" s="32">
        <v>133</v>
      </c>
      <c r="G978" s="32" t="s">
        <v>38</v>
      </c>
      <c r="H978" s="32" t="s">
        <v>6395</v>
      </c>
      <c r="I978" s="32" t="s">
        <v>46</v>
      </c>
      <c r="J978" s="32" t="s">
        <v>55</v>
      </c>
      <c r="M978" s="32" t="s">
        <v>5456</v>
      </c>
      <c r="N978" s="32" t="s">
        <v>57</v>
      </c>
    </row>
    <row r="979" spans="1:14" s="32" customFormat="1" hidden="1" x14ac:dyDescent="0.3">
      <c r="A979" s="39">
        <v>46189.689756944441</v>
      </c>
      <c r="B979" s="32" t="s">
        <v>57</v>
      </c>
      <c r="C979" s="32">
        <v>45991054744</v>
      </c>
      <c r="E979" s="32">
        <v>5</v>
      </c>
      <c r="F979" s="32">
        <v>0</v>
      </c>
      <c r="G979" s="32" t="s">
        <v>47</v>
      </c>
      <c r="H979" s="32" t="s">
        <v>6396</v>
      </c>
      <c r="I979" s="32" t="s">
        <v>46</v>
      </c>
      <c r="J979" s="32" t="s">
        <v>55</v>
      </c>
      <c r="M979" s="32" t="s">
        <v>5456</v>
      </c>
      <c r="N979" s="32" t="s">
        <v>57</v>
      </c>
    </row>
    <row r="980" spans="1:14" s="32" customFormat="1" hidden="1" x14ac:dyDescent="0.3">
      <c r="A980" s="39">
        <v>46189.68959490741</v>
      </c>
      <c r="B980" s="32" t="s">
        <v>57</v>
      </c>
      <c r="C980" s="32">
        <v>44991054744</v>
      </c>
      <c r="E980" s="32">
        <v>3</v>
      </c>
      <c r="F980" s="32">
        <v>0</v>
      </c>
      <c r="G980" s="32" t="s">
        <v>47</v>
      </c>
      <c r="H980" s="32" t="s">
        <v>6397</v>
      </c>
      <c r="I980" s="32" t="s">
        <v>46</v>
      </c>
      <c r="J980" s="32" t="s">
        <v>55</v>
      </c>
      <c r="M980" s="32" t="s">
        <v>5456</v>
      </c>
      <c r="N980" s="32" t="s">
        <v>57</v>
      </c>
    </row>
    <row r="981" spans="1:14" s="32" customFormat="1" hidden="1" x14ac:dyDescent="0.3">
      <c r="A981" s="39">
        <v>46189.68953703704</v>
      </c>
      <c r="B981" s="32" t="s">
        <v>43</v>
      </c>
      <c r="C981" s="32">
        <v>4430451715</v>
      </c>
      <c r="E981" s="32">
        <v>4</v>
      </c>
      <c r="F981" s="32">
        <v>0</v>
      </c>
      <c r="G981" s="32" t="s">
        <v>47</v>
      </c>
      <c r="H981" s="32" t="s">
        <v>6398</v>
      </c>
      <c r="I981" s="32" t="s">
        <v>46</v>
      </c>
      <c r="J981" s="32" t="s">
        <v>40</v>
      </c>
      <c r="M981" s="32" t="s">
        <v>5418</v>
      </c>
      <c r="N981" s="32" t="s">
        <v>43</v>
      </c>
    </row>
    <row r="982" spans="1:14" s="32" customFormat="1" hidden="1" x14ac:dyDescent="0.3">
      <c r="A982" s="39">
        <v>46189.689398148148</v>
      </c>
      <c r="B982" s="32" t="s">
        <v>43</v>
      </c>
      <c r="C982" s="32">
        <v>4430451715</v>
      </c>
      <c r="E982" s="32">
        <v>9</v>
      </c>
      <c r="F982" s="32">
        <v>6</v>
      </c>
      <c r="G982" s="32" t="s">
        <v>38</v>
      </c>
      <c r="H982" s="32" t="s">
        <v>6399</v>
      </c>
      <c r="I982" s="32" t="s">
        <v>46</v>
      </c>
      <c r="J982" s="32" t="s">
        <v>40</v>
      </c>
      <c r="M982" s="32" t="s">
        <v>5418</v>
      </c>
      <c r="N982" s="32" t="s">
        <v>43</v>
      </c>
    </row>
    <row r="983" spans="1:14" s="32" customFormat="1" hidden="1" x14ac:dyDescent="0.3">
      <c r="A983" s="39">
        <v>46189.688993055555</v>
      </c>
      <c r="B983" s="32">
        <v>41999717893</v>
      </c>
      <c r="C983" s="32">
        <v>4431268225</v>
      </c>
      <c r="D983" s="32">
        <v>4431268225</v>
      </c>
      <c r="E983" s="32">
        <v>10</v>
      </c>
      <c r="F983" s="32">
        <v>9</v>
      </c>
      <c r="G983" s="32" t="s">
        <v>52</v>
      </c>
      <c r="H983" s="32" t="s">
        <v>6400</v>
      </c>
      <c r="I983" s="32" t="s">
        <v>39</v>
      </c>
      <c r="J983" s="32" t="s">
        <v>53</v>
      </c>
    </row>
    <row r="984" spans="1:14" s="32" customFormat="1" hidden="1" x14ac:dyDescent="0.3">
      <c r="A984" s="39">
        <v>46189.688773148147</v>
      </c>
      <c r="B984" s="32" t="s">
        <v>57</v>
      </c>
      <c r="C984" s="32">
        <v>44991024744</v>
      </c>
      <c r="E984" s="32">
        <v>54</v>
      </c>
      <c r="F984" s="32">
        <v>27</v>
      </c>
      <c r="G984" s="32" t="s">
        <v>38</v>
      </c>
      <c r="H984" s="32" t="s">
        <v>6401</v>
      </c>
      <c r="I984" s="32" t="s">
        <v>46</v>
      </c>
      <c r="J984" s="32" t="s">
        <v>55</v>
      </c>
      <c r="M984" s="32" t="s">
        <v>5456</v>
      </c>
      <c r="N984" s="32" t="s">
        <v>57</v>
      </c>
    </row>
    <row r="985" spans="1:14" s="32" customFormat="1" hidden="1" x14ac:dyDescent="0.3">
      <c r="A985" s="39">
        <v>46189.688668981478</v>
      </c>
      <c r="B985" s="32" t="s">
        <v>57</v>
      </c>
      <c r="C985" s="32">
        <v>4432544171</v>
      </c>
      <c r="E985" s="32">
        <v>0</v>
      </c>
      <c r="F985" s="32">
        <v>0</v>
      </c>
      <c r="G985" s="32" t="s">
        <v>47</v>
      </c>
      <c r="H985" s="32" t="s">
        <v>6402</v>
      </c>
      <c r="I985" s="32" t="s">
        <v>46</v>
      </c>
      <c r="J985" s="32" t="s">
        <v>55</v>
      </c>
      <c r="M985" s="32" t="s">
        <v>5456</v>
      </c>
      <c r="N985" s="32" t="s">
        <v>57</v>
      </c>
    </row>
    <row r="986" spans="1:14" s="32" customFormat="1" hidden="1" x14ac:dyDescent="0.3">
      <c r="A986" s="39">
        <v>46189.68855324074</v>
      </c>
      <c r="B986" s="32" t="s">
        <v>57</v>
      </c>
      <c r="C986" s="32">
        <v>4432541802</v>
      </c>
      <c r="E986" s="32">
        <v>1</v>
      </c>
      <c r="F986" s="32">
        <v>0</v>
      </c>
      <c r="G986" s="32" t="s">
        <v>47</v>
      </c>
      <c r="H986" s="32" t="s">
        <v>6403</v>
      </c>
      <c r="I986" s="32" t="s">
        <v>46</v>
      </c>
      <c r="J986" s="32" t="s">
        <v>55</v>
      </c>
      <c r="M986" s="32" t="s">
        <v>5456</v>
      </c>
      <c r="N986" s="32" t="s">
        <v>57</v>
      </c>
    </row>
    <row r="987" spans="1:14" s="32" customFormat="1" hidden="1" x14ac:dyDescent="0.3">
      <c r="A987" s="39">
        <v>46189.688356481478</v>
      </c>
      <c r="B987" s="32" t="s">
        <v>37</v>
      </c>
      <c r="C987" s="32">
        <v>41999717893</v>
      </c>
      <c r="E987" s="32">
        <v>32</v>
      </c>
      <c r="F987" s="32">
        <v>0</v>
      </c>
      <c r="G987" s="32" t="s">
        <v>47</v>
      </c>
      <c r="H987" s="32" t="s">
        <v>6404</v>
      </c>
      <c r="I987" s="32" t="s">
        <v>46</v>
      </c>
      <c r="J987" s="32" t="s">
        <v>40</v>
      </c>
      <c r="M987" s="32" t="s">
        <v>5410</v>
      </c>
      <c r="N987" s="32" t="s">
        <v>37</v>
      </c>
    </row>
    <row r="988" spans="1:14" s="32" customFormat="1" hidden="1" x14ac:dyDescent="0.3">
      <c r="A988" s="39">
        <v>46189.687916666669</v>
      </c>
      <c r="B988" s="32" t="s">
        <v>37</v>
      </c>
      <c r="C988" s="32">
        <v>41999717893</v>
      </c>
      <c r="E988" s="32">
        <v>35</v>
      </c>
      <c r="F988" s="32">
        <v>0</v>
      </c>
      <c r="G988" s="32" t="s">
        <v>47</v>
      </c>
      <c r="H988" s="32" t="s">
        <v>6405</v>
      </c>
      <c r="I988" s="32" t="s">
        <v>46</v>
      </c>
      <c r="J988" s="32" t="s">
        <v>40</v>
      </c>
      <c r="M988" s="32" t="s">
        <v>5410</v>
      </c>
      <c r="N988" s="32" t="s">
        <v>37</v>
      </c>
    </row>
    <row r="989" spans="1:14" s="32" customFormat="1" hidden="1" x14ac:dyDescent="0.3">
      <c r="A989" s="39">
        <v>46189.686898148146</v>
      </c>
      <c r="B989" s="32" t="s">
        <v>57</v>
      </c>
      <c r="C989" s="32">
        <v>4334721811</v>
      </c>
      <c r="E989" s="32">
        <v>69</v>
      </c>
      <c r="F989" s="32">
        <v>52</v>
      </c>
      <c r="G989" s="32" t="s">
        <v>38</v>
      </c>
      <c r="H989" s="32" t="s">
        <v>6406</v>
      </c>
      <c r="I989" s="32" t="s">
        <v>46</v>
      </c>
      <c r="J989" s="32" t="s">
        <v>55</v>
      </c>
      <c r="M989" s="32" t="s">
        <v>5456</v>
      </c>
      <c r="N989" s="32" t="s">
        <v>57</v>
      </c>
    </row>
    <row r="990" spans="1:14" s="32" customFormat="1" hidden="1" x14ac:dyDescent="0.3">
      <c r="A990" s="39">
        <v>46189.684513888889</v>
      </c>
      <c r="B990" s="32">
        <v>44999449519</v>
      </c>
      <c r="C990" s="32" t="s">
        <v>45</v>
      </c>
      <c r="D990" s="32">
        <v>4430265054</v>
      </c>
      <c r="E990" s="32">
        <v>1261</v>
      </c>
      <c r="F990" s="32">
        <v>1239</v>
      </c>
      <c r="G990" s="32" t="s">
        <v>38</v>
      </c>
      <c r="H990" s="32" t="s">
        <v>6407</v>
      </c>
      <c r="I990" s="32" t="s">
        <v>39</v>
      </c>
      <c r="J990" s="32" t="s">
        <v>40</v>
      </c>
      <c r="K990" s="32" t="s">
        <v>41</v>
      </c>
      <c r="M990" s="32" t="s">
        <v>5421</v>
      </c>
      <c r="N990" s="32" t="s">
        <v>45</v>
      </c>
    </row>
    <row r="991" spans="1:14" s="32" customFormat="1" hidden="1" x14ac:dyDescent="0.3">
      <c r="A991" s="39">
        <v>46189.684293981481</v>
      </c>
      <c r="B991" s="32" t="s">
        <v>57</v>
      </c>
      <c r="C991" s="32">
        <v>4432677399</v>
      </c>
      <c r="E991" s="32">
        <v>63</v>
      </c>
      <c r="F991" s="32">
        <v>53</v>
      </c>
      <c r="G991" s="32" t="s">
        <v>38</v>
      </c>
      <c r="H991" s="32" t="s">
        <v>6408</v>
      </c>
      <c r="I991" s="32" t="s">
        <v>46</v>
      </c>
      <c r="J991" s="32" t="s">
        <v>55</v>
      </c>
      <c r="M991" s="32" t="s">
        <v>5456</v>
      </c>
      <c r="N991" s="32" t="s">
        <v>57</v>
      </c>
    </row>
    <row r="992" spans="1:14" s="32" customFormat="1" hidden="1" x14ac:dyDescent="0.3">
      <c r="A992" s="39">
        <v>46189.682673611111</v>
      </c>
      <c r="B992" s="32" t="s">
        <v>54</v>
      </c>
      <c r="C992" s="32">
        <v>16991141350</v>
      </c>
      <c r="E992" s="32">
        <v>4</v>
      </c>
      <c r="F992" s="32">
        <v>0</v>
      </c>
      <c r="G992" s="32" t="s">
        <v>47</v>
      </c>
      <c r="H992" s="32" t="s">
        <v>6409</v>
      </c>
      <c r="I992" s="32" t="s">
        <v>46</v>
      </c>
      <c r="J992" s="32" t="s">
        <v>55</v>
      </c>
      <c r="M992" s="32" t="s">
        <v>5537</v>
      </c>
      <c r="N992" s="32" t="s">
        <v>54</v>
      </c>
    </row>
    <row r="993" spans="1:14" s="32" customFormat="1" hidden="1" x14ac:dyDescent="0.3">
      <c r="A993" s="39">
        <v>46189.681898148148</v>
      </c>
      <c r="B993" s="32" t="s">
        <v>54</v>
      </c>
      <c r="C993" s="32">
        <v>92995201255</v>
      </c>
      <c r="E993" s="32">
        <v>7</v>
      </c>
      <c r="F993" s="32">
        <v>1</v>
      </c>
      <c r="G993" s="32" t="s">
        <v>38</v>
      </c>
      <c r="H993" s="32" t="s">
        <v>6410</v>
      </c>
      <c r="I993" s="32" t="s">
        <v>46</v>
      </c>
      <c r="J993" s="32" t="s">
        <v>55</v>
      </c>
      <c r="M993" s="32" t="s">
        <v>5537</v>
      </c>
      <c r="N993" s="32" t="s">
        <v>54</v>
      </c>
    </row>
    <row r="994" spans="1:14" s="32" customFormat="1" hidden="1" x14ac:dyDescent="0.3">
      <c r="A994" s="39">
        <v>46189.680138888885</v>
      </c>
      <c r="B994" s="32" t="s">
        <v>54</v>
      </c>
      <c r="C994" s="32">
        <v>51991832098</v>
      </c>
      <c r="E994" s="32">
        <v>27</v>
      </c>
      <c r="F994" s="32">
        <v>4</v>
      </c>
      <c r="G994" s="32" t="s">
        <v>38</v>
      </c>
      <c r="H994" s="32" t="s">
        <v>6411</v>
      </c>
      <c r="I994" s="32" t="s">
        <v>46</v>
      </c>
      <c r="J994" s="32" t="s">
        <v>55</v>
      </c>
      <c r="M994" s="32" t="s">
        <v>5537</v>
      </c>
      <c r="N994" s="32" t="s">
        <v>54</v>
      </c>
    </row>
    <row r="995" spans="1:14" s="32" customFormat="1" hidden="1" x14ac:dyDescent="0.3">
      <c r="A995" s="39">
        <v>46189.6797337963</v>
      </c>
      <c r="B995" s="32" t="s">
        <v>43</v>
      </c>
      <c r="C995" s="32">
        <v>4532541802</v>
      </c>
      <c r="E995" s="32">
        <v>220</v>
      </c>
      <c r="F995" s="32">
        <v>219</v>
      </c>
      <c r="G995" s="32" t="s">
        <v>38</v>
      </c>
      <c r="H995" s="32" t="s">
        <v>6412</v>
      </c>
      <c r="I995" s="32" t="s">
        <v>46</v>
      </c>
      <c r="J995" s="32" t="s">
        <v>40</v>
      </c>
      <c r="M995" s="32" t="s">
        <v>5418</v>
      </c>
      <c r="N995" s="32" t="s">
        <v>43</v>
      </c>
    </row>
    <row r="996" spans="1:14" s="32" customFormat="1" hidden="1" x14ac:dyDescent="0.3">
      <c r="A996" s="39">
        <v>46189.679398148146</v>
      </c>
      <c r="B996" s="32" t="s">
        <v>54</v>
      </c>
      <c r="C996" s="32">
        <v>45999495960</v>
      </c>
      <c r="E996" s="32">
        <v>1</v>
      </c>
      <c r="F996" s="32">
        <v>0</v>
      </c>
      <c r="G996" s="32" t="s">
        <v>47</v>
      </c>
      <c r="H996" s="32" t="s">
        <v>6413</v>
      </c>
      <c r="I996" s="32" t="s">
        <v>46</v>
      </c>
      <c r="J996" s="32" t="s">
        <v>55</v>
      </c>
      <c r="M996" s="32" t="s">
        <v>5537</v>
      </c>
      <c r="N996" s="32" t="s">
        <v>54</v>
      </c>
    </row>
    <row r="997" spans="1:14" s="32" customFormat="1" hidden="1" x14ac:dyDescent="0.3">
      <c r="A997" s="39">
        <v>46189.678553240738</v>
      </c>
      <c r="B997" s="32" t="s">
        <v>43</v>
      </c>
      <c r="C997" s="32">
        <v>4436351414</v>
      </c>
      <c r="E997" s="32">
        <v>52</v>
      </c>
      <c r="F997" s="32">
        <v>45</v>
      </c>
      <c r="G997" s="32" t="s">
        <v>38</v>
      </c>
      <c r="H997" s="32" t="s">
        <v>6414</v>
      </c>
      <c r="I997" s="32" t="s">
        <v>46</v>
      </c>
      <c r="J997" s="32" t="s">
        <v>40</v>
      </c>
      <c r="M997" s="32" t="s">
        <v>5418</v>
      </c>
      <c r="N997" s="32" t="s">
        <v>43</v>
      </c>
    </row>
    <row r="998" spans="1:14" s="32" customFormat="1" hidden="1" x14ac:dyDescent="0.3">
      <c r="A998" s="39">
        <v>46189.678078703706</v>
      </c>
      <c r="B998" s="32" t="s">
        <v>43</v>
      </c>
      <c r="C998" s="32">
        <v>4436351414</v>
      </c>
      <c r="E998" s="32">
        <v>31</v>
      </c>
      <c r="F998" s="32">
        <v>17</v>
      </c>
      <c r="G998" s="32" t="s">
        <v>38</v>
      </c>
      <c r="H998" s="32" t="s">
        <v>6415</v>
      </c>
      <c r="I998" s="32" t="s">
        <v>46</v>
      </c>
      <c r="J998" s="32" t="s">
        <v>40</v>
      </c>
      <c r="M998" s="32" t="s">
        <v>5418</v>
      </c>
      <c r="N998" s="32" t="s">
        <v>43</v>
      </c>
    </row>
    <row r="999" spans="1:14" s="32" customFormat="1" hidden="1" x14ac:dyDescent="0.3">
      <c r="A999" s="39">
        <v>46189.677662037036</v>
      </c>
      <c r="B999" s="32" t="s">
        <v>57</v>
      </c>
      <c r="C999" s="32">
        <v>4432263417</v>
      </c>
      <c r="E999" s="32">
        <v>76</v>
      </c>
      <c r="F999" s="32">
        <v>63</v>
      </c>
      <c r="G999" s="32" t="s">
        <v>38</v>
      </c>
      <c r="H999" s="32" t="s">
        <v>6416</v>
      </c>
      <c r="I999" s="32" t="s">
        <v>46</v>
      </c>
      <c r="J999" s="32" t="s">
        <v>55</v>
      </c>
      <c r="M999" s="32" t="s">
        <v>5456</v>
      </c>
      <c r="N999" s="32" t="s">
        <v>57</v>
      </c>
    </row>
    <row r="1000" spans="1:14" s="32" customFormat="1" hidden="1" x14ac:dyDescent="0.3">
      <c r="A1000" s="39">
        <v>46189.675335648149</v>
      </c>
      <c r="B1000" s="32">
        <v>6234347959</v>
      </c>
      <c r="C1000" s="32" t="s">
        <v>43</v>
      </c>
      <c r="D1000" s="32">
        <v>4430265054</v>
      </c>
      <c r="E1000" s="32">
        <v>171</v>
      </c>
      <c r="F1000" s="32">
        <v>103</v>
      </c>
      <c r="G1000" s="32" t="s">
        <v>38</v>
      </c>
      <c r="H1000" s="32" t="s">
        <v>6417</v>
      </c>
      <c r="I1000" s="32" t="s">
        <v>39</v>
      </c>
      <c r="J1000" s="32" t="s">
        <v>40</v>
      </c>
      <c r="K1000" s="32" t="s">
        <v>41</v>
      </c>
      <c r="L1000" s="32">
        <v>5</v>
      </c>
      <c r="M1000" s="32" t="s">
        <v>5418</v>
      </c>
      <c r="N1000" s="32" t="s">
        <v>43</v>
      </c>
    </row>
    <row r="1001" spans="1:14" s="32" customFormat="1" hidden="1" x14ac:dyDescent="0.3">
      <c r="A1001" s="39">
        <v>46189.667592592596</v>
      </c>
      <c r="B1001" s="32">
        <v>44991381017</v>
      </c>
      <c r="C1001" s="32" t="s">
        <v>37</v>
      </c>
      <c r="D1001" s="32">
        <v>4430265054</v>
      </c>
      <c r="E1001" s="32">
        <v>572</v>
      </c>
      <c r="F1001" s="32">
        <v>360</v>
      </c>
      <c r="G1001" s="32" t="s">
        <v>38</v>
      </c>
      <c r="H1001" s="32" t="s">
        <v>6418</v>
      </c>
      <c r="I1001" s="32" t="s">
        <v>39</v>
      </c>
      <c r="J1001" s="32" t="s">
        <v>40</v>
      </c>
      <c r="K1001" s="32" t="s">
        <v>41</v>
      </c>
      <c r="M1001" s="32" t="s">
        <v>5410</v>
      </c>
      <c r="N1001" s="32" t="s">
        <v>37</v>
      </c>
    </row>
    <row r="1002" spans="1:14" s="32" customFormat="1" hidden="1" x14ac:dyDescent="0.3">
      <c r="A1002" s="39">
        <v>46189.664375</v>
      </c>
      <c r="B1002" s="32" t="s">
        <v>54</v>
      </c>
      <c r="C1002" s="32">
        <v>11992383072</v>
      </c>
      <c r="E1002" s="32">
        <v>3</v>
      </c>
      <c r="F1002" s="32">
        <v>0</v>
      </c>
      <c r="G1002" s="32" t="s">
        <v>47</v>
      </c>
      <c r="H1002" s="32" t="s">
        <v>6419</v>
      </c>
      <c r="I1002" s="32" t="s">
        <v>46</v>
      </c>
      <c r="J1002" s="32" t="s">
        <v>55</v>
      </c>
      <c r="M1002" s="32" t="s">
        <v>5537</v>
      </c>
      <c r="N1002" s="32" t="s">
        <v>54</v>
      </c>
    </row>
    <row r="1003" spans="1:14" s="32" customFormat="1" hidden="1" x14ac:dyDescent="0.3">
      <c r="A1003" s="39">
        <v>46189.659895833334</v>
      </c>
      <c r="B1003" s="32" t="s">
        <v>43</v>
      </c>
      <c r="C1003" s="32">
        <v>4430451715</v>
      </c>
      <c r="E1003" s="32">
        <v>198</v>
      </c>
      <c r="F1003" s="32">
        <v>194</v>
      </c>
      <c r="G1003" s="32" t="s">
        <v>38</v>
      </c>
      <c r="H1003" s="32" t="s">
        <v>6420</v>
      </c>
      <c r="I1003" s="32" t="s">
        <v>46</v>
      </c>
      <c r="J1003" s="32" t="s">
        <v>40</v>
      </c>
      <c r="M1003" s="32" t="s">
        <v>5418</v>
      </c>
      <c r="N1003" s="32" t="s">
        <v>43</v>
      </c>
    </row>
    <row r="1004" spans="1:14" s="32" customFormat="1" hidden="1" x14ac:dyDescent="0.3">
      <c r="A1004" s="39">
        <v>46189.651226851849</v>
      </c>
      <c r="B1004" s="32">
        <v>4430191513</v>
      </c>
      <c r="C1004" s="32" t="s">
        <v>43</v>
      </c>
      <c r="D1004" s="32">
        <v>4430265054</v>
      </c>
      <c r="E1004" s="32">
        <v>550</v>
      </c>
      <c r="F1004" s="32">
        <v>501</v>
      </c>
      <c r="G1004" s="32" t="s">
        <v>38</v>
      </c>
      <c r="H1004" s="32" t="s">
        <v>6421</v>
      </c>
      <c r="I1004" s="32" t="s">
        <v>39</v>
      </c>
      <c r="J1004" s="32" t="s">
        <v>40</v>
      </c>
      <c r="K1004" s="32" t="s">
        <v>41</v>
      </c>
      <c r="M1004" s="32" t="s">
        <v>5418</v>
      </c>
      <c r="N1004" s="32" t="s">
        <v>43</v>
      </c>
    </row>
    <row r="1005" spans="1:14" s="32" customFormat="1" hidden="1" x14ac:dyDescent="0.3">
      <c r="A1005" s="39">
        <v>46189.650208333333</v>
      </c>
      <c r="B1005" s="32" t="s">
        <v>57</v>
      </c>
      <c r="C1005" s="32">
        <v>44998006660</v>
      </c>
      <c r="E1005" s="32">
        <v>34</v>
      </c>
      <c r="F1005" s="32">
        <v>13</v>
      </c>
      <c r="G1005" s="32" t="s">
        <v>38</v>
      </c>
      <c r="H1005" s="32" t="s">
        <v>6422</v>
      </c>
      <c r="I1005" s="32" t="s">
        <v>46</v>
      </c>
      <c r="J1005" s="32" t="s">
        <v>55</v>
      </c>
      <c r="M1005" s="32" t="s">
        <v>5456</v>
      </c>
      <c r="N1005" s="32" t="s">
        <v>57</v>
      </c>
    </row>
    <row r="1006" spans="1:14" s="32" customFormat="1" hidden="1" x14ac:dyDescent="0.3">
      <c r="A1006" s="39">
        <v>46189.64775462963</v>
      </c>
      <c r="B1006" s="32" t="s">
        <v>54</v>
      </c>
      <c r="C1006" s="32">
        <v>21968259283</v>
      </c>
      <c r="E1006" s="32">
        <v>21</v>
      </c>
      <c r="F1006" s="32">
        <v>3</v>
      </c>
      <c r="G1006" s="32" t="s">
        <v>38</v>
      </c>
      <c r="H1006" s="32" t="s">
        <v>6423</v>
      </c>
      <c r="I1006" s="32" t="s">
        <v>46</v>
      </c>
      <c r="J1006" s="32" t="s">
        <v>55</v>
      </c>
      <c r="M1006" s="32" t="s">
        <v>5537</v>
      </c>
      <c r="N1006" s="32" t="s">
        <v>54</v>
      </c>
    </row>
    <row r="1007" spans="1:14" s="32" customFormat="1" hidden="1" x14ac:dyDescent="0.3">
      <c r="A1007" s="39">
        <v>46189.646874999999</v>
      </c>
      <c r="B1007" s="32" t="s">
        <v>57</v>
      </c>
      <c r="C1007" s="32">
        <v>44999416670</v>
      </c>
      <c r="E1007" s="32">
        <v>51</v>
      </c>
      <c r="F1007" s="32">
        <v>11</v>
      </c>
      <c r="G1007" s="32" t="s">
        <v>38</v>
      </c>
      <c r="H1007" s="32" t="s">
        <v>6424</v>
      </c>
      <c r="I1007" s="32" t="s">
        <v>46</v>
      </c>
      <c r="J1007" s="32" t="s">
        <v>55</v>
      </c>
      <c r="M1007" s="32" t="s">
        <v>5456</v>
      </c>
      <c r="N1007" s="32" t="s">
        <v>57</v>
      </c>
    </row>
    <row r="1008" spans="1:14" s="32" customFormat="1" hidden="1" x14ac:dyDescent="0.3">
      <c r="A1008" s="39">
        <v>46189.646851851852</v>
      </c>
      <c r="B1008" s="32">
        <v>35998295948</v>
      </c>
      <c r="C1008" s="32">
        <v>4430265054</v>
      </c>
      <c r="D1008" s="32">
        <v>4430265054</v>
      </c>
      <c r="E1008" s="32">
        <v>85</v>
      </c>
      <c r="F1008" s="32">
        <v>85</v>
      </c>
      <c r="G1008" s="32" t="s">
        <v>52</v>
      </c>
      <c r="H1008" s="32" t="s">
        <v>6425</v>
      </c>
      <c r="I1008" s="32" t="s">
        <v>39</v>
      </c>
      <c r="J1008" s="32" t="s">
        <v>53</v>
      </c>
      <c r="K1008" s="32" t="s">
        <v>41</v>
      </c>
    </row>
    <row r="1009" spans="1:14" s="32" customFormat="1" hidden="1" x14ac:dyDescent="0.3">
      <c r="A1009" s="39">
        <v>46189.646053240744</v>
      </c>
      <c r="B1009" s="32" t="s">
        <v>57</v>
      </c>
      <c r="C1009" s="32">
        <v>44999416670</v>
      </c>
      <c r="E1009" s="32">
        <v>60</v>
      </c>
      <c r="F1009" s="32">
        <v>21</v>
      </c>
      <c r="G1009" s="32" t="s">
        <v>38</v>
      </c>
      <c r="H1009" s="32" t="s">
        <v>6426</v>
      </c>
      <c r="I1009" s="32" t="s">
        <v>46</v>
      </c>
      <c r="J1009" s="32" t="s">
        <v>55</v>
      </c>
      <c r="M1009" s="32" t="s">
        <v>5456</v>
      </c>
      <c r="N1009" s="32" t="s">
        <v>57</v>
      </c>
    </row>
    <row r="1010" spans="1:14" s="32" customFormat="1" hidden="1" x14ac:dyDescent="0.3">
      <c r="A1010" s="39">
        <v>46189.645879629628</v>
      </c>
      <c r="B1010" s="32" t="s">
        <v>57</v>
      </c>
      <c r="C1010" s="32">
        <v>44999416670</v>
      </c>
      <c r="E1010" s="32">
        <v>3</v>
      </c>
      <c r="F1010" s="32">
        <v>0</v>
      </c>
      <c r="G1010" s="32" t="s">
        <v>47</v>
      </c>
      <c r="H1010" s="32" t="s">
        <v>6427</v>
      </c>
      <c r="I1010" s="32" t="s">
        <v>46</v>
      </c>
      <c r="J1010" s="32" t="s">
        <v>55</v>
      </c>
      <c r="M1010" s="32" t="s">
        <v>5456</v>
      </c>
      <c r="N1010" s="32" t="s">
        <v>57</v>
      </c>
    </row>
    <row r="1011" spans="1:14" s="32" customFormat="1" hidden="1" x14ac:dyDescent="0.3">
      <c r="A1011" s="39">
        <v>46189.64576388889</v>
      </c>
      <c r="B1011" s="32" t="s">
        <v>57</v>
      </c>
      <c r="C1011" s="32">
        <v>4432322101</v>
      </c>
      <c r="E1011" s="32">
        <v>1</v>
      </c>
      <c r="F1011" s="32">
        <v>0</v>
      </c>
      <c r="G1011" s="32" t="s">
        <v>47</v>
      </c>
      <c r="H1011" s="32" t="s">
        <v>6428</v>
      </c>
      <c r="I1011" s="32" t="s">
        <v>46</v>
      </c>
      <c r="J1011" s="32" t="s">
        <v>55</v>
      </c>
      <c r="M1011" s="32" t="s">
        <v>5456</v>
      </c>
      <c r="N1011" s="32" t="s">
        <v>57</v>
      </c>
    </row>
    <row r="1012" spans="1:14" s="32" customFormat="1" hidden="1" x14ac:dyDescent="0.3">
      <c r="A1012" s="39">
        <v>46189.645613425928</v>
      </c>
      <c r="B1012" s="32" t="s">
        <v>57</v>
      </c>
      <c r="C1012" s="32">
        <v>4432322101</v>
      </c>
      <c r="E1012" s="32">
        <v>0</v>
      </c>
      <c r="F1012" s="32">
        <v>0</v>
      </c>
      <c r="G1012" s="32" t="s">
        <v>47</v>
      </c>
      <c r="H1012" s="32" t="s">
        <v>6429</v>
      </c>
      <c r="I1012" s="32" t="s">
        <v>46</v>
      </c>
      <c r="J1012" s="32" t="s">
        <v>55</v>
      </c>
      <c r="M1012" s="32" t="s">
        <v>5456</v>
      </c>
      <c r="N1012" s="32" t="s">
        <v>57</v>
      </c>
    </row>
    <row r="1013" spans="1:14" s="32" customFormat="1" hidden="1" x14ac:dyDescent="0.3">
      <c r="A1013" s="39">
        <v>46189.644525462965</v>
      </c>
      <c r="B1013" s="32">
        <v>44999389014</v>
      </c>
      <c r="C1013" s="32" t="s">
        <v>43</v>
      </c>
      <c r="D1013" s="32">
        <v>4430265054</v>
      </c>
      <c r="E1013" s="32">
        <v>564</v>
      </c>
      <c r="F1013" s="32">
        <v>546</v>
      </c>
      <c r="G1013" s="32" t="s">
        <v>38</v>
      </c>
      <c r="H1013" s="32" t="s">
        <v>6430</v>
      </c>
      <c r="I1013" s="32" t="s">
        <v>39</v>
      </c>
      <c r="J1013" s="32" t="s">
        <v>40</v>
      </c>
      <c r="K1013" s="32" t="s">
        <v>41</v>
      </c>
      <c r="L1013" s="32">
        <v>5</v>
      </c>
      <c r="M1013" s="32" t="s">
        <v>5418</v>
      </c>
      <c r="N1013" s="32" t="s">
        <v>43</v>
      </c>
    </row>
    <row r="1014" spans="1:14" s="32" customFormat="1" hidden="1" x14ac:dyDescent="0.3">
      <c r="A1014" s="39">
        <v>46189.644386574073</v>
      </c>
      <c r="B1014" s="32">
        <v>4330261969</v>
      </c>
      <c r="C1014" s="32" t="s">
        <v>48</v>
      </c>
      <c r="D1014" s="32">
        <v>4430265054</v>
      </c>
      <c r="E1014" s="32">
        <v>427</v>
      </c>
      <c r="F1014" s="32">
        <v>329</v>
      </c>
      <c r="G1014" s="32" t="s">
        <v>38</v>
      </c>
      <c r="H1014" s="32" t="s">
        <v>6431</v>
      </c>
      <c r="I1014" s="32" t="s">
        <v>39</v>
      </c>
      <c r="J1014" s="32" t="s">
        <v>40</v>
      </c>
      <c r="K1014" s="32" t="s">
        <v>41</v>
      </c>
      <c r="M1014" s="32" t="s">
        <v>5412</v>
      </c>
      <c r="N1014" s="32" t="s">
        <v>48</v>
      </c>
    </row>
    <row r="1015" spans="1:14" s="32" customFormat="1" hidden="1" x14ac:dyDescent="0.3">
      <c r="A1015" s="39">
        <v>46189.643240740741</v>
      </c>
      <c r="B1015" s="32">
        <v>44988067937</v>
      </c>
      <c r="C1015" s="32" t="s">
        <v>45</v>
      </c>
      <c r="D1015" s="32">
        <v>4430265054</v>
      </c>
      <c r="E1015" s="32">
        <v>2336</v>
      </c>
      <c r="F1015" s="32">
        <v>2240</v>
      </c>
      <c r="G1015" s="32" t="s">
        <v>38</v>
      </c>
      <c r="H1015" s="32" t="s">
        <v>6432</v>
      </c>
      <c r="I1015" s="32" t="s">
        <v>39</v>
      </c>
      <c r="J1015" s="32" t="s">
        <v>40</v>
      </c>
      <c r="K1015" s="32" t="s">
        <v>41</v>
      </c>
      <c r="M1015" s="32" t="s">
        <v>5421</v>
      </c>
      <c r="N1015" s="32" t="s">
        <v>45</v>
      </c>
    </row>
    <row r="1016" spans="1:14" s="32" customFormat="1" hidden="1" x14ac:dyDescent="0.3">
      <c r="A1016" s="39">
        <v>46189.641192129631</v>
      </c>
      <c r="B1016" s="32" t="s">
        <v>57</v>
      </c>
      <c r="C1016" s="32">
        <v>4130760170</v>
      </c>
      <c r="E1016" s="32">
        <v>171</v>
      </c>
      <c r="F1016" s="32">
        <v>158</v>
      </c>
      <c r="G1016" s="32" t="s">
        <v>38</v>
      </c>
      <c r="H1016" s="32" t="s">
        <v>6433</v>
      </c>
      <c r="I1016" s="32" t="s">
        <v>46</v>
      </c>
      <c r="J1016" s="32" t="s">
        <v>55</v>
      </c>
      <c r="M1016" s="32" t="s">
        <v>5456</v>
      </c>
      <c r="N1016" s="32" t="s">
        <v>57</v>
      </c>
    </row>
    <row r="1017" spans="1:14" s="32" customFormat="1" hidden="1" x14ac:dyDescent="0.3">
      <c r="A1017" s="39">
        <v>46189.640034722222</v>
      </c>
      <c r="B1017" s="32">
        <v>44999497001</v>
      </c>
      <c r="C1017" s="32" t="s">
        <v>37</v>
      </c>
      <c r="D1017" s="32">
        <v>4430265054</v>
      </c>
      <c r="E1017" s="32">
        <v>964</v>
      </c>
      <c r="F1017" s="32">
        <v>817</v>
      </c>
      <c r="G1017" s="32" t="s">
        <v>38</v>
      </c>
      <c r="H1017" s="32" t="s">
        <v>6434</v>
      </c>
      <c r="I1017" s="32" t="s">
        <v>39</v>
      </c>
      <c r="J1017" s="32" t="s">
        <v>40</v>
      </c>
      <c r="K1017" s="32" t="s">
        <v>41</v>
      </c>
      <c r="M1017" s="32" t="s">
        <v>5410</v>
      </c>
      <c r="N1017" s="32" t="s">
        <v>37</v>
      </c>
    </row>
    <row r="1018" spans="1:14" s="32" customFormat="1" hidden="1" x14ac:dyDescent="0.3">
      <c r="A1018" s="39">
        <v>46189.638564814813</v>
      </c>
      <c r="B1018" s="32" t="s">
        <v>57</v>
      </c>
      <c r="C1018" s="32">
        <v>4430459001</v>
      </c>
      <c r="E1018" s="32">
        <v>133</v>
      </c>
      <c r="F1018" s="32">
        <v>122</v>
      </c>
      <c r="G1018" s="32" t="s">
        <v>38</v>
      </c>
      <c r="H1018" s="32" t="s">
        <v>6435</v>
      </c>
      <c r="I1018" s="32" t="s">
        <v>46</v>
      </c>
      <c r="J1018" s="32" t="s">
        <v>55</v>
      </c>
      <c r="M1018" s="32" t="s">
        <v>5456</v>
      </c>
      <c r="N1018" s="32" t="s">
        <v>57</v>
      </c>
    </row>
    <row r="1019" spans="1:14" s="32" customFormat="1" hidden="1" x14ac:dyDescent="0.3">
      <c r="A1019" s="39">
        <v>46189.638460648152</v>
      </c>
      <c r="B1019" s="32" t="s">
        <v>57</v>
      </c>
      <c r="C1019" s="32">
        <v>4434233167</v>
      </c>
      <c r="E1019" s="32">
        <v>2</v>
      </c>
      <c r="F1019" s="32">
        <v>0</v>
      </c>
      <c r="G1019" s="32" t="s">
        <v>47</v>
      </c>
      <c r="H1019" s="32" t="s">
        <v>6436</v>
      </c>
      <c r="I1019" s="32" t="s">
        <v>46</v>
      </c>
      <c r="J1019" s="32" t="s">
        <v>55</v>
      </c>
      <c r="M1019" s="32" t="s">
        <v>5456</v>
      </c>
      <c r="N1019" s="32" t="s">
        <v>57</v>
      </c>
    </row>
    <row r="1020" spans="1:14" s="32" customFormat="1" hidden="1" x14ac:dyDescent="0.3">
      <c r="A1020" s="39">
        <v>46189.638101851851</v>
      </c>
      <c r="B1020" s="32" t="s">
        <v>57</v>
      </c>
      <c r="C1020" s="32">
        <v>4430459001</v>
      </c>
      <c r="E1020" s="32">
        <v>25</v>
      </c>
      <c r="F1020" s="32">
        <v>17</v>
      </c>
      <c r="G1020" s="32" t="s">
        <v>38</v>
      </c>
      <c r="H1020" s="32" t="s">
        <v>6437</v>
      </c>
      <c r="I1020" s="32" t="s">
        <v>46</v>
      </c>
      <c r="J1020" s="32" t="s">
        <v>55</v>
      </c>
      <c r="M1020" s="32" t="s">
        <v>5456</v>
      </c>
      <c r="N1020" s="32" t="s">
        <v>57</v>
      </c>
    </row>
    <row r="1021" spans="1:14" s="32" customFormat="1" hidden="1" x14ac:dyDescent="0.3">
      <c r="A1021" s="39">
        <v>46189.637476851851</v>
      </c>
      <c r="B1021" s="32" t="s">
        <v>57</v>
      </c>
      <c r="C1021" s="32">
        <v>44988681870</v>
      </c>
      <c r="E1021" s="32">
        <v>46</v>
      </c>
      <c r="F1021" s="32">
        <v>9</v>
      </c>
      <c r="G1021" s="32" t="s">
        <v>38</v>
      </c>
      <c r="H1021" s="32" t="s">
        <v>6438</v>
      </c>
      <c r="I1021" s="32" t="s">
        <v>46</v>
      </c>
      <c r="J1021" s="32" t="s">
        <v>55</v>
      </c>
      <c r="M1021" s="32" t="s">
        <v>5456</v>
      </c>
      <c r="N1021" s="32" t="s">
        <v>57</v>
      </c>
    </row>
    <row r="1022" spans="1:14" s="32" customFormat="1" hidden="1" x14ac:dyDescent="0.3">
      <c r="A1022" s="39">
        <v>46189.637326388889</v>
      </c>
      <c r="B1022" s="32" t="s">
        <v>57</v>
      </c>
      <c r="C1022" s="32">
        <v>4434233167</v>
      </c>
      <c r="E1022" s="32">
        <v>1</v>
      </c>
      <c r="F1022" s="32">
        <v>0</v>
      </c>
      <c r="G1022" s="32" t="s">
        <v>47</v>
      </c>
      <c r="H1022" s="32" t="s">
        <v>6439</v>
      </c>
      <c r="I1022" s="32" t="s">
        <v>46</v>
      </c>
      <c r="J1022" s="32" t="s">
        <v>55</v>
      </c>
      <c r="M1022" s="32" t="s">
        <v>5456</v>
      </c>
      <c r="N1022" s="32" t="s">
        <v>57</v>
      </c>
    </row>
    <row r="1023" spans="1:14" s="32" customFormat="1" hidden="1" x14ac:dyDescent="0.3">
      <c r="A1023" s="39">
        <v>46189.637175925927</v>
      </c>
      <c r="B1023" s="32" t="s">
        <v>57</v>
      </c>
      <c r="C1023" s="32">
        <v>4434233167</v>
      </c>
      <c r="E1023" s="32">
        <v>3</v>
      </c>
      <c r="F1023" s="32">
        <v>0</v>
      </c>
      <c r="G1023" s="32" t="s">
        <v>47</v>
      </c>
      <c r="H1023" s="32" t="s">
        <v>6440</v>
      </c>
      <c r="I1023" s="32" t="s">
        <v>46</v>
      </c>
      <c r="J1023" s="32" t="s">
        <v>55</v>
      </c>
      <c r="M1023" s="32" t="s">
        <v>5456</v>
      </c>
      <c r="N1023" s="32" t="s">
        <v>57</v>
      </c>
    </row>
    <row r="1024" spans="1:14" s="32" customFormat="1" hidden="1" x14ac:dyDescent="0.3">
      <c r="A1024" s="39">
        <v>46189.636620370373</v>
      </c>
      <c r="B1024" s="32" t="s">
        <v>54</v>
      </c>
      <c r="C1024" s="32">
        <v>88999646996</v>
      </c>
      <c r="E1024" s="32">
        <v>7</v>
      </c>
      <c r="F1024" s="32">
        <v>2</v>
      </c>
      <c r="G1024" s="32" t="s">
        <v>38</v>
      </c>
      <c r="H1024" s="32" t="s">
        <v>6441</v>
      </c>
      <c r="I1024" s="32" t="s">
        <v>46</v>
      </c>
      <c r="J1024" s="32" t="s">
        <v>55</v>
      </c>
      <c r="M1024" s="32" t="s">
        <v>5537</v>
      </c>
      <c r="N1024" s="32" t="s">
        <v>54</v>
      </c>
    </row>
    <row r="1025" spans="1:14" s="32" customFormat="1" hidden="1" x14ac:dyDescent="0.3">
      <c r="A1025" s="39">
        <v>46189.635335648149</v>
      </c>
      <c r="B1025" s="32">
        <v>4432325260</v>
      </c>
      <c r="C1025" s="32" t="s">
        <v>43</v>
      </c>
      <c r="D1025" s="32">
        <v>4430265054</v>
      </c>
      <c r="E1025" s="32">
        <v>323</v>
      </c>
      <c r="F1025" s="32">
        <v>261</v>
      </c>
      <c r="G1025" s="32" t="s">
        <v>38</v>
      </c>
      <c r="H1025" s="32" t="s">
        <v>6442</v>
      </c>
      <c r="I1025" s="32" t="s">
        <v>39</v>
      </c>
      <c r="J1025" s="32" t="s">
        <v>40</v>
      </c>
      <c r="K1025" s="32" t="s">
        <v>41</v>
      </c>
      <c r="L1025" s="32">
        <v>5</v>
      </c>
      <c r="M1025" s="32" t="s">
        <v>5418</v>
      </c>
      <c r="N1025" s="32" t="s">
        <v>43</v>
      </c>
    </row>
    <row r="1026" spans="1:14" s="32" customFormat="1" hidden="1" x14ac:dyDescent="0.3">
      <c r="A1026" s="39">
        <v>46189.629953703705</v>
      </c>
      <c r="B1026" s="32" t="s">
        <v>45</v>
      </c>
      <c r="C1026" s="32">
        <v>19998793706</v>
      </c>
      <c r="E1026" s="32">
        <v>470</v>
      </c>
      <c r="F1026" s="32">
        <v>462</v>
      </c>
      <c r="G1026" s="32" t="s">
        <v>38</v>
      </c>
      <c r="H1026" s="32" t="s">
        <v>6443</v>
      </c>
      <c r="I1026" s="32" t="s">
        <v>46</v>
      </c>
      <c r="J1026" s="32" t="s">
        <v>40</v>
      </c>
      <c r="M1026" s="32" t="s">
        <v>5421</v>
      </c>
      <c r="N1026" s="32" t="s">
        <v>45</v>
      </c>
    </row>
    <row r="1027" spans="1:14" s="32" customFormat="1" hidden="1" x14ac:dyDescent="0.3">
      <c r="A1027" s="39">
        <v>46189.627557870372</v>
      </c>
      <c r="B1027" s="32">
        <v>4436249360</v>
      </c>
      <c r="C1027" s="32" t="s">
        <v>44</v>
      </c>
      <c r="D1027" s="32">
        <v>4430265054</v>
      </c>
      <c r="E1027" s="32">
        <v>2519</v>
      </c>
      <c r="F1027" s="32">
        <v>2421</v>
      </c>
      <c r="G1027" s="32" t="s">
        <v>38</v>
      </c>
      <c r="H1027" s="32" t="s">
        <v>6444</v>
      </c>
      <c r="I1027" s="32" t="s">
        <v>39</v>
      </c>
      <c r="J1027" s="32" t="s">
        <v>40</v>
      </c>
      <c r="K1027" s="32" t="s">
        <v>41</v>
      </c>
      <c r="M1027" s="32" t="s">
        <v>5416</v>
      </c>
      <c r="N1027" s="32" t="s">
        <v>44</v>
      </c>
    </row>
    <row r="1028" spans="1:14" s="32" customFormat="1" hidden="1" x14ac:dyDescent="0.3">
      <c r="A1028" s="39">
        <v>46189.622534722221</v>
      </c>
      <c r="B1028" s="32">
        <v>4432524636</v>
      </c>
      <c r="C1028" s="32" t="s">
        <v>43</v>
      </c>
      <c r="D1028" s="32">
        <v>4430265054</v>
      </c>
      <c r="E1028" s="32">
        <v>450</v>
      </c>
      <c r="F1028" s="32">
        <v>392</v>
      </c>
      <c r="G1028" s="32" t="s">
        <v>38</v>
      </c>
      <c r="H1028" s="32" t="s">
        <v>6445</v>
      </c>
      <c r="I1028" s="32" t="s">
        <v>39</v>
      </c>
      <c r="J1028" s="32" t="s">
        <v>40</v>
      </c>
      <c r="K1028" s="32" t="s">
        <v>41</v>
      </c>
      <c r="M1028" s="32" t="s">
        <v>5418</v>
      </c>
      <c r="N1028" s="32" t="s">
        <v>43</v>
      </c>
    </row>
    <row r="1029" spans="1:14" s="32" customFormat="1" hidden="1" x14ac:dyDescent="0.3">
      <c r="A1029" s="39">
        <v>46189.621724537035</v>
      </c>
      <c r="B1029" s="32" t="s">
        <v>37</v>
      </c>
      <c r="C1029" s="32">
        <v>44998685500</v>
      </c>
      <c r="E1029" s="32">
        <v>624</v>
      </c>
      <c r="F1029" s="32">
        <v>612</v>
      </c>
      <c r="G1029" s="32" t="s">
        <v>38</v>
      </c>
      <c r="H1029" s="32" t="s">
        <v>6446</v>
      </c>
      <c r="I1029" s="32" t="s">
        <v>46</v>
      </c>
      <c r="J1029" s="32" t="s">
        <v>40</v>
      </c>
      <c r="M1029" s="32" t="s">
        <v>5410</v>
      </c>
      <c r="N1029" s="32" t="s">
        <v>37</v>
      </c>
    </row>
    <row r="1030" spans="1:14" s="32" customFormat="1" hidden="1" x14ac:dyDescent="0.3">
      <c r="A1030" s="39">
        <v>46189.619340277779</v>
      </c>
      <c r="B1030" s="32">
        <v>19998793706</v>
      </c>
      <c r="C1030" s="32" t="s">
        <v>45</v>
      </c>
      <c r="D1030" s="32">
        <v>4430265054</v>
      </c>
      <c r="E1030" s="32">
        <v>902</v>
      </c>
      <c r="F1030" s="32">
        <v>818</v>
      </c>
      <c r="G1030" s="32" t="s">
        <v>38</v>
      </c>
      <c r="H1030" s="32" t="s">
        <v>6447</v>
      </c>
      <c r="I1030" s="32" t="s">
        <v>39</v>
      </c>
      <c r="J1030" s="32" t="s">
        <v>40</v>
      </c>
      <c r="K1030" s="32" t="s">
        <v>41</v>
      </c>
      <c r="M1030" s="32" t="s">
        <v>5421</v>
      </c>
      <c r="N1030" s="32" t="s">
        <v>45</v>
      </c>
    </row>
    <row r="1031" spans="1:14" s="32" customFormat="1" hidden="1" x14ac:dyDescent="0.3">
      <c r="A1031" s="39">
        <v>46189.612743055557</v>
      </c>
      <c r="B1031" s="32">
        <v>1131043888</v>
      </c>
      <c r="C1031" s="32" t="s">
        <v>43</v>
      </c>
      <c r="D1031" s="32">
        <v>4430265054</v>
      </c>
      <c r="E1031" s="32">
        <v>754</v>
      </c>
      <c r="F1031" s="32">
        <v>732</v>
      </c>
      <c r="G1031" s="32" t="s">
        <v>38</v>
      </c>
      <c r="H1031" s="32" t="s">
        <v>6448</v>
      </c>
      <c r="I1031" s="32" t="s">
        <v>39</v>
      </c>
      <c r="J1031" s="32" t="s">
        <v>40</v>
      </c>
      <c r="K1031" s="32" t="s">
        <v>41</v>
      </c>
      <c r="L1031" s="32">
        <v>5</v>
      </c>
      <c r="M1031" s="32" t="s">
        <v>5418</v>
      </c>
      <c r="N1031" s="32" t="s">
        <v>43</v>
      </c>
    </row>
    <row r="1032" spans="1:14" s="32" customFormat="1" hidden="1" x14ac:dyDescent="0.3">
      <c r="A1032" s="39">
        <v>46189.604456018518</v>
      </c>
      <c r="B1032" s="32">
        <v>44997650834</v>
      </c>
      <c r="C1032" s="32" t="s">
        <v>43</v>
      </c>
      <c r="D1032" s="32">
        <v>4430265054</v>
      </c>
      <c r="E1032" s="32">
        <v>403</v>
      </c>
      <c r="F1032" s="32">
        <v>381</v>
      </c>
      <c r="G1032" s="32" t="s">
        <v>38</v>
      </c>
      <c r="H1032" s="32" t="s">
        <v>6449</v>
      </c>
      <c r="I1032" s="32" t="s">
        <v>39</v>
      </c>
      <c r="J1032" s="32" t="s">
        <v>40</v>
      </c>
      <c r="K1032" s="32" t="s">
        <v>41</v>
      </c>
      <c r="L1032" s="32">
        <v>5</v>
      </c>
      <c r="M1032" s="32" t="s">
        <v>5418</v>
      </c>
      <c r="N1032" s="32" t="s">
        <v>43</v>
      </c>
    </row>
    <row r="1033" spans="1:14" s="32" customFormat="1" hidden="1" x14ac:dyDescent="0.3">
      <c r="A1033" s="39">
        <v>46189.601759259262</v>
      </c>
      <c r="B1033" s="32">
        <v>35998295948</v>
      </c>
      <c r="C1033" s="32" t="s">
        <v>37</v>
      </c>
      <c r="D1033" s="32">
        <v>4430265054</v>
      </c>
      <c r="E1033" s="32">
        <v>1194</v>
      </c>
      <c r="F1033" s="32">
        <v>1177</v>
      </c>
      <c r="G1033" s="32" t="s">
        <v>38</v>
      </c>
      <c r="H1033" s="32" t="s">
        <v>6450</v>
      </c>
      <c r="I1033" s="32" t="s">
        <v>39</v>
      </c>
      <c r="J1033" s="32" t="s">
        <v>40</v>
      </c>
      <c r="K1033" s="32" t="s">
        <v>41</v>
      </c>
      <c r="M1033" s="32" t="s">
        <v>5410</v>
      </c>
      <c r="N1033" s="32" t="s">
        <v>37</v>
      </c>
    </row>
    <row r="1034" spans="1:14" s="32" customFormat="1" hidden="1" x14ac:dyDescent="0.3">
      <c r="A1034" s="39">
        <v>46189.601018518515</v>
      </c>
      <c r="B1034" s="32" t="s">
        <v>43</v>
      </c>
      <c r="C1034" s="32">
        <v>4430451715</v>
      </c>
      <c r="E1034" s="32">
        <v>98</v>
      </c>
      <c r="F1034" s="32">
        <v>93</v>
      </c>
      <c r="G1034" s="32" t="s">
        <v>38</v>
      </c>
      <c r="H1034" s="32" t="s">
        <v>6451</v>
      </c>
      <c r="I1034" s="32" t="s">
        <v>46</v>
      </c>
      <c r="J1034" s="32" t="s">
        <v>40</v>
      </c>
      <c r="M1034" s="32" t="s">
        <v>5418</v>
      </c>
      <c r="N1034" s="32" t="s">
        <v>43</v>
      </c>
    </row>
    <row r="1035" spans="1:14" s="32" customFormat="1" hidden="1" x14ac:dyDescent="0.3">
      <c r="A1035" s="39">
        <v>46189.600474537037</v>
      </c>
      <c r="B1035" s="32" t="s">
        <v>43</v>
      </c>
      <c r="C1035" s="32">
        <v>44984241715</v>
      </c>
      <c r="E1035" s="32">
        <v>24</v>
      </c>
      <c r="F1035" s="32">
        <v>0</v>
      </c>
      <c r="G1035" s="32" t="s">
        <v>47</v>
      </c>
      <c r="H1035" s="32" t="s">
        <v>6452</v>
      </c>
      <c r="I1035" s="32" t="s">
        <v>46</v>
      </c>
      <c r="J1035" s="32" t="s">
        <v>40</v>
      </c>
      <c r="M1035" s="32" t="s">
        <v>5418</v>
      </c>
      <c r="N1035" s="32" t="s">
        <v>43</v>
      </c>
    </row>
    <row r="1036" spans="1:14" s="32" customFormat="1" hidden="1" x14ac:dyDescent="0.3">
      <c r="A1036" s="39">
        <v>46189.600428240738</v>
      </c>
      <c r="B1036" s="32" t="s">
        <v>43</v>
      </c>
      <c r="C1036" s="32">
        <v>44984241715</v>
      </c>
      <c r="E1036" s="32">
        <v>3</v>
      </c>
      <c r="F1036" s="32">
        <v>0</v>
      </c>
      <c r="G1036" s="32" t="s">
        <v>47</v>
      </c>
      <c r="H1036" s="32" t="s">
        <v>6453</v>
      </c>
      <c r="I1036" s="32" t="s">
        <v>46</v>
      </c>
      <c r="J1036" s="32" t="s">
        <v>40</v>
      </c>
      <c r="M1036" s="32" t="s">
        <v>5418</v>
      </c>
      <c r="N1036" s="32" t="s">
        <v>43</v>
      </c>
    </row>
    <row r="1037" spans="1:14" s="32" customFormat="1" hidden="1" x14ac:dyDescent="0.3">
      <c r="A1037" s="39">
        <v>46189.599768518521</v>
      </c>
      <c r="B1037" s="32">
        <v>44988303530</v>
      </c>
      <c r="C1037" s="32" t="s">
        <v>44</v>
      </c>
      <c r="D1037" s="32">
        <v>4430265054</v>
      </c>
      <c r="E1037" s="32">
        <v>246</v>
      </c>
      <c r="F1037" s="32">
        <v>67</v>
      </c>
      <c r="G1037" s="32" t="s">
        <v>38</v>
      </c>
      <c r="H1037" s="32" t="s">
        <v>6454</v>
      </c>
      <c r="I1037" s="32" t="s">
        <v>39</v>
      </c>
      <c r="J1037" s="32" t="s">
        <v>40</v>
      </c>
      <c r="K1037" s="32" t="s">
        <v>41</v>
      </c>
      <c r="M1037" s="32" t="s">
        <v>5416</v>
      </c>
      <c r="N1037" s="32" t="s">
        <v>44</v>
      </c>
    </row>
    <row r="1038" spans="1:14" s="32" customFormat="1" hidden="1" x14ac:dyDescent="0.3">
      <c r="A1038" s="39">
        <v>46189.599340277775</v>
      </c>
      <c r="B1038" s="32">
        <v>44997215491</v>
      </c>
      <c r="C1038" s="32" t="s">
        <v>45</v>
      </c>
      <c r="D1038" s="32">
        <v>4430265054</v>
      </c>
      <c r="E1038" s="32">
        <v>541</v>
      </c>
      <c r="F1038" s="32">
        <v>464</v>
      </c>
      <c r="G1038" s="32" t="s">
        <v>38</v>
      </c>
      <c r="H1038" s="32" t="s">
        <v>6455</v>
      </c>
      <c r="I1038" s="32" t="s">
        <v>39</v>
      </c>
      <c r="J1038" s="32" t="s">
        <v>40</v>
      </c>
      <c r="K1038" s="32" t="s">
        <v>41</v>
      </c>
      <c r="L1038" s="32">
        <v>5</v>
      </c>
      <c r="M1038" s="32" t="s">
        <v>5421</v>
      </c>
      <c r="N1038" s="32" t="s">
        <v>45</v>
      </c>
    </row>
    <row r="1039" spans="1:14" s="32" customFormat="1" hidden="1" x14ac:dyDescent="0.3">
      <c r="A1039" s="39">
        <v>46189.59033564815</v>
      </c>
      <c r="B1039" s="32">
        <v>35998295948</v>
      </c>
      <c r="C1039" s="32" t="s">
        <v>48</v>
      </c>
      <c r="D1039" s="32">
        <v>4430265054</v>
      </c>
      <c r="E1039" s="32">
        <v>427</v>
      </c>
      <c r="F1039" s="32">
        <v>426</v>
      </c>
      <c r="G1039" s="32" t="s">
        <v>38</v>
      </c>
      <c r="H1039" s="32" t="s">
        <v>6456</v>
      </c>
      <c r="I1039" s="32" t="s">
        <v>39</v>
      </c>
      <c r="J1039" s="32" t="s">
        <v>40</v>
      </c>
      <c r="K1039" s="32" t="s">
        <v>41</v>
      </c>
      <c r="M1039" s="32" t="s">
        <v>5412</v>
      </c>
      <c r="N1039" s="32" t="s">
        <v>48</v>
      </c>
    </row>
    <row r="1040" spans="1:14" s="32" customFormat="1" hidden="1" x14ac:dyDescent="0.3">
      <c r="A1040" s="39">
        <v>46189.590312499997</v>
      </c>
      <c r="B1040" s="32">
        <v>6234347959</v>
      </c>
      <c r="C1040" s="32">
        <v>4430265054</v>
      </c>
      <c r="D1040" s="32">
        <v>4430265054</v>
      </c>
      <c r="E1040" s="32">
        <v>129</v>
      </c>
      <c r="F1040" s="32">
        <v>129</v>
      </c>
      <c r="G1040" s="32" t="s">
        <v>52</v>
      </c>
      <c r="H1040" s="32" t="s">
        <v>6457</v>
      </c>
      <c r="I1040" s="32" t="s">
        <v>39</v>
      </c>
      <c r="J1040" s="32" t="s">
        <v>53</v>
      </c>
      <c r="K1040" s="32" t="s">
        <v>41</v>
      </c>
    </row>
    <row r="1041" spans="1:14" s="32" customFormat="1" hidden="1" x14ac:dyDescent="0.3">
      <c r="A1041" s="39">
        <v>46189.58966435185</v>
      </c>
      <c r="B1041" s="32">
        <v>41999717893</v>
      </c>
      <c r="C1041" s="32" t="s">
        <v>37</v>
      </c>
      <c r="D1041" s="32">
        <v>4430265054</v>
      </c>
      <c r="E1041" s="32">
        <v>968</v>
      </c>
      <c r="F1041" s="32">
        <v>801</v>
      </c>
      <c r="G1041" s="32" t="s">
        <v>38</v>
      </c>
      <c r="H1041" s="32" t="s">
        <v>6458</v>
      </c>
      <c r="I1041" s="32" t="s">
        <v>39</v>
      </c>
      <c r="J1041" s="32" t="s">
        <v>40</v>
      </c>
      <c r="K1041" s="32" t="s">
        <v>41</v>
      </c>
      <c r="L1041" s="32">
        <v>5</v>
      </c>
      <c r="M1041" s="32" t="s">
        <v>5410</v>
      </c>
      <c r="N1041" s="32" t="s">
        <v>37</v>
      </c>
    </row>
    <row r="1042" spans="1:14" s="32" customFormat="1" hidden="1" x14ac:dyDescent="0.3">
      <c r="A1042" s="39">
        <v>46189.585497685184</v>
      </c>
      <c r="B1042" s="32">
        <v>35998295948</v>
      </c>
      <c r="C1042" s="32">
        <v>4430265054</v>
      </c>
      <c r="D1042" s="32">
        <v>4430265054</v>
      </c>
      <c r="E1042" s="32">
        <v>100</v>
      </c>
      <c r="F1042" s="32">
        <v>99</v>
      </c>
      <c r="G1042" s="32" t="s">
        <v>52</v>
      </c>
      <c r="H1042" s="32" t="s">
        <v>6459</v>
      </c>
      <c r="I1042" s="32" t="s">
        <v>39</v>
      </c>
      <c r="J1042" s="32" t="s">
        <v>53</v>
      </c>
      <c r="K1042" s="32" t="s">
        <v>41</v>
      </c>
    </row>
    <row r="1043" spans="1:14" s="32" customFormat="1" hidden="1" x14ac:dyDescent="0.3">
      <c r="A1043" s="39">
        <v>46189.57640046296</v>
      </c>
      <c r="B1043" s="32">
        <v>4430191401</v>
      </c>
      <c r="C1043" s="32" t="s">
        <v>44</v>
      </c>
      <c r="D1043" s="32">
        <v>4430265054</v>
      </c>
      <c r="E1043" s="32">
        <v>451</v>
      </c>
      <c r="F1043" s="32">
        <v>331</v>
      </c>
      <c r="G1043" s="32" t="s">
        <v>38</v>
      </c>
      <c r="H1043" s="32" t="s">
        <v>6460</v>
      </c>
      <c r="I1043" s="32" t="s">
        <v>39</v>
      </c>
      <c r="J1043" s="32" t="s">
        <v>40</v>
      </c>
      <c r="K1043" s="32" t="s">
        <v>41</v>
      </c>
      <c r="M1043" s="32" t="s">
        <v>5416</v>
      </c>
      <c r="N1043" s="32" t="s">
        <v>44</v>
      </c>
    </row>
    <row r="1044" spans="1:14" s="32" customFormat="1" hidden="1" x14ac:dyDescent="0.3">
      <c r="A1044" s="39">
        <v>46189.574467592596</v>
      </c>
      <c r="B1044" s="32">
        <v>4432325260</v>
      </c>
      <c r="C1044" s="32" t="s">
        <v>45</v>
      </c>
      <c r="D1044" s="32">
        <v>4430265054</v>
      </c>
      <c r="E1044" s="32">
        <v>2048</v>
      </c>
      <c r="F1044" s="32">
        <v>2006</v>
      </c>
      <c r="G1044" s="32" t="s">
        <v>38</v>
      </c>
      <c r="H1044" s="32" t="s">
        <v>6461</v>
      </c>
      <c r="I1044" s="32" t="s">
        <v>39</v>
      </c>
      <c r="J1044" s="32" t="s">
        <v>40</v>
      </c>
      <c r="K1044" s="32" t="s">
        <v>41</v>
      </c>
      <c r="M1044" s="32" t="s">
        <v>5421</v>
      </c>
      <c r="N1044" s="32" t="s">
        <v>45</v>
      </c>
    </row>
    <row r="1045" spans="1:14" s="32" customFormat="1" hidden="1" x14ac:dyDescent="0.3">
      <c r="A1045" s="39">
        <v>46189.572418981479</v>
      </c>
      <c r="B1045" s="32">
        <v>4334226481</v>
      </c>
      <c r="C1045" s="32" t="s">
        <v>45</v>
      </c>
      <c r="D1045" s="32">
        <v>4430265054</v>
      </c>
      <c r="E1045" s="32">
        <v>126</v>
      </c>
      <c r="F1045" s="32">
        <v>63</v>
      </c>
      <c r="G1045" s="32" t="s">
        <v>38</v>
      </c>
      <c r="H1045" s="32" t="s">
        <v>6462</v>
      </c>
      <c r="I1045" s="32" t="s">
        <v>39</v>
      </c>
      <c r="J1045" s="32" t="s">
        <v>40</v>
      </c>
      <c r="K1045" s="32" t="s">
        <v>41</v>
      </c>
      <c r="M1045" s="32" t="s">
        <v>5421</v>
      </c>
      <c r="N1045" s="32" t="s">
        <v>45</v>
      </c>
    </row>
    <row r="1046" spans="1:14" s="32" customFormat="1" hidden="1" x14ac:dyDescent="0.3">
      <c r="A1046" s="39">
        <v>46189.570868055554</v>
      </c>
      <c r="B1046" s="32">
        <v>4334232912</v>
      </c>
      <c r="C1046" s="32" t="s">
        <v>37</v>
      </c>
      <c r="D1046" s="32">
        <v>4430265054</v>
      </c>
      <c r="E1046" s="32">
        <v>314</v>
      </c>
      <c r="F1046" s="32">
        <v>256</v>
      </c>
      <c r="G1046" s="32" t="s">
        <v>38</v>
      </c>
      <c r="H1046" s="32" t="s">
        <v>6463</v>
      </c>
      <c r="I1046" s="32" t="s">
        <v>39</v>
      </c>
      <c r="J1046" s="32" t="s">
        <v>40</v>
      </c>
      <c r="K1046" s="32" t="s">
        <v>41</v>
      </c>
      <c r="M1046" s="32" t="s">
        <v>5410</v>
      </c>
      <c r="N1046" s="32" t="s">
        <v>37</v>
      </c>
    </row>
    <row r="1047" spans="1:14" s="32" customFormat="1" hidden="1" x14ac:dyDescent="0.3">
      <c r="A1047" s="39">
        <v>46189.567824074074</v>
      </c>
      <c r="B1047" s="32">
        <v>44984241715</v>
      </c>
      <c r="C1047" s="32" t="s">
        <v>43</v>
      </c>
      <c r="D1047" s="32">
        <v>4430265054</v>
      </c>
      <c r="E1047" s="32">
        <v>189</v>
      </c>
      <c r="F1047" s="32">
        <v>72</v>
      </c>
      <c r="G1047" s="32" t="s">
        <v>38</v>
      </c>
      <c r="H1047" s="32" t="s">
        <v>6464</v>
      </c>
      <c r="I1047" s="32" t="s">
        <v>39</v>
      </c>
      <c r="J1047" s="32" t="s">
        <v>40</v>
      </c>
      <c r="K1047" s="32" t="s">
        <v>41</v>
      </c>
      <c r="L1047" s="32">
        <v>5</v>
      </c>
      <c r="M1047" s="32" t="s">
        <v>5418</v>
      </c>
      <c r="N1047" s="32" t="s">
        <v>43</v>
      </c>
    </row>
    <row r="1048" spans="1:14" s="32" customFormat="1" hidden="1" x14ac:dyDescent="0.3">
      <c r="A1048" s="39">
        <v>46189.563900462963</v>
      </c>
      <c r="B1048" s="32" t="s">
        <v>43</v>
      </c>
      <c r="C1048" s="32">
        <v>44984241715</v>
      </c>
      <c r="E1048" s="32">
        <v>55</v>
      </c>
      <c r="F1048" s="32">
        <v>27</v>
      </c>
      <c r="G1048" s="32" t="s">
        <v>38</v>
      </c>
      <c r="H1048" s="32" t="s">
        <v>6465</v>
      </c>
      <c r="I1048" s="32" t="s">
        <v>46</v>
      </c>
      <c r="J1048" s="32" t="s">
        <v>40</v>
      </c>
      <c r="M1048" s="32" t="s">
        <v>5418</v>
      </c>
      <c r="N1048" s="32" t="s">
        <v>43</v>
      </c>
    </row>
    <row r="1049" spans="1:14" s="32" customFormat="1" hidden="1" x14ac:dyDescent="0.3">
      <c r="A1049" s="39">
        <v>46189.563564814816</v>
      </c>
      <c r="B1049" s="32">
        <v>4432524636</v>
      </c>
      <c r="C1049" s="32" t="s">
        <v>45</v>
      </c>
      <c r="D1049" s="32">
        <v>4430265054</v>
      </c>
      <c r="E1049" s="32">
        <v>654</v>
      </c>
      <c r="F1049" s="32">
        <v>629</v>
      </c>
      <c r="G1049" s="32" t="s">
        <v>38</v>
      </c>
      <c r="H1049" s="32" t="s">
        <v>6466</v>
      </c>
      <c r="I1049" s="32" t="s">
        <v>39</v>
      </c>
      <c r="J1049" s="32" t="s">
        <v>40</v>
      </c>
      <c r="K1049" s="32" t="s">
        <v>41</v>
      </c>
      <c r="M1049" s="32" t="s">
        <v>5421</v>
      </c>
      <c r="N1049" s="32" t="s">
        <v>45</v>
      </c>
    </row>
    <row r="1050" spans="1:14" s="32" customFormat="1" hidden="1" x14ac:dyDescent="0.3">
      <c r="A1050" s="39">
        <v>46189.535046296296</v>
      </c>
      <c r="B1050" s="32">
        <v>1438160351</v>
      </c>
      <c r="C1050" s="32">
        <v>4430265054</v>
      </c>
      <c r="D1050" s="32">
        <v>4430265054</v>
      </c>
      <c r="E1050" s="32">
        <v>8</v>
      </c>
      <c r="F1050" s="32">
        <v>8</v>
      </c>
      <c r="G1050" s="32" t="s">
        <v>52</v>
      </c>
      <c r="H1050" s="32" t="s">
        <v>6467</v>
      </c>
      <c r="I1050" s="32" t="s">
        <v>39</v>
      </c>
      <c r="J1050" s="32" t="s">
        <v>53</v>
      </c>
    </row>
    <row r="1051" spans="1:14" s="32" customFormat="1" hidden="1" x14ac:dyDescent="0.3">
      <c r="A1051" s="39">
        <v>46189.48474537037</v>
      </c>
      <c r="B1051" s="32" t="s">
        <v>43</v>
      </c>
      <c r="C1051" s="32">
        <v>44984241715</v>
      </c>
      <c r="E1051" s="32">
        <v>58</v>
      </c>
      <c r="F1051" s="32">
        <v>28</v>
      </c>
      <c r="G1051" s="32" t="s">
        <v>38</v>
      </c>
      <c r="H1051" s="32" t="s">
        <v>6468</v>
      </c>
      <c r="I1051" s="32" t="s">
        <v>46</v>
      </c>
      <c r="J1051" s="32" t="s">
        <v>40</v>
      </c>
      <c r="M1051" s="32" t="s">
        <v>5418</v>
      </c>
      <c r="N1051" s="32" t="s">
        <v>43</v>
      </c>
    </row>
    <row r="1052" spans="1:14" s="32" customFormat="1" x14ac:dyDescent="0.3">
      <c r="A1052" s="39">
        <v>46189.47216435185</v>
      </c>
      <c r="B1052" s="32" t="s">
        <v>44</v>
      </c>
      <c r="C1052" s="32">
        <v>44999647912</v>
      </c>
      <c r="E1052" s="32">
        <v>446</v>
      </c>
      <c r="F1052" s="32">
        <v>435</v>
      </c>
      <c r="G1052" s="32" t="s">
        <v>38</v>
      </c>
      <c r="H1052" s="32" t="s">
        <v>6469</v>
      </c>
      <c r="I1052" s="32" t="s">
        <v>46</v>
      </c>
      <c r="J1052" s="32" t="s">
        <v>40</v>
      </c>
      <c r="M1052" s="32" t="s">
        <v>5416</v>
      </c>
      <c r="N1052" s="32" t="s">
        <v>44</v>
      </c>
    </row>
    <row r="1053" spans="1:14" s="32" customFormat="1" x14ac:dyDescent="0.3">
      <c r="A1053" s="39">
        <v>46189.472118055557</v>
      </c>
      <c r="B1053" s="32" t="s">
        <v>44</v>
      </c>
      <c r="C1053" s="32">
        <v>44999647912</v>
      </c>
      <c r="E1053" s="32">
        <v>4</v>
      </c>
      <c r="F1053" s="32">
        <v>0</v>
      </c>
      <c r="G1053" s="32" t="s">
        <v>47</v>
      </c>
      <c r="H1053" s="32" t="s">
        <v>6470</v>
      </c>
      <c r="I1053" s="32" t="s">
        <v>46</v>
      </c>
      <c r="J1053" s="32" t="s">
        <v>40</v>
      </c>
      <c r="M1053" s="32" t="s">
        <v>5416</v>
      </c>
      <c r="N1053" s="32" t="s">
        <v>44</v>
      </c>
    </row>
    <row r="1054" spans="1:14" s="32" customFormat="1" hidden="1" x14ac:dyDescent="0.3">
      <c r="A1054" s="39">
        <v>46189.471018518518</v>
      </c>
      <c r="B1054" s="32">
        <v>44991484476</v>
      </c>
      <c r="C1054" s="32" t="s">
        <v>37</v>
      </c>
      <c r="D1054" s="32">
        <v>4430265054</v>
      </c>
      <c r="E1054" s="32">
        <v>442</v>
      </c>
      <c r="F1054" s="32">
        <v>280</v>
      </c>
      <c r="G1054" s="32" t="s">
        <v>38</v>
      </c>
      <c r="H1054" s="32" t="s">
        <v>6471</v>
      </c>
      <c r="I1054" s="32" t="s">
        <v>39</v>
      </c>
      <c r="J1054" s="32" t="s">
        <v>40</v>
      </c>
      <c r="K1054" s="32" t="s">
        <v>41</v>
      </c>
      <c r="M1054" s="32" t="s">
        <v>5410</v>
      </c>
      <c r="N1054" s="32" t="s">
        <v>37</v>
      </c>
    </row>
    <row r="1055" spans="1:14" s="32" customFormat="1" hidden="1" x14ac:dyDescent="0.3">
      <c r="A1055" s="39">
        <v>46189.466886574075</v>
      </c>
      <c r="B1055" s="32">
        <v>1438160351</v>
      </c>
      <c r="C1055" s="32">
        <v>4430265054</v>
      </c>
      <c r="D1055" s="32">
        <v>4430265054</v>
      </c>
      <c r="E1055" s="32">
        <v>8</v>
      </c>
      <c r="F1055" s="32">
        <v>8</v>
      </c>
      <c r="G1055" s="32" t="s">
        <v>52</v>
      </c>
      <c r="H1055" s="32" t="s">
        <v>6472</v>
      </c>
      <c r="I1055" s="32" t="s">
        <v>39</v>
      </c>
      <c r="J1055" s="32" t="s">
        <v>53</v>
      </c>
    </row>
    <row r="1056" spans="1:14" s="32" customFormat="1" hidden="1" x14ac:dyDescent="0.3">
      <c r="A1056" s="39">
        <v>46189.465277777781</v>
      </c>
      <c r="B1056" s="32" t="s">
        <v>48</v>
      </c>
      <c r="C1056" s="32">
        <v>4436311970</v>
      </c>
      <c r="E1056" s="32">
        <v>1</v>
      </c>
      <c r="F1056" s="32">
        <v>0</v>
      </c>
      <c r="G1056" s="32" t="s">
        <v>47</v>
      </c>
      <c r="H1056" s="32" t="s">
        <v>6473</v>
      </c>
      <c r="I1056" s="32" t="s">
        <v>46</v>
      </c>
      <c r="J1056" s="32" t="s">
        <v>40</v>
      </c>
      <c r="M1056" s="32" t="s">
        <v>5412</v>
      </c>
      <c r="N1056" s="32" t="s">
        <v>48</v>
      </c>
    </row>
    <row r="1057" spans="1:14" s="32" customFormat="1" hidden="1" x14ac:dyDescent="0.3">
      <c r="A1057" s="39">
        <v>46189.465208333335</v>
      </c>
      <c r="B1057" s="32" t="s">
        <v>48</v>
      </c>
      <c r="C1057" s="32">
        <v>4436311970</v>
      </c>
      <c r="E1057" s="32">
        <v>15</v>
      </c>
      <c r="F1057" s="32">
        <v>14</v>
      </c>
      <c r="G1057" s="32" t="s">
        <v>38</v>
      </c>
      <c r="H1057" s="32" t="s">
        <v>6474</v>
      </c>
      <c r="I1057" s="32" t="s">
        <v>46</v>
      </c>
      <c r="J1057" s="32" t="s">
        <v>40</v>
      </c>
      <c r="M1057" s="32" t="s">
        <v>5412</v>
      </c>
      <c r="N1057" s="32" t="s">
        <v>48</v>
      </c>
    </row>
    <row r="1058" spans="1:14" s="32" customFormat="1" hidden="1" x14ac:dyDescent="0.3">
      <c r="A1058" s="39">
        <v>46189.465138888889</v>
      </c>
      <c r="B1058" s="32" t="s">
        <v>48</v>
      </c>
      <c r="C1058" s="32">
        <v>4436311970</v>
      </c>
      <c r="E1058" s="32">
        <v>4</v>
      </c>
      <c r="F1058" s="32">
        <v>0</v>
      </c>
      <c r="G1058" s="32" t="s">
        <v>47</v>
      </c>
      <c r="H1058" s="32" t="s">
        <v>6475</v>
      </c>
      <c r="I1058" s="32" t="s">
        <v>46</v>
      </c>
      <c r="J1058" s="32" t="s">
        <v>40</v>
      </c>
      <c r="M1058" s="32" t="s">
        <v>5412</v>
      </c>
      <c r="N1058" s="32" t="s">
        <v>48</v>
      </c>
    </row>
    <row r="1059" spans="1:14" s="32" customFormat="1" hidden="1" x14ac:dyDescent="0.3">
      <c r="A1059" s="39">
        <v>46189.461064814815</v>
      </c>
      <c r="B1059" s="32">
        <v>4431337559</v>
      </c>
      <c r="C1059" s="32" t="s">
        <v>37</v>
      </c>
      <c r="D1059" s="32">
        <v>4430265054</v>
      </c>
      <c r="E1059" s="32">
        <v>813</v>
      </c>
      <c r="F1059" s="32">
        <v>727</v>
      </c>
      <c r="G1059" s="32" t="s">
        <v>38</v>
      </c>
      <c r="H1059" s="32" t="s">
        <v>6476</v>
      </c>
      <c r="I1059" s="32" t="s">
        <v>39</v>
      </c>
      <c r="J1059" s="32" t="s">
        <v>40</v>
      </c>
      <c r="K1059" s="32" t="s">
        <v>41</v>
      </c>
      <c r="M1059" s="32" t="s">
        <v>5410</v>
      </c>
      <c r="N1059" s="32" t="s">
        <v>37</v>
      </c>
    </row>
    <row r="1060" spans="1:14" s="32" customFormat="1" hidden="1" x14ac:dyDescent="0.3">
      <c r="A1060" s="39">
        <v>46189.454004629632</v>
      </c>
      <c r="B1060" s="32">
        <v>44999827582</v>
      </c>
      <c r="C1060" s="32" t="s">
        <v>43</v>
      </c>
      <c r="D1060" s="32">
        <v>4430265054</v>
      </c>
      <c r="E1060" s="32">
        <v>304</v>
      </c>
      <c r="F1060" s="32">
        <v>284</v>
      </c>
      <c r="G1060" s="32" t="s">
        <v>38</v>
      </c>
      <c r="H1060" s="32" t="s">
        <v>6477</v>
      </c>
      <c r="I1060" s="32" t="s">
        <v>39</v>
      </c>
      <c r="J1060" s="32" t="s">
        <v>40</v>
      </c>
      <c r="K1060" s="32" t="s">
        <v>41</v>
      </c>
      <c r="L1060" s="32">
        <v>5</v>
      </c>
      <c r="M1060" s="32" t="s">
        <v>5418</v>
      </c>
      <c r="N1060" s="32" t="s">
        <v>43</v>
      </c>
    </row>
    <row r="1061" spans="1:14" s="32" customFormat="1" hidden="1" x14ac:dyDescent="0.3">
      <c r="A1061" s="39">
        <v>46189.453530092593</v>
      </c>
      <c r="B1061" s="32">
        <v>4334234629</v>
      </c>
      <c r="C1061" s="32" t="s">
        <v>44</v>
      </c>
      <c r="D1061" s="32">
        <v>4430265054</v>
      </c>
      <c r="E1061" s="32">
        <v>1500</v>
      </c>
      <c r="F1061" s="32">
        <v>1463</v>
      </c>
      <c r="G1061" s="32" t="s">
        <v>38</v>
      </c>
      <c r="H1061" s="32" t="s">
        <v>6478</v>
      </c>
      <c r="I1061" s="32" t="s">
        <v>39</v>
      </c>
      <c r="J1061" s="32" t="s">
        <v>40</v>
      </c>
      <c r="K1061" s="32" t="s">
        <v>41</v>
      </c>
      <c r="M1061" s="32" t="s">
        <v>5416</v>
      </c>
      <c r="N1061" s="32" t="s">
        <v>44</v>
      </c>
    </row>
    <row r="1062" spans="1:14" s="32" customFormat="1" hidden="1" x14ac:dyDescent="0.3">
      <c r="A1062" s="39">
        <v>46189.452546296299</v>
      </c>
      <c r="B1062" s="32">
        <v>44999979505</v>
      </c>
      <c r="C1062" s="32" t="s">
        <v>45</v>
      </c>
      <c r="D1062" s="32">
        <v>4430265054</v>
      </c>
      <c r="E1062" s="32">
        <v>378</v>
      </c>
      <c r="F1062" s="32">
        <v>312</v>
      </c>
      <c r="G1062" s="32" t="s">
        <v>38</v>
      </c>
      <c r="H1062" s="32" t="s">
        <v>6479</v>
      </c>
      <c r="I1062" s="32" t="s">
        <v>39</v>
      </c>
      <c r="J1062" s="32" t="s">
        <v>40</v>
      </c>
      <c r="K1062" s="32" t="s">
        <v>41</v>
      </c>
      <c r="L1062" s="32">
        <v>5</v>
      </c>
      <c r="M1062" s="32" t="s">
        <v>5421</v>
      </c>
      <c r="N1062" s="32" t="s">
        <v>45</v>
      </c>
    </row>
    <row r="1063" spans="1:14" s="32" customFormat="1" hidden="1" x14ac:dyDescent="0.3">
      <c r="A1063" s="39">
        <v>46189.449652777781</v>
      </c>
      <c r="B1063" s="32">
        <v>12997346335</v>
      </c>
      <c r="C1063" s="32" t="s">
        <v>37</v>
      </c>
      <c r="D1063" s="32">
        <v>4430265054</v>
      </c>
      <c r="E1063" s="32">
        <v>536</v>
      </c>
      <c r="F1063" s="32">
        <v>373</v>
      </c>
      <c r="G1063" s="32" t="s">
        <v>38</v>
      </c>
      <c r="H1063" s="32" t="s">
        <v>6480</v>
      </c>
      <c r="I1063" s="32" t="s">
        <v>39</v>
      </c>
      <c r="J1063" s="32" t="s">
        <v>40</v>
      </c>
      <c r="K1063" s="32" t="s">
        <v>41</v>
      </c>
      <c r="L1063" s="32">
        <v>5</v>
      </c>
      <c r="M1063" s="32" t="s">
        <v>5410</v>
      </c>
      <c r="N1063" s="32" t="s">
        <v>37</v>
      </c>
    </row>
    <row r="1064" spans="1:14" s="32" customFormat="1" hidden="1" x14ac:dyDescent="0.3">
      <c r="A1064" s="39">
        <v>46189.446423611109</v>
      </c>
      <c r="B1064" s="32">
        <v>44999717086</v>
      </c>
      <c r="C1064" s="32" t="s">
        <v>45</v>
      </c>
      <c r="D1064" s="32">
        <v>4430265054</v>
      </c>
      <c r="E1064" s="32">
        <v>333</v>
      </c>
      <c r="F1064" s="32">
        <v>282</v>
      </c>
      <c r="G1064" s="32" t="s">
        <v>38</v>
      </c>
      <c r="H1064" s="32" t="s">
        <v>6481</v>
      </c>
      <c r="I1064" s="32" t="s">
        <v>39</v>
      </c>
      <c r="J1064" s="32" t="s">
        <v>40</v>
      </c>
      <c r="K1064" s="32" t="s">
        <v>41</v>
      </c>
      <c r="M1064" s="32" t="s">
        <v>5421</v>
      </c>
      <c r="N1064" s="32" t="s">
        <v>45</v>
      </c>
    </row>
    <row r="1065" spans="1:14" s="32" customFormat="1" hidden="1" x14ac:dyDescent="0.3">
      <c r="A1065" s="39">
        <v>46189.44458333333</v>
      </c>
      <c r="B1065" s="32">
        <v>4130263118</v>
      </c>
      <c r="C1065" s="32" t="s">
        <v>37</v>
      </c>
      <c r="D1065" s="32">
        <v>4430265054</v>
      </c>
      <c r="E1065" s="32">
        <v>363</v>
      </c>
      <c r="F1065" s="32">
        <v>257</v>
      </c>
      <c r="G1065" s="32" t="s">
        <v>38</v>
      </c>
      <c r="H1065" s="32" t="s">
        <v>6482</v>
      </c>
      <c r="I1065" s="32" t="s">
        <v>39</v>
      </c>
      <c r="J1065" s="32" t="s">
        <v>40</v>
      </c>
      <c r="K1065" s="32" t="s">
        <v>41</v>
      </c>
      <c r="L1065" s="32">
        <v>5</v>
      </c>
      <c r="M1065" s="32" t="s">
        <v>5410</v>
      </c>
      <c r="N1065" s="32" t="s">
        <v>37</v>
      </c>
    </row>
    <row r="1066" spans="1:14" s="32" customFormat="1" hidden="1" x14ac:dyDescent="0.3">
      <c r="A1066" s="39">
        <v>46189.441724537035</v>
      </c>
      <c r="B1066" s="32" t="s">
        <v>48</v>
      </c>
      <c r="C1066" s="32">
        <v>4430141092</v>
      </c>
      <c r="E1066" s="32">
        <v>476</v>
      </c>
      <c r="F1066" s="32">
        <v>462</v>
      </c>
      <c r="G1066" s="32" t="s">
        <v>38</v>
      </c>
      <c r="H1066" s="32" t="s">
        <v>6483</v>
      </c>
      <c r="I1066" s="32" t="s">
        <v>46</v>
      </c>
      <c r="J1066" s="32" t="s">
        <v>40</v>
      </c>
      <c r="M1066" s="32" t="s">
        <v>5412</v>
      </c>
      <c r="N1066" s="32" t="s">
        <v>48</v>
      </c>
    </row>
    <row r="1067" spans="1:14" s="32" customFormat="1" hidden="1" x14ac:dyDescent="0.3">
      <c r="A1067" s="39">
        <v>46189.435150462959</v>
      </c>
      <c r="B1067" s="32" t="s">
        <v>45</v>
      </c>
      <c r="C1067" s="32">
        <v>1131043888</v>
      </c>
      <c r="E1067" s="32">
        <v>162</v>
      </c>
      <c r="F1067" s="32">
        <v>161</v>
      </c>
      <c r="G1067" s="32" t="s">
        <v>38</v>
      </c>
      <c r="H1067" s="32" t="s">
        <v>6484</v>
      </c>
      <c r="I1067" s="32" t="s">
        <v>46</v>
      </c>
      <c r="J1067" s="32" t="s">
        <v>40</v>
      </c>
      <c r="M1067" s="32" t="s">
        <v>5421</v>
      </c>
      <c r="N1067" s="32" t="s">
        <v>45</v>
      </c>
    </row>
    <row r="1068" spans="1:14" s="32" customFormat="1" hidden="1" x14ac:dyDescent="0.3">
      <c r="A1068" s="39">
        <v>46189.426747685182</v>
      </c>
      <c r="B1068" s="32" t="s">
        <v>45</v>
      </c>
      <c r="C1068" s="32">
        <v>1131043888</v>
      </c>
      <c r="E1068" s="32">
        <v>96</v>
      </c>
      <c r="F1068" s="32">
        <v>95</v>
      </c>
      <c r="G1068" s="32" t="s">
        <v>38</v>
      </c>
      <c r="H1068" s="32" t="s">
        <v>6485</v>
      </c>
      <c r="I1068" s="32" t="s">
        <v>46</v>
      </c>
      <c r="J1068" s="32" t="s">
        <v>40</v>
      </c>
      <c r="M1068" s="32" t="s">
        <v>5421</v>
      </c>
      <c r="N1068" s="32" t="s">
        <v>45</v>
      </c>
    </row>
    <row r="1069" spans="1:14" s="32" customFormat="1" hidden="1" x14ac:dyDescent="0.3">
      <c r="A1069" s="39">
        <v>46189.426712962966</v>
      </c>
      <c r="B1069" s="32">
        <v>1131043888</v>
      </c>
      <c r="C1069" s="32">
        <v>4430265054</v>
      </c>
      <c r="D1069" s="32">
        <v>4430265054</v>
      </c>
      <c r="E1069" s="32">
        <v>8</v>
      </c>
      <c r="F1069" s="32">
        <v>7</v>
      </c>
      <c r="G1069" s="32" t="s">
        <v>52</v>
      </c>
      <c r="H1069" s="32" t="s">
        <v>6486</v>
      </c>
      <c r="I1069" s="32" t="s">
        <v>39</v>
      </c>
      <c r="J1069" s="32" t="s">
        <v>53</v>
      </c>
    </row>
    <row r="1070" spans="1:14" s="32" customFormat="1" hidden="1" x14ac:dyDescent="0.3">
      <c r="A1070" s="39">
        <v>46189.424027777779</v>
      </c>
      <c r="B1070" s="32" t="s">
        <v>50</v>
      </c>
      <c r="C1070" s="32" t="s">
        <v>57</v>
      </c>
      <c r="E1070" s="32">
        <v>271</v>
      </c>
      <c r="F1070" s="32">
        <v>267</v>
      </c>
      <c r="G1070" s="32" t="s">
        <v>38</v>
      </c>
      <c r="H1070" s="32" t="s">
        <v>6487</v>
      </c>
      <c r="I1070" s="32" t="s">
        <v>51</v>
      </c>
      <c r="J1070" s="32" t="s">
        <v>55</v>
      </c>
      <c r="M1070" s="32" t="s">
        <v>5746</v>
      </c>
      <c r="N1070" s="32" t="s">
        <v>50</v>
      </c>
    </row>
    <row r="1071" spans="1:14" s="32" customFormat="1" hidden="1" x14ac:dyDescent="0.3">
      <c r="A1071" s="39">
        <v>46189.423518518517</v>
      </c>
      <c r="B1071" s="32">
        <v>44997650834</v>
      </c>
      <c r="C1071" s="32" t="s">
        <v>37</v>
      </c>
      <c r="D1071" s="32">
        <v>4430265054</v>
      </c>
      <c r="E1071" s="32">
        <v>46</v>
      </c>
      <c r="F1071" s="32">
        <v>16</v>
      </c>
      <c r="G1071" s="32" t="s">
        <v>38</v>
      </c>
      <c r="H1071" s="32" t="s">
        <v>6488</v>
      </c>
      <c r="I1071" s="32" t="s">
        <v>39</v>
      </c>
      <c r="J1071" s="32" t="s">
        <v>40</v>
      </c>
      <c r="K1071" s="32" t="s">
        <v>41</v>
      </c>
      <c r="M1071" s="32" t="s">
        <v>5410</v>
      </c>
      <c r="N1071" s="32" t="s">
        <v>37</v>
      </c>
    </row>
    <row r="1072" spans="1:14" s="32" customFormat="1" hidden="1" x14ac:dyDescent="0.3">
      <c r="A1072" s="39">
        <v>46189.419444444444</v>
      </c>
      <c r="B1072" s="32">
        <v>4434233230</v>
      </c>
      <c r="C1072" s="32" t="s">
        <v>45</v>
      </c>
      <c r="D1072" s="32">
        <v>4430265054</v>
      </c>
      <c r="E1072" s="32">
        <v>229</v>
      </c>
      <c r="F1072" s="32">
        <v>185</v>
      </c>
      <c r="G1072" s="32" t="s">
        <v>38</v>
      </c>
      <c r="H1072" s="32" t="s">
        <v>6489</v>
      </c>
      <c r="I1072" s="32" t="s">
        <v>39</v>
      </c>
      <c r="J1072" s="32" t="s">
        <v>40</v>
      </c>
      <c r="K1072" s="32" t="s">
        <v>41</v>
      </c>
      <c r="M1072" s="32" t="s">
        <v>5421</v>
      </c>
      <c r="N1072" s="32" t="s">
        <v>45</v>
      </c>
    </row>
    <row r="1073" spans="1:14" s="32" customFormat="1" hidden="1" x14ac:dyDescent="0.3">
      <c r="A1073" s="39">
        <v>46189.418761574074</v>
      </c>
      <c r="B1073" s="32">
        <v>4430153305</v>
      </c>
      <c r="C1073" s="32" t="s">
        <v>44</v>
      </c>
      <c r="D1073" s="32">
        <v>4430265054</v>
      </c>
      <c r="E1073" s="32">
        <v>523</v>
      </c>
      <c r="F1073" s="32">
        <v>445</v>
      </c>
      <c r="G1073" s="32" t="s">
        <v>38</v>
      </c>
      <c r="H1073" s="32" t="s">
        <v>6490</v>
      </c>
      <c r="I1073" s="32" t="s">
        <v>39</v>
      </c>
      <c r="J1073" s="32" t="s">
        <v>40</v>
      </c>
      <c r="K1073" s="32" t="s">
        <v>41</v>
      </c>
      <c r="L1073" s="32">
        <v>5</v>
      </c>
      <c r="M1073" s="32" t="s">
        <v>5416</v>
      </c>
      <c r="N1073" s="32" t="s">
        <v>44</v>
      </c>
    </row>
    <row r="1074" spans="1:14" s="32" customFormat="1" hidden="1" x14ac:dyDescent="0.3">
      <c r="A1074" s="39">
        <v>46189.417881944442</v>
      </c>
      <c r="B1074" s="32">
        <v>14997225372</v>
      </c>
      <c r="C1074" s="32" t="s">
        <v>43</v>
      </c>
      <c r="D1074" s="32">
        <v>4430265054</v>
      </c>
      <c r="E1074" s="32">
        <v>154</v>
      </c>
      <c r="F1074" s="32">
        <v>85</v>
      </c>
      <c r="G1074" s="32" t="s">
        <v>38</v>
      </c>
      <c r="H1074" s="32" t="s">
        <v>6491</v>
      </c>
      <c r="I1074" s="32" t="s">
        <v>39</v>
      </c>
      <c r="J1074" s="32" t="s">
        <v>40</v>
      </c>
      <c r="K1074" s="32" t="s">
        <v>41</v>
      </c>
      <c r="M1074" s="32" t="s">
        <v>5418</v>
      </c>
      <c r="N1074" s="32" t="s">
        <v>43</v>
      </c>
    </row>
    <row r="1075" spans="1:14" s="32" customFormat="1" hidden="1" x14ac:dyDescent="0.3">
      <c r="A1075" s="39">
        <v>46189.417673611111</v>
      </c>
      <c r="B1075" s="32">
        <v>35998295948</v>
      </c>
      <c r="C1075" s="32" t="s">
        <v>37</v>
      </c>
      <c r="D1075" s="32">
        <v>4430265054</v>
      </c>
      <c r="E1075" s="32">
        <v>451</v>
      </c>
      <c r="F1075" s="32">
        <v>436</v>
      </c>
      <c r="G1075" s="32" t="s">
        <v>38</v>
      </c>
      <c r="H1075" s="32" t="s">
        <v>6492</v>
      </c>
      <c r="I1075" s="32" t="s">
        <v>39</v>
      </c>
      <c r="J1075" s="32" t="s">
        <v>40</v>
      </c>
      <c r="K1075" s="32" t="s">
        <v>41</v>
      </c>
      <c r="M1075" s="32" t="s">
        <v>5410</v>
      </c>
      <c r="N1075" s="32" t="s">
        <v>37</v>
      </c>
    </row>
    <row r="1076" spans="1:14" s="32" customFormat="1" hidden="1" x14ac:dyDescent="0.3">
      <c r="A1076" s="39">
        <v>46189.409178240741</v>
      </c>
      <c r="B1076" s="32">
        <v>4430153305</v>
      </c>
      <c r="C1076" s="32">
        <v>4430265054</v>
      </c>
      <c r="D1076" s="32">
        <v>4430265054</v>
      </c>
      <c r="E1076" s="32">
        <v>106</v>
      </c>
      <c r="F1076" s="32">
        <v>105</v>
      </c>
      <c r="G1076" s="32" t="s">
        <v>52</v>
      </c>
      <c r="H1076" s="32" t="s">
        <v>6493</v>
      </c>
      <c r="I1076" s="32" t="s">
        <v>39</v>
      </c>
      <c r="J1076" s="32" t="s">
        <v>53</v>
      </c>
      <c r="K1076" s="32" t="s">
        <v>41</v>
      </c>
    </row>
    <row r="1077" spans="1:14" s="32" customFormat="1" hidden="1" x14ac:dyDescent="0.3">
      <c r="A1077" s="39">
        <v>46189.404479166667</v>
      </c>
      <c r="B1077" s="32" t="s">
        <v>45</v>
      </c>
      <c r="C1077" s="32">
        <v>44999449519</v>
      </c>
      <c r="E1077" s="32">
        <v>86</v>
      </c>
      <c r="F1077" s="32">
        <v>77</v>
      </c>
      <c r="G1077" s="32" t="s">
        <v>38</v>
      </c>
      <c r="H1077" s="32" t="s">
        <v>6494</v>
      </c>
      <c r="I1077" s="32" t="s">
        <v>46</v>
      </c>
      <c r="J1077" s="32" t="s">
        <v>40</v>
      </c>
      <c r="M1077" s="32" t="s">
        <v>5421</v>
      </c>
      <c r="N1077" s="32" t="s">
        <v>45</v>
      </c>
    </row>
    <row r="1078" spans="1:14" s="32" customFormat="1" hidden="1" x14ac:dyDescent="0.3">
      <c r="A1078" s="39">
        <v>46189.404351851852</v>
      </c>
      <c r="B1078" s="32">
        <v>1131043888</v>
      </c>
      <c r="C1078" s="32" t="s">
        <v>45</v>
      </c>
      <c r="D1078" s="32">
        <v>4430265054</v>
      </c>
      <c r="E1078" s="32">
        <v>1195</v>
      </c>
      <c r="F1078" s="32">
        <v>1117</v>
      </c>
      <c r="G1078" s="32" t="s">
        <v>38</v>
      </c>
      <c r="H1078" s="32" t="s">
        <v>6495</v>
      </c>
      <c r="I1078" s="32" t="s">
        <v>39</v>
      </c>
      <c r="J1078" s="32" t="s">
        <v>40</v>
      </c>
      <c r="K1078" s="32" t="s">
        <v>41</v>
      </c>
      <c r="M1078" s="32" t="s">
        <v>5421</v>
      </c>
      <c r="N1078" s="32" t="s">
        <v>45</v>
      </c>
    </row>
    <row r="1079" spans="1:14" s="32" customFormat="1" hidden="1" x14ac:dyDescent="0.3">
      <c r="A1079" s="39">
        <v>46189.40347222222</v>
      </c>
      <c r="B1079" s="32">
        <v>1131043888</v>
      </c>
      <c r="C1079" s="32">
        <v>4430265054</v>
      </c>
      <c r="D1079" s="32">
        <v>4430265054</v>
      </c>
      <c r="E1079" s="32">
        <v>26</v>
      </c>
      <c r="F1079" s="32">
        <v>25</v>
      </c>
      <c r="G1079" s="32" t="s">
        <v>52</v>
      </c>
      <c r="H1079" s="32" t="s">
        <v>6496</v>
      </c>
      <c r="I1079" s="32" t="s">
        <v>39</v>
      </c>
      <c r="J1079" s="32" t="s">
        <v>53</v>
      </c>
    </row>
    <row r="1080" spans="1:14" s="32" customFormat="1" hidden="1" x14ac:dyDescent="0.3">
      <c r="A1080" s="39">
        <v>46189.403391203705</v>
      </c>
      <c r="B1080" s="32">
        <v>4431337559</v>
      </c>
      <c r="C1080" s="32" t="s">
        <v>43</v>
      </c>
      <c r="D1080" s="32">
        <v>4430265054</v>
      </c>
      <c r="E1080" s="32">
        <v>418</v>
      </c>
      <c r="F1080" s="32">
        <v>375</v>
      </c>
      <c r="G1080" s="32" t="s">
        <v>38</v>
      </c>
      <c r="H1080" s="32" t="s">
        <v>6497</v>
      </c>
      <c r="I1080" s="32" t="s">
        <v>39</v>
      </c>
      <c r="J1080" s="32" t="s">
        <v>40</v>
      </c>
      <c r="K1080" s="32" t="s">
        <v>41</v>
      </c>
      <c r="M1080" s="32" t="s">
        <v>5418</v>
      </c>
      <c r="N1080" s="32" t="s">
        <v>43</v>
      </c>
    </row>
    <row r="1081" spans="1:14" s="32" customFormat="1" hidden="1" x14ac:dyDescent="0.3">
      <c r="A1081" s="39">
        <v>46189.398217592592</v>
      </c>
      <c r="B1081" s="32">
        <v>44999647912</v>
      </c>
      <c r="C1081" s="32" t="s">
        <v>44</v>
      </c>
      <c r="D1081" s="32">
        <v>4430265054</v>
      </c>
      <c r="E1081" s="32">
        <v>793</v>
      </c>
      <c r="F1081" s="32">
        <v>717</v>
      </c>
      <c r="G1081" s="32" t="s">
        <v>38</v>
      </c>
      <c r="H1081" s="32" t="s">
        <v>6498</v>
      </c>
      <c r="I1081" s="32" t="s">
        <v>39</v>
      </c>
      <c r="J1081" s="32" t="s">
        <v>40</v>
      </c>
      <c r="K1081" s="32" t="s">
        <v>41</v>
      </c>
      <c r="M1081" s="32" t="s">
        <v>5416</v>
      </c>
      <c r="N1081" s="32" t="s">
        <v>44</v>
      </c>
    </row>
    <row r="1082" spans="1:14" s="32" customFormat="1" hidden="1" x14ac:dyDescent="0.3">
      <c r="A1082" s="39">
        <v>46189.394699074073</v>
      </c>
      <c r="B1082" s="32">
        <v>44997650834</v>
      </c>
      <c r="C1082" s="32" t="s">
        <v>45</v>
      </c>
      <c r="D1082" s="32">
        <v>4430265054</v>
      </c>
      <c r="E1082" s="32">
        <v>405</v>
      </c>
      <c r="F1082" s="32">
        <v>366</v>
      </c>
      <c r="G1082" s="32" t="s">
        <v>38</v>
      </c>
      <c r="H1082" s="32" t="s">
        <v>6499</v>
      </c>
      <c r="I1082" s="32" t="s">
        <v>39</v>
      </c>
      <c r="J1082" s="32" t="s">
        <v>40</v>
      </c>
      <c r="K1082" s="32" t="s">
        <v>41</v>
      </c>
      <c r="L1082" s="32">
        <v>5</v>
      </c>
      <c r="M1082" s="32" t="s">
        <v>5421</v>
      </c>
      <c r="N1082" s="32" t="s">
        <v>45</v>
      </c>
    </row>
    <row r="1083" spans="1:14" s="32" customFormat="1" hidden="1" x14ac:dyDescent="0.3">
      <c r="A1083" s="39">
        <v>46189.390416666669</v>
      </c>
      <c r="B1083" s="32">
        <v>44998649455</v>
      </c>
      <c r="C1083" s="32">
        <v>4430265054</v>
      </c>
      <c r="D1083" s="32">
        <v>4430265054</v>
      </c>
      <c r="E1083" s="32">
        <v>18</v>
      </c>
      <c r="F1083" s="32">
        <v>18</v>
      </c>
      <c r="G1083" s="32" t="s">
        <v>52</v>
      </c>
      <c r="H1083" s="32" t="s">
        <v>6500</v>
      </c>
      <c r="I1083" s="32" t="s">
        <v>39</v>
      </c>
      <c r="J1083" s="32" t="s">
        <v>53</v>
      </c>
    </row>
    <row r="1084" spans="1:14" s="32" customFormat="1" hidden="1" x14ac:dyDescent="0.3">
      <c r="A1084" s="39">
        <v>46189.379687499997</v>
      </c>
      <c r="B1084" s="32">
        <v>44998266194</v>
      </c>
      <c r="C1084" s="32" t="s">
        <v>45</v>
      </c>
      <c r="D1084" s="32">
        <v>4431268225</v>
      </c>
      <c r="E1084" s="32">
        <v>296</v>
      </c>
      <c r="F1084" s="32">
        <v>276</v>
      </c>
      <c r="G1084" s="32" t="s">
        <v>38</v>
      </c>
      <c r="H1084" s="32" t="s">
        <v>6501</v>
      </c>
      <c r="I1084" s="32" t="s">
        <v>39</v>
      </c>
      <c r="J1084" s="32" t="s">
        <v>40</v>
      </c>
      <c r="K1084" s="32" t="s">
        <v>41</v>
      </c>
      <c r="M1084" s="32" t="s">
        <v>5421</v>
      </c>
      <c r="N1084" s="32" t="s">
        <v>45</v>
      </c>
    </row>
    <row r="1085" spans="1:14" s="32" customFormat="1" hidden="1" x14ac:dyDescent="0.3">
      <c r="A1085" s="39">
        <v>46189.356724537036</v>
      </c>
      <c r="B1085" s="32">
        <v>44984241715</v>
      </c>
      <c r="C1085" s="32" t="s">
        <v>43</v>
      </c>
      <c r="D1085" s="32">
        <v>4430265054</v>
      </c>
      <c r="E1085" s="32">
        <v>344</v>
      </c>
      <c r="F1085" s="32">
        <v>309</v>
      </c>
      <c r="G1085" s="32" t="s">
        <v>38</v>
      </c>
      <c r="H1085" s="32" t="s">
        <v>6502</v>
      </c>
      <c r="I1085" s="32" t="s">
        <v>39</v>
      </c>
      <c r="J1085" s="32" t="s">
        <v>40</v>
      </c>
      <c r="K1085" s="32" t="s">
        <v>41</v>
      </c>
      <c r="M1085" s="32" t="s">
        <v>5418</v>
      </c>
      <c r="N1085" s="32" t="s">
        <v>43</v>
      </c>
    </row>
    <row r="1086" spans="1:14" s="32" customFormat="1" hidden="1" x14ac:dyDescent="0.3">
      <c r="A1086" s="39">
        <v>46189.355381944442</v>
      </c>
      <c r="B1086" s="32">
        <v>44984241715</v>
      </c>
      <c r="C1086" s="32">
        <v>4430265054</v>
      </c>
      <c r="D1086" s="32">
        <v>4430265054</v>
      </c>
      <c r="E1086" s="32">
        <v>21</v>
      </c>
      <c r="F1086" s="32">
        <v>20</v>
      </c>
      <c r="G1086" s="32" t="s">
        <v>52</v>
      </c>
      <c r="H1086" s="32" t="s">
        <v>6503</v>
      </c>
      <c r="I1086" s="32" t="s">
        <v>39</v>
      </c>
      <c r="J1086" s="32" t="s">
        <v>53</v>
      </c>
    </row>
    <row r="1087" spans="1:14" s="32" customFormat="1" hidden="1" x14ac:dyDescent="0.3">
      <c r="A1087" s="39">
        <v>46189.355358796296</v>
      </c>
      <c r="B1087" s="32">
        <v>41999717893</v>
      </c>
      <c r="C1087" s="32" t="s">
        <v>37</v>
      </c>
      <c r="D1087" s="32">
        <v>4430265054</v>
      </c>
      <c r="E1087" s="32">
        <v>376</v>
      </c>
      <c r="F1087" s="32">
        <v>272</v>
      </c>
      <c r="G1087" s="32" t="s">
        <v>38</v>
      </c>
      <c r="H1087" s="32" t="s">
        <v>6504</v>
      </c>
      <c r="I1087" s="32" t="s">
        <v>39</v>
      </c>
      <c r="J1087" s="32" t="s">
        <v>40</v>
      </c>
      <c r="K1087" s="32" t="s">
        <v>41</v>
      </c>
      <c r="M1087" s="32" t="s">
        <v>5410</v>
      </c>
      <c r="N1087" s="32" t="s">
        <v>37</v>
      </c>
    </row>
    <row r="1088" spans="1:14" s="32" customFormat="1" hidden="1" x14ac:dyDescent="0.3">
      <c r="A1088" s="39">
        <v>46189.353136574071</v>
      </c>
      <c r="B1088" s="32">
        <v>44984241715</v>
      </c>
      <c r="C1088" s="32">
        <v>4430265054</v>
      </c>
      <c r="D1088" s="32">
        <v>4430265054</v>
      </c>
      <c r="E1088" s="32">
        <v>29</v>
      </c>
      <c r="F1088" s="32">
        <v>28</v>
      </c>
      <c r="G1088" s="32" t="s">
        <v>52</v>
      </c>
      <c r="H1088" s="32" t="s">
        <v>6505</v>
      </c>
      <c r="I1088" s="32" t="s">
        <v>39</v>
      </c>
      <c r="J1088" s="32" t="s">
        <v>53</v>
      </c>
    </row>
    <row r="1089" spans="1:14" s="32" customFormat="1" hidden="1" x14ac:dyDescent="0.3">
      <c r="A1089" s="39">
        <v>46189.352708333332</v>
      </c>
      <c r="B1089" s="32">
        <v>44984241715</v>
      </c>
      <c r="C1089" s="32">
        <v>4430265054</v>
      </c>
      <c r="D1089" s="32">
        <v>4430265054</v>
      </c>
      <c r="E1089" s="32">
        <v>29</v>
      </c>
      <c r="F1089" s="32">
        <v>28</v>
      </c>
      <c r="G1089" s="32" t="s">
        <v>52</v>
      </c>
      <c r="H1089" s="32" t="s">
        <v>6506</v>
      </c>
      <c r="I1089" s="32" t="s">
        <v>39</v>
      </c>
      <c r="J1089" s="32" t="s">
        <v>53</v>
      </c>
    </row>
    <row r="1090" spans="1:14" s="32" customFormat="1" hidden="1" x14ac:dyDescent="0.3">
      <c r="A1090" s="39">
        <v>46189.352465277778</v>
      </c>
      <c r="B1090" s="32">
        <v>41999717893</v>
      </c>
      <c r="C1090" s="32">
        <v>4430265054</v>
      </c>
      <c r="D1090" s="32">
        <v>4430265054</v>
      </c>
      <c r="E1090" s="32">
        <v>18</v>
      </c>
      <c r="F1090" s="32">
        <v>18</v>
      </c>
      <c r="G1090" s="32" t="s">
        <v>52</v>
      </c>
      <c r="H1090" s="32" t="s">
        <v>6507</v>
      </c>
      <c r="I1090" s="32" t="s">
        <v>39</v>
      </c>
      <c r="J1090" s="32" t="s">
        <v>53</v>
      </c>
    </row>
    <row r="1091" spans="1:14" s="32" customFormat="1" hidden="1" x14ac:dyDescent="0.3">
      <c r="A1091" s="39">
        <v>46189.352199074077</v>
      </c>
      <c r="B1091" s="32">
        <v>44984241715</v>
      </c>
      <c r="C1091" s="32">
        <v>4430265054</v>
      </c>
      <c r="D1091" s="32">
        <v>4430265054</v>
      </c>
      <c r="E1091" s="32">
        <v>29</v>
      </c>
      <c r="F1091" s="32">
        <v>28</v>
      </c>
      <c r="G1091" s="32" t="s">
        <v>52</v>
      </c>
      <c r="H1091" s="32" t="s">
        <v>6508</v>
      </c>
      <c r="I1091" s="32" t="s">
        <v>39</v>
      </c>
      <c r="J1091" s="32" t="s">
        <v>53</v>
      </c>
    </row>
    <row r="1092" spans="1:14" s="32" customFormat="1" hidden="1" x14ac:dyDescent="0.3">
      <c r="A1092" s="39">
        <v>46189.345543981479</v>
      </c>
      <c r="B1092" s="32">
        <v>1438160351</v>
      </c>
      <c r="C1092" s="32">
        <v>4430265054</v>
      </c>
      <c r="D1092" s="32">
        <v>4430265054</v>
      </c>
      <c r="E1092" s="32">
        <v>9</v>
      </c>
      <c r="F1092" s="32">
        <v>8</v>
      </c>
      <c r="G1092" s="32" t="s">
        <v>52</v>
      </c>
      <c r="H1092" s="32" t="s">
        <v>6509</v>
      </c>
      <c r="I1092" s="32" t="s">
        <v>39</v>
      </c>
      <c r="J1092" s="32" t="s">
        <v>53</v>
      </c>
    </row>
    <row r="1093" spans="1:14" s="32" customFormat="1" hidden="1" x14ac:dyDescent="0.3">
      <c r="A1093" s="39">
        <v>46188.736504629633</v>
      </c>
      <c r="B1093" s="32">
        <v>4436351414</v>
      </c>
      <c r="C1093" s="32" t="s">
        <v>43</v>
      </c>
      <c r="D1093" s="32">
        <v>4430265054</v>
      </c>
      <c r="E1093" s="32">
        <v>661</v>
      </c>
      <c r="F1093" s="32">
        <v>562</v>
      </c>
      <c r="G1093" s="32" t="s">
        <v>38</v>
      </c>
      <c r="H1093" s="32" t="s">
        <v>6510</v>
      </c>
      <c r="I1093" s="32" t="s">
        <v>39</v>
      </c>
      <c r="J1093" s="32" t="s">
        <v>40</v>
      </c>
      <c r="K1093" s="32" t="s">
        <v>41</v>
      </c>
      <c r="M1093" s="32" t="s">
        <v>5418</v>
      </c>
      <c r="N1093" s="32" t="s">
        <v>43</v>
      </c>
    </row>
    <row r="1094" spans="1:14" s="32" customFormat="1" hidden="1" x14ac:dyDescent="0.3">
      <c r="A1094" s="39">
        <v>46188.73605324074</v>
      </c>
      <c r="B1094" s="32">
        <v>4436351138</v>
      </c>
      <c r="C1094" s="32">
        <v>4430265054</v>
      </c>
      <c r="D1094" s="32">
        <v>4430265054</v>
      </c>
      <c r="E1094" s="32">
        <v>21</v>
      </c>
      <c r="F1094" s="32">
        <v>20</v>
      </c>
      <c r="G1094" s="32" t="s">
        <v>52</v>
      </c>
      <c r="H1094" s="32" t="s">
        <v>6511</v>
      </c>
      <c r="I1094" s="32" t="s">
        <v>39</v>
      </c>
      <c r="J1094" s="32" t="s">
        <v>53</v>
      </c>
      <c r="K1094" s="32" t="s">
        <v>49</v>
      </c>
    </row>
    <row r="1095" spans="1:14" s="32" customFormat="1" hidden="1" x14ac:dyDescent="0.3">
      <c r="A1095" s="39">
        <v>46188.728402777779</v>
      </c>
      <c r="B1095" s="32">
        <v>1128897100</v>
      </c>
      <c r="C1095" s="32" t="s">
        <v>43</v>
      </c>
      <c r="D1095" s="32">
        <v>4430265054</v>
      </c>
      <c r="E1095" s="32">
        <v>291</v>
      </c>
      <c r="F1095" s="32">
        <v>260</v>
      </c>
      <c r="G1095" s="32" t="s">
        <v>38</v>
      </c>
      <c r="H1095" s="32" t="s">
        <v>6512</v>
      </c>
      <c r="I1095" s="32" t="s">
        <v>39</v>
      </c>
      <c r="J1095" s="32" t="s">
        <v>40</v>
      </c>
      <c r="K1095" s="32" t="s">
        <v>49</v>
      </c>
      <c r="M1095" s="32" t="s">
        <v>5418</v>
      </c>
      <c r="N1095" s="32" t="s">
        <v>43</v>
      </c>
    </row>
    <row r="1096" spans="1:14" s="32" customFormat="1" hidden="1" x14ac:dyDescent="0.3">
      <c r="A1096" s="39">
        <v>46188.726759259262</v>
      </c>
      <c r="B1096" s="32">
        <v>41999717893</v>
      </c>
      <c r="C1096" s="32" t="s">
        <v>37</v>
      </c>
      <c r="D1096" s="32">
        <v>4430265054</v>
      </c>
      <c r="E1096" s="32">
        <v>1675</v>
      </c>
      <c r="F1096" s="32">
        <v>1649</v>
      </c>
      <c r="G1096" s="32" t="s">
        <v>38</v>
      </c>
      <c r="H1096" s="32" t="s">
        <v>6513</v>
      </c>
      <c r="I1096" s="32" t="s">
        <v>39</v>
      </c>
      <c r="J1096" s="32" t="s">
        <v>40</v>
      </c>
      <c r="K1096" s="32" t="s">
        <v>41</v>
      </c>
      <c r="M1096" s="32" t="s">
        <v>5410</v>
      </c>
      <c r="N1096" s="32" t="s">
        <v>37</v>
      </c>
    </row>
    <row r="1097" spans="1:14" s="32" customFormat="1" hidden="1" x14ac:dyDescent="0.3">
      <c r="A1097" s="39">
        <v>46188.719490740739</v>
      </c>
      <c r="B1097" s="32">
        <v>44999449519</v>
      </c>
      <c r="C1097" s="32" t="s">
        <v>45</v>
      </c>
      <c r="D1097" s="32">
        <v>4430265054</v>
      </c>
      <c r="E1097" s="32">
        <v>639</v>
      </c>
      <c r="F1097" s="32">
        <v>577</v>
      </c>
      <c r="G1097" s="32" t="s">
        <v>38</v>
      </c>
      <c r="H1097" s="32" t="s">
        <v>6514</v>
      </c>
      <c r="I1097" s="32" t="s">
        <v>39</v>
      </c>
      <c r="J1097" s="32" t="s">
        <v>40</v>
      </c>
      <c r="K1097" s="32" t="s">
        <v>41</v>
      </c>
      <c r="M1097" s="32" t="s">
        <v>5421</v>
      </c>
      <c r="N1097" s="32" t="s">
        <v>45</v>
      </c>
    </row>
    <row r="1098" spans="1:14" s="32" customFormat="1" hidden="1" x14ac:dyDescent="0.3">
      <c r="A1098" s="39">
        <v>46188.690266203703</v>
      </c>
      <c r="B1098" s="32">
        <v>62994086124</v>
      </c>
      <c r="C1098" s="32" t="s">
        <v>43</v>
      </c>
      <c r="D1098" s="32">
        <v>4430265054</v>
      </c>
      <c r="E1098" s="32">
        <v>340</v>
      </c>
      <c r="F1098" s="32">
        <v>304</v>
      </c>
      <c r="G1098" s="32" t="s">
        <v>38</v>
      </c>
      <c r="H1098" s="32" t="s">
        <v>6515</v>
      </c>
      <c r="I1098" s="32" t="s">
        <v>39</v>
      </c>
      <c r="J1098" s="32" t="s">
        <v>40</v>
      </c>
      <c r="K1098" s="32" t="s">
        <v>41</v>
      </c>
      <c r="L1098" s="32">
        <v>5</v>
      </c>
      <c r="M1098" s="32" t="s">
        <v>5418</v>
      </c>
      <c r="N1098" s="32" t="s">
        <v>43</v>
      </c>
    </row>
    <row r="1099" spans="1:14" s="32" customFormat="1" hidden="1" x14ac:dyDescent="0.3">
      <c r="A1099" s="39">
        <v>46188.689618055556</v>
      </c>
      <c r="B1099" s="32">
        <v>44997710633</v>
      </c>
      <c r="C1099" s="32">
        <v>4430265054</v>
      </c>
      <c r="D1099" s="32">
        <v>4430265054</v>
      </c>
      <c r="E1099" s="32">
        <v>21</v>
      </c>
      <c r="F1099" s="32">
        <v>20</v>
      </c>
      <c r="G1099" s="32" t="s">
        <v>52</v>
      </c>
      <c r="H1099" s="32" t="s">
        <v>6516</v>
      </c>
      <c r="I1099" s="32" t="s">
        <v>39</v>
      </c>
      <c r="J1099" s="32" t="s">
        <v>53</v>
      </c>
    </row>
    <row r="1100" spans="1:14" s="32" customFormat="1" hidden="1" x14ac:dyDescent="0.3">
      <c r="A1100" s="39">
        <v>46188.686284722222</v>
      </c>
      <c r="B1100" s="32" t="s">
        <v>43</v>
      </c>
      <c r="C1100" s="32">
        <v>44997710633</v>
      </c>
      <c r="E1100" s="32">
        <v>12</v>
      </c>
      <c r="F1100" s="32">
        <v>0</v>
      </c>
      <c r="G1100" s="32" t="s">
        <v>47</v>
      </c>
      <c r="H1100" s="32" t="s">
        <v>6517</v>
      </c>
      <c r="I1100" s="32" t="s">
        <v>46</v>
      </c>
      <c r="J1100" s="32" t="s">
        <v>40</v>
      </c>
      <c r="M1100" s="32" t="s">
        <v>5418</v>
      </c>
      <c r="N1100" s="32" t="s">
        <v>43</v>
      </c>
    </row>
    <row r="1101" spans="1:14" s="32" customFormat="1" hidden="1" x14ac:dyDescent="0.3">
      <c r="A1101" s="39">
        <v>46188.685520833336</v>
      </c>
      <c r="B1101" s="32" t="s">
        <v>43</v>
      </c>
      <c r="C1101" s="32">
        <v>4430255858</v>
      </c>
      <c r="E1101" s="32">
        <v>93</v>
      </c>
      <c r="F1101" s="32">
        <v>88</v>
      </c>
      <c r="G1101" s="32" t="s">
        <v>38</v>
      </c>
      <c r="H1101" s="32" t="s">
        <v>6518</v>
      </c>
      <c r="I1101" s="32" t="s">
        <v>46</v>
      </c>
      <c r="J1101" s="32" t="s">
        <v>40</v>
      </c>
      <c r="M1101" s="32" t="s">
        <v>5418</v>
      </c>
      <c r="N1101" s="32" t="s">
        <v>43</v>
      </c>
    </row>
    <row r="1102" spans="1:14" s="32" customFormat="1" hidden="1" x14ac:dyDescent="0.3">
      <c r="A1102" s="39">
        <v>46188.685416666667</v>
      </c>
      <c r="B1102" s="32">
        <v>93991495484</v>
      </c>
      <c r="C1102" s="32" t="s">
        <v>44</v>
      </c>
      <c r="D1102" s="32">
        <v>4430265054</v>
      </c>
      <c r="E1102" s="32">
        <v>960</v>
      </c>
      <c r="F1102" s="32">
        <v>901</v>
      </c>
      <c r="G1102" s="32" t="s">
        <v>38</v>
      </c>
      <c r="H1102" s="32" t="s">
        <v>6519</v>
      </c>
      <c r="I1102" s="32" t="s">
        <v>39</v>
      </c>
      <c r="J1102" s="32" t="s">
        <v>40</v>
      </c>
      <c r="K1102" s="32" t="s">
        <v>41</v>
      </c>
      <c r="L1102" s="32">
        <v>5</v>
      </c>
      <c r="M1102" s="32" t="s">
        <v>5416</v>
      </c>
      <c r="N1102" s="32" t="s">
        <v>44</v>
      </c>
    </row>
    <row r="1103" spans="1:14" s="32" customFormat="1" hidden="1" x14ac:dyDescent="0.3">
      <c r="A1103" s="39">
        <v>46188.684930555559</v>
      </c>
      <c r="B1103" s="32" t="s">
        <v>43</v>
      </c>
      <c r="C1103" s="32">
        <v>44997710633</v>
      </c>
      <c r="E1103" s="32">
        <v>12</v>
      </c>
      <c r="F1103" s="32">
        <v>0</v>
      </c>
      <c r="G1103" s="32" t="s">
        <v>47</v>
      </c>
      <c r="H1103" s="32" t="s">
        <v>6520</v>
      </c>
      <c r="I1103" s="32" t="s">
        <v>46</v>
      </c>
      <c r="J1103" s="32" t="s">
        <v>40</v>
      </c>
      <c r="M1103" s="32" t="s">
        <v>5418</v>
      </c>
      <c r="N1103" s="32" t="s">
        <v>43</v>
      </c>
    </row>
    <row r="1104" spans="1:14" s="32" customFormat="1" hidden="1" x14ac:dyDescent="0.3">
      <c r="A1104" s="39">
        <v>46188.684872685182</v>
      </c>
      <c r="B1104" s="32" t="s">
        <v>43</v>
      </c>
      <c r="C1104" s="32">
        <v>44997710633</v>
      </c>
      <c r="E1104" s="32">
        <v>4</v>
      </c>
      <c r="F1104" s="32">
        <v>0</v>
      </c>
      <c r="G1104" s="32" t="s">
        <v>47</v>
      </c>
      <c r="H1104" s="32" t="s">
        <v>6521</v>
      </c>
      <c r="I1104" s="32" t="s">
        <v>46</v>
      </c>
      <c r="J1104" s="32" t="s">
        <v>40</v>
      </c>
      <c r="M1104" s="32" t="s">
        <v>5418</v>
      </c>
      <c r="N1104" s="32" t="s">
        <v>43</v>
      </c>
    </row>
    <row r="1105" spans="1:14" s="32" customFormat="1" hidden="1" x14ac:dyDescent="0.3">
      <c r="A1105" s="39">
        <v>46188.684548611112</v>
      </c>
      <c r="B1105" s="32" t="s">
        <v>43</v>
      </c>
      <c r="C1105" s="32">
        <v>4433015978</v>
      </c>
      <c r="E1105" s="32">
        <v>1</v>
      </c>
      <c r="F1105" s="32">
        <v>0</v>
      </c>
      <c r="G1105" s="32" t="s">
        <v>47</v>
      </c>
      <c r="H1105" s="32" t="s">
        <v>6522</v>
      </c>
      <c r="I1105" s="32" t="s">
        <v>46</v>
      </c>
      <c r="J1105" s="32" t="s">
        <v>40</v>
      </c>
      <c r="M1105" s="32" t="s">
        <v>5418</v>
      </c>
      <c r="N1105" s="32" t="s">
        <v>43</v>
      </c>
    </row>
    <row r="1106" spans="1:14" s="32" customFormat="1" hidden="1" x14ac:dyDescent="0.3">
      <c r="A1106" s="39">
        <v>46188.678680555553</v>
      </c>
      <c r="B1106" s="32">
        <v>44999976008</v>
      </c>
      <c r="C1106" s="32" t="s">
        <v>37</v>
      </c>
      <c r="D1106" s="32">
        <v>4430265054</v>
      </c>
      <c r="E1106" s="32">
        <v>1116</v>
      </c>
      <c r="F1106" s="32">
        <v>920</v>
      </c>
      <c r="G1106" s="32" t="s">
        <v>38</v>
      </c>
      <c r="H1106" s="32" t="s">
        <v>6523</v>
      </c>
      <c r="I1106" s="32" t="s">
        <v>39</v>
      </c>
      <c r="J1106" s="32" t="s">
        <v>40</v>
      </c>
      <c r="K1106" s="32" t="s">
        <v>41</v>
      </c>
      <c r="L1106" s="32">
        <v>5</v>
      </c>
      <c r="M1106" s="32" t="s">
        <v>5410</v>
      </c>
      <c r="N1106" s="32" t="s">
        <v>37</v>
      </c>
    </row>
    <row r="1107" spans="1:14" s="32" customFormat="1" hidden="1" x14ac:dyDescent="0.3">
      <c r="A1107" s="39">
        <v>46188.676122685189</v>
      </c>
      <c r="B1107" s="32">
        <v>4430451163</v>
      </c>
      <c r="C1107" s="32" t="s">
        <v>45</v>
      </c>
      <c r="D1107" s="32">
        <v>4430265054</v>
      </c>
      <c r="E1107" s="32">
        <v>2331</v>
      </c>
      <c r="F1107" s="32">
        <v>2287</v>
      </c>
      <c r="G1107" s="32" t="s">
        <v>38</v>
      </c>
      <c r="H1107" s="32" t="s">
        <v>6524</v>
      </c>
      <c r="I1107" s="32" t="s">
        <v>39</v>
      </c>
      <c r="J1107" s="32" t="s">
        <v>40</v>
      </c>
      <c r="K1107" s="32" t="s">
        <v>41</v>
      </c>
      <c r="M1107" s="32" t="s">
        <v>5421</v>
      </c>
      <c r="N1107" s="32" t="s">
        <v>45</v>
      </c>
    </row>
    <row r="1108" spans="1:14" s="32" customFormat="1" hidden="1" x14ac:dyDescent="0.3">
      <c r="A1108" s="39">
        <v>46188.675115740742</v>
      </c>
      <c r="B1108" s="32">
        <v>44999976008</v>
      </c>
      <c r="C1108" s="32">
        <v>4430265054</v>
      </c>
      <c r="D1108" s="32">
        <v>4430265054</v>
      </c>
      <c r="E1108" s="32">
        <v>36</v>
      </c>
      <c r="F1108" s="32">
        <v>36</v>
      </c>
      <c r="G1108" s="32" t="s">
        <v>52</v>
      </c>
      <c r="H1108" s="32" t="s">
        <v>6525</v>
      </c>
      <c r="I1108" s="32" t="s">
        <v>39</v>
      </c>
      <c r="J1108" s="32" t="s">
        <v>53</v>
      </c>
      <c r="K1108" s="32" t="s">
        <v>41</v>
      </c>
    </row>
    <row r="1109" spans="1:14" s="32" customFormat="1" hidden="1" x14ac:dyDescent="0.3">
      <c r="A1109" s="39">
        <v>46188.652384259258</v>
      </c>
      <c r="B1109" s="32">
        <v>35998295948</v>
      </c>
      <c r="C1109" s="32" t="s">
        <v>37</v>
      </c>
      <c r="D1109" s="32">
        <v>4430265054</v>
      </c>
      <c r="E1109" s="32">
        <v>945</v>
      </c>
      <c r="F1109" s="32">
        <v>896</v>
      </c>
      <c r="G1109" s="32" t="s">
        <v>38</v>
      </c>
      <c r="H1109" s="32" t="s">
        <v>6526</v>
      </c>
      <c r="I1109" s="32" t="s">
        <v>39</v>
      </c>
      <c r="J1109" s="32" t="s">
        <v>40</v>
      </c>
      <c r="K1109" s="32" t="s">
        <v>41</v>
      </c>
      <c r="M1109" s="32" t="s">
        <v>5410</v>
      </c>
      <c r="N1109" s="32" t="s">
        <v>37</v>
      </c>
    </row>
    <row r="1110" spans="1:14" s="32" customFormat="1" hidden="1" x14ac:dyDescent="0.3">
      <c r="A1110" s="39">
        <v>46188.649131944447</v>
      </c>
      <c r="B1110" s="32">
        <v>44997710633</v>
      </c>
      <c r="C1110" s="32" t="s">
        <v>37</v>
      </c>
      <c r="D1110" s="32">
        <v>4430265054</v>
      </c>
      <c r="E1110" s="32">
        <v>214</v>
      </c>
      <c r="F1110" s="32">
        <v>139</v>
      </c>
      <c r="G1110" s="32" t="s">
        <v>38</v>
      </c>
      <c r="H1110" s="32" t="s">
        <v>6527</v>
      </c>
      <c r="I1110" s="32" t="s">
        <v>39</v>
      </c>
      <c r="J1110" s="32" t="s">
        <v>40</v>
      </c>
      <c r="K1110" s="32" t="s">
        <v>41</v>
      </c>
      <c r="M1110" s="32" t="s">
        <v>5410</v>
      </c>
      <c r="N1110" s="32" t="s">
        <v>37</v>
      </c>
    </row>
    <row r="1111" spans="1:14" s="32" customFormat="1" hidden="1" x14ac:dyDescent="0.3">
      <c r="A1111" s="39">
        <v>46188.63559027778</v>
      </c>
      <c r="B1111" s="32">
        <v>19992211619</v>
      </c>
      <c r="C1111" s="32">
        <v>4430265054</v>
      </c>
      <c r="D1111" s="32">
        <v>4430265054</v>
      </c>
      <c r="E1111" s="32">
        <v>153</v>
      </c>
      <c r="F1111" s="32">
        <v>153</v>
      </c>
      <c r="G1111" s="32" t="s">
        <v>52</v>
      </c>
      <c r="H1111" s="32" t="s">
        <v>6528</v>
      </c>
      <c r="I1111" s="32" t="s">
        <v>39</v>
      </c>
      <c r="J1111" s="32" t="s">
        <v>53</v>
      </c>
      <c r="K1111" s="32" t="s">
        <v>41</v>
      </c>
    </row>
    <row r="1112" spans="1:14" s="32" customFormat="1" hidden="1" x14ac:dyDescent="0.3">
      <c r="A1112" s="39">
        <v>46188.628182870372</v>
      </c>
      <c r="B1112" s="32" t="s">
        <v>54</v>
      </c>
      <c r="C1112" s="32">
        <v>11946373232</v>
      </c>
      <c r="E1112" s="32">
        <v>5</v>
      </c>
      <c r="F1112" s="32">
        <v>0</v>
      </c>
      <c r="G1112" s="32" t="s">
        <v>47</v>
      </c>
      <c r="H1112" s="32" t="s">
        <v>6529</v>
      </c>
      <c r="I1112" s="32" t="s">
        <v>46</v>
      </c>
      <c r="J1112" s="32" t="s">
        <v>55</v>
      </c>
      <c r="M1112" s="32" t="s">
        <v>5537</v>
      </c>
      <c r="N1112" s="32" t="s">
        <v>54</v>
      </c>
    </row>
    <row r="1113" spans="1:14" s="32" customFormat="1" hidden="1" x14ac:dyDescent="0.3">
      <c r="A1113" s="39">
        <v>46188.626562500001</v>
      </c>
      <c r="B1113" s="32" t="s">
        <v>54</v>
      </c>
      <c r="C1113" s="32">
        <v>51986869635</v>
      </c>
      <c r="E1113" s="32">
        <v>2</v>
      </c>
      <c r="F1113" s="32">
        <v>0</v>
      </c>
      <c r="G1113" s="32" t="s">
        <v>47</v>
      </c>
      <c r="H1113" s="32" t="s">
        <v>6530</v>
      </c>
      <c r="I1113" s="32" t="s">
        <v>46</v>
      </c>
      <c r="J1113" s="32" t="s">
        <v>55</v>
      </c>
      <c r="M1113" s="32" t="s">
        <v>5537</v>
      </c>
      <c r="N1113" s="32" t="s">
        <v>54</v>
      </c>
    </row>
    <row r="1114" spans="1:14" s="32" customFormat="1" hidden="1" x14ac:dyDescent="0.3">
      <c r="A1114" s="39">
        <v>46188.625879629632</v>
      </c>
      <c r="B1114" s="32" t="s">
        <v>54</v>
      </c>
      <c r="C1114" s="32">
        <v>11985649793</v>
      </c>
      <c r="E1114" s="32">
        <v>9</v>
      </c>
      <c r="F1114" s="32">
        <v>0</v>
      </c>
      <c r="G1114" s="32" t="s">
        <v>47</v>
      </c>
      <c r="H1114" s="32" t="s">
        <v>6531</v>
      </c>
      <c r="I1114" s="32" t="s">
        <v>46</v>
      </c>
      <c r="J1114" s="32" t="s">
        <v>55</v>
      </c>
      <c r="M1114" s="32" t="s">
        <v>5537</v>
      </c>
      <c r="N1114" s="32" t="s">
        <v>54</v>
      </c>
    </row>
    <row r="1115" spans="1:14" s="32" customFormat="1" hidden="1" x14ac:dyDescent="0.3">
      <c r="A1115" s="39">
        <v>46188.625208333331</v>
      </c>
      <c r="B1115" s="32" t="s">
        <v>54</v>
      </c>
      <c r="C1115" s="32">
        <v>51999606130</v>
      </c>
      <c r="E1115" s="32">
        <v>28</v>
      </c>
      <c r="F1115" s="32">
        <v>0</v>
      </c>
      <c r="G1115" s="32" t="s">
        <v>47</v>
      </c>
      <c r="H1115" s="32" t="s">
        <v>6532</v>
      </c>
      <c r="I1115" s="32" t="s">
        <v>46</v>
      </c>
      <c r="J1115" s="32" t="s">
        <v>55</v>
      </c>
      <c r="M1115" s="32" t="s">
        <v>5537</v>
      </c>
      <c r="N1115" s="32" t="s">
        <v>54</v>
      </c>
    </row>
    <row r="1116" spans="1:14" s="32" customFormat="1" hidden="1" x14ac:dyDescent="0.3">
      <c r="A1116" s="39">
        <v>46188.624398148146</v>
      </c>
      <c r="B1116" s="32" t="s">
        <v>54</v>
      </c>
      <c r="C1116" s="32">
        <v>98983158209</v>
      </c>
      <c r="E1116" s="32">
        <v>7</v>
      </c>
      <c r="F1116" s="32">
        <v>2</v>
      </c>
      <c r="G1116" s="32" t="s">
        <v>38</v>
      </c>
      <c r="H1116" s="32" t="s">
        <v>6533</v>
      </c>
      <c r="I1116" s="32" t="s">
        <v>46</v>
      </c>
      <c r="J1116" s="32" t="s">
        <v>55</v>
      </c>
      <c r="M1116" s="32" t="s">
        <v>5537</v>
      </c>
      <c r="N1116" s="32" t="s">
        <v>54</v>
      </c>
    </row>
    <row r="1117" spans="1:14" s="32" customFormat="1" hidden="1" x14ac:dyDescent="0.3">
      <c r="A1117" s="39">
        <v>46188.623657407406</v>
      </c>
      <c r="B1117" s="32">
        <v>1131515685</v>
      </c>
      <c r="C1117" s="32" t="s">
        <v>37</v>
      </c>
      <c r="D1117" s="32">
        <v>4430265054</v>
      </c>
      <c r="E1117" s="32">
        <v>279</v>
      </c>
      <c r="F1117" s="32">
        <v>129</v>
      </c>
      <c r="G1117" s="32" t="s">
        <v>38</v>
      </c>
      <c r="H1117" s="32" t="s">
        <v>6534</v>
      </c>
      <c r="I1117" s="32" t="s">
        <v>39</v>
      </c>
      <c r="J1117" s="32" t="s">
        <v>40</v>
      </c>
      <c r="K1117" s="32" t="s">
        <v>41</v>
      </c>
      <c r="L1117" s="32">
        <v>5</v>
      </c>
      <c r="M1117" s="32" t="s">
        <v>5410</v>
      </c>
      <c r="N1117" s="32" t="s">
        <v>37</v>
      </c>
    </row>
    <row r="1118" spans="1:14" s="32" customFormat="1" hidden="1" x14ac:dyDescent="0.3">
      <c r="A1118" s="39">
        <v>46188.623344907406</v>
      </c>
      <c r="B1118" s="32" t="s">
        <v>54</v>
      </c>
      <c r="C1118" s="32">
        <v>1130948252</v>
      </c>
      <c r="E1118" s="32">
        <v>16</v>
      </c>
      <c r="F1118" s="32">
        <v>1</v>
      </c>
      <c r="G1118" s="32" t="s">
        <v>38</v>
      </c>
      <c r="H1118" s="32" t="s">
        <v>6535</v>
      </c>
      <c r="I1118" s="32" t="s">
        <v>46</v>
      </c>
      <c r="J1118" s="32" t="s">
        <v>55</v>
      </c>
      <c r="M1118" s="32" t="s">
        <v>5537</v>
      </c>
      <c r="N1118" s="32" t="s">
        <v>54</v>
      </c>
    </row>
    <row r="1119" spans="1:14" s="32" customFormat="1" hidden="1" x14ac:dyDescent="0.3">
      <c r="A1119" s="39">
        <v>46188.622442129628</v>
      </c>
      <c r="B1119" s="32" t="s">
        <v>54</v>
      </c>
      <c r="C1119" s="32">
        <v>96981362838</v>
      </c>
      <c r="E1119" s="32">
        <v>18</v>
      </c>
      <c r="F1119" s="32">
        <v>0</v>
      </c>
      <c r="G1119" s="32" t="s">
        <v>47</v>
      </c>
      <c r="H1119" s="32" t="s">
        <v>6536</v>
      </c>
      <c r="I1119" s="32" t="s">
        <v>46</v>
      </c>
      <c r="J1119" s="32" t="s">
        <v>55</v>
      </c>
      <c r="M1119" s="32" t="s">
        <v>5537</v>
      </c>
      <c r="N1119" s="32" t="s">
        <v>54</v>
      </c>
    </row>
    <row r="1120" spans="1:14" s="32" customFormat="1" hidden="1" x14ac:dyDescent="0.3">
      <c r="A1120" s="39">
        <v>46188.62159722222</v>
      </c>
      <c r="B1120" s="32" t="s">
        <v>43</v>
      </c>
      <c r="C1120" s="32">
        <v>4430279797</v>
      </c>
      <c r="E1120" s="32">
        <v>310</v>
      </c>
      <c r="F1120" s="32">
        <v>310</v>
      </c>
      <c r="G1120" s="32" t="s">
        <v>38</v>
      </c>
      <c r="H1120" s="32" t="s">
        <v>6537</v>
      </c>
      <c r="I1120" s="32" t="s">
        <v>46</v>
      </c>
      <c r="J1120" s="32" t="s">
        <v>40</v>
      </c>
      <c r="M1120" s="32" t="s">
        <v>5418</v>
      </c>
      <c r="N1120" s="32" t="s">
        <v>43</v>
      </c>
    </row>
    <row r="1121" spans="1:14" s="32" customFormat="1" hidden="1" x14ac:dyDescent="0.3">
      <c r="A1121" s="39">
        <v>46188.621354166666</v>
      </c>
      <c r="B1121" s="32" t="s">
        <v>54</v>
      </c>
      <c r="C1121" s="32">
        <v>51995152660</v>
      </c>
      <c r="E1121" s="32">
        <v>6</v>
      </c>
      <c r="F1121" s="32">
        <v>0</v>
      </c>
      <c r="G1121" s="32" t="s">
        <v>47</v>
      </c>
      <c r="H1121" s="32" t="s">
        <v>6538</v>
      </c>
      <c r="I1121" s="32" t="s">
        <v>46</v>
      </c>
      <c r="J1121" s="32" t="s">
        <v>55</v>
      </c>
      <c r="M1121" s="32" t="s">
        <v>5537</v>
      </c>
      <c r="N1121" s="32" t="s">
        <v>54</v>
      </c>
    </row>
    <row r="1122" spans="1:14" s="32" customFormat="1" hidden="1" x14ac:dyDescent="0.3">
      <c r="A1122" s="39">
        <v>46188.621192129627</v>
      </c>
      <c r="B1122" s="32">
        <v>4436281154</v>
      </c>
      <c r="C1122" s="32" t="s">
        <v>45</v>
      </c>
      <c r="D1122" s="32">
        <v>4430265054</v>
      </c>
      <c r="E1122" s="32">
        <v>2083</v>
      </c>
      <c r="F1122" s="32">
        <v>2032</v>
      </c>
      <c r="G1122" s="32" t="s">
        <v>38</v>
      </c>
      <c r="H1122" s="32" t="s">
        <v>6539</v>
      </c>
      <c r="I1122" s="32" t="s">
        <v>39</v>
      </c>
      <c r="J1122" s="32" t="s">
        <v>40</v>
      </c>
      <c r="K1122" s="32" t="s">
        <v>41</v>
      </c>
      <c r="M1122" s="32" t="s">
        <v>5421</v>
      </c>
      <c r="N1122" s="32" t="s">
        <v>45</v>
      </c>
    </row>
    <row r="1123" spans="1:14" s="32" customFormat="1" hidden="1" x14ac:dyDescent="0.3">
      <c r="A1123" s="39">
        <v>46188.620462962965</v>
      </c>
      <c r="B1123" s="32" t="s">
        <v>54</v>
      </c>
      <c r="C1123" s="32">
        <v>85988015886</v>
      </c>
      <c r="E1123" s="32">
        <v>6</v>
      </c>
      <c r="F1123" s="32">
        <v>0</v>
      </c>
      <c r="G1123" s="32" t="s">
        <v>47</v>
      </c>
      <c r="H1123" s="32" t="s">
        <v>6540</v>
      </c>
      <c r="I1123" s="32" t="s">
        <v>46</v>
      </c>
      <c r="J1123" s="32" t="s">
        <v>55</v>
      </c>
      <c r="M1123" s="32" t="s">
        <v>5537</v>
      </c>
      <c r="N1123" s="32" t="s">
        <v>54</v>
      </c>
    </row>
    <row r="1124" spans="1:14" s="32" customFormat="1" hidden="1" x14ac:dyDescent="0.3">
      <c r="A1124" s="39">
        <v>46188.618773148148</v>
      </c>
      <c r="B1124" s="32">
        <v>4421032935</v>
      </c>
      <c r="C1124" s="32" t="s">
        <v>44</v>
      </c>
      <c r="D1124" s="32">
        <v>4430265054</v>
      </c>
      <c r="E1124" s="32">
        <v>118</v>
      </c>
      <c r="F1124" s="32">
        <v>59</v>
      </c>
      <c r="G1124" s="32" t="s">
        <v>38</v>
      </c>
      <c r="H1124" s="32" t="s">
        <v>6541</v>
      </c>
      <c r="I1124" s="32" t="s">
        <v>39</v>
      </c>
      <c r="J1124" s="32" t="s">
        <v>40</v>
      </c>
      <c r="K1124" s="32" t="s">
        <v>41</v>
      </c>
      <c r="M1124" s="32" t="s">
        <v>5416</v>
      </c>
      <c r="N1124" s="32" t="s">
        <v>44</v>
      </c>
    </row>
    <row r="1125" spans="1:14" s="32" customFormat="1" hidden="1" x14ac:dyDescent="0.3">
      <c r="A1125" s="39">
        <v>46188.618449074071</v>
      </c>
      <c r="B1125" s="32" t="s">
        <v>54</v>
      </c>
      <c r="C1125" s="32">
        <v>61992691335</v>
      </c>
      <c r="E1125" s="32">
        <v>14</v>
      </c>
      <c r="F1125" s="32">
        <v>1</v>
      </c>
      <c r="G1125" s="32" t="s">
        <v>38</v>
      </c>
      <c r="H1125" s="32" t="s">
        <v>6542</v>
      </c>
      <c r="I1125" s="32" t="s">
        <v>46</v>
      </c>
      <c r="J1125" s="32" t="s">
        <v>55</v>
      </c>
      <c r="M1125" s="32" t="s">
        <v>5537</v>
      </c>
      <c r="N1125" s="32" t="s">
        <v>54</v>
      </c>
    </row>
    <row r="1126" spans="1:14" s="32" customFormat="1" hidden="1" x14ac:dyDescent="0.3">
      <c r="A1126" s="39">
        <v>46188.617604166669</v>
      </c>
      <c r="B1126" s="32" t="s">
        <v>54</v>
      </c>
      <c r="C1126" s="32">
        <v>11963093316</v>
      </c>
      <c r="E1126" s="32">
        <v>7</v>
      </c>
      <c r="F1126" s="32">
        <v>4</v>
      </c>
      <c r="G1126" s="32" t="s">
        <v>38</v>
      </c>
      <c r="H1126" s="32" t="s">
        <v>6543</v>
      </c>
      <c r="I1126" s="32" t="s">
        <v>46</v>
      </c>
      <c r="J1126" s="32" t="s">
        <v>55</v>
      </c>
      <c r="M1126" s="32" t="s">
        <v>5537</v>
      </c>
      <c r="N1126" s="32" t="s">
        <v>54</v>
      </c>
    </row>
    <row r="1127" spans="1:14" s="32" customFormat="1" hidden="1" x14ac:dyDescent="0.3">
      <c r="A1127" s="39">
        <v>46188.617546296293</v>
      </c>
      <c r="B1127" s="32">
        <v>1131515685</v>
      </c>
      <c r="C1127" s="32" t="s">
        <v>43</v>
      </c>
      <c r="D1127" s="32">
        <v>4430265054</v>
      </c>
      <c r="E1127" s="32">
        <v>311</v>
      </c>
      <c r="F1127" s="32">
        <v>268</v>
      </c>
      <c r="G1127" s="32" t="s">
        <v>38</v>
      </c>
      <c r="H1127" s="32" t="s">
        <v>6544</v>
      </c>
      <c r="I1127" s="32" t="s">
        <v>39</v>
      </c>
      <c r="J1127" s="32" t="s">
        <v>40</v>
      </c>
      <c r="K1127" s="32" t="s">
        <v>41</v>
      </c>
      <c r="M1127" s="32" t="s">
        <v>5418</v>
      </c>
      <c r="N1127" s="32" t="s">
        <v>43</v>
      </c>
    </row>
    <row r="1128" spans="1:14" s="32" customFormat="1" hidden="1" x14ac:dyDescent="0.3">
      <c r="A1128" s="39">
        <v>46188.617094907408</v>
      </c>
      <c r="B1128" s="32" t="s">
        <v>54</v>
      </c>
      <c r="C1128" s="32">
        <v>11965099613</v>
      </c>
      <c r="E1128" s="32">
        <v>10</v>
      </c>
      <c r="F1128" s="32">
        <v>0</v>
      </c>
      <c r="G1128" s="32" t="s">
        <v>47</v>
      </c>
      <c r="H1128" s="32" t="s">
        <v>6545</v>
      </c>
      <c r="I1128" s="32" t="s">
        <v>46</v>
      </c>
      <c r="J1128" s="32" t="s">
        <v>55</v>
      </c>
      <c r="M1128" s="32" t="s">
        <v>5537</v>
      </c>
      <c r="N1128" s="32" t="s">
        <v>54</v>
      </c>
    </row>
    <row r="1129" spans="1:14" s="32" customFormat="1" hidden="1" x14ac:dyDescent="0.3">
      <c r="A1129" s="39">
        <v>46188.610081018516</v>
      </c>
      <c r="B1129" s="32" t="s">
        <v>37</v>
      </c>
      <c r="C1129" s="32">
        <v>53981112780</v>
      </c>
      <c r="E1129" s="32">
        <v>629</v>
      </c>
      <c r="F1129" s="32">
        <v>616</v>
      </c>
      <c r="G1129" s="32" t="s">
        <v>38</v>
      </c>
      <c r="H1129" s="32" t="s">
        <v>6546</v>
      </c>
      <c r="I1129" s="32" t="s">
        <v>46</v>
      </c>
      <c r="J1129" s="32" t="s">
        <v>40</v>
      </c>
      <c r="L1129" s="32">
        <v>4</v>
      </c>
      <c r="M1129" s="32" t="s">
        <v>5410</v>
      </c>
      <c r="N1129" s="32" t="s">
        <v>37</v>
      </c>
    </row>
    <row r="1130" spans="1:14" s="32" customFormat="1" hidden="1" x14ac:dyDescent="0.3">
      <c r="A1130" s="39">
        <v>46188.609930555554</v>
      </c>
      <c r="B1130" s="32" t="s">
        <v>54</v>
      </c>
      <c r="C1130" s="32">
        <v>16997539199</v>
      </c>
      <c r="E1130" s="32">
        <v>40</v>
      </c>
      <c r="F1130" s="32">
        <v>31</v>
      </c>
      <c r="G1130" s="32" t="s">
        <v>38</v>
      </c>
      <c r="H1130" s="32" t="s">
        <v>6547</v>
      </c>
      <c r="I1130" s="32" t="s">
        <v>46</v>
      </c>
      <c r="J1130" s="32" t="s">
        <v>55</v>
      </c>
      <c r="M1130" s="32" t="s">
        <v>5537</v>
      </c>
      <c r="N1130" s="32" t="s">
        <v>54</v>
      </c>
    </row>
    <row r="1131" spans="1:14" s="32" customFormat="1" hidden="1" x14ac:dyDescent="0.3">
      <c r="A1131" s="39">
        <v>46188.608993055554</v>
      </c>
      <c r="B1131" s="32" t="s">
        <v>54</v>
      </c>
      <c r="C1131" s="32">
        <v>21982346392</v>
      </c>
      <c r="E1131" s="32">
        <v>40</v>
      </c>
      <c r="F1131" s="32">
        <v>0</v>
      </c>
      <c r="G1131" s="32" t="s">
        <v>47</v>
      </c>
      <c r="H1131" s="32" t="s">
        <v>6548</v>
      </c>
      <c r="I1131" s="32" t="s">
        <v>46</v>
      </c>
      <c r="J1131" s="32" t="s">
        <v>55</v>
      </c>
      <c r="M1131" s="32" t="s">
        <v>5537</v>
      </c>
      <c r="N1131" s="32" t="s">
        <v>54</v>
      </c>
    </row>
    <row r="1132" spans="1:14" s="32" customFormat="1" hidden="1" x14ac:dyDescent="0.3">
      <c r="A1132" s="39">
        <v>46188.608240740738</v>
      </c>
      <c r="B1132" s="32" t="s">
        <v>54</v>
      </c>
      <c r="C1132" s="32">
        <v>75992643911</v>
      </c>
      <c r="E1132" s="32">
        <v>8</v>
      </c>
      <c r="F1132" s="32">
        <v>0</v>
      </c>
      <c r="G1132" s="32" t="s">
        <v>47</v>
      </c>
      <c r="H1132" s="32" t="s">
        <v>6549</v>
      </c>
      <c r="I1132" s="32" t="s">
        <v>46</v>
      </c>
      <c r="J1132" s="32" t="s">
        <v>55</v>
      </c>
      <c r="M1132" s="32" t="s">
        <v>5537</v>
      </c>
      <c r="N1132" s="32" t="s">
        <v>54</v>
      </c>
    </row>
    <row r="1133" spans="1:14" s="32" customFormat="1" hidden="1" x14ac:dyDescent="0.3">
      <c r="A1133" s="39">
        <v>46188.607685185183</v>
      </c>
      <c r="B1133" s="32" t="s">
        <v>54</v>
      </c>
      <c r="C1133" s="32">
        <v>62982756648</v>
      </c>
      <c r="E1133" s="32">
        <v>21</v>
      </c>
      <c r="F1133" s="32">
        <v>0</v>
      </c>
      <c r="G1133" s="32" t="s">
        <v>47</v>
      </c>
      <c r="H1133" s="32" t="s">
        <v>6550</v>
      </c>
      <c r="I1133" s="32" t="s">
        <v>46</v>
      </c>
      <c r="J1133" s="32" t="s">
        <v>55</v>
      </c>
      <c r="M1133" s="32" t="s">
        <v>5537</v>
      </c>
      <c r="N1133" s="32" t="s">
        <v>54</v>
      </c>
    </row>
    <row r="1134" spans="1:14" s="32" customFormat="1" hidden="1" x14ac:dyDescent="0.3">
      <c r="A1134" s="39">
        <v>46188.602916666663</v>
      </c>
      <c r="B1134" s="32">
        <v>1733231449</v>
      </c>
      <c r="C1134" s="32" t="s">
        <v>43</v>
      </c>
      <c r="D1134" s="32">
        <v>4430265054</v>
      </c>
      <c r="E1134" s="32">
        <v>298</v>
      </c>
      <c r="F1134" s="32">
        <v>167</v>
      </c>
      <c r="G1134" s="32" t="s">
        <v>38</v>
      </c>
      <c r="H1134" s="32" t="s">
        <v>6551</v>
      </c>
      <c r="I1134" s="32" t="s">
        <v>39</v>
      </c>
      <c r="J1134" s="32" t="s">
        <v>40</v>
      </c>
      <c r="K1134" s="32" t="s">
        <v>41</v>
      </c>
      <c r="L1134" s="32">
        <v>5</v>
      </c>
      <c r="M1134" s="32" t="s">
        <v>5418</v>
      </c>
      <c r="N1134" s="32" t="s">
        <v>43</v>
      </c>
    </row>
    <row r="1135" spans="1:14" s="32" customFormat="1" hidden="1" x14ac:dyDescent="0.3">
      <c r="A1135" s="39">
        <v>46188.596076388887</v>
      </c>
      <c r="B1135" s="32" t="s">
        <v>37</v>
      </c>
      <c r="C1135" s="32">
        <v>4334232912</v>
      </c>
      <c r="E1135" s="32">
        <v>984</v>
      </c>
      <c r="F1135" s="32">
        <v>973</v>
      </c>
      <c r="G1135" s="32" t="s">
        <v>38</v>
      </c>
      <c r="H1135" s="32" t="s">
        <v>6552</v>
      </c>
      <c r="I1135" s="32" t="s">
        <v>46</v>
      </c>
      <c r="J1135" s="32" t="s">
        <v>40</v>
      </c>
      <c r="M1135" s="32" t="s">
        <v>5410</v>
      </c>
      <c r="N1135" s="32" t="s">
        <v>37</v>
      </c>
    </row>
    <row r="1136" spans="1:14" s="32" customFormat="1" hidden="1" x14ac:dyDescent="0.3">
      <c r="A1136" s="39">
        <v>46188.596018518518</v>
      </c>
      <c r="B1136" s="32">
        <v>44997710633</v>
      </c>
      <c r="C1136" s="32" t="s">
        <v>43</v>
      </c>
      <c r="D1136" s="32">
        <v>4430265054</v>
      </c>
      <c r="E1136" s="32">
        <v>485</v>
      </c>
      <c r="F1136" s="32">
        <v>437</v>
      </c>
      <c r="G1136" s="32" t="s">
        <v>38</v>
      </c>
      <c r="H1136" s="32" t="s">
        <v>6553</v>
      </c>
      <c r="I1136" s="32" t="s">
        <v>39</v>
      </c>
      <c r="J1136" s="32" t="s">
        <v>40</v>
      </c>
      <c r="K1136" s="32" t="s">
        <v>41</v>
      </c>
      <c r="M1136" s="32" t="s">
        <v>5418</v>
      </c>
      <c r="N1136" s="32" t="s">
        <v>43</v>
      </c>
    </row>
    <row r="1137" spans="1:14" s="32" customFormat="1" hidden="1" x14ac:dyDescent="0.3">
      <c r="A1137" s="39">
        <v>46188.5940625</v>
      </c>
      <c r="B1137" s="32">
        <v>44984241715</v>
      </c>
      <c r="C1137" s="32" t="s">
        <v>45</v>
      </c>
      <c r="D1137" s="32">
        <v>4430265054</v>
      </c>
      <c r="E1137" s="32">
        <v>218</v>
      </c>
      <c r="F1137" s="32">
        <v>117</v>
      </c>
      <c r="G1137" s="32" t="s">
        <v>38</v>
      </c>
      <c r="H1137" s="32" t="s">
        <v>6554</v>
      </c>
      <c r="I1137" s="32" t="s">
        <v>39</v>
      </c>
      <c r="J1137" s="32" t="s">
        <v>40</v>
      </c>
      <c r="K1137" s="32" t="s">
        <v>41</v>
      </c>
      <c r="M1137" s="32" t="s">
        <v>5421</v>
      </c>
      <c r="N1137" s="32" t="s">
        <v>45</v>
      </c>
    </row>
    <row r="1138" spans="1:14" s="32" customFormat="1" hidden="1" x14ac:dyDescent="0.3">
      <c r="A1138" s="39">
        <v>46188.585694444446</v>
      </c>
      <c r="B1138" s="32">
        <v>44999648932</v>
      </c>
      <c r="C1138" s="32">
        <v>4430265054</v>
      </c>
      <c r="D1138" s="32">
        <v>4430265054</v>
      </c>
      <c r="E1138" s="32">
        <v>83</v>
      </c>
      <c r="F1138" s="32">
        <v>82</v>
      </c>
      <c r="G1138" s="32" t="s">
        <v>52</v>
      </c>
      <c r="H1138" s="32" t="s">
        <v>6555</v>
      </c>
      <c r="I1138" s="32" t="s">
        <v>39</v>
      </c>
      <c r="J1138" s="32" t="s">
        <v>53</v>
      </c>
      <c r="K1138" s="32" t="s">
        <v>41</v>
      </c>
    </row>
    <row r="1139" spans="1:14" s="32" customFormat="1" hidden="1" x14ac:dyDescent="0.3">
      <c r="A1139" s="39">
        <v>46188.582858796297</v>
      </c>
      <c r="B1139" s="32">
        <v>4330333558</v>
      </c>
      <c r="C1139" s="32" t="s">
        <v>45</v>
      </c>
      <c r="D1139" s="32">
        <v>4430265054</v>
      </c>
      <c r="E1139" s="32">
        <v>376</v>
      </c>
      <c r="F1139" s="32">
        <v>343</v>
      </c>
      <c r="G1139" s="32" t="s">
        <v>38</v>
      </c>
      <c r="H1139" s="32" t="s">
        <v>6556</v>
      </c>
      <c r="I1139" s="32" t="s">
        <v>39</v>
      </c>
      <c r="J1139" s="32" t="s">
        <v>40</v>
      </c>
      <c r="K1139" s="32" t="s">
        <v>41</v>
      </c>
      <c r="L1139" s="32">
        <v>5</v>
      </c>
      <c r="M1139" s="32" t="s">
        <v>5421</v>
      </c>
      <c r="N1139" s="32" t="s">
        <v>45</v>
      </c>
    </row>
    <row r="1140" spans="1:14" s="32" customFormat="1" hidden="1" x14ac:dyDescent="0.3">
      <c r="A1140" s="39">
        <v>46188.581863425927</v>
      </c>
      <c r="B1140" s="32">
        <v>41997840159</v>
      </c>
      <c r="C1140" s="32" t="s">
        <v>44</v>
      </c>
      <c r="D1140" s="32">
        <v>4431268225</v>
      </c>
      <c r="E1140" s="32">
        <v>553</v>
      </c>
      <c r="F1140" s="32">
        <v>448</v>
      </c>
      <c r="G1140" s="32" t="s">
        <v>38</v>
      </c>
      <c r="H1140" s="32" t="s">
        <v>6557</v>
      </c>
      <c r="I1140" s="32" t="s">
        <v>39</v>
      </c>
      <c r="J1140" s="32" t="s">
        <v>40</v>
      </c>
      <c r="K1140" s="32" t="s">
        <v>41</v>
      </c>
      <c r="L1140" s="32">
        <v>5</v>
      </c>
      <c r="M1140" s="32" t="s">
        <v>5416</v>
      </c>
      <c r="N1140" s="32" t="s">
        <v>44</v>
      </c>
    </row>
    <row r="1141" spans="1:14" s="32" customFormat="1" hidden="1" x14ac:dyDescent="0.3">
      <c r="A1141" s="39">
        <v>46188.581400462965</v>
      </c>
      <c r="B1141" s="32">
        <v>35998295948</v>
      </c>
      <c r="C1141" s="32" t="s">
        <v>48</v>
      </c>
      <c r="D1141" s="32">
        <v>4430265054</v>
      </c>
      <c r="E1141" s="32">
        <v>699</v>
      </c>
      <c r="F1141" s="32">
        <v>636</v>
      </c>
      <c r="G1141" s="32" t="s">
        <v>38</v>
      </c>
      <c r="H1141" s="32" t="s">
        <v>6558</v>
      </c>
      <c r="I1141" s="32" t="s">
        <v>39</v>
      </c>
      <c r="J1141" s="32" t="s">
        <v>40</v>
      </c>
      <c r="K1141" s="32" t="s">
        <v>41</v>
      </c>
      <c r="M1141" s="32" t="s">
        <v>5412</v>
      </c>
      <c r="N1141" s="32" t="s">
        <v>48</v>
      </c>
    </row>
    <row r="1142" spans="1:14" s="32" customFormat="1" hidden="1" x14ac:dyDescent="0.3">
      <c r="A1142" s="39">
        <v>46188.580983796295</v>
      </c>
      <c r="B1142" s="32">
        <v>4433015970</v>
      </c>
      <c r="C1142" s="32" t="s">
        <v>43</v>
      </c>
      <c r="D1142" s="32">
        <v>4430265054</v>
      </c>
      <c r="E1142" s="32">
        <v>777</v>
      </c>
      <c r="F1142" s="32">
        <v>679</v>
      </c>
      <c r="G1142" s="32" t="s">
        <v>38</v>
      </c>
      <c r="H1142" s="32" t="s">
        <v>6559</v>
      </c>
      <c r="I1142" s="32" t="s">
        <v>39</v>
      </c>
      <c r="J1142" s="32" t="s">
        <v>40</v>
      </c>
      <c r="K1142" s="32" t="s">
        <v>41</v>
      </c>
      <c r="M1142" s="32" t="s">
        <v>5418</v>
      </c>
      <c r="N1142" s="32" t="s">
        <v>43</v>
      </c>
    </row>
    <row r="1143" spans="1:14" s="32" customFormat="1" hidden="1" x14ac:dyDescent="0.3">
      <c r="A1143" s="39">
        <v>46188.577499999999</v>
      </c>
      <c r="B1143" s="32">
        <v>44999647912</v>
      </c>
      <c r="C1143" s="32" t="s">
        <v>44</v>
      </c>
      <c r="D1143" s="32">
        <v>4430265054</v>
      </c>
      <c r="E1143" s="32">
        <v>405</v>
      </c>
      <c r="F1143" s="32">
        <v>362</v>
      </c>
      <c r="G1143" s="32" t="s">
        <v>38</v>
      </c>
      <c r="H1143" s="32" t="s">
        <v>6560</v>
      </c>
      <c r="I1143" s="32" t="s">
        <v>39</v>
      </c>
      <c r="J1143" s="32" t="s">
        <v>40</v>
      </c>
      <c r="K1143" s="32" t="s">
        <v>41</v>
      </c>
      <c r="M1143" s="32" t="s">
        <v>5416</v>
      </c>
      <c r="N1143" s="32" t="s">
        <v>44</v>
      </c>
    </row>
    <row r="1144" spans="1:14" s="32" customFormat="1" hidden="1" x14ac:dyDescent="0.3">
      <c r="A1144" s="39">
        <v>46188.566631944443</v>
      </c>
      <c r="B1144" s="32">
        <v>53981112780</v>
      </c>
      <c r="C1144" s="32" t="s">
        <v>37</v>
      </c>
      <c r="D1144" s="32">
        <v>4430265054</v>
      </c>
      <c r="E1144" s="32">
        <v>2444</v>
      </c>
      <c r="F1144" s="32">
        <v>2387</v>
      </c>
      <c r="G1144" s="32" t="s">
        <v>38</v>
      </c>
      <c r="H1144" s="32" t="s">
        <v>6561</v>
      </c>
      <c r="I1144" s="32" t="s">
        <v>39</v>
      </c>
      <c r="J1144" s="32" t="s">
        <v>40</v>
      </c>
      <c r="K1144" s="32" t="s">
        <v>41</v>
      </c>
      <c r="L1144" s="32">
        <v>4</v>
      </c>
      <c r="M1144" s="32" t="s">
        <v>5410</v>
      </c>
      <c r="N1144" s="32" t="s">
        <v>37</v>
      </c>
    </row>
    <row r="1145" spans="1:14" s="32" customFormat="1" hidden="1" x14ac:dyDescent="0.3">
      <c r="A1145" s="39">
        <v>46188.565787037034</v>
      </c>
      <c r="B1145" s="32">
        <v>18996991511</v>
      </c>
      <c r="C1145" s="32" t="s">
        <v>45</v>
      </c>
      <c r="D1145" s="32">
        <v>4430265054</v>
      </c>
      <c r="E1145" s="32">
        <v>295</v>
      </c>
      <c r="F1145" s="32">
        <v>233</v>
      </c>
      <c r="G1145" s="32" t="s">
        <v>38</v>
      </c>
      <c r="H1145" s="32" t="s">
        <v>6562</v>
      </c>
      <c r="I1145" s="32" t="s">
        <v>39</v>
      </c>
      <c r="J1145" s="32" t="s">
        <v>40</v>
      </c>
      <c r="K1145" s="32" t="s">
        <v>41</v>
      </c>
      <c r="L1145" s="32">
        <v>5</v>
      </c>
      <c r="M1145" s="32" t="s">
        <v>5421</v>
      </c>
      <c r="N1145" s="32" t="s">
        <v>45</v>
      </c>
    </row>
    <row r="1146" spans="1:14" s="32" customFormat="1" hidden="1" x14ac:dyDescent="0.3">
      <c r="A1146" s="39">
        <v>46188.565613425926</v>
      </c>
      <c r="B1146" s="32" t="s">
        <v>43</v>
      </c>
      <c r="C1146" s="32">
        <v>4430279797</v>
      </c>
      <c r="E1146" s="32">
        <v>169</v>
      </c>
      <c r="F1146" s="32">
        <v>168</v>
      </c>
      <c r="G1146" s="32" t="s">
        <v>38</v>
      </c>
      <c r="H1146" s="32" t="s">
        <v>6563</v>
      </c>
      <c r="I1146" s="32" t="s">
        <v>46</v>
      </c>
      <c r="J1146" s="32" t="s">
        <v>40</v>
      </c>
      <c r="M1146" s="32" t="s">
        <v>5418</v>
      </c>
      <c r="N1146" s="32" t="s">
        <v>43</v>
      </c>
    </row>
    <row r="1147" spans="1:14" s="32" customFormat="1" hidden="1" x14ac:dyDescent="0.3">
      <c r="A1147" s="39">
        <v>46188.565439814818</v>
      </c>
      <c r="B1147" s="32" t="s">
        <v>37</v>
      </c>
      <c r="C1147" s="32">
        <v>44999656270</v>
      </c>
      <c r="E1147" s="32">
        <v>10</v>
      </c>
      <c r="F1147" s="32">
        <v>0</v>
      </c>
      <c r="G1147" s="32" t="s">
        <v>47</v>
      </c>
      <c r="H1147" s="32" t="s">
        <v>6564</v>
      </c>
      <c r="I1147" s="32" t="s">
        <v>46</v>
      </c>
      <c r="J1147" s="32" t="s">
        <v>40</v>
      </c>
      <c r="M1147" s="32" t="s">
        <v>5410</v>
      </c>
      <c r="N1147" s="32" t="s">
        <v>37</v>
      </c>
    </row>
    <row r="1148" spans="1:14" s="32" customFormat="1" hidden="1" x14ac:dyDescent="0.3">
      <c r="A1148" s="39">
        <v>46188.565289351849</v>
      </c>
      <c r="B1148" s="32" t="s">
        <v>37</v>
      </c>
      <c r="C1148" s="32">
        <v>4434531529</v>
      </c>
      <c r="E1148" s="32">
        <v>5</v>
      </c>
      <c r="F1148" s="32">
        <v>0</v>
      </c>
      <c r="G1148" s="32" t="s">
        <v>47</v>
      </c>
      <c r="H1148" s="32" t="s">
        <v>6565</v>
      </c>
      <c r="I1148" s="32" t="s">
        <v>46</v>
      </c>
      <c r="J1148" s="32" t="s">
        <v>40</v>
      </c>
      <c r="M1148" s="32" t="s">
        <v>5410</v>
      </c>
      <c r="N1148" s="32" t="s">
        <v>37</v>
      </c>
    </row>
    <row r="1149" spans="1:14" s="32" customFormat="1" hidden="1" x14ac:dyDescent="0.3">
      <c r="A1149" s="39">
        <v>46188.565243055556</v>
      </c>
      <c r="B1149" s="32" t="s">
        <v>37</v>
      </c>
      <c r="C1149" s="32">
        <v>4434531529</v>
      </c>
      <c r="E1149" s="32">
        <v>2</v>
      </c>
      <c r="F1149" s="32">
        <v>0</v>
      </c>
      <c r="G1149" s="32" t="s">
        <v>47</v>
      </c>
      <c r="H1149" s="32" t="s">
        <v>6566</v>
      </c>
      <c r="I1149" s="32" t="s">
        <v>46</v>
      </c>
      <c r="J1149" s="32" t="s">
        <v>40</v>
      </c>
      <c r="M1149" s="32" t="s">
        <v>5410</v>
      </c>
      <c r="N1149" s="32" t="s">
        <v>37</v>
      </c>
    </row>
    <row r="1150" spans="1:14" s="32" customFormat="1" hidden="1" x14ac:dyDescent="0.3">
      <c r="A1150" s="39">
        <v>46188.565104166664</v>
      </c>
      <c r="B1150" s="32" t="s">
        <v>37</v>
      </c>
      <c r="C1150" s="32">
        <v>44999656270</v>
      </c>
      <c r="E1150" s="32">
        <v>11</v>
      </c>
      <c r="F1150" s="32">
        <v>0</v>
      </c>
      <c r="G1150" s="32" t="s">
        <v>47</v>
      </c>
      <c r="H1150" s="32" t="s">
        <v>6567</v>
      </c>
      <c r="I1150" s="32" t="s">
        <v>46</v>
      </c>
      <c r="J1150" s="32" t="s">
        <v>40</v>
      </c>
      <c r="M1150" s="32" t="s">
        <v>5410</v>
      </c>
      <c r="N1150" s="32" t="s">
        <v>37</v>
      </c>
    </row>
    <row r="1151" spans="1:14" s="32" customFormat="1" hidden="1" x14ac:dyDescent="0.3">
      <c r="A1151" s="39">
        <v>46188.564803240741</v>
      </c>
      <c r="B1151" s="32" t="s">
        <v>37</v>
      </c>
      <c r="C1151" s="32">
        <v>44999656270</v>
      </c>
      <c r="E1151" s="32">
        <v>20</v>
      </c>
      <c r="F1151" s="32">
        <v>0</v>
      </c>
      <c r="G1151" s="32" t="s">
        <v>47</v>
      </c>
      <c r="H1151" s="32" t="s">
        <v>6568</v>
      </c>
      <c r="I1151" s="32" t="s">
        <v>46</v>
      </c>
      <c r="J1151" s="32" t="s">
        <v>40</v>
      </c>
      <c r="M1151" s="32" t="s">
        <v>5410</v>
      </c>
      <c r="N1151" s="32" t="s">
        <v>37</v>
      </c>
    </row>
    <row r="1152" spans="1:14" s="32" customFormat="1" hidden="1" x14ac:dyDescent="0.3">
      <c r="A1152" s="39">
        <v>46188.483784722222</v>
      </c>
      <c r="B1152" s="32">
        <v>6234347959</v>
      </c>
      <c r="C1152" s="32" t="s">
        <v>37</v>
      </c>
      <c r="D1152" s="32">
        <v>4430265054</v>
      </c>
      <c r="E1152" s="32">
        <v>580</v>
      </c>
      <c r="F1152" s="32">
        <v>560</v>
      </c>
      <c r="G1152" s="32" t="s">
        <v>38</v>
      </c>
      <c r="H1152" s="32" t="s">
        <v>6569</v>
      </c>
      <c r="I1152" s="32" t="s">
        <v>39</v>
      </c>
      <c r="J1152" s="32" t="s">
        <v>40</v>
      </c>
      <c r="K1152" s="32" t="s">
        <v>41</v>
      </c>
      <c r="L1152" s="40">
        <v>5</v>
      </c>
      <c r="M1152" s="34" t="s">
        <v>7605</v>
      </c>
    </row>
    <row r="1153" spans="1:14" s="32" customFormat="1" hidden="1" x14ac:dyDescent="0.3">
      <c r="A1153" s="39">
        <v>46188.482523148145</v>
      </c>
      <c r="B1153" s="32">
        <v>93991495484</v>
      </c>
      <c r="C1153" s="32" t="s">
        <v>48</v>
      </c>
      <c r="D1153" s="32">
        <v>4430265054</v>
      </c>
      <c r="E1153" s="32">
        <v>867</v>
      </c>
      <c r="F1153" s="32">
        <v>867</v>
      </c>
      <c r="G1153" s="32" t="s">
        <v>38</v>
      </c>
      <c r="H1153" s="32" t="s">
        <v>6570</v>
      </c>
      <c r="I1153" s="32" t="s">
        <v>39</v>
      </c>
      <c r="J1153" s="32" t="s">
        <v>40</v>
      </c>
      <c r="K1153" s="32" t="s">
        <v>41</v>
      </c>
      <c r="M1153" s="32" t="s">
        <v>5412</v>
      </c>
      <c r="N1153" s="32" t="s">
        <v>48</v>
      </c>
    </row>
    <row r="1154" spans="1:14" s="32" customFormat="1" hidden="1" x14ac:dyDescent="0.3">
      <c r="A1154" s="39">
        <v>46188.468229166669</v>
      </c>
      <c r="B1154" s="32" t="s">
        <v>37</v>
      </c>
      <c r="C1154" s="32">
        <v>4334232912</v>
      </c>
      <c r="E1154" s="32">
        <v>38</v>
      </c>
      <c r="F1154" s="32">
        <v>25</v>
      </c>
      <c r="G1154" s="32" t="s">
        <v>38</v>
      </c>
      <c r="H1154" s="32" t="s">
        <v>6571</v>
      </c>
      <c r="I1154" s="32" t="s">
        <v>46</v>
      </c>
      <c r="J1154" s="32" t="s">
        <v>40</v>
      </c>
      <c r="M1154" s="32" t="s">
        <v>5410</v>
      </c>
      <c r="N1154" s="32" t="s">
        <v>37</v>
      </c>
    </row>
    <row r="1155" spans="1:14" s="32" customFormat="1" hidden="1" x14ac:dyDescent="0.3">
      <c r="A1155" s="39">
        <v>46188.468217592592</v>
      </c>
      <c r="B1155" s="32">
        <v>18996991511</v>
      </c>
      <c r="C1155" s="32" t="s">
        <v>44</v>
      </c>
      <c r="D1155" s="32">
        <v>4430265054</v>
      </c>
      <c r="E1155" s="32">
        <v>1367</v>
      </c>
      <c r="F1155" s="32">
        <v>1225</v>
      </c>
      <c r="G1155" s="32" t="s">
        <v>38</v>
      </c>
      <c r="H1155" s="32" t="s">
        <v>6572</v>
      </c>
      <c r="I1155" s="32" t="s">
        <v>39</v>
      </c>
      <c r="J1155" s="32" t="s">
        <v>40</v>
      </c>
      <c r="K1155" s="32" t="s">
        <v>41</v>
      </c>
      <c r="L1155" s="32">
        <v>5</v>
      </c>
      <c r="M1155" s="32" t="s">
        <v>5416</v>
      </c>
      <c r="N1155" s="32" t="s">
        <v>44</v>
      </c>
    </row>
    <row r="1156" spans="1:14" s="32" customFormat="1" hidden="1" x14ac:dyDescent="0.3">
      <c r="A1156" s="39">
        <v>46188.463692129626</v>
      </c>
      <c r="B1156" s="32">
        <v>4130775695</v>
      </c>
      <c r="C1156" s="32" t="s">
        <v>48</v>
      </c>
      <c r="D1156" s="32">
        <v>4430265054</v>
      </c>
      <c r="E1156" s="32">
        <v>247</v>
      </c>
      <c r="F1156" s="32">
        <v>247</v>
      </c>
      <c r="G1156" s="32" t="s">
        <v>38</v>
      </c>
      <c r="H1156" s="32" t="s">
        <v>6573</v>
      </c>
      <c r="I1156" s="32" t="s">
        <v>39</v>
      </c>
      <c r="J1156" s="32" t="s">
        <v>40</v>
      </c>
      <c r="K1156" s="32" t="s">
        <v>41</v>
      </c>
      <c r="M1156" s="32" t="s">
        <v>5412</v>
      </c>
      <c r="N1156" s="32" t="s">
        <v>48</v>
      </c>
    </row>
    <row r="1157" spans="1:14" s="32" customFormat="1" hidden="1" x14ac:dyDescent="0.3">
      <c r="A1157" s="39">
        <v>46188.456886574073</v>
      </c>
      <c r="B1157" s="32">
        <v>91989363636</v>
      </c>
      <c r="C1157" s="32" t="s">
        <v>43</v>
      </c>
      <c r="D1157" s="32">
        <v>4430265054</v>
      </c>
      <c r="E1157" s="32">
        <v>290</v>
      </c>
      <c r="F1157" s="32">
        <v>195</v>
      </c>
      <c r="G1157" s="32" t="s">
        <v>38</v>
      </c>
      <c r="H1157" s="32" t="s">
        <v>6574</v>
      </c>
      <c r="I1157" s="32" t="s">
        <v>39</v>
      </c>
      <c r="J1157" s="32" t="s">
        <v>40</v>
      </c>
      <c r="K1157" s="32" t="s">
        <v>41</v>
      </c>
      <c r="M1157" s="32" t="s">
        <v>5418</v>
      </c>
      <c r="N1157" s="32" t="s">
        <v>43</v>
      </c>
    </row>
    <row r="1158" spans="1:14" s="32" customFormat="1" hidden="1" x14ac:dyDescent="0.3">
      <c r="A1158" s="39">
        <v>46188.456597222219</v>
      </c>
      <c r="B1158" s="32">
        <v>4430141092</v>
      </c>
      <c r="C1158" s="32" t="s">
        <v>44</v>
      </c>
      <c r="D1158" s="32">
        <v>4430265054</v>
      </c>
      <c r="E1158" s="32">
        <v>892</v>
      </c>
      <c r="F1158" s="32">
        <v>824</v>
      </c>
      <c r="G1158" s="32" t="s">
        <v>38</v>
      </c>
      <c r="H1158" s="32" t="s">
        <v>6575</v>
      </c>
      <c r="I1158" s="32" t="s">
        <v>39</v>
      </c>
      <c r="J1158" s="32" t="s">
        <v>40</v>
      </c>
      <c r="K1158" s="32" t="s">
        <v>41</v>
      </c>
      <c r="L1158" s="32">
        <v>5</v>
      </c>
      <c r="M1158" s="32" t="s">
        <v>5416</v>
      </c>
      <c r="N1158" s="32" t="s">
        <v>44</v>
      </c>
    </row>
    <row r="1159" spans="1:14" s="32" customFormat="1" hidden="1" x14ac:dyDescent="0.3">
      <c r="A1159" s="39">
        <v>46188.455208333333</v>
      </c>
      <c r="B1159" s="32">
        <v>4430141092</v>
      </c>
      <c r="C1159" s="32">
        <v>4430265054</v>
      </c>
      <c r="D1159" s="32">
        <v>4430265054</v>
      </c>
      <c r="E1159" s="32">
        <v>14</v>
      </c>
      <c r="F1159" s="32">
        <v>14</v>
      </c>
      <c r="G1159" s="32" t="s">
        <v>52</v>
      </c>
      <c r="H1159" s="32" t="s">
        <v>6576</v>
      </c>
      <c r="I1159" s="32" t="s">
        <v>39</v>
      </c>
      <c r="J1159" s="32" t="s">
        <v>53</v>
      </c>
    </row>
    <row r="1160" spans="1:14" s="32" customFormat="1" hidden="1" x14ac:dyDescent="0.3">
      <c r="A1160" s="39">
        <v>46188.451319444444</v>
      </c>
      <c r="B1160" s="32">
        <v>53981112780</v>
      </c>
      <c r="C1160" s="32" t="s">
        <v>37</v>
      </c>
      <c r="D1160" s="32">
        <v>4430265054</v>
      </c>
      <c r="E1160" s="32">
        <v>1328</v>
      </c>
      <c r="F1160" s="32">
        <v>1297</v>
      </c>
      <c r="G1160" s="32" t="s">
        <v>38</v>
      </c>
      <c r="H1160" s="32" t="s">
        <v>6577</v>
      </c>
      <c r="I1160" s="32" t="s">
        <v>39</v>
      </c>
      <c r="J1160" s="32" t="s">
        <v>40</v>
      </c>
      <c r="K1160" s="32" t="s">
        <v>41</v>
      </c>
      <c r="L1160" s="32">
        <v>4</v>
      </c>
      <c r="M1160" s="32" t="s">
        <v>5410</v>
      </c>
      <c r="N1160" s="32" t="s">
        <v>37</v>
      </c>
    </row>
    <row r="1161" spans="1:14" s="32" customFormat="1" hidden="1" x14ac:dyDescent="0.3">
      <c r="A1161" s="39">
        <v>46188.44908564815</v>
      </c>
      <c r="B1161" s="32">
        <v>4432641415</v>
      </c>
      <c r="C1161" s="32" t="s">
        <v>44</v>
      </c>
      <c r="D1161" s="32">
        <v>4430265054</v>
      </c>
      <c r="E1161" s="32">
        <v>381</v>
      </c>
      <c r="F1161" s="32">
        <v>325</v>
      </c>
      <c r="G1161" s="32" t="s">
        <v>38</v>
      </c>
      <c r="H1161" s="32" t="s">
        <v>6578</v>
      </c>
      <c r="I1161" s="32" t="s">
        <v>39</v>
      </c>
      <c r="J1161" s="32" t="s">
        <v>40</v>
      </c>
      <c r="K1161" s="32" t="s">
        <v>41</v>
      </c>
      <c r="M1161" s="32" t="s">
        <v>5416</v>
      </c>
      <c r="N1161" s="32" t="s">
        <v>44</v>
      </c>
    </row>
    <row r="1162" spans="1:14" s="32" customFormat="1" hidden="1" x14ac:dyDescent="0.3">
      <c r="A1162" s="39">
        <v>46188.445821759262</v>
      </c>
      <c r="B1162" s="32">
        <v>4432325260</v>
      </c>
      <c r="C1162" s="32" t="s">
        <v>37</v>
      </c>
      <c r="D1162" s="32">
        <v>4430265054</v>
      </c>
      <c r="E1162" s="32">
        <v>240</v>
      </c>
      <c r="F1162" s="32">
        <v>190</v>
      </c>
      <c r="G1162" s="32" t="s">
        <v>38</v>
      </c>
      <c r="H1162" s="32" t="s">
        <v>6579</v>
      </c>
      <c r="I1162" s="32" t="s">
        <v>39</v>
      </c>
      <c r="J1162" s="32" t="s">
        <v>40</v>
      </c>
      <c r="K1162" s="32" t="s">
        <v>41</v>
      </c>
      <c r="L1162" s="32">
        <v>5</v>
      </c>
      <c r="M1162" s="32" t="s">
        <v>5410</v>
      </c>
      <c r="N1162" s="32" t="s">
        <v>37</v>
      </c>
    </row>
    <row r="1163" spans="1:14" s="32" customFormat="1" hidden="1" x14ac:dyDescent="0.3">
      <c r="A1163" s="39">
        <v>46188.439699074072</v>
      </c>
      <c r="B1163" s="32" t="s">
        <v>43</v>
      </c>
      <c r="C1163" s="32">
        <v>4430279797</v>
      </c>
      <c r="E1163" s="32">
        <v>398</v>
      </c>
      <c r="F1163" s="32">
        <v>397</v>
      </c>
      <c r="G1163" s="32" t="s">
        <v>38</v>
      </c>
      <c r="H1163" s="32" t="s">
        <v>6580</v>
      </c>
      <c r="I1163" s="32" t="s">
        <v>46</v>
      </c>
      <c r="J1163" s="32" t="s">
        <v>40</v>
      </c>
      <c r="M1163" s="32" t="s">
        <v>5418</v>
      </c>
      <c r="N1163" s="32" t="s">
        <v>43</v>
      </c>
    </row>
    <row r="1164" spans="1:14" s="32" customFormat="1" hidden="1" x14ac:dyDescent="0.3">
      <c r="A1164" s="39">
        <v>46188.431655092594</v>
      </c>
      <c r="B1164" s="32">
        <v>4432269849</v>
      </c>
      <c r="C1164" s="32" t="s">
        <v>37</v>
      </c>
      <c r="D1164" s="32">
        <v>4430265054</v>
      </c>
      <c r="E1164" s="32">
        <v>603</v>
      </c>
      <c r="F1164" s="32">
        <v>519</v>
      </c>
      <c r="G1164" s="32" t="s">
        <v>38</v>
      </c>
      <c r="H1164" s="32" t="s">
        <v>6581</v>
      </c>
      <c r="I1164" s="32" t="s">
        <v>39</v>
      </c>
      <c r="J1164" s="32" t="s">
        <v>40</v>
      </c>
      <c r="K1164" s="32" t="s">
        <v>41</v>
      </c>
      <c r="L1164" s="32">
        <v>4</v>
      </c>
      <c r="M1164" s="32" t="s">
        <v>5410</v>
      </c>
      <c r="N1164" s="32" t="s">
        <v>37</v>
      </c>
    </row>
    <row r="1165" spans="1:14" s="32" customFormat="1" hidden="1" x14ac:dyDescent="0.3">
      <c r="A1165" s="39">
        <v>46188.429675925923</v>
      </c>
      <c r="B1165" s="32" t="s">
        <v>43</v>
      </c>
      <c r="C1165" s="32">
        <v>4430279797</v>
      </c>
      <c r="E1165" s="32">
        <v>783</v>
      </c>
      <c r="F1165" s="32">
        <v>782</v>
      </c>
      <c r="G1165" s="32" t="s">
        <v>38</v>
      </c>
      <c r="H1165" s="32" t="s">
        <v>6582</v>
      </c>
      <c r="I1165" s="32" t="s">
        <v>46</v>
      </c>
      <c r="J1165" s="32" t="s">
        <v>40</v>
      </c>
      <c r="M1165" s="32" t="s">
        <v>5418</v>
      </c>
      <c r="N1165" s="32" t="s">
        <v>43</v>
      </c>
    </row>
    <row r="1166" spans="1:14" s="32" customFormat="1" hidden="1" x14ac:dyDescent="0.3">
      <c r="A1166" s="39">
        <v>46188.42931712963</v>
      </c>
      <c r="B1166" s="32" t="s">
        <v>43</v>
      </c>
      <c r="C1166" s="32">
        <v>4433015978</v>
      </c>
      <c r="E1166" s="32">
        <v>1</v>
      </c>
      <c r="F1166" s="32">
        <v>0</v>
      </c>
      <c r="G1166" s="32" t="s">
        <v>47</v>
      </c>
      <c r="H1166" s="32" t="s">
        <v>6583</v>
      </c>
      <c r="I1166" s="32" t="s">
        <v>46</v>
      </c>
      <c r="J1166" s="32" t="s">
        <v>40</v>
      </c>
      <c r="M1166" s="32" t="s">
        <v>5418</v>
      </c>
      <c r="N1166" s="32" t="s">
        <v>43</v>
      </c>
    </row>
    <row r="1167" spans="1:14" s="32" customFormat="1" hidden="1" x14ac:dyDescent="0.3">
      <c r="A1167" s="39">
        <v>46188.429259259261</v>
      </c>
      <c r="B1167" s="32" t="s">
        <v>43</v>
      </c>
      <c r="C1167" s="32">
        <v>4433015978</v>
      </c>
      <c r="E1167" s="32">
        <v>14</v>
      </c>
      <c r="F1167" s="32">
        <v>13</v>
      </c>
      <c r="G1167" s="32" t="s">
        <v>38</v>
      </c>
      <c r="H1167" s="32" t="s">
        <v>6584</v>
      </c>
      <c r="I1167" s="32" t="s">
        <v>46</v>
      </c>
      <c r="J1167" s="32" t="s">
        <v>40</v>
      </c>
      <c r="M1167" s="32" t="s">
        <v>5418</v>
      </c>
      <c r="N1167" s="32" t="s">
        <v>43</v>
      </c>
    </row>
    <row r="1168" spans="1:14" s="32" customFormat="1" hidden="1" x14ac:dyDescent="0.3">
      <c r="A1168" s="39">
        <v>46188.429236111115</v>
      </c>
      <c r="B1168" s="32" t="s">
        <v>43</v>
      </c>
      <c r="C1168" s="32">
        <v>4433015978</v>
      </c>
      <c r="E1168" s="32">
        <v>1</v>
      </c>
      <c r="F1168" s="32">
        <v>0</v>
      </c>
      <c r="G1168" s="32" t="s">
        <v>47</v>
      </c>
      <c r="H1168" s="32" t="s">
        <v>6585</v>
      </c>
      <c r="I1168" s="32" t="s">
        <v>46</v>
      </c>
      <c r="J1168" s="32" t="s">
        <v>40</v>
      </c>
      <c r="M1168" s="32" t="s">
        <v>5418</v>
      </c>
      <c r="N1168" s="32" t="s">
        <v>43</v>
      </c>
    </row>
    <row r="1169" spans="1:14" s="32" customFormat="1" hidden="1" x14ac:dyDescent="0.3">
      <c r="A1169" s="39">
        <v>46188.429143518515</v>
      </c>
      <c r="B1169" s="32" t="s">
        <v>43</v>
      </c>
      <c r="C1169" s="32">
        <v>4433015978</v>
      </c>
      <c r="E1169" s="32">
        <v>1</v>
      </c>
      <c r="F1169" s="32">
        <v>0</v>
      </c>
      <c r="G1169" s="32" t="s">
        <v>47</v>
      </c>
      <c r="H1169" s="32" t="s">
        <v>6586</v>
      </c>
      <c r="I1169" s="32" t="s">
        <v>46</v>
      </c>
      <c r="J1169" s="32" t="s">
        <v>40</v>
      </c>
      <c r="M1169" s="32" t="s">
        <v>5418</v>
      </c>
      <c r="N1169" s="32" t="s">
        <v>43</v>
      </c>
    </row>
    <row r="1170" spans="1:14" s="32" customFormat="1" hidden="1" x14ac:dyDescent="0.3">
      <c r="A1170" s="39">
        <v>46188.425023148149</v>
      </c>
      <c r="B1170" s="32">
        <v>4434233230</v>
      </c>
      <c r="C1170" s="32" t="s">
        <v>43</v>
      </c>
      <c r="D1170" s="32">
        <v>4430265054</v>
      </c>
      <c r="E1170" s="32">
        <v>233</v>
      </c>
      <c r="F1170" s="32">
        <v>197</v>
      </c>
      <c r="G1170" s="32" t="s">
        <v>38</v>
      </c>
      <c r="H1170" s="32" t="s">
        <v>6587</v>
      </c>
      <c r="I1170" s="32" t="s">
        <v>39</v>
      </c>
      <c r="J1170" s="32" t="s">
        <v>40</v>
      </c>
      <c r="K1170" s="32" t="s">
        <v>41</v>
      </c>
      <c r="M1170" s="32" t="s">
        <v>5418</v>
      </c>
      <c r="N1170" s="32" t="s">
        <v>43</v>
      </c>
    </row>
    <row r="1171" spans="1:14" s="32" customFormat="1" hidden="1" x14ac:dyDescent="0.3">
      <c r="A1171" s="39">
        <v>46188.424687500003</v>
      </c>
      <c r="B1171" s="32">
        <v>12997346335</v>
      </c>
      <c r="C1171" s="32" t="s">
        <v>37</v>
      </c>
      <c r="D1171" s="32">
        <v>4430265054</v>
      </c>
      <c r="E1171" s="32">
        <v>358</v>
      </c>
      <c r="F1171" s="32">
        <v>258</v>
      </c>
      <c r="G1171" s="32" t="s">
        <v>38</v>
      </c>
      <c r="H1171" s="32" t="s">
        <v>6588</v>
      </c>
      <c r="I1171" s="32" t="s">
        <v>39</v>
      </c>
      <c r="J1171" s="32" t="s">
        <v>40</v>
      </c>
      <c r="K1171" s="32" t="s">
        <v>41</v>
      </c>
      <c r="L1171" s="32">
        <v>5</v>
      </c>
      <c r="M1171" s="32" t="s">
        <v>5410</v>
      </c>
      <c r="N1171" s="32" t="s">
        <v>37</v>
      </c>
    </row>
    <row r="1172" spans="1:14" s="32" customFormat="1" hidden="1" x14ac:dyDescent="0.3">
      <c r="A1172" s="39">
        <v>46188.42046296296</v>
      </c>
      <c r="B1172" s="32">
        <v>4431337559</v>
      </c>
      <c r="C1172" s="32" t="s">
        <v>37</v>
      </c>
      <c r="D1172" s="32">
        <v>4430265054</v>
      </c>
      <c r="E1172" s="32">
        <v>165</v>
      </c>
      <c r="F1172" s="32">
        <v>158</v>
      </c>
      <c r="G1172" s="32" t="s">
        <v>38</v>
      </c>
      <c r="H1172" s="32" t="s">
        <v>6589</v>
      </c>
      <c r="I1172" s="32" t="s">
        <v>39</v>
      </c>
      <c r="J1172" s="32" t="s">
        <v>40</v>
      </c>
      <c r="K1172" s="32" t="s">
        <v>41</v>
      </c>
      <c r="M1172" s="32" t="s">
        <v>5410</v>
      </c>
      <c r="N1172" s="32" t="s">
        <v>37</v>
      </c>
    </row>
    <row r="1173" spans="1:14" s="32" customFormat="1" hidden="1" x14ac:dyDescent="0.3">
      <c r="A1173" s="39">
        <v>46188.417997685188</v>
      </c>
      <c r="B1173" s="32">
        <v>4330333558</v>
      </c>
      <c r="C1173" s="32">
        <v>4430265054</v>
      </c>
      <c r="D1173" s="32">
        <v>4430265054</v>
      </c>
      <c r="E1173" s="32">
        <v>123</v>
      </c>
      <c r="F1173" s="32">
        <v>123</v>
      </c>
      <c r="G1173" s="32" t="s">
        <v>52</v>
      </c>
      <c r="H1173" s="32" t="s">
        <v>6590</v>
      </c>
      <c r="I1173" s="32" t="s">
        <v>39</v>
      </c>
      <c r="J1173" s="32" t="s">
        <v>53</v>
      </c>
      <c r="K1173" s="32" t="s">
        <v>41</v>
      </c>
    </row>
    <row r="1174" spans="1:14" s="32" customFormat="1" hidden="1" x14ac:dyDescent="0.3">
      <c r="A1174" s="39">
        <v>46188.41777777778</v>
      </c>
      <c r="B1174" s="32">
        <v>4330333558</v>
      </c>
      <c r="C1174" s="32">
        <v>4430265054</v>
      </c>
      <c r="D1174" s="32">
        <v>4430265054</v>
      </c>
      <c r="E1174" s="32">
        <v>5</v>
      </c>
      <c r="F1174" s="32">
        <v>4</v>
      </c>
      <c r="G1174" s="32" t="s">
        <v>52</v>
      </c>
      <c r="H1174" s="32" t="s">
        <v>6591</v>
      </c>
      <c r="I1174" s="32" t="s">
        <v>39</v>
      </c>
      <c r="J1174" s="32" t="s">
        <v>53</v>
      </c>
    </row>
    <row r="1175" spans="1:14" s="32" customFormat="1" hidden="1" x14ac:dyDescent="0.3">
      <c r="A1175" s="39">
        <v>46188.412962962961</v>
      </c>
      <c r="B1175" s="32">
        <v>4433015978</v>
      </c>
      <c r="C1175" s="32" t="s">
        <v>37</v>
      </c>
      <c r="D1175" s="32">
        <v>4430265054</v>
      </c>
      <c r="E1175" s="32">
        <v>175</v>
      </c>
      <c r="F1175" s="32">
        <v>78</v>
      </c>
      <c r="G1175" s="32" t="s">
        <v>38</v>
      </c>
      <c r="H1175" s="32" t="s">
        <v>6592</v>
      </c>
      <c r="I1175" s="32" t="s">
        <v>39</v>
      </c>
      <c r="J1175" s="32" t="s">
        <v>40</v>
      </c>
      <c r="K1175" s="32" t="s">
        <v>41</v>
      </c>
      <c r="M1175" s="32" t="s">
        <v>5410</v>
      </c>
      <c r="N1175" s="32" t="s">
        <v>37</v>
      </c>
    </row>
    <row r="1176" spans="1:14" s="32" customFormat="1" x14ac:dyDescent="0.3">
      <c r="A1176" s="39">
        <v>46188.411770833336</v>
      </c>
      <c r="B1176" s="32" t="s">
        <v>44</v>
      </c>
      <c r="C1176" s="32">
        <v>62991155122</v>
      </c>
      <c r="E1176" s="32">
        <v>948</v>
      </c>
      <c r="F1176" s="32">
        <v>938</v>
      </c>
      <c r="G1176" s="32" t="s">
        <v>38</v>
      </c>
      <c r="H1176" s="32" t="s">
        <v>6593</v>
      </c>
      <c r="I1176" s="32" t="s">
        <v>46</v>
      </c>
      <c r="J1176" s="32" t="s">
        <v>40</v>
      </c>
      <c r="M1176" s="32" t="s">
        <v>5416</v>
      </c>
      <c r="N1176" s="32" t="s">
        <v>44</v>
      </c>
    </row>
    <row r="1177" spans="1:14" s="32" customFormat="1" hidden="1" x14ac:dyDescent="0.3">
      <c r="A1177" s="39">
        <v>46188.409456018519</v>
      </c>
      <c r="B1177" s="32">
        <v>4330333558</v>
      </c>
      <c r="C1177" s="32">
        <v>4430265054</v>
      </c>
      <c r="D1177" s="32">
        <v>4430265054</v>
      </c>
      <c r="E1177" s="32">
        <v>82</v>
      </c>
      <c r="F1177" s="32">
        <v>82</v>
      </c>
      <c r="G1177" s="32" t="s">
        <v>52</v>
      </c>
      <c r="H1177" s="32" t="s">
        <v>6594</v>
      </c>
      <c r="I1177" s="32" t="s">
        <v>39</v>
      </c>
      <c r="J1177" s="32" t="s">
        <v>53</v>
      </c>
      <c r="K1177" s="32" t="s">
        <v>41</v>
      </c>
    </row>
    <row r="1178" spans="1:14" s="32" customFormat="1" hidden="1" x14ac:dyDescent="0.3">
      <c r="A1178" s="39">
        <v>46188.401875000003</v>
      </c>
      <c r="B1178" s="32">
        <v>53981112780</v>
      </c>
      <c r="C1178" s="32" t="s">
        <v>37</v>
      </c>
      <c r="D1178" s="32">
        <v>4430265054</v>
      </c>
      <c r="E1178" s="32">
        <v>241</v>
      </c>
      <c r="F1178" s="32">
        <v>223</v>
      </c>
      <c r="G1178" s="32" t="s">
        <v>38</v>
      </c>
      <c r="H1178" s="32" t="s">
        <v>6595</v>
      </c>
      <c r="I1178" s="32" t="s">
        <v>39</v>
      </c>
      <c r="J1178" s="32" t="s">
        <v>40</v>
      </c>
      <c r="K1178" s="32" t="s">
        <v>41</v>
      </c>
      <c r="L1178" s="32">
        <v>4</v>
      </c>
      <c r="M1178" s="32" t="s">
        <v>5410</v>
      </c>
      <c r="N1178" s="32" t="s">
        <v>37</v>
      </c>
    </row>
    <row r="1179" spans="1:14" s="32" customFormat="1" hidden="1" x14ac:dyDescent="0.3">
      <c r="A1179" s="39">
        <v>46188.394895833335</v>
      </c>
      <c r="B1179" s="32">
        <v>44998761561</v>
      </c>
      <c r="C1179" s="32" t="s">
        <v>43</v>
      </c>
      <c r="D1179" s="32">
        <v>4430265054</v>
      </c>
      <c r="E1179" s="32">
        <v>652</v>
      </c>
      <c r="F1179" s="32">
        <v>600</v>
      </c>
      <c r="G1179" s="32" t="s">
        <v>38</v>
      </c>
      <c r="H1179" s="32" t="s">
        <v>6596</v>
      </c>
      <c r="I1179" s="32" t="s">
        <v>39</v>
      </c>
      <c r="J1179" s="32" t="s">
        <v>40</v>
      </c>
      <c r="K1179" s="32" t="s">
        <v>41</v>
      </c>
      <c r="M1179" s="32" t="s">
        <v>5418</v>
      </c>
      <c r="N1179" s="32" t="s">
        <v>43</v>
      </c>
    </row>
    <row r="1180" spans="1:14" s="32" customFormat="1" hidden="1" x14ac:dyDescent="0.3">
      <c r="A1180" s="39">
        <v>46188.393101851849</v>
      </c>
      <c r="B1180" s="32">
        <v>4432520627</v>
      </c>
      <c r="C1180" s="32" t="s">
        <v>37</v>
      </c>
      <c r="D1180" s="32">
        <v>4430265054</v>
      </c>
      <c r="E1180" s="32">
        <v>364</v>
      </c>
      <c r="F1180" s="32">
        <v>297</v>
      </c>
      <c r="G1180" s="32" t="s">
        <v>38</v>
      </c>
      <c r="H1180" s="32" t="s">
        <v>6597</v>
      </c>
      <c r="I1180" s="32" t="s">
        <v>39</v>
      </c>
      <c r="J1180" s="32" t="s">
        <v>40</v>
      </c>
      <c r="K1180" s="32" t="s">
        <v>41</v>
      </c>
      <c r="L1180" s="32">
        <v>5</v>
      </c>
      <c r="M1180" s="32" t="s">
        <v>5410</v>
      </c>
      <c r="N1180" s="32" t="s">
        <v>37</v>
      </c>
    </row>
    <row r="1181" spans="1:14" s="32" customFormat="1" hidden="1" x14ac:dyDescent="0.3">
      <c r="A1181" s="39">
        <v>46188.381643518522</v>
      </c>
      <c r="B1181" s="32">
        <v>4334234629</v>
      </c>
      <c r="C1181" s="32" t="s">
        <v>37</v>
      </c>
      <c r="D1181" s="32">
        <v>4430265054</v>
      </c>
      <c r="E1181" s="32">
        <v>830</v>
      </c>
      <c r="F1181" s="32">
        <v>763</v>
      </c>
      <c r="G1181" s="32" t="s">
        <v>38</v>
      </c>
      <c r="H1181" s="32" t="s">
        <v>6598</v>
      </c>
      <c r="I1181" s="32" t="s">
        <v>39</v>
      </c>
      <c r="J1181" s="32" t="s">
        <v>40</v>
      </c>
      <c r="K1181" s="32" t="s">
        <v>41</v>
      </c>
      <c r="M1181" s="32" t="s">
        <v>5410</v>
      </c>
      <c r="N1181" s="32" t="s">
        <v>37</v>
      </c>
    </row>
    <row r="1182" spans="1:14" s="32" customFormat="1" hidden="1" x14ac:dyDescent="0.3">
      <c r="A1182" s="39">
        <v>46188.381631944445</v>
      </c>
      <c r="B1182" s="32">
        <v>4430315826</v>
      </c>
      <c r="C1182" s="32" t="s">
        <v>48</v>
      </c>
      <c r="D1182" s="32">
        <v>4430265054</v>
      </c>
      <c r="E1182" s="32">
        <v>245</v>
      </c>
      <c r="F1182" s="32">
        <v>182</v>
      </c>
      <c r="G1182" s="32" t="s">
        <v>38</v>
      </c>
      <c r="H1182" s="32" t="s">
        <v>6599</v>
      </c>
      <c r="I1182" s="32" t="s">
        <v>39</v>
      </c>
      <c r="J1182" s="32" t="s">
        <v>40</v>
      </c>
      <c r="K1182" s="32" t="s">
        <v>41</v>
      </c>
      <c r="M1182" s="32" t="s">
        <v>5412</v>
      </c>
      <c r="N1182" s="32" t="s">
        <v>48</v>
      </c>
    </row>
    <row r="1183" spans="1:14" s="32" customFormat="1" hidden="1" x14ac:dyDescent="0.3">
      <c r="A1183" s="39">
        <v>46188.379594907405</v>
      </c>
      <c r="B1183" s="32">
        <v>62991155122</v>
      </c>
      <c r="C1183" s="32" t="s">
        <v>44</v>
      </c>
      <c r="D1183" s="32">
        <v>4430265054</v>
      </c>
      <c r="E1183" s="32">
        <v>891</v>
      </c>
      <c r="F1183" s="32">
        <v>759</v>
      </c>
      <c r="G1183" s="32" t="s">
        <v>38</v>
      </c>
      <c r="H1183" s="32" t="s">
        <v>6600</v>
      </c>
      <c r="I1183" s="32" t="s">
        <v>39</v>
      </c>
      <c r="J1183" s="32" t="s">
        <v>40</v>
      </c>
      <c r="K1183" s="32" t="s">
        <v>41</v>
      </c>
      <c r="M1183" s="32" t="s">
        <v>5416</v>
      </c>
      <c r="N1183" s="32" t="s">
        <v>44</v>
      </c>
    </row>
    <row r="1184" spans="1:14" s="32" customFormat="1" hidden="1" x14ac:dyDescent="0.3">
      <c r="A1184" s="39">
        <v>46188.375034722223</v>
      </c>
      <c r="B1184" s="32">
        <v>44998761561</v>
      </c>
      <c r="C1184" s="32" t="s">
        <v>44</v>
      </c>
      <c r="D1184" s="32">
        <v>4430265054</v>
      </c>
      <c r="E1184" s="32">
        <v>477</v>
      </c>
      <c r="F1184" s="32">
        <v>435</v>
      </c>
      <c r="G1184" s="32" t="s">
        <v>38</v>
      </c>
      <c r="H1184" s="32" t="s">
        <v>6601</v>
      </c>
      <c r="I1184" s="32" t="s">
        <v>39</v>
      </c>
      <c r="J1184" s="32" t="s">
        <v>40</v>
      </c>
      <c r="K1184" s="32" t="s">
        <v>41</v>
      </c>
      <c r="L1184" s="32">
        <v>5</v>
      </c>
      <c r="M1184" s="32" t="s">
        <v>5416</v>
      </c>
      <c r="N1184" s="32" t="s">
        <v>44</v>
      </c>
    </row>
    <row r="1185" spans="1:14" s="32" customFormat="1" hidden="1" x14ac:dyDescent="0.3">
      <c r="A1185" s="39">
        <v>46188.371203703704</v>
      </c>
      <c r="B1185" s="32">
        <v>44999793856</v>
      </c>
      <c r="C1185" s="32" t="s">
        <v>48</v>
      </c>
      <c r="D1185" s="32">
        <v>4430265054</v>
      </c>
      <c r="E1185" s="32">
        <v>376</v>
      </c>
      <c r="F1185" s="32">
        <v>316</v>
      </c>
      <c r="G1185" s="32" t="s">
        <v>38</v>
      </c>
      <c r="H1185" s="32" t="s">
        <v>6602</v>
      </c>
      <c r="I1185" s="32" t="s">
        <v>39</v>
      </c>
      <c r="J1185" s="32" t="s">
        <v>40</v>
      </c>
      <c r="K1185" s="32" t="s">
        <v>41</v>
      </c>
      <c r="M1185" s="32" t="s">
        <v>5412</v>
      </c>
      <c r="N1185" s="32" t="s">
        <v>48</v>
      </c>
    </row>
    <row r="1186" spans="1:14" s="32" customFormat="1" hidden="1" x14ac:dyDescent="0.3">
      <c r="A1186" s="39">
        <v>46188.370196759257</v>
      </c>
      <c r="B1186" s="32">
        <v>4432321428</v>
      </c>
      <c r="C1186" s="32">
        <v>4430265054</v>
      </c>
      <c r="D1186" s="32">
        <v>4430265054</v>
      </c>
      <c r="E1186" s="32">
        <v>20</v>
      </c>
      <c r="F1186" s="32">
        <v>19</v>
      </c>
      <c r="G1186" s="32" t="s">
        <v>52</v>
      </c>
      <c r="H1186" s="32" t="s">
        <v>6603</v>
      </c>
      <c r="I1186" s="32" t="s">
        <v>39</v>
      </c>
      <c r="J1186" s="32" t="s">
        <v>53</v>
      </c>
    </row>
    <row r="1187" spans="1:14" s="32" customFormat="1" hidden="1" x14ac:dyDescent="0.3">
      <c r="A1187" s="39">
        <v>46188.369467592594</v>
      </c>
      <c r="B1187" s="32">
        <v>4432321371</v>
      </c>
      <c r="C1187" s="32">
        <v>4430265054</v>
      </c>
      <c r="D1187" s="32">
        <v>4430265054</v>
      </c>
      <c r="E1187" s="32">
        <v>22</v>
      </c>
      <c r="F1187" s="32">
        <v>22</v>
      </c>
      <c r="G1187" s="32" t="s">
        <v>52</v>
      </c>
      <c r="H1187" s="32" t="s">
        <v>6604</v>
      </c>
      <c r="I1187" s="32" t="s">
        <v>39</v>
      </c>
      <c r="J1187" s="32" t="s">
        <v>53</v>
      </c>
    </row>
    <row r="1188" spans="1:14" s="32" customFormat="1" hidden="1" x14ac:dyDescent="0.3">
      <c r="A1188" s="39">
        <v>46188.363287037035</v>
      </c>
      <c r="B1188" s="32">
        <v>43984810043</v>
      </c>
      <c r="C1188" s="32" t="s">
        <v>44</v>
      </c>
      <c r="D1188" s="32">
        <v>4430265054</v>
      </c>
      <c r="E1188" s="32">
        <v>912</v>
      </c>
      <c r="F1188" s="32">
        <v>877</v>
      </c>
      <c r="G1188" s="32" t="s">
        <v>38</v>
      </c>
      <c r="H1188" s="32" t="s">
        <v>6605</v>
      </c>
      <c r="I1188" s="32" t="s">
        <v>39</v>
      </c>
      <c r="J1188" s="32" t="s">
        <v>40</v>
      </c>
      <c r="K1188" s="32" t="s">
        <v>41</v>
      </c>
      <c r="M1188" s="32" t="s">
        <v>5416</v>
      </c>
      <c r="N1188" s="32" t="s">
        <v>44</v>
      </c>
    </row>
    <row r="1189" spans="1:14" s="32" customFormat="1" hidden="1" x14ac:dyDescent="0.3">
      <c r="A1189" s="39">
        <v>46188.359270833331</v>
      </c>
      <c r="B1189" s="32">
        <v>4430279797</v>
      </c>
      <c r="C1189" s="32" t="s">
        <v>43</v>
      </c>
      <c r="D1189" s="32">
        <v>4430265054</v>
      </c>
      <c r="E1189" s="32">
        <v>2246</v>
      </c>
      <c r="F1189" s="32">
        <v>2225</v>
      </c>
      <c r="G1189" s="32" t="s">
        <v>38</v>
      </c>
      <c r="H1189" s="32" t="s">
        <v>6606</v>
      </c>
      <c r="I1189" s="32" t="s">
        <v>39</v>
      </c>
      <c r="J1189" s="32" t="s">
        <v>40</v>
      </c>
      <c r="K1189" s="32" t="s">
        <v>41</v>
      </c>
      <c r="M1189" s="32" t="s">
        <v>5418</v>
      </c>
      <c r="N1189" s="32" t="s">
        <v>43</v>
      </c>
    </row>
    <row r="1190" spans="1:14" s="32" customFormat="1" hidden="1" x14ac:dyDescent="0.3">
      <c r="A1190" s="39">
        <v>46188.358969907407</v>
      </c>
      <c r="B1190" s="32">
        <v>4430279797</v>
      </c>
      <c r="C1190" s="32">
        <v>4430265054</v>
      </c>
      <c r="D1190" s="32">
        <v>4430265054</v>
      </c>
      <c r="E1190" s="32">
        <v>21</v>
      </c>
      <c r="F1190" s="32">
        <v>20</v>
      </c>
      <c r="G1190" s="32" t="s">
        <v>52</v>
      </c>
      <c r="H1190" s="32" t="s">
        <v>6607</v>
      </c>
      <c r="I1190" s="32" t="s">
        <v>39</v>
      </c>
      <c r="J1190" s="32" t="s">
        <v>53</v>
      </c>
    </row>
    <row r="1191" spans="1:14" s="32" customFormat="1" hidden="1" x14ac:dyDescent="0.3">
      <c r="A1191" s="39">
        <v>46188.356354166666</v>
      </c>
      <c r="B1191" s="32">
        <v>4430141092</v>
      </c>
      <c r="C1191" s="32" t="s">
        <v>43</v>
      </c>
      <c r="D1191" s="32">
        <v>4430265054</v>
      </c>
      <c r="E1191" s="32">
        <v>218</v>
      </c>
      <c r="F1191" s="32">
        <v>196</v>
      </c>
      <c r="G1191" s="32" t="s">
        <v>38</v>
      </c>
      <c r="H1191" s="32" t="s">
        <v>6608</v>
      </c>
      <c r="I1191" s="32" t="s">
        <v>39</v>
      </c>
      <c r="J1191" s="32" t="s">
        <v>40</v>
      </c>
      <c r="K1191" s="32" t="s">
        <v>41</v>
      </c>
      <c r="L1191" s="32">
        <v>5</v>
      </c>
      <c r="M1191" s="32" t="s">
        <v>5418</v>
      </c>
      <c r="N1191" s="32" t="s">
        <v>43</v>
      </c>
    </row>
    <row r="1192" spans="1:14" s="32" customFormat="1" hidden="1" x14ac:dyDescent="0.3">
      <c r="A1192" s="39">
        <v>46188.355162037034</v>
      </c>
      <c r="B1192" s="32">
        <v>77999014770</v>
      </c>
      <c r="C1192" s="32" t="s">
        <v>37</v>
      </c>
      <c r="D1192" s="32">
        <v>4430265054</v>
      </c>
      <c r="E1192" s="32">
        <v>2071</v>
      </c>
      <c r="F1192" s="32">
        <v>2045</v>
      </c>
      <c r="G1192" s="32" t="s">
        <v>38</v>
      </c>
      <c r="H1192" s="32" t="s">
        <v>6609</v>
      </c>
      <c r="I1192" s="32" t="s">
        <v>39</v>
      </c>
      <c r="J1192" s="32" t="s">
        <v>40</v>
      </c>
      <c r="K1192" s="32" t="s">
        <v>41</v>
      </c>
      <c r="M1192" s="32" t="s">
        <v>5410</v>
      </c>
      <c r="N1192" s="32" t="s">
        <v>37</v>
      </c>
    </row>
    <row r="1193" spans="1:14" s="32" customFormat="1" hidden="1" x14ac:dyDescent="0.3">
      <c r="A1193" s="39">
        <v>46188.354432870372</v>
      </c>
      <c r="B1193" s="32">
        <v>43984996095</v>
      </c>
      <c r="C1193" s="32" t="s">
        <v>44</v>
      </c>
      <c r="D1193" s="32">
        <v>4430265054</v>
      </c>
      <c r="E1193" s="32">
        <v>464</v>
      </c>
      <c r="F1193" s="32">
        <v>407</v>
      </c>
      <c r="G1193" s="32" t="s">
        <v>38</v>
      </c>
      <c r="H1193" s="32" t="s">
        <v>6610</v>
      </c>
      <c r="I1193" s="32" t="s">
        <v>39</v>
      </c>
      <c r="J1193" s="32" t="s">
        <v>40</v>
      </c>
      <c r="K1193" s="32" t="s">
        <v>41</v>
      </c>
      <c r="M1193" s="32" t="s">
        <v>5416</v>
      </c>
      <c r="N1193" s="32" t="s">
        <v>44</v>
      </c>
    </row>
    <row r="1194" spans="1:14" s="32" customFormat="1" hidden="1" x14ac:dyDescent="0.3">
      <c r="A1194" s="39">
        <v>46188.338761574072</v>
      </c>
      <c r="B1194" s="32">
        <v>43999829064</v>
      </c>
      <c r="C1194" s="32">
        <v>4430265054</v>
      </c>
      <c r="D1194" s="32">
        <v>4430265054</v>
      </c>
      <c r="E1194" s="32">
        <v>26</v>
      </c>
      <c r="F1194" s="32">
        <v>25</v>
      </c>
      <c r="G1194" s="32" t="s">
        <v>52</v>
      </c>
      <c r="H1194" s="32" t="s">
        <v>6611</v>
      </c>
      <c r="I1194" s="32" t="s">
        <v>39</v>
      </c>
      <c r="J1194" s="32" t="s">
        <v>53</v>
      </c>
    </row>
    <row r="1195" spans="1:14" s="32" customFormat="1" hidden="1" x14ac:dyDescent="0.3">
      <c r="A1195" s="39">
        <v>46186.46675925926</v>
      </c>
      <c r="B1195" s="32">
        <v>1145007005</v>
      </c>
      <c r="C1195" s="32">
        <v>4430265054</v>
      </c>
      <c r="D1195" s="32">
        <v>4430265054</v>
      </c>
      <c r="E1195" s="32">
        <v>8</v>
      </c>
      <c r="F1195" s="32">
        <v>7</v>
      </c>
      <c r="G1195" s="32" t="s">
        <v>52</v>
      </c>
      <c r="H1195" s="32" t="s">
        <v>6612</v>
      </c>
      <c r="I1195" s="32" t="s">
        <v>39</v>
      </c>
      <c r="J1195" s="32" t="s">
        <v>53</v>
      </c>
    </row>
    <row r="1196" spans="1:14" s="32" customFormat="1" hidden="1" x14ac:dyDescent="0.3">
      <c r="A1196" s="39">
        <v>46186.397743055553</v>
      </c>
      <c r="B1196" s="32">
        <v>1438160351</v>
      </c>
      <c r="C1196" s="32">
        <v>4430265054</v>
      </c>
      <c r="D1196" s="32">
        <v>4430265054</v>
      </c>
      <c r="E1196" s="32">
        <v>9</v>
      </c>
      <c r="F1196" s="32">
        <v>8</v>
      </c>
      <c r="G1196" s="32" t="s">
        <v>52</v>
      </c>
      <c r="H1196" s="32" t="s">
        <v>6613</v>
      </c>
      <c r="I1196" s="32" t="s">
        <v>39</v>
      </c>
      <c r="J1196" s="32" t="s">
        <v>53</v>
      </c>
    </row>
    <row r="1197" spans="1:14" s="32" customFormat="1" hidden="1" x14ac:dyDescent="0.3">
      <c r="A1197" s="39">
        <v>46185.737488425926</v>
      </c>
      <c r="B1197" s="32">
        <v>4430141092</v>
      </c>
      <c r="C1197" s="32" t="s">
        <v>43</v>
      </c>
      <c r="D1197" s="32">
        <v>4430265054</v>
      </c>
      <c r="E1197" s="32">
        <v>635</v>
      </c>
      <c r="F1197" s="32">
        <v>448</v>
      </c>
      <c r="G1197" s="32" t="s">
        <v>38</v>
      </c>
      <c r="H1197" s="32" t="s">
        <v>6614</v>
      </c>
      <c r="I1197" s="32" t="s">
        <v>39</v>
      </c>
      <c r="J1197" s="32" t="s">
        <v>40</v>
      </c>
      <c r="K1197" s="32" t="s">
        <v>41</v>
      </c>
      <c r="M1197" s="32" t="s">
        <v>5418</v>
      </c>
      <c r="N1197" s="32" t="s">
        <v>43</v>
      </c>
    </row>
    <row r="1198" spans="1:14" s="32" customFormat="1" hidden="1" x14ac:dyDescent="0.3">
      <c r="A1198" s="39">
        <v>46185.735300925924</v>
      </c>
      <c r="B1198" s="32">
        <v>53981112780</v>
      </c>
      <c r="C1198" s="32" t="s">
        <v>44</v>
      </c>
      <c r="D1198" s="32">
        <v>4430265054</v>
      </c>
      <c r="E1198" s="32">
        <v>764</v>
      </c>
      <c r="F1198" s="32">
        <v>694</v>
      </c>
      <c r="G1198" s="32" t="s">
        <v>38</v>
      </c>
      <c r="H1198" s="32" t="s">
        <v>6615</v>
      </c>
      <c r="I1198" s="32" t="s">
        <v>39</v>
      </c>
      <c r="J1198" s="32" t="s">
        <v>40</v>
      </c>
      <c r="K1198" s="32" t="s">
        <v>41</v>
      </c>
      <c r="L1198" s="32">
        <v>4</v>
      </c>
      <c r="M1198" s="32" t="s">
        <v>5416</v>
      </c>
      <c r="N1198" s="32" t="s">
        <v>44</v>
      </c>
    </row>
    <row r="1199" spans="1:14" s="32" customFormat="1" hidden="1" x14ac:dyDescent="0.3">
      <c r="A1199" s="39">
        <v>46185.721412037034</v>
      </c>
      <c r="B1199" s="32" t="s">
        <v>48</v>
      </c>
      <c r="C1199" s="32">
        <v>11940298065</v>
      </c>
      <c r="E1199" s="32">
        <v>237</v>
      </c>
      <c r="F1199" s="32">
        <v>232</v>
      </c>
      <c r="G1199" s="32" t="s">
        <v>38</v>
      </c>
      <c r="H1199" s="32" t="s">
        <v>6616</v>
      </c>
      <c r="I1199" s="32" t="s">
        <v>46</v>
      </c>
      <c r="J1199" s="32" t="s">
        <v>40</v>
      </c>
      <c r="M1199" s="32" t="s">
        <v>5412</v>
      </c>
      <c r="N1199" s="32" t="s">
        <v>48</v>
      </c>
    </row>
    <row r="1200" spans="1:14" s="32" customFormat="1" hidden="1" x14ac:dyDescent="0.3">
      <c r="A1200" s="39">
        <v>46185.721064814818</v>
      </c>
      <c r="B1200" s="32" t="s">
        <v>48</v>
      </c>
      <c r="C1200" s="32">
        <v>11940298065</v>
      </c>
      <c r="E1200" s="32">
        <v>13</v>
      </c>
      <c r="F1200" s="32">
        <v>0</v>
      </c>
      <c r="G1200" s="32" t="s">
        <v>47</v>
      </c>
      <c r="H1200" s="32" t="s">
        <v>6617</v>
      </c>
      <c r="I1200" s="32" t="s">
        <v>46</v>
      </c>
      <c r="J1200" s="32" t="s">
        <v>40</v>
      </c>
      <c r="M1200" s="32" t="s">
        <v>5412</v>
      </c>
      <c r="N1200" s="32" t="s">
        <v>48</v>
      </c>
    </row>
    <row r="1201" spans="1:14" s="32" customFormat="1" hidden="1" x14ac:dyDescent="0.3">
      <c r="A1201" s="39">
        <v>46185.720949074072</v>
      </c>
      <c r="B1201" s="32" t="s">
        <v>48</v>
      </c>
      <c r="C1201" s="32">
        <v>1940298065</v>
      </c>
      <c r="E1201" s="32">
        <v>6</v>
      </c>
      <c r="F1201" s="32">
        <v>0</v>
      </c>
      <c r="G1201" s="32" t="s">
        <v>47</v>
      </c>
      <c r="H1201" s="32" t="s">
        <v>6618</v>
      </c>
      <c r="I1201" s="32" t="s">
        <v>46</v>
      </c>
      <c r="J1201" s="32" t="s">
        <v>40</v>
      </c>
      <c r="M1201" s="32" t="s">
        <v>5412</v>
      </c>
      <c r="N1201" s="32" t="s">
        <v>48</v>
      </c>
    </row>
    <row r="1202" spans="1:14" s="32" customFormat="1" hidden="1" x14ac:dyDescent="0.3">
      <c r="A1202" s="39">
        <v>46185.713055555556</v>
      </c>
      <c r="B1202" s="32">
        <v>1131515685</v>
      </c>
      <c r="C1202" s="32">
        <v>4430265054</v>
      </c>
      <c r="D1202" s="32">
        <v>4430265054</v>
      </c>
      <c r="E1202" s="32">
        <v>5</v>
      </c>
      <c r="F1202" s="32">
        <v>4</v>
      </c>
      <c r="G1202" s="32" t="s">
        <v>52</v>
      </c>
      <c r="H1202" s="32" t="s">
        <v>6619</v>
      </c>
      <c r="I1202" s="32" t="s">
        <v>39</v>
      </c>
      <c r="J1202" s="32" t="s">
        <v>53</v>
      </c>
    </row>
    <row r="1203" spans="1:14" s="32" customFormat="1" hidden="1" x14ac:dyDescent="0.3">
      <c r="A1203" s="39">
        <v>46185.71303240741</v>
      </c>
      <c r="B1203" s="32">
        <v>1131515685</v>
      </c>
      <c r="C1203" s="32">
        <v>4430265054</v>
      </c>
      <c r="D1203" s="32">
        <v>4430265054</v>
      </c>
      <c r="E1203" s="32">
        <v>6</v>
      </c>
      <c r="F1203" s="32">
        <v>5</v>
      </c>
      <c r="G1203" s="32" t="s">
        <v>52</v>
      </c>
      <c r="H1203" s="32" t="s">
        <v>6620</v>
      </c>
      <c r="I1203" s="32" t="s">
        <v>39</v>
      </c>
      <c r="J1203" s="32" t="s">
        <v>53</v>
      </c>
    </row>
    <row r="1204" spans="1:14" s="32" customFormat="1" hidden="1" x14ac:dyDescent="0.3">
      <c r="A1204" s="39">
        <v>46185.713020833333</v>
      </c>
      <c r="B1204" s="32">
        <v>1131515685</v>
      </c>
      <c r="C1204" s="32" t="s">
        <v>43</v>
      </c>
      <c r="D1204" s="32">
        <v>4430265054</v>
      </c>
      <c r="E1204" s="32">
        <v>294</v>
      </c>
      <c r="F1204" s="32">
        <v>196</v>
      </c>
      <c r="G1204" s="32" t="s">
        <v>38</v>
      </c>
      <c r="H1204" s="32" t="s">
        <v>6621</v>
      </c>
      <c r="I1204" s="32" t="s">
        <v>39</v>
      </c>
      <c r="J1204" s="32" t="s">
        <v>40</v>
      </c>
      <c r="K1204" s="32" t="s">
        <v>41</v>
      </c>
      <c r="M1204" s="32" t="s">
        <v>5418</v>
      </c>
      <c r="N1204" s="32" t="s">
        <v>43</v>
      </c>
    </row>
    <row r="1205" spans="1:14" s="32" customFormat="1" hidden="1" x14ac:dyDescent="0.3">
      <c r="A1205" s="39">
        <v>46185.7109375</v>
      </c>
      <c r="B1205" s="32">
        <v>44988135387</v>
      </c>
      <c r="C1205" s="32" t="s">
        <v>45</v>
      </c>
      <c r="D1205" s="32">
        <v>4430265054</v>
      </c>
      <c r="E1205" s="32">
        <v>415</v>
      </c>
      <c r="F1205" s="32">
        <v>377</v>
      </c>
      <c r="G1205" s="32" t="s">
        <v>38</v>
      </c>
      <c r="H1205" s="32" t="s">
        <v>6622</v>
      </c>
      <c r="I1205" s="32" t="s">
        <v>39</v>
      </c>
      <c r="J1205" s="32" t="s">
        <v>40</v>
      </c>
      <c r="K1205" s="32" t="s">
        <v>41</v>
      </c>
      <c r="L1205" s="32">
        <v>5</v>
      </c>
      <c r="M1205" s="32" t="s">
        <v>5421</v>
      </c>
      <c r="N1205" s="32" t="s">
        <v>45</v>
      </c>
    </row>
    <row r="1206" spans="1:14" s="32" customFormat="1" hidden="1" x14ac:dyDescent="0.3">
      <c r="A1206" s="39">
        <v>46185.704745370371</v>
      </c>
      <c r="B1206" s="32">
        <v>44997426611</v>
      </c>
      <c r="C1206" s="32" t="s">
        <v>57</v>
      </c>
      <c r="D1206" s="32">
        <v>4430265054</v>
      </c>
      <c r="E1206" s="32">
        <v>570</v>
      </c>
      <c r="F1206" s="32">
        <v>549</v>
      </c>
      <c r="G1206" s="32" t="s">
        <v>38</v>
      </c>
      <c r="H1206" s="32" t="s">
        <v>6623</v>
      </c>
      <c r="I1206" s="32" t="s">
        <v>39</v>
      </c>
      <c r="J1206" s="32" t="s">
        <v>55</v>
      </c>
      <c r="K1206" s="32" t="s">
        <v>49</v>
      </c>
      <c r="M1206" s="32" t="s">
        <v>5456</v>
      </c>
      <c r="N1206" s="32" t="s">
        <v>57</v>
      </c>
    </row>
    <row r="1207" spans="1:14" s="32" customFormat="1" hidden="1" x14ac:dyDescent="0.3">
      <c r="A1207" s="39">
        <v>46185.703958333332</v>
      </c>
      <c r="B1207" s="32">
        <v>1128787060</v>
      </c>
      <c r="C1207" s="32" t="s">
        <v>57</v>
      </c>
      <c r="D1207" s="32">
        <v>4430265054</v>
      </c>
      <c r="E1207" s="32">
        <v>133</v>
      </c>
      <c r="F1207" s="32">
        <v>115</v>
      </c>
      <c r="G1207" s="32" t="s">
        <v>38</v>
      </c>
      <c r="H1207" s="32" t="s">
        <v>6624</v>
      </c>
      <c r="I1207" s="32" t="s">
        <v>39</v>
      </c>
      <c r="J1207" s="32" t="s">
        <v>55</v>
      </c>
      <c r="K1207" s="32" t="s">
        <v>49</v>
      </c>
      <c r="M1207" s="32" t="s">
        <v>5456</v>
      </c>
      <c r="N1207" s="32" t="s">
        <v>57</v>
      </c>
    </row>
    <row r="1208" spans="1:14" s="32" customFormat="1" hidden="1" x14ac:dyDescent="0.3">
      <c r="A1208" s="39">
        <v>46185.703043981484</v>
      </c>
      <c r="B1208" s="32">
        <v>4430293755</v>
      </c>
      <c r="C1208" s="32" t="s">
        <v>37</v>
      </c>
      <c r="D1208" s="32">
        <v>4430265054</v>
      </c>
      <c r="E1208" s="32">
        <v>891</v>
      </c>
      <c r="F1208" s="32">
        <v>798</v>
      </c>
      <c r="G1208" s="32" t="s">
        <v>38</v>
      </c>
      <c r="H1208" s="32" t="s">
        <v>6625</v>
      </c>
      <c r="I1208" s="32" t="s">
        <v>39</v>
      </c>
      <c r="J1208" s="32" t="s">
        <v>40</v>
      </c>
      <c r="K1208" s="32" t="s">
        <v>41</v>
      </c>
      <c r="L1208" s="32">
        <v>5</v>
      </c>
      <c r="M1208" s="32" t="s">
        <v>5410</v>
      </c>
      <c r="N1208" s="32" t="s">
        <v>37</v>
      </c>
    </row>
    <row r="1209" spans="1:14" s="32" customFormat="1" hidden="1" x14ac:dyDescent="0.3">
      <c r="A1209" s="39">
        <v>46185.69321759259</v>
      </c>
      <c r="B1209" s="32" t="s">
        <v>54</v>
      </c>
      <c r="C1209" s="32">
        <v>41997076171</v>
      </c>
      <c r="E1209" s="32">
        <v>8</v>
      </c>
      <c r="F1209" s="32">
        <v>0</v>
      </c>
      <c r="G1209" s="32" t="s">
        <v>47</v>
      </c>
      <c r="H1209" s="32" t="s">
        <v>6626</v>
      </c>
      <c r="I1209" s="32" t="s">
        <v>46</v>
      </c>
      <c r="J1209" s="32" t="s">
        <v>55</v>
      </c>
      <c r="M1209" s="32" t="s">
        <v>5537</v>
      </c>
      <c r="N1209" s="32" t="s">
        <v>54</v>
      </c>
    </row>
    <row r="1210" spans="1:14" s="32" customFormat="1" x14ac:dyDescent="0.3">
      <c r="A1210" s="39">
        <v>46185.692685185182</v>
      </c>
      <c r="B1210" s="32" t="s">
        <v>44</v>
      </c>
      <c r="C1210" s="32">
        <v>1131515685</v>
      </c>
      <c r="E1210" s="32">
        <v>20</v>
      </c>
      <c r="F1210" s="32">
        <v>16</v>
      </c>
      <c r="G1210" s="32" t="s">
        <v>38</v>
      </c>
      <c r="H1210" s="32" t="s">
        <v>6627</v>
      </c>
      <c r="I1210" s="32" t="s">
        <v>46</v>
      </c>
      <c r="J1210" s="32" t="s">
        <v>40</v>
      </c>
      <c r="M1210" s="32" t="s">
        <v>5416</v>
      </c>
      <c r="N1210" s="32" t="s">
        <v>44</v>
      </c>
    </row>
    <row r="1211" spans="1:14" s="32" customFormat="1" hidden="1" x14ac:dyDescent="0.3">
      <c r="A1211" s="39">
        <v>46185.692615740743</v>
      </c>
      <c r="B1211" s="32" t="s">
        <v>54</v>
      </c>
      <c r="C1211" s="32">
        <v>49999423850</v>
      </c>
      <c r="E1211" s="32">
        <v>8</v>
      </c>
      <c r="F1211" s="32">
        <v>5</v>
      </c>
      <c r="G1211" s="32" t="s">
        <v>38</v>
      </c>
      <c r="H1211" s="32" t="s">
        <v>6628</v>
      </c>
      <c r="I1211" s="32" t="s">
        <v>46</v>
      </c>
      <c r="J1211" s="32" t="s">
        <v>55</v>
      </c>
      <c r="M1211" s="32" t="s">
        <v>5537</v>
      </c>
      <c r="N1211" s="32" t="s">
        <v>54</v>
      </c>
    </row>
    <row r="1212" spans="1:14" s="32" customFormat="1" x14ac:dyDescent="0.3">
      <c r="A1212" s="39">
        <v>46185.68546296296</v>
      </c>
      <c r="B1212" s="32" t="s">
        <v>44</v>
      </c>
      <c r="C1212" s="32">
        <v>1131515685</v>
      </c>
      <c r="E1212" s="32">
        <v>102</v>
      </c>
      <c r="F1212" s="32">
        <v>97</v>
      </c>
      <c r="G1212" s="32" t="s">
        <v>38</v>
      </c>
      <c r="H1212" s="32" t="s">
        <v>6629</v>
      </c>
      <c r="I1212" s="32" t="s">
        <v>46</v>
      </c>
      <c r="J1212" s="32" t="s">
        <v>40</v>
      </c>
      <c r="M1212" s="32" t="s">
        <v>5416</v>
      </c>
      <c r="N1212" s="32" t="s">
        <v>44</v>
      </c>
    </row>
    <row r="1213" spans="1:14" s="32" customFormat="1" x14ac:dyDescent="0.3">
      <c r="A1213" s="39">
        <v>46185.684664351851</v>
      </c>
      <c r="B1213" s="32" t="s">
        <v>44</v>
      </c>
      <c r="C1213" s="32">
        <v>1131515685</v>
      </c>
      <c r="E1213" s="32">
        <v>61</v>
      </c>
      <c r="F1213" s="32">
        <v>0</v>
      </c>
      <c r="G1213" s="32" t="s">
        <v>47</v>
      </c>
      <c r="H1213" s="32" t="s">
        <v>6630</v>
      </c>
      <c r="I1213" s="32" t="s">
        <v>46</v>
      </c>
      <c r="J1213" s="32" t="s">
        <v>40</v>
      </c>
      <c r="M1213" s="32" t="s">
        <v>5416</v>
      </c>
      <c r="N1213" s="32" t="s">
        <v>44</v>
      </c>
    </row>
    <row r="1214" spans="1:14" s="32" customFormat="1" hidden="1" x14ac:dyDescent="0.3">
      <c r="A1214" s="39">
        <v>46185.679490740738</v>
      </c>
      <c r="B1214" s="32" t="s">
        <v>37</v>
      </c>
      <c r="C1214" s="32">
        <v>44998107650</v>
      </c>
      <c r="E1214" s="32">
        <v>444</v>
      </c>
      <c r="F1214" s="32">
        <v>436</v>
      </c>
      <c r="G1214" s="32" t="s">
        <v>38</v>
      </c>
      <c r="H1214" s="32" t="s">
        <v>6631</v>
      </c>
      <c r="I1214" s="32" t="s">
        <v>46</v>
      </c>
      <c r="J1214" s="32" t="s">
        <v>40</v>
      </c>
      <c r="L1214" s="32">
        <v>5</v>
      </c>
      <c r="M1214" s="32" t="s">
        <v>5410</v>
      </c>
      <c r="N1214" s="32" t="s">
        <v>37</v>
      </c>
    </row>
    <row r="1215" spans="1:14" s="32" customFormat="1" hidden="1" x14ac:dyDescent="0.3">
      <c r="A1215" s="39">
        <v>46185.6794212963</v>
      </c>
      <c r="B1215" s="32" t="s">
        <v>37</v>
      </c>
      <c r="C1215" s="32">
        <v>44998107650</v>
      </c>
      <c r="E1215" s="32">
        <v>4</v>
      </c>
      <c r="F1215" s="32">
        <v>0</v>
      </c>
      <c r="G1215" s="32" t="s">
        <v>47</v>
      </c>
      <c r="H1215" s="32" t="s">
        <v>6632</v>
      </c>
      <c r="I1215" s="32" t="s">
        <v>46</v>
      </c>
      <c r="J1215" s="32" t="s">
        <v>40</v>
      </c>
      <c r="M1215" s="32" t="s">
        <v>5410</v>
      </c>
      <c r="N1215" s="32" t="s">
        <v>37</v>
      </c>
    </row>
    <row r="1216" spans="1:14" s="32" customFormat="1" hidden="1" x14ac:dyDescent="0.3">
      <c r="A1216" s="39">
        <v>46185.678020833337</v>
      </c>
      <c r="B1216" s="32" t="s">
        <v>54</v>
      </c>
      <c r="C1216" s="32">
        <v>31997489556</v>
      </c>
      <c r="E1216" s="32">
        <v>236</v>
      </c>
      <c r="F1216" s="32">
        <v>228</v>
      </c>
      <c r="G1216" s="32" t="s">
        <v>38</v>
      </c>
      <c r="H1216" s="32" t="s">
        <v>6633</v>
      </c>
      <c r="I1216" s="32" t="s">
        <v>46</v>
      </c>
      <c r="J1216" s="32" t="s">
        <v>55</v>
      </c>
      <c r="M1216" s="32" t="s">
        <v>5537</v>
      </c>
      <c r="N1216" s="32" t="s">
        <v>54</v>
      </c>
    </row>
    <row r="1217" spans="1:14" s="32" customFormat="1" hidden="1" x14ac:dyDescent="0.3">
      <c r="A1217" s="39">
        <v>46185.671134259261</v>
      </c>
      <c r="B1217" s="32">
        <v>44997123083</v>
      </c>
      <c r="C1217" s="32" t="s">
        <v>44</v>
      </c>
      <c r="D1217" s="32">
        <v>4430265054</v>
      </c>
      <c r="E1217" s="32">
        <v>279</v>
      </c>
      <c r="F1217" s="32">
        <v>240</v>
      </c>
      <c r="G1217" s="32" t="s">
        <v>38</v>
      </c>
      <c r="H1217" s="32" t="s">
        <v>6634</v>
      </c>
      <c r="I1217" s="32" t="s">
        <v>39</v>
      </c>
      <c r="J1217" s="32" t="s">
        <v>40</v>
      </c>
      <c r="K1217" s="32" t="s">
        <v>41</v>
      </c>
      <c r="L1217" s="32">
        <v>5</v>
      </c>
      <c r="M1217" s="32" t="s">
        <v>5416</v>
      </c>
      <c r="N1217" s="32" t="s">
        <v>44</v>
      </c>
    </row>
    <row r="1218" spans="1:14" s="32" customFormat="1" hidden="1" x14ac:dyDescent="0.3">
      <c r="A1218" s="39">
        <v>46185.670208333337</v>
      </c>
      <c r="B1218" s="32">
        <v>44998107650</v>
      </c>
      <c r="C1218" s="32" t="s">
        <v>37</v>
      </c>
      <c r="D1218" s="32">
        <v>4431268225</v>
      </c>
      <c r="E1218" s="32">
        <v>695</v>
      </c>
      <c r="F1218" s="32">
        <v>658</v>
      </c>
      <c r="G1218" s="32" t="s">
        <v>38</v>
      </c>
      <c r="H1218" s="32" t="s">
        <v>6635</v>
      </c>
      <c r="I1218" s="32" t="s">
        <v>39</v>
      </c>
      <c r="J1218" s="32" t="s">
        <v>40</v>
      </c>
      <c r="K1218" s="32" t="s">
        <v>41</v>
      </c>
      <c r="L1218" s="32">
        <v>5</v>
      </c>
      <c r="M1218" s="32" t="s">
        <v>5410</v>
      </c>
      <c r="N1218" s="32" t="s">
        <v>37</v>
      </c>
    </row>
    <row r="1219" spans="1:14" s="32" customFormat="1" hidden="1" x14ac:dyDescent="0.3">
      <c r="A1219" s="39">
        <v>46185.663807870369</v>
      </c>
      <c r="B1219" s="32">
        <v>44988303530</v>
      </c>
      <c r="C1219" s="32" t="s">
        <v>48</v>
      </c>
      <c r="D1219" s="32">
        <v>4430265054</v>
      </c>
      <c r="E1219" s="32">
        <v>786</v>
      </c>
      <c r="F1219" s="32">
        <v>627</v>
      </c>
      <c r="G1219" s="32" t="s">
        <v>38</v>
      </c>
      <c r="H1219" s="32" t="s">
        <v>6636</v>
      </c>
      <c r="I1219" s="32" t="s">
        <v>39</v>
      </c>
      <c r="J1219" s="32" t="s">
        <v>40</v>
      </c>
      <c r="K1219" s="32" t="s">
        <v>41</v>
      </c>
      <c r="M1219" s="32" t="s">
        <v>5412</v>
      </c>
      <c r="N1219" s="32" t="s">
        <v>48</v>
      </c>
    </row>
    <row r="1220" spans="1:14" s="32" customFormat="1" hidden="1" x14ac:dyDescent="0.3">
      <c r="A1220" s="39">
        <v>46185.66064814815</v>
      </c>
      <c r="B1220" s="32" t="s">
        <v>54</v>
      </c>
      <c r="C1220" s="32">
        <v>63992193014</v>
      </c>
      <c r="E1220" s="32">
        <v>5</v>
      </c>
      <c r="F1220" s="32">
        <v>0</v>
      </c>
      <c r="G1220" s="32" t="s">
        <v>47</v>
      </c>
      <c r="H1220" s="32" t="s">
        <v>6637</v>
      </c>
      <c r="I1220" s="32" t="s">
        <v>46</v>
      </c>
      <c r="J1220" s="32" t="s">
        <v>55</v>
      </c>
      <c r="M1220" s="32" t="s">
        <v>5537</v>
      </c>
      <c r="N1220" s="32" t="s">
        <v>54</v>
      </c>
    </row>
    <row r="1221" spans="1:14" s="32" customFormat="1" hidden="1" x14ac:dyDescent="0.3">
      <c r="A1221" s="39">
        <v>46185.659884259258</v>
      </c>
      <c r="B1221" s="32" t="s">
        <v>54</v>
      </c>
      <c r="C1221" s="32">
        <v>31988770680</v>
      </c>
      <c r="E1221" s="32">
        <v>8</v>
      </c>
      <c r="F1221" s="32">
        <v>0</v>
      </c>
      <c r="G1221" s="32" t="s">
        <v>38</v>
      </c>
      <c r="H1221" s="32" t="s">
        <v>6638</v>
      </c>
      <c r="I1221" s="32" t="s">
        <v>46</v>
      </c>
      <c r="J1221" s="32" t="s">
        <v>55</v>
      </c>
      <c r="M1221" s="32" t="s">
        <v>5537</v>
      </c>
      <c r="N1221" s="32" t="s">
        <v>54</v>
      </c>
    </row>
    <row r="1222" spans="1:14" s="32" customFormat="1" hidden="1" x14ac:dyDescent="0.3">
      <c r="A1222" s="39">
        <v>46185.658842592595</v>
      </c>
      <c r="B1222" s="32" t="s">
        <v>54</v>
      </c>
      <c r="C1222" s="32">
        <v>63992193014</v>
      </c>
      <c r="E1222" s="32">
        <v>4</v>
      </c>
      <c r="F1222" s="32">
        <v>0</v>
      </c>
      <c r="G1222" s="32" t="s">
        <v>47</v>
      </c>
      <c r="H1222" s="32" t="s">
        <v>6639</v>
      </c>
      <c r="I1222" s="32" t="s">
        <v>46</v>
      </c>
      <c r="J1222" s="32" t="s">
        <v>55</v>
      </c>
      <c r="M1222" s="32" t="s">
        <v>5537</v>
      </c>
      <c r="N1222" s="32" t="s">
        <v>54</v>
      </c>
    </row>
    <row r="1223" spans="1:14" s="32" customFormat="1" hidden="1" x14ac:dyDescent="0.3">
      <c r="A1223" s="39">
        <v>46185.658171296294</v>
      </c>
      <c r="B1223" s="32" t="s">
        <v>54</v>
      </c>
      <c r="C1223" s="32">
        <v>31988770680</v>
      </c>
      <c r="E1223" s="32">
        <v>13</v>
      </c>
      <c r="F1223" s="32">
        <v>0</v>
      </c>
      <c r="G1223" s="32" t="s">
        <v>47</v>
      </c>
      <c r="H1223" s="32" t="s">
        <v>6640</v>
      </c>
      <c r="I1223" s="32" t="s">
        <v>46</v>
      </c>
      <c r="J1223" s="32" t="s">
        <v>55</v>
      </c>
      <c r="M1223" s="32" t="s">
        <v>5537</v>
      </c>
      <c r="N1223" s="32" t="s">
        <v>54</v>
      </c>
    </row>
    <row r="1224" spans="1:14" s="32" customFormat="1" hidden="1" x14ac:dyDescent="0.3">
      <c r="A1224" s="39">
        <v>46185.657430555555</v>
      </c>
      <c r="B1224" s="32" t="s">
        <v>54</v>
      </c>
      <c r="C1224" s="32">
        <v>62985877831</v>
      </c>
      <c r="E1224" s="32">
        <v>11</v>
      </c>
      <c r="F1224" s="32">
        <v>1</v>
      </c>
      <c r="G1224" s="32" t="s">
        <v>38</v>
      </c>
      <c r="H1224" s="32" t="s">
        <v>6641</v>
      </c>
      <c r="I1224" s="32" t="s">
        <v>46</v>
      </c>
      <c r="J1224" s="32" t="s">
        <v>55</v>
      </c>
      <c r="M1224" s="32" t="s">
        <v>5537</v>
      </c>
      <c r="N1224" s="32" t="s">
        <v>54</v>
      </c>
    </row>
    <row r="1225" spans="1:14" s="32" customFormat="1" hidden="1" x14ac:dyDescent="0.3">
      <c r="A1225" s="39">
        <v>46185.655902777777</v>
      </c>
      <c r="B1225" s="32" t="s">
        <v>54</v>
      </c>
      <c r="C1225" s="32">
        <v>75991552634</v>
      </c>
      <c r="E1225" s="32">
        <v>4</v>
      </c>
      <c r="F1225" s="32">
        <v>0</v>
      </c>
      <c r="G1225" s="32" t="s">
        <v>47</v>
      </c>
      <c r="H1225" s="32" t="s">
        <v>6642</v>
      </c>
      <c r="I1225" s="32" t="s">
        <v>46</v>
      </c>
      <c r="J1225" s="32" t="s">
        <v>55</v>
      </c>
      <c r="M1225" s="32" t="s">
        <v>5537</v>
      </c>
      <c r="N1225" s="32" t="s">
        <v>54</v>
      </c>
    </row>
    <row r="1226" spans="1:14" s="32" customFormat="1" hidden="1" x14ac:dyDescent="0.3">
      <c r="A1226" s="39">
        <v>46185.655057870368</v>
      </c>
      <c r="B1226" s="32" t="s">
        <v>54</v>
      </c>
      <c r="C1226" s="32">
        <v>31982716679</v>
      </c>
      <c r="E1226" s="32">
        <v>11</v>
      </c>
      <c r="F1226" s="32">
        <v>1</v>
      </c>
      <c r="G1226" s="32" t="s">
        <v>38</v>
      </c>
      <c r="H1226" s="32" t="s">
        <v>6643</v>
      </c>
      <c r="I1226" s="32" t="s">
        <v>46</v>
      </c>
      <c r="J1226" s="32" t="s">
        <v>55</v>
      </c>
      <c r="M1226" s="32" t="s">
        <v>5537</v>
      </c>
      <c r="N1226" s="32" t="s">
        <v>54</v>
      </c>
    </row>
    <row r="1227" spans="1:14" s="32" customFormat="1" hidden="1" x14ac:dyDescent="0.3">
      <c r="A1227" s="39">
        <v>46185.654699074075</v>
      </c>
      <c r="B1227" s="32" t="s">
        <v>54</v>
      </c>
      <c r="C1227" s="32">
        <v>11955490381</v>
      </c>
      <c r="E1227" s="32">
        <v>2</v>
      </c>
      <c r="F1227" s="32">
        <v>0</v>
      </c>
      <c r="G1227" s="32" t="s">
        <v>47</v>
      </c>
      <c r="H1227" s="32" t="s">
        <v>6644</v>
      </c>
      <c r="I1227" s="32" t="s">
        <v>46</v>
      </c>
      <c r="J1227" s="32" t="s">
        <v>55</v>
      </c>
      <c r="M1227" s="32" t="s">
        <v>5537</v>
      </c>
      <c r="N1227" s="32" t="s">
        <v>54</v>
      </c>
    </row>
    <row r="1228" spans="1:14" s="32" customFormat="1" hidden="1" x14ac:dyDescent="0.3">
      <c r="A1228" s="39">
        <v>46185.646990740737</v>
      </c>
      <c r="B1228" s="32">
        <v>4532541802</v>
      </c>
      <c r="C1228" s="32" t="s">
        <v>43</v>
      </c>
      <c r="D1228" s="32">
        <v>4430265054</v>
      </c>
      <c r="E1228" s="32">
        <v>784</v>
      </c>
      <c r="F1228" s="32">
        <v>640</v>
      </c>
      <c r="G1228" s="32" t="s">
        <v>38</v>
      </c>
      <c r="H1228" s="32" t="s">
        <v>6645</v>
      </c>
      <c r="I1228" s="32" t="s">
        <v>39</v>
      </c>
      <c r="J1228" s="32" t="s">
        <v>40</v>
      </c>
      <c r="K1228" s="32" t="s">
        <v>41</v>
      </c>
      <c r="M1228" s="32" t="s">
        <v>5418</v>
      </c>
      <c r="N1228" s="32" t="s">
        <v>43</v>
      </c>
    </row>
    <row r="1229" spans="1:14" s="32" customFormat="1" hidden="1" x14ac:dyDescent="0.3">
      <c r="A1229" s="39">
        <v>46185.646493055552</v>
      </c>
      <c r="B1229" s="32" t="s">
        <v>54</v>
      </c>
      <c r="C1229" s="32">
        <v>51986062559</v>
      </c>
      <c r="E1229" s="32">
        <v>7</v>
      </c>
      <c r="F1229" s="32">
        <v>0</v>
      </c>
      <c r="G1229" s="32" t="s">
        <v>38</v>
      </c>
      <c r="H1229" s="32" t="s">
        <v>6646</v>
      </c>
      <c r="I1229" s="32" t="s">
        <v>46</v>
      </c>
      <c r="J1229" s="32" t="s">
        <v>55</v>
      </c>
      <c r="M1229" s="32" t="s">
        <v>5537</v>
      </c>
      <c r="N1229" s="32" t="s">
        <v>54</v>
      </c>
    </row>
    <row r="1230" spans="1:14" s="32" customFormat="1" hidden="1" x14ac:dyDescent="0.3">
      <c r="A1230" s="39">
        <v>46185.64571759259</v>
      </c>
      <c r="B1230" s="32" t="s">
        <v>37</v>
      </c>
      <c r="C1230" s="32">
        <v>4430451715</v>
      </c>
      <c r="E1230" s="32">
        <v>284</v>
      </c>
      <c r="F1230" s="32">
        <v>279</v>
      </c>
      <c r="G1230" s="32" t="s">
        <v>38</v>
      </c>
      <c r="H1230" s="32" t="s">
        <v>6647</v>
      </c>
      <c r="I1230" s="32" t="s">
        <v>46</v>
      </c>
      <c r="J1230" s="32" t="s">
        <v>40</v>
      </c>
      <c r="M1230" s="32" t="s">
        <v>5410</v>
      </c>
      <c r="N1230" s="32" t="s">
        <v>37</v>
      </c>
    </row>
    <row r="1231" spans="1:14" s="32" customFormat="1" hidden="1" x14ac:dyDescent="0.3">
      <c r="A1231" s="39">
        <v>46185.643148148149</v>
      </c>
      <c r="B1231" s="32" t="s">
        <v>45</v>
      </c>
      <c r="C1231" s="32">
        <v>64984043469</v>
      </c>
      <c r="E1231" s="32">
        <v>37</v>
      </c>
      <c r="F1231" s="32">
        <v>31</v>
      </c>
      <c r="G1231" s="32" t="s">
        <v>38</v>
      </c>
      <c r="H1231" s="32" t="s">
        <v>6648</v>
      </c>
      <c r="I1231" s="32" t="s">
        <v>46</v>
      </c>
      <c r="J1231" s="32" t="s">
        <v>40</v>
      </c>
      <c r="M1231" s="32" t="s">
        <v>5421</v>
      </c>
      <c r="N1231" s="32" t="s">
        <v>45</v>
      </c>
    </row>
    <row r="1232" spans="1:14" s="32" customFormat="1" hidden="1" x14ac:dyDescent="0.3">
      <c r="A1232" s="39">
        <v>46185.64303240741</v>
      </c>
      <c r="B1232" s="32" t="s">
        <v>54</v>
      </c>
      <c r="C1232" s="32">
        <v>31992388953</v>
      </c>
      <c r="E1232" s="32">
        <v>12</v>
      </c>
      <c r="F1232" s="32">
        <v>0</v>
      </c>
      <c r="G1232" s="32" t="s">
        <v>47</v>
      </c>
      <c r="H1232" s="32" t="s">
        <v>6649</v>
      </c>
      <c r="I1232" s="32" t="s">
        <v>46</v>
      </c>
      <c r="J1232" s="32" t="s">
        <v>55</v>
      </c>
      <c r="M1232" s="32" t="s">
        <v>5537</v>
      </c>
      <c r="N1232" s="32" t="s">
        <v>54</v>
      </c>
    </row>
    <row r="1233" spans="1:14" s="32" customFormat="1" hidden="1" x14ac:dyDescent="0.3">
      <c r="A1233" s="39">
        <v>46185.642233796294</v>
      </c>
      <c r="B1233" s="32" t="s">
        <v>54</v>
      </c>
      <c r="C1233" s="32">
        <v>3125156304</v>
      </c>
      <c r="E1233" s="32">
        <v>10</v>
      </c>
      <c r="F1233" s="32">
        <v>3</v>
      </c>
      <c r="G1233" s="32" t="s">
        <v>38</v>
      </c>
      <c r="H1233" s="32" t="s">
        <v>6650</v>
      </c>
      <c r="I1233" s="32" t="s">
        <v>46</v>
      </c>
      <c r="J1233" s="32" t="s">
        <v>55</v>
      </c>
      <c r="M1233" s="32" t="s">
        <v>5537</v>
      </c>
      <c r="N1233" s="32" t="s">
        <v>54</v>
      </c>
    </row>
    <row r="1234" spans="1:14" s="32" customFormat="1" hidden="1" x14ac:dyDescent="0.3">
      <c r="A1234" s="39">
        <v>46185.641145833331</v>
      </c>
      <c r="B1234" s="32" t="s">
        <v>54</v>
      </c>
      <c r="C1234" s="32">
        <v>11998588900</v>
      </c>
      <c r="E1234" s="32">
        <v>11</v>
      </c>
      <c r="F1234" s="32">
        <v>0</v>
      </c>
      <c r="G1234" s="32" t="s">
        <v>47</v>
      </c>
      <c r="H1234" s="32" t="s">
        <v>6651</v>
      </c>
      <c r="I1234" s="32" t="s">
        <v>46</v>
      </c>
      <c r="J1234" s="32" t="s">
        <v>55</v>
      </c>
      <c r="M1234" s="32" t="s">
        <v>5537</v>
      </c>
      <c r="N1234" s="32" t="s">
        <v>54</v>
      </c>
    </row>
    <row r="1235" spans="1:14" s="32" customFormat="1" hidden="1" x14ac:dyDescent="0.3">
      <c r="A1235" s="39">
        <v>46185.639768518522</v>
      </c>
      <c r="B1235" s="32" t="s">
        <v>54</v>
      </c>
      <c r="C1235" s="32">
        <v>48996883782</v>
      </c>
      <c r="E1235" s="32">
        <v>12</v>
      </c>
      <c r="F1235" s="32">
        <v>0</v>
      </c>
      <c r="G1235" s="32" t="s">
        <v>47</v>
      </c>
      <c r="H1235" s="32" t="s">
        <v>6652</v>
      </c>
      <c r="I1235" s="32" t="s">
        <v>46</v>
      </c>
      <c r="J1235" s="32" t="s">
        <v>55</v>
      </c>
      <c r="M1235" s="32" t="s">
        <v>5537</v>
      </c>
      <c r="N1235" s="32" t="s">
        <v>54</v>
      </c>
    </row>
    <row r="1236" spans="1:14" s="32" customFormat="1" hidden="1" x14ac:dyDescent="0.3">
      <c r="A1236" s="39">
        <v>46185.638935185183</v>
      </c>
      <c r="B1236" s="32" t="s">
        <v>37</v>
      </c>
      <c r="C1236" s="32">
        <v>4430451715</v>
      </c>
      <c r="E1236" s="32">
        <v>519</v>
      </c>
      <c r="F1236" s="32">
        <v>510</v>
      </c>
      <c r="G1236" s="32" t="s">
        <v>38</v>
      </c>
      <c r="H1236" s="32" t="s">
        <v>6653</v>
      </c>
      <c r="I1236" s="32" t="s">
        <v>46</v>
      </c>
      <c r="J1236" s="32" t="s">
        <v>40</v>
      </c>
      <c r="M1236" s="32" t="s">
        <v>5410</v>
      </c>
      <c r="N1236" s="32" t="s">
        <v>37</v>
      </c>
    </row>
    <row r="1237" spans="1:14" s="32" customFormat="1" hidden="1" x14ac:dyDescent="0.3">
      <c r="A1237" s="39">
        <v>46185.63490740741</v>
      </c>
      <c r="B1237" s="32" t="s">
        <v>54</v>
      </c>
      <c r="C1237" s="32">
        <v>31995918226</v>
      </c>
      <c r="E1237" s="32">
        <v>15</v>
      </c>
      <c r="F1237" s="32">
        <v>0</v>
      </c>
      <c r="G1237" s="32" t="s">
        <v>47</v>
      </c>
      <c r="H1237" s="32" t="s">
        <v>6654</v>
      </c>
      <c r="I1237" s="32" t="s">
        <v>46</v>
      </c>
      <c r="J1237" s="32" t="s">
        <v>55</v>
      </c>
      <c r="M1237" s="32" t="s">
        <v>5537</v>
      </c>
      <c r="N1237" s="32" t="s">
        <v>54</v>
      </c>
    </row>
    <row r="1238" spans="1:14" s="32" customFormat="1" hidden="1" x14ac:dyDescent="0.3">
      <c r="A1238" s="39">
        <v>46185.633738425924</v>
      </c>
      <c r="B1238" s="32">
        <v>1438160410</v>
      </c>
      <c r="C1238" s="32">
        <v>4430265054</v>
      </c>
      <c r="D1238" s="32">
        <v>4430265054</v>
      </c>
      <c r="E1238" s="32">
        <v>8</v>
      </c>
      <c r="F1238" s="32">
        <v>8</v>
      </c>
      <c r="G1238" s="32" t="s">
        <v>52</v>
      </c>
      <c r="H1238" s="32" t="s">
        <v>6655</v>
      </c>
      <c r="I1238" s="32" t="s">
        <v>39</v>
      </c>
      <c r="J1238" s="32" t="s">
        <v>53</v>
      </c>
    </row>
    <row r="1239" spans="1:14" s="32" customFormat="1" hidden="1" x14ac:dyDescent="0.3">
      <c r="A1239" s="39">
        <v>46185.633333333331</v>
      </c>
      <c r="B1239" s="32" t="s">
        <v>48</v>
      </c>
      <c r="C1239" s="32">
        <v>4430282545</v>
      </c>
      <c r="E1239" s="32">
        <v>734</v>
      </c>
      <c r="F1239" s="32">
        <v>723</v>
      </c>
      <c r="G1239" s="32" t="s">
        <v>38</v>
      </c>
      <c r="H1239" s="32" t="s">
        <v>6656</v>
      </c>
      <c r="I1239" s="32" t="s">
        <v>46</v>
      </c>
      <c r="J1239" s="32" t="s">
        <v>40</v>
      </c>
      <c r="M1239" s="32" t="s">
        <v>5412</v>
      </c>
      <c r="N1239" s="32" t="s">
        <v>48</v>
      </c>
    </row>
    <row r="1240" spans="1:14" s="32" customFormat="1" hidden="1" x14ac:dyDescent="0.3">
      <c r="A1240" s="39">
        <v>46185.632314814815</v>
      </c>
      <c r="B1240" s="32" t="s">
        <v>54</v>
      </c>
      <c r="C1240" s="32">
        <v>3132443100</v>
      </c>
      <c r="E1240" s="32">
        <v>69</v>
      </c>
      <c r="F1240" s="32">
        <v>67</v>
      </c>
      <c r="G1240" s="32" t="s">
        <v>38</v>
      </c>
      <c r="H1240" s="32" t="s">
        <v>6657</v>
      </c>
      <c r="I1240" s="32" t="s">
        <v>46</v>
      </c>
      <c r="J1240" s="32" t="s">
        <v>55</v>
      </c>
      <c r="M1240" s="32" t="s">
        <v>5537</v>
      </c>
      <c r="N1240" s="32" t="s">
        <v>54</v>
      </c>
    </row>
    <row r="1241" spans="1:14" s="32" customFormat="1" hidden="1" x14ac:dyDescent="0.3">
      <c r="A1241" s="39">
        <v>46185.631111111114</v>
      </c>
      <c r="B1241" s="32" t="s">
        <v>45</v>
      </c>
      <c r="C1241" s="32">
        <v>35997000807</v>
      </c>
      <c r="E1241" s="32">
        <v>770</v>
      </c>
      <c r="F1241" s="32">
        <v>758</v>
      </c>
      <c r="G1241" s="32" t="s">
        <v>38</v>
      </c>
      <c r="H1241" s="32" t="s">
        <v>6658</v>
      </c>
      <c r="I1241" s="32" t="s">
        <v>46</v>
      </c>
      <c r="J1241" s="32" t="s">
        <v>40</v>
      </c>
      <c r="M1241" s="32" t="s">
        <v>5421</v>
      </c>
      <c r="N1241" s="32" t="s">
        <v>45</v>
      </c>
    </row>
    <row r="1242" spans="1:14" s="32" customFormat="1" hidden="1" x14ac:dyDescent="0.3">
      <c r="A1242" s="39">
        <v>46185.63082175926</v>
      </c>
      <c r="B1242" s="32" t="s">
        <v>54</v>
      </c>
      <c r="C1242" s="32">
        <v>7536245757</v>
      </c>
      <c r="E1242" s="32">
        <v>1</v>
      </c>
      <c r="F1242" s="32">
        <v>0</v>
      </c>
      <c r="G1242" s="32" t="s">
        <v>47</v>
      </c>
      <c r="H1242" s="32" t="s">
        <v>6659</v>
      </c>
      <c r="I1242" s="32" t="s">
        <v>46</v>
      </c>
      <c r="J1242" s="32" t="s">
        <v>55</v>
      </c>
      <c r="M1242" s="32" t="s">
        <v>5537</v>
      </c>
      <c r="N1242" s="32" t="s">
        <v>54</v>
      </c>
    </row>
    <row r="1243" spans="1:14" s="32" customFormat="1" hidden="1" x14ac:dyDescent="0.3">
      <c r="A1243" s="39">
        <v>46185.62804398148</v>
      </c>
      <c r="B1243" s="32">
        <v>44997311122</v>
      </c>
      <c r="C1243" s="32" t="s">
        <v>43</v>
      </c>
      <c r="D1243" s="32">
        <v>4430265054</v>
      </c>
      <c r="E1243" s="32">
        <v>458</v>
      </c>
      <c r="F1243" s="32">
        <v>441</v>
      </c>
      <c r="G1243" s="32" t="s">
        <v>38</v>
      </c>
      <c r="H1243" s="32" t="s">
        <v>6660</v>
      </c>
      <c r="I1243" s="32" t="s">
        <v>39</v>
      </c>
      <c r="J1243" s="32" t="s">
        <v>40</v>
      </c>
      <c r="K1243" s="32" t="s">
        <v>41</v>
      </c>
      <c r="M1243" s="32" t="s">
        <v>5418</v>
      </c>
      <c r="N1243" s="32" t="s">
        <v>43</v>
      </c>
    </row>
    <row r="1244" spans="1:14" s="32" customFormat="1" hidden="1" x14ac:dyDescent="0.3">
      <c r="A1244" s="39">
        <v>46185.62767361111</v>
      </c>
      <c r="B1244" s="32">
        <v>44999670264</v>
      </c>
      <c r="C1244" s="32" t="s">
        <v>37</v>
      </c>
      <c r="D1244" s="32">
        <v>4430265054</v>
      </c>
      <c r="E1244" s="32">
        <v>248</v>
      </c>
      <c r="F1244" s="32">
        <v>213</v>
      </c>
      <c r="G1244" s="32" t="s">
        <v>38</v>
      </c>
      <c r="H1244" s="32" t="s">
        <v>6661</v>
      </c>
      <c r="I1244" s="32" t="s">
        <v>39</v>
      </c>
      <c r="J1244" s="32" t="s">
        <v>40</v>
      </c>
      <c r="K1244" s="32" t="s">
        <v>41</v>
      </c>
      <c r="M1244" s="32" t="s">
        <v>5410</v>
      </c>
      <c r="N1244" s="32" t="s">
        <v>37</v>
      </c>
    </row>
    <row r="1245" spans="1:14" s="32" customFormat="1" hidden="1" x14ac:dyDescent="0.3">
      <c r="A1245" s="39">
        <v>46185.62572916667</v>
      </c>
      <c r="B1245" s="32" t="s">
        <v>48</v>
      </c>
      <c r="C1245" s="32">
        <v>4433231254</v>
      </c>
      <c r="E1245" s="32">
        <v>460</v>
      </c>
      <c r="F1245" s="32">
        <v>452</v>
      </c>
      <c r="G1245" s="32" t="s">
        <v>38</v>
      </c>
      <c r="H1245" s="32" t="s">
        <v>6662</v>
      </c>
      <c r="I1245" s="32" t="s">
        <v>46</v>
      </c>
      <c r="J1245" s="32" t="s">
        <v>40</v>
      </c>
      <c r="M1245" s="32" t="s">
        <v>5412</v>
      </c>
      <c r="N1245" s="32" t="s">
        <v>48</v>
      </c>
    </row>
    <row r="1246" spans="1:14" s="32" customFormat="1" hidden="1" x14ac:dyDescent="0.3">
      <c r="A1246" s="39">
        <v>46185.625648148147</v>
      </c>
      <c r="B1246" s="32" t="s">
        <v>48</v>
      </c>
      <c r="C1246" s="32">
        <v>4433231254</v>
      </c>
      <c r="E1246" s="32">
        <v>14</v>
      </c>
      <c r="F1246" s="32">
        <v>14</v>
      </c>
      <c r="G1246" s="32" t="s">
        <v>38</v>
      </c>
      <c r="H1246" s="32" t="s">
        <v>6663</v>
      </c>
      <c r="I1246" s="32" t="s">
        <v>46</v>
      </c>
      <c r="J1246" s="32" t="s">
        <v>40</v>
      </c>
      <c r="M1246" s="32" t="s">
        <v>5412</v>
      </c>
      <c r="N1246" s="32" t="s">
        <v>48</v>
      </c>
    </row>
    <row r="1247" spans="1:14" s="32" customFormat="1" hidden="1" x14ac:dyDescent="0.3">
      <c r="A1247" s="39">
        <v>46185.624826388892</v>
      </c>
      <c r="B1247" s="32">
        <v>1131515685</v>
      </c>
      <c r="C1247" s="32" t="s">
        <v>44</v>
      </c>
      <c r="D1247" s="32">
        <v>4430265054</v>
      </c>
      <c r="E1247" s="32">
        <v>2698</v>
      </c>
      <c r="F1247" s="32">
        <v>2602</v>
      </c>
      <c r="G1247" s="32" t="s">
        <v>38</v>
      </c>
      <c r="H1247" s="32" t="s">
        <v>6664</v>
      </c>
      <c r="I1247" s="32" t="s">
        <v>39</v>
      </c>
      <c r="J1247" s="32" t="s">
        <v>40</v>
      </c>
      <c r="K1247" s="32" t="s">
        <v>41</v>
      </c>
      <c r="M1247" s="32" t="s">
        <v>5416</v>
      </c>
      <c r="N1247" s="32" t="s">
        <v>44</v>
      </c>
    </row>
    <row r="1248" spans="1:14" s="32" customFormat="1" hidden="1" x14ac:dyDescent="0.3">
      <c r="A1248" s="39">
        <v>46185.624606481484</v>
      </c>
      <c r="B1248" s="32">
        <v>1131515685</v>
      </c>
      <c r="C1248" s="32">
        <v>4430265054</v>
      </c>
      <c r="D1248" s="32">
        <v>4430265054</v>
      </c>
      <c r="E1248" s="32">
        <v>3</v>
      </c>
      <c r="F1248" s="32">
        <v>2</v>
      </c>
      <c r="G1248" s="32" t="s">
        <v>52</v>
      </c>
      <c r="H1248" s="32" t="s">
        <v>6665</v>
      </c>
      <c r="I1248" s="32" t="s">
        <v>39</v>
      </c>
      <c r="J1248" s="32" t="s">
        <v>53</v>
      </c>
    </row>
    <row r="1249" spans="1:14" s="32" customFormat="1" hidden="1" x14ac:dyDescent="0.3">
      <c r="A1249" s="39">
        <v>46185.62259259259</v>
      </c>
      <c r="B1249" s="32">
        <v>4432677399</v>
      </c>
      <c r="C1249" s="32" t="s">
        <v>45</v>
      </c>
      <c r="D1249" s="32">
        <v>4430265054</v>
      </c>
      <c r="E1249" s="32">
        <v>504</v>
      </c>
      <c r="F1249" s="32">
        <v>465</v>
      </c>
      <c r="G1249" s="32" t="s">
        <v>38</v>
      </c>
      <c r="H1249" s="32" t="s">
        <v>6666</v>
      </c>
      <c r="I1249" s="32" t="s">
        <v>39</v>
      </c>
      <c r="J1249" s="32" t="s">
        <v>40</v>
      </c>
      <c r="K1249" s="32" t="s">
        <v>41</v>
      </c>
      <c r="M1249" s="32" t="s">
        <v>5421</v>
      </c>
      <c r="N1249" s="32" t="s">
        <v>45</v>
      </c>
    </row>
    <row r="1250" spans="1:14" s="32" customFormat="1" hidden="1" x14ac:dyDescent="0.3">
      <c r="A1250" s="39">
        <v>46185.621064814812</v>
      </c>
      <c r="B1250" s="32">
        <v>62981535978</v>
      </c>
      <c r="C1250" s="32" t="s">
        <v>43</v>
      </c>
      <c r="D1250" s="32">
        <v>4430265054</v>
      </c>
      <c r="E1250" s="32">
        <v>230</v>
      </c>
      <c r="F1250" s="32">
        <v>175</v>
      </c>
      <c r="G1250" s="32" t="s">
        <v>38</v>
      </c>
      <c r="H1250" s="32" t="s">
        <v>6667</v>
      </c>
      <c r="I1250" s="32" t="s">
        <v>39</v>
      </c>
      <c r="J1250" s="32" t="s">
        <v>40</v>
      </c>
      <c r="K1250" s="32" t="s">
        <v>41</v>
      </c>
      <c r="M1250" s="32" t="s">
        <v>5418</v>
      </c>
      <c r="N1250" s="32" t="s">
        <v>43</v>
      </c>
    </row>
    <row r="1251" spans="1:14" s="32" customFormat="1" hidden="1" x14ac:dyDescent="0.3">
      <c r="A1251" s="39">
        <v>46185.619490740741</v>
      </c>
      <c r="B1251" s="32" t="s">
        <v>54</v>
      </c>
      <c r="C1251" s="32">
        <v>86995599887</v>
      </c>
      <c r="E1251" s="32">
        <v>6</v>
      </c>
      <c r="F1251" s="32">
        <v>0</v>
      </c>
      <c r="G1251" s="32" t="s">
        <v>47</v>
      </c>
      <c r="H1251" s="32" t="s">
        <v>6668</v>
      </c>
      <c r="I1251" s="32" t="s">
        <v>46</v>
      </c>
      <c r="J1251" s="32" t="s">
        <v>55</v>
      </c>
      <c r="M1251" s="32" t="s">
        <v>5537</v>
      </c>
      <c r="N1251" s="32" t="s">
        <v>54</v>
      </c>
    </row>
    <row r="1252" spans="1:14" s="32" customFormat="1" hidden="1" x14ac:dyDescent="0.3">
      <c r="A1252" s="39">
        <v>46185.618969907409</v>
      </c>
      <c r="B1252" s="32" t="s">
        <v>54</v>
      </c>
      <c r="C1252" s="32">
        <v>21998526496</v>
      </c>
      <c r="E1252" s="32">
        <v>1</v>
      </c>
      <c r="F1252" s="32">
        <v>0</v>
      </c>
      <c r="G1252" s="32" t="s">
        <v>47</v>
      </c>
      <c r="H1252" s="32" t="s">
        <v>6669</v>
      </c>
      <c r="I1252" s="32" t="s">
        <v>46</v>
      </c>
      <c r="J1252" s="32" t="s">
        <v>55</v>
      </c>
      <c r="M1252" s="32" t="s">
        <v>5537</v>
      </c>
      <c r="N1252" s="32" t="s">
        <v>54</v>
      </c>
    </row>
    <row r="1253" spans="1:14" s="32" customFormat="1" hidden="1" x14ac:dyDescent="0.3">
      <c r="A1253" s="39">
        <v>46185.617685185185</v>
      </c>
      <c r="B1253" s="32">
        <v>4432677399</v>
      </c>
      <c r="C1253" s="32">
        <v>4430265054</v>
      </c>
      <c r="D1253" s="32">
        <v>4430265054</v>
      </c>
      <c r="E1253" s="32">
        <v>59</v>
      </c>
      <c r="F1253" s="32">
        <v>59</v>
      </c>
      <c r="G1253" s="32" t="s">
        <v>52</v>
      </c>
      <c r="H1253" s="32" t="s">
        <v>6670</v>
      </c>
      <c r="I1253" s="32" t="s">
        <v>39</v>
      </c>
      <c r="J1253" s="32" t="s">
        <v>53</v>
      </c>
      <c r="K1253" s="32" t="s">
        <v>41</v>
      </c>
    </row>
    <row r="1254" spans="1:14" s="32" customFormat="1" hidden="1" x14ac:dyDescent="0.3">
      <c r="A1254" s="39">
        <v>46185.617291666669</v>
      </c>
      <c r="B1254" s="32" t="s">
        <v>54</v>
      </c>
      <c r="C1254" s="32">
        <v>2721428701</v>
      </c>
      <c r="E1254" s="32">
        <v>13</v>
      </c>
      <c r="F1254" s="32">
        <v>0</v>
      </c>
      <c r="G1254" s="32" t="s">
        <v>47</v>
      </c>
      <c r="H1254" s="32" t="s">
        <v>6671</v>
      </c>
      <c r="I1254" s="32" t="s">
        <v>46</v>
      </c>
      <c r="J1254" s="32" t="s">
        <v>55</v>
      </c>
      <c r="M1254" s="32" t="s">
        <v>5537</v>
      </c>
      <c r="N1254" s="32" t="s">
        <v>54</v>
      </c>
    </row>
    <row r="1255" spans="1:14" s="32" customFormat="1" hidden="1" x14ac:dyDescent="0.3">
      <c r="A1255" s="39">
        <v>46185.616585648146</v>
      </c>
      <c r="B1255" s="32" t="s">
        <v>54</v>
      </c>
      <c r="C1255" s="32">
        <v>37998411108</v>
      </c>
      <c r="E1255" s="32">
        <v>5</v>
      </c>
      <c r="F1255" s="32">
        <v>1</v>
      </c>
      <c r="G1255" s="32" t="s">
        <v>38</v>
      </c>
      <c r="H1255" s="32" t="s">
        <v>6672</v>
      </c>
      <c r="I1255" s="32" t="s">
        <v>46</v>
      </c>
      <c r="J1255" s="32" t="s">
        <v>55</v>
      </c>
      <c r="M1255" s="32" t="s">
        <v>5537</v>
      </c>
      <c r="N1255" s="32" t="s">
        <v>54</v>
      </c>
    </row>
    <row r="1256" spans="1:14" s="32" customFormat="1" hidden="1" x14ac:dyDescent="0.3">
      <c r="A1256" s="39">
        <v>46185.61613425926</v>
      </c>
      <c r="B1256" s="32" t="s">
        <v>54</v>
      </c>
      <c r="C1256" s="32">
        <v>1145223585</v>
      </c>
      <c r="E1256" s="32">
        <v>1</v>
      </c>
      <c r="F1256" s="32">
        <v>0</v>
      </c>
      <c r="G1256" s="32" t="s">
        <v>47</v>
      </c>
      <c r="H1256" s="32" t="s">
        <v>6673</v>
      </c>
      <c r="I1256" s="32" t="s">
        <v>46</v>
      </c>
      <c r="J1256" s="32" t="s">
        <v>55</v>
      </c>
      <c r="M1256" s="32" t="s">
        <v>5537</v>
      </c>
      <c r="N1256" s="32" t="s">
        <v>54</v>
      </c>
    </row>
    <row r="1257" spans="1:14" s="32" customFormat="1" hidden="1" x14ac:dyDescent="0.3">
      <c r="A1257" s="39">
        <v>46185.615671296298</v>
      </c>
      <c r="B1257" s="32">
        <v>4432677399</v>
      </c>
      <c r="C1257" s="32">
        <v>4430265054</v>
      </c>
      <c r="D1257" s="32">
        <v>4430265054</v>
      </c>
      <c r="E1257" s="32">
        <v>78</v>
      </c>
      <c r="F1257" s="32">
        <v>78</v>
      </c>
      <c r="G1257" s="32" t="s">
        <v>52</v>
      </c>
      <c r="H1257" s="32" t="s">
        <v>6674</v>
      </c>
      <c r="I1257" s="32" t="s">
        <v>39</v>
      </c>
      <c r="J1257" s="32" t="s">
        <v>53</v>
      </c>
      <c r="K1257" s="32" t="s">
        <v>41</v>
      </c>
    </row>
    <row r="1258" spans="1:14" s="32" customFormat="1" hidden="1" x14ac:dyDescent="0.3">
      <c r="A1258" s="39">
        <v>46185.612442129626</v>
      </c>
      <c r="B1258" s="32">
        <v>4432677399</v>
      </c>
      <c r="C1258" s="32">
        <v>4430265054</v>
      </c>
      <c r="D1258" s="32">
        <v>4430265054</v>
      </c>
      <c r="E1258" s="32">
        <v>68</v>
      </c>
      <c r="F1258" s="32">
        <v>67</v>
      </c>
      <c r="G1258" s="32" t="s">
        <v>52</v>
      </c>
      <c r="H1258" s="32" t="s">
        <v>6675</v>
      </c>
      <c r="I1258" s="32" t="s">
        <v>39</v>
      </c>
      <c r="J1258" s="32" t="s">
        <v>53</v>
      </c>
      <c r="K1258" s="32" t="s">
        <v>41</v>
      </c>
    </row>
    <row r="1259" spans="1:14" s="32" customFormat="1" hidden="1" x14ac:dyDescent="0.3">
      <c r="A1259" s="39">
        <v>46185.608240740738</v>
      </c>
      <c r="B1259" s="32">
        <v>44997311122</v>
      </c>
      <c r="C1259" s="32" t="s">
        <v>43</v>
      </c>
      <c r="D1259" s="32">
        <v>4430265054</v>
      </c>
      <c r="E1259" s="32">
        <v>655</v>
      </c>
      <c r="F1259" s="32">
        <v>611</v>
      </c>
      <c r="G1259" s="32" t="s">
        <v>38</v>
      </c>
      <c r="H1259" s="32" t="s">
        <v>6676</v>
      </c>
      <c r="I1259" s="32" t="s">
        <v>39</v>
      </c>
      <c r="J1259" s="32" t="s">
        <v>40</v>
      </c>
      <c r="K1259" s="32" t="s">
        <v>41</v>
      </c>
      <c r="L1259" s="32">
        <v>5</v>
      </c>
      <c r="M1259" s="32" t="s">
        <v>5418</v>
      </c>
      <c r="N1259" s="32" t="s">
        <v>43</v>
      </c>
    </row>
    <row r="1260" spans="1:14" s="32" customFormat="1" hidden="1" x14ac:dyDescent="0.3">
      <c r="A1260" s="39">
        <v>46185.607141203705</v>
      </c>
      <c r="B1260" s="32" t="s">
        <v>54</v>
      </c>
      <c r="C1260" s="32">
        <v>79998076143</v>
      </c>
      <c r="E1260" s="32">
        <v>30</v>
      </c>
      <c r="F1260" s="32">
        <v>8</v>
      </c>
      <c r="G1260" s="32" t="s">
        <v>38</v>
      </c>
      <c r="H1260" s="32" t="s">
        <v>6677</v>
      </c>
      <c r="I1260" s="32" t="s">
        <v>46</v>
      </c>
      <c r="J1260" s="32" t="s">
        <v>55</v>
      </c>
      <c r="M1260" s="32" t="s">
        <v>5537</v>
      </c>
      <c r="N1260" s="32" t="s">
        <v>54</v>
      </c>
    </row>
    <row r="1261" spans="1:14" s="32" customFormat="1" hidden="1" x14ac:dyDescent="0.3">
      <c r="A1261" s="39">
        <v>46185.606261574074</v>
      </c>
      <c r="B1261" s="32" t="s">
        <v>54</v>
      </c>
      <c r="C1261" s="32">
        <v>21997019907</v>
      </c>
      <c r="E1261" s="32">
        <v>24</v>
      </c>
      <c r="F1261" s="32">
        <v>0</v>
      </c>
      <c r="G1261" s="32" t="s">
        <v>47</v>
      </c>
      <c r="H1261" s="32" t="s">
        <v>6678</v>
      </c>
      <c r="I1261" s="32" t="s">
        <v>46</v>
      </c>
      <c r="J1261" s="32" t="s">
        <v>55</v>
      </c>
      <c r="M1261" s="32" t="s">
        <v>5537</v>
      </c>
      <c r="N1261" s="32" t="s">
        <v>54</v>
      </c>
    </row>
    <row r="1262" spans="1:14" s="32" customFormat="1" hidden="1" x14ac:dyDescent="0.3">
      <c r="A1262" s="39">
        <v>46185.604062500002</v>
      </c>
      <c r="B1262" s="32">
        <v>44999670264</v>
      </c>
      <c r="C1262" s="32">
        <v>4430265054</v>
      </c>
      <c r="D1262" s="32">
        <v>4430265054</v>
      </c>
      <c r="E1262" s="32">
        <v>17</v>
      </c>
      <c r="F1262" s="32">
        <v>17</v>
      </c>
      <c r="G1262" s="32" t="s">
        <v>52</v>
      </c>
      <c r="H1262" s="32" t="s">
        <v>6679</v>
      </c>
      <c r="I1262" s="32" t="s">
        <v>39</v>
      </c>
      <c r="J1262" s="32" t="s">
        <v>53</v>
      </c>
    </row>
    <row r="1263" spans="1:14" s="32" customFormat="1" hidden="1" x14ac:dyDescent="0.3">
      <c r="A1263" s="39">
        <v>46185.598680555559</v>
      </c>
      <c r="B1263" s="32">
        <v>47991636470</v>
      </c>
      <c r="C1263" s="32" t="s">
        <v>48</v>
      </c>
      <c r="D1263" s="32">
        <v>4430265054</v>
      </c>
      <c r="E1263" s="32">
        <v>854</v>
      </c>
      <c r="F1263" s="32">
        <v>853</v>
      </c>
      <c r="G1263" s="32" t="s">
        <v>38</v>
      </c>
      <c r="H1263" s="32" t="s">
        <v>6680</v>
      </c>
      <c r="I1263" s="32" t="s">
        <v>39</v>
      </c>
      <c r="J1263" s="32" t="s">
        <v>40</v>
      </c>
      <c r="K1263" s="32" t="s">
        <v>41</v>
      </c>
      <c r="L1263" s="32">
        <v>5</v>
      </c>
      <c r="M1263" s="32" t="s">
        <v>5412</v>
      </c>
      <c r="N1263" s="32" t="s">
        <v>48</v>
      </c>
    </row>
    <row r="1264" spans="1:14" s="32" customFormat="1" hidden="1" x14ac:dyDescent="0.3">
      <c r="A1264" s="39">
        <v>46185.597615740742</v>
      </c>
      <c r="B1264" s="32" t="s">
        <v>48</v>
      </c>
      <c r="C1264" s="32">
        <v>47991636470</v>
      </c>
      <c r="E1264" s="32">
        <v>4</v>
      </c>
      <c r="F1264" s="32">
        <v>0</v>
      </c>
      <c r="G1264" s="32" t="s">
        <v>47</v>
      </c>
      <c r="H1264" s="32" t="s">
        <v>6681</v>
      </c>
      <c r="I1264" s="32" t="s">
        <v>46</v>
      </c>
      <c r="J1264" s="32" t="s">
        <v>40</v>
      </c>
      <c r="M1264" s="32" t="s">
        <v>5412</v>
      </c>
      <c r="N1264" s="32" t="s">
        <v>48</v>
      </c>
    </row>
    <row r="1265" spans="1:14" s="32" customFormat="1" hidden="1" x14ac:dyDescent="0.3">
      <c r="A1265" s="39">
        <v>46185.597500000003</v>
      </c>
      <c r="B1265" s="32" t="s">
        <v>48</v>
      </c>
      <c r="C1265" s="32">
        <v>47991636470</v>
      </c>
      <c r="E1265" s="32">
        <v>3</v>
      </c>
      <c r="F1265" s="32">
        <v>0</v>
      </c>
      <c r="G1265" s="32" t="s">
        <v>47</v>
      </c>
      <c r="H1265" s="32" t="s">
        <v>6682</v>
      </c>
      <c r="I1265" s="32" t="s">
        <v>46</v>
      </c>
      <c r="J1265" s="32" t="s">
        <v>40</v>
      </c>
      <c r="M1265" s="32" t="s">
        <v>5412</v>
      </c>
      <c r="N1265" s="32" t="s">
        <v>48</v>
      </c>
    </row>
    <row r="1266" spans="1:14" s="32" customFormat="1" hidden="1" x14ac:dyDescent="0.3">
      <c r="A1266" s="39">
        <v>46185.596168981479</v>
      </c>
      <c r="B1266" s="32" t="s">
        <v>54</v>
      </c>
      <c r="C1266" s="32">
        <v>19997285753</v>
      </c>
      <c r="E1266" s="32">
        <v>7</v>
      </c>
      <c r="F1266" s="32">
        <v>0</v>
      </c>
      <c r="G1266" s="32" t="s">
        <v>38</v>
      </c>
      <c r="H1266" s="32" t="s">
        <v>6683</v>
      </c>
      <c r="I1266" s="32" t="s">
        <v>46</v>
      </c>
      <c r="J1266" s="32" t="s">
        <v>55</v>
      </c>
      <c r="M1266" s="32" t="s">
        <v>5537</v>
      </c>
      <c r="N1266" s="32" t="s">
        <v>54</v>
      </c>
    </row>
    <row r="1267" spans="1:14" s="32" customFormat="1" hidden="1" x14ac:dyDescent="0.3">
      <c r="A1267" s="39">
        <v>46185.587824074071</v>
      </c>
      <c r="B1267" s="32" t="s">
        <v>48</v>
      </c>
      <c r="C1267" s="32">
        <v>47991636470</v>
      </c>
      <c r="E1267" s="32">
        <v>2</v>
      </c>
      <c r="F1267" s="32">
        <v>0</v>
      </c>
      <c r="G1267" s="32" t="s">
        <v>47</v>
      </c>
      <c r="H1267" s="32" t="s">
        <v>6684</v>
      </c>
      <c r="I1267" s="32" t="s">
        <v>46</v>
      </c>
      <c r="J1267" s="32" t="s">
        <v>40</v>
      </c>
      <c r="M1267" s="32" t="s">
        <v>5412</v>
      </c>
      <c r="N1267" s="32" t="s">
        <v>48</v>
      </c>
    </row>
    <row r="1268" spans="1:14" s="32" customFormat="1" hidden="1" x14ac:dyDescent="0.3">
      <c r="A1268" s="39">
        <v>46185.587581018517</v>
      </c>
      <c r="B1268" s="32">
        <v>44991354005</v>
      </c>
      <c r="C1268" s="32" t="s">
        <v>45</v>
      </c>
      <c r="D1268" s="32">
        <v>4430265054</v>
      </c>
      <c r="E1268" s="32">
        <v>256</v>
      </c>
      <c r="F1268" s="32">
        <v>192</v>
      </c>
      <c r="G1268" s="32" t="s">
        <v>38</v>
      </c>
      <c r="H1268" s="32" t="s">
        <v>6685</v>
      </c>
      <c r="I1268" s="32" t="s">
        <v>39</v>
      </c>
      <c r="J1268" s="32" t="s">
        <v>40</v>
      </c>
      <c r="K1268" s="32" t="s">
        <v>41</v>
      </c>
      <c r="L1268" s="32">
        <v>5</v>
      </c>
      <c r="M1268" s="32" t="s">
        <v>5421</v>
      </c>
      <c r="N1268" s="32" t="s">
        <v>45</v>
      </c>
    </row>
    <row r="1269" spans="1:14" s="32" customFormat="1" hidden="1" x14ac:dyDescent="0.3">
      <c r="A1269" s="39">
        <v>46185.587500000001</v>
      </c>
      <c r="B1269" s="32" t="s">
        <v>48</v>
      </c>
      <c r="C1269" s="32">
        <v>44991636470</v>
      </c>
      <c r="E1269" s="32">
        <v>25</v>
      </c>
      <c r="F1269" s="32">
        <v>18</v>
      </c>
      <c r="G1269" s="32" t="s">
        <v>38</v>
      </c>
      <c r="H1269" s="32" t="s">
        <v>6686</v>
      </c>
      <c r="I1269" s="32" t="s">
        <v>46</v>
      </c>
      <c r="J1269" s="32" t="s">
        <v>40</v>
      </c>
      <c r="M1269" s="32" t="s">
        <v>5412</v>
      </c>
      <c r="N1269" s="32" t="s">
        <v>48</v>
      </c>
    </row>
    <row r="1270" spans="1:14" s="32" customFormat="1" hidden="1" x14ac:dyDescent="0.3">
      <c r="A1270" s="39">
        <v>46185.587361111109</v>
      </c>
      <c r="B1270" s="32">
        <v>44999215148</v>
      </c>
      <c r="C1270" s="32" t="s">
        <v>43</v>
      </c>
      <c r="D1270" s="32">
        <v>4430265054</v>
      </c>
      <c r="E1270" s="32">
        <v>423</v>
      </c>
      <c r="F1270" s="32">
        <v>353</v>
      </c>
      <c r="G1270" s="32" t="s">
        <v>38</v>
      </c>
      <c r="H1270" s="32" t="s">
        <v>6687</v>
      </c>
      <c r="I1270" s="32" t="s">
        <v>39</v>
      </c>
      <c r="J1270" s="32" t="s">
        <v>40</v>
      </c>
      <c r="K1270" s="32" t="s">
        <v>41</v>
      </c>
      <c r="M1270" s="32" t="s">
        <v>5418</v>
      </c>
      <c r="N1270" s="32" t="s">
        <v>43</v>
      </c>
    </row>
    <row r="1271" spans="1:14" s="32" customFormat="1" hidden="1" x14ac:dyDescent="0.3">
      <c r="A1271" s="39">
        <v>46185.587268518517</v>
      </c>
      <c r="B1271" s="32" t="s">
        <v>48</v>
      </c>
      <c r="C1271" s="32">
        <v>44991636470</v>
      </c>
      <c r="E1271" s="32">
        <v>39</v>
      </c>
      <c r="F1271" s="32">
        <v>26</v>
      </c>
      <c r="G1271" s="32" t="s">
        <v>38</v>
      </c>
      <c r="H1271" s="32" t="s">
        <v>6688</v>
      </c>
      <c r="I1271" s="32" t="s">
        <v>46</v>
      </c>
      <c r="J1271" s="32" t="s">
        <v>40</v>
      </c>
      <c r="M1271" s="32" t="s">
        <v>5412</v>
      </c>
      <c r="N1271" s="32" t="s">
        <v>48</v>
      </c>
    </row>
    <row r="1272" spans="1:14" s="32" customFormat="1" hidden="1" x14ac:dyDescent="0.3">
      <c r="A1272" s="39">
        <v>46185.587199074071</v>
      </c>
      <c r="B1272" s="32" t="s">
        <v>48</v>
      </c>
      <c r="C1272" s="32">
        <v>47991636470</v>
      </c>
      <c r="E1272" s="32">
        <v>0</v>
      </c>
      <c r="F1272" s="32">
        <v>0</v>
      </c>
      <c r="G1272" s="32" t="s">
        <v>47</v>
      </c>
      <c r="H1272" s="32" t="s">
        <v>6689</v>
      </c>
      <c r="I1272" s="32" t="s">
        <v>46</v>
      </c>
      <c r="J1272" s="32" t="s">
        <v>40</v>
      </c>
      <c r="M1272" s="32" t="s">
        <v>5412</v>
      </c>
      <c r="N1272" s="32" t="s">
        <v>48</v>
      </c>
    </row>
    <row r="1273" spans="1:14" s="32" customFormat="1" hidden="1" x14ac:dyDescent="0.3">
      <c r="A1273" s="39">
        <v>46185.584085648145</v>
      </c>
      <c r="B1273" s="32" t="s">
        <v>48</v>
      </c>
      <c r="C1273" s="32">
        <v>6234347959</v>
      </c>
      <c r="E1273" s="32">
        <v>58</v>
      </c>
      <c r="F1273" s="32">
        <v>0</v>
      </c>
      <c r="G1273" s="32" t="s">
        <v>47</v>
      </c>
      <c r="H1273" s="32" t="s">
        <v>6690</v>
      </c>
      <c r="I1273" s="32" t="s">
        <v>46</v>
      </c>
      <c r="J1273" s="32" t="s">
        <v>40</v>
      </c>
      <c r="M1273" s="32" t="s">
        <v>5412</v>
      </c>
      <c r="N1273" s="32" t="s">
        <v>48</v>
      </c>
    </row>
    <row r="1274" spans="1:14" s="32" customFormat="1" hidden="1" x14ac:dyDescent="0.3">
      <c r="A1274" s="39">
        <v>46185.582233796296</v>
      </c>
      <c r="B1274" s="32" t="s">
        <v>48</v>
      </c>
      <c r="C1274" s="32">
        <v>6234347959</v>
      </c>
      <c r="E1274" s="32">
        <v>74</v>
      </c>
      <c r="F1274" s="32">
        <v>0</v>
      </c>
      <c r="G1274" s="32" t="s">
        <v>47</v>
      </c>
      <c r="H1274" s="32" t="s">
        <v>6691</v>
      </c>
      <c r="I1274" s="32" t="s">
        <v>46</v>
      </c>
      <c r="J1274" s="32" t="s">
        <v>40</v>
      </c>
      <c r="M1274" s="32" t="s">
        <v>5412</v>
      </c>
      <c r="N1274" s="32" t="s">
        <v>48</v>
      </c>
    </row>
    <row r="1275" spans="1:14" s="32" customFormat="1" hidden="1" x14ac:dyDescent="0.3">
      <c r="A1275" s="39">
        <v>46185.58121527778</v>
      </c>
      <c r="B1275" s="32" t="s">
        <v>45</v>
      </c>
      <c r="C1275" s="32">
        <v>64984043469</v>
      </c>
      <c r="E1275" s="32">
        <v>73</v>
      </c>
      <c r="F1275" s="32">
        <v>65</v>
      </c>
      <c r="G1275" s="32" t="s">
        <v>38</v>
      </c>
      <c r="H1275" s="32" t="s">
        <v>6692</v>
      </c>
      <c r="I1275" s="32" t="s">
        <v>46</v>
      </c>
      <c r="J1275" s="32" t="s">
        <v>40</v>
      </c>
      <c r="M1275" s="32" t="s">
        <v>5421</v>
      </c>
      <c r="N1275" s="32" t="s">
        <v>45</v>
      </c>
    </row>
    <row r="1276" spans="1:14" s="32" customFormat="1" hidden="1" x14ac:dyDescent="0.3">
      <c r="A1276" s="39">
        <v>46185.580474537041</v>
      </c>
      <c r="B1276" s="32">
        <v>44984241715</v>
      </c>
      <c r="C1276" s="32" t="s">
        <v>44</v>
      </c>
      <c r="D1276" s="32">
        <v>4430265054</v>
      </c>
      <c r="E1276" s="32">
        <v>261</v>
      </c>
      <c r="F1276" s="32">
        <v>189</v>
      </c>
      <c r="G1276" s="32" t="s">
        <v>38</v>
      </c>
      <c r="H1276" s="32" t="s">
        <v>6693</v>
      </c>
      <c r="I1276" s="32" t="s">
        <v>39</v>
      </c>
      <c r="J1276" s="32" t="s">
        <v>40</v>
      </c>
      <c r="K1276" s="32" t="s">
        <v>41</v>
      </c>
      <c r="L1276" s="32">
        <v>5</v>
      </c>
      <c r="M1276" s="32" t="s">
        <v>5416</v>
      </c>
      <c r="N1276" s="32" t="s">
        <v>44</v>
      </c>
    </row>
    <row r="1277" spans="1:14" s="32" customFormat="1" hidden="1" x14ac:dyDescent="0.3">
      <c r="A1277" s="39">
        <v>46185.579201388886</v>
      </c>
      <c r="B1277" s="32" t="s">
        <v>37</v>
      </c>
      <c r="C1277" s="32">
        <v>4430451715</v>
      </c>
      <c r="E1277" s="32">
        <v>506</v>
      </c>
      <c r="F1277" s="32">
        <v>498</v>
      </c>
      <c r="G1277" s="32" t="s">
        <v>38</v>
      </c>
      <c r="H1277" s="32" t="s">
        <v>6694</v>
      </c>
      <c r="I1277" s="32" t="s">
        <v>46</v>
      </c>
      <c r="J1277" s="32" t="s">
        <v>40</v>
      </c>
      <c r="M1277" s="32" t="s">
        <v>5410</v>
      </c>
      <c r="N1277" s="32" t="s">
        <v>37</v>
      </c>
    </row>
    <row r="1278" spans="1:14" s="32" customFormat="1" hidden="1" x14ac:dyDescent="0.3">
      <c r="A1278" s="39">
        <v>46185.57916666667</v>
      </c>
      <c r="B1278" s="32" t="s">
        <v>37</v>
      </c>
      <c r="C1278" s="32">
        <v>4430451715</v>
      </c>
      <c r="E1278" s="32">
        <v>13</v>
      </c>
      <c r="F1278" s="32">
        <v>13</v>
      </c>
      <c r="G1278" s="32" t="s">
        <v>38</v>
      </c>
      <c r="H1278" s="32" t="s">
        <v>6695</v>
      </c>
      <c r="I1278" s="32" t="s">
        <v>46</v>
      </c>
      <c r="J1278" s="32" t="s">
        <v>40</v>
      </c>
      <c r="M1278" s="32" t="s">
        <v>5410</v>
      </c>
      <c r="N1278" s="32" t="s">
        <v>37</v>
      </c>
    </row>
    <row r="1279" spans="1:14" s="32" customFormat="1" hidden="1" x14ac:dyDescent="0.3">
      <c r="A1279" s="39">
        <v>46185.564664351848</v>
      </c>
      <c r="B1279" s="32" t="s">
        <v>45</v>
      </c>
      <c r="C1279" s="32">
        <v>11996812848</v>
      </c>
      <c r="E1279" s="32">
        <v>252</v>
      </c>
      <c r="F1279" s="32">
        <v>235</v>
      </c>
      <c r="G1279" s="32" t="s">
        <v>38</v>
      </c>
      <c r="H1279" s="32" t="s">
        <v>6696</v>
      </c>
      <c r="I1279" s="32" t="s">
        <v>46</v>
      </c>
      <c r="J1279" s="32" t="s">
        <v>40</v>
      </c>
      <c r="M1279" s="32" t="s">
        <v>5421</v>
      </c>
      <c r="N1279" s="32" t="s">
        <v>45</v>
      </c>
    </row>
    <row r="1280" spans="1:14" s="32" customFormat="1" hidden="1" x14ac:dyDescent="0.3">
      <c r="A1280" s="39">
        <v>46185.490277777775</v>
      </c>
      <c r="B1280" s="32" t="s">
        <v>54</v>
      </c>
      <c r="C1280" s="32">
        <v>1935418281</v>
      </c>
      <c r="E1280" s="32">
        <v>27</v>
      </c>
      <c r="F1280" s="32">
        <v>0</v>
      </c>
      <c r="G1280" s="32" t="s">
        <v>47</v>
      </c>
      <c r="H1280" s="32" t="s">
        <v>6697</v>
      </c>
      <c r="I1280" s="32" t="s">
        <v>46</v>
      </c>
      <c r="J1280" s="32" t="s">
        <v>55</v>
      </c>
      <c r="M1280" s="32" t="s">
        <v>5537</v>
      </c>
      <c r="N1280" s="32" t="s">
        <v>54</v>
      </c>
    </row>
    <row r="1281" spans="1:14" s="32" customFormat="1" hidden="1" x14ac:dyDescent="0.3">
      <c r="A1281" s="39">
        <v>46185.48978009259</v>
      </c>
      <c r="B1281" s="32">
        <v>4435228300</v>
      </c>
      <c r="C1281" s="32" t="s">
        <v>45</v>
      </c>
      <c r="D1281" s="32">
        <v>4430265054</v>
      </c>
      <c r="E1281" s="32">
        <v>203</v>
      </c>
      <c r="F1281" s="32">
        <v>126</v>
      </c>
      <c r="G1281" s="32" t="s">
        <v>38</v>
      </c>
      <c r="H1281" s="32" t="s">
        <v>6698</v>
      </c>
      <c r="I1281" s="32" t="s">
        <v>39</v>
      </c>
      <c r="J1281" s="32" t="s">
        <v>40</v>
      </c>
      <c r="K1281" s="32" t="s">
        <v>41</v>
      </c>
      <c r="M1281" s="32" t="s">
        <v>5421</v>
      </c>
      <c r="N1281" s="32" t="s">
        <v>45</v>
      </c>
    </row>
    <row r="1282" spans="1:14" s="32" customFormat="1" hidden="1" x14ac:dyDescent="0.3">
      <c r="A1282" s="39">
        <v>46185.487962962965</v>
      </c>
      <c r="B1282" s="32">
        <v>44997735525</v>
      </c>
      <c r="C1282" s="32">
        <v>4430265054</v>
      </c>
      <c r="D1282" s="32">
        <v>4430265054</v>
      </c>
      <c r="E1282" s="32">
        <v>9</v>
      </c>
      <c r="F1282" s="32">
        <v>8</v>
      </c>
      <c r="G1282" s="32" t="s">
        <v>52</v>
      </c>
      <c r="H1282" s="32" t="s">
        <v>6699</v>
      </c>
      <c r="I1282" s="32" t="s">
        <v>39</v>
      </c>
      <c r="J1282" s="32" t="s">
        <v>53</v>
      </c>
    </row>
    <row r="1283" spans="1:14" s="32" customFormat="1" hidden="1" x14ac:dyDescent="0.3">
      <c r="A1283" s="39">
        <v>46185.485127314816</v>
      </c>
      <c r="B1283" s="32">
        <v>43999965552</v>
      </c>
      <c r="C1283" s="32" t="s">
        <v>37</v>
      </c>
      <c r="D1283" s="32">
        <v>4430265054</v>
      </c>
      <c r="E1283" s="32">
        <v>1496</v>
      </c>
      <c r="F1283" s="32">
        <v>1469</v>
      </c>
      <c r="G1283" s="32" t="s">
        <v>38</v>
      </c>
      <c r="H1283" s="32" t="s">
        <v>6700</v>
      </c>
      <c r="I1283" s="32" t="s">
        <v>39</v>
      </c>
      <c r="J1283" s="32" t="s">
        <v>40</v>
      </c>
      <c r="K1283" s="32" t="s">
        <v>41</v>
      </c>
      <c r="L1283" s="32">
        <v>5</v>
      </c>
      <c r="M1283" s="32" t="s">
        <v>5410</v>
      </c>
      <c r="N1283" s="32" t="s">
        <v>37</v>
      </c>
    </row>
    <row r="1284" spans="1:14" s="32" customFormat="1" hidden="1" x14ac:dyDescent="0.3">
      <c r="A1284" s="39">
        <v>46185.484467592592</v>
      </c>
      <c r="B1284" s="32" t="s">
        <v>54</v>
      </c>
      <c r="C1284" s="32">
        <v>19997285753</v>
      </c>
      <c r="E1284" s="32">
        <v>7</v>
      </c>
      <c r="F1284" s="32">
        <v>0</v>
      </c>
      <c r="G1284" s="32" t="s">
        <v>47</v>
      </c>
      <c r="H1284" s="32" t="s">
        <v>6701</v>
      </c>
      <c r="I1284" s="32" t="s">
        <v>46</v>
      </c>
      <c r="J1284" s="32" t="s">
        <v>55</v>
      </c>
      <c r="M1284" s="32" t="s">
        <v>5537</v>
      </c>
      <c r="N1284" s="32" t="s">
        <v>54</v>
      </c>
    </row>
    <row r="1285" spans="1:14" s="32" customFormat="1" hidden="1" x14ac:dyDescent="0.3">
      <c r="A1285" s="39">
        <v>46185.479872685188</v>
      </c>
      <c r="B1285" s="32" t="s">
        <v>48</v>
      </c>
      <c r="C1285" s="32">
        <v>44988303530</v>
      </c>
      <c r="E1285" s="32">
        <v>313</v>
      </c>
      <c r="F1285" s="32">
        <v>301</v>
      </c>
      <c r="G1285" s="32" t="s">
        <v>38</v>
      </c>
      <c r="H1285" s="32" t="s">
        <v>6702</v>
      </c>
      <c r="I1285" s="32" t="s">
        <v>46</v>
      </c>
      <c r="J1285" s="32" t="s">
        <v>40</v>
      </c>
      <c r="M1285" s="32" t="s">
        <v>5412</v>
      </c>
      <c r="N1285" s="32" t="s">
        <v>48</v>
      </c>
    </row>
    <row r="1286" spans="1:14" s="32" customFormat="1" hidden="1" x14ac:dyDescent="0.3">
      <c r="A1286" s="39">
        <v>46185.479826388888</v>
      </c>
      <c r="B1286" s="32" t="s">
        <v>48</v>
      </c>
      <c r="C1286" s="32">
        <v>44988303530</v>
      </c>
      <c r="E1286" s="32">
        <v>1</v>
      </c>
      <c r="F1286" s="32">
        <v>0</v>
      </c>
      <c r="G1286" s="32" t="s">
        <v>47</v>
      </c>
      <c r="H1286" s="32" t="s">
        <v>6703</v>
      </c>
      <c r="I1286" s="32" t="s">
        <v>46</v>
      </c>
      <c r="J1286" s="32" t="s">
        <v>40</v>
      </c>
      <c r="M1286" s="32" t="s">
        <v>5412</v>
      </c>
      <c r="N1286" s="32" t="s">
        <v>48</v>
      </c>
    </row>
    <row r="1287" spans="1:14" s="32" customFormat="1" hidden="1" x14ac:dyDescent="0.3">
      <c r="A1287" s="39">
        <v>46185.477939814817</v>
      </c>
      <c r="B1287" s="32">
        <v>1131515685</v>
      </c>
      <c r="C1287" s="32" t="s">
        <v>43</v>
      </c>
      <c r="D1287" s="32">
        <v>4430265054</v>
      </c>
      <c r="E1287" s="32">
        <v>257</v>
      </c>
      <c r="F1287" s="32">
        <v>162</v>
      </c>
      <c r="G1287" s="32" t="s">
        <v>38</v>
      </c>
      <c r="H1287" s="32" t="s">
        <v>6704</v>
      </c>
      <c r="I1287" s="32" t="s">
        <v>39</v>
      </c>
      <c r="J1287" s="32" t="s">
        <v>40</v>
      </c>
      <c r="K1287" s="32" t="s">
        <v>41</v>
      </c>
      <c r="M1287" s="32" t="s">
        <v>5418</v>
      </c>
      <c r="N1287" s="32" t="s">
        <v>43</v>
      </c>
    </row>
    <row r="1288" spans="1:14" s="32" customFormat="1" hidden="1" x14ac:dyDescent="0.3">
      <c r="A1288" s="39">
        <v>46185.475914351853</v>
      </c>
      <c r="B1288" s="32">
        <v>4432269849</v>
      </c>
      <c r="C1288" s="32" t="s">
        <v>48</v>
      </c>
      <c r="D1288" s="32">
        <v>4430265054</v>
      </c>
      <c r="E1288" s="32">
        <v>212</v>
      </c>
      <c r="F1288" s="32">
        <v>211</v>
      </c>
      <c r="G1288" s="32" t="s">
        <v>38</v>
      </c>
      <c r="H1288" s="32" t="s">
        <v>6705</v>
      </c>
      <c r="I1288" s="32" t="s">
        <v>39</v>
      </c>
      <c r="J1288" s="32" t="s">
        <v>40</v>
      </c>
      <c r="K1288" s="32" t="s">
        <v>41</v>
      </c>
      <c r="M1288" s="32" t="s">
        <v>5412</v>
      </c>
      <c r="N1288" s="32" t="s">
        <v>48</v>
      </c>
    </row>
    <row r="1289" spans="1:14" s="32" customFormat="1" hidden="1" x14ac:dyDescent="0.3">
      <c r="A1289" s="39">
        <v>46185.475543981483</v>
      </c>
      <c r="B1289" s="32">
        <v>83988398480</v>
      </c>
      <c r="C1289" s="32" t="s">
        <v>43</v>
      </c>
      <c r="D1289" s="32">
        <v>4430265054</v>
      </c>
      <c r="E1289" s="32">
        <v>191</v>
      </c>
      <c r="F1289" s="32">
        <v>156</v>
      </c>
      <c r="G1289" s="32" t="s">
        <v>38</v>
      </c>
      <c r="H1289" s="32" t="s">
        <v>6706</v>
      </c>
      <c r="I1289" s="32" t="s">
        <v>39</v>
      </c>
      <c r="J1289" s="32" t="s">
        <v>40</v>
      </c>
      <c r="K1289" s="32" t="s">
        <v>41</v>
      </c>
      <c r="M1289" s="32" t="s">
        <v>5418</v>
      </c>
      <c r="N1289" s="32" t="s">
        <v>43</v>
      </c>
    </row>
    <row r="1290" spans="1:14" s="32" customFormat="1" hidden="1" x14ac:dyDescent="0.3">
      <c r="A1290" s="39">
        <v>46185.470960648148</v>
      </c>
      <c r="B1290" s="32">
        <v>44999632141</v>
      </c>
      <c r="C1290" s="32" t="s">
        <v>48</v>
      </c>
      <c r="D1290" s="32">
        <v>4430265054</v>
      </c>
      <c r="E1290" s="32">
        <v>339</v>
      </c>
      <c r="F1290" s="32">
        <v>339</v>
      </c>
      <c r="G1290" s="32" t="s">
        <v>38</v>
      </c>
      <c r="H1290" s="32" t="s">
        <v>6707</v>
      </c>
      <c r="I1290" s="32" t="s">
        <v>39</v>
      </c>
      <c r="J1290" s="32" t="s">
        <v>40</v>
      </c>
      <c r="K1290" s="32" t="s">
        <v>41</v>
      </c>
      <c r="M1290" s="32" t="s">
        <v>5412</v>
      </c>
      <c r="N1290" s="32" t="s">
        <v>48</v>
      </c>
    </row>
    <row r="1291" spans="1:14" s="32" customFormat="1" hidden="1" x14ac:dyDescent="0.3">
      <c r="A1291" s="39">
        <v>46185.470937500002</v>
      </c>
      <c r="B1291" s="32">
        <v>41999102968</v>
      </c>
      <c r="C1291" s="32" t="s">
        <v>45</v>
      </c>
      <c r="D1291" s="32">
        <v>4430265054</v>
      </c>
      <c r="E1291" s="32">
        <v>166</v>
      </c>
      <c r="F1291" s="32">
        <v>145</v>
      </c>
      <c r="G1291" s="32" t="s">
        <v>38</v>
      </c>
      <c r="H1291" s="32" t="s">
        <v>6708</v>
      </c>
      <c r="I1291" s="32" t="s">
        <v>39</v>
      </c>
      <c r="J1291" s="32" t="s">
        <v>40</v>
      </c>
      <c r="K1291" s="32" t="s">
        <v>41</v>
      </c>
      <c r="M1291" s="32" t="s">
        <v>5421</v>
      </c>
      <c r="N1291" s="32" t="s">
        <v>45</v>
      </c>
    </row>
    <row r="1292" spans="1:14" s="32" customFormat="1" hidden="1" x14ac:dyDescent="0.3">
      <c r="A1292" s="39">
        <v>46185.47011574074</v>
      </c>
      <c r="B1292" s="32" t="s">
        <v>45</v>
      </c>
      <c r="C1292" s="32">
        <v>41999102968</v>
      </c>
      <c r="E1292" s="32">
        <v>48</v>
      </c>
      <c r="F1292" s="32">
        <v>39</v>
      </c>
      <c r="G1292" s="32" t="s">
        <v>38</v>
      </c>
      <c r="H1292" s="32" t="s">
        <v>6709</v>
      </c>
      <c r="I1292" s="32" t="s">
        <v>46</v>
      </c>
      <c r="J1292" s="32" t="s">
        <v>40</v>
      </c>
      <c r="M1292" s="32" t="s">
        <v>5421</v>
      </c>
      <c r="N1292" s="32" t="s">
        <v>45</v>
      </c>
    </row>
    <row r="1293" spans="1:14" s="32" customFormat="1" hidden="1" x14ac:dyDescent="0.3">
      <c r="A1293" s="39">
        <v>46185.455046296294</v>
      </c>
      <c r="B1293" s="32">
        <v>4432272377</v>
      </c>
      <c r="C1293" s="32">
        <v>4430265054</v>
      </c>
      <c r="D1293" s="32">
        <v>4430265054</v>
      </c>
      <c r="E1293" s="32">
        <v>0</v>
      </c>
      <c r="F1293" s="32">
        <v>0</v>
      </c>
      <c r="G1293" s="32" t="s">
        <v>47</v>
      </c>
      <c r="H1293" s="32" t="s">
        <v>6710</v>
      </c>
      <c r="I1293" s="32" t="s">
        <v>39</v>
      </c>
      <c r="J1293" s="32" t="s">
        <v>53</v>
      </c>
    </row>
    <row r="1294" spans="1:14" s="32" customFormat="1" hidden="1" x14ac:dyDescent="0.3">
      <c r="A1294" s="39">
        <v>46185.454432870371</v>
      </c>
      <c r="B1294" s="32">
        <v>4432541143</v>
      </c>
      <c r="C1294" s="32" t="s">
        <v>44</v>
      </c>
      <c r="D1294" s="32">
        <v>4430265054</v>
      </c>
      <c r="E1294" s="32">
        <v>976</v>
      </c>
      <c r="F1294" s="32">
        <v>903</v>
      </c>
      <c r="G1294" s="32" t="s">
        <v>38</v>
      </c>
      <c r="H1294" s="32" t="s">
        <v>6711</v>
      </c>
      <c r="I1294" s="32" t="s">
        <v>39</v>
      </c>
      <c r="J1294" s="32" t="s">
        <v>40</v>
      </c>
      <c r="K1294" s="32" t="s">
        <v>41</v>
      </c>
      <c r="M1294" s="32" t="s">
        <v>5416</v>
      </c>
      <c r="N1294" s="32" t="s">
        <v>44</v>
      </c>
    </row>
    <row r="1295" spans="1:14" s="32" customFormat="1" hidden="1" x14ac:dyDescent="0.3">
      <c r="A1295" s="39">
        <v>46185.453587962962</v>
      </c>
      <c r="B1295" s="32">
        <v>44984241715</v>
      </c>
      <c r="C1295" s="32" t="s">
        <v>43</v>
      </c>
      <c r="D1295" s="32">
        <v>4430265054</v>
      </c>
      <c r="E1295" s="32">
        <v>957</v>
      </c>
      <c r="F1295" s="32">
        <v>855</v>
      </c>
      <c r="G1295" s="32" t="s">
        <v>38</v>
      </c>
      <c r="H1295" s="32" t="s">
        <v>6712</v>
      </c>
      <c r="I1295" s="32" t="s">
        <v>39</v>
      </c>
      <c r="J1295" s="32" t="s">
        <v>40</v>
      </c>
      <c r="K1295" s="32" t="s">
        <v>41</v>
      </c>
      <c r="M1295" s="32" t="s">
        <v>5418</v>
      </c>
      <c r="N1295" s="32" t="s">
        <v>43</v>
      </c>
    </row>
    <row r="1296" spans="1:14" s="32" customFormat="1" hidden="1" x14ac:dyDescent="0.3">
      <c r="A1296" s="39">
        <v>46185.448993055557</v>
      </c>
      <c r="B1296" s="32">
        <v>4436351835</v>
      </c>
      <c r="C1296" s="32" t="s">
        <v>37</v>
      </c>
      <c r="D1296" s="32">
        <v>4430265054</v>
      </c>
      <c r="E1296" s="32">
        <v>747</v>
      </c>
      <c r="F1296" s="32">
        <v>687</v>
      </c>
      <c r="G1296" s="32" t="s">
        <v>38</v>
      </c>
      <c r="H1296" s="32" t="s">
        <v>6713</v>
      </c>
      <c r="I1296" s="32" t="s">
        <v>39</v>
      </c>
      <c r="J1296" s="32" t="s">
        <v>40</v>
      </c>
      <c r="K1296" s="32" t="s">
        <v>41</v>
      </c>
      <c r="L1296" s="32">
        <v>5</v>
      </c>
      <c r="M1296" s="32" t="s">
        <v>5410</v>
      </c>
      <c r="N1296" s="32" t="s">
        <v>37</v>
      </c>
    </row>
    <row r="1297" spans="1:14" s="32" customFormat="1" hidden="1" x14ac:dyDescent="0.3">
      <c r="A1297" s="39">
        <v>46185.446886574071</v>
      </c>
      <c r="B1297" s="32">
        <v>8330494200</v>
      </c>
      <c r="C1297" s="32">
        <v>4430265054</v>
      </c>
      <c r="D1297" s="32">
        <v>4430265054</v>
      </c>
      <c r="E1297" s="32">
        <v>5</v>
      </c>
      <c r="F1297" s="32">
        <v>5</v>
      </c>
      <c r="G1297" s="32" t="s">
        <v>52</v>
      </c>
      <c r="H1297" s="32" t="s">
        <v>6714</v>
      </c>
      <c r="I1297" s="32" t="s">
        <v>39</v>
      </c>
      <c r="J1297" s="32" t="s">
        <v>53</v>
      </c>
    </row>
    <row r="1298" spans="1:14" s="32" customFormat="1" hidden="1" x14ac:dyDescent="0.3">
      <c r="A1298" s="39">
        <v>46185.434374999997</v>
      </c>
      <c r="B1298" s="32" t="s">
        <v>37</v>
      </c>
      <c r="C1298" s="32">
        <v>4430562296</v>
      </c>
      <c r="E1298" s="32">
        <v>645</v>
      </c>
      <c r="F1298" s="32">
        <v>636</v>
      </c>
      <c r="G1298" s="32" t="s">
        <v>38</v>
      </c>
      <c r="H1298" s="32" t="s">
        <v>6715</v>
      </c>
      <c r="I1298" s="32" t="s">
        <v>46</v>
      </c>
      <c r="J1298" s="32" t="s">
        <v>40</v>
      </c>
      <c r="L1298" s="32">
        <v>5</v>
      </c>
      <c r="M1298" s="32" t="s">
        <v>5410</v>
      </c>
      <c r="N1298" s="32" t="s">
        <v>37</v>
      </c>
    </row>
    <row r="1299" spans="1:14" s="32" customFormat="1" hidden="1" x14ac:dyDescent="0.3">
      <c r="A1299" s="39">
        <v>46185.434317129628</v>
      </c>
      <c r="B1299" s="32" t="s">
        <v>37</v>
      </c>
      <c r="C1299" s="32">
        <v>4430451715</v>
      </c>
      <c r="E1299" s="32">
        <v>1</v>
      </c>
      <c r="F1299" s="32">
        <v>0</v>
      </c>
      <c r="G1299" s="32" t="s">
        <v>47</v>
      </c>
      <c r="H1299" s="32" t="s">
        <v>6716</v>
      </c>
      <c r="I1299" s="32" t="s">
        <v>46</v>
      </c>
      <c r="J1299" s="32" t="s">
        <v>40</v>
      </c>
      <c r="M1299" s="32" t="s">
        <v>5410</v>
      </c>
      <c r="N1299" s="32" t="s">
        <v>37</v>
      </c>
    </row>
    <row r="1300" spans="1:14" s="32" customFormat="1" hidden="1" x14ac:dyDescent="0.3">
      <c r="A1300" s="39">
        <v>46185.427256944444</v>
      </c>
      <c r="B1300" s="32" t="s">
        <v>43</v>
      </c>
      <c r="C1300" s="32">
        <v>1000</v>
      </c>
      <c r="E1300" s="32">
        <v>13</v>
      </c>
      <c r="F1300" s="32">
        <v>2</v>
      </c>
      <c r="G1300" s="32" t="s">
        <v>38</v>
      </c>
      <c r="H1300" s="32" t="s">
        <v>6717</v>
      </c>
      <c r="I1300" s="32" t="s">
        <v>46</v>
      </c>
      <c r="J1300" s="32" t="s">
        <v>40</v>
      </c>
      <c r="M1300" s="32" t="s">
        <v>5418</v>
      </c>
      <c r="N1300" s="32" t="s">
        <v>43</v>
      </c>
    </row>
    <row r="1301" spans="1:14" s="32" customFormat="1" hidden="1" x14ac:dyDescent="0.3">
      <c r="A1301" s="39">
        <v>46185.426921296297</v>
      </c>
      <c r="B1301" s="32">
        <v>44998802935</v>
      </c>
      <c r="C1301" s="32" t="s">
        <v>48</v>
      </c>
      <c r="D1301" s="32">
        <v>4431268225</v>
      </c>
      <c r="E1301" s="32">
        <v>149</v>
      </c>
      <c r="F1301" s="32">
        <v>148</v>
      </c>
      <c r="G1301" s="32" t="s">
        <v>38</v>
      </c>
      <c r="H1301" s="32" t="s">
        <v>6718</v>
      </c>
      <c r="I1301" s="32" t="s">
        <v>39</v>
      </c>
      <c r="J1301" s="32" t="s">
        <v>40</v>
      </c>
      <c r="K1301" s="32" t="s">
        <v>41</v>
      </c>
      <c r="M1301" s="32" t="s">
        <v>5412</v>
      </c>
      <c r="N1301" s="32" t="s">
        <v>48</v>
      </c>
    </row>
    <row r="1302" spans="1:14" s="32" customFormat="1" hidden="1" x14ac:dyDescent="0.3">
      <c r="A1302" s="39">
        <v>46185.423680555556</v>
      </c>
      <c r="B1302" s="32">
        <v>44988303530</v>
      </c>
      <c r="C1302" s="32" t="s">
        <v>44</v>
      </c>
      <c r="D1302" s="32">
        <v>4430265054</v>
      </c>
      <c r="E1302" s="32">
        <v>269</v>
      </c>
      <c r="F1302" s="32">
        <v>177</v>
      </c>
      <c r="G1302" s="32" t="s">
        <v>38</v>
      </c>
      <c r="H1302" s="32" t="s">
        <v>6719</v>
      </c>
      <c r="I1302" s="32" t="s">
        <v>39</v>
      </c>
      <c r="J1302" s="32" t="s">
        <v>40</v>
      </c>
      <c r="K1302" s="32" t="s">
        <v>41</v>
      </c>
      <c r="L1302" s="32">
        <v>5</v>
      </c>
      <c r="M1302" s="32" t="s">
        <v>5416</v>
      </c>
      <c r="N1302" s="32" t="s">
        <v>44</v>
      </c>
    </row>
    <row r="1303" spans="1:14" s="32" customFormat="1" hidden="1" x14ac:dyDescent="0.3">
      <c r="A1303" s="39">
        <v>46185.422083333331</v>
      </c>
      <c r="B1303" s="32">
        <v>4334232912</v>
      </c>
      <c r="C1303" s="32" t="s">
        <v>44</v>
      </c>
      <c r="D1303" s="32">
        <v>4430265054</v>
      </c>
      <c r="E1303" s="32">
        <v>92</v>
      </c>
      <c r="F1303" s="32">
        <v>71</v>
      </c>
      <c r="G1303" s="32" t="s">
        <v>38</v>
      </c>
      <c r="H1303" s="32" t="s">
        <v>6720</v>
      </c>
      <c r="I1303" s="32" t="s">
        <v>39</v>
      </c>
      <c r="J1303" s="32" t="s">
        <v>40</v>
      </c>
      <c r="K1303" s="32" t="s">
        <v>41</v>
      </c>
      <c r="M1303" s="32" t="s">
        <v>5416</v>
      </c>
      <c r="N1303" s="32" t="s">
        <v>44</v>
      </c>
    </row>
    <row r="1304" spans="1:14" s="32" customFormat="1" hidden="1" x14ac:dyDescent="0.3">
      <c r="A1304" s="39">
        <v>46185.416712962964</v>
      </c>
      <c r="B1304" s="32">
        <v>44999859732</v>
      </c>
      <c r="C1304" s="32" t="s">
        <v>44</v>
      </c>
      <c r="D1304" s="32">
        <v>4430265054</v>
      </c>
      <c r="E1304" s="32">
        <v>436</v>
      </c>
      <c r="F1304" s="32">
        <v>413</v>
      </c>
      <c r="G1304" s="32" t="s">
        <v>38</v>
      </c>
      <c r="H1304" s="32" t="s">
        <v>6721</v>
      </c>
      <c r="I1304" s="32" t="s">
        <v>39</v>
      </c>
      <c r="J1304" s="32" t="s">
        <v>40</v>
      </c>
      <c r="K1304" s="32" t="s">
        <v>41</v>
      </c>
      <c r="M1304" s="32" t="s">
        <v>5416</v>
      </c>
      <c r="N1304" s="32" t="s">
        <v>44</v>
      </c>
    </row>
    <row r="1305" spans="1:14" s="32" customFormat="1" hidden="1" x14ac:dyDescent="0.3">
      <c r="A1305" s="39">
        <v>46185.41002314815</v>
      </c>
      <c r="B1305" s="32">
        <v>83988398480</v>
      </c>
      <c r="C1305" s="32" t="s">
        <v>44</v>
      </c>
      <c r="D1305" s="32">
        <v>4430265054</v>
      </c>
      <c r="E1305" s="32">
        <v>388</v>
      </c>
      <c r="F1305" s="32">
        <v>189</v>
      </c>
      <c r="G1305" s="32" t="s">
        <v>38</v>
      </c>
      <c r="H1305" s="32" t="s">
        <v>6722</v>
      </c>
      <c r="I1305" s="32" t="s">
        <v>39</v>
      </c>
      <c r="J1305" s="32" t="s">
        <v>40</v>
      </c>
      <c r="K1305" s="32" t="s">
        <v>41</v>
      </c>
      <c r="M1305" s="32" t="s">
        <v>5416</v>
      </c>
      <c r="N1305" s="32" t="s">
        <v>44</v>
      </c>
    </row>
    <row r="1306" spans="1:14" s="32" customFormat="1" hidden="1" x14ac:dyDescent="0.3">
      <c r="A1306" s="39">
        <v>46185.408888888887</v>
      </c>
      <c r="B1306" s="32">
        <v>4430451715</v>
      </c>
      <c r="C1306" s="32" t="s">
        <v>48</v>
      </c>
      <c r="D1306" s="32">
        <v>4430265054</v>
      </c>
      <c r="E1306" s="32">
        <v>551</v>
      </c>
      <c r="F1306" s="32">
        <v>467</v>
      </c>
      <c r="G1306" s="32" t="s">
        <v>38</v>
      </c>
      <c r="H1306" s="32" t="s">
        <v>6723</v>
      </c>
      <c r="I1306" s="32" t="s">
        <v>39</v>
      </c>
      <c r="J1306" s="32" t="s">
        <v>40</v>
      </c>
      <c r="K1306" s="32" t="s">
        <v>41</v>
      </c>
      <c r="L1306" s="32">
        <v>5</v>
      </c>
      <c r="M1306" s="32" t="s">
        <v>5412</v>
      </c>
      <c r="N1306" s="32" t="s">
        <v>48</v>
      </c>
    </row>
    <row r="1307" spans="1:14" s="32" customFormat="1" hidden="1" x14ac:dyDescent="0.3">
      <c r="A1307" s="39">
        <v>46185.408738425926</v>
      </c>
      <c r="B1307" s="32">
        <v>64984043469</v>
      </c>
      <c r="C1307" s="32" t="s">
        <v>45</v>
      </c>
      <c r="D1307" s="32">
        <v>4430265054</v>
      </c>
      <c r="E1307" s="32">
        <v>3311</v>
      </c>
      <c r="F1307" s="32">
        <v>3229</v>
      </c>
      <c r="G1307" s="32" t="s">
        <v>38</v>
      </c>
      <c r="H1307" s="32" t="s">
        <v>6724</v>
      </c>
      <c r="I1307" s="32" t="s">
        <v>39</v>
      </c>
      <c r="J1307" s="32" t="s">
        <v>40</v>
      </c>
      <c r="K1307" s="32" t="s">
        <v>41</v>
      </c>
      <c r="L1307" s="32">
        <v>5</v>
      </c>
      <c r="M1307" s="32" t="s">
        <v>5421</v>
      </c>
      <c r="N1307" s="32" t="s">
        <v>45</v>
      </c>
    </row>
    <row r="1308" spans="1:14" s="32" customFormat="1" hidden="1" x14ac:dyDescent="0.3">
      <c r="A1308" s="39">
        <v>46185.404664351852</v>
      </c>
      <c r="B1308" s="32">
        <v>41995255119</v>
      </c>
      <c r="C1308" s="32" t="s">
        <v>43</v>
      </c>
      <c r="D1308" s="32">
        <v>4430265054</v>
      </c>
      <c r="E1308" s="32">
        <v>1349</v>
      </c>
      <c r="F1308" s="32">
        <v>964</v>
      </c>
      <c r="G1308" s="32" t="s">
        <v>38</v>
      </c>
      <c r="H1308" s="32" t="s">
        <v>6725</v>
      </c>
      <c r="I1308" s="32" t="s">
        <v>39</v>
      </c>
      <c r="J1308" s="32" t="s">
        <v>40</v>
      </c>
      <c r="K1308" s="32" t="s">
        <v>41</v>
      </c>
      <c r="M1308" s="32" t="s">
        <v>5418</v>
      </c>
      <c r="N1308" s="32" t="s">
        <v>43</v>
      </c>
    </row>
    <row r="1309" spans="1:14" s="32" customFormat="1" hidden="1" x14ac:dyDescent="0.3">
      <c r="A1309" s="39">
        <v>46185.403993055559</v>
      </c>
      <c r="B1309" s="32">
        <v>44999497001</v>
      </c>
      <c r="C1309" s="32" t="s">
        <v>43</v>
      </c>
      <c r="D1309" s="32">
        <v>4430265054</v>
      </c>
      <c r="E1309" s="32">
        <v>356</v>
      </c>
      <c r="F1309" s="32">
        <v>341</v>
      </c>
      <c r="G1309" s="32" t="s">
        <v>38</v>
      </c>
      <c r="H1309" s="32" t="s">
        <v>6726</v>
      </c>
      <c r="I1309" s="32" t="s">
        <v>39</v>
      </c>
      <c r="J1309" s="32" t="s">
        <v>40</v>
      </c>
      <c r="K1309" s="32" t="s">
        <v>41</v>
      </c>
      <c r="M1309" s="32" t="s">
        <v>5418</v>
      </c>
      <c r="N1309" s="32" t="s">
        <v>43</v>
      </c>
    </row>
    <row r="1310" spans="1:14" s="32" customFormat="1" hidden="1" x14ac:dyDescent="0.3">
      <c r="A1310" s="39">
        <v>46185.403553240743</v>
      </c>
      <c r="B1310" s="32">
        <v>4430317020</v>
      </c>
      <c r="C1310" s="32" t="s">
        <v>37</v>
      </c>
      <c r="D1310" s="32">
        <v>4430265054</v>
      </c>
      <c r="E1310" s="32">
        <v>1652</v>
      </c>
      <c r="F1310" s="32">
        <v>1615</v>
      </c>
      <c r="G1310" s="32" t="s">
        <v>38</v>
      </c>
      <c r="H1310" s="32" t="s">
        <v>6727</v>
      </c>
      <c r="I1310" s="32" t="s">
        <v>39</v>
      </c>
      <c r="J1310" s="32" t="s">
        <v>40</v>
      </c>
      <c r="K1310" s="32" t="s">
        <v>41</v>
      </c>
      <c r="L1310" s="32">
        <v>5</v>
      </c>
      <c r="M1310" s="32" t="s">
        <v>5410</v>
      </c>
      <c r="N1310" s="32" t="s">
        <v>37</v>
      </c>
    </row>
    <row r="1311" spans="1:14" s="32" customFormat="1" hidden="1" x14ac:dyDescent="0.3">
      <c r="A1311" s="39">
        <v>46185.401585648149</v>
      </c>
      <c r="B1311" s="32">
        <v>4432637197</v>
      </c>
      <c r="C1311" s="32" t="s">
        <v>43</v>
      </c>
      <c r="D1311" s="32">
        <v>4430265054</v>
      </c>
      <c r="E1311" s="32">
        <v>191</v>
      </c>
      <c r="F1311" s="32">
        <v>84</v>
      </c>
      <c r="G1311" s="32" t="s">
        <v>38</v>
      </c>
      <c r="H1311" s="32" t="s">
        <v>6728</v>
      </c>
      <c r="I1311" s="32" t="s">
        <v>39</v>
      </c>
      <c r="J1311" s="32" t="s">
        <v>40</v>
      </c>
      <c r="K1311" s="32" t="s">
        <v>41</v>
      </c>
      <c r="M1311" s="32" t="s">
        <v>5418</v>
      </c>
      <c r="N1311" s="32" t="s">
        <v>43</v>
      </c>
    </row>
    <row r="1312" spans="1:14" s="32" customFormat="1" hidden="1" x14ac:dyDescent="0.3">
      <c r="A1312" s="39">
        <v>46185.401284722226</v>
      </c>
      <c r="B1312" s="32">
        <v>1128897100</v>
      </c>
      <c r="C1312" s="32">
        <v>3000</v>
      </c>
      <c r="D1312" s="32">
        <v>4430265054</v>
      </c>
      <c r="E1312" s="32">
        <v>104</v>
      </c>
      <c r="F1312" s="32">
        <v>77</v>
      </c>
      <c r="G1312" s="32" t="s">
        <v>38</v>
      </c>
      <c r="H1312" s="32" t="s">
        <v>6729</v>
      </c>
      <c r="I1312" s="32" t="s">
        <v>39</v>
      </c>
      <c r="J1312" s="32" t="s">
        <v>53</v>
      </c>
      <c r="K1312" s="32" t="s">
        <v>41</v>
      </c>
    </row>
    <row r="1313" spans="1:14" s="32" customFormat="1" hidden="1" x14ac:dyDescent="0.3">
      <c r="A1313" s="39">
        <v>46185.400543981479</v>
      </c>
      <c r="B1313" s="32" t="s">
        <v>43</v>
      </c>
      <c r="C1313" s="32">
        <v>44998581219</v>
      </c>
      <c r="E1313" s="32">
        <v>78</v>
      </c>
      <c r="F1313" s="32">
        <v>65</v>
      </c>
      <c r="G1313" s="32" t="s">
        <v>38</v>
      </c>
      <c r="H1313" s="32" t="s">
        <v>6730</v>
      </c>
      <c r="I1313" s="32" t="s">
        <v>46</v>
      </c>
      <c r="J1313" s="32" t="s">
        <v>40</v>
      </c>
      <c r="M1313" s="32" t="s">
        <v>5418</v>
      </c>
      <c r="N1313" s="32" t="s">
        <v>43</v>
      </c>
    </row>
    <row r="1314" spans="1:14" s="32" customFormat="1" hidden="1" x14ac:dyDescent="0.3">
      <c r="A1314" s="39">
        <v>46185.399293981478</v>
      </c>
      <c r="B1314" s="32">
        <v>44997134514</v>
      </c>
      <c r="C1314" s="32" t="s">
        <v>44</v>
      </c>
      <c r="D1314" s="32">
        <v>4430265054</v>
      </c>
      <c r="E1314" s="32">
        <v>1101</v>
      </c>
      <c r="F1314" s="32">
        <v>963</v>
      </c>
      <c r="G1314" s="32" t="s">
        <v>38</v>
      </c>
      <c r="H1314" s="32" t="s">
        <v>6731</v>
      </c>
      <c r="I1314" s="32" t="s">
        <v>39</v>
      </c>
      <c r="J1314" s="32" t="s">
        <v>40</v>
      </c>
      <c r="K1314" s="32" t="s">
        <v>41</v>
      </c>
      <c r="M1314" s="32" t="s">
        <v>5416</v>
      </c>
      <c r="N1314" s="32" t="s">
        <v>44</v>
      </c>
    </row>
    <row r="1315" spans="1:14" s="32" customFormat="1" hidden="1" x14ac:dyDescent="0.3">
      <c r="A1315" s="39">
        <v>46185.398263888892</v>
      </c>
      <c r="B1315" s="32">
        <v>4430562296</v>
      </c>
      <c r="C1315" s="32" t="s">
        <v>44</v>
      </c>
      <c r="D1315" s="32">
        <v>4430265054</v>
      </c>
      <c r="E1315" s="32">
        <v>211</v>
      </c>
      <c r="F1315" s="32">
        <v>78</v>
      </c>
      <c r="G1315" s="32" t="s">
        <v>38</v>
      </c>
      <c r="H1315" s="32" t="s">
        <v>6732</v>
      </c>
      <c r="I1315" s="32" t="s">
        <v>39</v>
      </c>
      <c r="J1315" s="32" t="s">
        <v>40</v>
      </c>
      <c r="K1315" s="32" t="s">
        <v>41</v>
      </c>
      <c r="M1315" s="32" t="s">
        <v>5416</v>
      </c>
      <c r="N1315" s="32" t="s">
        <v>44</v>
      </c>
    </row>
    <row r="1316" spans="1:14" s="32" customFormat="1" hidden="1" x14ac:dyDescent="0.3">
      <c r="A1316" s="39">
        <v>46185.396064814813</v>
      </c>
      <c r="B1316" s="32">
        <v>44999646909</v>
      </c>
      <c r="C1316" s="32" t="s">
        <v>37</v>
      </c>
      <c r="D1316" s="32">
        <v>4430265054</v>
      </c>
      <c r="E1316" s="32">
        <v>472</v>
      </c>
      <c r="F1316" s="32">
        <v>278</v>
      </c>
      <c r="G1316" s="32" t="s">
        <v>38</v>
      </c>
      <c r="H1316" s="32" t="s">
        <v>6733</v>
      </c>
      <c r="I1316" s="32" t="s">
        <v>39</v>
      </c>
      <c r="J1316" s="32" t="s">
        <v>40</v>
      </c>
      <c r="K1316" s="32" t="s">
        <v>41</v>
      </c>
      <c r="L1316" s="32">
        <v>5</v>
      </c>
      <c r="M1316" s="32" t="s">
        <v>5410</v>
      </c>
      <c r="N1316" s="32" t="s">
        <v>37</v>
      </c>
    </row>
    <row r="1317" spans="1:14" s="32" customFormat="1" hidden="1" x14ac:dyDescent="0.3">
      <c r="A1317" s="39">
        <v>46185.395960648151</v>
      </c>
      <c r="B1317" s="32">
        <v>4436249360</v>
      </c>
      <c r="C1317" s="32">
        <v>4430265054</v>
      </c>
      <c r="D1317" s="32">
        <v>4430265054</v>
      </c>
      <c r="E1317" s="32">
        <v>178</v>
      </c>
      <c r="F1317" s="32">
        <v>177</v>
      </c>
      <c r="G1317" s="32" t="s">
        <v>52</v>
      </c>
      <c r="H1317" s="32" t="s">
        <v>6734</v>
      </c>
      <c r="I1317" s="32" t="s">
        <v>39</v>
      </c>
      <c r="J1317" s="32" t="s">
        <v>53</v>
      </c>
      <c r="K1317" s="32" t="s">
        <v>41</v>
      </c>
    </row>
    <row r="1318" spans="1:14" s="32" customFormat="1" hidden="1" x14ac:dyDescent="0.3">
      <c r="A1318" s="39">
        <v>46185.395682870374</v>
      </c>
      <c r="B1318" s="32">
        <v>44997134514</v>
      </c>
      <c r="C1318" s="32">
        <v>4430265054</v>
      </c>
      <c r="D1318" s="32">
        <v>4430265054</v>
      </c>
      <c r="E1318" s="32">
        <v>9</v>
      </c>
      <c r="F1318" s="32">
        <v>8</v>
      </c>
      <c r="G1318" s="32" t="s">
        <v>52</v>
      </c>
      <c r="H1318" s="32" t="s">
        <v>6735</v>
      </c>
      <c r="I1318" s="32" t="s">
        <v>39</v>
      </c>
      <c r="J1318" s="32" t="s">
        <v>53</v>
      </c>
    </row>
    <row r="1319" spans="1:14" s="32" customFormat="1" hidden="1" x14ac:dyDescent="0.3">
      <c r="A1319" s="39">
        <v>46185.394328703704</v>
      </c>
      <c r="B1319" s="32">
        <v>41999102968</v>
      </c>
      <c r="C1319" s="32" t="s">
        <v>45</v>
      </c>
      <c r="D1319" s="32">
        <v>4430265054</v>
      </c>
      <c r="E1319" s="32">
        <v>1193</v>
      </c>
      <c r="F1319" s="32">
        <v>1173</v>
      </c>
      <c r="G1319" s="32" t="s">
        <v>38</v>
      </c>
      <c r="H1319" s="32" t="s">
        <v>6736</v>
      </c>
      <c r="I1319" s="32" t="s">
        <v>39</v>
      </c>
      <c r="J1319" s="32" t="s">
        <v>40</v>
      </c>
      <c r="K1319" s="32" t="s">
        <v>41</v>
      </c>
      <c r="M1319" s="32" t="s">
        <v>5421</v>
      </c>
      <c r="N1319" s="32" t="s">
        <v>45</v>
      </c>
    </row>
    <row r="1320" spans="1:14" s="32" customFormat="1" hidden="1" x14ac:dyDescent="0.3">
      <c r="A1320" s="39">
        <v>46185.386550925927</v>
      </c>
      <c r="B1320" s="32">
        <v>4434233230</v>
      </c>
      <c r="C1320" s="32">
        <v>4430265054</v>
      </c>
      <c r="D1320" s="32">
        <v>4430265054</v>
      </c>
      <c r="E1320" s="32">
        <v>17</v>
      </c>
      <c r="F1320" s="32">
        <v>17</v>
      </c>
      <c r="G1320" s="32" t="s">
        <v>52</v>
      </c>
      <c r="H1320" s="32" t="s">
        <v>6737</v>
      </c>
      <c r="I1320" s="32" t="s">
        <v>39</v>
      </c>
      <c r="J1320" s="32" t="s">
        <v>53</v>
      </c>
    </row>
    <row r="1321" spans="1:14" s="32" customFormat="1" hidden="1" x14ac:dyDescent="0.3">
      <c r="A1321" s="39">
        <v>46185.382997685185</v>
      </c>
      <c r="B1321" s="32">
        <v>4334234629</v>
      </c>
      <c r="C1321" s="32" t="s">
        <v>43</v>
      </c>
      <c r="D1321" s="32">
        <v>4430265054</v>
      </c>
      <c r="E1321" s="32">
        <v>1295</v>
      </c>
      <c r="F1321" s="32">
        <v>1176</v>
      </c>
      <c r="G1321" s="32" t="s">
        <v>38</v>
      </c>
      <c r="H1321" s="32" t="s">
        <v>6738</v>
      </c>
      <c r="I1321" s="32" t="s">
        <v>39</v>
      </c>
      <c r="J1321" s="32" t="s">
        <v>40</v>
      </c>
      <c r="K1321" s="32" t="s">
        <v>41</v>
      </c>
      <c r="L1321" s="32">
        <v>5</v>
      </c>
      <c r="M1321" s="32" t="s">
        <v>5418</v>
      </c>
      <c r="N1321" s="32" t="s">
        <v>43</v>
      </c>
    </row>
    <row r="1322" spans="1:14" s="32" customFormat="1" hidden="1" x14ac:dyDescent="0.3">
      <c r="A1322" s="39">
        <v>46185.37122685185</v>
      </c>
      <c r="B1322" s="32">
        <v>4430562296</v>
      </c>
      <c r="C1322" s="32" t="s">
        <v>37</v>
      </c>
      <c r="D1322" s="32">
        <v>4430265054</v>
      </c>
      <c r="E1322" s="32">
        <v>2100</v>
      </c>
      <c r="F1322" s="32">
        <v>2048</v>
      </c>
      <c r="G1322" s="32" t="s">
        <v>38</v>
      </c>
      <c r="H1322" s="32" t="s">
        <v>6739</v>
      </c>
      <c r="I1322" s="32" t="s">
        <v>39</v>
      </c>
      <c r="J1322" s="32" t="s">
        <v>40</v>
      </c>
      <c r="K1322" s="32" t="s">
        <v>41</v>
      </c>
      <c r="M1322" s="32" t="s">
        <v>5410</v>
      </c>
      <c r="N1322" s="32" t="s">
        <v>37</v>
      </c>
    </row>
    <row r="1323" spans="1:14" s="32" customFormat="1" hidden="1" x14ac:dyDescent="0.3">
      <c r="A1323" s="39">
        <v>46185.363229166665</v>
      </c>
      <c r="B1323" s="32">
        <v>12981700386</v>
      </c>
      <c r="C1323" s="32" t="s">
        <v>37</v>
      </c>
      <c r="D1323" s="32">
        <v>4430265054</v>
      </c>
      <c r="E1323" s="32">
        <v>263</v>
      </c>
      <c r="F1323" s="32">
        <v>189</v>
      </c>
      <c r="G1323" s="32" t="s">
        <v>38</v>
      </c>
      <c r="H1323" s="32" t="s">
        <v>6740</v>
      </c>
      <c r="I1323" s="32" t="s">
        <v>39</v>
      </c>
      <c r="J1323" s="32" t="s">
        <v>40</v>
      </c>
      <c r="K1323" s="32" t="s">
        <v>41</v>
      </c>
      <c r="M1323" s="32" t="s">
        <v>5410</v>
      </c>
      <c r="N1323" s="32" t="s">
        <v>37</v>
      </c>
    </row>
    <row r="1324" spans="1:14" s="32" customFormat="1" hidden="1" x14ac:dyDescent="0.3">
      <c r="A1324" s="39">
        <v>46185.362835648149</v>
      </c>
      <c r="B1324" s="32">
        <v>44988303530</v>
      </c>
      <c r="C1324" s="32" t="s">
        <v>45</v>
      </c>
      <c r="D1324" s="32">
        <v>4430265054</v>
      </c>
      <c r="E1324" s="32">
        <v>169</v>
      </c>
      <c r="F1324" s="32">
        <v>134</v>
      </c>
      <c r="G1324" s="32" t="s">
        <v>38</v>
      </c>
      <c r="H1324" s="32" t="s">
        <v>6741</v>
      </c>
      <c r="I1324" s="32" t="s">
        <v>39</v>
      </c>
      <c r="J1324" s="32" t="s">
        <v>40</v>
      </c>
      <c r="K1324" s="32" t="s">
        <v>41</v>
      </c>
      <c r="M1324" s="32" t="s">
        <v>5421</v>
      </c>
      <c r="N1324" s="32" t="s">
        <v>45</v>
      </c>
    </row>
    <row r="1325" spans="1:14" s="32" customFormat="1" hidden="1" x14ac:dyDescent="0.3">
      <c r="A1325" s="39">
        <v>46185.353854166664</v>
      </c>
      <c r="B1325" s="32">
        <v>4430282545</v>
      </c>
      <c r="C1325" s="32">
        <v>4430265054</v>
      </c>
      <c r="D1325" s="32">
        <v>4430265054</v>
      </c>
      <c r="E1325" s="32">
        <v>13</v>
      </c>
      <c r="F1325" s="32">
        <v>12</v>
      </c>
      <c r="G1325" s="32" t="s">
        <v>52</v>
      </c>
      <c r="H1325" s="32" t="s">
        <v>6742</v>
      </c>
      <c r="I1325" s="32" t="s">
        <v>39</v>
      </c>
      <c r="J1325" s="32" t="s">
        <v>53</v>
      </c>
    </row>
    <row r="1326" spans="1:14" s="32" customFormat="1" hidden="1" x14ac:dyDescent="0.3">
      <c r="A1326" s="39">
        <v>46185.350277777776</v>
      </c>
      <c r="B1326" s="32" t="s">
        <v>45</v>
      </c>
      <c r="C1326" s="32">
        <v>67992169496</v>
      </c>
      <c r="E1326" s="32">
        <v>59</v>
      </c>
      <c r="F1326" s="32">
        <v>50</v>
      </c>
      <c r="G1326" s="32" t="s">
        <v>38</v>
      </c>
      <c r="H1326" s="32" t="s">
        <v>6743</v>
      </c>
      <c r="I1326" s="32" t="s">
        <v>46</v>
      </c>
      <c r="J1326" s="32" t="s">
        <v>40</v>
      </c>
      <c r="M1326" s="32" t="s">
        <v>5421</v>
      </c>
      <c r="N1326" s="32" t="s">
        <v>45</v>
      </c>
    </row>
    <row r="1327" spans="1:14" s="32" customFormat="1" hidden="1" x14ac:dyDescent="0.3">
      <c r="A1327" s="39">
        <v>46185.346631944441</v>
      </c>
      <c r="B1327" s="32" t="s">
        <v>37</v>
      </c>
      <c r="C1327" s="32">
        <v>4430451715</v>
      </c>
      <c r="E1327" s="32">
        <v>71</v>
      </c>
      <c r="F1327" s="32">
        <v>63</v>
      </c>
      <c r="G1327" s="32" t="s">
        <v>38</v>
      </c>
      <c r="H1327" s="32" t="s">
        <v>6744</v>
      </c>
      <c r="I1327" s="32" t="s">
        <v>46</v>
      </c>
      <c r="J1327" s="32" t="s">
        <v>40</v>
      </c>
      <c r="M1327" s="32" t="s">
        <v>5410</v>
      </c>
      <c r="N1327" s="32" t="s">
        <v>37</v>
      </c>
    </row>
    <row r="1328" spans="1:14" s="32" customFormat="1" hidden="1" x14ac:dyDescent="0.3">
      <c r="A1328" s="39">
        <v>46184.736701388887</v>
      </c>
      <c r="B1328" s="32">
        <v>41991740047</v>
      </c>
      <c r="C1328" s="32" t="s">
        <v>44</v>
      </c>
      <c r="D1328" s="32">
        <v>4430265054</v>
      </c>
      <c r="E1328" s="32">
        <v>1010</v>
      </c>
      <c r="F1328" s="32">
        <v>968</v>
      </c>
      <c r="G1328" s="32" t="s">
        <v>38</v>
      </c>
      <c r="H1328" s="32" t="s">
        <v>6745</v>
      </c>
      <c r="I1328" s="32" t="s">
        <v>39</v>
      </c>
      <c r="J1328" s="32" t="s">
        <v>40</v>
      </c>
      <c r="K1328" s="32" t="s">
        <v>41</v>
      </c>
      <c r="M1328" s="32" t="s">
        <v>5416</v>
      </c>
      <c r="N1328" s="32" t="s">
        <v>44</v>
      </c>
    </row>
    <row r="1329" spans="1:14" s="32" customFormat="1" hidden="1" x14ac:dyDescent="0.3">
      <c r="A1329" s="39">
        <v>46184.736145833333</v>
      </c>
      <c r="B1329" s="32">
        <v>4430451715</v>
      </c>
      <c r="C1329" s="32" t="s">
        <v>37</v>
      </c>
      <c r="D1329" s="32">
        <v>4430265054</v>
      </c>
      <c r="E1329" s="32">
        <v>131</v>
      </c>
      <c r="F1329" s="32">
        <v>90</v>
      </c>
      <c r="G1329" s="32" t="s">
        <v>38</v>
      </c>
      <c r="H1329" s="32" t="s">
        <v>6746</v>
      </c>
      <c r="I1329" s="32" t="s">
        <v>39</v>
      </c>
      <c r="J1329" s="32" t="s">
        <v>40</v>
      </c>
      <c r="K1329" s="32" t="s">
        <v>41</v>
      </c>
      <c r="M1329" s="32" t="s">
        <v>5410</v>
      </c>
      <c r="N1329" s="32" t="s">
        <v>37</v>
      </c>
    </row>
    <row r="1330" spans="1:14" s="32" customFormat="1" hidden="1" x14ac:dyDescent="0.3">
      <c r="A1330" s="39">
        <v>46184.734861111108</v>
      </c>
      <c r="B1330" s="32" t="s">
        <v>43</v>
      </c>
      <c r="C1330" s="32">
        <v>44998581219</v>
      </c>
      <c r="E1330" s="32">
        <v>79</v>
      </c>
      <c r="F1330" s="32">
        <v>72</v>
      </c>
      <c r="G1330" s="32" t="s">
        <v>38</v>
      </c>
      <c r="H1330" s="32" t="s">
        <v>6747</v>
      </c>
      <c r="I1330" s="32" t="s">
        <v>46</v>
      </c>
      <c r="J1330" s="32" t="s">
        <v>40</v>
      </c>
      <c r="M1330" s="32" t="s">
        <v>5418</v>
      </c>
      <c r="N1330" s="32" t="s">
        <v>43</v>
      </c>
    </row>
    <row r="1331" spans="1:14" s="32" customFormat="1" hidden="1" x14ac:dyDescent="0.3">
      <c r="A1331" s="39">
        <v>46184.734803240739</v>
      </c>
      <c r="B1331" s="32" t="s">
        <v>43</v>
      </c>
      <c r="C1331" s="32">
        <v>44998581219</v>
      </c>
      <c r="E1331" s="32">
        <v>4</v>
      </c>
      <c r="F1331" s="32">
        <v>0</v>
      </c>
      <c r="G1331" s="32" t="s">
        <v>47</v>
      </c>
      <c r="H1331" s="32" t="s">
        <v>6748</v>
      </c>
      <c r="I1331" s="32" t="s">
        <v>46</v>
      </c>
      <c r="J1331" s="32" t="s">
        <v>40</v>
      </c>
      <c r="M1331" s="32" t="s">
        <v>5418</v>
      </c>
      <c r="N1331" s="32" t="s">
        <v>43</v>
      </c>
    </row>
    <row r="1332" spans="1:14" s="32" customFormat="1" hidden="1" x14ac:dyDescent="0.3">
      <c r="A1332" s="39">
        <v>46184.734525462962</v>
      </c>
      <c r="B1332" s="32" t="s">
        <v>43</v>
      </c>
      <c r="C1332" s="32">
        <v>4435222047</v>
      </c>
      <c r="E1332" s="32">
        <v>6</v>
      </c>
      <c r="F1332" s="32">
        <v>0</v>
      </c>
      <c r="G1332" s="32" t="s">
        <v>47</v>
      </c>
      <c r="H1332" s="32" t="s">
        <v>6749</v>
      </c>
      <c r="I1332" s="32" t="s">
        <v>46</v>
      </c>
      <c r="J1332" s="32" t="s">
        <v>40</v>
      </c>
      <c r="M1332" s="32" t="s">
        <v>5418</v>
      </c>
      <c r="N1332" s="32" t="s">
        <v>43</v>
      </c>
    </row>
    <row r="1333" spans="1:14" s="32" customFormat="1" hidden="1" x14ac:dyDescent="0.3">
      <c r="A1333" s="39">
        <v>46184.733298611114</v>
      </c>
      <c r="B1333" s="32">
        <v>43984810043</v>
      </c>
      <c r="C1333" s="32" t="s">
        <v>48</v>
      </c>
      <c r="D1333" s="32">
        <v>4430265054</v>
      </c>
      <c r="E1333" s="32">
        <v>665</v>
      </c>
      <c r="F1333" s="32">
        <v>664</v>
      </c>
      <c r="G1333" s="32" t="s">
        <v>38</v>
      </c>
      <c r="H1333" s="32" t="s">
        <v>6750</v>
      </c>
      <c r="I1333" s="32" t="s">
        <v>39</v>
      </c>
      <c r="J1333" s="32" t="s">
        <v>40</v>
      </c>
      <c r="K1333" s="32" t="s">
        <v>41</v>
      </c>
      <c r="M1333" s="32" t="s">
        <v>5412</v>
      </c>
      <c r="N1333" s="32" t="s">
        <v>48</v>
      </c>
    </row>
    <row r="1334" spans="1:14" s="32" customFormat="1" hidden="1" x14ac:dyDescent="0.3">
      <c r="A1334" s="39">
        <v>46184.729224537034</v>
      </c>
      <c r="B1334" s="32">
        <v>41991740047</v>
      </c>
      <c r="C1334" s="32">
        <v>4430265054</v>
      </c>
      <c r="D1334" s="32">
        <v>4430265054</v>
      </c>
      <c r="E1334" s="32">
        <v>28</v>
      </c>
      <c r="F1334" s="32">
        <v>28</v>
      </c>
      <c r="G1334" s="32" t="s">
        <v>52</v>
      </c>
      <c r="H1334" s="32" t="s">
        <v>6751</v>
      </c>
      <c r="I1334" s="32" t="s">
        <v>39</v>
      </c>
      <c r="J1334" s="32" t="s">
        <v>53</v>
      </c>
    </row>
    <row r="1335" spans="1:14" s="32" customFormat="1" x14ac:dyDescent="0.3">
      <c r="A1335" s="39">
        <v>46184.727731481478</v>
      </c>
      <c r="B1335" s="32" t="s">
        <v>44</v>
      </c>
      <c r="C1335" s="32">
        <v>4330333542</v>
      </c>
      <c r="E1335" s="32">
        <v>67</v>
      </c>
      <c r="F1335" s="32">
        <v>59</v>
      </c>
      <c r="G1335" s="32" t="s">
        <v>38</v>
      </c>
      <c r="H1335" s="32" t="s">
        <v>6752</v>
      </c>
      <c r="I1335" s="32" t="s">
        <v>46</v>
      </c>
      <c r="J1335" s="32" t="s">
        <v>40</v>
      </c>
      <c r="M1335" s="32" t="s">
        <v>5416</v>
      </c>
      <c r="N1335" s="32" t="s">
        <v>44</v>
      </c>
    </row>
    <row r="1336" spans="1:14" s="32" customFormat="1" hidden="1" x14ac:dyDescent="0.3">
      <c r="A1336" s="39">
        <v>46184.725138888891</v>
      </c>
      <c r="B1336" s="32">
        <v>67992169496</v>
      </c>
      <c r="C1336" s="32" t="s">
        <v>45</v>
      </c>
      <c r="D1336" s="32">
        <v>4430265054</v>
      </c>
      <c r="E1336" s="32">
        <v>304</v>
      </c>
      <c r="F1336" s="32">
        <v>292</v>
      </c>
      <c r="G1336" s="32" t="s">
        <v>38</v>
      </c>
      <c r="H1336" s="32" t="s">
        <v>6753</v>
      </c>
      <c r="I1336" s="32" t="s">
        <v>39</v>
      </c>
      <c r="J1336" s="32" t="s">
        <v>40</v>
      </c>
      <c r="K1336" s="32" t="s">
        <v>41</v>
      </c>
      <c r="M1336" s="32" t="s">
        <v>5421</v>
      </c>
      <c r="N1336" s="32" t="s">
        <v>45</v>
      </c>
    </row>
    <row r="1337" spans="1:14" s="32" customFormat="1" hidden="1" x14ac:dyDescent="0.3">
      <c r="A1337" s="39">
        <v>46184.721851851849</v>
      </c>
      <c r="B1337" s="32">
        <v>4330333542</v>
      </c>
      <c r="C1337" s="32" t="s">
        <v>44</v>
      </c>
      <c r="D1337" s="32">
        <v>4430265054</v>
      </c>
      <c r="E1337" s="32">
        <v>198</v>
      </c>
      <c r="F1337" s="32">
        <v>52</v>
      </c>
      <c r="G1337" s="32" t="s">
        <v>38</v>
      </c>
      <c r="H1337" s="32" t="s">
        <v>6754</v>
      </c>
      <c r="I1337" s="32" t="s">
        <v>39</v>
      </c>
      <c r="J1337" s="32" t="s">
        <v>40</v>
      </c>
      <c r="K1337" s="32" t="s">
        <v>41</v>
      </c>
      <c r="M1337" s="32" t="s">
        <v>5416</v>
      </c>
      <c r="N1337" s="32" t="s">
        <v>44</v>
      </c>
    </row>
    <row r="1338" spans="1:14" s="32" customFormat="1" hidden="1" x14ac:dyDescent="0.3">
      <c r="A1338" s="39">
        <v>46184.721180555556</v>
      </c>
      <c r="B1338" s="32" t="s">
        <v>54</v>
      </c>
      <c r="C1338" s="32">
        <v>84994045690</v>
      </c>
      <c r="E1338" s="32">
        <v>10</v>
      </c>
      <c r="F1338" s="32">
        <v>1</v>
      </c>
      <c r="G1338" s="32" t="s">
        <v>38</v>
      </c>
      <c r="H1338" s="32" t="s">
        <v>6755</v>
      </c>
      <c r="I1338" s="32" t="s">
        <v>46</v>
      </c>
      <c r="J1338" s="32" t="s">
        <v>55</v>
      </c>
      <c r="M1338" s="32" t="s">
        <v>5537</v>
      </c>
      <c r="N1338" s="32" t="s">
        <v>54</v>
      </c>
    </row>
    <row r="1339" spans="1:14" s="32" customFormat="1" hidden="1" x14ac:dyDescent="0.3">
      <c r="A1339" s="39">
        <v>46184.715717592589</v>
      </c>
      <c r="B1339" s="32">
        <v>4432611700</v>
      </c>
      <c r="C1339" s="32" t="s">
        <v>37</v>
      </c>
      <c r="D1339" s="32">
        <v>4430265054</v>
      </c>
      <c r="E1339" s="32">
        <v>590</v>
      </c>
      <c r="F1339" s="32">
        <v>504</v>
      </c>
      <c r="G1339" s="32" t="s">
        <v>38</v>
      </c>
      <c r="H1339" s="32" t="s">
        <v>6756</v>
      </c>
      <c r="I1339" s="32" t="s">
        <v>39</v>
      </c>
      <c r="J1339" s="32" t="s">
        <v>40</v>
      </c>
      <c r="K1339" s="32" t="s">
        <v>41</v>
      </c>
      <c r="M1339" s="32" t="s">
        <v>5410</v>
      </c>
      <c r="N1339" s="32" t="s">
        <v>37</v>
      </c>
    </row>
    <row r="1340" spans="1:14" s="32" customFormat="1" hidden="1" x14ac:dyDescent="0.3">
      <c r="A1340" s="39">
        <v>46184.709965277776</v>
      </c>
      <c r="B1340" s="32" t="s">
        <v>45</v>
      </c>
      <c r="C1340" s="32">
        <v>11988428765</v>
      </c>
      <c r="E1340" s="32">
        <v>1146</v>
      </c>
      <c r="F1340" s="32">
        <v>1138</v>
      </c>
      <c r="G1340" s="32" t="s">
        <v>38</v>
      </c>
      <c r="H1340" s="32" t="s">
        <v>6757</v>
      </c>
      <c r="I1340" s="32" t="s">
        <v>46</v>
      </c>
      <c r="J1340" s="32" t="s">
        <v>40</v>
      </c>
      <c r="M1340" s="32" t="s">
        <v>5421</v>
      </c>
      <c r="N1340" s="32" t="s">
        <v>45</v>
      </c>
    </row>
    <row r="1341" spans="1:14" s="32" customFormat="1" hidden="1" x14ac:dyDescent="0.3">
      <c r="A1341" s="39">
        <v>46184.709918981483</v>
      </c>
      <c r="B1341" s="32" t="s">
        <v>45</v>
      </c>
      <c r="C1341" s="32">
        <v>11988428765</v>
      </c>
      <c r="E1341" s="32">
        <v>1</v>
      </c>
      <c r="F1341" s="32">
        <v>0</v>
      </c>
      <c r="G1341" s="32" t="s">
        <v>47</v>
      </c>
      <c r="H1341" s="32" t="s">
        <v>6758</v>
      </c>
      <c r="I1341" s="32" t="s">
        <v>46</v>
      </c>
      <c r="J1341" s="32" t="s">
        <v>40</v>
      </c>
      <c r="M1341" s="32" t="s">
        <v>5421</v>
      </c>
      <c r="N1341" s="32" t="s">
        <v>45</v>
      </c>
    </row>
    <row r="1342" spans="1:14" s="32" customFormat="1" hidden="1" x14ac:dyDescent="0.3">
      <c r="A1342" s="39">
        <v>46184.706666666665</v>
      </c>
      <c r="B1342" s="32">
        <v>44997456641</v>
      </c>
      <c r="C1342" s="32" t="s">
        <v>44</v>
      </c>
      <c r="D1342" s="32">
        <v>4430265054</v>
      </c>
      <c r="E1342" s="32">
        <v>330</v>
      </c>
      <c r="F1342" s="32">
        <v>202</v>
      </c>
      <c r="G1342" s="32" t="s">
        <v>38</v>
      </c>
      <c r="H1342" s="32" t="s">
        <v>6759</v>
      </c>
      <c r="I1342" s="32" t="s">
        <v>39</v>
      </c>
      <c r="J1342" s="32" t="s">
        <v>40</v>
      </c>
      <c r="K1342" s="32" t="s">
        <v>41</v>
      </c>
      <c r="L1342" s="32">
        <v>5</v>
      </c>
      <c r="M1342" s="32" t="s">
        <v>5416</v>
      </c>
      <c r="N1342" s="32" t="s">
        <v>44</v>
      </c>
    </row>
    <row r="1343" spans="1:14" s="32" customFormat="1" hidden="1" x14ac:dyDescent="0.3">
      <c r="A1343" s="39">
        <v>46184.704432870371</v>
      </c>
      <c r="B1343" s="32">
        <v>4432256273</v>
      </c>
      <c r="C1343" s="32" t="s">
        <v>37</v>
      </c>
      <c r="D1343" s="32">
        <v>4430265054</v>
      </c>
      <c r="E1343" s="32">
        <v>397</v>
      </c>
      <c r="F1343" s="32">
        <v>351</v>
      </c>
      <c r="G1343" s="32" t="s">
        <v>38</v>
      </c>
      <c r="H1343" s="32" t="s">
        <v>6760</v>
      </c>
      <c r="I1343" s="32" t="s">
        <v>39</v>
      </c>
      <c r="J1343" s="32" t="s">
        <v>40</v>
      </c>
      <c r="K1343" s="32" t="s">
        <v>41</v>
      </c>
      <c r="L1343" s="32">
        <v>5</v>
      </c>
      <c r="M1343" s="32" t="s">
        <v>5410</v>
      </c>
      <c r="N1343" s="32" t="s">
        <v>37</v>
      </c>
    </row>
    <row r="1344" spans="1:14" s="32" customFormat="1" hidden="1" x14ac:dyDescent="0.3">
      <c r="A1344" s="39">
        <v>46184.700208333335</v>
      </c>
      <c r="B1344" s="32">
        <v>44998344102</v>
      </c>
      <c r="C1344" s="32" t="s">
        <v>43</v>
      </c>
      <c r="D1344" s="32">
        <v>4430265054</v>
      </c>
      <c r="E1344" s="32">
        <v>811</v>
      </c>
      <c r="F1344" s="32">
        <v>690</v>
      </c>
      <c r="G1344" s="32" t="s">
        <v>38</v>
      </c>
      <c r="H1344" s="32" t="s">
        <v>6761</v>
      </c>
      <c r="I1344" s="32" t="s">
        <v>39</v>
      </c>
      <c r="J1344" s="32" t="s">
        <v>40</v>
      </c>
      <c r="K1344" s="32" t="s">
        <v>41</v>
      </c>
      <c r="M1344" s="32" t="s">
        <v>5418</v>
      </c>
      <c r="N1344" s="32" t="s">
        <v>43</v>
      </c>
    </row>
    <row r="1345" spans="1:14" s="32" customFormat="1" hidden="1" x14ac:dyDescent="0.3">
      <c r="A1345" s="39">
        <v>46184.699976851851</v>
      </c>
      <c r="B1345" s="32" t="s">
        <v>37</v>
      </c>
      <c r="C1345" s="32">
        <v>43999965552</v>
      </c>
      <c r="E1345" s="32">
        <v>33</v>
      </c>
      <c r="F1345" s="32">
        <v>29</v>
      </c>
      <c r="G1345" s="32" t="s">
        <v>38</v>
      </c>
      <c r="H1345" s="32" t="s">
        <v>6762</v>
      </c>
      <c r="I1345" s="32" t="s">
        <v>46</v>
      </c>
      <c r="J1345" s="32" t="s">
        <v>40</v>
      </c>
      <c r="M1345" s="32" t="s">
        <v>5410</v>
      </c>
      <c r="N1345" s="32" t="s">
        <v>37</v>
      </c>
    </row>
    <row r="1346" spans="1:14" s="32" customFormat="1" hidden="1" x14ac:dyDescent="0.3">
      <c r="A1346" s="39">
        <v>46184.699918981481</v>
      </c>
      <c r="B1346" s="32" t="s">
        <v>45</v>
      </c>
      <c r="C1346" s="32">
        <v>74981021354</v>
      </c>
      <c r="E1346" s="32">
        <v>219</v>
      </c>
      <c r="F1346" s="32">
        <v>206</v>
      </c>
      <c r="G1346" s="32" t="s">
        <v>38</v>
      </c>
      <c r="H1346" s="32" t="s">
        <v>6763</v>
      </c>
      <c r="I1346" s="32" t="s">
        <v>46</v>
      </c>
      <c r="J1346" s="32" t="s">
        <v>40</v>
      </c>
      <c r="M1346" s="32" t="s">
        <v>5421</v>
      </c>
      <c r="N1346" s="32" t="s">
        <v>45</v>
      </c>
    </row>
    <row r="1347" spans="1:14" s="32" customFormat="1" hidden="1" x14ac:dyDescent="0.3">
      <c r="A1347" s="39">
        <v>46184.699814814812</v>
      </c>
      <c r="B1347" s="32">
        <v>4432321371</v>
      </c>
      <c r="C1347" s="32">
        <v>4430265054</v>
      </c>
      <c r="D1347" s="32">
        <v>4430265054</v>
      </c>
      <c r="E1347" s="32">
        <v>25</v>
      </c>
      <c r="F1347" s="32">
        <v>24</v>
      </c>
      <c r="G1347" s="32" t="s">
        <v>52</v>
      </c>
      <c r="H1347" s="32" t="s">
        <v>6764</v>
      </c>
      <c r="I1347" s="32" t="s">
        <v>39</v>
      </c>
      <c r="J1347" s="32" t="s">
        <v>53</v>
      </c>
    </row>
    <row r="1348" spans="1:14" s="32" customFormat="1" hidden="1" x14ac:dyDescent="0.3">
      <c r="A1348" s="39">
        <v>46184.699363425927</v>
      </c>
      <c r="B1348" s="32">
        <v>4432321428</v>
      </c>
      <c r="C1348" s="32">
        <v>4430265054</v>
      </c>
      <c r="D1348" s="32">
        <v>4430265054</v>
      </c>
      <c r="E1348" s="32">
        <v>27</v>
      </c>
      <c r="F1348" s="32">
        <v>27</v>
      </c>
      <c r="G1348" s="32" t="s">
        <v>52</v>
      </c>
      <c r="H1348" s="32" t="s">
        <v>6765</v>
      </c>
      <c r="I1348" s="32" t="s">
        <v>39</v>
      </c>
      <c r="J1348" s="32" t="s">
        <v>53</v>
      </c>
    </row>
    <row r="1349" spans="1:14" s="32" customFormat="1" hidden="1" x14ac:dyDescent="0.3">
      <c r="A1349" s="39">
        <v>46184.69903935185</v>
      </c>
      <c r="B1349" s="32" t="s">
        <v>37</v>
      </c>
      <c r="C1349" s="32">
        <v>4333278066</v>
      </c>
      <c r="E1349" s="32">
        <v>48</v>
      </c>
      <c r="F1349" s="32">
        <v>0</v>
      </c>
      <c r="G1349" s="32" t="s">
        <v>47</v>
      </c>
      <c r="H1349" s="32" t="s">
        <v>6766</v>
      </c>
      <c r="I1349" s="32" t="s">
        <v>46</v>
      </c>
      <c r="J1349" s="32" t="s">
        <v>40</v>
      </c>
      <c r="M1349" s="32" t="s">
        <v>5410</v>
      </c>
      <c r="N1349" s="32" t="s">
        <v>37</v>
      </c>
    </row>
    <row r="1350" spans="1:14" s="32" customFormat="1" hidden="1" x14ac:dyDescent="0.3">
      <c r="A1350" s="39">
        <v>46184.697002314817</v>
      </c>
      <c r="B1350" s="32" t="s">
        <v>37</v>
      </c>
      <c r="C1350" s="32">
        <v>44999656270</v>
      </c>
      <c r="E1350" s="32">
        <v>9</v>
      </c>
      <c r="F1350" s="32">
        <v>0</v>
      </c>
      <c r="G1350" s="32" t="s">
        <v>47</v>
      </c>
      <c r="H1350" s="32" t="s">
        <v>6767</v>
      </c>
      <c r="I1350" s="32" t="s">
        <v>46</v>
      </c>
      <c r="J1350" s="32" t="s">
        <v>40</v>
      </c>
      <c r="M1350" s="32" t="s">
        <v>5410</v>
      </c>
      <c r="N1350" s="32" t="s">
        <v>37</v>
      </c>
    </row>
    <row r="1351" spans="1:14" s="32" customFormat="1" hidden="1" x14ac:dyDescent="0.3">
      <c r="A1351" s="39">
        <v>46184.696782407409</v>
      </c>
      <c r="B1351" s="32" t="s">
        <v>37</v>
      </c>
      <c r="C1351" s="32">
        <v>44999656270</v>
      </c>
      <c r="E1351" s="32">
        <v>13</v>
      </c>
      <c r="F1351" s="32">
        <v>0</v>
      </c>
      <c r="G1351" s="32" t="s">
        <v>47</v>
      </c>
      <c r="H1351" s="32" t="s">
        <v>6768</v>
      </c>
      <c r="I1351" s="32" t="s">
        <v>46</v>
      </c>
      <c r="J1351" s="32" t="s">
        <v>40</v>
      </c>
      <c r="M1351" s="32" t="s">
        <v>5410</v>
      </c>
      <c r="N1351" s="32" t="s">
        <v>37</v>
      </c>
    </row>
    <row r="1352" spans="1:14" s="32" customFormat="1" hidden="1" x14ac:dyDescent="0.3">
      <c r="A1352" s="39">
        <v>46184.696006944447</v>
      </c>
      <c r="B1352" s="32" t="s">
        <v>45</v>
      </c>
      <c r="C1352" s="32">
        <v>44999479853</v>
      </c>
      <c r="E1352" s="32">
        <v>63</v>
      </c>
      <c r="F1352" s="32">
        <v>47</v>
      </c>
      <c r="G1352" s="32" t="s">
        <v>38</v>
      </c>
      <c r="H1352" s="32" t="s">
        <v>6769</v>
      </c>
      <c r="I1352" s="32" t="s">
        <v>46</v>
      </c>
      <c r="J1352" s="32" t="s">
        <v>40</v>
      </c>
      <c r="M1352" s="32" t="s">
        <v>5421</v>
      </c>
      <c r="N1352" s="32" t="s">
        <v>45</v>
      </c>
    </row>
    <row r="1353" spans="1:14" s="32" customFormat="1" hidden="1" x14ac:dyDescent="0.3">
      <c r="A1353" s="39">
        <v>46184.695324074077</v>
      </c>
      <c r="B1353" s="32">
        <v>44998107650</v>
      </c>
      <c r="C1353" s="32" t="s">
        <v>44</v>
      </c>
      <c r="D1353" s="32">
        <v>4431268225</v>
      </c>
      <c r="E1353" s="32">
        <v>908</v>
      </c>
      <c r="F1353" s="32">
        <v>889</v>
      </c>
      <c r="G1353" s="32" t="s">
        <v>38</v>
      </c>
      <c r="H1353" s="32" t="s">
        <v>6770</v>
      </c>
      <c r="I1353" s="32" t="s">
        <v>39</v>
      </c>
      <c r="J1353" s="32" t="s">
        <v>40</v>
      </c>
      <c r="K1353" s="32" t="s">
        <v>41</v>
      </c>
      <c r="M1353" s="32" t="s">
        <v>5416</v>
      </c>
      <c r="N1353" s="32" t="s">
        <v>44</v>
      </c>
    </row>
    <row r="1354" spans="1:14" s="32" customFormat="1" hidden="1" x14ac:dyDescent="0.3">
      <c r="A1354" s="39">
        <v>46184.695277777777</v>
      </c>
      <c r="B1354" s="32" t="s">
        <v>37</v>
      </c>
      <c r="C1354" s="32">
        <v>4434531529</v>
      </c>
      <c r="E1354" s="32">
        <v>4</v>
      </c>
      <c r="F1354" s="32">
        <v>0</v>
      </c>
      <c r="G1354" s="32" t="s">
        <v>47</v>
      </c>
      <c r="H1354" s="32" t="s">
        <v>6771</v>
      </c>
      <c r="I1354" s="32" t="s">
        <v>46</v>
      </c>
      <c r="J1354" s="32" t="s">
        <v>40</v>
      </c>
      <c r="M1354" s="32" t="s">
        <v>5410</v>
      </c>
      <c r="N1354" s="32" t="s">
        <v>37</v>
      </c>
    </row>
    <row r="1355" spans="1:14" s="32" customFormat="1" hidden="1" x14ac:dyDescent="0.3">
      <c r="A1355" s="39">
        <v>46184.69195601852</v>
      </c>
      <c r="B1355" s="32">
        <v>41984905607</v>
      </c>
      <c r="C1355" s="32" t="s">
        <v>37</v>
      </c>
      <c r="D1355" s="32">
        <v>4430265054</v>
      </c>
      <c r="E1355" s="32">
        <v>107</v>
      </c>
      <c r="F1355" s="32">
        <v>3</v>
      </c>
      <c r="G1355" s="32" t="s">
        <v>38</v>
      </c>
      <c r="H1355" s="32" t="s">
        <v>6772</v>
      </c>
      <c r="I1355" s="32" t="s">
        <v>39</v>
      </c>
      <c r="J1355" s="32" t="s">
        <v>40</v>
      </c>
      <c r="K1355" s="32" t="s">
        <v>41</v>
      </c>
      <c r="M1355" s="32" t="s">
        <v>5410</v>
      </c>
      <c r="N1355" s="32" t="s">
        <v>37</v>
      </c>
    </row>
    <row r="1356" spans="1:14" s="32" customFormat="1" hidden="1" x14ac:dyDescent="0.3">
      <c r="A1356" s="39">
        <v>46184.688958333332</v>
      </c>
      <c r="B1356" s="32">
        <v>44998581219</v>
      </c>
      <c r="C1356" s="32" t="s">
        <v>43</v>
      </c>
      <c r="D1356" s="32">
        <v>4430265054</v>
      </c>
      <c r="E1356" s="32">
        <v>167</v>
      </c>
      <c r="F1356" s="32">
        <v>143</v>
      </c>
      <c r="G1356" s="32" t="s">
        <v>38</v>
      </c>
      <c r="H1356" s="32" t="s">
        <v>6773</v>
      </c>
      <c r="I1356" s="32" t="s">
        <v>39</v>
      </c>
      <c r="J1356" s="32" t="s">
        <v>40</v>
      </c>
      <c r="K1356" s="32" t="s">
        <v>41</v>
      </c>
      <c r="M1356" s="32" t="s">
        <v>5418</v>
      </c>
      <c r="N1356" s="32" t="s">
        <v>43</v>
      </c>
    </row>
    <row r="1357" spans="1:14" s="32" customFormat="1" hidden="1" x14ac:dyDescent="0.3">
      <c r="A1357" s="39">
        <v>46184.686157407406</v>
      </c>
      <c r="B1357" s="32" t="s">
        <v>48</v>
      </c>
      <c r="C1357" s="32">
        <v>44997687156</v>
      </c>
      <c r="E1357" s="32">
        <v>452</v>
      </c>
      <c r="F1357" s="32">
        <v>445</v>
      </c>
      <c r="G1357" s="32" t="s">
        <v>38</v>
      </c>
      <c r="H1357" s="32" t="s">
        <v>6774</v>
      </c>
      <c r="I1357" s="32" t="s">
        <v>46</v>
      </c>
      <c r="J1357" s="32" t="s">
        <v>40</v>
      </c>
      <c r="M1357" s="32" t="s">
        <v>5412</v>
      </c>
      <c r="N1357" s="32" t="s">
        <v>48</v>
      </c>
    </row>
    <row r="1358" spans="1:14" s="32" customFormat="1" hidden="1" x14ac:dyDescent="0.3">
      <c r="A1358" s="39">
        <v>46184.685567129629</v>
      </c>
      <c r="B1358" s="32" t="s">
        <v>48</v>
      </c>
      <c r="C1358" s="32">
        <v>44997687156</v>
      </c>
      <c r="E1358" s="32">
        <v>37</v>
      </c>
      <c r="F1358" s="32">
        <v>26</v>
      </c>
      <c r="G1358" s="32" t="s">
        <v>38</v>
      </c>
      <c r="H1358" s="32" t="s">
        <v>6775</v>
      </c>
      <c r="I1358" s="32" t="s">
        <v>46</v>
      </c>
      <c r="J1358" s="32" t="s">
        <v>40</v>
      </c>
      <c r="M1358" s="32" t="s">
        <v>5412</v>
      </c>
      <c r="N1358" s="32" t="s">
        <v>48</v>
      </c>
    </row>
    <row r="1359" spans="1:14" s="32" customFormat="1" hidden="1" x14ac:dyDescent="0.3">
      <c r="A1359" s="39">
        <v>46184.684965277775</v>
      </c>
      <c r="B1359" s="32" t="s">
        <v>48</v>
      </c>
      <c r="C1359" s="32">
        <v>44997687156</v>
      </c>
      <c r="E1359" s="32">
        <v>36</v>
      </c>
      <c r="F1359" s="32">
        <v>0</v>
      </c>
      <c r="G1359" s="32" t="s">
        <v>47</v>
      </c>
      <c r="H1359" s="32" t="s">
        <v>6776</v>
      </c>
      <c r="I1359" s="32" t="s">
        <v>46</v>
      </c>
      <c r="J1359" s="32" t="s">
        <v>40</v>
      </c>
      <c r="M1359" s="32" t="s">
        <v>5412</v>
      </c>
      <c r="N1359" s="32" t="s">
        <v>48</v>
      </c>
    </row>
    <row r="1360" spans="1:14" s="32" customFormat="1" hidden="1" x14ac:dyDescent="0.3">
      <c r="A1360" s="39">
        <v>46184.684583333335</v>
      </c>
      <c r="B1360" s="32" t="s">
        <v>48</v>
      </c>
      <c r="C1360" s="32">
        <v>44997687156</v>
      </c>
      <c r="E1360" s="32">
        <v>12</v>
      </c>
      <c r="F1360" s="32">
        <v>0</v>
      </c>
      <c r="G1360" s="32" t="s">
        <v>47</v>
      </c>
      <c r="H1360" s="32" t="s">
        <v>6777</v>
      </c>
      <c r="I1360" s="32" t="s">
        <v>46</v>
      </c>
      <c r="J1360" s="32" t="s">
        <v>40</v>
      </c>
      <c r="M1360" s="32" t="s">
        <v>5412</v>
      </c>
      <c r="N1360" s="32" t="s">
        <v>48</v>
      </c>
    </row>
    <row r="1361" spans="1:14" s="32" customFormat="1" hidden="1" x14ac:dyDescent="0.3">
      <c r="A1361" s="39">
        <v>46184.684432870374</v>
      </c>
      <c r="B1361" s="32">
        <v>19992211619</v>
      </c>
      <c r="C1361" s="32" t="s">
        <v>44</v>
      </c>
      <c r="D1361" s="32">
        <v>4430265054</v>
      </c>
      <c r="E1361" s="32">
        <v>746</v>
      </c>
      <c r="F1361" s="32">
        <v>644</v>
      </c>
      <c r="G1361" s="32" t="s">
        <v>38</v>
      </c>
      <c r="H1361" s="32" t="s">
        <v>6778</v>
      </c>
      <c r="I1361" s="32" t="s">
        <v>39</v>
      </c>
      <c r="J1361" s="32" t="s">
        <v>40</v>
      </c>
      <c r="K1361" s="32" t="s">
        <v>41</v>
      </c>
      <c r="M1361" s="32" t="s">
        <v>5416</v>
      </c>
      <c r="N1361" s="32" t="s">
        <v>44</v>
      </c>
    </row>
    <row r="1362" spans="1:14" s="32" customFormat="1" hidden="1" x14ac:dyDescent="0.3">
      <c r="A1362" s="39">
        <v>46184.684074074074</v>
      </c>
      <c r="B1362" s="32">
        <v>19992211619</v>
      </c>
      <c r="C1362" s="32">
        <v>4430265054</v>
      </c>
      <c r="D1362" s="32">
        <v>4430265054</v>
      </c>
      <c r="E1362" s="32">
        <v>23</v>
      </c>
      <c r="F1362" s="32">
        <v>22</v>
      </c>
      <c r="G1362" s="32" t="s">
        <v>52</v>
      </c>
      <c r="H1362" s="32" t="s">
        <v>6779</v>
      </c>
      <c r="I1362" s="32" t="s">
        <v>39</v>
      </c>
      <c r="J1362" s="32" t="s">
        <v>53</v>
      </c>
      <c r="K1362" s="32" t="s">
        <v>41</v>
      </c>
    </row>
    <row r="1363" spans="1:14" s="32" customFormat="1" hidden="1" x14ac:dyDescent="0.3">
      <c r="A1363" s="39">
        <v>46184.67728009259</v>
      </c>
      <c r="B1363" s="32">
        <v>4330333558</v>
      </c>
      <c r="C1363" s="32">
        <v>4430265054</v>
      </c>
      <c r="D1363" s="32">
        <v>4430265054</v>
      </c>
      <c r="E1363" s="32">
        <v>83</v>
      </c>
      <c r="F1363" s="32">
        <v>83</v>
      </c>
      <c r="G1363" s="32" t="s">
        <v>52</v>
      </c>
      <c r="H1363" s="32" t="s">
        <v>6780</v>
      </c>
      <c r="I1363" s="32" t="s">
        <v>39</v>
      </c>
      <c r="J1363" s="32" t="s">
        <v>53</v>
      </c>
      <c r="K1363" s="32" t="s">
        <v>41</v>
      </c>
    </row>
    <row r="1364" spans="1:14" s="32" customFormat="1" hidden="1" x14ac:dyDescent="0.3">
      <c r="A1364" s="39">
        <v>46184.676782407405</v>
      </c>
      <c r="B1364" s="32">
        <v>4432256273</v>
      </c>
      <c r="C1364" s="32" t="s">
        <v>44</v>
      </c>
      <c r="D1364" s="32">
        <v>4430265054</v>
      </c>
      <c r="E1364" s="32">
        <v>468</v>
      </c>
      <c r="F1364" s="32">
        <v>327</v>
      </c>
      <c r="G1364" s="32" t="s">
        <v>38</v>
      </c>
      <c r="H1364" s="32" t="s">
        <v>6781</v>
      </c>
      <c r="I1364" s="32" t="s">
        <v>39</v>
      </c>
      <c r="J1364" s="32" t="s">
        <v>40</v>
      </c>
      <c r="K1364" s="32" t="s">
        <v>41</v>
      </c>
      <c r="M1364" s="32" t="s">
        <v>5416</v>
      </c>
      <c r="N1364" s="32" t="s">
        <v>44</v>
      </c>
    </row>
    <row r="1365" spans="1:14" s="32" customFormat="1" hidden="1" x14ac:dyDescent="0.3">
      <c r="A1365" s="39">
        <v>46184.674305555556</v>
      </c>
      <c r="B1365" s="32">
        <v>4432524636</v>
      </c>
      <c r="C1365" s="32" t="s">
        <v>37</v>
      </c>
      <c r="D1365" s="32">
        <v>4430265054</v>
      </c>
      <c r="E1365" s="32">
        <v>1385</v>
      </c>
      <c r="F1365" s="32">
        <v>1330</v>
      </c>
      <c r="G1365" s="32" t="s">
        <v>38</v>
      </c>
      <c r="H1365" s="32" t="s">
        <v>6782</v>
      </c>
      <c r="I1365" s="32" t="s">
        <v>39</v>
      </c>
      <c r="J1365" s="32" t="s">
        <v>40</v>
      </c>
      <c r="K1365" s="32" t="s">
        <v>41</v>
      </c>
      <c r="L1365" s="32">
        <v>5</v>
      </c>
      <c r="M1365" s="32" t="s">
        <v>5410</v>
      </c>
      <c r="N1365" s="32" t="s">
        <v>37</v>
      </c>
    </row>
    <row r="1366" spans="1:14" s="32" customFormat="1" hidden="1" x14ac:dyDescent="0.3">
      <c r="A1366" s="39">
        <v>46184.670439814814</v>
      </c>
      <c r="B1366" s="32" t="s">
        <v>37</v>
      </c>
      <c r="C1366" s="32">
        <v>44999656270</v>
      </c>
      <c r="E1366" s="32">
        <v>10</v>
      </c>
      <c r="F1366" s="32">
        <v>0</v>
      </c>
      <c r="G1366" s="32" t="s">
        <v>47</v>
      </c>
      <c r="H1366" s="32" t="s">
        <v>6783</v>
      </c>
      <c r="I1366" s="32" t="s">
        <v>46</v>
      </c>
      <c r="J1366" s="32" t="s">
        <v>40</v>
      </c>
      <c r="M1366" s="32" t="s">
        <v>5410</v>
      </c>
      <c r="N1366" s="32" t="s">
        <v>37</v>
      </c>
    </row>
    <row r="1367" spans="1:14" s="32" customFormat="1" hidden="1" x14ac:dyDescent="0.3">
      <c r="A1367" s="39">
        <v>46184.670335648145</v>
      </c>
      <c r="B1367" s="32" t="s">
        <v>37</v>
      </c>
      <c r="C1367" s="32">
        <v>4434531529</v>
      </c>
      <c r="E1367" s="32">
        <v>4</v>
      </c>
      <c r="F1367" s="32">
        <v>0</v>
      </c>
      <c r="G1367" s="32" t="s">
        <v>47</v>
      </c>
      <c r="H1367" s="32" t="s">
        <v>6784</v>
      </c>
      <c r="I1367" s="32" t="s">
        <v>46</v>
      </c>
      <c r="J1367" s="32" t="s">
        <v>40</v>
      </c>
      <c r="M1367" s="32" t="s">
        <v>5410</v>
      </c>
      <c r="N1367" s="32" t="s">
        <v>37</v>
      </c>
    </row>
    <row r="1368" spans="1:14" s="32" customFormat="1" hidden="1" x14ac:dyDescent="0.3">
      <c r="A1368" s="39">
        <v>46184.670081018521</v>
      </c>
      <c r="B1368" s="32" t="s">
        <v>37</v>
      </c>
      <c r="C1368" s="32">
        <v>44999656270</v>
      </c>
      <c r="E1368" s="32">
        <v>15</v>
      </c>
      <c r="F1368" s="32">
        <v>0</v>
      </c>
      <c r="G1368" s="32" t="s">
        <v>47</v>
      </c>
      <c r="H1368" s="32" t="s">
        <v>6785</v>
      </c>
      <c r="I1368" s="32" t="s">
        <v>46</v>
      </c>
      <c r="J1368" s="32" t="s">
        <v>40</v>
      </c>
      <c r="M1368" s="32" t="s">
        <v>5410</v>
      </c>
      <c r="N1368" s="32" t="s">
        <v>37</v>
      </c>
    </row>
    <row r="1369" spans="1:14" s="32" customFormat="1" hidden="1" x14ac:dyDescent="0.3">
      <c r="A1369" s="39">
        <v>46184.66983796296</v>
      </c>
      <c r="B1369" s="32" t="s">
        <v>37</v>
      </c>
      <c r="C1369" s="32">
        <v>44999656270</v>
      </c>
      <c r="E1369" s="32">
        <v>16</v>
      </c>
      <c r="F1369" s="32">
        <v>0</v>
      </c>
      <c r="G1369" s="32" t="s">
        <v>47</v>
      </c>
      <c r="H1369" s="32" t="s">
        <v>6786</v>
      </c>
      <c r="I1369" s="32" t="s">
        <v>46</v>
      </c>
      <c r="J1369" s="32" t="s">
        <v>40</v>
      </c>
      <c r="M1369" s="32" t="s">
        <v>5410</v>
      </c>
      <c r="N1369" s="32" t="s">
        <v>37</v>
      </c>
    </row>
    <row r="1370" spans="1:14" s="32" customFormat="1" hidden="1" x14ac:dyDescent="0.3">
      <c r="A1370" s="39">
        <v>46184.669756944444</v>
      </c>
      <c r="B1370" s="32" t="s">
        <v>37</v>
      </c>
      <c r="C1370" s="32">
        <v>44999656270</v>
      </c>
      <c r="E1370" s="32">
        <v>3</v>
      </c>
      <c r="F1370" s="32">
        <v>0</v>
      </c>
      <c r="G1370" s="32" t="s">
        <v>47</v>
      </c>
      <c r="H1370" s="32" t="s">
        <v>6787</v>
      </c>
      <c r="I1370" s="32" t="s">
        <v>46</v>
      </c>
      <c r="J1370" s="32" t="s">
        <v>40</v>
      </c>
      <c r="M1370" s="32" t="s">
        <v>5410</v>
      </c>
      <c r="N1370" s="32" t="s">
        <v>37</v>
      </c>
    </row>
    <row r="1371" spans="1:14" s="32" customFormat="1" hidden="1" x14ac:dyDescent="0.3">
      <c r="A1371" s="39">
        <v>46184.668796296297</v>
      </c>
      <c r="B1371" s="32">
        <v>44999670264</v>
      </c>
      <c r="C1371" s="32" t="s">
        <v>43</v>
      </c>
      <c r="D1371" s="32">
        <v>4430265054</v>
      </c>
      <c r="E1371" s="32">
        <v>639</v>
      </c>
      <c r="F1371" s="32">
        <v>532</v>
      </c>
      <c r="G1371" s="32" t="s">
        <v>38</v>
      </c>
      <c r="H1371" s="32" t="s">
        <v>6788</v>
      </c>
      <c r="I1371" s="32" t="s">
        <v>39</v>
      </c>
      <c r="J1371" s="32" t="s">
        <v>40</v>
      </c>
      <c r="K1371" s="32" t="s">
        <v>41</v>
      </c>
      <c r="M1371" s="32" t="s">
        <v>5418</v>
      </c>
      <c r="N1371" s="32" t="s">
        <v>43</v>
      </c>
    </row>
    <row r="1372" spans="1:14" s="32" customFormat="1" hidden="1" x14ac:dyDescent="0.3">
      <c r="A1372" s="39">
        <v>46184.664548611108</v>
      </c>
      <c r="B1372" s="32" t="s">
        <v>45</v>
      </c>
      <c r="C1372" s="32">
        <v>74981021354</v>
      </c>
      <c r="E1372" s="32">
        <v>2462</v>
      </c>
      <c r="F1372" s="32">
        <v>2451</v>
      </c>
      <c r="G1372" s="32" t="s">
        <v>38</v>
      </c>
      <c r="H1372" s="32" t="s">
        <v>6789</v>
      </c>
      <c r="I1372" s="32" t="s">
        <v>46</v>
      </c>
      <c r="J1372" s="32" t="s">
        <v>40</v>
      </c>
      <c r="M1372" s="32" t="s">
        <v>5421</v>
      </c>
      <c r="N1372" s="32" t="s">
        <v>45</v>
      </c>
    </row>
    <row r="1373" spans="1:14" s="32" customFormat="1" hidden="1" x14ac:dyDescent="0.3">
      <c r="A1373" s="39">
        <v>46184.657349537039</v>
      </c>
      <c r="B1373" s="32">
        <v>41999195082</v>
      </c>
      <c r="C1373" s="32" t="s">
        <v>44</v>
      </c>
      <c r="D1373" s="32">
        <v>4430265054</v>
      </c>
      <c r="E1373" s="32">
        <v>941</v>
      </c>
      <c r="F1373" s="32">
        <v>866</v>
      </c>
      <c r="G1373" s="32" t="s">
        <v>38</v>
      </c>
      <c r="H1373" s="32" t="s">
        <v>6790</v>
      </c>
      <c r="I1373" s="32" t="s">
        <v>39</v>
      </c>
      <c r="J1373" s="32" t="s">
        <v>40</v>
      </c>
      <c r="K1373" s="32" t="s">
        <v>41</v>
      </c>
      <c r="M1373" s="32" t="s">
        <v>5416</v>
      </c>
      <c r="N1373" s="32" t="s">
        <v>44</v>
      </c>
    </row>
    <row r="1374" spans="1:14" s="32" customFormat="1" hidden="1" x14ac:dyDescent="0.3">
      <c r="A1374" s="39">
        <v>46184.655717592592</v>
      </c>
      <c r="B1374" s="32">
        <v>44999670264</v>
      </c>
      <c r="C1374" s="32">
        <v>4430265054</v>
      </c>
      <c r="D1374" s="32">
        <v>4430265054</v>
      </c>
      <c r="E1374" s="32">
        <v>18</v>
      </c>
      <c r="F1374" s="32">
        <v>18</v>
      </c>
      <c r="G1374" s="32" t="s">
        <v>52</v>
      </c>
      <c r="H1374" s="32" t="s">
        <v>6791</v>
      </c>
      <c r="I1374" s="32" t="s">
        <v>39</v>
      </c>
      <c r="J1374" s="32" t="s">
        <v>53</v>
      </c>
      <c r="K1374" s="32" t="s">
        <v>41</v>
      </c>
    </row>
    <row r="1375" spans="1:14" s="32" customFormat="1" hidden="1" x14ac:dyDescent="0.3">
      <c r="A1375" s="39">
        <v>46184.644803240742</v>
      </c>
      <c r="B1375" s="32" t="s">
        <v>50</v>
      </c>
      <c r="C1375" s="32" t="s">
        <v>57</v>
      </c>
      <c r="E1375" s="32">
        <v>637</v>
      </c>
      <c r="F1375" s="32">
        <v>628</v>
      </c>
      <c r="G1375" s="32" t="s">
        <v>38</v>
      </c>
      <c r="H1375" s="32" t="s">
        <v>6792</v>
      </c>
      <c r="I1375" s="32" t="s">
        <v>51</v>
      </c>
      <c r="J1375" s="32" t="s">
        <v>55</v>
      </c>
      <c r="M1375" s="32" t="s">
        <v>5746</v>
      </c>
      <c r="N1375" s="32" t="s">
        <v>50</v>
      </c>
    </row>
    <row r="1376" spans="1:14" s="32" customFormat="1" hidden="1" x14ac:dyDescent="0.3">
      <c r="A1376" s="39">
        <v>46184.632048611114</v>
      </c>
      <c r="B1376" s="32">
        <v>2222100098</v>
      </c>
      <c r="C1376" s="32" t="s">
        <v>45</v>
      </c>
      <c r="D1376" s="32">
        <v>4430265054</v>
      </c>
      <c r="E1376" s="32">
        <v>637</v>
      </c>
      <c r="F1376" s="32">
        <v>593</v>
      </c>
      <c r="G1376" s="32" t="s">
        <v>38</v>
      </c>
      <c r="H1376" s="32" t="s">
        <v>6793</v>
      </c>
      <c r="I1376" s="32" t="s">
        <v>39</v>
      </c>
      <c r="J1376" s="32" t="s">
        <v>40</v>
      </c>
      <c r="K1376" s="32" t="s">
        <v>41</v>
      </c>
      <c r="M1376" s="32" t="s">
        <v>5421</v>
      </c>
      <c r="N1376" s="32" t="s">
        <v>45</v>
      </c>
    </row>
    <row r="1377" spans="1:14" s="32" customFormat="1" hidden="1" x14ac:dyDescent="0.3">
      <c r="A1377" s="39">
        <v>46184.63040509259</v>
      </c>
      <c r="B1377" s="32">
        <v>67992169496</v>
      </c>
      <c r="C1377" s="32" t="s">
        <v>44</v>
      </c>
      <c r="D1377" s="32">
        <v>4430265054</v>
      </c>
      <c r="E1377" s="32">
        <v>170</v>
      </c>
      <c r="F1377" s="32">
        <v>71</v>
      </c>
      <c r="G1377" s="32" t="s">
        <v>38</v>
      </c>
      <c r="H1377" s="32" t="s">
        <v>6794</v>
      </c>
      <c r="I1377" s="32" t="s">
        <v>39</v>
      </c>
      <c r="J1377" s="32" t="s">
        <v>40</v>
      </c>
      <c r="K1377" s="32" t="s">
        <v>41</v>
      </c>
      <c r="M1377" s="32" t="s">
        <v>5416</v>
      </c>
      <c r="N1377" s="32" t="s">
        <v>44</v>
      </c>
    </row>
    <row r="1378" spans="1:14" s="32" customFormat="1" hidden="1" x14ac:dyDescent="0.3">
      <c r="A1378" s="39">
        <v>46184.630312499998</v>
      </c>
      <c r="B1378" s="32" t="s">
        <v>43</v>
      </c>
      <c r="C1378" s="32">
        <v>41984905607</v>
      </c>
      <c r="E1378" s="32">
        <v>213</v>
      </c>
      <c r="F1378" s="32">
        <v>200</v>
      </c>
      <c r="G1378" s="32" t="s">
        <v>38</v>
      </c>
      <c r="H1378" s="32" t="s">
        <v>6795</v>
      </c>
      <c r="I1378" s="32" t="s">
        <v>46</v>
      </c>
      <c r="J1378" s="32" t="s">
        <v>40</v>
      </c>
      <c r="M1378" s="32" t="s">
        <v>5418</v>
      </c>
      <c r="N1378" s="32" t="s">
        <v>43</v>
      </c>
    </row>
    <row r="1379" spans="1:14" s="32" customFormat="1" hidden="1" x14ac:dyDescent="0.3">
      <c r="A1379" s="39">
        <v>46184.629560185182</v>
      </c>
      <c r="B1379" s="32">
        <v>4334726613</v>
      </c>
      <c r="C1379" s="32" t="s">
        <v>48</v>
      </c>
      <c r="D1379" s="32">
        <v>4430265054</v>
      </c>
      <c r="E1379" s="32">
        <v>1614</v>
      </c>
      <c r="F1379" s="32">
        <v>1614</v>
      </c>
      <c r="G1379" s="32" t="s">
        <v>38</v>
      </c>
      <c r="H1379" s="32" t="s">
        <v>6796</v>
      </c>
      <c r="I1379" s="32" t="s">
        <v>39</v>
      </c>
      <c r="J1379" s="32" t="s">
        <v>40</v>
      </c>
      <c r="K1379" s="32" t="s">
        <v>41</v>
      </c>
      <c r="L1379" s="32">
        <v>5</v>
      </c>
      <c r="M1379" s="32" t="s">
        <v>5412</v>
      </c>
      <c r="N1379" s="32" t="s">
        <v>48</v>
      </c>
    </row>
    <row r="1380" spans="1:14" s="32" customFormat="1" hidden="1" x14ac:dyDescent="0.3">
      <c r="A1380" s="39">
        <v>46184.625752314816</v>
      </c>
      <c r="B1380" s="32">
        <v>4436313773</v>
      </c>
      <c r="C1380" s="32">
        <v>4430265054</v>
      </c>
      <c r="D1380" s="32">
        <v>4430265054</v>
      </c>
      <c r="E1380" s="32">
        <v>46</v>
      </c>
      <c r="F1380" s="32">
        <v>45</v>
      </c>
      <c r="G1380" s="32" t="s">
        <v>52</v>
      </c>
      <c r="H1380" s="32" t="s">
        <v>6797</v>
      </c>
      <c r="I1380" s="32" t="s">
        <v>39</v>
      </c>
      <c r="J1380" s="32" t="s">
        <v>53</v>
      </c>
      <c r="K1380" s="32" t="s">
        <v>41</v>
      </c>
    </row>
    <row r="1381" spans="1:14" s="32" customFormat="1" hidden="1" x14ac:dyDescent="0.3">
      <c r="A1381" s="39">
        <v>46184.619398148148</v>
      </c>
      <c r="B1381" s="32" t="s">
        <v>48</v>
      </c>
      <c r="C1381" s="32">
        <v>44991222700</v>
      </c>
      <c r="E1381" s="32">
        <v>31</v>
      </c>
      <c r="F1381" s="32">
        <v>27</v>
      </c>
      <c r="G1381" s="32" t="s">
        <v>38</v>
      </c>
      <c r="H1381" s="32" t="s">
        <v>6798</v>
      </c>
      <c r="I1381" s="32" t="s">
        <v>46</v>
      </c>
      <c r="J1381" s="32" t="s">
        <v>40</v>
      </c>
      <c r="M1381" s="32" t="s">
        <v>5412</v>
      </c>
      <c r="N1381" s="32" t="s">
        <v>48</v>
      </c>
    </row>
    <row r="1382" spans="1:14" s="32" customFormat="1" hidden="1" x14ac:dyDescent="0.3">
      <c r="A1382" s="39">
        <v>46184.618750000001</v>
      </c>
      <c r="B1382" s="32">
        <v>44999656270</v>
      </c>
      <c r="C1382" s="32" t="s">
        <v>37</v>
      </c>
      <c r="D1382" s="32">
        <v>4430265054</v>
      </c>
      <c r="E1382" s="32">
        <v>2061</v>
      </c>
      <c r="F1382" s="32">
        <v>1971</v>
      </c>
      <c r="G1382" s="32" t="s">
        <v>38</v>
      </c>
      <c r="H1382" s="32" t="s">
        <v>6799</v>
      </c>
      <c r="I1382" s="32" t="s">
        <v>39</v>
      </c>
      <c r="J1382" s="32" t="s">
        <v>40</v>
      </c>
      <c r="K1382" s="32" t="s">
        <v>41</v>
      </c>
      <c r="M1382" s="32" t="s">
        <v>5410</v>
      </c>
      <c r="N1382" s="32" t="s">
        <v>37</v>
      </c>
    </row>
    <row r="1383" spans="1:14" s="32" customFormat="1" hidden="1" x14ac:dyDescent="0.3">
      <c r="A1383" s="39">
        <v>46184.618460648147</v>
      </c>
      <c r="B1383" s="32" t="s">
        <v>48</v>
      </c>
      <c r="C1383" s="32">
        <v>4334728840</v>
      </c>
      <c r="E1383" s="32">
        <v>0</v>
      </c>
      <c r="F1383" s="32">
        <v>0</v>
      </c>
      <c r="G1383" s="32" t="s">
        <v>47</v>
      </c>
      <c r="H1383" s="32" t="s">
        <v>6800</v>
      </c>
      <c r="I1383" s="32" t="s">
        <v>46</v>
      </c>
      <c r="J1383" s="32" t="s">
        <v>40</v>
      </c>
      <c r="M1383" s="32" t="s">
        <v>5412</v>
      </c>
      <c r="N1383" s="32" t="s">
        <v>48</v>
      </c>
    </row>
    <row r="1384" spans="1:14" s="32" customFormat="1" hidden="1" x14ac:dyDescent="0.3">
      <c r="A1384" s="39">
        <v>46184.618414351855</v>
      </c>
      <c r="B1384" s="32" t="s">
        <v>48</v>
      </c>
      <c r="C1384" s="32">
        <v>4434728840</v>
      </c>
      <c r="E1384" s="32">
        <v>1</v>
      </c>
      <c r="F1384" s="32">
        <v>0</v>
      </c>
      <c r="G1384" s="32" t="s">
        <v>47</v>
      </c>
      <c r="H1384" s="32" t="s">
        <v>6801</v>
      </c>
      <c r="I1384" s="32" t="s">
        <v>46</v>
      </c>
      <c r="J1384" s="32" t="s">
        <v>40</v>
      </c>
      <c r="M1384" s="32" t="s">
        <v>5412</v>
      </c>
      <c r="N1384" s="32" t="s">
        <v>48</v>
      </c>
    </row>
    <row r="1385" spans="1:14" s="32" customFormat="1" hidden="1" x14ac:dyDescent="0.3">
      <c r="A1385" s="39">
        <v>46184.618310185186</v>
      </c>
      <c r="B1385" s="32" t="s">
        <v>48</v>
      </c>
      <c r="C1385" s="32">
        <v>4334728840</v>
      </c>
      <c r="E1385" s="32">
        <v>0</v>
      </c>
      <c r="F1385" s="32">
        <v>0</v>
      </c>
      <c r="G1385" s="32" t="s">
        <v>47</v>
      </c>
      <c r="H1385" s="32" t="s">
        <v>6802</v>
      </c>
      <c r="I1385" s="32" t="s">
        <v>46</v>
      </c>
      <c r="J1385" s="32" t="s">
        <v>40</v>
      </c>
      <c r="M1385" s="32" t="s">
        <v>5412</v>
      </c>
      <c r="N1385" s="32" t="s">
        <v>48</v>
      </c>
    </row>
    <row r="1386" spans="1:14" s="32" customFormat="1" hidden="1" x14ac:dyDescent="0.3">
      <c r="A1386" s="39">
        <v>46184.618101851855</v>
      </c>
      <c r="B1386" s="32" t="s">
        <v>48</v>
      </c>
      <c r="C1386" s="32">
        <v>4334728840</v>
      </c>
      <c r="E1386" s="32">
        <v>1</v>
      </c>
      <c r="F1386" s="32">
        <v>0</v>
      </c>
      <c r="G1386" s="32" t="s">
        <v>47</v>
      </c>
      <c r="H1386" s="32" t="s">
        <v>6803</v>
      </c>
      <c r="I1386" s="32" t="s">
        <v>46</v>
      </c>
      <c r="J1386" s="32" t="s">
        <v>40</v>
      </c>
      <c r="M1386" s="32" t="s">
        <v>5412</v>
      </c>
      <c r="N1386" s="32" t="s">
        <v>48</v>
      </c>
    </row>
    <row r="1387" spans="1:14" s="32" customFormat="1" hidden="1" x14ac:dyDescent="0.3">
      <c r="A1387" s="39">
        <v>46184.618055555555</v>
      </c>
      <c r="B1387" s="32" t="s">
        <v>48</v>
      </c>
      <c r="C1387" s="32">
        <v>4334728840</v>
      </c>
      <c r="E1387" s="32">
        <v>0</v>
      </c>
      <c r="F1387" s="32">
        <v>0</v>
      </c>
      <c r="G1387" s="32" t="s">
        <v>47</v>
      </c>
      <c r="H1387" s="32" t="s">
        <v>6804</v>
      </c>
      <c r="I1387" s="32" t="s">
        <v>46</v>
      </c>
      <c r="J1387" s="32" t="s">
        <v>40</v>
      </c>
      <c r="M1387" s="32" t="s">
        <v>5412</v>
      </c>
      <c r="N1387" s="32" t="s">
        <v>48</v>
      </c>
    </row>
    <row r="1388" spans="1:14" s="32" customFormat="1" hidden="1" x14ac:dyDescent="0.3">
      <c r="A1388" s="39">
        <v>46184.617962962962</v>
      </c>
      <c r="B1388" s="32" t="s">
        <v>48</v>
      </c>
      <c r="C1388" s="32">
        <v>4434728840</v>
      </c>
      <c r="E1388" s="32">
        <v>4</v>
      </c>
      <c r="F1388" s="32">
        <v>0</v>
      </c>
      <c r="G1388" s="32" t="s">
        <v>47</v>
      </c>
      <c r="H1388" s="32" t="s">
        <v>6805</v>
      </c>
      <c r="I1388" s="32" t="s">
        <v>46</v>
      </c>
      <c r="J1388" s="32" t="s">
        <v>40</v>
      </c>
      <c r="M1388" s="32" t="s">
        <v>5412</v>
      </c>
      <c r="N1388" s="32" t="s">
        <v>48</v>
      </c>
    </row>
    <row r="1389" spans="1:14" s="32" customFormat="1" hidden="1" x14ac:dyDescent="0.3">
      <c r="A1389" s="39">
        <v>46184.61791666667</v>
      </c>
      <c r="B1389" s="32" t="s">
        <v>48</v>
      </c>
      <c r="C1389" s="32">
        <v>4334728840</v>
      </c>
      <c r="E1389" s="32">
        <v>1</v>
      </c>
      <c r="F1389" s="32">
        <v>0</v>
      </c>
      <c r="G1389" s="32" t="s">
        <v>47</v>
      </c>
      <c r="H1389" s="32" t="s">
        <v>6806</v>
      </c>
      <c r="I1389" s="32" t="s">
        <v>46</v>
      </c>
      <c r="J1389" s="32" t="s">
        <v>40</v>
      </c>
      <c r="M1389" s="32" t="s">
        <v>5412</v>
      </c>
      <c r="N1389" s="32" t="s">
        <v>48</v>
      </c>
    </row>
    <row r="1390" spans="1:14" s="32" customFormat="1" hidden="1" x14ac:dyDescent="0.3">
      <c r="A1390" s="39">
        <v>46184.617604166669</v>
      </c>
      <c r="B1390" s="32" t="s">
        <v>48</v>
      </c>
      <c r="C1390" s="32">
        <v>4434726613</v>
      </c>
      <c r="E1390" s="32">
        <v>1</v>
      </c>
      <c r="F1390" s="32">
        <v>0</v>
      </c>
      <c r="G1390" s="32" t="s">
        <v>47</v>
      </c>
      <c r="H1390" s="32" t="s">
        <v>6807</v>
      </c>
      <c r="I1390" s="32" t="s">
        <v>46</v>
      </c>
      <c r="J1390" s="32" t="s">
        <v>40</v>
      </c>
      <c r="M1390" s="32" t="s">
        <v>5412</v>
      </c>
      <c r="N1390" s="32" t="s">
        <v>48</v>
      </c>
    </row>
    <row r="1391" spans="1:14" s="32" customFormat="1" hidden="1" x14ac:dyDescent="0.3">
      <c r="A1391" s="39">
        <v>46184.6174537037</v>
      </c>
      <c r="B1391" s="32" t="s">
        <v>48</v>
      </c>
      <c r="C1391" s="32">
        <v>4432272377</v>
      </c>
      <c r="E1391" s="32">
        <v>15</v>
      </c>
      <c r="F1391" s="32">
        <v>14</v>
      </c>
      <c r="G1391" s="32" t="s">
        <v>38</v>
      </c>
      <c r="H1391" s="32" t="s">
        <v>6808</v>
      </c>
      <c r="I1391" s="32" t="s">
        <v>46</v>
      </c>
      <c r="J1391" s="32" t="s">
        <v>40</v>
      </c>
      <c r="M1391" s="32" t="s">
        <v>5412</v>
      </c>
      <c r="N1391" s="32" t="s">
        <v>48</v>
      </c>
    </row>
    <row r="1392" spans="1:14" s="32" customFormat="1" hidden="1" x14ac:dyDescent="0.3">
      <c r="A1392" s="39">
        <v>46184.613888888889</v>
      </c>
      <c r="B1392" s="32">
        <v>4334728840</v>
      </c>
      <c r="C1392" s="32" t="s">
        <v>45</v>
      </c>
      <c r="D1392" s="32">
        <v>4430265054</v>
      </c>
      <c r="E1392" s="32">
        <v>167</v>
      </c>
      <c r="F1392" s="32">
        <v>117</v>
      </c>
      <c r="G1392" s="32" t="s">
        <v>38</v>
      </c>
      <c r="H1392" s="32" t="s">
        <v>6809</v>
      </c>
      <c r="I1392" s="32" t="s">
        <v>39</v>
      </c>
      <c r="J1392" s="32" t="s">
        <v>40</v>
      </c>
      <c r="K1392" s="32" t="s">
        <v>41</v>
      </c>
      <c r="M1392" s="32" t="s">
        <v>5421</v>
      </c>
      <c r="N1392" s="32" t="s">
        <v>45</v>
      </c>
    </row>
    <row r="1393" spans="1:14" s="32" customFormat="1" hidden="1" x14ac:dyDescent="0.3">
      <c r="A1393" s="39">
        <v>46184.610578703701</v>
      </c>
      <c r="B1393" s="32">
        <v>4432272377</v>
      </c>
      <c r="C1393" s="32" t="s">
        <v>48</v>
      </c>
      <c r="D1393" s="32">
        <v>4430265054</v>
      </c>
      <c r="E1393" s="32">
        <v>495</v>
      </c>
      <c r="F1393" s="32">
        <v>418</v>
      </c>
      <c r="G1393" s="32" t="s">
        <v>38</v>
      </c>
      <c r="H1393" s="32" t="s">
        <v>6810</v>
      </c>
      <c r="I1393" s="32" t="s">
        <v>39</v>
      </c>
      <c r="J1393" s="32" t="s">
        <v>40</v>
      </c>
      <c r="K1393" s="32" t="s">
        <v>41</v>
      </c>
      <c r="M1393" s="32" t="s">
        <v>5412</v>
      </c>
      <c r="N1393" s="32" t="s">
        <v>48</v>
      </c>
    </row>
    <row r="1394" spans="1:14" s="32" customFormat="1" hidden="1" x14ac:dyDescent="0.3">
      <c r="A1394" s="39">
        <v>46184.610219907408</v>
      </c>
      <c r="B1394" s="32">
        <v>44988303530</v>
      </c>
      <c r="C1394" s="32" t="s">
        <v>37</v>
      </c>
      <c r="D1394" s="32">
        <v>4430265054</v>
      </c>
      <c r="E1394" s="32">
        <v>403</v>
      </c>
      <c r="F1394" s="32">
        <v>64</v>
      </c>
      <c r="G1394" s="32" t="s">
        <v>38</v>
      </c>
      <c r="H1394" s="32" t="s">
        <v>6811</v>
      </c>
      <c r="I1394" s="32" t="s">
        <v>39</v>
      </c>
      <c r="J1394" s="32" t="s">
        <v>40</v>
      </c>
      <c r="K1394" s="32" t="s">
        <v>41</v>
      </c>
      <c r="M1394" s="32" t="s">
        <v>5410</v>
      </c>
      <c r="N1394" s="32" t="s">
        <v>37</v>
      </c>
    </row>
    <row r="1395" spans="1:14" s="32" customFormat="1" hidden="1" x14ac:dyDescent="0.3">
      <c r="A1395" s="39">
        <v>46184.603136574071</v>
      </c>
      <c r="B1395" s="32">
        <v>41984905607</v>
      </c>
      <c r="C1395" s="32" t="s">
        <v>43</v>
      </c>
      <c r="D1395" s="32">
        <v>4430265054</v>
      </c>
      <c r="E1395" s="32">
        <v>1092</v>
      </c>
      <c r="F1395" s="32">
        <v>957</v>
      </c>
      <c r="G1395" s="32" t="s">
        <v>38</v>
      </c>
      <c r="H1395" s="32" t="s">
        <v>6812</v>
      </c>
      <c r="I1395" s="32" t="s">
        <v>39</v>
      </c>
      <c r="J1395" s="32" t="s">
        <v>40</v>
      </c>
      <c r="K1395" s="32" t="s">
        <v>41</v>
      </c>
      <c r="M1395" s="32" t="s">
        <v>5418</v>
      </c>
      <c r="N1395" s="32" t="s">
        <v>43</v>
      </c>
    </row>
    <row r="1396" spans="1:14" s="32" customFormat="1" hidden="1" x14ac:dyDescent="0.3">
      <c r="A1396" s="39">
        <v>46184.599004629628</v>
      </c>
      <c r="B1396" s="32" t="s">
        <v>48</v>
      </c>
      <c r="C1396" s="32">
        <v>4334726613</v>
      </c>
      <c r="E1396" s="32">
        <v>0</v>
      </c>
      <c r="F1396" s="32">
        <v>0</v>
      </c>
      <c r="G1396" s="32" t="s">
        <v>47</v>
      </c>
      <c r="H1396" s="32" t="s">
        <v>6813</v>
      </c>
      <c r="I1396" s="32" t="s">
        <v>46</v>
      </c>
      <c r="J1396" s="32" t="s">
        <v>40</v>
      </c>
      <c r="M1396" s="32" t="s">
        <v>5412</v>
      </c>
      <c r="N1396" s="32" t="s">
        <v>48</v>
      </c>
    </row>
    <row r="1397" spans="1:14" s="32" customFormat="1" hidden="1" x14ac:dyDescent="0.3">
      <c r="A1397" s="39">
        <v>46184.598865740743</v>
      </c>
      <c r="B1397" s="32" t="s">
        <v>48</v>
      </c>
      <c r="C1397" s="32">
        <v>4334726613</v>
      </c>
      <c r="E1397" s="32">
        <v>1</v>
      </c>
      <c r="F1397" s="32">
        <v>0</v>
      </c>
      <c r="G1397" s="32" t="s">
        <v>47</v>
      </c>
      <c r="H1397" s="32" t="s">
        <v>6814</v>
      </c>
      <c r="I1397" s="32" t="s">
        <v>46</v>
      </c>
      <c r="J1397" s="32" t="s">
        <v>40</v>
      </c>
      <c r="M1397" s="32" t="s">
        <v>5412</v>
      </c>
      <c r="N1397" s="32" t="s">
        <v>48</v>
      </c>
    </row>
    <row r="1398" spans="1:14" s="32" customFormat="1" hidden="1" x14ac:dyDescent="0.3">
      <c r="A1398" s="39">
        <v>46184.596400462964</v>
      </c>
      <c r="B1398" s="32" t="s">
        <v>48</v>
      </c>
      <c r="C1398" s="32">
        <v>4434726613</v>
      </c>
      <c r="E1398" s="32">
        <v>1</v>
      </c>
      <c r="F1398" s="32">
        <v>0</v>
      </c>
      <c r="G1398" s="32" t="s">
        <v>47</v>
      </c>
      <c r="H1398" s="32" t="s">
        <v>6815</v>
      </c>
      <c r="I1398" s="32" t="s">
        <v>46</v>
      </c>
      <c r="J1398" s="32" t="s">
        <v>40</v>
      </c>
      <c r="M1398" s="32" t="s">
        <v>5412</v>
      </c>
      <c r="N1398" s="32" t="s">
        <v>48</v>
      </c>
    </row>
    <row r="1399" spans="1:14" s="32" customFormat="1" hidden="1" x14ac:dyDescent="0.3">
      <c r="A1399" s="39">
        <v>46184.596354166664</v>
      </c>
      <c r="B1399" s="32" t="s">
        <v>48</v>
      </c>
      <c r="C1399" s="32">
        <v>4334726613</v>
      </c>
      <c r="E1399" s="32">
        <v>0</v>
      </c>
      <c r="F1399" s="32">
        <v>0</v>
      </c>
      <c r="G1399" s="32" t="s">
        <v>47</v>
      </c>
      <c r="H1399" s="32" t="s">
        <v>6816</v>
      </c>
      <c r="I1399" s="32" t="s">
        <v>46</v>
      </c>
      <c r="J1399" s="32" t="s">
        <v>40</v>
      </c>
      <c r="M1399" s="32" t="s">
        <v>5412</v>
      </c>
      <c r="N1399" s="32" t="s">
        <v>48</v>
      </c>
    </row>
    <row r="1400" spans="1:14" s="32" customFormat="1" hidden="1" x14ac:dyDescent="0.3">
      <c r="A1400" s="39">
        <v>46184.596250000002</v>
      </c>
      <c r="B1400" s="32" t="s">
        <v>48</v>
      </c>
      <c r="C1400" s="32">
        <v>4334726613</v>
      </c>
      <c r="E1400" s="32">
        <v>0</v>
      </c>
      <c r="F1400" s="32">
        <v>0</v>
      </c>
      <c r="G1400" s="32" t="s">
        <v>47</v>
      </c>
      <c r="H1400" s="32" t="s">
        <v>6817</v>
      </c>
      <c r="I1400" s="32" t="s">
        <v>46</v>
      </c>
      <c r="J1400" s="32" t="s">
        <v>40</v>
      </c>
      <c r="M1400" s="32" t="s">
        <v>5412</v>
      </c>
      <c r="N1400" s="32" t="s">
        <v>48</v>
      </c>
    </row>
    <row r="1401" spans="1:14" s="32" customFormat="1" hidden="1" x14ac:dyDescent="0.3">
      <c r="A1401" s="39">
        <v>46184.596134259256</v>
      </c>
      <c r="B1401" s="32" t="s">
        <v>48</v>
      </c>
      <c r="C1401" s="32">
        <v>4434726613</v>
      </c>
      <c r="E1401" s="32">
        <v>5</v>
      </c>
      <c r="F1401" s="32">
        <v>0</v>
      </c>
      <c r="G1401" s="32" t="s">
        <v>47</v>
      </c>
      <c r="H1401" s="32" t="s">
        <v>6818</v>
      </c>
      <c r="I1401" s="32" t="s">
        <v>46</v>
      </c>
      <c r="J1401" s="32" t="s">
        <v>40</v>
      </c>
      <c r="M1401" s="32" t="s">
        <v>5412</v>
      </c>
      <c r="N1401" s="32" t="s">
        <v>48</v>
      </c>
    </row>
    <row r="1402" spans="1:14" s="32" customFormat="1" hidden="1" x14ac:dyDescent="0.3">
      <c r="A1402" s="39">
        <v>46184.596076388887</v>
      </c>
      <c r="B1402" s="32" t="s">
        <v>48</v>
      </c>
      <c r="C1402" s="32">
        <v>4334726613</v>
      </c>
      <c r="E1402" s="32">
        <v>1</v>
      </c>
      <c r="F1402" s="32">
        <v>0</v>
      </c>
      <c r="G1402" s="32" t="s">
        <v>47</v>
      </c>
      <c r="H1402" s="32" t="s">
        <v>6819</v>
      </c>
      <c r="I1402" s="32" t="s">
        <v>46</v>
      </c>
      <c r="J1402" s="32" t="s">
        <v>40</v>
      </c>
      <c r="M1402" s="32" t="s">
        <v>5412</v>
      </c>
      <c r="N1402" s="32" t="s">
        <v>48</v>
      </c>
    </row>
    <row r="1403" spans="1:14" s="32" customFormat="1" hidden="1" x14ac:dyDescent="0.3">
      <c r="A1403" s="39">
        <v>46184.595046296294</v>
      </c>
      <c r="B1403" s="32">
        <v>47991636470</v>
      </c>
      <c r="C1403" s="32" t="s">
        <v>44</v>
      </c>
      <c r="D1403" s="32">
        <v>4431268225</v>
      </c>
      <c r="E1403" s="32">
        <v>1733</v>
      </c>
      <c r="F1403" s="32">
        <v>1657</v>
      </c>
      <c r="G1403" s="32" t="s">
        <v>38</v>
      </c>
      <c r="H1403" s="32" t="s">
        <v>6820</v>
      </c>
      <c r="I1403" s="32" t="s">
        <v>39</v>
      </c>
      <c r="J1403" s="32" t="s">
        <v>40</v>
      </c>
      <c r="K1403" s="32" t="s">
        <v>41</v>
      </c>
      <c r="M1403" s="32" t="s">
        <v>5416</v>
      </c>
      <c r="N1403" s="32" t="s">
        <v>44</v>
      </c>
    </row>
    <row r="1404" spans="1:14" s="32" customFormat="1" hidden="1" x14ac:dyDescent="0.3">
      <c r="A1404" s="39">
        <v>46184.589444444442</v>
      </c>
      <c r="B1404" s="32">
        <v>44988657373</v>
      </c>
      <c r="C1404" s="32" t="s">
        <v>45</v>
      </c>
      <c r="D1404" s="32">
        <v>4430265054</v>
      </c>
      <c r="E1404" s="32">
        <v>617</v>
      </c>
      <c r="F1404" s="32">
        <v>548</v>
      </c>
      <c r="G1404" s="32" t="s">
        <v>38</v>
      </c>
      <c r="H1404" s="32" t="s">
        <v>6821</v>
      </c>
      <c r="I1404" s="32" t="s">
        <v>39</v>
      </c>
      <c r="J1404" s="32" t="s">
        <v>40</v>
      </c>
      <c r="K1404" s="32" t="s">
        <v>41</v>
      </c>
      <c r="M1404" s="32" t="s">
        <v>5421</v>
      </c>
      <c r="N1404" s="32" t="s">
        <v>45</v>
      </c>
    </row>
    <row r="1405" spans="1:14" s="32" customFormat="1" hidden="1" x14ac:dyDescent="0.3">
      <c r="A1405" s="39">
        <v>46184.58761574074</v>
      </c>
      <c r="B1405" s="32" t="s">
        <v>45</v>
      </c>
      <c r="C1405" s="32">
        <v>35998295948</v>
      </c>
      <c r="E1405" s="32">
        <v>108</v>
      </c>
      <c r="F1405" s="32">
        <v>93</v>
      </c>
      <c r="G1405" s="32" t="s">
        <v>38</v>
      </c>
      <c r="H1405" s="32" t="s">
        <v>6822</v>
      </c>
      <c r="I1405" s="32" t="s">
        <v>46</v>
      </c>
      <c r="J1405" s="32" t="s">
        <v>40</v>
      </c>
      <c r="M1405" s="32" t="s">
        <v>5421</v>
      </c>
      <c r="N1405" s="32" t="s">
        <v>45</v>
      </c>
    </row>
    <row r="1406" spans="1:14" s="32" customFormat="1" hidden="1" x14ac:dyDescent="0.3">
      <c r="A1406" s="39">
        <v>46184.587129629632</v>
      </c>
      <c r="B1406" s="32" t="s">
        <v>57</v>
      </c>
      <c r="C1406" s="32">
        <v>51985088272</v>
      </c>
      <c r="E1406" s="32">
        <v>45</v>
      </c>
      <c r="F1406" s="32">
        <v>6</v>
      </c>
      <c r="G1406" s="32" t="s">
        <v>38</v>
      </c>
      <c r="H1406" s="32" t="s">
        <v>6823</v>
      </c>
      <c r="I1406" s="32" t="s">
        <v>46</v>
      </c>
      <c r="J1406" s="32" t="s">
        <v>55</v>
      </c>
      <c r="M1406" s="32" t="s">
        <v>5456</v>
      </c>
      <c r="N1406" s="32" t="s">
        <v>57</v>
      </c>
    </row>
    <row r="1407" spans="1:14" s="32" customFormat="1" hidden="1" x14ac:dyDescent="0.3">
      <c r="A1407" s="39">
        <v>46184.575428240743</v>
      </c>
      <c r="B1407" s="32">
        <v>4430403880</v>
      </c>
      <c r="C1407" s="32" t="s">
        <v>45</v>
      </c>
      <c r="D1407" s="32">
        <v>4430265054</v>
      </c>
      <c r="E1407" s="32">
        <v>658</v>
      </c>
      <c r="F1407" s="32">
        <v>647</v>
      </c>
      <c r="G1407" s="32" t="s">
        <v>38</v>
      </c>
      <c r="H1407" s="32" t="s">
        <v>6824</v>
      </c>
      <c r="I1407" s="32" t="s">
        <v>39</v>
      </c>
      <c r="J1407" s="32" t="s">
        <v>40</v>
      </c>
      <c r="K1407" s="32" t="s">
        <v>41</v>
      </c>
      <c r="M1407" s="32" t="s">
        <v>5421</v>
      </c>
      <c r="N1407" s="32" t="s">
        <v>45</v>
      </c>
    </row>
    <row r="1408" spans="1:14" s="32" customFormat="1" hidden="1" x14ac:dyDescent="0.3">
      <c r="A1408" s="39">
        <v>46184.570173611108</v>
      </c>
      <c r="B1408" s="32">
        <v>4334726613</v>
      </c>
      <c r="C1408" s="32" t="s">
        <v>44</v>
      </c>
      <c r="D1408" s="32">
        <v>4430265054</v>
      </c>
      <c r="E1408" s="32">
        <v>1619</v>
      </c>
      <c r="F1408" s="32">
        <v>1561</v>
      </c>
      <c r="G1408" s="32" t="s">
        <v>38</v>
      </c>
      <c r="H1408" s="32" t="s">
        <v>6825</v>
      </c>
      <c r="I1408" s="32" t="s">
        <v>39</v>
      </c>
      <c r="J1408" s="32" t="s">
        <v>40</v>
      </c>
      <c r="K1408" s="32" t="s">
        <v>41</v>
      </c>
      <c r="M1408" s="32" t="s">
        <v>5416</v>
      </c>
      <c r="N1408" s="32" t="s">
        <v>44</v>
      </c>
    </row>
    <row r="1409" spans="1:14" s="32" customFormat="1" hidden="1" x14ac:dyDescent="0.3">
      <c r="A1409" s="39">
        <v>46184.569675925923</v>
      </c>
      <c r="B1409" s="32">
        <v>44991113954</v>
      </c>
      <c r="C1409" s="32" t="s">
        <v>43</v>
      </c>
      <c r="D1409" s="32">
        <v>4430265054</v>
      </c>
      <c r="E1409" s="32">
        <v>535</v>
      </c>
      <c r="F1409" s="32">
        <v>474</v>
      </c>
      <c r="G1409" s="32" t="s">
        <v>38</v>
      </c>
      <c r="H1409" s="32" t="s">
        <v>6826</v>
      </c>
      <c r="I1409" s="32" t="s">
        <v>39</v>
      </c>
      <c r="J1409" s="32" t="s">
        <v>40</v>
      </c>
      <c r="K1409" s="32" t="s">
        <v>41</v>
      </c>
      <c r="M1409" s="32" t="s">
        <v>5418</v>
      </c>
      <c r="N1409" s="32" t="s">
        <v>43</v>
      </c>
    </row>
    <row r="1410" spans="1:14" s="32" customFormat="1" hidden="1" x14ac:dyDescent="0.3">
      <c r="A1410" s="39">
        <v>46184.564444444448</v>
      </c>
      <c r="B1410" s="32" t="s">
        <v>45</v>
      </c>
      <c r="C1410" s="32">
        <v>4430196655</v>
      </c>
      <c r="E1410" s="32">
        <v>752</v>
      </c>
      <c r="F1410" s="32">
        <v>746</v>
      </c>
      <c r="G1410" s="32" t="s">
        <v>38</v>
      </c>
      <c r="H1410" s="32" t="s">
        <v>6827</v>
      </c>
      <c r="I1410" s="32" t="s">
        <v>46</v>
      </c>
      <c r="J1410" s="32" t="s">
        <v>40</v>
      </c>
      <c r="M1410" s="32" t="s">
        <v>5421</v>
      </c>
      <c r="N1410" s="32" t="s">
        <v>45</v>
      </c>
    </row>
    <row r="1411" spans="1:14" s="32" customFormat="1" hidden="1" x14ac:dyDescent="0.3">
      <c r="A1411" s="39">
        <v>46184.564340277779</v>
      </c>
      <c r="B1411" s="32" t="s">
        <v>45</v>
      </c>
      <c r="C1411" s="32">
        <v>4430196655</v>
      </c>
      <c r="E1411" s="32">
        <v>14</v>
      </c>
      <c r="F1411" s="32">
        <v>14</v>
      </c>
      <c r="G1411" s="32" t="s">
        <v>38</v>
      </c>
      <c r="H1411" s="32" t="s">
        <v>6828</v>
      </c>
      <c r="I1411" s="32" t="s">
        <v>46</v>
      </c>
      <c r="J1411" s="32" t="s">
        <v>40</v>
      </c>
      <c r="M1411" s="32" t="s">
        <v>5421</v>
      </c>
      <c r="N1411" s="32" t="s">
        <v>45</v>
      </c>
    </row>
    <row r="1412" spans="1:14" s="32" customFormat="1" hidden="1" x14ac:dyDescent="0.3">
      <c r="A1412" s="39">
        <v>46184.56322916667</v>
      </c>
      <c r="B1412" s="32">
        <v>4430191401</v>
      </c>
      <c r="C1412" s="32" t="s">
        <v>37</v>
      </c>
      <c r="D1412" s="32">
        <v>4430265054</v>
      </c>
      <c r="E1412" s="32">
        <v>312</v>
      </c>
      <c r="F1412" s="32">
        <v>252</v>
      </c>
      <c r="G1412" s="32" t="s">
        <v>38</v>
      </c>
      <c r="H1412" s="32" t="s">
        <v>6829</v>
      </c>
      <c r="I1412" s="32" t="s">
        <v>39</v>
      </c>
      <c r="J1412" s="32" t="s">
        <v>40</v>
      </c>
      <c r="K1412" s="32" t="s">
        <v>41</v>
      </c>
      <c r="L1412" s="32">
        <v>5</v>
      </c>
      <c r="M1412" s="32" t="s">
        <v>5410</v>
      </c>
      <c r="N1412" s="32" t="s">
        <v>37</v>
      </c>
    </row>
    <row r="1413" spans="1:14" s="32" customFormat="1" hidden="1" x14ac:dyDescent="0.3">
      <c r="A1413" s="39">
        <v>46184.561273148145</v>
      </c>
      <c r="B1413" s="32">
        <v>4334728840</v>
      </c>
      <c r="C1413" s="32">
        <v>4430265054</v>
      </c>
      <c r="D1413" s="32">
        <v>4430265054</v>
      </c>
      <c r="E1413" s="32">
        <v>29</v>
      </c>
      <c r="F1413" s="32">
        <v>28</v>
      </c>
      <c r="G1413" s="32" t="s">
        <v>52</v>
      </c>
      <c r="H1413" s="32" t="s">
        <v>6830</v>
      </c>
      <c r="I1413" s="32" t="s">
        <v>39</v>
      </c>
      <c r="J1413" s="32" t="s">
        <v>53</v>
      </c>
    </row>
    <row r="1414" spans="1:14" s="32" customFormat="1" hidden="1" x14ac:dyDescent="0.3">
      <c r="A1414" s="39">
        <v>46184.560925925929</v>
      </c>
      <c r="B1414" s="32">
        <v>4436313773</v>
      </c>
      <c r="C1414" s="32">
        <v>4430265054</v>
      </c>
      <c r="D1414" s="32">
        <v>4430265054</v>
      </c>
      <c r="E1414" s="32">
        <v>29</v>
      </c>
      <c r="F1414" s="32">
        <v>28</v>
      </c>
      <c r="G1414" s="32" t="s">
        <v>52</v>
      </c>
      <c r="H1414" s="32" t="s">
        <v>6831</v>
      </c>
      <c r="I1414" s="32" t="s">
        <v>39</v>
      </c>
      <c r="J1414" s="32" t="s">
        <v>53</v>
      </c>
    </row>
    <row r="1415" spans="1:14" s="32" customFormat="1" hidden="1" x14ac:dyDescent="0.3">
      <c r="A1415" s="39">
        <v>46184.530011574076</v>
      </c>
      <c r="B1415" s="32">
        <v>43999878145</v>
      </c>
      <c r="C1415" s="32">
        <v>4430265054</v>
      </c>
      <c r="D1415" s="32">
        <v>4430265054</v>
      </c>
      <c r="E1415" s="32">
        <v>29</v>
      </c>
      <c r="F1415" s="32">
        <v>28</v>
      </c>
      <c r="G1415" s="32" t="s">
        <v>52</v>
      </c>
      <c r="H1415" s="32" t="s">
        <v>6832</v>
      </c>
      <c r="I1415" s="32" t="s">
        <v>39</v>
      </c>
      <c r="J1415" s="32" t="s">
        <v>53</v>
      </c>
    </row>
    <row r="1416" spans="1:14" s="32" customFormat="1" hidden="1" x14ac:dyDescent="0.3">
      <c r="A1416" s="39">
        <v>46184.525358796294</v>
      </c>
      <c r="B1416" s="32">
        <v>1438160351</v>
      </c>
      <c r="C1416" s="32">
        <v>4430265054</v>
      </c>
      <c r="D1416" s="32">
        <v>4430265054</v>
      </c>
      <c r="E1416" s="32">
        <v>20</v>
      </c>
      <c r="F1416" s="32">
        <v>20</v>
      </c>
      <c r="G1416" s="32" t="s">
        <v>52</v>
      </c>
      <c r="H1416" s="32" t="s">
        <v>6833</v>
      </c>
      <c r="I1416" s="32" t="s">
        <v>39</v>
      </c>
      <c r="J1416" s="32" t="s">
        <v>53</v>
      </c>
    </row>
    <row r="1417" spans="1:14" s="32" customFormat="1" hidden="1" x14ac:dyDescent="0.3">
      <c r="A1417" s="39">
        <v>46184.499571759261</v>
      </c>
      <c r="B1417" s="32">
        <v>41999102968</v>
      </c>
      <c r="C1417" s="32" t="s">
        <v>45</v>
      </c>
      <c r="D1417" s="32">
        <v>4430265054</v>
      </c>
      <c r="E1417" s="32">
        <v>82</v>
      </c>
      <c r="F1417" s="32">
        <v>35</v>
      </c>
      <c r="G1417" s="32" t="s">
        <v>38</v>
      </c>
      <c r="H1417" s="32" t="s">
        <v>6834</v>
      </c>
      <c r="I1417" s="32" t="s">
        <v>39</v>
      </c>
      <c r="J1417" s="32" t="s">
        <v>40</v>
      </c>
      <c r="K1417" s="32" t="s">
        <v>41</v>
      </c>
      <c r="M1417" s="32" t="s">
        <v>5421</v>
      </c>
      <c r="N1417" s="32" t="s">
        <v>45</v>
      </c>
    </row>
    <row r="1418" spans="1:14" s="32" customFormat="1" hidden="1" x14ac:dyDescent="0.3">
      <c r="A1418" s="39">
        <v>46184.493437500001</v>
      </c>
      <c r="B1418" s="32">
        <v>44999647912</v>
      </c>
      <c r="C1418" s="32" t="s">
        <v>45</v>
      </c>
      <c r="D1418" s="32">
        <v>4430265054</v>
      </c>
      <c r="E1418" s="32">
        <v>344</v>
      </c>
      <c r="F1418" s="32">
        <v>290</v>
      </c>
      <c r="G1418" s="32" t="s">
        <v>38</v>
      </c>
      <c r="H1418" s="32" t="s">
        <v>6835</v>
      </c>
      <c r="I1418" s="32" t="s">
        <v>39</v>
      </c>
      <c r="J1418" s="32" t="s">
        <v>40</v>
      </c>
      <c r="K1418" s="32" t="s">
        <v>41</v>
      </c>
      <c r="M1418" s="32" t="s">
        <v>5421</v>
      </c>
      <c r="N1418" s="32" t="s">
        <v>45</v>
      </c>
    </row>
    <row r="1419" spans="1:14" s="32" customFormat="1" hidden="1" x14ac:dyDescent="0.3">
      <c r="A1419" s="39">
        <v>46184.492800925924</v>
      </c>
      <c r="B1419" s="32" t="s">
        <v>57</v>
      </c>
      <c r="C1419" s="32">
        <v>43996223239</v>
      </c>
      <c r="E1419" s="32">
        <v>56</v>
      </c>
      <c r="F1419" s="32">
        <v>51</v>
      </c>
      <c r="G1419" s="32" t="s">
        <v>38</v>
      </c>
      <c r="H1419" s="32" t="s">
        <v>6836</v>
      </c>
      <c r="I1419" s="32" t="s">
        <v>46</v>
      </c>
      <c r="J1419" s="32" t="s">
        <v>55</v>
      </c>
      <c r="M1419" s="32" t="s">
        <v>5456</v>
      </c>
      <c r="N1419" s="32" t="s">
        <v>57</v>
      </c>
    </row>
    <row r="1420" spans="1:14" s="32" customFormat="1" hidden="1" x14ac:dyDescent="0.3">
      <c r="A1420" s="39">
        <v>46184.492662037039</v>
      </c>
      <c r="B1420" s="32" t="s">
        <v>57</v>
      </c>
      <c r="C1420" s="32">
        <v>44996223239</v>
      </c>
      <c r="E1420" s="32">
        <v>0</v>
      </c>
      <c r="F1420" s="32">
        <v>0</v>
      </c>
      <c r="G1420" s="32" t="s">
        <v>47</v>
      </c>
      <c r="H1420" s="32" t="s">
        <v>6837</v>
      </c>
      <c r="I1420" s="32" t="s">
        <v>46</v>
      </c>
      <c r="J1420" s="32" t="s">
        <v>55</v>
      </c>
      <c r="M1420" s="32" t="s">
        <v>5456</v>
      </c>
      <c r="N1420" s="32" t="s">
        <v>57</v>
      </c>
    </row>
    <row r="1421" spans="1:14" s="32" customFormat="1" hidden="1" x14ac:dyDescent="0.3">
      <c r="A1421" s="39">
        <v>46184.492534722223</v>
      </c>
      <c r="B1421" s="32" t="s">
        <v>57</v>
      </c>
      <c r="C1421" s="32">
        <v>4330353081</v>
      </c>
      <c r="E1421" s="32">
        <v>0</v>
      </c>
      <c r="F1421" s="32">
        <v>0</v>
      </c>
      <c r="G1421" s="32" t="s">
        <v>47</v>
      </c>
      <c r="H1421" s="32" t="s">
        <v>6838</v>
      </c>
      <c r="I1421" s="32" t="s">
        <v>46</v>
      </c>
      <c r="J1421" s="32" t="s">
        <v>55</v>
      </c>
      <c r="M1421" s="32" t="s">
        <v>5456</v>
      </c>
      <c r="N1421" s="32" t="s">
        <v>57</v>
      </c>
    </row>
    <row r="1422" spans="1:14" s="32" customFormat="1" hidden="1" x14ac:dyDescent="0.3">
      <c r="A1422" s="39">
        <v>46184.492418981485</v>
      </c>
      <c r="B1422" s="32" t="s">
        <v>57</v>
      </c>
      <c r="C1422" s="32">
        <v>4430353081</v>
      </c>
      <c r="E1422" s="32">
        <v>1</v>
      </c>
      <c r="F1422" s="32">
        <v>0</v>
      </c>
      <c r="G1422" s="32" t="s">
        <v>47</v>
      </c>
      <c r="H1422" s="32" t="s">
        <v>6839</v>
      </c>
      <c r="I1422" s="32" t="s">
        <v>46</v>
      </c>
      <c r="J1422" s="32" t="s">
        <v>55</v>
      </c>
      <c r="M1422" s="32" t="s">
        <v>5456</v>
      </c>
      <c r="N1422" s="32" t="s">
        <v>57</v>
      </c>
    </row>
    <row r="1423" spans="1:14" s="32" customFormat="1" hidden="1" x14ac:dyDescent="0.3">
      <c r="A1423" s="39">
        <v>46184.492083333331</v>
      </c>
      <c r="B1423" s="32">
        <v>4430468268</v>
      </c>
      <c r="C1423" s="32" t="s">
        <v>43</v>
      </c>
      <c r="D1423" s="32">
        <v>4430265054</v>
      </c>
      <c r="E1423" s="32">
        <v>168</v>
      </c>
      <c r="F1423" s="32">
        <v>122</v>
      </c>
      <c r="G1423" s="32" t="s">
        <v>38</v>
      </c>
      <c r="H1423" s="32" t="s">
        <v>6840</v>
      </c>
      <c r="I1423" s="32" t="s">
        <v>39</v>
      </c>
      <c r="J1423" s="32" t="s">
        <v>40</v>
      </c>
      <c r="K1423" s="32" t="s">
        <v>41</v>
      </c>
      <c r="M1423" s="32" t="s">
        <v>5418</v>
      </c>
      <c r="N1423" s="32" t="s">
        <v>43</v>
      </c>
    </row>
    <row r="1424" spans="1:14" s="32" customFormat="1" hidden="1" x14ac:dyDescent="0.3">
      <c r="A1424" s="39">
        <v>46184.491516203707</v>
      </c>
      <c r="B1424" s="32">
        <v>11985836640</v>
      </c>
      <c r="C1424" s="32" t="s">
        <v>37</v>
      </c>
      <c r="D1424" s="32">
        <v>4430265054</v>
      </c>
      <c r="E1424" s="32">
        <v>972</v>
      </c>
      <c r="F1424" s="32">
        <v>890</v>
      </c>
      <c r="G1424" s="32" t="s">
        <v>38</v>
      </c>
      <c r="H1424" s="32" t="s">
        <v>6841</v>
      </c>
      <c r="I1424" s="32" t="s">
        <v>39</v>
      </c>
      <c r="J1424" s="32" t="s">
        <v>40</v>
      </c>
      <c r="K1424" s="32" t="s">
        <v>41</v>
      </c>
      <c r="L1424" s="32">
        <v>5</v>
      </c>
      <c r="M1424" s="32" t="s">
        <v>5410</v>
      </c>
      <c r="N1424" s="32" t="s">
        <v>37</v>
      </c>
    </row>
    <row r="1425" spans="1:14" s="32" customFormat="1" hidden="1" x14ac:dyDescent="0.3">
      <c r="A1425" s="39">
        <v>46184.484293981484</v>
      </c>
      <c r="B1425" s="32">
        <v>44997426611</v>
      </c>
      <c r="C1425" s="32" t="s">
        <v>45</v>
      </c>
      <c r="D1425" s="32">
        <v>4430265054</v>
      </c>
      <c r="E1425" s="32">
        <v>731</v>
      </c>
      <c r="F1425" s="32">
        <v>622</v>
      </c>
      <c r="G1425" s="32" t="s">
        <v>38</v>
      </c>
      <c r="H1425" s="32" t="s">
        <v>6842</v>
      </c>
      <c r="I1425" s="32" t="s">
        <v>39</v>
      </c>
      <c r="J1425" s="32" t="s">
        <v>40</v>
      </c>
      <c r="K1425" s="32" t="s">
        <v>41</v>
      </c>
      <c r="L1425" s="32">
        <v>5</v>
      </c>
      <c r="M1425" s="32" t="s">
        <v>5421</v>
      </c>
      <c r="N1425" s="32" t="s">
        <v>45</v>
      </c>
    </row>
    <row r="1426" spans="1:14" s="32" customFormat="1" hidden="1" x14ac:dyDescent="0.3">
      <c r="A1426" s="39">
        <v>46184.470219907409</v>
      </c>
      <c r="B1426" s="32">
        <v>44999647912</v>
      </c>
      <c r="C1426" s="32">
        <v>4430265054</v>
      </c>
      <c r="D1426" s="32">
        <v>4430265054</v>
      </c>
      <c r="E1426" s="32">
        <v>40</v>
      </c>
      <c r="F1426" s="32">
        <v>40</v>
      </c>
      <c r="G1426" s="32" t="s">
        <v>52</v>
      </c>
      <c r="H1426" s="32" t="s">
        <v>6843</v>
      </c>
      <c r="I1426" s="32" t="s">
        <v>39</v>
      </c>
      <c r="J1426" s="32" t="s">
        <v>53</v>
      </c>
      <c r="K1426" s="32" t="s">
        <v>41</v>
      </c>
    </row>
    <row r="1427" spans="1:14" s="32" customFormat="1" hidden="1" x14ac:dyDescent="0.3">
      <c r="A1427" s="39">
        <v>46184.469270833331</v>
      </c>
      <c r="B1427" s="32">
        <v>35998295948</v>
      </c>
      <c r="C1427" s="32" t="s">
        <v>37</v>
      </c>
      <c r="D1427" s="32">
        <v>4430265054</v>
      </c>
      <c r="E1427" s="32">
        <v>273</v>
      </c>
      <c r="F1427" s="32">
        <v>158</v>
      </c>
      <c r="G1427" s="32" t="s">
        <v>38</v>
      </c>
      <c r="H1427" s="32" t="s">
        <v>6844</v>
      </c>
      <c r="I1427" s="32" t="s">
        <v>39</v>
      </c>
      <c r="J1427" s="32" t="s">
        <v>40</v>
      </c>
      <c r="K1427" s="32" t="s">
        <v>41</v>
      </c>
      <c r="M1427" s="32" t="s">
        <v>5410</v>
      </c>
      <c r="N1427" s="32" t="s">
        <v>37</v>
      </c>
    </row>
    <row r="1428" spans="1:14" s="32" customFormat="1" hidden="1" x14ac:dyDescent="0.3">
      <c r="A1428" s="39">
        <v>46184.462002314816</v>
      </c>
      <c r="B1428" s="32" t="s">
        <v>37</v>
      </c>
      <c r="C1428" s="32">
        <v>44998266194</v>
      </c>
      <c r="E1428" s="32">
        <v>103</v>
      </c>
      <c r="F1428" s="32">
        <v>88</v>
      </c>
      <c r="G1428" s="32" t="s">
        <v>38</v>
      </c>
      <c r="H1428" s="32" t="s">
        <v>6845</v>
      </c>
      <c r="I1428" s="32" t="s">
        <v>46</v>
      </c>
      <c r="J1428" s="32" t="s">
        <v>40</v>
      </c>
      <c r="M1428" s="32" t="s">
        <v>5410</v>
      </c>
      <c r="N1428" s="32" t="s">
        <v>37</v>
      </c>
    </row>
    <row r="1429" spans="1:14" s="32" customFormat="1" hidden="1" x14ac:dyDescent="0.3">
      <c r="A1429" s="39">
        <v>46184.453865740739</v>
      </c>
      <c r="B1429" s="32">
        <v>1128897100</v>
      </c>
      <c r="C1429" s="32" t="s">
        <v>48</v>
      </c>
      <c r="D1429" s="32">
        <v>4430265054</v>
      </c>
      <c r="E1429" s="32">
        <v>453</v>
      </c>
      <c r="F1429" s="32">
        <v>426</v>
      </c>
      <c r="G1429" s="32" t="s">
        <v>38</v>
      </c>
      <c r="H1429" s="32" t="s">
        <v>6846</v>
      </c>
      <c r="I1429" s="32" t="s">
        <v>39</v>
      </c>
      <c r="J1429" s="32" t="s">
        <v>40</v>
      </c>
      <c r="K1429" s="32" t="s">
        <v>41</v>
      </c>
      <c r="M1429" s="32" t="s">
        <v>5412</v>
      </c>
      <c r="N1429" s="32" t="s">
        <v>48</v>
      </c>
    </row>
    <row r="1430" spans="1:14" s="32" customFormat="1" hidden="1" x14ac:dyDescent="0.3">
      <c r="A1430" s="39">
        <v>46184.441712962966</v>
      </c>
      <c r="B1430" s="32" t="s">
        <v>37</v>
      </c>
      <c r="C1430" s="32">
        <v>43999965552</v>
      </c>
      <c r="E1430" s="32">
        <v>54</v>
      </c>
      <c r="F1430" s="32">
        <v>28</v>
      </c>
      <c r="G1430" s="32" t="s">
        <v>38</v>
      </c>
      <c r="H1430" s="32" t="s">
        <v>6847</v>
      </c>
      <c r="I1430" s="32" t="s">
        <v>46</v>
      </c>
      <c r="J1430" s="32" t="s">
        <v>40</v>
      </c>
      <c r="M1430" s="32" t="s">
        <v>5410</v>
      </c>
      <c r="N1430" s="32" t="s">
        <v>37</v>
      </c>
    </row>
    <row r="1431" spans="1:14" s="32" customFormat="1" hidden="1" x14ac:dyDescent="0.3">
      <c r="A1431" s="39">
        <v>46184.433078703703</v>
      </c>
      <c r="B1431" s="32">
        <v>44988303530</v>
      </c>
      <c r="C1431" s="32" t="s">
        <v>43</v>
      </c>
      <c r="D1431" s="32">
        <v>4430265054</v>
      </c>
      <c r="E1431" s="32">
        <v>1041</v>
      </c>
      <c r="F1431" s="32">
        <v>849</v>
      </c>
      <c r="G1431" s="32" t="s">
        <v>38</v>
      </c>
      <c r="H1431" s="32" t="s">
        <v>6848</v>
      </c>
      <c r="I1431" s="32" t="s">
        <v>39</v>
      </c>
      <c r="J1431" s="32" t="s">
        <v>40</v>
      </c>
      <c r="K1431" s="32" t="s">
        <v>41</v>
      </c>
      <c r="M1431" s="32" t="s">
        <v>5418</v>
      </c>
      <c r="N1431" s="32" t="s">
        <v>43</v>
      </c>
    </row>
    <row r="1432" spans="1:14" s="32" customFormat="1" hidden="1" x14ac:dyDescent="0.3">
      <c r="A1432" s="39">
        <v>46184.431932870371</v>
      </c>
      <c r="B1432" s="32" t="s">
        <v>37</v>
      </c>
      <c r="C1432" s="32">
        <v>43999965552</v>
      </c>
      <c r="E1432" s="32">
        <v>53</v>
      </c>
      <c r="F1432" s="32">
        <v>28</v>
      </c>
      <c r="G1432" s="32" t="s">
        <v>38</v>
      </c>
      <c r="H1432" s="32" t="s">
        <v>6849</v>
      </c>
      <c r="I1432" s="32" t="s">
        <v>46</v>
      </c>
      <c r="J1432" s="32" t="s">
        <v>40</v>
      </c>
      <c r="M1432" s="32" t="s">
        <v>5410</v>
      </c>
      <c r="N1432" s="32" t="s">
        <v>37</v>
      </c>
    </row>
    <row r="1433" spans="1:14" s="32" customFormat="1" hidden="1" x14ac:dyDescent="0.3">
      <c r="A1433" s="39">
        <v>46184.431527777779</v>
      </c>
      <c r="B1433" s="32" t="s">
        <v>37</v>
      </c>
      <c r="C1433" s="32">
        <v>43999965552</v>
      </c>
      <c r="E1433" s="32">
        <v>53</v>
      </c>
      <c r="F1433" s="32">
        <v>28</v>
      </c>
      <c r="G1433" s="32" t="s">
        <v>38</v>
      </c>
      <c r="H1433" s="32" t="s">
        <v>6850</v>
      </c>
      <c r="I1433" s="32" t="s">
        <v>46</v>
      </c>
      <c r="J1433" s="32" t="s">
        <v>40</v>
      </c>
      <c r="M1433" s="32" t="s">
        <v>5410</v>
      </c>
      <c r="N1433" s="32" t="s">
        <v>37</v>
      </c>
    </row>
    <row r="1434" spans="1:14" s="32" customFormat="1" hidden="1" x14ac:dyDescent="0.3">
      <c r="A1434" s="39">
        <v>46184.430277777778</v>
      </c>
      <c r="B1434" s="32" t="s">
        <v>37</v>
      </c>
      <c r="C1434" s="32">
        <v>4333278066</v>
      </c>
      <c r="E1434" s="32">
        <v>39</v>
      </c>
      <c r="F1434" s="32">
        <v>0</v>
      </c>
      <c r="G1434" s="32" t="s">
        <v>47</v>
      </c>
      <c r="H1434" s="32" t="s">
        <v>6851</v>
      </c>
      <c r="I1434" s="32" t="s">
        <v>46</v>
      </c>
      <c r="J1434" s="32" t="s">
        <v>40</v>
      </c>
      <c r="M1434" s="32" t="s">
        <v>5410</v>
      </c>
      <c r="N1434" s="32" t="s">
        <v>37</v>
      </c>
    </row>
    <row r="1435" spans="1:14" s="32" customFormat="1" hidden="1" x14ac:dyDescent="0.3">
      <c r="A1435" s="39">
        <v>46184.427662037036</v>
      </c>
      <c r="B1435" s="32">
        <v>1131515685</v>
      </c>
      <c r="C1435" s="32" t="s">
        <v>45</v>
      </c>
      <c r="D1435" s="32">
        <v>4430265054</v>
      </c>
      <c r="E1435" s="32">
        <v>417</v>
      </c>
      <c r="F1435" s="32">
        <v>326</v>
      </c>
      <c r="G1435" s="32" t="s">
        <v>38</v>
      </c>
      <c r="H1435" s="32" t="s">
        <v>6852</v>
      </c>
      <c r="I1435" s="32" t="s">
        <v>39</v>
      </c>
      <c r="J1435" s="32" t="s">
        <v>40</v>
      </c>
      <c r="K1435" s="32" t="s">
        <v>41</v>
      </c>
      <c r="L1435" s="32">
        <v>5</v>
      </c>
      <c r="M1435" s="32" t="s">
        <v>5421</v>
      </c>
      <c r="N1435" s="32" t="s">
        <v>45</v>
      </c>
    </row>
    <row r="1436" spans="1:14" s="32" customFormat="1" hidden="1" x14ac:dyDescent="0.3">
      <c r="A1436" s="39">
        <v>46184.427615740744</v>
      </c>
      <c r="B1436" s="32">
        <v>4432325260</v>
      </c>
      <c r="C1436" s="32" t="s">
        <v>44</v>
      </c>
      <c r="D1436" s="32">
        <v>4430265054</v>
      </c>
      <c r="E1436" s="32">
        <v>715</v>
      </c>
      <c r="F1436" s="32">
        <v>583</v>
      </c>
      <c r="G1436" s="32" t="s">
        <v>38</v>
      </c>
      <c r="H1436" s="32" t="s">
        <v>6853</v>
      </c>
      <c r="I1436" s="32" t="s">
        <v>39</v>
      </c>
      <c r="J1436" s="32" t="s">
        <v>40</v>
      </c>
      <c r="K1436" s="32" t="s">
        <v>41</v>
      </c>
      <c r="M1436" s="32" t="s">
        <v>5416</v>
      </c>
      <c r="N1436" s="32" t="s">
        <v>44</v>
      </c>
    </row>
    <row r="1437" spans="1:14" s="32" customFormat="1" hidden="1" x14ac:dyDescent="0.3">
      <c r="A1437" s="39">
        <v>46184.413935185185</v>
      </c>
      <c r="B1437" s="32">
        <v>83988398480</v>
      </c>
      <c r="C1437" s="32" t="s">
        <v>48</v>
      </c>
      <c r="D1437" s="32">
        <v>4430265054</v>
      </c>
      <c r="E1437" s="32">
        <v>344</v>
      </c>
      <c r="F1437" s="32">
        <v>344</v>
      </c>
      <c r="G1437" s="32" t="s">
        <v>38</v>
      </c>
      <c r="H1437" s="32" t="s">
        <v>6854</v>
      </c>
      <c r="I1437" s="32" t="s">
        <v>39</v>
      </c>
      <c r="J1437" s="32" t="s">
        <v>40</v>
      </c>
      <c r="K1437" s="32" t="s">
        <v>41</v>
      </c>
      <c r="L1437" s="32">
        <v>5</v>
      </c>
      <c r="M1437" s="32" t="s">
        <v>5412</v>
      </c>
      <c r="N1437" s="32" t="s">
        <v>48</v>
      </c>
    </row>
    <row r="1438" spans="1:14" s="32" customFormat="1" hidden="1" x14ac:dyDescent="0.3">
      <c r="A1438" s="39">
        <v>46184.411770833336</v>
      </c>
      <c r="B1438" s="32">
        <v>4334234629</v>
      </c>
      <c r="C1438" s="32" t="s">
        <v>37</v>
      </c>
      <c r="D1438" s="32">
        <v>4430265054</v>
      </c>
      <c r="E1438" s="32">
        <v>472</v>
      </c>
      <c r="F1438" s="32">
        <v>369</v>
      </c>
      <c r="G1438" s="32" t="s">
        <v>38</v>
      </c>
      <c r="H1438" s="32" t="s">
        <v>6855</v>
      </c>
      <c r="I1438" s="32" t="s">
        <v>39</v>
      </c>
      <c r="J1438" s="32" t="s">
        <v>40</v>
      </c>
      <c r="K1438" s="32" t="s">
        <v>41</v>
      </c>
      <c r="M1438" s="32" t="s">
        <v>5410</v>
      </c>
      <c r="N1438" s="32" t="s">
        <v>37</v>
      </c>
    </row>
    <row r="1439" spans="1:14" s="32" customFormat="1" hidden="1" x14ac:dyDescent="0.3">
      <c r="A1439" s="39">
        <v>46184.409131944441</v>
      </c>
      <c r="B1439" s="32">
        <v>81988293889</v>
      </c>
      <c r="C1439" s="32" t="s">
        <v>43</v>
      </c>
      <c r="D1439" s="32">
        <v>4431268225</v>
      </c>
      <c r="E1439" s="32">
        <v>1095</v>
      </c>
      <c r="F1439" s="32">
        <v>925</v>
      </c>
      <c r="G1439" s="32" t="s">
        <v>38</v>
      </c>
      <c r="H1439" s="32" t="s">
        <v>6856</v>
      </c>
      <c r="I1439" s="32" t="s">
        <v>39</v>
      </c>
      <c r="J1439" s="32" t="s">
        <v>40</v>
      </c>
      <c r="K1439" s="32" t="s">
        <v>41</v>
      </c>
      <c r="M1439" s="32" t="s">
        <v>5418</v>
      </c>
      <c r="N1439" s="32" t="s">
        <v>43</v>
      </c>
    </row>
    <row r="1440" spans="1:14" s="32" customFormat="1" hidden="1" x14ac:dyDescent="0.3">
      <c r="A1440" s="39">
        <v>46184.407673611109</v>
      </c>
      <c r="B1440" s="32">
        <v>44991098997</v>
      </c>
      <c r="C1440" s="32" t="s">
        <v>45</v>
      </c>
      <c r="D1440" s="32">
        <v>4430265054</v>
      </c>
      <c r="E1440" s="32">
        <v>609</v>
      </c>
      <c r="F1440" s="32">
        <v>498</v>
      </c>
      <c r="G1440" s="32" t="s">
        <v>38</v>
      </c>
      <c r="H1440" s="32" t="s">
        <v>6857</v>
      </c>
      <c r="I1440" s="32" t="s">
        <v>39</v>
      </c>
      <c r="J1440" s="32" t="s">
        <v>40</v>
      </c>
      <c r="K1440" s="32" t="s">
        <v>41</v>
      </c>
      <c r="M1440" s="32" t="s">
        <v>5421</v>
      </c>
      <c r="N1440" s="32" t="s">
        <v>45</v>
      </c>
    </row>
    <row r="1441" spans="1:14" s="32" customFormat="1" hidden="1" x14ac:dyDescent="0.3">
      <c r="A1441" s="39">
        <v>46184.406585648147</v>
      </c>
      <c r="B1441" s="32">
        <v>53981112780</v>
      </c>
      <c r="C1441" s="32" t="s">
        <v>45</v>
      </c>
      <c r="D1441" s="32">
        <v>4430265054</v>
      </c>
      <c r="E1441" s="32">
        <v>165</v>
      </c>
      <c r="F1441" s="32">
        <v>104</v>
      </c>
      <c r="G1441" s="32" t="s">
        <v>38</v>
      </c>
      <c r="H1441" s="32" t="s">
        <v>6858</v>
      </c>
      <c r="I1441" s="32" t="s">
        <v>39</v>
      </c>
      <c r="J1441" s="32" t="s">
        <v>40</v>
      </c>
      <c r="K1441" s="32" t="s">
        <v>41</v>
      </c>
      <c r="L1441" s="32">
        <v>4</v>
      </c>
      <c r="M1441" s="32" t="s">
        <v>5421</v>
      </c>
      <c r="N1441" s="32" t="s">
        <v>45</v>
      </c>
    </row>
    <row r="1442" spans="1:14" s="32" customFormat="1" hidden="1" x14ac:dyDescent="0.3">
      <c r="A1442" s="39">
        <v>46184.40216435185</v>
      </c>
      <c r="B1442" s="32" t="s">
        <v>37</v>
      </c>
      <c r="C1442" s="32">
        <v>44998266194</v>
      </c>
      <c r="E1442" s="32">
        <v>603</v>
      </c>
      <c r="F1442" s="32">
        <v>597</v>
      </c>
      <c r="G1442" s="32" t="s">
        <v>38</v>
      </c>
      <c r="H1442" s="32" t="s">
        <v>6859</v>
      </c>
      <c r="I1442" s="32" t="s">
        <v>46</v>
      </c>
      <c r="J1442" s="32" t="s">
        <v>40</v>
      </c>
      <c r="M1442" s="32" t="s">
        <v>5410</v>
      </c>
      <c r="N1442" s="32" t="s">
        <v>37</v>
      </c>
    </row>
    <row r="1443" spans="1:14" s="32" customFormat="1" hidden="1" x14ac:dyDescent="0.3">
      <c r="A1443" s="39">
        <v>46184.396944444445</v>
      </c>
      <c r="B1443" s="32">
        <v>41995010487</v>
      </c>
      <c r="C1443" s="32" t="s">
        <v>43</v>
      </c>
      <c r="D1443" s="32">
        <v>4430265054</v>
      </c>
      <c r="E1443" s="32">
        <v>178</v>
      </c>
      <c r="F1443" s="32">
        <v>85</v>
      </c>
      <c r="G1443" s="32" t="s">
        <v>38</v>
      </c>
      <c r="H1443" s="32" t="s">
        <v>6860</v>
      </c>
      <c r="I1443" s="32" t="s">
        <v>39</v>
      </c>
      <c r="J1443" s="32" t="s">
        <v>40</v>
      </c>
      <c r="K1443" s="32" t="s">
        <v>41</v>
      </c>
      <c r="M1443" s="32" t="s">
        <v>5418</v>
      </c>
      <c r="N1443" s="32" t="s">
        <v>43</v>
      </c>
    </row>
    <row r="1444" spans="1:14" s="32" customFormat="1" hidden="1" x14ac:dyDescent="0.3">
      <c r="A1444" s="39">
        <v>46184.388194444444</v>
      </c>
      <c r="B1444" s="32">
        <v>4334726613</v>
      </c>
      <c r="C1444" s="32" t="s">
        <v>48</v>
      </c>
      <c r="D1444" s="32">
        <v>4430265054</v>
      </c>
      <c r="E1444" s="32">
        <v>943</v>
      </c>
      <c r="F1444" s="32">
        <v>894</v>
      </c>
      <c r="G1444" s="32" t="s">
        <v>38</v>
      </c>
      <c r="H1444" s="32" t="s">
        <v>6861</v>
      </c>
      <c r="I1444" s="32" t="s">
        <v>39</v>
      </c>
      <c r="J1444" s="32" t="s">
        <v>40</v>
      </c>
      <c r="K1444" s="32" t="s">
        <v>41</v>
      </c>
      <c r="M1444" s="32" t="s">
        <v>5412</v>
      </c>
      <c r="N1444" s="32" t="s">
        <v>48</v>
      </c>
    </row>
    <row r="1445" spans="1:14" s="32" customFormat="1" hidden="1" x14ac:dyDescent="0.3">
      <c r="A1445" s="39">
        <v>46184.386643518519</v>
      </c>
      <c r="B1445" s="32">
        <v>44998266194</v>
      </c>
      <c r="C1445" s="32" t="s">
        <v>37</v>
      </c>
      <c r="D1445" s="32">
        <v>4430265054</v>
      </c>
      <c r="E1445" s="32">
        <v>677</v>
      </c>
      <c r="F1445" s="32">
        <v>662</v>
      </c>
      <c r="G1445" s="32" t="s">
        <v>38</v>
      </c>
      <c r="H1445" s="32" t="s">
        <v>6862</v>
      </c>
      <c r="I1445" s="32" t="s">
        <v>39</v>
      </c>
      <c r="J1445" s="32" t="s">
        <v>40</v>
      </c>
      <c r="K1445" s="32" t="s">
        <v>41</v>
      </c>
      <c r="M1445" s="32" t="s">
        <v>5410</v>
      </c>
      <c r="N1445" s="32" t="s">
        <v>37</v>
      </c>
    </row>
    <row r="1446" spans="1:14" s="32" customFormat="1" hidden="1" x14ac:dyDescent="0.3">
      <c r="A1446" s="39">
        <v>46184.385208333333</v>
      </c>
      <c r="B1446" s="32" t="s">
        <v>45</v>
      </c>
      <c r="C1446" s="32">
        <v>4330333542</v>
      </c>
      <c r="E1446" s="32">
        <v>259</v>
      </c>
      <c r="F1446" s="32">
        <v>251</v>
      </c>
      <c r="G1446" s="32" t="s">
        <v>38</v>
      </c>
      <c r="H1446" s="32" t="s">
        <v>6863</v>
      </c>
      <c r="I1446" s="32" t="s">
        <v>46</v>
      </c>
      <c r="J1446" s="32" t="s">
        <v>40</v>
      </c>
      <c r="M1446" s="32" t="s">
        <v>5421</v>
      </c>
      <c r="N1446" s="32" t="s">
        <v>45</v>
      </c>
    </row>
    <row r="1447" spans="1:14" s="32" customFormat="1" hidden="1" x14ac:dyDescent="0.3">
      <c r="A1447" s="39">
        <v>46184.385104166664</v>
      </c>
      <c r="B1447" s="32" t="s">
        <v>45</v>
      </c>
      <c r="C1447" s="32">
        <v>4334726613</v>
      </c>
      <c r="E1447" s="32">
        <v>1</v>
      </c>
      <c r="F1447" s="32">
        <v>0</v>
      </c>
      <c r="G1447" s="32" t="s">
        <v>47</v>
      </c>
      <c r="H1447" s="32" t="s">
        <v>6864</v>
      </c>
      <c r="I1447" s="32" t="s">
        <v>46</v>
      </c>
      <c r="J1447" s="32" t="s">
        <v>40</v>
      </c>
      <c r="M1447" s="32" t="s">
        <v>5421</v>
      </c>
      <c r="N1447" s="32" t="s">
        <v>45</v>
      </c>
    </row>
    <row r="1448" spans="1:14" s="32" customFormat="1" hidden="1" x14ac:dyDescent="0.3">
      <c r="A1448" s="39">
        <v>46184.381666666668</v>
      </c>
      <c r="B1448" s="32" t="s">
        <v>54</v>
      </c>
      <c r="C1448" s="32">
        <v>33998466626</v>
      </c>
      <c r="E1448" s="32">
        <v>10</v>
      </c>
      <c r="F1448" s="32">
        <v>0</v>
      </c>
      <c r="G1448" s="32" t="s">
        <v>47</v>
      </c>
      <c r="H1448" s="32" t="s">
        <v>6865</v>
      </c>
      <c r="I1448" s="32" t="s">
        <v>46</v>
      </c>
      <c r="J1448" s="32" t="s">
        <v>55</v>
      </c>
      <c r="M1448" s="32" t="s">
        <v>5537</v>
      </c>
      <c r="N1448" s="32" t="s">
        <v>54</v>
      </c>
    </row>
    <row r="1449" spans="1:14" s="32" customFormat="1" hidden="1" x14ac:dyDescent="0.3">
      <c r="A1449" s="39">
        <v>46184.378668981481</v>
      </c>
      <c r="B1449" s="32">
        <v>14997225372</v>
      </c>
      <c r="C1449" s="32" t="s">
        <v>44</v>
      </c>
      <c r="D1449" s="32">
        <v>4430265054</v>
      </c>
      <c r="E1449" s="32">
        <v>1375</v>
      </c>
      <c r="F1449" s="32">
        <v>1358</v>
      </c>
      <c r="G1449" s="32" t="s">
        <v>38</v>
      </c>
      <c r="H1449" s="32" t="s">
        <v>6866</v>
      </c>
      <c r="I1449" s="32" t="s">
        <v>39</v>
      </c>
      <c r="J1449" s="32" t="s">
        <v>40</v>
      </c>
      <c r="K1449" s="32" t="s">
        <v>41</v>
      </c>
      <c r="M1449" s="32" t="s">
        <v>5416</v>
      </c>
      <c r="N1449" s="32" t="s">
        <v>44</v>
      </c>
    </row>
    <row r="1450" spans="1:14" s="32" customFormat="1" hidden="1" x14ac:dyDescent="0.3">
      <c r="A1450" s="39">
        <v>46184.375601851854</v>
      </c>
      <c r="B1450" s="32">
        <v>4430317020</v>
      </c>
      <c r="C1450" s="32" t="s">
        <v>48</v>
      </c>
      <c r="D1450" s="32">
        <v>4430265054</v>
      </c>
      <c r="E1450" s="32">
        <v>495</v>
      </c>
      <c r="F1450" s="32">
        <v>494</v>
      </c>
      <c r="G1450" s="32" t="s">
        <v>38</v>
      </c>
      <c r="H1450" s="32" t="s">
        <v>6867</v>
      </c>
      <c r="I1450" s="32" t="s">
        <v>39</v>
      </c>
      <c r="J1450" s="32" t="s">
        <v>40</v>
      </c>
      <c r="K1450" s="32" t="s">
        <v>41</v>
      </c>
      <c r="L1450" s="32">
        <v>5</v>
      </c>
      <c r="M1450" s="32" t="s">
        <v>5412</v>
      </c>
      <c r="N1450" s="32" t="s">
        <v>48</v>
      </c>
    </row>
    <row r="1451" spans="1:14" s="32" customFormat="1" hidden="1" x14ac:dyDescent="0.3">
      <c r="A1451" s="39">
        <v>46184.375393518516</v>
      </c>
      <c r="B1451" s="32">
        <v>4432541200</v>
      </c>
      <c r="C1451" s="32" t="s">
        <v>37</v>
      </c>
      <c r="D1451" s="32">
        <v>4430265054</v>
      </c>
      <c r="E1451" s="32">
        <v>619</v>
      </c>
      <c r="F1451" s="32">
        <v>556</v>
      </c>
      <c r="G1451" s="32" t="s">
        <v>38</v>
      </c>
      <c r="H1451" s="32" t="s">
        <v>6868</v>
      </c>
      <c r="I1451" s="32" t="s">
        <v>39</v>
      </c>
      <c r="J1451" s="32" t="s">
        <v>40</v>
      </c>
      <c r="K1451" s="32" t="s">
        <v>41</v>
      </c>
      <c r="L1451" s="32">
        <v>5</v>
      </c>
      <c r="M1451" s="32" t="s">
        <v>5410</v>
      </c>
      <c r="N1451" s="32" t="s">
        <v>37</v>
      </c>
    </row>
    <row r="1452" spans="1:14" s="32" customFormat="1" hidden="1" x14ac:dyDescent="0.3">
      <c r="A1452" s="39">
        <v>46184.371678240743</v>
      </c>
      <c r="B1452" s="32">
        <v>4334232912</v>
      </c>
      <c r="C1452" s="32" t="s">
        <v>44</v>
      </c>
      <c r="D1452" s="32">
        <v>4430265054</v>
      </c>
      <c r="E1452" s="32">
        <v>388</v>
      </c>
      <c r="F1452" s="32">
        <v>292</v>
      </c>
      <c r="G1452" s="32" t="s">
        <v>38</v>
      </c>
      <c r="H1452" s="32" t="s">
        <v>6869</v>
      </c>
      <c r="I1452" s="32" t="s">
        <v>39</v>
      </c>
      <c r="J1452" s="32" t="s">
        <v>40</v>
      </c>
      <c r="K1452" s="32" t="s">
        <v>41</v>
      </c>
      <c r="L1452" s="32">
        <v>5</v>
      </c>
      <c r="M1452" s="32" t="s">
        <v>5416</v>
      </c>
      <c r="N1452" s="32" t="s">
        <v>44</v>
      </c>
    </row>
    <row r="1453" spans="1:14" s="32" customFormat="1" hidden="1" x14ac:dyDescent="0.3">
      <c r="A1453" s="39">
        <v>46184.37054398148</v>
      </c>
      <c r="B1453" s="32">
        <v>44998100737</v>
      </c>
      <c r="C1453" s="32" t="s">
        <v>43</v>
      </c>
      <c r="D1453" s="32">
        <v>4430265054</v>
      </c>
      <c r="E1453" s="32">
        <v>860</v>
      </c>
      <c r="F1453" s="32">
        <v>802</v>
      </c>
      <c r="G1453" s="32" t="s">
        <v>38</v>
      </c>
      <c r="H1453" s="32" t="s">
        <v>6870</v>
      </c>
      <c r="I1453" s="32" t="s">
        <v>39</v>
      </c>
      <c r="J1453" s="32" t="s">
        <v>40</v>
      </c>
      <c r="K1453" s="32" t="s">
        <v>41</v>
      </c>
      <c r="L1453" s="32">
        <v>5</v>
      </c>
      <c r="M1453" s="32" t="s">
        <v>5418</v>
      </c>
      <c r="N1453" s="32" t="s">
        <v>43</v>
      </c>
    </row>
    <row r="1454" spans="1:14" s="32" customFormat="1" hidden="1" x14ac:dyDescent="0.3">
      <c r="A1454" s="39">
        <v>46184.370173611111</v>
      </c>
      <c r="B1454" s="32">
        <v>81988293889</v>
      </c>
      <c r="C1454" s="32" t="s">
        <v>45</v>
      </c>
      <c r="D1454" s="32">
        <v>4431268225</v>
      </c>
      <c r="E1454" s="32">
        <v>903</v>
      </c>
      <c r="F1454" s="32">
        <v>862</v>
      </c>
      <c r="G1454" s="32" t="s">
        <v>38</v>
      </c>
      <c r="H1454" s="32" t="s">
        <v>6871</v>
      </c>
      <c r="I1454" s="32" t="s">
        <v>39</v>
      </c>
      <c r="J1454" s="32" t="s">
        <v>40</v>
      </c>
      <c r="K1454" s="32" t="s">
        <v>41</v>
      </c>
      <c r="L1454" s="32">
        <v>5</v>
      </c>
      <c r="M1454" s="32" t="s">
        <v>5421</v>
      </c>
      <c r="N1454" s="32" t="s">
        <v>45</v>
      </c>
    </row>
    <row r="1455" spans="1:14" s="32" customFormat="1" hidden="1" x14ac:dyDescent="0.3">
      <c r="A1455" s="39">
        <v>46184.3671875</v>
      </c>
      <c r="B1455" s="32">
        <v>4334728840</v>
      </c>
      <c r="C1455" s="32" t="s">
        <v>48</v>
      </c>
      <c r="D1455" s="32">
        <v>4430265054</v>
      </c>
      <c r="E1455" s="32">
        <v>150</v>
      </c>
      <c r="F1455" s="32">
        <v>150</v>
      </c>
      <c r="G1455" s="32" t="s">
        <v>38</v>
      </c>
      <c r="H1455" s="32" t="s">
        <v>6872</v>
      </c>
      <c r="I1455" s="32" t="s">
        <v>39</v>
      </c>
      <c r="J1455" s="32" t="s">
        <v>40</v>
      </c>
      <c r="K1455" s="32" t="s">
        <v>41</v>
      </c>
      <c r="M1455" s="32" t="s">
        <v>5412</v>
      </c>
      <c r="N1455" s="32" t="s">
        <v>48</v>
      </c>
    </row>
    <row r="1456" spans="1:14" s="32" customFormat="1" hidden="1" x14ac:dyDescent="0.3">
      <c r="A1456" s="39">
        <v>46184.36173611111</v>
      </c>
      <c r="B1456" s="32">
        <v>4334726613</v>
      </c>
      <c r="C1456" s="32" t="s">
        <v>37</v>
      </c>
      <c r="D1456" s="32">
        <v>4430265054</v>
      </c>
      <c r="E1456" s="32">
        <v>400</v>
      </c>
      <c r="F1456" s="32">
        <v>382</v>
      </c>
      <c r="G1456" s="32" t="s">
        <v>38</v>
      </c>
      <c r="H1456" s="32" t="s">
        <v>6873</v>
      </c>
      <c r="I1456" s="32" t="s">
        <v>39</v>
      </c>
      <c r="J1456" s="32" t="s">
        <v>40</v>
      </c>
      <c r="K1456" s="32" t="s">
        <v>41</v>
      </c>
      <c r="M1456" s="32" t="s">
        <v>5410</v>
      </c>
      <c r="N1456" s="32" t="s">
        <v>37</v>
      </c>
    </row>
    <row r="1457" spans="1:14" s="32" customFormat="1" hidden="1" x14ac:dyDescent="0.3">
      <c r="A1457" s="39">
        <v>46184.360972222225</v>
      </c>
      <c r="B1457" s="32">
        <v>4432325260</v>
      </c>
      <c r="C1457" s="32" t="s">
        <v>43</v>
      </c>
      <c r="D1457" s="32">
        <v>4430265054</v>
      </c>
      <c r="E1457" s="32">
        <v>325</v>
      </c>
      <c r="F1457" s="32">
        <v>282</v>
      </c>
      <c r="G1457" s="32" t="s">
        <v>38</v>
      </c>
      <c r="H1457" s="32" t="s">
        <v>6874</v>
      </c>
      <c r="I1457" s="32" t="s">
        <v>39</v>
      </c>
      <c r="J1457" s="32" t="s">
        <v>40</v>
      </c>
      <c r="K1457" s="32" t="s">
        <v>41</v>
      </c>
      <c r="M1457" s="32" t="s">
        <v>5418</v>
      </c>
      <c r="N1457" s="32" t="s">
        <v>43</v>
      </c>
    </row>
    <row r="1458" spans="1:14" s="32" customFormat="1" hidden="1" x14ac:dyDescent="0.3">
      <c r="A1458" s="39">
        <v>46184.359837962962</v>
      </c>
      <c r="B1458" s="32">
        <v>4432325260</v>
      </c>
      <c r="C1458" s="32" t="s">
        <v>37</v>
      </c>
      <c r="D1458" s="32">
        <v>4430265054</v>
      </c>
      <c r="E1458" s="32">
        <v>75</v>
      </c>
      <c r="F1458" s="32">
        <v>26</v>
      </c>
      <c r="G1458" s="32" t="s">
        <v>38</v>
      </c>
      <c r="H1458" s="32" t="s">
        <v>6875</v>
      </c>
      <c r="I1458" s="32" t="s">
        <v>39</v>
      </c>
      <c r="J1458" s="32" t="s">
        <v>40</v>
      </c>
      <c r="K1458" s="32" t="s">
        <v>41</v>
      </c>
      <c r="L1458" s="32">
        <v>1</v>
      </c>
      <c r="M1458" s="32" t="s">
        <v>5410</v>
      </c>
      <c r="N1458" s="32" t="s">
        <v>37</v>
      </c>
    </row>
    <row r="1459" spans="1:14" s="32" customFormat="1" hidden="1" x14ac:dyDescent="0.3">
      <c r="A1459" s="39">
        <v>46184.3596875</v>
      </c>
      <c r="B1459" s="32">
        <v>4430315826</v>
      </c>
      <c r="C1459" s="32" t="s">
        <v>44</v>
      </c>
      <c r="D1459" s="32">
        <v>4430265054</v>
      </c>
      <c r="E1459" s="32">
        <v>413</v>
      </c>
      <c r="F1459" s="32">
        <v>284</v>
      </c>
      <c r="G1459" s="32" t="s">
        <v>38</v>
      </c>
      <c r="H1459" s="32" t="s">
        <v>6876</v>
      </c>
      <c r="I1459" s="32" t="s">
        <v>39</v>
      </c>
      <c r="J1459" s="32" t="s">
        <v>40</v>
      </c>
      <c r="K1459" s="32" t="s">
        <v>41</v>
      </c>
      <c r="L1459" s="32">
        <v>5</v>
      </c>
      <c r="M1459" s="32" t="s">
        <v>5416</v>
      </c>
      <c r="N1459" s="32" t="s">
        <v>44</v>
      </c>
    </row>
    <row r="1460" spans="1:14" s="32" customFormat="1" hidden="1" x14ac:dyDescent="0.3">
      <c r="A1460" s="39">
        <v>46184.357615740744</v>
      </c>
      <c r="B1460" s="32" t="s">
        <v>37</v>
      </c>
      <c r="C1460" s="32">
        <v>4431414588</v>
      </c>
      <c r="E1460" s="32">
        <v>240</v>
      </c>
      <c r="F1460" s="32">
        <v>234</v>
      </c>
      <c r="G1460" s="32" t="s">
        <v>38</v>
      </c>
      <c r="H1460" s="32" t="s">
        <v>6877</v>
      </c>
      <c r="I1460" s="32" t="s">
        <v>46</v>
      </c>
      <c r="J1460" s="32" t="s">
        <v>40</v>
      </c>
      <c r="M1460" s="32" t="s">
        <v>5410</v>
      </c>
      <c r="N1460" s="32" t="s">
        <v>37</v>
      </c>
    </row>
    <row r="1461" spans="1:14" s="32" customFormat="1" x14ac:dyDescent="0.3">
      <c r="A1461" s="39">
        <v>46184.355624999997</v>
      </c>
      <c r="B1461" s="32" t="s">
        <v>44</v>
      </c>
      <c r="C1461" s="32">
        <v>44998107650</v>
      </c>
      <c r="E1461" s="32">
        <v>35</v>
      </c>
      <c r="F1461" s="32">
        <v>24</v>
      </c>
      <c r="G1461" s="32" t="s">
        <v>38</v>
      </c>
      <c r="H1461" s="32" t="s">
        <v>6878</v>
      </c>
      <c r="I1461" s="32" t="s">
        <v>46</v>
      </c>
      <c r="J1461" s="32" t="s">
        <v>40</v>
      </c>
      <c r="M1461" s="32" t="s">
        <v>5416</v>
      </c>
      <c r="N1461" s="32" t="s">
        <v>44</v>
      </c>
    </row>
    <row r="1462" spans="1:14" s="32" customFormat="1" x14ac:dyDescent="0.3">
      <c r="A1462" s="39">
        <v>46184.355173611111</v>
      </c>
      <c r="B1462" s="32" t="s">
        <v>44</v>
      </c>
      <c r="C1462" s="32">
        <v>44998107650</v>
      </c>
      <c r="E1462" s="32">
        <v>35</v>
      </c>
      <c r="F1462" s="32">
        <v>0</v>
      </c>
      <c r="G1462" s="32" t="s">
        <v>47</v>
      </c>
      <c r="H1462" s="32" t="s">
        <v>6879</v>
      </c>
      <c r="I1462" s="32" t="s">
        <v>46</v>
      </c>
      <c r="J1462" s="32" t="s">
        <v>40</v>
      </c>
      <c r="M1462" s="32" t="s">
        <v>5416</v>
      </c>
      <c r="N1462" s="32" t="s">
        <v>44</v>
      </c>
    </row>
    <row r="1463" spans="1:14" s="32" customFormat="1" x14ac:dyDescent="0.3">
      <c r="A1463" s="39">
        <v>46184.355104166665</v>
      </c>
      <c r="B1463" s="32" t="s">
        <v>44</v>
      </c>
      <c r="C1463" s="32">
        <v>44998107650</v>
      </c>
      <c r="E1463" s="32">
        <v>5</v>
      </c>
      <c r="F1463" s="32">
        <v>0</v>
      </c>
      <c r="G1463" s="32" t="s">
        <v>47</v>
      </c>
      <c r="H1463" s="32" t="s">
        <v>6880</v>
      </c>
      <c r="I1463" s="32" t="s">
        <v>46</v>
      </c>
      <c r="J1463" s="32" t="s">
        <v>40</v>
      </c>
      <c r="M1463" s="32" t="s">
        <v>5416</v>
      </c>
      <c r="N1463" s="32" t="s">
        <v>44</v>
      </c>
    </row>
    <row r="1464" spans="1:14" s="32" customFormat="1" hidden="1" x14ac:dyDescent="0.3">
      <c r="A1464" s="39">
        <v>46184.354675925926</v>
      </c>
      <c r="B1464" s="32" t="s">
        <v>37</v>
      </c>
      <c r="C1464" s="32">
        <v>4433321380</v>
      </c>
      <c r="E1464" s="32">
        <v>6</v>
      </c>
      <c r="F1464" s="32">
        <v>0</v>
      </c>
      <c r="G1464" s="32" t="s">
        <v>47</v>
      </c>
      <c r="H1464" s="32" t="s">
        <v>6881</v>
      </c>
      <c r="I1464" s="32" t="s">
        <v>46</v>
      </c>
      <c r="J1464" s="32" t="s">
        <v>40</v>
      </c>
      <c r="M1464" s="32" t="s">
        <v>5410</v>
      </c>
      <c r="N1464" s="32" t="s">
        <v>37</v>
      </c>
    </row>
    <row r="1465" spans="1:14" s="32" customFormat="1" hidden="1" x14ac:dyDescent="0.3">
      <c r="A1465" s="39">
        <v>46184.353865740741</v>
      </c>
      <c r="B1465" s="32">
        <v>4334728840</v>
      </c>
      <c r="C1465" s="32">
        <v>4430265054</v>
      </c>
      <c r="D1465" s="32">
        <v>4430265054</v>
      </c>
      <c r="E1465" s="32">
        <v>29</v>
      </c>
      <c r="F1465" s="32">
        <v>28</v>
      </c>
      <c r="G1465" s="32" t="s">
        <v>52</v>
      </c>
      <c r="H1465" s="32" t="s">
        <v>6882</v>
      </c>
      <c r="I1465" s="32" t="s">
        <v>39</v>
      </c>
      <c r="J1465" s="32" t="s">
        <v>53</v>
      </c>
    </row>
    <row r="1466" spans="1:14" s="32" customFormat="1" x14ac:dyDescent="0.3">
      <c r="A1466" s="39">
        <v>46184.346990740742</v>
      </c>
      <c r="B1466" s="32" t="s">
        <v>44</v>
      </c>
      <c r="C1466" s="32">
        <v>4430315826</v>
      </c>
      <c r="E1466" s="32">
        <v>255</v>
      </c>
      <c r="F1466" s="32">
        <v>242</v>
      </c>
      <c r="G1466" s="32" t="s">
        <v>38</v>
      </c>
      <c r="H1466" s="32" t="s">
        <v>6883</v>
      </c>
      <c r="I1466" s="32" t="s">
        <v>46</v>
      </c>
      <c r="J1466" s="32" t="s">
        <v>40</v>
      </c>
      <c r="M1466" s="32" t="s">
        <v>5416</v>
      </c>
      <c r="N1466" s="32" t="s">
        <v>44</v>
      </c>
    </row>
    <row r="1467" spans="1:14" s="32" customFormat="1" x14ac:dyDescent="0.3">
      <c r="A1467" s="39">
        <v>46184.346944444442</v>
      </c>
      <c r="B1467" s="32" t="s">
        <v>44</v>
      </c>
      <c r="C1467" s="32">
        <v>4430315826</v>
      </c>
      <c r="E1467" s="32">
        <v>14</v>
      </c>
      <c r="F1467" s="32">
        <v>13</v>
      </c>
      <c r="G1467" s="32" t="s">
        <v>38</v>
      </c>
      <c r="H1467" s="32" t="s">
        <v>6884</v>
      </c>
      <c r="I1467" s="32" t="s">
        <v>46</v>
      </c>
      <c r="J1467" s="32" t="s">
        <v>40</v>
      </c>
      <c r="M1467" s="32" t="s">
        <v>5416</v>
      </c>
      <c r="N1467" s="32" t="s">
        <v>44</v>
      </c>
    </row>
    <row r="1468" spans="1:14" s="32" customFormat="1" hidden="1" x14ac:dyDescent="0.3">
      <c r="A1468" s="39">
        <v>46184.346273148149</v>
      </c>
      <c r="B1468" s="32">
        <v>4432325260</v>
      </c>
      <c r="C1468" s="32">
        <v>4430265054</v>
      </c>
      <c r="D1468" s="32">
        <v>4430265054</v>
      </c>
      <c r="E1468" s="32">
        <v>14</v>
      </c>
      <c r="F1468" s="32">
        <v>12</v>
      </c>
      <c r="G1468" s="32" t="s">
        <v>52</v>
      </c>
      <c r="H1468" s="32" t="s">
        <v>6885</v>
      </c>
      <c r="I1468" s="32" t="s">
        <v>39</v>
      </c>
      <c r="J1468" s="32" t="s">
        <v>53</v>
      </c>
    </row>
    <row r="1469" spans="1:14" s="32" customFormat="1" hidden="1" x14ac:dyDescent="0.3">
      <c r="A1469" s="39">
        <v>46183.739560185182</v>
      </c>
      <c r="B1469" s="32" t="s">
        <v>37</v>
      </c>
      <c r="C1469" s="32">
        <v>44999680829</v>
      </c>
      <c r="E1469" s="32">
        <v>189</v>
      </c>
      <c r="F1469" s="32">
        <v>184</v>
      </c>
      <c r="G1469" s="32" t="s">
        <v>38</v>
      </c>
      <c r="H1469" s="32" t="s">
        <v>6886</v>
      </c>
      <c r="I1469" s="32" t="s">
        <v>46</v>
      </c>
      <c r="J1469" s="32" t="s">
        <v>40</v>
      </c>
      <c r="L1469" s="32">
        <v>5</v>
      </c>
      <c r="M1469" s="32" t="s">
        <v>5410</v>
      </c>
      <c r="N1469" s="32" t="s">
        <v>37</v>
      </c>
    </row>
    <row r="1470" spans="1:14" s="32" customFormat="1" hidden="1" x14ac:dyDescent="0.3">
      <c r="A1470" s="39">
        <v>46183.734513888892</v>
      </c>
      <c r="B1470" s="32" t="s">
        <v>54</v>
      </c>
      <c r="C1470" s="32">
        <v>98982902826</v>
      </c>
      <c r="E1470" s="32">
        <v>5</v>
      </c>
      <c r="F1470" s="32">
        <v>1</v>
      </c>
      <c r="G1470" s="32" t="s">
        <v>38</v>
      </c>
      <c r="H1470" s="32" t="s">
        <v>6887</v>
      </c>
      <c r="I1470" s="32" t="s">
        <v>46</v>
      </c>
      <c r="J1470" s="32" t="s">
        <v>55</v>
      </c>
      <c r="M1470" s="32" t="s">
        <v>5537</v>
      </c>
      <c r="N1470" s="32" t="s">
        <v>54</v>
      </c>
    </row>
    <row r="1471" spans="1:14" s="32" customFormat="1" hidden="1" x14ac:dyDescent="0.3">
      <c r="A1471" s="39">
        <v>46183.723692129628</v>
      </c>
      <c r="B1471" s="32" t="s">
        <v>54</v>
      </c>
      <c r="C1471" s="32">
        <v>71987380057</v>
      </c>
      <c r="E1471" s="32">
        <v>52</v>
      </c>
      <c r="F1471" s="32">
        <v>33</v>
      </c>
      <c r="G1471" s="32" t="s">
        <v>38</v>
      </c>
      <c r="H1471" s="32" t="s">
        <v>6888</v>
      </c>
      <c r="I1471" s="32" t="s">
        <v>46</v>
      </c>
      <c r="J1471" s="32" t="s">
        <v>55</v>
      </c>
      <c r="M1471" s="32" t="s">
        <v>5537</v>
      </c>
      <c r="N1471" s="32" t="s">
        <v>54</v>
      </c>
    </row>
    <row r="1472" spans="1:14" s="32" customFormat="1" hidden="1" x14ac:dyDescent="0.3">
      <c r="A1472" s="39">
        <v>46183.722060185188</v>
      </c>
      <c r="B1472" s="32" t="s">
        <v>45</v>
      </c>
      <c r="C1472" s="32">
        <v>4330333542</v>
      </c>
      <c r="E1472" s="32">
        <v>62</v>
      </c>
      <c r="F1472" s="32">
        <v>53</v>
      </c>
      <c r="G1472" s="32" t="s">
        <v>38</v>
      </c>
      <c r="H1472" s="32" t="s">
        <v>6889</v>
      </c>
      <c r="I1472" s="32" t="s">
        <v>46</v>
      </c>
      <c r="J1472" s="32" t="s">
        <v>40</v>
      </c>
      <c r="M1472" s="32" t="s">
        <v>5421</v>
      </c>
      <c r="N1472" s="32" t="s">
        <v>45</v>
      </c>
    </row>
    <row r="1473" spans="1:14" s="32" customFormat="1" hidden="1" x14ac:dyDescent="0.3">
      <c r="A1473" s="39">
        <v>46183.721770833334</v>
      </c>
      <c r="B1473" s="32">
        <v>4334726613</v>
      </c>
      <c r="C1473" s="32" t="s">
        <v>45</v>
      </c>
      <c r="D1473" s="32">
        <v>4430265054</v>
      </c>
      <c r="E1473" s="32">
        <v>329</v>
      </c>
      <c r="F1473" s="32">
        <v>271</v>
      </c>
      <c r="G1473" s="32" t="s">
        <v>38</v>
      </c>
      <c r="H1473" s="32" t="s">
        <v>6890</v>
      </c>
      <c r="I1473" s="32" t="s">
        <v>39</v>
      </c>
      <c r="J1473" s="32" t="s">
        <v>40</v>
      </c>
      <c r="K1473" s="32" t="s">
        <v>41</v>
      </c>
      <c r="M1473" s="32" t="s">
        <v>5421</v>
      </c>
      <c r="N1473" s="32" t="s">
        <v>45</v>
      </c>
    </row>
    <row r="1474" spans="1:14" s="32" customFormat="1" hidden="1" x14ac:dyDescent="0.3">
      <c r="A1474" s="39">
        <v>46183.721608796295</v>
      </c>
      <c r="B1474" s="32" t="s">
        <v>45</v>
      </c>
      <c r="C1474" s="32">
        <v>44999733630</v>
      </c>
      <c r="E1474" s="32">
        <v>2</v>
      </c>
      <c r="F1474" s="32">
        <v>0</v>
      </c>
      <c r="G1474" s="32" t="s">
        <v>47</v>
      </c>
      <c r="H1474" s="32" t="s">
        <v>6891</v>
      </c>
      <c r="I1474" s="32" t="s">
        <v>46</v>
      </c>
      <c r="J1474" s="32" t="s">
        <v>40</v>
      </c>
      <c r="M1474" s="32" t="s">
        <v>5421</v>
      </c>
      <c r="N1474" s="32" t="s">
        <v>45</v>
      </c>
    </row>
    <row r="1475" spans="1:14" s="32" customFormat="1" hidden="1" x14ac:dyDescent="0.3">
      <c r="A1475" s="39">
        <v>46183.721064814818</v>
      </c>
      <c r="B1475" s="32" t="s">
        <v>54</v>
      </c>
      <c r="C1475" s="32">
        <v>11971868860</v>
      </c>
      <c r="E1475" s="32">
        <v>10</v>
      </c>
      <c r="F1475" s="32">
        <v>0</v>
      </c>
      <c r="G1475" s="32" t="s">
        <v>47</v>
      </c>
      <c r="H1475" s="32" t="s">
        <v>6892</v>
      </c>
      <c r="I1475" s="32" t="s">
        <v>46</v>
      </c>
      <c r="J1475" s="32" t="s">
        <v>55</v>
      </c>
      <c r="M1475" s="32" t="s">
        <v>5537</v>
      </c>
      <c r="N1475" s="32" t="s">
        <v>54</v>
      </c>
    </row>
    <row r="1476" spans="1:14" s="32" customFormat="1" hidden="1" x14ac:dyDescent="0.3">
      <c r="A1476" s="39">
        <v>46183.72078703704</v>
      </c>
      <c r="B1476" s="32" t="s">
        <v>54</v>
      </c>
      <c r="C1476" s="32">
        <v>95999577261</v>
      </c>
      <c r="E1476" s="32">
        <v>4</v>
      </c>
      <c r="F1476" s="32">
        <v>0</v>
      </c>
      <c r="G1476" s="32" t="s">
        <v>47</v>
      </c>
      <c r="H1476" s="32" t="s">
        <v>6893</v>
      </c>
      <c r="I1476" s="32" t="s">
        <v>46</v>
      </c>
      <c r="J1476" s="32" t="s">
        <v>55</v>
      </c>
      <c r="M1476" s="32" t="s">
        <v>5537</v>
      </c>
      <c r="N1476" s="32" t="s">
        <v>54</v>
      </c>
    </row>
    <row r="1477" spans="1:14" s="32" customFormat="1" hidden="1" x14ac:dyDescent="0.3">
      <c r="A1477" s="39">
        <v>46183.72</v>
      </c>
      <c r="B1477" s="32" t="s">
        <v>54</v>
      </c>
      <c r="C1477" s="32">
        <v>15996542059</v>
      </c>
      <c r="E1477" s="32">
        <v>16</v>
      </c>
      <c r="F1477" s="32">
        <v>0</v>
      </c>
      <c r="G1477" s="32" t="s">
        <v>47</v>
      </c>
      <c r="H1477" s="32" t="s">
        <v>6894</v>
      </c>
      <c r="I1477" s="32" t="s">
        <v>46</v>
      </c>
      <c r="J1477" s="32" t="s">
        <v>55</v>
      </c>
      <c r="M1477" s="32" t="s">
        <v>5537</v>
      </c>
      <c r="N1477" s="32" t="s">
        <v>54</v>
      </c>
    </row>
    <row r="1478" spans="1:14" s="32" customFormat="1" hidden="1" x14ac:dyDescent="0.3">
      <c r="A1478" s="39">
        <v>46183.719710648147</v>
      </c>
      <c r="B1478" s="32" t="s">
        <v>45</v>
      </c>
      <c r="C1478" s="32">
        <v>4334726613</v>
      </c>
      <c r="E1478" s="32">
        <v>0</v>
      </c>
      <c r="F1478" s="32">
        <v>0</v>
      </c>
      <c r="G1478" s="32" t="s">
        <v>47</v>
      </c>
      <c r="H1478" s="32" t="s">
        <v>6895</v>
      </c>
      <c r="I1478" s="32" t="s">
        <v>46</v>
      </c>
      <c r="J1478" s="32" t="s">
        <v>40</v>
      </c>
      <c r="M1478" s="32" t="s">
        <v>5421</v>
      </c>
      <c r="N1478" s="32" t="s">
        <v>45</v>
      </c>
    </row>
    <row r="1479" spans="1:14" s="32" customFormat="1" hidden="1" x14ac:dyDescent="0.3">
      <c r="A1479" s="39">
        <v>46183.719513888886</v>
      </c>
      <c r="B1479" s="32" t="s">
        <v>45</v>
      </c>
      <c r="C1479" s="32">
        <v>4334726613</v>
      </c>
      <c r="E1479" s="32">
        <v>0</v>
      </c>
      <c r="F1479" s="32">
        <v>0</v>
      </c>
      <c r="G1479" s="32" t="s">
        <v>47</v>
      </c>
      <c r="H1479" s="32" t="s">
        <v>6896</v>
      </c>
      <c r="I1479" s="32" t="s">
        <v>46</v>
      </c>
      <c r="J1479" s="32" t="s">
        <v>40</v>
      </c>
      <c r="M1479" s="32" t="s">
        <v>5421</v>
      </c>
      <c r="N1479" s="32" t="s">
        <v>45</v>
      </c>
    </row>
    <row r="1480" spans="1:14" s="32" customFormat="1" hidden="1" x14ac:dyDescent="0.3">
      <c r="A1480" s="39">
        <v>46183.718969907408</v>
      </c>
      <c r="B1480" s="32">
        <v>4334728840</v>
      </c>
      <c r="C1480" s="32" t="s">
        <v>45</v>
      </c>
      <c r="D1480" s="32">
        <v>4430265054</v>
      </c>
      <c r="E1480" s="32">
        <v>207</v>
      </c>
      <c r="F1480" s="32">
        <v>125</v>
      </c>
      <c r="G1480" s="32" t="s">
        <v>38</v>
      </c>
      <c r="H1480" s="32" t="s">
        <v>6897</v>
      </c>
      <c r="I1480" s="32" t="s">
        <v>39</v>
      </c>
      <c r="J1480" s="32" t="s">
        <v>40</v>
      </c>
      <c r="K1480" s="32" t="s">
        <v>41</v>
      </c>
      <c r="M1480" s="32" t="s">
        <v>5421</v>
      </c>
      <c r="N1480" s="32" t="s">
        <v>45</v>
      </c>
    </row>
    <row r="1481" spans="1:14" s="32" customFormat="1" hidden="1" x14ac:dyDescent="0.3">
      <c r="A1481" s="39">
        <v>46183.718784722223</v>
      </c>
      <c r="B1481" s="32" t="s">
        <v>45</v>
      </c>
      <c r="C1481" s="32">
        <v>4334726613</v>
      </c>
      <c r="E1481" s="32">
        <v>0</v>
      </c>
      <c r="F1481" s="32">
        <v>0</v>
      </c>
      <c r="G1481" s="32" t="s">
        <v>47</v>
      </c>
      <c r="H1481" s="32" t="s">
        <v>6898</v>
      </c>
      <c r="I1481" s="32" t="s">
        <v>46</v>
      </c>
      <c r="J1481" s="32" t="s">
        <v>40</v>
      </c>
      <c r="M1481" s="32" t="s">
        <v>5421</v>
      </c>
      <c r="N1481" s="32" t="s">
        <v>45</v>
      </c>
    </row>
    <row r="1482" spans="1:14" s="32" customFormat="1" hidden="1" x14ac:dyDescent="0.3">
      <c r="A1482" s="39">
        <v>46183.71875</v>
      </c>
      <c r="B1482" s="32" t="s">
        <v>45</v>
      </c>
      <c r="C1482" s="32">
        <v>4334726613</v>
      </c>
      <c r="E1482" s="32">
        <v>0</v>
      </c>
      <c r="F1482" s="32">
        <v>0</v>
      </c>
      <c r="G1482" s="32" t="s">
        <v>47</v>
      </c>
      <c r="H1482" s="32" t="s">
        <v>6899</v>
      </c>
      <c r="I1482" s="32" t="s">
        <v>46</v>
      </c>
      <c r="J1482" s="32" t="s">
        <v>40</v>
      </c>
      <c r="M1482" s="32" t="s">
        <v>5421</v>
      </c>
      <c r="N1482" s="32" t="s">
        <v>45</v>
      </c>
    </row>
    <row r="1483" spans="1:14" s="32" customFormat="1" hidden="1" x14ac:dyDescent="0.3">
      <c r="A1483" s="39">
        <v>46183.718194444446</v>
      </c>
      <c r="B1483" s="32" t="s">
        <v>54</v>
      </c>
      <c r="C1483" s="32">
        <v>11983611928</v>
      </c>
      <c r="E1483" s="32">
        <v>40</v>
      </c>
      <c r="F1483" s="32">
        <v>0</v>
      </c>
      <c r="G1483" s="32" t="s">
        <v>47</v>
      </c>
      <c r="H1483" s="32" t="s">
        <v>6900</v>
      </c>
      <c r="I1483" s="32" t="s">
        <v>46</v>
      </c>
      <c r="J1483" s="32" t="s">
        <v>55</v>
      </c>
      <c r="M1483" s="32" t="s">
        <v>5537</v>
      </c>
      <c r="N1483" s="32" t="s">
        <v>54</v>
      </c>
    </row>
    <row r="1484" spans="1:14" s="32" customFormat="1" hidden="1" x14ac:dyDescent="0.3">
      <c r="A1484" s="39">
        <v>46183.717465277776</v>
      </c>
      <c r="B1484" s="32" t="s">
        <v>54</v>
      </c>
      <c r="C1484" s="32">
        <v>21988703044</v>
      </c>
      <c r="E1484" s="32">
        <v>8</v>
      </c>
      <c r="F1484" s="32">
        <v>0</v>
      </c>
      <c r="G1484" s="32" t="s">
        <v>47</v>
      </c>
      <c r="H1484" s="32" t="s">
        <v>6901</v>
      </c>
      <c r="I1484" s="32" t="s">
        <v>46</v>
      </c>
      <c r="J1484" s="32" t="s">
        <v>55</v>
      </c>
      <c r="M1484" s="32" t="s">
        <v>5537</v>
      </c>
      <c r="N1484" s="32" t="s">
        <v>54</v>
      </c>
    </row>
    <row r="1485" spans="1:14" s="32" customFormat="1" hidden="1" x14ac:dyDescent="0.3">
      <c r="A1485" s="39">
        <v>46183.716377314813</v>
      </c>
      <c r="B1485" s="32">
        <v>44999215148</v>
      </c>
      <c r="C1485" s="32" t="s">
        <v>44</v>
      </c>
      <c r="D1485" s="32">
        <v>4430265054</v>
      </c>
      <c r="E1485" s="32">
        <v>1082</v>
      </c>
      <c r="F1485" s="32">
        <v>984</v>
      </c>
      <c r="G1485" s="32" t="s">
        <v>38</v>
      </c>
      <c r="H1485" s="32" t="s">
        <v>6902</v>
      </c>
      <c r="I1485" s="32" t="s">
        <v>39</v>
      </c>
      <c r="J1485" s="32" t="s">
        <v>40</v>
      </c>
      <c r="K1485" s="32" t="s">
        <v>41</v>
      </c>
      <c r="M1485" s="32" t="s">
        <v>5416</v>
      </c>
      <c r="N1485" s="32" t="s">
        <v>44</v>
      </c>
    </row>
    <row r="1486" spans="1:14" s="32" customFormat="1" hidden="1" x14ac:dyDescent="0.3">
      <c r="A1486" s="39">
        <v>46183.709722222222</v>
      </c>
      <c r="B1486" s="32">
        <v>4334726613</v>
      </c>
      <c r="C1486" s="32" t="s">
        <v>45</v>
      </c>
      <c r="D1486" s="32">
        <v>4430265054</v>
      </c>
      <c r="E1486" s="32">
        <v>353</v>
      </c>
      <c r="F1486" s="32">
        <v>151</v>
      </c>
      <c r="G1486" s="32" t="s">
        <v>38</v>
      </c>
      <c r="H1486" s="32" t="s">
        <v>6903</v>
      </c>
      <c r="I1486" s="32" t="s">
        <v>39</v>
      </c>
      <c r="J1486" s="32" t="s">
        <v>40</v>
      </c>
      <c r="K1486" s="32" t="s">
        <v>41</v>
      </c>
      <c r="M1486" s="32" t="s">
        <v>5421</v>
      </c>
      <c r="N1486" s="32" t="s">
        <v>45</v>
      </c>
    </row>
    <row r="1487" spans="1:14" s="32" customFormat="1" hidden="1" x14ac:dyDescent="0.3">
      <c r="A1487" s="39">
        <v>46183.709247685183</v>
      </c>
      <c r="B1487" s="32">
        <v>4432325260</v>
      </c>
      <c r="C1487" s="32" t="s">
        <v>37</v>
      </c>
      <c r="D1487" s="32">
        <v>4430265054</v>
      </c>
      <c r="E1487" s="32">
        <v>1396</v>
      </c>
      <c r="F1487" s="32">
        <v>1253</v>
      </c>
      <c r="G1487" s="32" t="s">
        <v>38</v>
      </c>
      <c r="H1487" s="32" t="s">
        <v>6904</v>
      </c>
      <c r="I1487" s="32" t="s">
        <v>39</v>
      </c>
      <c r="J1487" s="32" t="s">
        <v>40</v>
      </c>
      <c r="K1487" s="32" t="s">
        <v>41</v>
      </c>
      <c r="L1487" s="32">
        <v>5</v>
      </c>
      <c r="M1487" s="32" t="s">
        <v>5410</v>
      </c>
      <c r="N1487" s="32" t="s">
        <v>37</v>
      </c>
    </row>
    <row r="1488" spans="1:14" s="32" customFormat="1" hidden="1" x14ac:dyDescent="0.3">
      <c r="A1488" s="39">
        <v>46183.70821759259</v>
      </c>
      <c r="B1488" s="32" t="s">
        <v>43</v>
      </c>
      <c r="C1488" s="32">
        <v>44991354005</v>
      </c>
      <c r="E1488" s="32">
        <v>426</v>
      </c>
      <c r="F1488" s="32">
        <v>400</v>
      </c>
      <c r="G1488" s="32" t="s">
        <v>38</v>
      </c>
      <c r="H1488" s="32" t="s">
        <v>6905</v>
      </c>
      <c r="I1488" s="32" t="s">
        <v>46</v>
      </c>
      <c r="J1488" s="32" t="s">
        <v>40</v>
      </c>
      <c r="L1488" s="32">
        <v>5</v>
      </c>
      <c r="M1488" s="32" t="s">
        <v>5418</v>
      </c>
      <c r="N1488" s="32" t="s">
        <v>43</v>
      </c>
    </row>
    <row r="1489" spans="1:14" s="32" customFormat="1" hidden="1" x14ac:dyDescent="0.3">
      <c r="A1489" s="39">
        <v>46183.706875000003</v>
      </c>
      <c r="B1489" s="32">
        <v>44991354005</v>
      </c>
      <c r="C1489" s="32" t="s">
        <v>43</v>
      </c>
      <c r="D1489" s="32">
        <v>4430265054</v>
      </c>
      <c r="E1489" s="32">
        <v>141</v>
      </c>
      <c r="F1489" s="32">
        <v>64</v>
      </c>
      <c r="G1489" s="32" t="s">
        <v>38</v>
      </c>
      <c r="H1489" s="32" t="s">
        <v>6906</v>
      </c>
      <c r="I1489" s="32" t="s">
        <v>39</v>
      </c>
      <c r="J1489" s="32" t="s">
        <v>40</v>
      </c>
      <c r="K1489" s="32" t="s">
        <v>41</v>
      </c>
      <c r="M1489" s="32" t="s">
        <v>5418</v>
      </c>
      <c r="N1489" s="32" t="s">
        <v>43</v>
      </c>
    </row>
    <row r="1490" spans="1:14" s="32" customFormat="1" hidden="1" x14ac:dyDescent="0.3">
      <c r="A1490" s="39">
        <v>46183.702222222222</v>
      </c>
      <c r="B1490" s="32">
        <v>4334232912</v>
      </c>
      <c r="C1490" s="32" t="s">
        <v>48</v>
      </c>
      <c r="D1490" s="32">
        <v>4430265054</v>
      </c>
      <c r="E1490" s="32">
        <v>221</v>
      </c>
      <c r="F1490" s="32">
        <v>221</v>
      </c>
      <c r="G1490" s="32" t="s">
        <v>38</v>
      </c>
      <c r="H1490" s="32" t="s">
        <v>6907</v>
      </c>
      <c r="I1490" s="32" t="s">
        <v>39</v>
      </c>
      <c r="J1490" s="32" t="s">
        <v>40</v>
      </c>
      <c r="K1490" s="32" t="s">
        <v>41</v>
      </c>
      <c r="M1490" s="32" t="s">
        <v>5412</v>
      </c>
      <c r="N1490" s="32" t="s">
        <v>48</v>
      </c>
    </row>
    <row r="1491" spans="1:14" s="32" customFormat="1" hidden="1" x14ac:dyDescent="0.3">
      <c r="A1491" s="39">
        <v>46183.702175925922</v>
      </c>
      <c r="B1491" s="32" t="s">
        <v>45</v>
      </c>
      <c r="C1491" s="32">
        <v>4330333542</v>
      </c>
      <c r="E1491" s="32">
        <v>728</v>
      </c>
      <c r="F1491" s="32">
        <v>717</v>
      </c>
      <c r="G1491" s="32" t="s">
        <v>38</v>
      </c>
      <c r="H1491" s="32" t="s">
        <v>6908</v>
      </c>
      <c r="I1491" s="32" t="s">
        <v>46</v>
      </c>
      <c r="J1491" s="32" t="s">
        <v>40</v>
      </c>
      <c r="M1491" s="32" t="s">
        <v>5421</v>
      </c>
      <c r="N1491" s="32" t="s">
        <v>45</v>
      </c>
    </row>
    <row r="1492" spans="1:14" s="32" customFormat="1" hidden="1" x14ac:dyDescent="0.3">
      <c r="A1492" s="39">
        <v>46183.693819444445</v>
      </c>
      <c r="B1492" s="32">
        <v>4334728840</v>
      </c>
      <c r="C1492" s="32" t="s">
        <v>43</v>
      </c>
      <c r="D1492" s="32">
        <v>4430265054</v>
      </c>
      <c r="E1492" s="32">
        <v>759</v>
      </c>
      <c r="F1492" s="32">
        <v>680</v>
      </c>
      <c r="G1492" s="32" t="s">
        <v>38</v>
      </c>
      <c r="H1492" s="32" t="s">
        <v>6909</v>
      </c>
      <c r="I1492" s="32" t="s">
        <v>39</v>
      </c>
      <c r="J1492" s="32" t="s">
        <v>40</v>
      </c>
      <c r="K1492" s="32" t="s">
        <v>41</v>
      </c>
      <c r="M1492" s="32" t="s">
        <v>5418</v>
      </c>
      <c r="N1492" s="32" t="s">
        <v>43</v>
      </c>
    </row>
    <row r="1493" spans="1:14" s="32" customFormat="1" hidden="1" x14ac:dyDescent="0.3">
      <c r="A1493" s="39">
        <v>46183.682280092595</v>
      </c>
      <c r="B1493" s="32">
        <v>44999680829</v>
      </c>
      <c r="C1493" s="32" t="s">
        <v>37</v>
      </c>
      <c r="D1493" s="32">
        <v>4430265054</v>
      </c>
      <c r="E1493" s="32">
        <v>1778</v>
      </c>
      <c r="F1493" s="32">
        <v>1734</v>
      </c>
      <c r="G1493" s="32" t="s">
        <v>38</v>
      </c>
      <c r="H1493" s="32" t="s">
        <v>6910</v>
      </c>
      <c r="I1493" s="32" t="s">
        <v>39</v>
      </c>
      <c r="J1493" s="32" t="s">
        <v>40</v>
      </c>
      <c r="K1493" s="32" t="s">
        <v>41</v>
      </c>
      <c r="L1493" s="32">
        <v>5</v>
      </c>
      <c r="M1493" s="32" t="s">
        <v>5410</v>
      </c>
      <c r="N1493" s="32" t="s">
        <v>37</v>
      </c>
    </row>
    <row r="1494" spans="1:14" s="32" customFormat="1" x14ac:dyDescent="0.3">
      <c r="A1494" s="39">
        <v>46183.678668981483</v>
      </c>
      <c r="B1494" s="32" t="s">
        <v>44</v>
      </c>
      <c r="C1494" s="32">
        <v>44998107650</v>
      </c>
      <c r="E1494" s="32">
        <v>2113</v>
      </c>
      <c r="F1494" s="32">
        <v>2104</v>
      </c>
      <c r="G1494" s="32" t="s">
        <v>38</v>
      </c>
      <c r="H1494" s="32" t="s">
        <v>6911</v>
      </c>
      <c r="I1494" s="32" t="s">
        <v>46</v>
      </c>
      <c r="J1494" s="32" t="s">
        <v>40</v>
      </c>
      <c r="L1494" s="32">
        <v>5</v>
      </c>
      <c r="M1494" s="32" t="s">
        <v>5416</v>
      </c>
      <c r="N1494" s="32" t="s">
        <v>44</v>
      </c>
    </row>
    <row r="1495" spans="1:14" s="32" customFormat="1" x14ac:dyDescent="0.3">
      <c r="A1495" s="39">
        <v>46183.678564814814</v>
      </c>
      <c r="B1495" s="32" t="s">
        <v>44</v>
      </c>
      <c r="C1495" s="32">
        <v>44998107650</v>
      </c>
      <c r="E1495" s="32">
        <v>9</v>
      </c>
      <c r="F1495" s="32">
        <v>0</v>
      </c>
      <c r="G1495" s="32" t="s">
        <v>47</v>
      </c>
      <c r="H1495" s="32" t="s">
        <v>6912</v>
      </c>
      <c r="I1495" s="32" t="s">
        <v>46</v>
      </c>
      <c r="J1495" s="32" t="s">
        <v>40</v>
      </c>
      <c r="M1495" s="32" t="s">
        <v>5416</v>
      </c>
      <c r="N1495" s="32" t="s">
        <v>44</v>
      </c>
    </row>
    <row r="1496" spans="1:14" s="32" customFormat="1" hidden="1" x14ac:dyDescent="0.3">
      <c r="A1496" s="39">
        <v>46183.678460648145</v>
      </c>
      <c r="B1496" s="32" t="s">
        <v>43</v>
      </c>
      <c r="C1496" s="32">
        <v>44997134514</v>
      </c>
      <c r="E1496" s="32">
        <v>55</v>
      </c>
      <c r="F1496" s="32">
        <v>46</v>
      </c>
      <c r="G1496" s="32" t="s">
        <v>38</v>
      </c>
      <c r="H1496" s="32" t="s">
        <v>6913</v>
      </c>
      <c r="I1496" s="32" t="s">
        <v>46</v>
      </c>
      <c r="J1496" s="32" t="s">
        <v>40</v>
      </c>
      <c r="M1496" s="32" t="s">
        <v>5418</v>
      </c>
      <c r="N1496" s="32" t="s">
        <v>43</v>
      </c>
    </row>
    <row r="1497" spans="1:14" s="32" customFormat="1" hidden="1" x14ac:dyDescent="0.3">
      <c r="A1497" s="39">
        <v>46183.678344907406</v>
      </c>
      <c r="B1497" s="32">
        <v>44999680829</v>
      </c>
      <c r="C1497" s="32">
        <v>4430265054</v>
      </c>
      <c r="D1497" s="32">
        <v>4430265054</v>
      </c>
      <c r="E1497" s="32">
        <v>189</v>
      </c>
      <c r="F1497" s="32">
        <v>189</v>
      </c>
      <c r="G1497" s="32" t="s">
        <v>52</v>
      </c>
      <c r="H1497" s="32" t="s">
        <v>6914</v>
      </c>
      <c r="I1497" s="32" t="s">
        <v>39</v>
      </c>
      <c r="J1497" s="32" t="s">
        <v>53</v>
      </c>
      <c r="K1497" s="32" t="s">
        <v>41</v>
      </c>
    </row>
    <row r="1498" spans="1:14" s="32" customFormat="1" hidden="1" x14ac:dyDescent="0.3">
      <c r="A1498" s="39">
        <v>46183.67796296296</v>
      </c>
      <c r="B1498" s="32">
        <v>41999195082</v>
      </c>
      <c r="C1498" s="32" t="s">
        <v>48</v>
      </c>
      <c r="D1498" s="32">
        <v>4430265054</v>
      </c>
      <c r="E1498" s="32">
        <v>636</v>
      </c>
      <c r="F1498" s="32">
        <v>577</v>
      </c>
      <c r="G1498" s="32" t="s">
        <v>38</v>
      </c>
      <c r="H1498" s="32" t="s">
        <v>6915</v>
      </c>
      <c r="I1498" s="32" t="s">
        <v>39</v>
      </c>
      <c r="J1498" s="32" t="s">
        <v>40</v>
      </c>
      <c r="K1498" s="32" t="s">
        <v>41</v>
      </c>
      <c r="M1498" s="32" t="s">
        <v>5412</v>
      </c>
      <c r="N1498" s="32" t="s">
        <v>48</v>
      </c>
    </row>
    <row r="1499" spans="1:14" s="32" customFormat="1" hidden="1" x14ac:dyDescent="0.3">
      <c r="A1499" s="39">
        <v>46183.677314814813</v>
      </c>
      <c r="B1499" s="32">
        <v>4330333542</v>
      </c>
      <c r="C1499" s="32" t="s">
        <v>45</v>
      </c>
      <c r="D1499" s="32">
        <v>4430265054</v>
      </c>
      <c r="E1499" s="32">
        <v>1474</v>
      </c>
      <c r="F1499" s="32">
        <v>1289</v>
      </c>
      <c r="G1499" s="32" t="s">
        <v>38</v>
      </c>
      <c r="H1499" s="32" t="s">
        <v>6916</v>
      </c>
      <c r="I1499" s="32" t="s">
        <v>39</v>
      </c>
      <c r="J1499" s="32" t="s">
        <v>40</v>
      </c>
      <c r="K1499" s="32" t="s">
        <v>41</v>
      </c>
      <c r="M1499" s="32" t="s">
        <v>5421</v>
      </c>
      <c r="N1499" s="32" t="s">
        <v>45</v>
      </c>
    </row>
    <row r="1500" spans="1:14" s="32" customFormat="1" hidden="1" x14ac:dyDescent="0.3">
      <c r="A1500" s="39">
        <v>46183.671620370369</v>
      </c>
      <c r="B1500" s="32">
        <v>44998107650</v>
      </c>
      <c r="C1500" s="32" t="s">
        <v>45</v>
      </c>
      <c r="D1500" s="32">
        <v>4431268225</v>
      </c>
      <c r="E1500" s="32">
        <v>121</v>
      </c>
      <c r="F1500" s="32">
        <v>73</v>
      </c>
      <c r="G1500" s="32" t="s">
        <v>38</v>
      </c>
      <c r="H1500" s="32" t="s">
        <v>6917</v>
      </c>
      <c r="I1500" s="32" t="s">
        <v>39</v>
      </c>
      <c r="J1500" s="32" t="s">
        <v>40</v>
      </c>
      <c r="K1500" s="32" t="s">
        <v>41</v>
      </c>
      <c r="M1500" s="32" t="s">
        <v>5421</v>
      </c>
      <c r="N1500" s="32" t="s">
        <v>45</v>
      </c>
    </row>
    <row r="1501" spans="1:14" s="32" customFormat="1" hidden="1" x14ac:dyDescent="0.3">
      <c r="A1501" s="39">
        <v>46183.668668981481</v>
      </c>
      <c r="B1501" s="32">
        <v>44998068281</v>
      </c>
      <c r="C1501" s="32" t="s">
        <v>43</v>
      </c>
      <c r="D1501" s="32">
        <v>4430265054</v>
      </c>
      <c r="E1501" s="32">
        <v>370</v>
      </c>
      <c r="F1501" s="32">
        <v>350</v>
      </c>
      <c r="G1501" s="32" t="s">
        <v>38</v>
      </c>
      <c r="H1501" s="32" t="s">
        <v>6918</v>
      </c>
      <c r="I1501" s="32" t="s">
        <v>39</v>
      </c>
      <c r="J1501" s="32" t="s">
        <v>40</v>
      </c>
      <c r="K1501" s="32" t="s">
        <v>41</v>
      </c>
      <c r="L1501" s="32">
        <v>5</v>
      </c>
      <c r="M1501" s="32" t="s">
        <v>5418</v>
      </c>
      <c r="N1501" s="32" t="s">
        <v>43</v>
      </c>
    </row>
    <row r="1502" spans="1:14" s="32" customFormat="1" hidden="1" x14ac:dyDescent="0.3">
      <c r="A1502" s="39">
        <v>46183.66678240741</v>
      </c>
      <c r="B1502" s="32">
        <v>44999647912</v>
      </c>
      <c r="C1502" s="32" t="s">
        <v>44</v>
      </c>
      <c r="D1502" s="32">
        <v>4430265054</v>
      </c>
      <c r="E1502" s="32">
        <v>928</v>
      </c>
      <c r="F1502" s="32">
        <v>850</v>
      </c>
      <c r="G1502" s="32" t="s">
        <v>38</v>
      </c>
      <c r="H1502" s="32" t="s">
        <v>6919</v>
      </c>
      <c r="I1502" s="32" t="s">
        <v>39</v>
      </c>
      <c r="J1502" s="32" t="s">
        <v>40</v>
      </c>
      <c r="K1502" s="32" t="s">
        <v>41</v>
      </c>
      <c r="L1502" s="32">
        <v>4</v>
      </c>
      <c r="M1502" s="32" t="s">
        <v>5416</v>
      </c>
      <c r="N1502" s="32" t="s">
        <v>44</v>
      </c>
    </row>
    <row r="1503" spans="1:14" s="32" customFormat="1" hidden="1" x14ac:dyDescent="0.3">
      <c r="A1503" s="39">
        <v>46183.664583333331</v>
      </c>
      <c r="B1503" s="32">
        <v>4334232912</v>
      </c>
      <c r="C1503" s="32" t="s">
        <v>37</v>
      </c>
      <c r="D1503" s="32">
        <v>4430265054</v>
      </c>
      <c r="E1503" s="32">
        <v>878</v>
      </c>
      <c r="F1503" s="32">
        <v>771</v>
      </c>
      <c r="G1503" s="32" t="s">
        <v>38</v>
      </c>
      <c r="H1503" s="32" t="s">
        <v>6920</v>
      </c>
      <c r="I1503" s="32" t="s">
        <v>39</v>
      </c>
      <c r="J1503" s="32" t="s">
        <v>40</v>
      </c>
      <c r="K1503" s="32" t="s">
        <v>41</v>
      </c>
      <c r="L1503" s="32">
        <v>5</v>
      </c>
      <c r="M1503" s="32" t="s">
        <v>5410</v>
      </c>
      <c r="N1503" s="32" t="s">
        <v>37</v>
      </c>
    </row>
    <row r="1504" spans="1:14" s="32" customFormat="1" hidden="1" x14ac:dyDescent="0.3">
      <c r="A1504" s="39">
        <v>46183.662048611113</v>
      </c>
      <c r="B1504" s="32">
        <v>11973545510</v>
      </c>
      <c r="C1504" s="32" t="s">
        <v>43</v>
      </c>
      <c r="D1504" s="32">
        <v>4430265054</v>
      </c>
      <c r="E1504" s="32">
        <v>334</v>
      </c>
      <c r="F1504" s="32">
        <v>212</v>
      </c>
      <c r="G1504" s="32" t="s">
        <v>38</v>
      </c>
      <c r="H1504" s="32" t="s">
        <v>6921</v>
      </c>
      <c r="I1504" s="32" t="s">
        <v>39</v>
      </c>
      <c r="J1504" s="32" t="s">
        <v>40</v>
      </c>
      <c r="K1504" s="32" t="s">
        <v>41</v>
      </c>
      <c r="M1504" s="32" t="s">
        <v>5418</v>
      </c>
      <c r="N1504" s="32" t="s">
        <v>43</v>
      </c>
    </row>
    <row r="1505" spans="1:14" s="32" customFormat="1" hidden="1" x14ac:dyDescent="0.3">
      <c r="A1505" s="39">
        <v>46183.655462962961</v>
      </c>
      <c r="B1505" s="32">
        <v>1131043888</v>
      </c>
      <c r="C1505" s="32" t="s">
        <v>43</v>
      </c>
      <c r="D1505" s="32">
        <v>4430265054</v>
      </c>
      <c r="E1505" s="32">
        <v>537</v>
      </c>
      <c r="F1505" s="32">
        <v>477</v>
      </c>
      <c r="G1505" s="32" t="s">
        <v>38</v>
      </c>
      <c r="H1505" s="32" t="s">
        <v>6922</v>
      </c>
      <c r="I1505" s="32" t="s">
        <v>39</v>
      </c>
      <c r="J1505" s="32" t="s">
        <v>40</v>
      </c>
      <c r="K1505" s="32" t="s">
        <v>41</v>
      </c>
      <c r="M1505" s="32" t="s">
        <v>5418</v>
      </c>
      <c r="N1505" s="32" t="s">
        <v>43</v>
      </c>
    </row>
    <row r="1506" spans="1:14" s="32" customFormat="1" hidden="1" x14ac:dyDescent="0.3">
      <c r="A1506" s="39">
        <v>46183.647210648145</v>
      </c>
      <c r="B1506" s="32">
        <v>93984119323</v>
      </c>
      <c r="C1506" s="32" t="s">
        <v>43</v>
      </c>
      <c r="D1506" s="32">
        <v>4431268225</v>
      </c>
      <c r="E1506" s="32">
        <v>496</v>
      </c>
      <c r="F1506" s="32">
        <v>469</v>
      </c>
      <c r="G1506" s="32" t="s">
        <v>38</v>
      </c>
      <c r="H1506" s="32" t="s">
        <v>6923</v>
      </c>
      <c r="I1506" s="32" t="s">
        <v>39</v>
      </c>
      <c r="J1506" s="32" t="s">
        <v>40</v>
      </c>
      <c r="K1506" s="32" t="s">
        <v>41</v>
      </c>
      <c r="M1506" s="32" t="s">
        <v>5418</v>
      </c>
      <c r="N1506" s="32" t="s">
        <v>43</v>
      </c>
    </row>
    <row r="1507" spans="1:14" s="32" customFormat="1" hidden="1" x14ac:dyDescent="0.3">
      <c r="A1507" s="39">
        <v>46183.645590277774</v>
      </c>
      <c r="B1507" s="32">
        <v>44997456641</v>
      </c>
      <c r="C1507" s="32" t="s">
        <v>37</v>
      </c>
      <c r="D1507" s="32">
        <v>4430265054</v>
      </c>
      <c r="E1507" s="32">
        <v>797</v>
      </c>
      <c r="F1507" s="32">
        <v>720</v>
      </c>
      <c r="G1507" s="32" t="s">
        <v>38</v>
      </c>
      <c r="H1507" s="32" t="s">
        <v>6924</v>
      </c>
      <c r="I1507" s="32" t="s">
        <v>39</v>
      </c>
      <c r="J1507" s="32" t="s">
        <v>40</v>
      </c>
      <c r="K1507" s="32" t="s">
        <v>41</v>
      </c>
      <c r="L1507" s="32">
        <v>5</v>
      </c>
      <c r="M1507" s="32" t="s">
        <v>5410</v>
      </c>
      <c r="N1507" s="32" t="s">
        <v>37</v>
      </c>
    </row>
    <row r="1508" spans="1:14" s="32" customFormat="1" hidden="1" x14ac:dyDescent="0.3">
      <c r="A1508" s="39">
        <v>46183.641898148147</v>
      </c>
      <c r="B1508" s="32">
        <v>44998107650</v>
      </c>
      <c r="C1508" s="32" t="s">
        <v>44</v>
      </c>
      <c r="D1508" s="32">
        <v>4431268225</v>
      </c>
      <c r="E1508" s="32">
        <v>2088</v>
      </c>
      <c r="F1508" s="32">
        <v>1943</v>
      </c>
      <c r="G1508" s="32" t="s">
        <v>38</v>
      </c>
      <c r="H1508" s="32" t="s">
        <v>6925</v>
      </c>
      <c r="I1508" s="32" t="s">
        <v>39</v>
      </c>
      <c r="J1508" s="32" t="s">
        <v>40</v>
      </c>
      <c r="K1508" s="32" t="s">
        <v>41</v>
      </c>
      <c r="L1508" s="32">
        <v>5</v>
      </c>
      <c r="M1508" s="32" t="s">
        <v>5416</v>
      </c>
      <c r="N1508" s="32" t="s">
        <v>44</v>
      </c>
    </row>
    <row r="1509" spans="1:14" s="32" customFormat="1" hidden="1" x14ac:dyDescent="0.3">
      <c r="A1509" s="39">
        <v>46183.634340277778</v>
      </c>
      <c r="B1509" s="32">
        <v>1438160351</v>
      </c>
      <c r="C1509" s="32">
        <v>4430265054</v>
      </c>
      <c r="D1509" s="32">
        <v>4430265054</v>
      </c>
      <c r="E1509" s="32">
        <v>8</v>
      </c>
      <c r="F1509" s="32">
        <v>8</v>
      </c>
      <c r="G1509" s="32" t="s">
        <v>52</v>
      </c>
      <c r="H1509" s="32" t="s">
        <v>6926</v>
      </c>
      <c r="I1509" s="32" t="s">
        <v>39</v>
      </c>
      <c r="J1509" s="32" t="s">
        <v>53</v>
      </c>
    </row>
    <row r="1510" spans="1:14" s="32" customFormat="1" hidden="1" x14ac:dyDescent="0.3">
      <c r="A1510" s="39">
        <v>46183.634108796294</v>
      </c>
      <c r="B1510" s="32">
        <v>4432272377</v>
      </c>
      <c r="C1510" s="32" t="s">
        <v>43</v>
      </c>
      <c r="D1510" s="32">
        <v>4430265054</v>
      </c>
      <c r="E1510" s="32">
        <v>575</v>
      </c>
      <c r="F1510" s="32">
        <v>486</v>
      </c>
      <c r="G1510" s="32" t="s">
        <v>38</v>
      </c>
      <c r="H1510" s="32" t="s">
        <v>6927</v>
      </c>
      <c r="I1510" s="32" t="s">
        <v>39</v>
      </c>
      <c r="J1510" s="32" t="s">
        <v>40</v>
      </c>
      <c r="K1510" s="32" t="s">
        <v>41</v>
      </c>
      <c r="L1510" s="32">
        <v>5</v>
      </c>
      <c r="M1510" s="32" t="s">
        <v>5418</v>
      </c>
      <c r="N1510" s="32" t="s">
        <v>43</v>
      </c>
    </row>
    <row r="1511" spans="1:14" s="32" customFormat="1" hidden="1" x14ac:dyDescent="0.3">
      <c r="A1511" s="39">
        <v>46183.626030092593</v>
      </c>
      <c r="B1511" s="32">
        <v>1732146970</v>
      </c>
      <c r="C1511" s="32" t="s">
        <v>37</v>
      </c>
      <c r="D1511" s="32">
        <v>4431268225</v>
      </c>
      <c r="E1511" s="32">
        <v>1144</v>
      </c>
      <c r="F1511" s="32">
        <v>1063</v>
      </c>
      <c r="G1511" s="32" t="s">
        <v>38</v>
      </c>
      <c r="H1511" s="32" t="s">
        <v>6928</v>
      </c>
      <c r="I1511" s="32" t="s">
        <v>39</v>
      </c>
      <c r="J1511" s="32" t="s">
        <v>40</v>
      </c>
      <c r="K1511" s="32" t="s">
        <v>41</v>
      </c>
      <c r="M1511" s="32" t="s">
        <v>5410</v>
      </c>
      <c r="N1511" s="32" t="s">
        <v>37</v>
      </c>
    </row>
    <row r="1512" spans="1:14" s="32" customFormat="1" hidden="1" x14ac:dyDescent="0.3">
      <c r="A1512" s="39">
        <v>46183.625625000001</v>
      </c>
      <c r="B1512" s="32" t="s">
        <v>45</v>
      </c>
      <c r="C1512" s="32">
        <v>11988428765</v>
      </c>
      <c r="E1512" s="32">
        <v>3</v>
      </c>
      <c r="F1512" s="32">
        <v>0</v>
      </c>
      <c r="G1512" s="32" t="s">
        <v>47</v>
      </c>
      <c r="H1512" s="32" t="s">
        <v>6929</v>
      </c>
      <c r="I1512" s="32" t="s">
        <v>46</v>
      </c>
      <c r="J1512" s="32" t="s">
        <v>40</v>
      </c>
      <c r="M1512" s="32" t="s">
        <v>5421</v>
      </c>
      <c r="N1512" s="32" t="s">
        <v>45</v>
      </c>
    </row>
    <row r="1513" spans="1:14" s="32" customFormat="1" hidden="1" x14ac:dyDescent="0.3">
      <c r="A1513" s="39">
        <v>46183.616400462961</v>
      </c>
      <c r="B1513" s="32" t="s">
        <v>45</v>
      </c>
      <c r="C1513" s="32">
        <v>11988428765</v>
      </c>
      <c r="E1513" s="32">
        <v>57</v>
      </c>
      <c r="F1513" s="32">
        <v>39</v>
      </c>
      <c r="G1513" s="32" t="s">
        <v>38</v>
      </c>
      <c r="H1513" s="32" t="s">
        <v>6930</v>
      </c>
      <c r="I1513" s="32" t="s">
        <v>46</v>
      </c>
      <c r="J1513" s="32" t="s">
        <v>40</v>
      </c>
      <c r="M1513" s="32" t="s">
        <v>5421</v>
      </c>
      <c r="N1513" s="32" t="s">
        <v>45</v>
      </c>
    </row>
    <row r="1514" spans="1:14" s="32" customFormat="1" hidden="1" x14ac:dyDescent="0.3">
      <c r="A1514" s="39">
        <v>46183.609918981485</v>
      </c>
      <c r="B1514" s="32" t="s">
        <v>45</v>
      </c>
      <c r="C1514" s="32">
        <v>4430162384</v>
      </c>
      <c r="E1514" s="32">
        <v>91</v>
      </c>
      <c r="F1514" s="32">
        <v>62</v>
      </c>
      <c r="G1514" s="32" t="s">
        <v>38</v>
      </c>
      <c r="H1514" s="32" t="s">
        <v>6931</v>
      </c>
      <c r="I1514" s="32" t="s">
        <v>46</v>
      </c>
      <c r="J1514" s="32" t="s">
        <v>40</v>
      </c>
      <c r="M1514" s="32" t="s">
        <v>5421</v>
      </c>
      <c r="N1514" s="32" t="s">
        <v>45</v>
      </c>
    </row>
    <row r="1515" spans="1:14" s="32" customFormat="1" hidden="1" x14ac:dyDescent="0.3">
      <c r="A1515" s="39">
        <v>46183.602071759262</v>
      </c>
      <c r="B1515" s="32">
        <v>93991064249</v>
      </c>
      <c r="C1515" s="32" t="s">
        <v>43</v>
      </c>
      <c r="D1515" s="32">
        <v>4431268225</v>
      </c>
      <c r="E1515" s="32">
        <v>663</v>
      </c>
      <c r="F1515" s="32">
        <v>504</v>
      </c>
      <c r="G1515" s="32" t="s">
        <v>38</v>
      </c>
      <c r="H1515" s="32" t="s">
        <v>6932</v>
      </c>
      <c r="I1515" s="32" t="s">
        <v>39</v>
      </c>
      <c r="J1515" s="32" t="s">
        <v>40</v>
      </c>
      <c r="K1515" s="32" t="s">
        <v>41</v>
      </c>
      <c r="M1515" s="32" t="s">
        <v>5418</v>
      </c>
      <c r="N1515" s="32" t="s">
        <v>43</v>
      </c>
    </row>
    <row r="1516" spans="1:14" s="32" customFormat="1" hidden="1" x14ac:dyDescent="0.3">
      <c r="A1516" s="39">
        <v>46183.593680555554</v>
      </c>
      <c r="B1516" s="32">
        <v>15997113760</v>
      </c>
      <c r="C1516" s="32" t="s">
        <v>44</v>
      </c>
      <c r="D1516" s="32">
        <v>4430265054</v>
      </c>
      <c r="E1516" s="32">
        <v>205</v>
      </c>
      <c r="F1516" s="32">
        <v>144</v>
      </c>
      <c r="G1516" s="32" t="s">
        <v>38</v>
      </c>
      <c r="H1516" s="32" t="s">
        <v>6933</v>
      </c>
      <c r="I1516" s="32" t="s">
        <v>39</v>
      </c>
      <c r="J1516" s="32" t="s">
        <v>40</v>
      </c>
      <c r="K1516" s="32" t="s">
        <v>41</v>
      </c>
      <c r="M1516" s="32" t="s">
        <v>5416</v>
      </c>
      <c r="N1516" s="32" t="s">
        <v>44</v>
      </c>
    </row>
    <row r="1517" spans="1:14" s="32" customFormat="1" hidden="1" x14ac:dyDescent="0.3">
      <c r="A1517" s="39">
        <v>46183.587453703702</v>
      </c>
      <c r="B1517" s="32">
        <v>4334726613</v>
      </c>
      <c r="C1517" s="32" t="s">
        <v>37</v>
      </c>
      <c r="D1517" s="32">
        <v>4430265054</v>
      </c>
      <c r="E1517" s="32">
        <v>352</v>
      </c>
      <c r="F1517" s="32">
        <v>272</v>
      </c>
      <c r="G1517" s="32" t="s">
        <v>38</v>
      </c>
      <c r="H1517" s="32" t="s">
        <v>6934</v>
      </c>
      <c r="I1517" s="32" t="s">
        <v>39</v>
      </c>
      <c r="J1517" s="32" t="s">
        <v>40</v>
      </c>
      <c r="K1517" s="32" t="s">
        <v>41</v>
      </c>
      <c r="L1517" s="32">
        <v>5</v>
      </c>
      <c r="M1517" s="32" t="s">
        <v>5410</v>
      </c>
      <c r="N1517" s="32" t="s">
        <v>37</v>
      </c>
    </row>
    <row r="1518" spans="1:14" s="32" customFormat="1" hidden="1" x14ac:dyDescent="0.3">
      <c r="A1518" s="39">
        <v>46183.584166666667</v>
      </c>
      <c r="B1518" s="32">
        <v>44997134514</v>
      </c>
      <c r="C1518" s="32" t="s">
        <v>43</v>
      </c>
      <c r="D1518" s="32">
        <v>4430265054</v>
      </c>
      <c r="E1518" s="32">
        <v>848</v>
      </c>
      <c r="F1518" s="32">
        <v>737</v>
      </c>
      <c r="G1518" s="32" t="s">
        <v>38</v>
      </c>
      <c r="H1518" s="32" t="s">
        <v>6935</v>
      </c>
      <c r="I1518" s="32" t="s">
        <v>39</v>
      </c>
      <c r="J1518" s="32" t="s">
        <v>40</v>
      </c>
      <c r="K1518" s="32" t="s">
        <v>41</v>
      </c>
      <c r="M1518" s="32" t="s">
        <v>5418</v>
      </c>
      <c r="N1518" s="32" t="s">
        <v>43</v>
      </c>
    </row>
    <row r="1519" spans="1:14" s="32" customFormat="1" hidden="1" x14ac:dyDescent="0.3">
      <c r="A1519" s="39">
        <v>46183.583252314813</v>
      </c>
      <c r="B1519" s="32">
        <v>35998295948</v>
      </c>
      <c r="C1519" s="32" t="s">
        <v>45</v>
      </c>
      <c r="D1519" s="32">
        <v>4430265054</v>
      </c>
      <c r="E1519" s="32">
        <v>1728</v>
      </c>
      <c r="F1519" s="32">
        <v>1707</v>
      </c>
      <c r="G1519" s="32" t="s">
        <v>38</v>
      </c>
      <c r="H1519" s="32" t="s">
        <v>6936</v>
      </c>
      <c r="I1519" s="32" t="s">
        <v>39</v>
      </c>
      <c r="J1519" s="32" t="s">
        <v>40</v>
      </c>
      <c r="K1519" s="32" t="s">
        <v>41</v>
      </c>
      <c r="M1519" s="32" t="s">
        <v>5421</v>
      </c>
      <c r="N1519" s="32" t="s">
        <v>45</v>
      </c>
    </row>
    <row r="1520" spans="1:14" s="32" customFormat="1" hidden="1" x14ac:dyDescent="0.3">
      <c r="A1520" s="39">
        <v>46183.57304398148</v>
      </c>
      <c r="B1520" s="32">
        <v>44999656270</v>
      </c>
      <c r="C1520" s="32" t="s">
        <v>44</v>
      </c>
      <c r="D1520" s="32">
        <v>4430265054</v>
      </c>
      <c r="E1520" s="32">
        <v>401</v>
      </c>
      <c r="F1520" s="32">
        <v>376</v>
      </c>
      <c r="G1520" s="32" t="s">
        <v>38</v>
      </c>
      <c r="H1520" s="32" t="s">
        <v>6937</v>
      </c>
      <c r="I1520" s="32" t="s">
        <v>39</v>
      </c>
      <c r="J1520" s="32" t="s">
        <v>40</v>
      </c>
      <c r="K1520" s="32" t="s">
        <v>41</v>
      </c>
      <c r="L1520" s="32">
        <v>5</v>
      </c>
      <c r="M1520" s="32" t="s">
        <v>5416</v>
      </c>
      <c r="N1520" s="32" t="s">
        <v>44</v>
      </c>
    </row>
    <row r="1521" spans="1:14" s="32" customFormat="1" hidden="1" x14ac:dyDescent="0.3">
      <c r="A1521" s="39">
        <v>46183.572592592594</v>
      </c>
      <c r="B1521" s="32">
        <v>44991381017</v>
      </c>
      <c r="C1521" s="32" t="s">
        <v>37</v>
      </c>
      <c r="D1521" s="32">
        <v>4430265054</v>
      </c>
      <c r="E1521" s="32">
        <v>334</v>
      </c>
      <c r="F1521" s="32">
        <v>290</v>
      </c>
      <c r="G1521" s="32" t="s">
        <v>38</v>
      </c>
      <c r="H1521" s="32" t="s">
        <v>6938</v>
      </c>
      <c r="I1521" s="32" t="s">
        <v>39</v>
      </c>
      <c r="J1521" s="32" t="s">
        <v>40</v>
      </c>
      <c r="K1521" s="32" t="s">
        <v>41</v>
      </c>
      <c r="M1521" s="32" t="s">
        <v>5410</v>
      </c>
      <c r="N1521" s="32" t="s">
        <v>37</v>
      </c>
    </row>
    <row r="1522" spans="1:14" s="32" customFormat="1" hidden="1" x14ac:dyDescent="0.3">
      <c r="A1522" s="39">
        <v>46183.569745370369</v>
      </c>
      <c r="B1522" s="32">
        <v>35998295948</v>
      </c>
      <c r="C1522" s="32" t="s">
        <v>45</v>
      </c>
      <c r="D1522" s="32">
        <v>4430265054</v>
      </c>
      <c r="E1522" s="32">
        <v>557</v>
      </c>
      <c r="F1522" s="32">
        <v>502</v>
      </c>
      <c r="G1522" s="32" t="s">
        <v>38</v>
      </c>
      <c r="H1522" s="32" t="s">
        <v>6939</v>
      </c>
      <c r="I1522" s="32" t="s">
        <v>39</v>
      </c>
      <c r="J1522" s="32" t="s">
        <v>40</v>
      </c>
      <c r="K1522" s="32" t="s">
        <v>41</v>
      </c>
      <c r="M1522" s="32" t="s">
        <v>5421</v>
      </c>
      <c r="N1522" s="32" t="s">
        <v>45</v>
      </c>
    </row>
    <row r="1523" spans="1:14" s="32" customFormat="1" hidden="1" x14ac:dyDescent="0.3">
      <c r="A1523" s="39">
        <v>46183.484432870369</v>
      </c>
      <c r="B1523" s="32">
        <v>44997426611</v>
      </c>
      <c r="C1523" s="32" t="s">
        <v>57</v>
      </c>
      <c r="D1523" s="32">
        <v>4430265054</v>
      </c>
      <c r="E1523" s="32">
        <v>1289</v>
      </c>
      <c r="F1523" s="32">
        <v>1268</v>
      </c>
      <c r="G1523" s="32" t="s">
        <v>38</v>
      </c>
      <c r="H1523" s="32" t="s">
        <v>6940</v>
      </c>
      <c r="I1523" s="32" t="s">
        <v>39</v>
      </c>
      <c r="J1523" s="32" t="s">
        <v>55</v>
      </c>
      <c r="K1523" s="32" t="s">
        <v>49</v>
      </c>
      <c r="M1523" s="32" t="s">
        <v>5456</v>
      </c>
      <c r="N1523" s="32" t="s">
        <v>57</v>
      </c>
    </row>
    <row r="1524" spans="1:14" s="32" customFormat="1" hidden="1" x14ac:dyDescent="0.3">
      <c r="A1524" s="39">
        <v>46183.481076388889</v>
      </c>
      <c r="B1524" s="32">
        <v>44998068281</v>
      </c>
      <c r="C1524" s="32" t="s">
        <v>43</v>
      </c>
      <c r="D1524" s="32">
        <v>4430265054</v>
      </c>
      <c r="E1524" s="32">
        <v>603</v>
      </c>
      <c r="F1524" s="32">
        <v>459</v>
      </c>
      <c r="G1524" s="32" t="s">
        <v>38</v>
      </c>
      <c r="H1524" s="32" t="s">
        <v>6941</v>
      </c>
      <c r="I1524" s="32" t="s">
        <v>39</v>
      </c>
      <c r="J1524" s="32" t="s">
        <v>40</v>
      </c>
      <c r="K1524" s="32" t="s">
        <v>41</v>
      </c>
      <c r="M1524" s="32" t="s">
        <v>5418</v>
      </c>
      <c r="N1524" s="32" t="s">
        <v>43</v>
      </c>
    </row>
    <row r="1525" spans="1:14" s="32" customFormat="1" hidden="1" x14ac:dyDescent="0.3">
      <c r="A1525" s="39">
        <v>46183.470046296294</v>
      </c>
      <c r="B1525" s="32">
        <v>1131043888</v>
      </c>
      <c r="C1525" s="32" t="s">
        <v>44</v>
      </c>
      <c r="D1525" s="32">
        <v>4430265054</v>
      </c>
      <c r="E1525" s="32">
        <v>255</v>
      </c>
      <c r="F1525" s="32">
        <v>172</v>
      </c>
      <c r="G1525" s="32" t="s">
        <v>38</v>
      </c>
      <c r="H1525" s="32" t="s">
        <v>6942</v>
      </c>
      <c r="I1525" s="32" t="s">
        <v>39</v>
      </c>
      <c r="J1525" s="32" t="s">
        <v>40</v>
      </c>
      <c r="K1525" s="32" t="s">
        <v>41</v>
      </c>
      <c r="M1525" s="32" t="s">
        <v>5416</v>
      </c>
      <c r="N1525" s="32" t="s">
        <v>44</v>
      </c>
    </row>
    <row r="1526" spans="1:14" s="32" customFormat="1" hidden="1" x14ac:dyDescent="0.3">
      <c r="A1526" s="39">
        <v>46183.45171296296</v>
      </c>
      <c r="B1526" s="32" t="s">
        <v>45</v>
      </c>
      <c r="C1526" s="32">
        <v>4430162376</v>
      </c>
      <c r="E1526" s="32">
        <v>14</v>
      </c>
      <c r="F1526" s="32">
        <v>14</v>
      </c>
      <c r="G1526" s="32" t="s">
        <v>38</v>
      </c>
      <c r="H1526" s="32" t="s">
        <v>6943</v>
      </c>
      <c r="I1526" s="32" t="s">
        <v>46</v>
      </c>
      <c r="J1526" s="32" t="s">
        <v>40</v>
      </c>
      <c r="M1526" s="32" t="s">
        <v>5421</v>
      </c>
      <c r="N1526" s="32" t="s">
        <v>45</v>
      </c>
    </row>
    <row r="1527" spans="1:14" s="32" customFormat="1" hidden="1" x14ac:dyDescent="0.3">
      <c r="A1527" s="39">
        <v>46183.446701388886</v>
      </c>
      <c r="B1527" s="32">
        <v>44998068281</v>
      </c>
      <c r="C1527" s="32" t="s">
        <v>43</v>
      </c>
      <c r="D1527" s="32">
        <v>4430265054</v>
      </c>
      <c r="E1527" s="32">
        <v>1028</v>
      </c>
      <c r="F1527" s="32">
        <v>991</v>
      </c>
      <c r="G1527" s="32" t="s">
        <v>38</v>
      </c>
      <c r="H1527" s="32" t="s">
        <v>6944</v>
      </c>
      <c r="I1527" s="32" t="s">
        <v>39</v>
      </c>
      <c r="J1527" s="32" t="s">
        <v>40</v>
      </c>
      <c r="K1527" s="32" t="s">
        <v>41</v>
      </c>
      <c r="L1527" s="32">
        <v>5</v>
      </c>
      <c r="M1527" s="32" t="s">
        <v>5418</v>
      </c>
      <c r="N1527" s="32" t="s">
        <v>43</v>
      </c>
    </row>
    <row r="1528" spans="1:14" s="32" customFormat="1" hidden="1" x14ac:dyDescent="0.3">
      <c r="A1528" s="39">
        <v>46183.443240740744</v>
      </c>
      <c r="B1528" s="32">
        <v>4430291622</v>
      </c>
      <c r="C1528" s="32" t="s">
        <v>37</v>
      </c>
      <c r="D1528" s="32">
        <v>4430265054</v>
      </c>
      <c r="E1528" s="32">
        <v>428</v>
      </c>
      <c r="F1528" s="32">
        <v>270</v>
      </c>
      <c r="G1528" s="32" t="s">
        <v>38</v>
      </c>
      <c r="H1528" s="32" t="s">
        <v>6945</v>
      </c>
      <c r="I1528" s="32" t="s">
        <v>39</v>
      </c>
      <c r="J1528" s="32" t="s">
        <v>40</v>
      </c>
      <c r="K1528" s="32" t="s">
        <v>41</v>
      </c>
      <c r="M1528" s="32" t="s">
        <v>5410</v>
      </c>
      <c r="N1528" s="32" t="s">
        <v>37</v>
      </c>
    </row>
    <row r="1529" spans="1:14" s="32" customFormat="1" hidden="1" x14ac:dyDescent="0.3">
      <c r="A1529" s="39">
        <v>46183.440879629627</v>
      </c>
      <c r="B1529" s="32">
        <v>44998582382</v>
      </c>
      <c r="C1529" s="32" t="s">
        <v>44</v>
      </c>
      <c r="D1529" s="32">
        <v>4430265054</v>
      </c>
      <c r="E1529" s="32">
        <v>279</v>
      </c>
      <c r="F1529" s="32">
        <v>182</v>
      </c>
      <c r="G1529" s="32" t="s">
        <v>38</v>
      </c>
      <c r="H1529" s="32" t="s">
        <v>6946</v>
      </c>
      <c r="I1529" s="32" t="s">
        <v>39</v>
      </c>
      <c r="J1529" s="32" t="s">
        <v>40</v>
      </c>
      <c r="K1529" s="32" t="s">
        <v>41</v>
      </c>
      <c r="M1529" s="32" t="s">
        <v>5416</v>
      </c>
      <c r="N1529" s="32" t="s">
        <v>44</v>
      </c>
    </row>
    <row r="1530" spans="1:14" s="32" customFormat="1" hidden="1" x14ac:dyDescent="0.3">
      <c r="A1530" s="39">
        <v>46183.436481481483</v>
      </c>
      <c r="B1530" s="32">
        <v>12981700386</v>
      </c>
      <c r="C1530" s="32" t="s">
        <v>43</v>
      </c>
      <c r="D1530" s="32">
        <v>4430265054</v>
      </c>
      <c r="E1530" s="32">
        <v>594</v>
      </c>
      <c r="F1530" s="32">
        <v>549</v>
      </c>
      <c r="G1530" s="32" t="s">
        <v>38</v>
      </c>
      <c r="H1530" s="32" t="s">
        <v>6947</v>
      </c>
      <c r="I1530" s="32" t="s">
        <v>39</v>
      </c>
      <c r="J1530" s="32" t="s">
        <v>40</v>
      </c>
      <c r="K1530" s="32" t="s">
        <v>41</v>
      </c>
      <c r="M1530" s="32" t="s">
        <v>5418</v>
      </c>
      <c r="N1530" s="32" t="s">
        <v>43</v>
      </c>
    </row>
    <row r="1531" spans="1:14" s="32" customFormat="1" hidden="1" x14ac:dyDescent="0.3">
      <c r="A1531" s="39">
        <v>46183.436331018522</v>
      </c>
      <c r="B1531" s="32" t="s">
        <v>57</v>
      </c>
      <c r="C1531" s="32">
        <v>44997134514</v>
      </c>
      <c r="E1531" s="32">
        <v>2497</v>
      </c>
      <c r="F1531" s="32">
        <v>2491</v>
      </c>
      <c r="G1531" s="32" t="s">
        <v>38</v>
      </c>
      <c r="H1531" s="32" t="s">
        <v>6948</v>
      </c>
      <c r="I1531" s="32" t="s">
        <v>46</v>
      </c>
      <c r="J1531" s="32" t="s">
        <v>55</v>
      </c>
      <c r="M1531" s="32" t="s">
        <v>5456</v>
      </c>
      <c r="N1531" s="32" t="s">
        <v>57</v>
      </c>
    </row>
    <row r="1532" spans="1:14" s="32" customFormat="1" hidden="1" x14ac:dyDescent="0.3">
      <c r="A1532" s="39">
        <v>46183.4294212963</v>
      </c>
      <c r="B1532" s="32" t="s">
        <v>43</v>
      </c>
      <c r="C1532" s="32">
        <v>44999917849</v>
      </c>
      <c r="E1532" s="32">
        <v>7</v>
      </c>
      <c r="F1532" s="32">
        <v>0</v>
      </c>
      <c r="G1532" s="32" t="s">
        <v>47</v>
      </c>
      <c r="H1532" s="32" t="s">
        <v>6949</v>
      </c>
      <c r="I1532" s="32" t="s">
        <v>46</v>
      </c>
      <c r="J1532" s="32" t="s">
        <v>40</v>
      </c>
      <c r="M1532" s="32" t="s">
        <v>5418</v>
      </c>
      <c r="N1532" s="32" t="s">
        <v>43</v>
      </c>
    </row>
    <row r="1533" spans="1:14" s="32" customFormat="1" hidden="1" x14ac:dyDescent="0.3">
      <c r="A1533" s="39">
        <v>46183.429305555554</v>
      </c>
      <c r="B1533" s="32" t="s">
        <v>37</v>
      </c>
      <c r="C1533" s="32">
        <v>44997650834</v>
      </c>
      <c r="E1533" s="32">
        <v>306</v>
      </c>
      <c r="F1533" s="32">
        <v>297</v>
      </c>
      <c r="G1533" s="32" t="s">
        <v>38</v>
      </c>
      <c r="H1533" s="32" t="s">
        <v>6950</v>
      </c>
      <c r="I1533" s="32" t="s">
        <v>46</v>
      </c>
      <c r="J1533" s="32" t="s">
        <v>40</v>
      </c>
      <c r="L1533" s="32">
        <v>5</v>
      </c>
      <c r="M1533" s="32" t="s">
        <v>5410</v>
      </c>
      <c r="N1533" s="32" t="s">
        <v>37</v>
      </c>
    </row>
    <row r="1534" spans="1:14" s="32" customFormat="1" hidden="1" x14ac:dyDescent="0.3">
      <c r="A1534" s="39">
        <v>46183.429247685184</v>
      </c>
      <c r="B1534" s="32" t="s">
        <v>37</v>
      </c>
      <c r="C1534" s="32">
        <v>44997650834</v>
      </c>
      <c r="E1534" s="32">
        <v>3</v>
      </c>
      <c r="F1534" s="32">
        <v>0</v>
      </c>
      <c r="G1534" s="32" t="s">
        <v>47</v>
      </c>
      <c r="H1534" s="32" t="s">
        <v>6951</v>
      </c>
      <c r="I1534" s="32" t="s">
        <v>46</v>
      </c>
      <c r="J1534" s="32" t="s">
        <v>40</v>
      </c>
      <c r="M1534" s="32" t="s">
        <v>5410</v>
      </c>
      <c r="N1534" s="32" t="s">
        <v>37</v>
      </c>
    </row>
    <row r="1535" spans="1:14" s="32" customFormat="1" hidden="1" x14ac:dyDescent="0.3">
      <c r="A1535" s="39">
        <v>46183.427094907405</v>
      </c>
      <c r="B1535" s="32">
        <v>44997650834</v>
      </c>
      <c r="C1535" s="32" t="s">
        <v>37</v>
      </c>
      <c r="D1535" s="32">
        <v>4430265054</v>
      </c>
      <c r="E1535" s="32">
        <v>172</v>
      </c>
      <c r="F1535" s="32">
        <v>69</v>
      </c>
      <c r="G1535" s="32" t="s">
        <v>38</v>
      </c>
      <c r="H1535" s="32" t="s">
        <v>6952</v>
      </c>
      <c r="I1535" s="32" t="s">
        <v>39</v>
      </c>
      <c r="J1535" s="32" t="s">
        <v>40</v>
      </c>
      <c r="K1535" s="32" t="s">
        <v>41</v>
      </c>
      <c r="M1535" s="32" t="s">
        <v>5410</v>
      </c>
      <c r="N1535" s="32" t="s">
        <v>37</v>
      </c>
    </row>
    <row r="1536" spans="1:14" s="32" customFormat="1" hidden="1" x14ac:dyDescent="0.3">
      <c r="A1536" s="39">
        <v>46183.426354166666</v>
      </c>
      <c r="B1536" s="32">
        <v>4430162376</v>
      </c>
      <c r="C1536" s="32" t="s">
        <v>45</v>
      </c>
      <c r="D1536" s="32">
        <v>4430265054</v>
      </c>
      <c r="E1536" s="32">
        <v>1702</v>
      </c>
      <c r="F1536" s="32">
        <v>1677</v>
      </c>
      <c r="G1536" s="32" t="s">
        <v>38</v>
      </c>
      <c r="H1536" s="32" t="s">
        <v>6953</v>
      </c>
      <c r="I1536" s="32" t="s">
        <v>39</v>
      </c>
      <c r="J1536" s="32" t="s">
        <v>40</v>
      </c>
      <c r="K1536" s="32" t="s">
        <v>41</v>
      </c>
      <c r="L1536" s="32">
        <v>5</v>
      </c>
      <c r="M1536" s="32" t="s">
        <v>5421</v>
      </c>
      <c r="N1536" s="32" t="s">
        <v>45</v>
      </c>
    </row>
    <row r="1537" spans="1:14" s="32" customFormat="1" hidden="1" x14ac:dyDescent="0.3">
      <c r="A1537" s="39">
        <v>46183.418287037035</v>
      </c>
      <c r="B1537" s="32">
        <v>44998266194</v>
      </c>
      <c r="C1537" s="32" t="s">
        <v>45</v>
      </c>
      <c r="D1537" s="32">
        <v>4430265054</v>
      </c>
      <c r="E1537" s="32">
        <v>162</v>
      </c>
      <c r="F1537" s="32">
        <v>117</v>
      </c>
      <c r="G1537" s="32" t="s">
        <v>38</v>
      </c>
      <c r="H1537" s="32" t="s">
        <v>6954</v>
      </c>
      <c r="I1537" s="32" t="s">
        <v>39</v>
      </c>
      <c r="J1537" s="32" t="s">
        <v>40</v>
      </c>
      <c r="K1537" s="32" t="s">
        <v>41</v>
      </c>
      <c r="L1537" s="32">
        <v>5</v>
      </c>
      <c r="M1537" s="32" t="s">
        <v>5421</v>
      </c>
      <c r="N1537" s="32" t="s">
        <v>45</v>
      </c>
    </row>
    <row r="1538" spans="1:14" s="32" customFormat="1" hidden="1" x14ac:dyDescent="0.3">
      <c r="A1538" s="39">
        <v>46183.415289351855</v>
      </c>
      <c r="B1538" s="32">
        <v>4430315826</v>
      </c>
      <c r="C1538" s="32" t="s">
        <v>37</v>
      </c>
      <c r="D1538" s="32">
        <v>4430265054</v>
      </c>
      <c r="E1538" s="32">
        <v>906</v>
      </c>
      <c r="F1538" s="32">
        <v>848</v>
      </c>
      <c r="G1538" s="32" t="s">
        <v>38</v>
      </c>
      <c r="H1538" s="32" t="s">
        <v>6955</v>
      </c>
      <c r="I1538" s="32" t="s">
        <v>39</v>
      </c>
      <c r="J1538" s="32" t="s">
        <v>40</v>
      </c>
      <c r="K1538" s="32" t="s">
        <v>41</v>
      </c>
      <c r="L1538" s="32">
        <v>5</v>
      </c>
      <c r="M1538" s="32" t="s">
        <v>5410</v>
      </c>
      <c r="N1538" s="32" t="s">
        <v>37</v>
      </c>
    </row>
    <row r="1539" spans="1:14" s="32" customFormat="1" hidden="1" x14ac:dyDescent="0.3">
      <c r="A1539" s="39">
        <v>46183.414444444446</v>
      </c>
      <c r="B1539" s="32">
        <v>83988398480</v>
      </c>
      <c r="C1539" s="32" t="s">
        <v>43</v>
      </c>
      <c r="D1539" s="32">
        <v>4430265054</v>
      </c>
      <c r="E1539" s="32">
        <v>108</v>
      </c>
      <c r="F1539" s="32">
        <v>48</v>
      </c>
      <c r="G1539" s="32" t="s">
        <v>38</v>
      </c>
      <c r="H1539" s="32" t="s">
        <v>6956</v>
      </c>
      <c r="I1539" s="32" t="s">
        <v>39</v>
      </c>
      <c r="J1539" s="32" t="s">
        <v>40</v>
      </c>
      <c r="K1539" s="32" t="s">
        <v>41</v>
      </c>
      <c r="M1539" s="32" t="s">
        <v>5418</v>
      </c>
      <c r="N1539" s="32" t="s">
        <v>43</v>
      </c>
    </row>
    <row r="1540" spans="1:14" s="32" customFormat="1" hidden="1" x14ac:dyDescent="0.3">
      <c r="A1540" s="39">
        <v>46183.412326388891</v>
      </c>
      <c r="B1540" s="32">
        <v>4330332823</v>
      </c>
      <c r="C1540" s="32" t="s">
        <v>48</v>
      </c>
      <c r="D1540" s="32">
        <v>4430265054</v>
      </c>
      <c r="E1540" s="32">
        <v>1464</v>
      </c>
      <c r="F1540" s="32">
        <v>1463</v>
      </c>
      <c r="G1540" s="32" t="s">
        <v>38</v>
      </c>
      <c r="H1540" s="32" t="s">
        <v>6957</v>
      </c>
      <c r="I1540" s="32" t="s">
        <v>39</v>
      </c>
      <c r="J1540" s="32" t="s">
        <v>40</v>
      </c>
      <c r="K1540" s="32" t="s">
        <v>41</v>
      </c>
      <c r="M1540" s="32" t="s">
        <v>5412</v>
      </c>
      <c r="N1540" s="32" t="s">
        <v>48</v>
      </c>
    </row>
    <row r="1541" spans="1:14" s="32" customFormat="1" hidden="1" x14ac:dyDescent="0.3">
      <c r="A1541" s="39">
        <v>46183.411539351851</v>
      </c>
      <c r="B1541" s="32" t="s">
        <v>48</v>
      </c>
      <c r="C1541" s="32">
        <v>4330333542</v>
      </c>
      <c r="E1541" s="32">
        <v>43</v>
      </c>
      <c r="F1541" s="32">
        <v>34</v>
      </c>
      <c r="G1541" s="32" t="s">
        <v>38</v>
      </c>
      <c r="H1541" s="32" t="s">
        <v>6958</v>
      </c>
      <c r="I1541" s="32" t="s">
        <v>46</v>
      </c>
      <c r="J1541" s="32" t="s">
        <v>40</v>
      </c>
      <c r="M1541" s="32" t="s">
        <v>5412</v>
      </c>
      <c r="N1541" s="32" t="s">
        <v>48</v>
      </c>
    </row>
    <row r="1542" spans="1:14" s="32" customFormat="1" hidden="1" x14ac:dyDescent="0.3">
      <c r="A1542" s="39">
        <v>46183.410844907405</v>
      </c>
      <c r="B1542" s="32" t="s">
        <v>48</v>
      </c>
      <c r="C1542" s="32">
        <v>4330333542</v>
      </c>
      <c r="E1542" s="32">
        <v>18</v>
      </c>
      <c r="F1542" s="32">
        <v>7</v>
      </c>
      <c r="G1542" s="32" t="s">
        <v>38</v>
      </c>
      <c r="H1542" s="32" t="s">
        <v>6959</v>
      </c>
      <c r="I1542" s="32" t="s">
        <v>46</v>
      </c>
      <c r="J1542" s="32" t="s">
        <v>40</v>
      </c>
      <c r="M1542" s="32" t="s">
        <v>5412</v>
      </c>
      <c r="N1542" s="32" t="s">
        <v>48</v>
      </c>
    </row>
    <row r="1543" spans="1:14" s="32" customFormat="1" hidden="1" x14ac:dyDescent="0.3">
      <c r="A1543" s="39">
        <v>46183.410416666666</v>
      </c>
      <c r="B1543" s="32" t="s">
        <v>48</v>
      </c>
      <c r="C1543" s="32">
        <v>4330333542</v>
      </c>
      <c r="E1543" s="32">
        <v>23</v>
      </c>
      <c r="F1543" s="32">
        <v>7</v>
      </c>
      <c r="G1543" s="32" t="s">
        <v>38</v>
      </c>
      <c r="H1543" s="32" t="s">
        <v>6960</v>
      </c>
      <c r="I1543" s="32" t="s">
        <v>46</v>
      </c>
      <c r="J1543" s="32" t="s">
        <v>40</v>
      </c>
      <c r="M1543" s="32" t="s">
        <v>5412</v>
      </c>
      <c r="N1543" s="32" t="s">
        <v>48</v>
      </c>
    </row>
    <row r="1544" spans="1:14" s="32" customFormat="1" hidden="1" x14ac:dyDescent="0.3">
      <c r="A1544" s="39">
        <v>46183.401493055557</v>
      </c>
      <c r="B1544" s="32">
        <v>43999965552</v>
      </c>
      <c r="C1544" s="32" t="s">
        <v>43</v>
      </c>
      <c r="D1544" s="32">
        <v>4430265054</v>
      </c>
      <c r="E1544" s="32">
        <v>492</v>
      </c>
      <c r="F1544" s="32">
        <v>434</v>
      </c>
      <c r="G1544" s="32" t="s">
        <v>38</v>
      </c>
      <c r="H1544" s="32" t="s">
        <v>6961</v>
      </c>
      <c r="I1544" s="32" t="s">
        <v>39</v>
      </c>
      <c r="J1544" s="32" t="s">
        <v>40</v>
      </c>
      <c r="K1544" s="32" t="s">
        <v>41</v>
      </c>
      <c r="L1544" s="32">
        <v>5</v>
      </c>
      <c r="M1544" s="32" t="s">
        <v>5418</v>
      </c>
      <c r="N1544" s="32" t="s">
        <v>43</v>
      </c>
    </row>
    <row r="1545" spans="1:14" s="32" customFormat="1" hidden="1" x14ac:dyDescent="0.3">
      <c r="A1545" s="39">
        <v>46183.397303240738</v>
      </c>
      <c r="B1545" s="32">
        <v>4330333542</v>
      </c>
      <c r="C1545" s="32" t="s">
        <v>37</v>
      </c>
      <c r="D1545" s="32">
        <v>4430265054</v>
      </c>
      <c r="E1545" s="32">
        <v>1064</v>
      </c>
      <c r="F1545" s="32">
        <v>1001</v>
      </c>
      <c r="G1545" s="32" t="s">
        <v>38</v>
      </c>
      <c r="H1545" s="32" t="s">
        <v>6962</v>
      </c>
      <c r="I1545" s="32" t="s">
        <v>39</v>
      </c>
      <c r="J1545" s="32" t="s">
        <v>40</v>
      </c>
      <c r="K1545" s="32" t="s">
        <v>41</v>
      </c>
      <c r="M1545" s="32" t="s">
        <v>5410</v>
      </c>
      <c r="N1545" s="32" t="s">
        <v>37</v>
      </c>
    </row>
    <row r="1546" spans="1:14" s="32" customFormat="1" hidden="1" x14ac:dyDescent="0.3">
      <c r="A1546" s="39">
        <v>46183.389907407407</v>
      </c>
      <c r="B1546" s="32">
        <v>99984754234</v>
      </c>
      <c r="C1546" s="32">
        <v>4430265054</v>
      </c>
      <c r="D1546" s="32">
        <v>4430265054</v>
      </c>
      <c r="E1546" s="32">
        <v>60</v>
      </c>
      <c r="F1546" s="32">
        <v>59</v>
      </c>
      <c r="G1546" s="32" t="s">
        <v>52</v>
      </c>
      <c r="H1546" s="32" t="s">
        <v>6963</v>
      </c>
      <c r="I1546" s="32" t="s">
        <v>39</v>
      </c>
      <c r="J1546" s="32" t="s">
        <v>53</v>
      </c>
      <c r="K1546" s="32" t="s">
        <v>41</v>
      </c>
    </row>
    <row r="1547" spans="1:14" s="32" customFormat="1" hidden="1" x14ac:dyDescent="0.3">
      <c r="A1547" s="39">
        <v>46183.389849537038</v>
      </c>
      <c r="B1547" s="32">
        <v>4430289556</v>
      </c>
      <c r="C1547" s="32" t="s">
        <v>43</v>
      </c>
      <c r="D1547" s="32">
        <v>4430265054</v>
      </c>
      <c r="E1547" s="32">
        <v>679</v>
      </c>
      <c r="F1547" s="32">
        <v>653</v>
      </c>
      <c r="G1547" s="32" t="s">
        <v>38</v>
      </c>
      <c r="H1547" s="32" t="s">
        <v>6964</v>
      </c>
      <c r="I1547" s="32" t="s">
        <v>39</v>
      </c>
      <c r="J1547" s="32" t="s">
        <v>40</v>
      </c>
      <c r="K1547" s="32" t="s">
        <v>41</v>
      </c>
      <c r="L1547" s="32">
        <v>5</v>
      </c>
      <c r="M1547" s="32" t="s">
        <v>5418</v>
      </c>
      <c r="N1547" s="32" t="s">
        <v>43</v>
      </c>
    </row>
    <row r="1548" spans="1:14" s="32" customFormat="1" hidden="1" x14ac:dyDescent="0.3">
      <c r="A1548" s="39">
        <v>46183.38795138889</v>
      </c>
      <c r="B1548" s="32">
        <v>4430162384</v>
      </c>
      <c r="C1548" s="32" t="s">
        <v>45</v>
      </c>
      <c r="D1548" s="32">
        <v>4430265054</v>
      </c>
      <c r="E1548" s="32">
        <v>1067</v>
      </c>
      <c r="F1548" s="32">
        <v>1033</v>
      </c>
      <c r="G1548" s="32" t="s">
        <v>38</v>
      </c>
      <c r="H1548" s="32" t="s">
        <v>6965</v>
      </c>
      <c r="I1548" s="32" t="s">
        <v>39</v>
      </c>
      <c r="J1548" s="32" t="s">
        <v>40</v>
      </c>
      <c r="K1548" s="32" t="s">
        <v>41</v>
      </c>
      <c r="M1548" s="32" t="s">
        <v>5421</v>
      </c>
      <c r="N1548" s="32" t="s">
        <v>45</v>
      </c>
    </row>
    <row r="1549" spans="1:14" s="32" customFormat="1" x14ac:dyDescent="0.3">
      <c r="A1549" s="39">
        <v>46183.38789351852</v>
      </c>
      <c r="B1549" s="32" t="s">
        <v>44</v>
      </c>
      <c r="C1549" s="32">
        <v>4430315826</v>
      </c>
      <c r="E1549" s="32">
        <v>1173</v>
      </c>
      <c r="F1549" s="32">
        <v>1161</v>
      </c>
      <c r="G1549" s="32" t="s">
        <v>38</v>
      </c>
      <c r="H1549" s="32" t="s">
        <v>6966</v>
      </c>
      <c r="I1549" s="32" t="s">
        <v>46</v>
      </c>
      <c r="J1549" s="32" t="s">
        <v>40</v>
      </c>
      <c r="L1549" s="32">
        <v>5</v>
      </c>
      <c r="M1549" s="32" t="s">
        <v>5416</v>
      </c>
      <c r="N1549" s="32" t="s">
        <v>44</v>
      </c>
    </row>
    <row r="1550" spans="1:14" s="32" customFormat="1" hidden="1" x14ac:dyDescent="0.3">
      <c r="A1550" s="39">
        <v>46183.386631944442</v>
      </c>
      <c r="B1550" s="32">
        <v>4430162384</v>
      </c>
      <c r="C1550" s="32">
        <v>4430265054</v>
      </c>
      <c r="D1550" s="32">
        <v>4430265054</v>
      </c>
      <c r="E1550" s="32">
        <v>80</v>
      </c>
      <c r="F1550" s="32">
        <v>80</v>
      </c>
      <c r="G1550" s="32" t="s">
        <v>52</v>
      </c>
      <c r="H1550" s="32" t="s">
        <v>6967</v>
      </c>
      <c r="I1550" s="32" t="s">
        <v>39</v>
      </c>
      <c r="J1550" s="32" t="s">
        <v>53</v>
      </c>
      <c r="K1550" s="32" t="s">
        <v>41</v>
      </c>
    </row>
    <row r="1551" spans="1:14" s="32" customFormat="1" hidden="1" x14ac:dyDescent="0.3">
      <c r="A1551" s="39">
        <v>46183.37872685185</v>
      </c>
      <c r="B1551" s="32">
        <v>4431414588</v>
      </c>
      <c r="C1551" s="32" t="s">
        <v>37</v>
      </c>
      <c r="D1551" s="32">
        <v>4430265054</v>
      </c>
      <c r="E1551" s="32">
        <v>670</v>
      </c>
      <c r="F1551" s="32">
        <v>517</v>
      </c>
      <c r="G1551" s="32" t="s">
        <v>38</v>
      </c>
      <c r="H1551" s="32" t="s">
        <v>6968</v>
      </c>
      <c r="I1551" s="32" t="s">
        <v>39</v>
      </c>
      <c r="J1551" s="32" t="s">
        <v>40</v>
      </c>
      <c r="K1551" s="32" t="s">
        <v>41</v>
      </c>
      <c r="M1551" s="32" t="s">
        <v>5410</v>
      </c>
      <c r="N1551" s="32" t="s">
        <v>37</v>
      </c>
    </row>
    <row r="1552" spans="1:14" s="32" customFormat="1" hidden="1" x14ac:dyDescent="0.3">
      <c r="A1552" s="39">
        <v>46183.373738425929</v>
      </c>
      <c r="B1552" s="32" t="s">
        <v>37</v>
      </c>
      <c r="C1552" s="32">
        <v>44984361000</v>
      </c>
      <c r="E1552" s="32">
        <v>120</v>
      </c>
      <c r="F1552" s="32">
        <v>116</v>
      </c>
      <c r="G1552" s="32" t="s">
        <v>38</v>
      </c>
      <c r="H1552" s="32" t="s">
        <v>6969</v>
      </c>
      <c r="I1552" s="32" t="s">
        <v>46</v>
      </c>
      <c r="J1552" s="32" t="s">
        <v>40</v>
      </c>
      <c r="L1552" s="32">
        <v>5</v>
      </c>
      <c r="M1552" s="32" t="s">
        <v>5410</v>
      </c>
      <c r="N1552" s="32" t="s">
        <v>37</v>
      </c>
    </row>
    <row r="1553" spans="1:14" s="32" customFormat="1" hidden="1" x14ac:dyDescent="0.3">
      <c r="A1553" s="39">
        <v>46183.373310185183</v>
      </c>
      <c r="B1553" s="32" t="s">
        <v>37</v>
      </c>
      <c r="C1553" s="32">
        <v>44984198651</v>
      </c>
      <c r="E1553" s="32">
        <v>10</v>
      </c>
      <c r="F1553" s="32">
        <v>0</v>
      </c>
      <c r="G1553" s="32" t="s">
        <v>47</v>
      </c>
      <c r="H1553" s="32" t="s">
        <v>6970</v>
      </c>
      <c r="I1553" s="32" t="s">
        <v>46</v>
      </c>
      <c r="J1553" s="32" t="s">
        <v>40</v>
      </c>
      <c r="M1553" s="32" t="s">
        <v>5410</v>
      </c>
      <c r="N1553" s="32" t="s">
        <v>37</v>
      </c>
    </row>
    <row r="1554" spans="1:14" s="32" customFormat="1" hidden="1" x14ac:dyDescent="0.3">
      <c r="A1554" s="39">
        <v>46183.370972222219</v>
      </c>
      <c r="B1554" s="32" t="s">
        <v>43</v>
      </c>
      <c r="C1554" s="32">
        <v>43999733630</v>
      </c>
      <c r="E1554" s="32">
        <v>57</v>
      </c>
      <c r="F1554" s="32">
        <v>50</v>
      </c>
      <c r="G1554" s="32" t="s">
        <v>38</v>
      </c>
      <c r="H1554" s="32" t="s">
        <v>6971</v>
      </c>
      <c r="I1554" s="32" t="s">
        <v>46</v>
      </c>
      <c r="J1554" s="32" t="s">
        <v>40</v>
      </c>
      <c r="M1554" s="32" t="s">
        <v>5418</v>
      </c>
      <c r="N1554" s="32" t="s">
        <v>43</v>
      </c>
    </row>
    <row r="1555" spans="1:14" s="32" customFormat="1" hidden="1" x14ac:dyDescent="0.3">
      <c r="A1555" s="39">
        <v>46183.370648148149</v>
      </c>
      <c r="B1555" s="32" t="s">
        <v>43</v>
      </c>
      <c r="C1555" s="32">
        <v>4334726613</v>
      </c>
      <c r="E1555" s="32">
        <v>0</v>
      </c>
      <c r="F1555" s="32">
        <v>0</v>
      </c>
      <c r="G1555" s="32" t="s">
        <v>47</v>
      </c>
      <c r="H1555" s="32" t="s">
        <v>6972</v>
      </c>
      <c r="I1555" s="32" t="s">
        <v>46</v>
      </c>
      <c r="J1555" s="32" t="s">
        <v>40</v>
      </c>
      <c r="M1555" s="32" t="s">
        <v>5418</v>
      </c>
      <c r="N1555" s="32" t="s">
        <v>43</v>
      </c>
    </row>
    <row r="1556" spans="1:14" s="32" customFormat="1" hidden="1" x14ac:dyDescent="0.3">
      <c r="A1556" s="39">
        <v>46183.370555555557</v>
      </c>
      <c r="B1556" s="32">
        <v>4330333542</v>
      </c>
      <c r="C1556" s="32" t="s">
        <v>43</v>
      </c>
      <c r="D1556" s="32">
        <v>4430265054</v>
      </c>
      <c r="E1556" s="32">
        <v>746</v>
      </c>
      <c r="F1556" s="32">
        <v>707</v>
      </c>
      <c r="G1556" s="32" t="s">
        <v>38</v>
      </c>
      <c r="H1556" s="32" t="s">
        <v>6973</v>
      </c>
      <c r="I1556" s="32" t="s">
        <v>39</v>
      </c>
      <c r="J1556" s="32" t="s">
        <v>40</v>
      </c>
      <c r="K1556" s="32" t="s">
        <v>41</v>
      </c>
      <c r="M1556" s="32" t="s">
        <v>5418</v>
      </c>
      <c r="N1556" s="32" t="s">
        <v>43</v>
      </c>
    </row>
    <row r="1557" spans="1:14" s="32" customFormat="1" hidden="1" x14ac:dyDescent="0.3">
      <c r="A1557" s="39">
        <v>46183.36954861111</v>
      </c>
      <c r="B1557" s="32" t="s">
        <v>43</v>
      </c>
      <c r="C1557" s="32">
        <v>4334726613</v>
      </c>
      <c r="E1557" s="32">
        <v>1</v>
      </c>
      <c r="F1557" s="32">
        <v>0</v>
      </c>
      <c r="G1557" s="32" t="s">
        <v>47</v>
      </c>
      <c r="H1557" s="32" t="s">
        <v>6974</v>
      </c>
      <c r="I1557" s="32" t="s">
        <v>46</v>
      </c>
      <c r="J1557" s="32" t="s">
        <v>40</v>
      </c>
      <c r="M1557" s="32" t="s">
        <v>5418</v>
      </c>
      <c r="N1557" s="32" t="s">
        <v>43</v>
      </c>
    </row>
    <row r="1558" spans="1:14" s="32" customFormat="1" hidden="1" x14ac:dyDescent="0.3">
      <c r="A1558" s="39">
        <v>46183.369490740741</v>
      </c>
      <c r="B1558" s="32" t="s">
        <v>43</v>
      </c>
      <c r="C1558" s="32">
        <v>4334726613</v>
      </c>
      <c r="E1558" s="32">
        <v>1</v>
      </c>
      <c r="F1558" s="32">
        <v>0</v>
      </c>
      <c r="G1558" s="32" t="s">
        <v>47</v>
      </c>
      <c r="H1558" s="32" t="s">
        <v>6975</v>
      </c>
      <c r="I1558" s="32" t="s">
        <v>46</v>
      </c>
      <c r="J1558" s="32" t="s">
        <v>40</v>
      </c>
      <c r="M1558" s="32" t="s">
        <v>5418</v>
      </c>
      <c r="N1558" s="32" t="s">
        <v>43</v>
      </c>
    </row>
    <row r="1559" spans="1:14" s="32" customFormat="1" hidden="1" x14ac:dyDescent="0.3">
      <c r="A1559" s="39">
        <v>46183.359456018516</v>
      </c>
      <c r="B1559" s="32">
        <v>44999645186</v>
      </c>
      <c r="C1559" s="32" t="s">
        <v>37</v>
      </c>
      <c r="D1559" s="32">
        <v>4430265054</v>
      </c>
      <c r="E1559" s="32">
        <v>796</v>
      </c>
      <c r="F1559" s="32">
        <v>761</v>
      </c>
      <c r="G1559" s="32" t="s">
        <v>38</v>
      </c>
      <c r="H1559" s="32" t="s">
        <v>6976</v>
      </c>
      <c r="I1559" s="32" t="s">
        <v>39</v>
      </c>
      <c r="J1559" s="32" t="s">
        <v>40</v>
      </c>
      <c r="K1559" s="32" t="s">
        <v>41</v>
      </c>
      <c r="L1559" s="32">
        <v>4</v>
      </c>
      <c r="M1559" s="32" t="s">
        <v>5410</v>
      </c>
      <c r="N1559" s="32" t="s">
        <v>37</v>
      </c>
    </row>
    <row r="1560" spans="1:14" s="32" customFormat="1" hidden="1" x14ac:dyDescent="0.3">
      <c r="A1560" s="39">
        <v>46183.358055555553</v>
      </c>
      <c r="B1560" s="32" t="s">
        <v>45</v>
      </c>
      <c r="C1560" s="32">
        <v>1144320912</v>
      </c>
      <c r="E1560" s="32">
        <v>742</v>
      </c>
      <c r="F1560" s="32">
        <v>737</v>
      </c>
      <c r="G1560" s="32" t="s">
        <v>38</v>
      </c>
      <c r="H1560" s="32" t="s">
        <v>6977</v>
      </c>
      <c r="I1560" s="32" t="s">
        <v>46</v>
      </c>
      <c r="J1560" s="32" t="s">
        <v>40</v>
      </c>
      <c r="M1560" s="32" t="s">
        <v>5421</v>
      </c>
      <c r="N1560" s="32" t="s">
        <v>45</v>
      </c>
    </row>
    <row r="1561" spans="1:14" s="32" customFormat="1" hidden="1" x14ac:dyDescent="0.3">
      <c r="A1561" s="39">
        <v>46183.35496527778</v>
      </c>
      <c r="B1561" s="32">
        <v>1144364181</v>
      </c>
      <c r="C1561" s="32" t="s">
        <v>44</v>
      </c>
      <c r="D1561" s="32">
        <v>4430265054</v>
      </c>
      <c r="E1561" s="32">
        <v>167</v>
      </c>
      <c r="F1561" s="32">
        <v>85</v>
      </c>
      <c r="G1561" s="32" t="s">
        <v>38</v>
      </c>
      <c r="H1561" s="32" t="s">
        <v>6978</v>
      </c>
      <c r="I1561" s="32" t="s">
        <v>39</v>
      </c>
      <c r="J1561" s="32" t="s">
        <v>40</v>
      </c>
      <c r="K1561" s="32" t="s">
        <v>41</v>
      </c>
      <c r="M1561" s="32" t="s">
        <v>5416</v>
      </c>
      <c r="N1561" s="32" t="s">
        <v>44</v>
      </c>
    </row>
    <row r="1562" spans="1:14" s="32" customFormat="1" hidden="1" x14ac:dyDescent="0.3">
      <c r="A1562" s="39">
        <v>46183.354791666665</v>
      </c>
      <c r="B1562" s="32">
        <v>4334728840</v>
      </c>
      <c r="C1562" s="32" t="s">
        <v>43</v>
      </c>
      <c r="D1562" s="32">
        <v>4430265054</v>
      </c>
      <c r="E1562" s="32">
        <v>1275</v>
      </c>
      <c r="F1562" s="32">
        <v>1241</v>
      </c>
      <c r="G1562" s="32" t="s">
        <v>38</v>
      </c>
      <c r="H1562" s="32" t="s">
        <v>6979</v>
      </c>
      <c r="I1562" s="32" t="s">
        <v>39</v>
      </c>
      <c r="J1562" s="32" t="s">
        <v>40</v>
      </c>
      <c r="K1562" s="32" t="s">
        <v>41</v>
      </c>
      <c r="M1562" s="32" t="s">
        <v>5418</v>
      </c>
      <c r="N1562" s="32" t="s">
        <v>43</v>
      </c>
    </row>
    <row r="1563" spans="1:14" s="32" customFormat="1" hidden="1" x14ac:dyDescent="0.3">
      <c r="A1563" s="39">
        <v>46183.35193287037</v>
      </c>
      <c r="B1563" s="32">
        <v>1144320912</v>
      </c>
      <c r="C1563" s="32">
        <v>4430265054</v>
      </c>
      <c r="D1563" s="32">
        <v>4430265054</v>
      </c>
      <c r="E1563" s="32">
        <v>20</v>
      </c>
      <c r="F1563" s="32">
        <v>19</v>
      </c>
      <c r="G1563" s="32" t="s">
        <v>52</v>
      </c>
      <c r="H1563" s="32" t="s">
        <v>6980</v>
      </c>
      <c r="I1563" s="32" t="s">
        <v>39</v>
      </c>
      <c r="J1563" s="32" t="s">
        <v>53</v>
      </c>
    </row>
    <row r="1564" spans="1:14" s="32" customFormat="1" hidden="1" x14ac:dyDescent="0.3">
      <c r="A1564" s="39">
        <v>46183.351261574076</v>
      </c>
      <c r="B1564" s="32">
        <v>1144273633</v>
      </c>
      <c r="C1564" s="32">
        <v>4430265054</v>
      </c>
      <c r="D1564" s="32">
        <v>4430265054</v>
      </c>
      <c r="E1564" s="32">
        <v>29</v>
      </c>
      <c r="F1564" s="32">
        <v>28</v>
      </c>
      <c r="G1564" s="32" t="s">
        <v>52</v>
      </c>
      <c r="H1564" s="32" t="s">
        <v>6981</v>
      </c>
      <c r="I1564" s="32" t="s">
        <v>39</v>
      </c>
      <c r="J1564" s="32" t="s">
        <v>53</v>
      </c>
    </row>
    <row r="1565" spans="1:14" s="32" customFormat="1" hidden="1" x14ac:dyDescent="0.3">
      <c r="A1565" s="39">
        <v>46183.347858796296</v>
      </c>
      <c r="B1565" s="32" t="s">
        <v>43</v>
      </c>
      <c r="C1565" s="32">
        <v>4330332823</v>
      </c>
      <c r="E1565" s="32">
        <v>74</v>
      </c>
      <c r="F1565" s="32">
        <v>0</v>
      </c>
      <c r="G1565" s="32" t="s">
        <v>47</v>
      </c>
      <c r="H1565" s="32" t="s">
        <v>6982</v>
      </c>
      <c r="I1565" s="32" t="s">
        <v>46</v>
      </c>
      <c r="J1565" s="32" t="s">
        <v>40</v>
      </c>
      <c r="M1565" s="32" t="s">
        <v>5418</v>
      </c>
      <c r="N1565" s="32" t="s">
        <v>43</v>
      </c>
    </row>
    <row r="1566" spans="1:14" s="32" customFormat="1" hidden="1" x14ac:dyDescent="0.3">
      <c r="A1566" s="39">
        <v>46183.347766203704</v>
      </c>
      <c r="B1566" s="32" t="s">
        <v>45</v>
      </c>
      <c r="C1566" s="32">
        <v>4432272377</v>
      </c>
      <c r="E1566" s="32">
        <v>853</v>
      </c>
      <c r="F1566" s="32">
        <v>842</v>
      </c>
      <c r="G1566" s="32" t="s">
        <v>38</v>
      </c>
      <c r="H1566" s="32" t="s">
        <v>6983</v>
      </c>
      <c r="I1566" s="32" t="s">
        <v>46</v>
      </c>
      <c r="J1566" s="32" t="s">
        <v>40</v>
      </c>
      <c r="L1566" s="32">
        <v>4</v>
      </c>
      <c r="M1566" s="32" t="s">
        <v>5421</v>
      </c>
      <c r="N1566" s="32" t="s">
        <v>45</v>
      </c>
    </row>
    <row r="1567" spans="1:14" s="32" customFormat="1" hidden="1" x14ac:dyDescent="0.3">
      <c r="A1567" s="39">
        <v>46183.347696759258</v>
      </c>
      <c r="B1567" s="32" t="s">
        <v>45</v>
      </c>
      <c r="C1567" s="32">
        <v>4432272377</v>
      </c>
      <c r="E1567" s="32">
        <v>14</v>
      </c>
      <c r="F1567" s="32">
        <v>13</v>
      </c>
      <c r="G1567" s="32" t="s">
        <v>38</v>
      </c>
      <c r="H1567" s="32" t="s">
        <v>6984</v>
      </c>
      <c r="I1567" s="32" t="s">
        <v>46</v>
      </c>
      <c r="J1567" s="32" t="s">
        <v>40</v>
      </c>
      <c r="M1567" s="32" t="s">
        <v>5421</v>
      </c>
      <c r="N1567" s="32" t="s">
        <v>45</v>
      </c>
    </row>
    <row r="1568" spans="1:14" s="32" customFormat="1" hidden="1" x14ac:dyDescent="0.3">
      <c r="A1568" s="39">
        <v>46183.345219907409</v>
      </c>
      <c r="B1568" s="32" t="s">
        <v>45</v>
      </c>
      <c r="C1568" s="32">
        <v>1144320912</v>
      </c>
      <c r="E1568" s="32">
        <v>142</v>
      </c>
      <c r="F1568" s="32">
        <v>137</v>
      </c>
      <c r="G1568" s="32" t="s">
        <v>38</v>
      </c>
      <c r="H1568" s="32" t="s">
        <v>6985</v>
      </c>
      <c r="I1568" s="32" t="s">
        <v>46</v>
      </c>
      <c r="J1568" s="32" t="s">
        <v>40</v>
      </c>
      <c r="M1568" s="32" t="s">
        <v>5421</v>
      </c>
      <c r="N1568" s="32" t="s">
        <v>45</v>
      </c>
    </row>
    <row r="1569" spans="1:14" s="32" customFormat="1" x14ac:dyDescent="0.3">
      <c r="A1569" s="39">
        <v>46183.344502314816</v>
      </c>
      <c r="B1569" s="32" t="s">
        <v>44</v>
      </c>
      <c r="C1569" s="32">
        <v>4430315826</v>
      </c>
      <c r="E1569" s="32">
        <v>886</v>
      </c>
      <c r="F1569" s="32">
        <v>874</v>
      </c>
      <c r="G1569" s="32" t="s">
        <v>38</v>
      </c>
      <c r="H1569" s="32" t="s">
        <v>6986</v>
      </c>
      <c r="I1569" s="32" t="s">
        <v>46</v>
      </c>
      <c r="J1569" s="32" t="s">
        <v>40</v>
      </c>
      <c r="L1569" s="32">
        <v>5</v>
      </c>
      <c r="M1569" s="32" t="s">
        <v>5416</v>
      </c>
      <c r="N1569" s="32" t="s">
        <v>44</v>
      </c>
    </row>
    <row r="1570" spans="1:14" s="32" customFormat="1" x14ac:dyDescent="0.3">
      <c r="A1570" s="39">
        <v>46183.344444444447</v>
      </c>
      <c r="B1570" s="32" t="s">
        <v>44</v>
      </c>
      <c r="C1570" s="32">
        <v>4430315826</v>
      </c>
      <c r="E1570" s="32">
        <v>14</v>
      </c>
      <c r="F1570" s="32">
        <v>13</v>
      </c>
      <c r="G1570" s="32" t="s">
        <v>38</v>
      </c>
      <c r="H1570" s="32" t="s">
        <v>6987</v>
      </c>
      <c r="I1570" s="32" t="s">
        <v>46</v>
      </c>
      <c r="J1570" s="32" t="s">
        <v>40</v>
      </c>
      <c r="M1570" s="32" t="s">
        <v>5416</v>
      </c>
      <c r="N1570" s="32" t="s">
        <v>44</v>
      </c>
    </row>
    <row r="1571" spans="1:14" s="32" customFormat="1" hidden="1" x14ac:dyDescent="0.3">
      <c r="A1571" s="39">
        <v>46182.731342592589</v>
      </c>
      <c r="B1571" s="32" t="s">
        <v>48</v>
      </c>
      <c r="C1571" s="32">
        <v>4430282545</v>
      </c>
      <c r="E1571" s="32">
        <v>52</v>
      </c>
      <c r="F1571" s="32">
        <v>0</v>
      </c>
      <c r="G1571" s="32" t="s">
        <v>47</v>
      </c>
      <c r="H1571" s="32" t="s">
        <v>6988</v>
      </c>
      <c r="I1571" s="32" t="s">
        <v>46</v>
      </c>
      <c r="J1571" s="32" t="s">
        <v>40</v>
      </c>
      <c r="M1571" s="32" t="s">
        <v>5412</v>
      </c>
      <c r="N1571" s="32" t="s">
        <v>48</v>
      </c>
    </row>
    <row r="1572" spans="1:14" s="32" customFormat="1" hidden="1" x14ac:dyDescent="0.3">
      <c r="A1572" s="39">
        <v>46182.729988425926</v>
      </c>
      <c r="B1572" s="32" t="s">
        <v>50</v>
      </c>
      <c r="C1572" s="32" t="s">
        <v>54</v>
      </c>
      <c r="E1572" s="32">
        <v>38</v>
      </c>
      <c r="F1572" s="32">
        <v>33</v>
      </c>
      <c r="G1572" s="32" t="s">
        <v>38</v>
      </c>
      <c r="H1572" s="32" t="s">
        <v>6989</v>
      </c>
      <c r="I1572" s="32" t="s">
        <v>51</v>
      </c>
      <c r="J1572" s="32" t="s">
        <v>55</v>
      </c>
      <c r="M1572" s="32" t="s">
        <v>5746</v>
      </c>
      <c r="N1572" s="32" t="s">
        <v>50</v>
      </c>
    </row>
    <row r="1573" spans="1:14" s="32" customFormat="1" hidden="1" x14ac:dyDescent="0.3">
      <c r="A1573" s="39">
        <v>46182.727893518517</v>
      </c>
      <c r="B1573" s="32" t="s">
        <v>48</v>
      </c>
      <c r="C1573" s="32">
        <v>4430282545</v>
      </c>
      <c r="E1573" s="32">
        <v>74</v>
      </c>
      <c r="F1573" s="32">
        <v>0</v>
      </c>
      <c r="G1573" s="32" t="s">
        <v>47</v>
      </c>
      <c r="H1573" s="32" t="s">
        <v>6990</v>
      </c>
      <c r="I1573" s="32" t="s">
        <v>46</v>
      </c>
      <c r="J1573" s="32" t="s">
        <v>40</v>
      </c>
      <c r="M1573" s="32" t="s">
        <v>5412</v>
      </c>
      <c r="N1573" s="32" t="s">
        <v>48</v>
      </c>
    </row>
    <row r="1574" spans="1:14" s="32" customFormat="1" hidden="1" x14ac:dyDescent="0.3">
      <c r="A1574" s="39">
        <v>46182.726979166669</v>
      </c>
      <c r="B1574" s="32" t="s">
        <v>48</v>
      </c>
      <c r="C1574" s="32">
        <v>4430282545</v>
      </c>
      <c r="E1574" s="32">
        <v>74</v>
      </c>
      <c r="F1574" s="32">
        <v>0</v>
      </c>
      <c r="G1574" s="32" t="s">
        <v>47</v>
      </c>
      <c r="H1574" s="32" t="s">
        <v>6991</v>
      </c>
      <c r="I1574" s="32" t="s">
        <v>46</v>
      </c>
      <c r="J1574" s="32" t="s">
        <v>40</v>
      </c>
      <c r="M1574" s="32" t="s">
        <v>5412</v>
      </c>
      <c r="N1574" s="32" t="s">
        <v>48</v>
      </c>
    </row>
    <row r="1575" spans="1:14" s="32" customFormat="1" hidden="1" x14ac:dyDescent="0.3">
      <c r="A1575" s="39">
        <v>46182.726956018516</v>
      </c>
      <c r="B1575" s="32" t="s">
        <v>48</v>
      </c>
      <c r="C1575" s="32">
        <v>4430282545</v>
      </c>
      <c r="E1575" s="32">
        <v>0</v>
      </c>
      <c r="F1575" s="32">
        <v>0</v>
      </c>
      <c r="G1575" s="32" t="s">
        <v>47</v>
      </c>
      <c r="H1575" s="32" t="s">
        <v>6992</v>
      </c>
      <c r="I1575" s="32" t="s">
        <v>46</v>
      </c>
      <c r="J1575" s="32" t="s">
        <v>40</v>
      </c>
      <c r="M1575" s="32" t="s">
        <v>5412</v>
      </c>
      <c r="N1575" s="32" t="s">
        <v>48</v>
      </c>
    </row>
    <row r="1576" spans="1:14" s="32" customFormat="1" hidden="1" x14ac:dyDescent="0.3">
      <c r="A1576" s="39">
        <v>46182.724363425928</v>
      </c>
      <c r="B1576" s="32">
        <v>4532541802</v>
      </c>
      <c r="C1576" s="32" t="s">
        <v>37</v>
      </c>
      <c r="D1576" s="32">
        <v>4430265054</v>
      </c>
      <c r="E1576" s="32">
        <v>509</v>
      </c>
      <c r="F1576" s="32">
        <v>303</v>
      </c>
      <c r="G1576" s="32" t="s">
        <v>38</v>
      </c>
      <c r="H1576" s="32" t="s">
        <v>6993</v>
      </c>
      <c r="I1576" s="32" t="s">
        <v>39</v>
      </c>
      <c r="J1576" s="32" t="s">
        <v>40</v>
      </c>
      <c r="K1576" s="32" t="s">
        <v>41</v>
      </c>
      <c r="L1576" s="32">
        <v>5</v>
      </c>
      <c r="M1576" s="32" t="s">
        <v>5410</v>
      </c>
      <c r="N1576" s="32" t="s">
        <v>37</v>
      </c>
    </row>
    <row r="1577" spans="1:14" s="32" customFormat="1" hidden="1" x14ac:dyDescent="0.3">
      <c r="A1577" s="39">
        <v>46182.715717592589</v>
      </c>
      <c r="B1577" s="32">
        <v>35998295948</v>
      </c>
      <c r="C1577" s="32" t="s">
        <v>45</v>
      </c>
      <c r="D1577" s="32">
        <v>4430265054</v>
      </c>
      <c r="E1577" s="32">
        <v>632</v>
      </c>
      <c r="F1577" s="32">
        <v>573</v>
      </c>
      <c r="G1577" s="32" t="s">
        <v>38</v>
      </c>
      <c r="H1577" s="32" t="s">
        <v>6994</v>
      </c>
      <c r="I1577" s="32" t="s">
        <v>39</v>
      </c>
      <c r="J1577" s="32" t="s">
        <v>40</v>
      </c>
      <c r="K1577" s="32" t="s">
        <v>41</v>
      </c>
      <c r="M1577" s="32" t="s">
        <v>5421</v>
      </c>
      <c r="N1577" s="32" t="s">
        <v>45</v>
      </c>
    </row>
    <row r="1578" spans="1:14" s="32" customFormat="1" hidden="1" x14ac:dyDescent="0.3">
      <c r="A1578" s="39">
        <v>46182.709097222221</v>
      </c>
      <c r="B1578" s="32">
        <v>44998620323</v>
      </c>
      <c r="C1578" s="32" t="s">
        <v>43</v>
      </c>
      <c r="D1578" s="32">
        <v>4430265054</v>
      </c>
      <c r="E1578" s="32">
        <v>287</v>
      </c>
      <c r="F1578" s="32">
        <v>251</v>
      </c>
      <c r="G1578" s="32" t="s">
        <v>38</v>
      </c>
      <c r="H1578" s="32" t="s">
        <v>6995</v>
      </c>
      <c r="I1578" s="32" t="s">
        <v>39</v>
      </c>
      <c r="J1578" s="32" t="s">
        <v>40</v>
      </c>
      <c r="K1578" s="32" t="s">
        <v>41</v>
      </c>
      <c r="M1578" s="32" t="s">
        <v>5418</v>
      </c>
      <c r="N1578" s="32" t="s">
        <v>43</v>
      </c>
    </row>
    <row r="1579" spans="1:14" s="32" customFormat="1" hidden="1" x14ac:dyDescent="0.3">
      <c r="A1579" s="39">
        <v>46182.708344907405</v>
      </c>
      <c r="B1579" s="32">
        <v>44998068281</v>
      </c>
      <c r="C1579" s="32" t="s">
        <v>37</v>
      </c>
      <c r="D1579" s="32">
        <v>4430265054</v>
      </c>
      <c r="E1579" s="32">
        <v>1085</v>
      </c>
      <c r="F1579" s="32">
        <v>1056</v>
      </c>
      <c r="G1579" s="32" t="s">
        <v>38</v>
      </c>
      <c r="H1579" s="32" t="s">
        <v>6996</v>
      </c>
      <c r="I1579" s="32" t="s">
        <v>39</v>
      </c>
      <c r="J1579" s="32" t="s">
        <v>40</v>
      </c>
      <c r="K1579" s="32" t="s">
        <v>41</v>
      </c>
      <c r="M1579" s="32" t="s">
        <v>5410</v>
      </c>
      <c r="N1579" s="32" t="s">
        <v>37</v>
      </c>
    </row>
    <row r="1580" spans="1:14" s="32" customFormat="1" hidden="1" x14ac:dyDescent="0.3">
      <c r="A1580" s="39">
        <v>46182.702268518522</v>
      </c>
      <c r="B1580" s="32">
        <v>4432641415</v>
      </c>
      <c r="C1580" s="32" t="s">
        <v>45</v>
      </c>
      <c r="D1580" s="32">
        <v>4430265054</v>
      </c>
      <c r="E1580" s="32">
        <v>407</v>
      </c>
      <c r="F1580" s="32">
        <v>95</v>
      </c>
      <c r="G1580" s="32" t="s">
        <v>38</v>
      </c>
      <c r="H1580" s="32" t="s">
        <v>6997</v>
      </c>
      <c r="I1580" s="32" t="s">
        <v>39</v>
      </c>
      <c r="J1580" s="32" t="s">
        <v>40</v>
      </c>
      <c r="K1580" s="32" t="s">
        <v>41</v>
      </c>
      <c r="M1580" s="32" t="s">
        <v>5421</v>
      </c>
      <c r="N1580" s="32" t="s">
        <v>45</v>
      </c>
    </row>
    <row r="1581" spans="1:14" s="32" customFormat="1" hidden="1" x14ac:dyDescent="0.3">
      <c r="A1581" s="39">
        <v>46182.69935185185</v>
      </c>
      <c r="B1581" s="32" t="s">
        <v>54</v>
      </c>
      <c r="C1581" s="32">
        <v>33998404736</v>
      </c>
      <c r="E1581" s="32">
        <v>20</v>
      </c>
      <c r="F1581" s="32">
        <v>0</v>
      </c>
      <c r="G1581" s="32" t="s">
        <v>47</v>
      </c>
      <c r="H1581" s="32" t="s">
        <v>6998</v>
      </c>
      <c r="I1581" s="32" t="s">
        <v>46</v>
      </c>
      <c r="J1581" s="32" t="s">
        <v>55</v>
      </c>
      <c r="M1581" s="32" t="s">
        <v>5537</v>
      </c>
      <c r="N1581" s="32" t="s">
        <v>54</v>
      </c>
    </row>
    <row r="1582" spans="1:14" s="32" customFormat="1" hidden="1" x14ac:dyDescent="0.3">
      <c r="A1582" s="39">
        <v>46182.698518518519</v>
      </c>
      <c r="B1582" s="32">
        <v>44998761561</v>
      </c>
      <c r="C1582" s="32" t="s">
        <v>45</v>
      </c>
      <c r="D1582" s="32">
        <v>4430265054</v>
      </c>
      <c r="E1582" s="32">
        <v>303</v>
      </c>
      <c r="F1582" s="32">
        <v>190</v>
      </c>
      <c r="G1582" s="32" t="s">
        <v>38</v>
      </c>
      <c r="H1582" s="32" t="s">
        <v>6999</v>
      </c>
      <c r="I1582" s="32" t="s">
        <v>39</v>
      </c>
      <c r="J1582" s="32" t="s">
        <v>40</v>
      </c>
      <c r="K1582" s="32" t="s">
        <v>41</v>
      </c>
      <c r="L1582" s="32">
        <v>5</v>
      </c>
      <c r="M1582" s="32" t="s">
        <v>5421</v>
      </c>
      <c r="N1582" s="32" t="s">
        <v>45</v>
      </c>
    </row>
    <row r="1583" spans="1:14" s="32" customFormat="1" hidden="1" x14ac:dyDescent="0.3">
      <c r="A1583" s="39">
        <v>46182.697187500002</v>
      </c>
      <c r="B1583" s="32">
        <v>1131515685</v>
      </c>
      <c r="C1583" s="32" t="s">
        <v>37</v>
      </c>
      <c r="D1583" s="32">
        <v>4430265054</v>
      </c>
      <c r="E1583" s="32">
        <v>609</v>
      </c>
      <c r="F1583" s="32">
        <v>538</v>
      </c>
      <c r="G1583" s="32" t="s">
        <v>38</v>
      </c>
      <c r="H1583" s="32" t="s">
        <v>7000</v>
      </c>
      <c r="I1583" s="32" t="s">
        <v>39</v>
      </c>
      <c r="J1583" s="32" t="s">
        <v>40</v>
      </c>
      <c r="K1583" s="32" t="s">
        <v>41</v>
      </c>
      <c r="M1583" s="32" t="s">
        <v>5410</v>
      </c>
      <c r="N1583" s="32" t="s">
        <v>37</v>
      </c>
    </row>
    <row r="1584" spans="1:14" s="32" customFormat="1" x14ac:dyDescent="0.3">
      <c r="A1584" s="39">
        <v>46182.68917824074</v>
      </c>
      <c r="B1584" s="32" t="s">
        <v>44</v>
      </c>
      <c r="C1584" s="32">
        <v>4430315826</v>
      </c>
      <c r="E1584" s="32">
        <v>127</v>
      </c>
      <c r="F1584" s="32">
        <v>115</v>
      </c>
      <c r="G1584" s="32" t="s">
        <v>38</v>
      </c>
      <c r="H1584" s="32" t="s">
        <v>7001</v>
      </c>
      <c r="I1584" s="32" t="s">
        <v>46</v>
      </c>
      <c r="J1584" s="32" t="s">
        <v>40</v>
      </c>
      <c r="M1584" s="32" t="s">
        <v>5416</v>
      </c>
      <c r="N1584" s="32" t="s">
        <v>44</v>
      </c>
    </row>
    <row r="1585" spans="1:14" s="32" customFormat="1" x14ac:dyDescent="0.3">
      <c r="A1585" s="39">
        <v>46182.689120370371</v>
      </c>
      <c r="B1585" s="32" t="s">
        <v>44</v>
      </c>
      <c r="C1585" s="32">
        <v>4430315826</v>
      </c>
      <c r="E1585" s="32">
        <v>14</v>
      </c>
      <c r="F1585" s="32">
        <v>13</v>
      </c>
      <c r="G1585" s="32" t="s">
        <v>38</v>
      </c>
      <c r="H1585" s="32" t="s">
        <v>7002</v>
      </c>
      <c r="I1585" s="32" t="s">
        <v>46</v>
      </c>
      <c r="J1585" s="32" t="s">
        <v>40</v>
      </c>
      <c r="M1585" s="32" t="s">
        <v>5416</v>
      </c>
      <c r="N1585" s="32" t="s">
        <v>44</v>
      </c>
    </row>
    <row r="1586" spans="1:14" s="32" customFormat="1" hidden="1" x14ac:dyDescent="0.3">
      <c r="A1586" s="39">
        <v>46182.686527777776</v>
      </c>
      <c r="B1586" s="32">
        <v>1131515685</v>
      </c>
      <c r="C1586" s="32">
        <v>4430265054</v>
      </c>
      <c r="D1586" s="32">
        <v>4430265054</v>
      </c>
      <c r="E1586" s="32">
        <v>79</v>
      </c>
      <c r="F1586" s="32">
        <v>78</v>
      </c>
      <c r="G1586" s="32" t="s">
        <v>52</v>
      </c>
      <c r="H1586" s="32" t="s">
        <v>7003</v>
      </c>
      <c r="I1586" s="32" t="s">
        <v>39</v>
      </c>
      <c r="J1586" s="32" t="s">
        <v>53</v>
      </c>
      <c r="K1586" s="32" t="s">
        <v>41</v>
      </c>
    </row>
    <row r="1587" spans="1:14" s="32" customFormat="1" hidden="1" x14ac:dyDescent="0.3">
      <c r="A1587" s="39">
        <v>46182.684479166666</v>
      </c>
      <c r="B1587" s="32">
        <v>44999743444</v>
      </c>
      <c r="C1587" s="32" t="s">
        <v>48</v>
      </c>
      <c r="D1587" s="32">
        <v>4430265054</v>
      </c>
      <c r="E1587" s="32">
        <v>957</v>
      </c>
      <c r="F1587" s="32">
        <v>902</v>
      </c>
      <c r="G1587" s="32" t="s">
        <v>38</v>
      </c>
      <c r="H1587" s="32" t="s">
        <v>7004</v>
      </c>
      <c r="I1587" s="32" t="s">
        <v>39</v>
      </c>
      <c r="J1587" s="32" t="s">
        <v>40</v>
      </c>
      <c r="K1587" s="32" t="s">
        <v>41</v>
      </c>
      <c r="M1587" s="32" t="s">
        <v>5412</v>
      </c>
      <c r="N1587" s="32" t="s">
        <v>48</v>
      </c>
    </row>
    <row r="1588" spans="1:14" s="32" customFormat="1" hidden="1" x14ac:dyDescent="0.3">
      <c r="A1588" s="39">
        <v>46182.68440972222</v>
      </c>
      <c r="B1588" s="32">
        <v>44991396687</v>
      </c>
      <c r="C1588" s="32" t="s">
        <v>43</v>
      </c>
      <c r="D1588" s="32">
        <v>4430265054</v>
      </c>
      <c r="E1588" s="32">
        <v>510</v>
      </c>
      <c r="F1588" s="32">
        <v>408</v>
      </c>
      <c r="G1588" s="32" t="s">
        <v>38</v>
      </c>
      <c r="H1588" s="32" t="s">
        <v>7005</v>
      </c>
      <c r="I1588" s="32" t="s">
        <v>39</v>
      </c>
      <c r="J1588" s="32" t="s">
        <v>40</v>
      </c>
      <c r="K1588" s="32" t="s">
        <v>41</v>
      </c>
      <c r="L1588" s="32">
        <v>5</v>
      </c>
      <c r="M1588" s="32" t="s">
        <v>5418</v>
      </c>
      <c r="N1588" s="32" t="s">
        <v>43</v>
      </c>
    </row>
    <row r="1589" spans="1:14" s="32" customFormat="1" hidden="1" x14ac:dyDescent="0.3">
      <c r="A1589" s="39">
        <v>46182.683668981481</v>
      </c>
      <c r="B1589" s="32">
        <v>44999743444</v>
      </c>
      <c r="C1589" s="32" t="s">
        <v>57</v>
      </c>
      <c r="D1589" s="32">
        <v>4430265054</v>
      </c>
      <c r="E1589" s="32">
        <v>66</v>
      </c>
      <c r="F1589" s="32">
        <v>40</v>
      </c>
      <c r="G1589" s="32" t="s">
        <v>38</v>
      </c>
      <c r="H1589" s="32" t="s">
        <v>7006</v>
      </c>
      <c r="I1589" s="32" t="s">
        <v>39</v>
      </c>
      <c r="J1589" s="32" t="s">
        <v>55</v>
      </c>
      <c r="K1589" s="32" t="s">
        <v>49</v>
      </c>
      <c r="M1589" s="32" t="s">
        <v>5456</v>
      </c>
      <c r="N1589" s="32" t="s">
        <v>57</v>
      </c>
    </row>
    <row r="1590" spans="1:14" s="32" customFormat="1" hidden="1" x14ac:dyDescent="0.3">
      <c r="A1590" s="39">
        <v>46182.679456018515</v>
      </c>
      <c r="B1590" s="32">
        <v>35998295948</v>
      </c>
      <c r="C1590" s="32" t="s">
        <v>44</v>
      </c>
      <c r="D1590" s="32">
        <v>4430265054</v>
      </c>
      <c r="E1590" s="32">
        <v>534</v>
      </c>
      <c r="F1590" s="32">
        <v>509</v>
      </c>
      <c r="G1590" s="32" t="s">
        <v>38</v>
      </c>
      <c r="H1590" s="32" t="s">
        <v>7007</v>
      </c>
      <c r="I1590" s="32" t="s">
        <v>39</v>
      </c>
      <c r="J1590" s="32" t="s">
        <v>40</v>
      </c>
      <c r="K1590" s="32" t="s">
        <v>41</v>
      </c>
      <c r="L1590" s="32">
        <v>5</v>
      </c>
      <c r="M1590" s="32" t="s">
        <v>5416</v>
      </c>
      <c r="N1590" s="32" t="s">
        <v>44</v>
      </c>
    </row>
    <row r="1591" spans="1:14" s="32" customFormat="1" hidden="1" x14ac:dyDescent="0.3">
      <c r="A1591" s="39">
        <v>46182.677175925928</v>
      </c>
      <c r="B1591" s="32">
        <v>44998620323</v>
      </c>
      <c r="C1591" s="32" t="s">
        <v>43</v>
      </c>
      <c r="D1591" s="32">
        <v>4430265054</v>
      </c>
      <c r="E1591" s="32">
        <v>691</v>
      </c>
      <c r="F1591" s="32">
        <v>629</v>
      </c>
      <c r="G1591" s="32" t="s">
        <v>38</v>
      </c>
      <c r="H1591" s="32" t="s">
        <v>7008</v>
      </c>
      <c r="I1591" s="32" t="s">
        <v>39</v>
      </c>
      <c r="J1591" s="32" t="s">
        <v>40</v>
      </c>
      <c r="K1591" s="32" t="s">
        <v>41</v>
      </c>
      <c r="M1591" s="32" t="s">
        <v>5418</v>
      </c>
      <c r="N1591" s="32" t="s">
        <v>43</v>
      </c>
    </row>
    <row r="1592" spans="1:14" s="32" customFormat="1" hidden="1" x14ac:dyDescent="0.3">
      <c r="A1592" s="39">
        <v>46182.675370370373</v>
      </c>
      <c r="B1592" s="32">
        <v>4432541200</v>
      </c>
      <c r="C1592" s="32" t="s">
        <v>37</v>
      </c>
      <c r="D1592" s="32">
        <v>4430265054</v>
      </c>
      <c r="E1592" s="32">
        <v>900</v>
      </c>
      <c r="F1592" s="32">
        <v>853</v>
      </c>
      <c r="G1592" s="32" t="s">
        <v>38</v>
      </c>
      <c r="H1592" s="32" t="s">
        <v>7009</v>
      </c>
      <c r="I1592" s="32" t="s">
        <v>39</v>
      </c>
      <c r="J1592" s="32" t="s">
        <v>40</v>
      </c>
      <c r="K1592" s="32" t="s">
        <v>41</v>
      </c>
      <c r="M1592" s="32" t="s">
        <v>5410</v>
      </c>
      <c r="N1592" s="32" t="s">
        <v>37</v>
      </c>
    </row>
    <row r="1593" spans="1:14" s="32" customFormat="1" hidden="1" x14ac:dyDescent="0.3">
      <c r="A1593" s="39">
        <v>46182.667175925926</v>
      </c>
      <c r="B1593" s="32">
        <v>4432268889</v>
      </c>
      <c r="C1593" s="32" t="s">
        <v>45</v>
      </c>
      <c r="D1593" s="32">
        <v>4430265054</v>
      </c>
      <c r="E1593" s="32">
        <v>1041</v>
      </c>
      <c r="F1593" s="32">
        <v>976</v>
      </c>
      <c r="G1593" s="32" t="s">
        <v>38</v>
      </c>
      <c r="H1593" s="32" t="s">
        <v>7010</v>
      </c>
      <c r="I1593" s="32" t="s">
        <v>39</v>
      </c>
      <c r="J1593" s="32" t="s">
        <v>40</v>
      </c>
      <c r="K1593" s="32" t="s">
        <v>41</v>
      </c>
      <c r="M1593" s="32" t="s">
        <v>5421</v>
      </c>
      <c r="N1593" s="32" t="s">
        <v>45</v>
      </c>
    </row>
    <row r="1594" spans="1:14" s="32" customFormat="1" hidden="1" x14ac:dyDescent="0.3">
      <c r="A1594" s="39">
        <v>46182.66605324074</v>
      </c>
      <c r="B1594" s="32">
        <v>4432325260</v>
      </c>
      <c r="C1594" s="32" t="s">
        <v>43</v>
      </c>
      <c r="D1594" s="32">
        <v>4430265054</v>
      </c>
      <c r="E1594" s="32">
        <v>281</v>
      </c>
      <c r="F1594" s="32">
        <v>242</v>
      </c>
      <c r="G1594" s="32" t="s">
        <v>38</v>
      </c>
      <c r="H1594" s="32" t="s">
        <v>7011</v>
      </c>
      <c r="I1594" s="32" t="s">
        <v>39</v>
      </c>
      <c r="J1594" s="32" t="s">
        <v>40</v>
      </c>
      <c r="K1594" s="32" t="s">
        <v>41</v>
      </c>
      <c r="M1594" s="32" t="s">
        <v>5418</v>
      </c>
      <c r="N1594" s="32" t="s">
        <v>43</v>
      </c>
    </row>
    <row r="1595" spans="1:14" s="32" customFormat="1" hidden="1" x14ac:dyDescent="0.3">
      <c r="A1595" s="39">
        <v>46182.661643518521</v>
      </c>
      <c r="B1595" s="32" t="s">
        <v>43</v>
      </c>
      <c r="C1595" s="32">
        <v>4334726613</v>
      </c>
      <c r="E1595" s="32">
        <v>1</v>
      </c>
      <c r="F1595" s="32">
        <v>0</v>
      </c>
      <c r="G1595" s="32" t="s">
        <v>47</v>
      </c>
      <c r="H1595" s="32" t="s">
        <v>7012</v>
      </c>
      <c r="I1595" s="32" t="s">
        <v>46</v>
      </c>
      <c r="J1595" s="32" t="s">
        <v>40</v>
      </c>
      <c r="M1595" s="32" t="s">
        <v>5418</v>
      </c>
      <c r="N1595" s="32" t="s">
        <v>43</v>
      </c>
    </row>
    <row r="1596" spans="1:14" s="32" customFormat="1" hidden="1" x14ac:dyDescent="0.3">
      <c r="A1596" s="39">
        <v>46182.661400462966</v>
      </c>
      <c r="B1596" s="32" t="s">
        <v>43</v>
      </c>
      <c r="C1596" s="32">
        <v>4334728840</v>
      </c>
      <c r="E1596" s="32">
        <v>0</v>
      </c>
      <c r="F1596" s="32">
        <v>0</v>
      </c>
      <c r="G1596" s="32" t="s">
        <v>47</v>
      </c>
      <c r="H1596" s="32" t="s">
        <v>7013</v>
      </c>
      <c r="I1596" s="32" t="s">
        <v>46</v>
      </c>
      <c r="J1596" s="32" t="s">
        <v>40</v>
      </c>
      <c r="M1596" s="32" t="s">
        <v>5418</v>
      </c>
      <c r="N1596" s="32" t="s">
        <v>43</v>
      </c>
    </row>
    <row r="1597" spans="1:14" s="32" customFormat="1" hidden="1" x14ac:dyDescent="0.3">
      <c r="A1597" s="39">
        <v>46182.661354166667</v>
      </c>
      <c r="B1597" s="32" t="s">
        <v>43</v>
      </c>
      <c r="C1597" s="32">
        <v>4334728840</v>
      </c>
      <c r="E1597" s="32">
        <v>1</v>
      </c>
      <c r="F1597" s="32">
        <v>0</v>
      </c>
      <c r="G1597" s="32" t="s">
        <v>47</v>
      </c>
      <c r="H1597" s="32" t="s">
        <v>7014</v>
      </c>
      <c r="I1597" s="32" t="s">
        <v>46</v>
      </c>
      <c r="J1597" s="32" t="s">
        <v>40</v>
      </c>
      <c r="M1597" s="32" t="s">
        <v>5418</v>
      </c>
      <c r="N1597" s="32" t="s">
        <v>43</v>
      </c>
    </row>
    <row r="1598" spans="1:14" s="32" customFormat="1" hidden="1" x14ac:dyDescent="0.3">
      <c r="A1598" s="39">
        <v>46182.66133101852</v>
      </c>
      <c r="B1598" s="32" t="s">
        <v>43</v>
      </c>
      <c r="C1598" s="32">
        <v>4334726613</v>
      </c>
      <c r="E1598" s="32">
        <v>0</v>
      </c>
      <c r="F1598" s="32">
        <v>0</v>
      </c>
      <c r="G1598" s="32" t="s">
        <v>47</v>
      </c>
      <c r="H1598" s="32" t="s">
        <v>7015</v>
      </c>
      <c r="I1598" s="32" t="s">
        <v>46</v>
      </c>
      <c r="J1598" s="32" t="s">
        <v>40</v>
      </c>
      <c r="M1598" s="32" t="s">
        <v>5418</v>
      </c>
      <c r="N1598" s="32" t="s">
        <v>43</v>
      </c>
    </row>
    <row r="1599" spans="1:14" s="32" customFormat="1" hidden="1" x14ac:dyDescent="0.3">
      <c r="A1599" s="39">
        <v>46182.661192129628</v>
      </c>
      <c r="B1599" s="32" t="s">
        <v>43</v>
      </c>
      <c r="C1599" s="32">
        <v>4334726613</v>
      </c>
      <c r="E1599" s="32">
        <v>0</v>
      </c>
      <c r="F1599" s="32">
        <v>0</v>
      </c>
      <c r="G1599" s="32" t="s">
        <v>47</v>
      </c>
      <c r="H1599" s="32" t="s">
        <v>7016</v>
      </c>
      <c r="I1599" s="32" t="s">
        <v>46</v>
      </c>
      <c r="J1599" s="32" t="s">
        <v>40</v>
      </c>
      <c r="M1599" s="32" t="s">
        <v>5418</v>
      </c>
      <c r="N1599" s="32" t="s">
        <v>43</v>
      </c>
    </row>
    <row r="1600" spans="1:14" s="32" customFormat="1" hidden="1" x14ac:dyDescent="0.3">
      <c r="A1600" s="39">
        <v>46182.658587962964</v>
      </c>
      <c r="B1600" s="32">
        <v>4432256273</v>
      </c>
      <c r="C1600" s="32" t="s">
        <v>45</v>
      </c>
      <c r="D1600" s="32">
        <v>4430265054</v>
      </c>
      <c r="E1600" s="32">
        <v>698</v>
      </c>
      <c r="F1600" s="32">
        <v>652</v>
      </c>
      <c r="G1600" s="32" t="s">
        <v>38</v>
      </c>
      <c r="H1600" s="32" t="s">
        <v>7017</v>
      </c>
      <c r="I1600" s="32" t="s">
        <v>39</v>
      </c>
      <c r="J1600" s="32" t="s">
        <v>40</v>
      </c>
      <c r="K1600" s="32" t="s">
        <v>41</v>
      </c>
      <c r="L1600" s="32">
        <v>5</v>
      </c>
      <c r="M1600" s="32" t="s">
        <v>5421</v>
      </c>
      <c r="N1600" s="32" t="s">
        <v>45</v>
      </c>
    </row>
    <row r="1601" spans="1:14" s="32" customFormat="1" hidden="1" x14ac:dyDescent="0.3">
      <c r="A1601" s="39">
        <v>46182.65457175926</v>
      </c>
      <c r="B1601" s="32" t="s">
        <v>54</v>
      </c>
      <c r="C1601" s="32">
        <v>41991910259</v>
      </c>
      <c r="E1601" s="32">
        <v>23</v>
      </c>
      <c r="F1601" s="32">
        <v>3</v>
      </c>
      <c r="G1601" s="32" t="s">
        <v>38</v>
      </c>
      <c r="H1601" s="32" t="s">
        <v>7018</v>
      </c>
      <c r="I1601" s="32" t="s">
        <v>46</v>
      </c>
      <c r="J1601" s="32" t="s">
        <v>55</v>
      </c>
      <c r="M1601" s="32" t="s">
        <v>5537</v>
      </c>
      <c r="N1601" s="32" t="s">
        <v>54</v>
      </c>
    </row>
    <row r="1602" spans="1:14" s="32" customFormat="1" hidden="1" x14ac:dyDescent="0.3">
      <c r="A1602" s="39">
        <v>46182.649189814816</v>
      </c>
      <c r="B1602" s="32">
        <v>11966416756</v>
      </c>
      <c r="C1602" s="32" t="s">
        <v>48</v>
      </c>
      <c r="D1602" s="32">
        <v>4431268225</v>
      </c>
      <c r="E1602" s="32">
        <v>354</v>
      </c>
      <c r="F1602" s="32">
        <v>354</v>
      </c>
      <c r="G1602" s="32" t="s">
        <v>38</v>
      </c>
      <c r="H1602" s="32" t="s">
        <v>7019</v>
      </c>
      <c r="I1602" s="32" t="s">
        <v>39</v>
      </c>
      <c r="J1602" s="32" t="s">
        <v>40</v>
      </c>
      <c r="K1602" s="32" t="s">
        <v>41</v>
      </c>
      <c r="L1602" s="32">
        <v>5</v>
      </c>
      <c r="M1602" s="32" t="s">
        <v>5412</v>
      </c>
      <c r="N1602" s="32" t="s">
        <v>48</v>
      </c>
    </row>
    <row r="1603" spans="1:14" s="32" customFormat="1" hidden="1" x14ac:dyDescent="0.3">
      <c r="A1603" s="39">
        <v>46182.645868055559</v>
      </c>
      <c r="B1603" s="32">
        <v>44998849102</v>
      </c>
      <c r="C1603" s="32" t="s">
        <v>45</v>
      </c>
      <c r="D1603" s="32">
        <v>4430265054</v>
      </c>
      <c r="E1603" s="32">
        <v>277</v>
      </c>
      <c r="F1603" s="32">
        <v>176</v>
      </c>
      <c r="G1603" s="32" t="s">
        <v>38</v>
      </c>
      <c r="H1603" s="32" t="s">
        <v>7020</v>
      </c>
      <c r="I1603" s="32" t="s">
        <v>39</v>
      </c>
      <c r="J1603" s="32" t="s">
        <v>40</v>
      </c>
      <c r="K1603" s="32" t="s">
        <v>41</v>
      </c>
      <c r="M1603" s="32" t="s">
        <v>5421</v>
      </c>
      <c r="N1603" s="32" t="s">
        <v>45</v>
      </c>
    </row>
    <row r="1604" spans="1:14" s="32" customFormat="1" hidden="1" x14ac:dyDescent="0.3">
      <c r="A1604" s="39">
        <v>46182.645798611113</v>
      </c>
      <c r="B1604" s="32">
        <v>62994546858</v>
      </c>
      <c r="C1604" s="32" t="s">
        <v>44</v>
      </c>
      <c r="D1604" s="32">
        <v>4431268225</v>
      </c>
      <c r="E1604" s="32">
        <v>1058</v>
      </c>
      <c r="F1604" s="32">
        <v>970</v>
      </c>
      <c r="G1604" s="32" t="s">
        <v>38</v>
      </c>
      <c r="H1604" s="32" t="s">
        <v>7021</v>
      </c>
      <c r="I1604" s="32" t="s">
        <v>39</v>
      </c>
      <c r="J1604" s="32" t="s">
        <v>40</v>
      </c>
      <c r="K1604" s="32" t="s">
        <v>41</v>
      </c>
      <c r="L1604" s="32">
        <v>5</v>
      </c>
      <c r="M1604" s="32" t="s">
        <v>5416</v>
      </c>
      <c r="N1604" s="32" t="s">
        <v>44</v>
      </c>
    </row>
    <row r="1605" spans="1:14" s="32" customFormat="1" hidden="1" x14ac:dyDescent="0.3">
      <c r="A1605" s="39">
        <v>46182.642696759256</v>
      </c>
      <c r="B1605" s="32">
        <v>44999903759</v>
      </c>
      <c r="C1605" s="32" t="s">
        <v>43</v>
      </c>
      <c r="D1605" s="32">
        <v>4430265054</v>
      </c>
      <c r="E1605" s="32">
        <v>911</v>
      </c>
      <c r="F1605" s="32">
        <v>830</v>
      </c>
      <c r="G1605" s="32" t="s">
        <v>38</v>
      </c>
      <c r="H1605" s="32" t="s">
        <v>7022</v>
      </c>
      <c r="I1605" s="32" t="s">
        <v>39</v>
      </c>
      <c r="J1605" s="32" t="s">
        <v>40</v>
      </c>
      <c r="K1605" s="32" t="s">
        <v>41</v>
      </c>
      <c r="M1605" s="32" t="s">
        <v>5418</v>
      </c>
      <c r="N1605" s="32" t="s">
        <v>43</v>
      </c>
    </row>
    <row r="1606" spans="1:14" s="32" customFormat="1" hidden="1" x14ac:dyDescent="0.3">
      <c r="A1606" s="39">
        <v>46182.635659722226</v>
      </c>
      <c r="B1606" s="32" t="s">
        <v>57</v>
      </c>
      <c r="C1606" s="32">
        <v>51985088272</v>
      </c>
      <c r="E1606" s="32">
        <v>37</v>
      </c>
      <c r="F1606" s="32">
        <v>0</v>
      </c>
      <c r="G1606" s="32" t="s">
        <v>47</v>
      </c>
      <c r="H1606" s="32" t="s">
        <v>7023</v>
      </c>
      <c r="I1606" s="32" t="s">
        <v>46</v>
      </c>
      <c r="J1606" s="32" t="s">
        <v>55</v>
      </c>
      <c r="M1606" s="32" t="s">
        <v>5456</v>
      </c>
      <c r="N1606" s="32" t="s">
        <v>57</v>
      </c>
    </row>
    <row r="1607" spans="1:14" s="32" customFormat="1" hidden="1" x14ac:dyDescent="0.3">
      <c r="A1607" s="39">
        <v>46182.631157407406</v>
      </c>
      <c r="B1607" s="32" t="s">
        <v>43</v>
      </c>
      <c r="C1607" s="32">
        <v>44999917849</v>
      </c>
      <c r="E1607" s="32">
        <v>7</v>
      </c>
      <c r="F1607" s="32">
        <v>0</v>
      </c>
      <c r="G1607" s="32" t="s">
        <v>47</v>
      </c>
      <c r="H1607" s="32" t="s">
        <v>7024</v>
      </c>
      <c r="I1607" s="32" t="s">
        <v>46</v>
      </c>
      <c r="J1607" s="32" t="s">
        <v>40</v>
      </c>
      <c r="M1607" s="32" t="s">
        <v>5418</v>
      </c>
      <c r="N1607" s="32" t="s">
        <v>43</v>
      </c>
    </row>
    <row r="1608" spans="1:14" s="32" customFormat="1" hidden="1" x14ac:dyDescent="0.3">
      <c r="A1608" s="39">
        <v>46182.630624999998</v>
      </c>
      <c r="B1608" s="32">
        <v>44999646909</v>
      </c>
      <c r="C1608" s="32" t="s">
        <v>45</v>
      </c>
      <c r="D1608" s="32">
        <v>4430265054</v>
      </c>
      <c r="E1608" s="32">
        <v>785</v>
      </c>
      <c r="F1608" s="32">
        <v>732</v>
      </c>
      <c r="G1608" s="32" t="s">
        <v>38</v>
      </c>
      <c r="H1608" s="32" t="s">
        <v>7025</v>
      </c>
      <c r="I1608" s="32" t="s">
        <v>39</v>
      </c>
      <c r="J1608" s="32" t="s">
        <v>40</v>
      </c>
      <c r="K1608" s="32" t="s">
        <v>41</v>
      </c>
      <c r="M1608" s="32" t="s">
        <v>5421</v>
      </c>
      <c r="N1608" s="32" t="s">
        <v>45</v>
      </c>
    </row>
    <row r="1609" spans="1:14" s="32" customFormat="1" hidden="1" x14ac:dyDescent="0.3">
      <c r="A1609" s="39">
        <v>46182.625347222223</v>
      </c>
      <c r="B1609" s="32">
        <v>4430450103</v>
      </c>
      <c r="C1609" s="32" t="s">
        <v>43</v>
      </c>
      <c r="D1609" s="32">
        <v>4430265054</v>
      </c>
      <c r="E1609" s="32">
        <v>154</v>
      </c>
      <c r="F1609" s="32">
        <v>110</v>
      </c>
      <c r="G1609" s="32" t="s">
        <v>38</v>
      </c>
      <c r="H1609" s="32" t="s">
        <v>7026</v>
      </c>
      <c r="I1609" s="32" t="s">
        <v>39</v>
      </c>
      <c r="J1609" s="32" t="s">
        <v>40</v>
      </c>
      <c r="K1609" s="32" t="s">
        <v>41</v>
      </c>
      <c r="M1609" s="32" t="s">
        <v>5418</v>
      </c>
      <c r="N1609" s="32" t="s">
        <v>43</v>
      </c>
    </row>
    <row r="1610" spans="1:14" s="32" customFormat="1" hidden="1" x14ac:dyDescent="0.3">
      <c r="A1610" s="39">
        <v>46182.619328703702</v>
      </c>
      <c r="B1610" s="32">
        <v>4532541802</v>
      </c>
      <c r="C1610" s="32" t="s">
        <v>43</v>
      </c>
      <c r="D1610" s="32">
        <v>4430265054</v>
      </c>
      <c r="E1610" s="32">
        <v>573</v>
      </c>
      <c r="F1610" s="32">
        <v>538</v>
      </c>
      <c r="G1610" s="32" t="s">
        <v>38</v>
      </c>
      <c r="H1610" s="32" t="s">
        <v>7027</v>
      </c>
      <c r="I1610" s="32" t="s">
        <v>39</v>
      </c>
      <c r="J1610" s="32" t="s">
        <v>40</v>
      </c>
      <c r="K1610" s="32" t="s">
        <v>41</v>
      </c>
      <c r="M1610" s="32" t="s">
        <v>5418</v>
      </c>
      <c r="N1610" s="32" t="s">
        <v>43</v>
      </c>
    </row>
    <row r="1611" spans="1:14" s="32" customFormat="1" hidden="1" x14ac:dyDescent="0.3">
      <c r="A1611" s="39">
        <v>46182.618020833332</v>
      </c>
      <c r="B1611" s="32">
        <v>44999680829</v>
      </c>
      <c r="C1611" s="32" t="s">
        <v>45</v>
      </c>
      <c r="D1611" s="32">
        <v>4430265054</v>
      </c>
      <c r="E1611" s="32">
        <v>253</v>
      </c>
      <c r="F1611" s="32">
        <v>214</v>
      </c>
      <c r="G1611" s="32" t="s">
        <v>38</v>
      </c>
      <c r="H1611" s="32" t="s">
        <v>7028</v>
      </c>
      <c r="I1611" s="32" t="s">
        <v>39</v>
      </c>
      <c r="J1611" s="32" t="s">
        <v>40</v>
      </c>
      <c r="K1611" s="32" t="s">
        <v>41</v>
      </c>
      <c r="L1611" s="32">
        <v>5</v>
      </c>
      <c r="M1611" s="32" t="s">
        <v>5421</v>
      </c>
      <c r="N1611" s="32" t="s">
        <v>45</v>
      </c>
    </row>
    <row r="1612" spans="1:14" s="32" customFormat="1" hidden="1" x14ac:dyDescent="0.3">
      <c r="A1612" s="39">
        <v>46182.617673611108</v>
      </c>
      <c r="B1612" s="32">
        <v>44999676986</v>
      </c>
      <c r="C1612" s="32" t="s">
        <v>43</v>
      </c>
      <c r="D1612" s="32">
        <v>4430265054</v>
      </c>
      <c r="E1612" s="32">
        <v>121</v>
      </c>
      <c r="F1612" s="32">
        <v>100</v>
      </c>
      <c r="G1612" s="32" t="s">
        <v>38</v>
      </c>
      <c r="H1612" s="32" t="s">
        <v>7029</v>
      </c>
      <c r="I1612" s="32" t="s">
        <v>39</v>
      </c>
      <c r="J1612" s="32" t="s">
        <v>40</v>
      </c>
      <c r="K1612" s="32" t="s">
        <v>41</v>
      </c>
      <c r="M1612" s="32" t="s">
        <v>5418</v>
      </c>
      <c r="N1612" s="32" t="s">
        <v>43</v>
      </c>
    </row>
    <row r="1613" spans="1:14" s="32" customFormat="1" hidden="1" x14ac:dyDescent="0.3">
      <c r="A1613" s="39">
        <v>46182.616307870368</v>
      </c>
      <c r="B1613" s="32">
        <v>4430315826</v>
      </c>
      <c r="C1613" s="32" t="s">
        <v>44</v>
      </c>
      <c r="D1613" s="32">
        <v>4430265054</v>
      </c>
      <c r="E1613" s="32">
        <v>1188</v>
      </c>
      <c r="F1613" s="32">
        <v>1066</v>
      </c>
      <c r="G1613" s="32" t="s">
        <v>38</v>
      </c>
      <c r="H1613" s="32" t="s">
        <v>7030</v>
      </c>
      <c r="I1613" s="32" t="s">
        <v>39</v>
      </c>
      <c r="J1613" s="32" t="s">
        <v>40</v>
      </c>
      <c r="K1613" s="32" t="s">
        <v>41</v>
      </c>
      <c r="L1613" s="32">
        <v>5</v>
      </c>
      <c r="M1613" s="32" t="s">
        <v>5416</v>
      </c>
      <c r="N1613" s="32" t="s">
        <v>44</v>
      </c>
    </row>
    <row r="1614" spans="1:14" s="32" customFormat="1" hidden="1" x14ac:dyDescent="0.3">
      <c r="A1614" s="39">
        <v>46182.613819444443</v>
      </c>
      <c r="B1614" s="32">
        <v>44991234625</v>
      </c>
      <c r="C1614" s="32" t="s">
        <v>45</v>
      </c>
      <c r="D1614" s="32">
        <v>4430265054</v>
      </c>
      <c r="E1614" s="32">
        <v>255</v>
      </c>
      <c r="F1614" s="32">
        <v>211</v>
      </c>
      <c r="G1614" s="32" t="s">
        <v>38</v>
      </c>
      <c r="H1614" s="32" t="s">
        <v>7031</v>
      </c>
      <c r="I1614" s="32" t="s">
        <v>39</v>
      </c>
      <c r="J1614" s="32" t="s">
        <v>40</v>
      </c>
      <c r="K1614" s="32" t="s">
        <v>41</v>
      </c>
      <c r="L1614" s="32">
        <v>5</v>
      </c>
      <c r="M1614" s="32" t="s">
        <v>5421</v>
      </c>
      <c r="N1614" s="32" t="s">
        <v>45</v>
      </c>
    </row>
    <row r="1615" spans="1:14" s="32" customFormat="1" hidden="1" x14ac:dyDescent="0.3">
      <c r="A1615" s="39">
        <v>46182.611134259256</v>
      </c>
      <c r="B1615" s="32" t="s">
        <v>45</v>
      </c>
      <c r="C1615" s="32">
        <v>4432272377</v>
      </c>
      <c r="E1615" s="32">
        <v>38</v>
      </c>
      <c r="F1615" s="32">
        <v>28</v>
      </c>
      <c r="G1615" s="32" t="s">
        <v>38</v>
      </c>
      <c r="H1615" s="32" t="s">
        <v>7032</v>
      </c>
      <c r="I1615" s="32" t="s">
        <v>46</v>
      </c>
      <c r="J1615" s="32" t="s">
        <v>40</v>
      </c>
      <c r="M1615" s="32" t="s">
        <v>5421</v>
      </c>
      <c r="N1615" s="32" t="s">
        <v>45</v>
      </c>
    </row>
    <row r="1616" spans="1:14" s="32" customFormat="1" hidden="1" x14ac:dyDescent="0.3">
      <c r="A1616" s="39">
        <v>46182.611041666663</v>
      </c>
      <c r="B1616" s="32" t="s">
        <v>45</v>
      </c>
      <c r="C1616" s="32">
        <v>4432272377</v>
      </c>
      <c r="E1616" s="32">
        <v>14</v>
      </c>
      <c r="F1616" s="32">
        <v>14</v>
      </c>
      <c r="G1616" s="32" t="s">
        <v>38</v>
      </c>
      <c r="H1616" s="32" t="s">
        <v>7033</v>
      </c>
      <c r="I1616" s="32" t="s">
        <v>46</v>
      </c>
      <c r="J1616" s="32" t="s">
        <v>40</v>
      </c>
      <c r="M1616" s="32" t="s">
        <v>5421</v>
      </c>
      <c r="N1616" s="32" t="s">
        <v>45</v>
      </c>
    </row>
    <row r="1617" spans="1:14" s="32" customFormat="1" hidden="1" x14ac:dyDescent="0.3">
      <c r="A1617" s="39">
        <v>46182.61005787037</v>
      </c>
      <c r="B1617" s="32">
        <v>4430317020</v>
      </c>
      <c r="C1617" s="32">
        <v>4430265054</v>
      </c>
      <c r="D1617" s="32">
        <v>4430265054</v>
      </c>
      <c r="E1617" s="32">
        <v>93</v>
      </c>
      <c r="F1617" s="32">
        <v>92</v>
      </c>
      <c r="G1617" s="32" t="s">
        <v>52</v>
      </c>
      <c r="H1617" s="32" t="s">
        <v>7034</v>
      </c>
      <c r="I1617" s="32" t="s">
        <v>39</v>
      </c>
      <c r="J1617" s="32" t="s">
        <v>53</v>
      </c>
      <c r="K1617" s="32" t="s">
        <v>41</v>
      </c>
    </row>
    <row r="1618" spans="1:14" s="32" customFormat="1" hidden="1" x14ac:dyDescent="0.3">
      <c r="A1618" s="39">
        <v>46182.604386574072</v>
      </c>
      <c r="B1618" s="32">
        <v>44999689445</v>
      </c>
      <c r="C1618" s="32">
        <v>4430265054</v>
      </c>
      <c r="D1618" s="32">
        <v>4430265054</v>
      </c>
      <c r="E1618" s="32">
        <v>77</v>
      </c>
      <c r="F1618" s="32">
        <v>76</v>
      </c>
      <c r="G1618" s="32" t="s">
        <v>52</v>
      </c>
      <c r="H1618" s="32" t="s">
        <v>7035</v>
      </c>
      <c r="I1618" s="32" t="s">
        <v>39</v>
      </c>
      <c r="J1618" s="32" t="s">
        <v>53</v>
      </c>
      <c r="K1618" s="32" t="s">
        <v>41</v>
      </c>
    </row>
    <row r="1619" spans="1:14" s="32" customFormat="1" hidden="1" x14ac:dyDescent="0.3">
      <c r="A1619" s="39">
        <v>46182.598483796297</v>
      </c>
      <c r="B1619" s="32">
        <v>44998849102</v>
      </c>
      <c r="C1619" s="32" t="s">
        <v>48</v>
      </c>
      <c r="D1619" s="32">
        <v>4430265054</v>
      </c>
      <c r="E1619" s="32">
        <v>381</v>
      </c>
      <c r="F1619" s="32">
        <v>290</v>
      </c>
      <c r="G1619" s="32" t="s">
        <v>38</v>
      </c>
      <c r="H1619" s="32" t="s">
        <v>7036</v>
      </c>
      <c r="I1619" s="32" t="s">
        <v>39</v>
      </c>
      <c r="J1619" s="32" t="s">
        <v>40</v>
      </c>
      <c r="K1619" s="32" t="s">
        <v>41</v>
      </c>
      <c r="M1619" s="32" t="s">
        <v>5412</v>
      </c>
      <c r="N1619" s="32" t="s">
        <v>48</v>
      </c>
    </row>
    <row r="1620" spans="1:14" s="32" customFormat="1" hidden="1" x14ac:dyDescent="0.3">
      <c r="A1620" s="39">
        <v>46182.597384259258</v>
      </c>
      <c r="B1620" s="32">
        <v>4430282545</v>
      </c>
      <c r="C1620" s="32" t="s">
        <v>48</v>
      </c>
      <c r="D1620" s="32">
        <v>4430265054</v>
      </c>
      <c r="E1620" s="32">
        <v>96</v>
      </c>
      <c r="F1620" s="32">
        <v>47</v>
      </c>
      <c r="G1620" s="32" t="s">
        <v>38</v>
      </c>
      <c r="H1620" s="32" t="s">
        <v>7037</v>
      </c>
      <c r="I1620" s="32" t="s">
        <v>39</v>
      </c>
      <c r="J1620" s="32" t="s">
        <v>40</v>
      </c>
      <c r="K1620" s="32" t="s">
        <v>41</v>
      </c>
      <c r="M1620" s="32" t="s">
        <v>5412</v>
      </c>
      <c r="N1620" s="32" t="s">
        <v>48</v>
      </c>
    </row>
    <row r="1621" spans="1:14" s="32" customFormat="1" hidden="1" x14ac:dyDescent="0.3">
      <c r="A1621" s="39">
        <v>46182.595752314817</v>
      </c>
      <c r="B1621" s="32">
        <v>41997840159</v>
      </c>
      <c r="C1621" s="32" t="s">
        <v>44</v>
      </c>
      <c r="D1621" s="32">
        <v>4431268225</v>
      </c>
      <c r="E1621" s="32">
        <v>553</v>
      </c>
      <c r="F1621" s="32">
        <v>482</v>
      </c>
      <c r="G1621" s="32" t="s">
        <v>38</v>
      </c>
      <c r="H1621" s="32" t="s">
        <v>7038</v>
      </c>
      <c r="I1621" s="32" t="s">
        <v>39</v>
      </c>
      <c r="J1621" s="32" t="s">
        <v>40</v>
      </c>
      <c r="K1621" s="32" t="s">
        <v>41</v>
      </c>
      <c r="L1621" s="40">
        <v>5</v>
      </c>
      <c r="M1621" s="34" t="s">
        <v>7606</v>
      </c>
    </row>
    <row r="1622" spans="1:14" s="32" customFormat="1" hidden="1" x14ac:dyDescent="0.3">
      <c r="A1622" s="39">
        <v>46182.595000000001</v>
      </c>
      <c r="B1622" s="32">
        <v>4330332823</v>
      </c>
      <c r="C1622" s="32" t="s">
        <v>43</v>
      </c>
      <c r="D1622" s="32">
        <v>4430265054</v>
      </c>
      <c r="E1622" s="32">
        <v>858</v>
      </c>
      <c r="F1622" s="32">
        <v>840</v>
      </c>
      <c r="G1622" s="32" t="s">
        <v>38</v>
      </c>
      <c r="H1622" s="32" t="s">
        <v>7039</v>
      </c>
      <c r="I1622" s="32" t="s">
        <v>39</v>
      </c>
      <c r="J1622" s="32" t="s">
        <v>40</v>
      </c>
      <c r="K1622" s="32" t="s">
        <v>41</v>
      </c>
      <c r="M1622" s="32" t="s">
        <v>5418</v>
      </c>
      <c r="N1622" s="32" t="s">
        <v>43</v>
      </c>
    </row>
    <row r="1623" spans="1:14" s="32" customFormat="1" hidden="1" x14ac:dyDescent="0.3">
      <c r="A1623" s="39">
        <v>46182.594502314816</v>
      </c>
      <c r="B1623" s="32">
        <v>1144320912</v>
      </c>
      <c r="C1623" s="32" t="s">
        <v>45</v>
      </c>
      <c r="D1623" s="32">
        <v>4430265054</v>
      </c>
      <c r="E1623" s="32">
        <v>1416</v>
      </c>
      <c r="F1623" s="32">
        <v>1388</v>
      </c>
      <c r="G1623" s="32" t="s">
        <v>38</v>
      </c>
      <c r="H1623" s="32" t="s">
        <v>7040</v>
      </c>
      <c r="I1623" s="32" t="s">
        <v>39</v>
      </c>
      <c r="J1623" s="32" t="s">
        <v>40</v>
      </c>
      <c r="K1623" s="32" t="s">
        <v>41</v>
      </c>
      <c r="M1623" s="32" t="s">
        <v>5421</v>
      </c>
      <c r="N1623" s="32" t="s">
        <v>45</v>
      </c>
    </row>
    <row r="1624" spans="1:14" s="32" customFormat="1" hidden="1" x14ac:dyDescent="0.3">
      <c r="A1624" s="39">
        <v>46182.57917824074</v>
      </c>
      <c r="B1624" s="32" t="s">
        <v>43</v>
      </c>
      <c r="C1624" s="32">
        <v>4430450103</v>
      </c>
      <c r="E1624" s="32">
        <v>46</v>
      </c>
      <c r="F1624" s="32">
        <v>36</v>
      </c>
      <c r="G1624" s="32" t="s">
        <v>38</v>
      </c>
      <c r="H1624" s="32" t="s">
        <v>7041</v>
      </c>
      <c r="I1624" s="32" t="s">
        <v>46</v>
      </c>
      <c r="J1624" s="32" t="s">
        <v>40</v>
      </c>
      <c r="M1624" s="32" t="s">
        <v>5418</v>
      </c>
      <c r="N1624" s="32" t="s">
        <v>43</v>
      </c>
    </row>
    <row r="1625" spans="1:14" s="32" customFormat="1" hidden="1" x14ac:dyDescent="0.3">
      <c r="A1625" s="39">
        <v>46182.575914351852</v>
      </c>
      <c r="B1625" s="32">
        <v>44999090169</v>
      </c>
      <c r="C1625" s="32" t="s">
        <v>45</v>
      </c>
      <c r="D1625" s="32">
        <v>4430265054</v>
      </c>
      <c r="E1625" s="32">
        <v>578</v>
      </c>
      <c r="F1625" s="32">
        <v>520</v>
      </c>
      <c r="G1625" s="32" t="s">
        <v>38</v>
      </c>
      <c r="H1625" s="32" t="s">
        <v>7042</v>
      </c>
      <c r="I1625" s="32" t="s">
        <v>39</v>
      </c>
      <c r="J1625" s="32" t="s">
        <v>40</v>
      </c>
      <c r="K1625" s="32" t="s">
        <v>41</v>
      </c>
      <c r="M1625" s="32" t="s">
        <v>5421</v>
      </c>
      <c r="N1625" s="32" t="s">
        <v>45</v>
      </c>
    </row>
    <row r="1626" spans="1:14" s="32" customFormat="1" hidden="1" x14ac:dyDescent="0.3">
      <c r="A1626" s="39">
        <v>46182.568240740744</v>
      </c>
      <c r="B1626" s="32" t="s">
        <v>43</v>
      </c>
      <c r="C1626" s="32">
        <v>44999917849</v>
      </c>
      <c r="E1626" s="32">
        <v>7</v>
      </c>
      <c r="F1626" s="32">
        <v>0</v>
      </c>
      <c r="G1626" s="32" t="s">
        <v>47</v>
      </c>
      <c r="H1626" s="32" t="s">
        <v>7043</v>
      </c>
      <c r="I1626" s="32" t="s">
        <v>46</v>
      </c>
      <c r="J1626" s="32" t="s">
        <v>40</v>
      </c>
      <c r="M1626" s="32" t="s">
        <v>5418</v>
      </c>
      <c r="N1626" s="32" t="s">
        <v>43</v>
      </c>
    </row>
    <row r="1627" spans="1:14" s="32" customFormat="1" hidden="1" x14ac:dyDescent="0.3">
      <c r="A1627" s="39">
        <v>46182.566828703704</v>
      </c>
      <c r="B1627" s="32">
        <v>44999647912</v>
      </c>
      <c r="C1627" s="32" t="s">
        <v>43</v>
      </c>
      <c r="D1627" s="32">
        <v>4430265054</v>
      </c>
      <c r="E1627" s="32">
        <v>257</v>
      </c>
      <c r="F1627" s="32">
        <v>220</v>
      </c>
      <c r="G1627" s="32" t="s">
        <v>38</v>
      </c>
      <c r="H1627" s="32" t="s">
        <v>7044</v>
      </c>
      <c r="I1627" s="32" t="s">
        <v>39</v>
      </c>
      <c r="J1627" s="32" t="s">
        <v>40</v>
      </c>
      <c r="K1627" s="32" t="s">
        <v>41</v>
      </c>
      <c r="M1627" s="32" t="s">
        <v>5418</v>
      </c>
      <c r="N1627" s="32" t="s">
        <v>43</v>
      </c>
    </row>
    <row r="1628" spans="1:14" s="32" customFormat="1" hidden="1" x14ac:dyDescent="0.3">
      <c r="A1628" s="39">
        <v>46182.564814814818</v>
      </c>
      <c r="B1628" s="32">
        <v>4432322192</v>
      </c>
      <c r="C1628" s="32" t="s">
        <v>43</v>
      </c>
      <c r="D1628" s="32">
        <v>4430265054</v>
      </c>
      <c r="E1628" s="32">
        <v>174</v>
      </c>
      <c r="F1628" s="32">
        <v>75</v>
      </c>
      <c r="G1628" s="32" t="s">
        <v>38</v>
      </c>
      <c r="H1628" s="32" t="s">
        <v>7045</v>
      </c>
      <c r="I1628" s="32" t="s">
        <v>39</v>
      </c>
      <c r="J1628" s="32" t="s">
        <v>40</v>
      </c>
      <c r="K1628" s="32" t="s">
        <v>41</v>
      </c>
      <c r="M1628" s="32" t="s">
        <v>5418</v>
      </c>
      <c r="N1628" s="32" t="s">
        <v>43</v>
      </c>
    </row>
    <row r="1629" spans="1:14" s="32" customFormat="1" hidden="1" x14ac:dyDescent="0.3">
      <c r="A1629" s="39">
        <v>46182.556631944448</v>
      </c>
      <c r="B1629" s="32">
        <v>4432322192</v>
      </c>
      <c r="C1629" s="32">
        <v>4430265054</v>
      </c>
      <c r="D1629" s="32">
        <v>4430265054</v>
      </c>
      <c r="E1629" s="32">
        <v>15</v>
      </c>
      <c r="F1629" s="32">
        <v>14</v>
      </c>
      <c r="G1629" s="32" t="s">
        <v>52</v>
      </c>
      <c r="H1629" s="32" t="s">
        <v>7046</v>
      </c>
      <c r="I1629" s="32" t="s">
        <v>39</v>
      </c>
      <c r="J1629" s="32" t="s">
        <v>53</v>
      </c>
    </row>
    <row r="1630" spans="1:14" s="32" customFormat="1" hidden="1" x14ac:dyDescent="0.3">
      <c r="A1630" s="39">
        <v>46182.487939814811</v>
      </c>
      <c r="B1630" s="32">
        <v>4430146402</v>
      </c>
      <c r="C1630" s="32" t="s">
        <v>43</v>
      </c>
      <c r="D1630" s="32">
        <v>4430265054</v>
      </c>
      <c r="E1630" s="32">
        <v>383</v>
      </c>
      <c r="F1630" s="32">
        <v>323</v>
      </c>
      <c r="G1630" s="32" t="s">
        <v>38</v>
      </c>
      <c r="H1630" s="32" t="s">
        <v>7047</v>
      </c>
      <c r="I1630" s="32" t="s">
        <v>39</v>
      </c>
      <c r="J1630" s="32" t="s">
        <v>40</v>
      </c>
      <c r="K1630" s="32" t="s">
        <v>41</v>
      </c>
      <c r="M1630" s="32" t="s">
        <v>5418</v>
      </c>
      <c r="N1630" s="32" t="s">
        <v>43</v>
      </c>
    </row>
    <row r="1631" spans="1:14" s="32" customFormat="1" hidden="1" x14ac:dyDescent="0.3">
      <c r="A1631" s="39">
        <v>46182.486284722225</v>
      </c>
      <c r="B1631" s="32">
        <v>62981535978</v>
      </c>
      <c r="C1631" s="32" t="s">
        <v>45</v>
      </c>
      <c r="D1631" s="32">
        <v>4430265054</v>
      </c>
      <c r="E1631" s="32">
        <v>285</v>
      </c>
      <c r="F1631" s="32">
        <v>168</v>
      </c>
      <c r="G1631" s="32" t="s">
        <v>38</v>
      </c>
      <c r="H1631" s="32" t="s">
        <v>7048</v>
      </c>
      <c r="I1631" s="32" t="s">
        <v>39</v>
      </c>
      <c r="J1631" s="32" t="s">
        <v>40</v>
      </c>
      <c r="K1631" s="32" t="s">
        <v>41</v>
      </c>
      <c r="M1631" s="32" t="s">
        <v>5421</v>
      </c>
      <c r="N1631" s="32" t="s">
        <v>45</v>
      </c>
    </row>
    <row r="1632" spans="1:14" s="32" customFormat="1" hidden="1" x14ac:dyDescent="0.3">
      <c r="A1632" s="39">
        <v>46182.479178240741</v>
      </c>
      <c r="B1632" s="32">
        <v>4430450103</v>
      </c>
      <c r="C1632" s="32" t="s">
        <v>44</v>
      </c>
      <c r="D1632" s="32">
        <v>4430265054</v>
      </c>
      <c r="E1632" s="32">
        <v>369</v>
      </c>
      <c r="F1632" s="32">
        <v>320</v>
      </c>
      <c r="G1632" s="32" t="s">
        <v>38</v>
      </c>
      <c r="H1632" s="32" t="s">
        <v>7049</v>
      </c>
      <c r="I1632" s="32" t="s">
        <v>39</v>
      </c>
      <c r="J1632" s="32" t="s">
        <v>40</v>
      </c>
      <c r="K1632" s="32" t="s">
        <v>41</v>
      </c>
      <c r="L1632" s="32">
        <v>5</v>
      </c>
      <c r="M1632" s="32" t="s">
        <v>5416</v>
      </c>
      <c r="N1632" s="32" t="s">
        <v>44</v>
      </c>
    </row>
    <row r="1633" spans="1:14" s="32" customFormat="1" hidden="1" x14ac:dyDescent="0.3">
      <c r="A1633" s="39">
        <v>46182.478321759256</v>
      </c>
      <c r="B1633" s="32">
        <v>1128897100</v>
      </c>
      <c r="C1633" s="32" t="s">
        <v>43</v>
      </c>
      <c r="D1633" s="32">
        <v>4430265054</v>
      </c>
      <c r="E1633" s="32">
        <v>111</v>
      </c>
      <c r="F1633" s="32">
        <v>85</v>
      </c>
      <c r="G1633" s="32" t="s">
        <v>38</v>
      </c>
      <c r="H1633" s="32" t="s">
        <v>7050</v>
      </c>
      <c r="I1633" s="32" t="s">
        <v>39</v>
      </c>
      <c r="J1633" s="32" t="s">
        <v>40</v>
      </c>
      <c r="K1633" s="32" t="s">
        <v>41</v>
      </c>
      <c r="M1633" s="32" t="s">
        <v>5418</v>
      </c>
      <c r="N1633" s="32" t="s">
        <v>43</v>
      </c>
    </row>
    <row r="1634" spans="1:14" s="32" customFormat="1" hidden="1" x14ac:dyDescent="0.3">
      <c r="A1634" s="39">
        <v>46182.478043981479</v>
      </c>
      <c r="B1634" s="32">
        <v>18997449617</v>
      </c>
      <c r="C1634" s="32" t="s">
        <v>45</v>
      </c>
      <c r="D1634" s="32">
        <v>4430265054</v>
      </c>
      <c r="E1634" s="32">
        <v>545</v>
      </c>
      <c r="F1634" s="32">
        <v>500</v>
      </c>
      <c r="G1634" s="32" t="s">
        <v>38</v>
      </c>
      <c r="H1634" s="32" t="s">
        <v>7051</v>
      </c>
      <c r="I1634" s="32" t="s">
        <v>39</v>
      </c>
      <c r="J1634" s="32" t="s">
        <v>40</v>
      </c>
      <c r="K1634" s="32" t="s">
        <v>41</v>
      </c>
      <c r="M1634" s="32" t="s">
        <v>5421</v>
      </c>
      <c r="N1634" s="32" t="s">
        <v>45</v>
      </c>
    </row>
    <row r="1635" spans="1:14" s="32" customFormat="1" hidden="1" x14ac:dyDescent="0.3">
      <c r="A1635" s="39">
        <v>46182.474606481483</v>
      </c>
      <c r="B1635" s="32">
        <v>12997346335</v>
      </c>
      <c r="C1635" s="32" t="s">
        <v>37</v>
      </c>
      <c r="D1635" s="32">
        <v>4430265054</v>
      </c>
      <c r="E1635" s="32">
        <v>653</v>
      </c>
      <c r="F1635" s="32">
        <v>615</v>
      </c>
      <c r="G1635" s="32" t="s">
        <v>38</v>
      </c>
      <c r="H1635" s="32" t="s">
        <v>7052</v>
      </c>
      <c r="I1635" s="32" t="s">
        <v>39</v>
      </c>
      <c r="J1635" s="32" t="s">
        <v>40</v>
      </c>
      <c r="K1635" s="32" t="s">
        <v>41</v>
      </c>
      <c r="L1635" s="32">
        <v>5</v>
      </c>
      <c r="M1635" s="32" t="s">
        <v>5410</v>
      </c>
      <c r="N1635" s="32" t="s">
        <v>37</v>
      </c>
    </row>
    <row r="1636" spans="1:14" s="32" customFormat="1" hidden="1" x14ac:dyDescent="0.3">
      <c r="A1636" s="39">
        <v>46182.474502314813</v>
      </c>
      <c r="B1636" s="32">
        <v>18997449617</v>
      </c>
      <c r="C1636" s="32" t="s">
        <v>37</v>
      </c>
      <c r="D1636" s="32">
        <v>4430265054</v>
      </c>
      <c r="E1636" s="32">
        <v>30</v>
      </c>
      <c r="F1636" s="32">
        <v>6</v>
      </c>
      <c r="G1636" s="32" t="s">
        <v>38</v>
      </c>
      <c r="H1636" s="32" t="s">
        <v>7053</v>
      </c>
      <c r="I1636" s="32" t="s">
        <v>39</v>
      </c>
      <c r="J1636" s="32" t="s">
        <v>40</v>
      </c>
      <c r="K1636" s="32" t="s">
        <v>41</v>
      </c>
      <c r="M1636" s="32" t="s">
        <v>5410</v>
      </c>
      <c r="N1636" s="32" t="s">
        <v>37</v>
      </c>
    </row>
    <row r="1637" spans="1:14" s="32" customFormat="1" hidden="1" x14ac:dyDescent="0.3">
      <c r="A1637" s="39">
        <v>46182.473680555559</v>
      </c>
      <c r="B1637" s="32" t="s">
        <v>48</v>
      </c>
      <c r="C1637" s="32">
        <v>4430318515</v>
      </c>
      <c r="E1637" s="32">
        <v>834</v>
      </c>
      <c r="F1637" s="32">
        <v>821</v>
      </c>
      <c r="G1637" s="32" t="s">
        <v>38</v>
      </c>
      <c r="H1637" s="32" t="s">
        <v>7054</v>
      </c>
      <c r="I1637" s="32" t="s">
        <v>46</v>
      </c>
      <c r="J1637" s="32" t="s">
        <v>40</v>
      </c>
      <c r="M1637" s="32" t="s">
        <v>5412</v>
      </c>
      <c r="N1637" s="32" t="s">
        <v>48</v>
      </c>
    </row>
    <row r="1638" spans="1:14" s="32" customFormat="1" hidden="1" x14ac:dyDescent="0.3">
      <c r="A1638" s="39">
        <v>46182.467372685183</v>
      </c>
      <c r="B1638" s="32">
        <v>4334726613</v>
      </c>
      <c r="C1638" s="32" t="s">
        <v>37</v>
      </c>
      <c r="D1638" s="32">
        <v>4430265054</v>
      </c>
      <c r="E1638" s="32">
        <v>144</v>
      </c>
      <c r="F1638" s="32">
        <v>107</v>
      </c>
      <c r="G1638" s="32" t="s">
        <v>38</v>
      </c>
      <c r="H1638" s="32" t="s">
        <v>7055</v>
      </c>
      <c r="I1638" s="32" t="s">
        <v>39</v>
      </c>
      <c r="J1638" s="32" t="s">
        <v>40</v>
      </c>
      <c r="K1638" s="32" t="s">
        <v>41</v>
      </c>
      <c r="M1638" s="32" t="s">
        <v>5410</v>
      </c>
      <c r="N1638" s="32" t="s">
        <v>37</v>
      </c>
    </row>
    <row r="1639" spans="1:14" s="32" customFormat="1" hidden="1" x14ac:dyDescent="0.3">
      <c r="A1639" s="39">
        <v>46182.465428240743</v>
      </c>
      <c r="B1639" s="32">
        <v>41999717893</v>
      </c>
      <c r="C1639" s="32" t="s">
        <v>57</v>
      </c>
      <c r="D1639" s="32">
        <v>4430265054</v>
      </c>
      <c r="E1639" s="32">
        <v>654</v>
      </c>
      <c r="F1639" s="32">
        <v>630</v>
      </c>
      <c r="G1639" s="32" t="s">
        <v>38</v>
      </c>
      <c r="H1639" s="32" t="s">
        <v>7056</v>
      </c>
      <c r="I1639" s="32" t="s">
        <v>39</v>
      </c>
      <c r="J1639" s="32" t="s">
        <v>55</v>
      </c>
      <c r="K1639" s="32" t="s">
        <v>49</v>
      </c>
      <c r="M1639" s="32" t="s">
        <v>5456</v>
      </c>
      <c r="N1639" s="32" t="s">
        <v>57</v>
      </c>
    </row>
    <row r="1640" spans="1:14" s="32" customFormat="1" hidden="1" x14ac:dyDescent="0.3">
      <c r="A1640" s="39">
        <v>46182.464780092596</v>
      </c>
      <c r="B1640" s="32">
        <v>4430346845</v>
      </c>
      <c r="C1640" s="32" t="s">
        <v>43</v>
      </c>
      <c r="D1640" s="32">
        <v>4430265054</v>
      </c>
      <c r="E1640" s="32">
        <v>796</v>
      </c>
      <c r="F1640" s="32">
        <v>698</v>
      </c>
      <c r="G1640" s="32" t="s">
        <v>38</v>
      </c>
      <c r="H1640" s="32" t="s">
        <v>7057</v>
      </c>
      <c r="I1640" s="32" t="s">
        <v>39</v>
      </c>
      <c r="J1640" s="32" t="s">
        <v>40</v>
      </c>
      <c r="K1640" s="32" t="s">
        <v>41</v>
      </c>
      <c r="M1640" s="32" t="s">
        <v>5418</v>
      </c>
      <c r="N1640" s="32" t="s">
        <v>43</v>
      </c>
    </row>
    <row r="1641" spans="1:14" s="32" customFormat="1" hidden="1" x14ac:dyDescent="0.3">
      <c r="A1641" s="39">
        <v>46182.458055555559</v>
      </c>
      <c r="B1641" s="32" t="s">
        <v>48</v>
      </c>
      <c r="C1641" s="32">
        <v>4430318515</v>
      </c>
      <c r="E1641" s="32">
        <v>89</v>
      </c>
      <c r="F1641" s="32">
        <v>76</v>
      </c>
      <c r="G1641" s="32" t="s">
        <v>38</v>
      </c>
      <c r="H1641" s="32" t="s">
        <v>7058</v>
      </c>
      <c r="I1641" s="32" t="s">
        <v>46</v>
      </c>
      <c r="J1641" s="32" t="s">
        <v>40</v>
      </c>
      <c r="M1641" s="32" t="s">
        <v>5412</v>
      </c>
      <c r="N1641" s="32" t="s">
        <v>48</v>
      </c>
    </row>
    <row r="1642" spans="1:14" s="32" customFormat="1" hidden="1" x14ac:dyDescent="0.3">
      <c r="A1642" s="39">
        <v>46182.45753472222</v>
      </c>
      <c r="B1642" s="32">
        <v>4432522019</v>
      </c>
      <c r="C1642" s="32" t="s">
        <v>44</v>
      </c>
      <c r="D1642" s="32">
        <v>4430265054</v>
      </c>
      <c r="E1642" s="32">
        <v>111</v>
      </c>
      <c r="F1642" s="32">
        <v>66</v>
      </c>
      <c r="G1642" s="32" t="s">
        <v>38</v>
      </c>
      <c r="H1642" s="32" t="s">
        <v>7059</v>
      </c>
      <c r="I1642" s="32" t="s">
        <v>39</v>
      </c>
      <c r="J1642" s="32" t="s">
        <v>40</v>
      </c>
      <c r="K1642" s="32" t="s">
        <v>41</v>
      </c>
      <c r="M1642" s="32" t="s">
        <v>5416</v>
      </c>
      <c r="N1642" s="32" t="s">
        <v>44</v>
      </c>
    </row>
    <row r="1643" spans="1:14" s="32" customFormat="1" hidden="1" x14ac:dyDescent="0.3">
      <c r="A1643" s="39">
        <v>46182.456990740742</v>
      </c>
      <c r="B1643" s="32">
        <v>42998221810</v>
      </c>
      <c r="C1643" s="32" t="s">
        <v>43</v>
      </c>
      <c r="D1643" s="32">
        <v>4430265054</v>
      </c>
      <c r="E1643" s="32">
        <v>194</v>
      </c>
      <c r="F1643" s="32">
        <v>155</v>
      </c>
      <c r="G1643" s="32" t="s">
        <v>38</v>
      </c>
      <c r="H1643" s="32" t="s">
        <v>7060</v>
      </c>
      <c r="I1643" s="32" t="s">
        <v>39</v>
      </c>
      <c r="J1643" s="32" t="s">
        <v>40</v>
      </c>
      <c r="K1643" s="32" t="s">
        <v>41</v>
      </c>
      <c r="M1643" s="32" t="s">
        <v>5418</v>
      </c>
      <c r="N1643" s="32" t="s">
        <v>43</v>
      </c>
    </row>
    <row r="1644" spans="1:14" s="32" customFormat="1" hidden="1" x14ac:dyDescent="0.3">
      <c r="A1644" s="39">
        <v>46182.455439814818</v>
      </c>
      <c r="B1644" s="32">
        <v>44988595976</v>
      </c>
      <c r="C1644" s="32" t="s">
        <v>37</v>
      </c>
      <c r="D1644" s="32">
        <v>4430265054</v>
      </c>
      <c r="E1644" s="32">
        <v>598</v>
      </c>
      <c r="F1644" s="32">
        <v>478</v>
      </c>
      <c r="G1644" s="32" t="s">
        <v>38</v>
      </c>
      <c r="H1644" s="32" t="s">
        <v>7061</v>
      </c>
      <c r="I1644" s="32" t="s">
        <v>39</v>
      </c>
      <c r="J1644" s="32" t="s">
        <v>40</v>
      </c>
      <c r="K1644" s="32" t="s">
        <v>41</v>
      </c>
      <c r="M1644" s="32" t="s">
        <v>5410</v>
      </c>
      <c r="N1644" s="32" t="s">
        <v>37</v>
      </c>
    </row>
    <row r="1645" spans="1:14" s="32" customFormat="1" hidden="1" x14ac:dyDescent="0.3">
      <c r="A1645" s="39">
        <v>46182.451736111114</v>
      </c>
      <c r="B1645" s="32">
        <v>1151129191</v>
      </c>
      <c r="C1645" s="32">
        <v>4431268225</v>
      </c>
      <c r="D1645" s="32">
        <v>4431268225</v>
      </c>
      <c r="E1645" s="32">
        <v>4</v>
      </c>
      <c r="F1645" s="32">
        <v>4</v>
      </c>
      <c r="G1645" s="32" t="s">
        <v>52</v>
      </c>
      <c r="H1645" s="32" t="s">
        <v>7062</v>
      </c>
      <c r="I1645" s="32" t="s">
        <v>39</v>
      </c>
      <c r="J1645" s="32" t="s">
        <v>53</v>
      </c>
    </row>
    <row r="1646" spans="1:14" s="32" customFormat="1" hidden="1" x14ac:dyDescent="0.3">
      <c r="A1646" s="39">
        <v>46182.450740740744</v>
      </c>
      <c r="B1646" s="32">
        <v>44997650834</v>
      </c>
      <c r="C1646" s="32" t="s">
        <v>48</v>
      </c>
      <c r="D1646" s="32">
        <v>4430265054</v>
      </c>
      <c r="E1646" s="32">
        <v>235</v>
      </c>
      <c r="F1646" s="32">
        <v>211</v>
      </c>
      <c r="G1646" s="32" t="s">
        <v>38</v>
      </c>
      <c r="H1646" s="32" t="s">
        <v>7063</v>
      </c>
      <c r="I1646" s="32" t="s">
        <v>39</v>
      </c>
      <c r="J1646" s="32" t="s">
        <v>40</v>
      </c>
      <c r="K1646" s="32" t="s">
        <v>41</v>
      </c>
      <c r="L1646" s="32">
        <v>5</v>
      </c>
      <c r="M1646" s="32" t="s">
        <v>5412</v>
      </c>
      <c r="N1646" s="32" t="s">
        <v>48</v>
      </c>
    </row>
    <row r="1647" spans="1:14" s="32" customFormat="1" hidden="1" x14ac:dyDescent="0.3">
      <c r="A1647" s="39">
        <v>46182.449004629627</v>
      </c>
      <c r="B1647" s="32">
        <v>1151129191</v>
      </c>
      <c r="C1647" s="32" t="s">
        <v>44</v>
      </c>
      <c r="D1647" s="32">
        <v>4431268225</v>
      </c>
      <c r="E1647" s="32">
        <v>221</v>
      </c>
      <c r="F1647" s="32">
        <v>179</v>
      </c>
      <c r="G1647" s="32" t="s">
        <v>38</v>
      </c>
      <c r="H1647" s="32" t="s">
        <v>7064</v>
      </c>
      <c r="I1647" s="32" t="s">
        <v>39</v>
      </c>
      <c r="J1647" s="32" t="s">
        <v>40</v>
      </c>
      <c r="K1647" s="32" t="s">
        <v>41</v>
      </c>
      <c r="M1647" s="32" t="s">
        <v>5416</v>
      </c>
      <c r="N1647" s="32" t="s">
        <v>44</v>
      </c>
    </row>
    <row r="1648" spans="1:14" s="32" customFormat="1" hidden="1" x14ac:dyDescent="0.3">
      <c r="A1648" s="39">
        <v>46182.44363425926</v>
      </c>
      <c r="B1648" s="32" t="s">
        <v>56</v>
      </c>
      <c r="E1648" s="32">
        <v>452</v>
      </c>
      <c r="F1648" s="32">
        <v>448</v>
      </c>
      <c r="G1648" s="32" t="s">
        <v>38</v>
      </c>
      <c r="H1648" s="32" t="s">
        <v>7065</v>
      </c>
      <c r="I1648" s="32" t="s">
        <v>46</v>
      </c>
      <c r="J1648" s="32" t="s">
        <v>53</v>
      </c>
      <c r="M1648" s="32" t="s">
        <v>5440</v>
      </c>
      <c r="N1648" s="32" t="s">
        <v>56</v>
      </c>
    </row>
    <row r="1649" spans="1:14" s="32" customFormat="1" hidden="1" x14ac:dyDescent="0.3">
      <c r="A1649" s="39">
        <v>46182.443437499998</v>
      </c>
      <c r="B1649" s="32" t="s">
        <v>56</v>
      </c>
      <c r="C1649" s="32">
        <v>4440040104</v>
      </c>
      <c r="E1649" s="32">
        <v>12</v>
      </c>
      <c r="F1649" s="32">
        <v>0</v>
      </c>
      <c r="G1649" s="32" t="s">
        <v>47</v>
      </c>
      <c r="H1649" s="32" t="s">
        <v>7066</v>
      </c>
      <c r="I1649" s="32" t="s">
        <v>46</v>
      </c>
      <c r="J1649" s="32" t="s">
        <v>53</v>
      </c>
      <c r="M1649" s="32" t="s">
        <v>5440</v>
      </c>
      <c r="N1649" s="32" t="s">
        <v>56</v>
      </c>
    </row>
    <row r="1650" spans="1:14" s="32" customFormat="1" hidden="1" x14ac:dyDescent="0.3">
      <c r="A1650" s="39">
        <v>46182.442870370367</v>
      </c>
      <c r="B1650" s="32">
        <v>1129630984</v>
      </c>
      <c r="C1650" s="32" t="s">
        <v>37</v>
      </c>
      <c r="D1650" s="32">
        <v>4430265054</v>
      </c>
      <c r="E1650" s="32">
        <v>783</v>
      </c>
      <c r="F1650" s="32">
        <v>706</v>
      </c>
      <c r="G1650" s="32" t="s">
        <v>38</v>
      </c>
      <c r="H1650" s="32" t="s">
        <v>7067</v>
      </c>
      <c r="I1650" s="32" t="s">
        <v>39</v>
      </c>
      <c r="J1650" s="32" t="s">
        <v>40</v>
      </c>
      <c r="K1650" s="32" t="s">
        <v>41</v>
      </c>
      <c r="M1650" s="32" t="s">
        <v>5410</v>
      </c>
      <c r="N1650" s="32" t="s">
        <v>37</v>
      </c>
    </row>
    <row r="1651" spans="1:14" s="32" customFormat="1" hidden="1" x14ac:dyDescent="0.3">
      <c r="A1651" s="39">
        <v>46182.442858796298</v>
      </c>
      <c r="B1651" s="32">
        <v>4430451715</v>
      </c>
      <c r="C1651" s="32" t="s">
        <v>43</v>
      </c>
      <c r="D1651" s="32">
        <v>4430265054</v>
      </c>
      <c r="E1651" s="32">
        <v>1059</v>
      </c>
      <c r="F1651" s="32">
        <v>987</v>
      </c>
      <c r="G1651" s="32" t="s">
        <v>38</v>
      </c>
      <c r="H1651" s="32" t="s">
        <v>7068</v>
      </c>
      <c r="I1651" s="32" t="s">
        <v>39</v>
      </c>
      <c r="J1651" s="32" t="s">
        <v>40</v>
      </c>
      <c r="K1651" s="32" t="s">
        <v>41</v>
      </c>
      <c r="M1651" s="32" t="s">
        <v>5418</v>
      </c>
      <c r="N1651" s="32" t="s">
        <v>43</v>
      </c>
    </row>
    <row r="1652" spans="1:14" s="32" customFormat="1" hidden="1" x14ac:dyDescent="0.3">
      <c r="A1652" s="39">
        <v>46182.441631944443</v>
      </c>
      <c r="B1652" s="32">
        <v>4432272377</v>
      </c>
      <c r="C1652" s="32" t="s">
        <v>45</v>
      </c>
      <c r="D1652" s="32">
        <v>4430265054</v>
      </c>
      <c r="E1652" s="32">
        <v>1715</v>
      </c>
      <c r="F1652" s="32">
        <v>1678</v>
      </c>
      <c r="G1652" s="32" t="s">
        <v>38</v>
      </c>
      <c r="H1652" s="32" t="s">
        <v>7069</v>
      </c>
      <c r="I1652" s="32" t="s">
        <v>39</v>
      </c>
      <c r="J1652" s="32" t="s">
        <v>40</v>
      </c>
      <c r="K1652" s="32" t="s">
        <v>41</v>
      </c>
      <c r="M1652" s="32" t="s">
        <v>5421</v>
      </c>
      <c r="N1652" s="32" t="s">
        <v>45</v>
      </c>
    </row>
    <row r="1653" spans="1:14" s="32" customFormat="1" hidden="1" x14ac:dyDescent="0.3">
      <c r="A1653" s="39">
        <v>46182.438993055555</v>
      </c>
      <c r="B1653" s="32">
        <v>12997346335</v>
      </c>
      <c r="C1653" s="32" t="s">
        <v>44</v>
      </c>
      <c r="D1653" s="32">
        <v>4430265054</v>
      </c>
      <c r="E1653" s="32">
        <v>476</v>
      </c>
      <c r="F1653" s="32">
        <v>408</v>
      </c>
      <c r="G1653" s="32" t="s">
        <v>38</v>
      </c>
      <c r="H1653" s="32" t="s">
        <v>7070</v>
      </c>
      <c r="I1653" s="32" t="s">
        <v>39</v>
      </c>
      <c r="J1653" s="32" t="s">
        <v>40</v>
      </c>
      <c r="K1653" s="32" t="s">
        <v>41</v>
      </c>
      <c r="L1653" s="32">
        <v>5</v>
      </c>
      <c r="M1653" s="32" t="s">
        <v>5416</v>
      </c>
      <c r="N1653" s="32" t="s">
        <v>44</v>
      </c>
    </row>
    <row r="1654" spans="1:14" s="32" customFormat="1" hidden="1" x14ac:dyDescent="0.3">
      <c r="A1654" s="39">
        <v>46182.430011574077</v>
      </c>
      <c r="B1654" s="32" t="s">
        <v>50</v>
      </c>
      <c r="C1654" s="32" t="s">
        <v>57</v>
      </c>
      <c r="E1654" s="32">
        <v>141</v>
      </c>
      <c r="F1654" s="32">
        <v>138</v>
      </c>
      <c r="G1654" s="32" t="s">
        <v>38</v>
      </c>
      <c r="H1654" s="32" t="s">
        <v>7071</v>
      </c>
      <c r="I1654" s="32" t="s">
        <v>51</v>
      </c>
      <c r="J1654" s="32" t="s">
        <v>55</v>
      </c>
      <c r="M1654" s="32" t="s">
        <v>5746</v>
      </c>
      <c r="N1654" s="32" t="s">
        <v>50</v>
      </c>
    </row>
    <row r="1655" spans="1:14" s="32" customFormat="1" hidden="1" x14ac:dyDescent="0.3">
      <c r="A1655" s="39">
        <v>46182.428946759261</v>
      </c>
      <c r="B1655" s="32">
        <v>44999732630</v>
      </c>
      <c r="C1655" s="32" t="s">
        <v>37</v>
      </c>
      <c r="D1655" s="32">
        <v>4430265054</v>
      </c>
      <c r="E1655" s="32">
        <v>400</v>
      </c>
      <c r="F1655" s="32">
        <v>360</v>
      </c>
      <c r="G1655" s="32" t="s">
        <v>38</v>
      </c>
      <c r="H1655" s="32" t="s">
        <v>7072</v>
      </c>
      <c r="I1655" s="32" t="s">
        <v>39</v>
      </c>
      <c r="J1655" s="32" t="s">
        <v>40</v>
      </c>
      <c r="K1655" s="32" t="s">
        <v>41</v>
      </c>
      <c r="L1655" s="32">
        <v>4</v>
      </c>
      <c r="M1655" s="32" t="s">
        <v>5410</v>
      </c>
      <c r="N1655" s="32" t="s">
        <v>37</v>
      </c>
    </row>
    <row r="1656" spans="1:14" s="32" customFormat="1" hidden="1" x14ac:dyDescent="0.3">
      <c r="A1656" s="39">
        <v>46182.425787037035</v>
      </c>
      <c r="B1656" s="32" t="s">
        <v>37</v>
      </c>
      <c r="C1656" s="32">
        <v>44988255390</v>
      </c>
      <c r="E1656" s="32">
        <v>60</v>
      </c>
      <c r="F1656" s="32">
        <v>51</v>
      </c>
      <c r="G1656" s="32" t="s">
        <v>38</v>
      </c>
      <c r="H1656" s="32" t="s">
        <v>7073</v>
      </c>
      <c r="I1656" s="32" t="s">
        <v>46</v>
      </c>
      <c r="J1656" s="32" t="s">
        <v>40</v>
      </c>
      <c r="M1656" s="32" t="s">
        <v>5410</v>
      </c>
      <c r="N1656" s="32" t="s">
        <v>37</v>
      </c>
    </row>
    <row r="1657" spans="1:14" s="32" customFormat="1" hidden="1" x14ac:dyDescent="0.3">
      <c r="A1657" s="39">
        <v>46182.424780092595</v>
      </c>
      <c r="B1657" s="32" t="s">
        <v>37</v>
      </c>
      <c r="C1657" s="32">
        <v>44984198651</v>
      </c>
      <c r="E1657" s="32">
        <v>42</v>
      </c>
      <c r="F1657" s="32">
        <v>0</v>
      </c>
      <c r="G1657" s="32" t="s">
        <v>47</v>
      </c>
      <c r="H1657" s="32" t="s">
        <v>7074</v>
      </c>
      <c r="I1657" s="32" t="s">
        <v>46</v>
      </c>
      <c r="J1657" s="32" t="s">
        <v>40</v>
      </c>
      <c r="M1657" s="32" t="s">
        <v>5410</v>
      </c>
      <c r="N1657" s="32" t="s">
        <v>37</v>
      </c>
    </row>
    <row r="1658" spans="1:14" s="32" customFormat="1" hidden="1" x14ac:dyDescent="0.3">
      <c r="A1658" s="39">
        <v>46182.42459490741</v>
      </c>
      <c r="B1658" s="32" t="s">
        <v>37</v>
      </c>
      <c r="C1658" s="32">
        <v>44984198651</v>
      </c>
      <c r="E1658" s="32">
        <v>13</v>
      </c>
      <c r="F1658" s="32">
        <v>0</v>
      </c>
      <c r="G1658" s="32" t="s">
        <v>47</v>
      </c>
      <c r="H1658" s="32" t="s">
        <v>7075</v>
      </c>
      <c r="I1658" s="32" t="s">
        <v>46</v>
      </c>
      <c r="J1658" s="32" t="s">
        <v>40</v>
      </c>
      <c r="M1658" s="32" t="s">
        <v>5410</v>
      </c>
      <c r="N1658" s="32" t="s">
        <v>37</v>
      </c>
    </row>
    <row r="1659" spans="1:14" s="32" customFormat="1" hidden="1" x14ac:dyDescent="0.3">
      <c r="A1659" s="39">
        <v>46182.423587962963</v>
      </c>
      <c r="B1659" s="32" t="s">
        <v>37</v>
      </c>
      <c r="C1659" s="32">
        <v>44984198651</v>
      </c>
      <c r="E1659" s="32">
        <v>68</v>
      </c>
      <c r="F1659" s="32">
        <v>55</v>
      </c>
      <c r="G1659" s="32" t="s">
        <v>38</v>
      </c>
      <c r="H1659" s="32" t="s">
        <v>7076</v>
      </c>
      <c r="I1659" s="32" t="s">
        <v>46</v>
      </c>
      <c r="J1659" s="32" t="s">
        <v>40</v>
      </c>
      <c r="M1659" s="32" t="s">
        <v>5410</v>
      </c>
      <c r="N1659" s="32" t="s">
        <v>37</v>
      </c>
    </row>
    <row r="1660" spans="1:14" s="32" customFormat="1" hidden="1" x14ac:dyDescent="0.3">
      <c r="A1660" s="39">
        <v>46182.42260416667</v>
      </c>
      <c r="B1660" s="32">
        <v>6234347959</v>
      </c>
      <c r="C1660" s="32" t="s">
        <v>43</v>
      </c>
      <c r="D1660" s="32">
        <v>4430265054</v>
      </c>
      <c r="E1660" s="32">
        <v>302</v>
      </c>
      <c r="F1660" s="32">
        <v>226</v>
      </c>
      <c r="G1660" s="32" t="s">
        <v>38</v>
      </c>
      <c r="H1660" s="32" t="s">
        <v>7077</v>
      </c>
      <c r="I1660" s="32" t="s">
        <v>39</v>
      </c>
      <c r="J1660" s="32" t="s">
        <v>40</v>
      </c>
      <c r="K1660" s="32" t="s">
        <v>41</v>
      </c>
      <c r="M1660" s="32" t="s">
        <v>5418</v>
      </c>
      <c r="N1660" s="32" t="s">
        <v>43</v>
      </c>
    </row>
    <row r="1661" spans="1:14" s="32" customFormat="1" hidden="1" x14ac:dyDescent="0.3">
      <c r="A1661" s="39">
        <v>46182.422476851854</v>
      </c>
      <c r="B1661" s="32">
        <v>44998046835</v>
      </c>
      <c r="C1661" s="32">
        <v>4430265054</v>
      </c>
      <c r="D1661" s="32">
        <v>4430265054</v>
      </c>
      <c r="E1661" s="32">
        <v>11</v>
      </c>
      <c r="F1661" s="32">
        <v>10</v>
      </c>
      <c r="G1661" s="32" t="s">
        <v>52</v>
      </c>
      <c r="H1661" s="32" t="s">
        <v>7078</v>
      </c>
      <c r="I1661" s="32" t="s">
        <v>39</v>
      </c>
      <c r="J1661" s="32" t="s">
        <v>53</v>
      </c>
    </row>
    <row r="1662" spans="1:14" s="32" customFormat="1" hidden="1" x14ac:dyDescent="0.3">
      <c r="A1662" s="39">
        <v>46182.417037037034</v>
      </c>
      <c r="B1662" s="32">
        <v>42998221810</v>
      </c>
      <c r="C1662" s="32" t="s">
        <v>37</v>
      </c>
      <c r="D1662" s="32">
        <v>4430265054</v>
      </c>
      <c r="E1662" s="32">
        <v>360</v>
      </c>
      <c r="F1662" s="32">
        <v>335</v>
      </c>
      <c r="G1662" s="32" t="s">
        <v>38</v>
      </c>
      <c r="H1662" s="32" t="s">
        <v>7079</v>
      </c>
      <c r="I1662" s="32" t="s">
        <v>39</v>
      </c>
      <c r="J1662" s="32" t="s">
        <v>40</v>
      </c>
      <c r="K1662" s="32" t="s">
        <v>41</v>
      </c>
      <c r="L1662" s="32">
        <v>5</v>
      </c>
      <c r="M1662" s="32" t="s">
        <v>5410</v>
      </c>
      <c r="N1662" s="32" t="s">
        <v>37</v>
      </c>
    </row>
    <row r="1663" spans="1:14" s="32" customFormat="1" hidden="1" x14ac:dyDescent="0.3">
      <c r="A1663" s="39">
        <v>46182.404641203706</v>
      </c>
      <c r="B1663" s="32">
        <v>11990144272</v>
      </c>
      <c r="C1663" s="32" t="s">
        <v>43</v>
      </c>
      <c r="D1663" s="32">
        <v>4431268225</v>
      </c>
      <c r="E1663" s="32">
        <v>613</v>
      </c>
      <c r="F1663" s="32">
        <v>584</v>
      </c>
      <c r="G1663" s="32" t="s">
        <v>38</v>
      </c>
      <c r="H1663" s="32" t="s">
        <v>7080</v>
      </c>
      <c r="I1663" s="32" t="s">
        <v>39</v>
      </c>
      <c r="J1663" s="32" t="s">
        <v>40</v>
      </c>
      <c r="K1663" s="32" t="s">
        <v>41</v>
      </c>
      <c r="M1663" s="32" t="s">
        <v>5418</v>
      </c>
      <c r="N1663" s="32" t="s">
        <v>43</v>
      </c>
    </row>
    <row r="1664" spans="1:14" s="32" customFormat="1" hidden="1" x14ac:dyDescent="0.3">
      <c r="A1664" s="39">
        <v>46182.402233796296</v>
      </c>
      <c r="B1664" s="32">
        <v>81981328190</v>
      </c>
      <c r="C1664" s="32" t="s">
        <v>48</v>
      </c>
      <c r="D1664" s="32">
        <v>4430265054</v>
      </c>
      <c r="E1664" s="32">
        <v>222</v>
      </c>
      <c r="F1664" s="32">
        <v>221</v>
      </c>
      <c r="G1664" s="32" t="s">
        <v>38</v>
      </c>
      <c r="H1664" s="32" t="s">
        <v>7081</v>
      </c>
      <c r="I1664" s="32" t="s">
        <v>39</v>
      </c>
      <c r="J1664" s="32" t="s">
        <v>40</v>
      </c>
      <c r="K1664" s="32" t="s">
        <v>41</v>
      </c>
      <c r="M1664" s="32" t="s">
        <v>5412</v>
      </c>
      <c r="N1664" s="32" t="s">
        <v>48</v>
      </c>
    </row>
    <row r="1665" spans="1:14" s="32" customFormat="1" hidden="1" x14ac:dyDescent="0.3">
      <c r="A1665" s="39">
        <v>46182.398912037039</v>
      </c>
      <c r="B1665" s="32">
        <v>44997650834</v>
      </c>
      <c r="C1665" s="32" t="s">
        <v>44</v>
      </c>
      <c r="D1665" s="32">
        <v>4430265054</v>
      </c>
      <c r="E1665" s="32">
        <v>1043</v>
      </c>
      <c r="F1665" s="32">
        <v>1013</v>
      </c>
      <c r="G1665" s="32" t="s">
        <v>38</v>
      </c>
      <c r="H1665" s="32" t="s">
        <v>7082</v>
      </c>
      <c r="I1665" s="32" t="s">
        <v>39</v>
      </c>
      <c r="J1665" s="32" t="s">
        <v>40</v>
      </c>
      <c r="K1665" s="32" t="s">
        <v>41</v>
      </c>
      <c r="L1665" s="32">
        <v>5</v>
      </c>
      <c r="M1665" s="32" t="s">
        <v>5416</v>
      </c>
      <c r="N1665" s="32" t="s">
        <v>44</v>
      </c>
    </row>
    <row r="1666" spans="1:14" s="32" customFormat="1" hidden="1" x14ac:dyDescent="0.3">
      <c r="A1666" s="39">
        <v>46182.392835648148</v>
      </c>
      <c r="B1666" s="32">
        <v>43996490165</v>
      </c>
      <c r="C1666" s="32" t="s">
        <v>45</v>
      </c>
      <c r="D1666" s="32">
        <v>4430265054</v>
      </c>
      <c r="E1666" s="32">
        <v>531</v>
      </c>
      <c r="F1666" s="32">
        <v>439</v>
      </c>
      <c r="G1666" s="32" t="s">
        <v>38</v>
      </c>
      <c r="H1666" s="32" t="s">
        <v>7083</v>
      </c>
      <c r="I1666" s="32" t="s">
        <v>39</v>
      </c>
      <c r="J1666" s="32" t="s">
        <v>40</v>
      </c>
      <c r="K1666" s="32" t="s">
        <v>41</v>
      </c>
      <c r="M1666" s="32" t="s">
        <v>5421</v>
      </c>
      <c r="N1666" s="32" t="s">
        <v>45</v>
      </c>
    </row>
    <row r="1667" spans="1:14" s="32" customFormat="1" hidden="1" x14ac:dyDescent="0.3">
      <c r="A1667" s="39">
        <v>46182.385150462964</v>
      </c>
      <c r="B1667" s="32">
        <v>4430459032</v>
      </c>
      <c r="C1667" s="32" t="s">
        <v>37</v>
      </c>
      <c r="D1667" s="32">
        <v>4430265054</v>
      </c>
      <c r="E1667" s="32">
        <v>140</v>
      </c>
      <c r="F1667" s="32">
        <v>81</v>
      </c>
      <c r="G1667" s="32" t="s">
        <v>38</v>
      </c>
      <c r="H1667" s="32" t="s">
        <v>7084</v>
      </c>
      <c r="I1667" s="32" t="s">
        <v>39</v>
      </c>
      <c r="J1667" s="32" t="s">
        <v>40</v>
      </c>
      <c r="K1667" s="32" t="s">
        <v>41</v>
      </c>
      <c r="M1667" s="32" t="s">
        <v>5410</v>
      </c>
      <c r="N1667" s="32" t="s">
        <v>37</v>
      </c>
    </row>
    <row r="1668" spans="1:14" s="32" customFormat="1" hidden="1" x14ac:dyDescent="0.3">
      <c r="A1668" s="39">
        <v>46182.377939814818</v>
      </c>
      <c r="B1668" s="32">
        <v>44998100737</v>
      </c>
      <c r="C1668" s="32" t="s">
        <v>45</v>
      </c>
      <c r="D1668" s="32">
        <v>4430265054</v>
      </c>
      <c r="E1668" s="32">
        <v>1114</v>
      </c>
      <c r="F1668" s="32">
        <v>1024</v>
      </c>
      <c r="G1668" s="32" t="s">
        <v>38</v>
      </c>
      <c r="H1668" s="32" t="s">
        <v>7085</v>
      </c>
      <c r="I1668" s="32" t="s">
        <v>39</v>
      </c>
      <c r="J1668" s="32" t="s">
        <v>40</v>
      </c>
      <c r="K1668" s="32" t="s">
        <v>41</v>
      </c>
      <c r="L1668" s="32">
        <v>5</v>
      </c>
      <c r="M1668" s="32" t="s">
        <v>5421</v>
      </c>
      <c r="N1668" s="32" t="s">
        <v>45</v>
      </c>
    </row>
    <row r="1669" spans="1:14" s="32" customFormat="1" hidden="1" x14ac:dyDescent="0.3">
      <c r="A1669" s="39">
        <v>46182.377418981479</v>
      </c>
      <c r="B1669" s="32">
        <v>44999732630</v>
      </c>
      <c r="C1669" s="32" t="s">
        <v>37</v>
      </c>
      <c r="D1669" s="32">
        <v>4430265054</v>
      </c>
      <c r="E1669" s="32">
        <v>285</v>
      </c>
      <c r="F1669" s="32">
        <v>267</v>
      </c>
      <c r="G1669" s="32" t="s">
        <v>38</v>
      </c>
      <c r="H1669" s="32" t="s">
        <v>7086</v>
      </c>
      <c r="I1669" s="32" t="s">
        <v>39</v>
      </c>
      <c r="J1669" s="32" t="s">
        <v>40</v>
      </c>
      <c r="K1669" s="32" t="s">
        <v>41</v>
      </c>
      <c r="M1669" s="32" t="s">
        <v>5410</v>
      </c>
      <c r="N1669" s="32" t="s">
        <v>37</v>
      </c>
    </row>
    <row r="1670" spans="1:14" s="32" customFormat="1" hidden="1" x14ac:dyDescent="0.3">
      <c r="A1670" s="39">
        <v>46182.373356481483</v>
      </c>
      <c r="B1670" s="32">
        <v>4432256273</v>
      </c>
      <c r="C1670" s="32" t="s">
        <v>48</v>
      </c>
      <c r="D1670" s="32">
        <v>4430265054</v>
      </c>
      <c r="E1670" s="32">
        <v>144</v>
      </c>
      <c r="F1670" s="32">
        <v>73</v>
      </c>
      <c r="G1670" s="32" t="s">
        <v>38</v>
      </c>
      <c r="H1670" s="32" t="s">
        <v>7087</v>
      </c>
      <c r="I1670" s="32" t="s">
        <v>39</v>
      </c>
      <c r="J1670" s="32" t="s">
        <v>40</v>
      </c>
      <c r="K1670" s="32" t="s">
        <v>41</v>
      </c>
      <c r="M1670" s="32" t="s">
        <v>5412</v>
      </c>
      <c r="N1670" s="32" t="s">
        <v>48</v>
      </c>
    </row>
    <row r="1671" spans="1:14" s="32" customFormat="1" hidden="1" x14ac:dyDescent="0.3">
      <c r="A1671" s="39">
        <v>46182.369652777779</v>
      </c>
      <c r="B1671" s="32">
        <v>44999670264</v>
      </c>
      <c r="C1671" s="32" t="s">
        <v>45</v>
      </c>
      <c r="D1671" s="32">
        <v>4430265054</v>
      </c>
      <c r="E1671" s="32">
        <v>502</v>
      </c>
      <c r="F1671" s="32">
        <v>395</v>
      </c>
      <c r="G1671" s="32" t="s">
        <v>38</v>
      </c>
      <c r="H1671" s="32" t="s">
        <v>7088</v>
      </c>
      <c r="I1671" s="32" t="s">
        <v>39</v>
      </c>
      <c r="J1671" s="32" t="s">
        <v>40</v>
      </c>
      <c r="K1671" s="32" t="s">
        <v>41</v>
      </c>
      <c r="M1671" s="32" t="s">
        <v>5421</v>
      </c>
      <c r="N1671" s="32" t="s">
        <v>45</v>
      </c>
    </row>
    <row r="1672" spans="1:14" s="32" customFormat="1" hidden="1" x14ac:dyDescent="0.3">
      <c r="A1672" s="39">
        <v>46182.367384259262</v>
      </c>
      <c r="B1672" s="32">
        <v>44997650834</v>
      </c>
      <c r="C1672" s="32" t="s">
        <v>44</v>
      </c>
      <c r="D1672" s="32">
        <v>4430265054</v>
      </c>
      <c r="E1672" s="32">
        <v>792</v>
      </c>
      <c r="F1672" s="32">
        <v>692</v>
      </c>
      <c r="G1672" s="32" t="s">
        <v>38</v>
      </c>
      <c r="H1672" s="32" t="s">
        <v>7089</v>
      </c>
      <c r="I1672" s="32" t="s">
        <v>39</v>
      </c>
      <c r="J1672" s="32" t="s">
        <v>40</v>
      </c>
      <c r="K1672" s="32" t="s">
        <v>41</v>
      </c>
      <c r="L1672" s="32">
        <v>5</v>
      </c>
      <c r="M1672" s="32" t="s">
        <v>5416</v>
      </c>
      <c r="N1672" s="32" t="s">
        <v>44</v>
      </c>
    </row>
    <row r="1673" spans="1:14" s="32" customFormat="1" hidden="1" x14ac:dyDescent="0.3">
      <c r="A1673" s="39">
        <v>46182.367025462961</v>
      </c>
      <c r="B1673" s="32">
        <v>43984996095</v>
      </c>
      <c r="C1673" s="32" t="s">
        <v>43</v>
      </c>
      <c r="D1673" s="32">
        <v>4430265054</v>
      </c>
      <c r="E1673" s="32">
        <v>991</v>
      </c>
      <c r="F1673" s="32">
        <v>880</v>
      </c>
      <c r="G1673" s="32" t="s">
        <v>38</v>
      </c>
      <c r="H1673" s="32" t="s">
        <v>7090</v>
      </c>
      <c r="I1673" s="32" t="s">
        <v>39</v>
      </c>
      <c r="J1673" s="32" t="s">
        <v>40</v>
      </c>
      <c r="K1673" s="32" t="s">
        <v>41</v>
      </c>
      <c r="M1673" s="32" t="s">
        <v>5418</v>
      </c>
      <c r="N1673" s="32" t="s">
        <v>43</v>
      </c>
    </row>
    <row r="1674" spans="1:14" s="32" customFormat="1" hidden="1" x14ac:dyDescent="0.3">
      <c r="A1674" s="39">
        <v>46182.367013888892</v>
      </c>
      <c r="B1674" s="32">
        <v>44999732630</v>
      </c>
      <c r="C1674" s="32" t="s">
        <v>37</v>
      </c>
      <c r="D1674" s="32">
        <v>4430265054</v>
      </c>
      <c r="E1674" s="32">
        <v>655</v>
      </c>
      <c r="F1674" s="32">
        <v>569</v>
      </c>
      <c r="G1674" s="32" t="s">
        <v>38</v>
      </c>
      <c r="H1674" s="32" t="s">
        <v>7091</v>
      </c>
      <c r="I1674" s="32" t="s">
        <v>39</v>
      </c>
      <c r="J1674" s="32" t="s">
        <v>40</v>
      </c>
      <c r="K1674" s="32" t="s">
        <v>41</v>
      </c>
      <c r="M1674" s="32" t="s">
        <v>5410</v>
      </c>
      <c r="N1674" s="32" t="s">
        <v>37</v>
      </c>
    </row>
    <row r="1675" spans="1:14" s="32" customFormat="1" hidden="1" x14ac:dyDescent="0.3">
      <c r="A1675" s="39">
        <v>46182.364398148151</v>
      </c>
      <c r="B1675" s="32">
        <v>93984112869</v>
      </c>
      <c r="C1675" s="32" t="s">
        <v>45</v>
      </c>
      <c r="D1675" s="32">
        <v>4431268225</v>
      </c>
      <c r="E1675" s="32">
        <v>458</v>
      </c>
      <c r="F1675" s="32">
        <v>380</v>
      </c>
      <c r="G1675" s="32" t="s">
        <v>38</v>
      </c>
      <c r="H1675" s="32" t="s">
        <v>7092</v>
      </c>
      <c r="I1675" s="32" t="s">
        <v>39</v>
      </c>
      <c r="J1675" s="32" t="s">
        <v>40</v>
      </c>
      <c r="K1675" s="32" t="s">
        <v>41</v>
      </c>
      <c r="L1675" s="32">
        <v>5</v>
      </c>
      <c r="M1675" s="32" t="s">
        <v>5421</v>
      </c>
      <c r="N1675" s="32" t="s">
        <v>45</v>
      </c>
    </row>
    <row r="1676" spans="1:14" s="32" customFormat="1" hidden="1" x14ac:dyDescent="0.3">
      <c r="A1676" s="39">
        <v>46182.350219907406</v>
      </c>
      <c r="B1676" s="32">
        <v>1438160351</v>
      </c>
      <c r="C1676" s="32">
        <v>4430265054</v>
      </c>
      <c r="D1676" s="32">
        <v>4430265054</v>
      </c>
      <c r="E1676" s="32">
        <v>8</v>
      </c>
      <c r="F1676" s="32">
        <v>8</v>
      </c>
      <c r="G1676" s="32" t="s">
        <v>52</v>
      </c>
      <c r="H1676" s="32" t="s">
        <v>7093</v>
      </c>
      <c r="I1676" s="32" t="s">
        <v>39</v>
      </c>
      <c r="J1676" s="32" t="s">
        <v>53</v>
      </c>
    </row>
    <row r="1677" spans="1:14" s="32" customFormat="1" hidden="1" x14ac:dyDescent="0.3">
      <c r="A1677" s="39">
        <v>46181.740486111114</v>
      </c>
      <c r="B1677" s="32" t="s">
        <v>37</v>
      </c>
      <c r="C1677" s="32">
        <v>44991062548</v>
      </c>
      <c r="E1677" s="32">
        <v>75</v>
      </c>
      <c r="F1677" s="32">
        <v>66</v>
      </c>
      <c r="G1677" s="32" t="s">
        <v>38</v>
      </c>
      <c r="H1677" s="32" t="s">
        <v>7094</v>
      </c>
      <c r="I1677" s="32" t="s">
        <v>46</v>
      </c>
      <c r="J1677" s="32" t="s">
        <v>40</v>
      </c>
      <c r="M1677" s="32" t="s">
        <v>5410</v>
      </c>
      <c r="N1677" s="32" t="s">
        <v>37</v>
      </c>
    </row>
    <row r="1678" spans="1:14" s="32" customFormat="1" hidden="1" x14ac:dyDescent="0.3">
      <c r="A1678" s="39">
        <v>46181.740428240744</v>
      </c>
      <c r="B1678" s="32" t="s">
        <v>37</v>
      </c>
      <c r="C1678" s="32">
        <v>44991062548</v>
      </c>
      <c r="E1678" s="32">
        <v>4</v>
      </c>
      <c r="F1678" s="32">
        <v>0</v>
      </c>
      <c r="G1678" s="32" t="s">
        <v>47</v>
      </c>
      <c r="H1678" s="32" t="s">
        <v>7095</v>
      </c>
      <c r="I1678" s="32" t="s">
        <v>46</v>
      </c>
      <c r="J1678" s="32" t="s">
        <v>40</v>
      </c>
      <c r="M1678" s="32" t="s">
        <v>5410</v>
      </c>
      <c r="N1678" s="32" t="s">
        <v>37</v>
      </c>
    </row>
    <row r="1679" spans="1:14" s="32" customFormat="1" hidden="1" x14ac:dyDescent="0.3">
      <c r="A1679" s="39">
        <v>46181.739305555559</v>
      </c>
      <c r="B1679" s="32" t="s">
        <v>54</v>
      </c>
      <c r="C1679" s="32">
        <v>11964740612</v>
      </c>
      <c r="E1679" s="32">
        <v>35</v>
      </c>
      <c r="F1679" s="32">
        <v>0</v>
      </c>
      <c r="G1679" s="32" t="s">
        <v>47</v>
      </c>
      <c r="H1679" s="32" t="s">
        <v>7096</v>
      </c>
      <c r="I1679" s="32" t="s">
        <v>46</v>
      </c>
      <c r="J1679" s="32" t="s">
        <v>55</v>
      </c>
      <c r="M1679" s="32" t="s">
        <v>5537</v>
      </c>
      <c r="N1679" s="32" t="s">
        <v>54</v>
      </c>
    </row>
    <row r="1680" spans="1:14" s="32" customFormat="1" hidden="1" x14ac:dyDescent="0.3">
      <c r="A1680" s="39">
        <v>46181.738587962966</v>
      </c>
      <c r="B1680" s="32" t="s">
        <v>54</v>
      </c>
      <c r="C1680" s="32">
        <v>21971247447</v>
      </c>
      <c r="E1680" s="32">
        <v>6</v>
      </c>
      <c r="F1680" s="32">
        <v>0</v>
      </c>
      <c r="G1680" s="32" t="s">
        <v>47</v>
      </c>
      <c r="H1680" s="32" t="s">
        <v>7097</v>
      </c>
      <c r="I1680" s="32" t="s">
        <v>46</v>
      </c>
      <c r="J1680" s="32" t="s">
        <v>55</v>
      </c>
      <c r="M1680" s="32" t="s">
        <v>5537</v>
      </c>
      <c r="N1680" s="32" t="s">
        <v>54</v>
      </c>
    </row>
    <row r="1681" spans="1:14" s="32" customFormat="1" hidden="1" x14ac:dyDescent="0.3">
      <c r="A1681" s="39">
        <v>46181.737916666665</v>
      </c>
      <c r="B1681" s="32" t="s">
        <v>54</v>
      </c>
      <c r="C1681" s="32">
        <v>8330346364</v>
      </c>
      <c r="E1681" s="32">
        <v>7</v>
      </c>
      <c r="F1681" s="32">
        <v>0</v>
      </c>
      <c r="G1681" s="32" t="s">
        <v>47</v>
      </c>
      <c r="H1681" s="32" t="s">
        <v>7098</v>
      </c>
      <c r="I1681" s="32" t="s">
        <v>46</v>
      </c>
      <c r="J1681" s="32" t="s">
        <v>55</v>
      </c>
      <c r="M1681" s="32" t="s">
        <v>5537</v>
      </c>
      <c r="N1681" s="32" t="s">
        <v>54</v>
      </c>
    </row>
    <row r="1682" spans="1:14" s="32" customFormat="1" hidden="1" x14ac:dyDescent="0.3">
      <c r="A1682" s="39">
        <v>46181.737453703703</v>
      </c>
      <c r="B1682" s="32" t="s">
        <v>54</v>
      </c>
      <c r="C1682" s="32">
        <v>19996811545</v>
      </c>
      <c r="E1682" s="32">
        <v>14</v>
      </c>
      <c r="F1682" s="32">
        <v>0</v>
      </c>
      <c r="G1682" s="32" t="s">
        <v>47</v>
      </c>
      <c r="H1682" s="32" t="s">
        <v>7099</v>
      </c>
      <c r="I1682" s="32" t="s">
        <v>46</v>
      </c>
      <c r="J1682" s="32" t="s">
        <v>55</v>
      </c>
      <c r="M1682" s="32" t="s">
        <v>5537</v>
      </c>
      <c r="N1682" s="32" t="s">
        <v>54</v>
      </c>
    </row>
    <row r="1683" spans="1:14" s="32" customFormat="1" hidden="1" x14ac:dyDescent="0.3">
      <c r="A1683" s="39">
        <v>46181.736770833333</v>
      </c>
      <c r="B1683" s="32" t="s">
        <v>54</v>
      </c>
      <c r="C1683" s="32">
        <v>53981321894</v>
      </c>
      <c r="E1683" s="32">
        <v>7</v>
      </c>
      <c r="F1683" s="32">
        <v>0</v>
      </c>
      <c r="G1683" s="32" t="s">
        <v>47</v>
      </c>
      <c r="H1683" s="32" t="s">
        <v>7100</v>
      </c>
      <c r="I1683" s="32" t="s">
        <v>46</v>
      </c>
      <c r="J1683" s="32" t="s">
        <v>55</v>
      </c>
      <c r="M1683" s="32" t="s">
        <v>5537</v>
      </c>
      <c r="N1683" s="32" t="s">
        <v>54</v>
      </c>
    </row>
    <row r="1684" spans="1:14" s="32" customFormat="1" hidden="1" x14ac:dyDescent="0.3">
      <c r="A1684" s="39">
        <v>46181.736064814817</v>
      </c>
      <c r="B1684" s="32" t="s">
        <v>54</v>
      </c>
      <c r="C1684" s="32">
        <v>31996196922</v>
      </c>
      <c r="E1684" s="32">
        <v>11</v>
      </c>
      <c r="F1684" s="32">
        <v>0</v>
      </c>
      <c r="G1684" s="32" t="s">
        <v>47</v>
      </c>
      <c r="H1684" s="32" t="s">
        <v>7101</v>
      </c>
      <c r="I1684" s="32" t="s">
        <v>46</v>
      </c>
      <c r="J1684" s="32" t="s">
        <v>55</v>
      </c>
      <c r="M1684" s="32" t="s">
        <v>5537</v>
      </c>
      <c r="N1684" s="32" t="s">
        <v>54</v>
      </c>
    </row>
    <row r="1685" spans="1:14" s="32" customFormat="1" hidden="1" x14ac:dyDescent="0.3">
      <c r="A1685" s="39">
        <v>46181.735497685186</v>
      </c>
      <c r="B1685" s="32" t="s">
        <v>54</v>
      </c>
      <c r="C1685" s="32">
        <v>85981263831</v>
      </c>
      <c r="E1685" s="32">
        <v>7</v>
      </c>
      <c r="F1685" s="32">
        <v>2</v>
      </c>
      <c r="G1685" s="32" t="s">
        <v>38</v>
      </c>
      <c r="H1685" s="32" t="s">
        <v>7102</v>
      </c>
      <c r="I1685" s="32" t="s">
        <v>46</v>
      </c>
      <c r="J1685" s="32" t="s">
        <v>55</v>
      </c>
      <c r="M1685" s="32" t="s">
        <v>5537</v>
      </c>
      <c r="N1685" s="32" t="s">
        <v>54</v>
      </c>
    </row>
    <row r="1686" spans="1:14" s="32" customFormat="1" hidden="1" x14ac:dyDescent="0.3">
      <c r="A1686" s="39">
        <v>46181.735185185185</v>
      </c>
      <c r="B1686" s="32" t="s">
        <v>54</v>
      </c>
      <c r="C1686" s="32">
        <v>2120056722</v>
      </c>
      <c r="E1686" s="32">
        <v>4</v>
      </c>
      <c r="F1686" s="32">
        <v>0</v>
      </c>
      <c r="G1686" s="32" t="s">
        <v>47</v>
      </c>
      <c r="H1686" s="32" t="s">
        <v>7103</v>
      </c>
      <c r="I1686" s="32" t="s">
        <v>46</v>
      </c>
      <c r="J1686" s="32" t="s">
        <v>55</v>
      </c>
      <c r="M1686" s="32" t="s">
        <v>5537</v>
      </c>
      <c r="N1686" s="32" t="s">
        <v>54</v>
      </c>
    </row>
    <row r="1687" spans="1:14" s="32" customFormat="1" hidden="1" x14ac:dyDescent="0.3">
      <c r="A1687" s="39">
        <v>46181.733402777776</v>
      </c>
      <c r="B1687" s="32" t="s">
        <v>54</v>
      </c>
      <c r="C1687" s="32">
        <v>2120056722</v>
      </c>
      <c r="E1687" s="32">
        <v>7</v>
      </c>
      <c r="F1687" s="32">
        <v>0</v>
      </c>
      <c r="G1687" s="32" t="s">
        <v>47</v>
      </c>
      <c r="H1687" s="32" t="s">
        <v>7104</v>
      </c>
      <c r="I1687" s="32" t="s">
        <v>46</v>
      </c>
      <c r="J1687" s="32" t="s">
        <v>55</v>
      </c>
      <c r="M1687" s="32" t="s">
        <v>5537</v>
      </c>
      <c r="N1687" s="32" t="s">
        <v>54</v>
      </c>
    </row>
    <row r="1688" spans="1:14" s="32" customFormat="1" hidden="1" x14ac:dyDescent="0.3">
      <c r="A1688" s="39">
        <v>46181.72991898148</v>
      </c>
      <c r="B1688" s="32">
        <v>4430450103</v>
      </c>
      <c r="C1688" s="32" t="s">
        <v>43</v>
      </c>
      <c r="D1688" s="32">
        <v>4430265054</v>
      </c>
      <c r="E1688" s="32">
        <v>934</v>
      </c>
      <c r="F1688" s="32">
        <v>849</v>
      </c>
      <c r="G1688" s="32" t="s">
        <v>38</v>
      </c>
      <c r="H1688" s="32" t="s">
        <v>7105</v>
      </c>
      <c r="I1688" s="32" t="s">
        <v>39</v>
      </c>
      <c r="J1688" s="32" t="s">
        <v>40</v>
      </c>
      <c r="K1688" s="32" t="s">
        <v>41</v>
      </c>
      <c r="L1688" s="32">
        <v>5</v>
      </c>
      <c r="M1688" s="32" t="s">
        <v>5418</v>
      </c>
      <c r="N1688" s="32" t="s">
        <v>43</v>
      </c>
    </row>
    <row r="1689" spans="1:14" s="32" customFormat="1" hidden="1" x14ac:dyDescent="0.3">
      <c r="A1689" s="39">
        <v>46181.729328703703</v>
      </c>
      <c r="B1689" s="32">
        <v>44991062548</v>
      </c>
      <c r="C1689" s="32" t="s">
        <v>37</v>
      </c>
      <c r="D1689" s="32">
        <v>4430265054</v>
      </c>
      <c r="E1689" s="32">
        <v>600</v>
      </c>
      <c r="F1689" s="32">
        <v>555</v>
      </c>
      <c r="G1689" s="32" t="s">
        <v>38</v>
      </c>
      <c r="H1689" s="32" t="s">
        <v>7106</v>
      </c>
      <c r="I1689" s="32" t="s">
        <v>39</v>
      </c>
      <c r="J1689" s="32" t="s">
        <v>40</v>
      </c>
      <c r="K1689" s="32" t="s">
        <v>41</v>
      </c>
      <c r="M1689" s="32" t="s">
        <v>5410</v>
      </c>
      <c r="N1689" s="32" t="s">
        <v>37</v>
      </c>
    </row>
    <row r="1690" spans="1:14" s="32" customFormat="1" hidden="1" x14ac:dyDescent="0.3">
      <c r="A1690" s="39">
        <v>46181.716504629629</v>
      </c>
      <c r="B1690" s="32" t="s">
        <v>54</v>
      </c>
      <c r="C1690" s="32">
        <v>4833642977</v>
      </c>
      <c r="E1690" s="32">
        <v>7</v>
      </c>
      <c r="F1690" s="32">
        <v>0</v>
      </c>
      <c r="G1690" s="32" t="s">
        <v>47</v>
      </c>
      <c r="H1690" s="32" t="s">
        <v>7107</v>
      </c>
      <c r="I1690" s="32" t="s">
        <v>46</v>
      </c>
      <c r="J1690" s="32" t="s">
        <v>55</v>
      </c>
      <c r="M1690" s="32" t="s">
        <v>5537</v>
      </c>
      <c r="N1690" s="32" t="s">
        <v>54</v>
      </c>
    </row>
    <row r="1691" spans="1:14" s="32" customFormat="1" hidden="1" x14ac:dyDescent="0.3">
      <c r="A1691" s="39">
        <v>46181.714849537035</v>
      </c>
      <c r="B1691" s="32" t="s">
        <v>54</v>
      </c>
      <c r="C1691" s="32">
        <v>31971481210</v>
      </c>
      <c r="E1691" s="32">
        <v>20</v>
      </c>
      <c r="F1691" s="32">
        <v>0</v>
      </c>
      <c r="G1691" s="32" t="s">
        <v>47</v>
      </c>
      <c r="H1691" s="32" t="s">
        <v>7108</v>
      </c>
      <c r="I1691" s="32" t="s">
        <v>46</v>
      </c>
      <c r="J1691" s="32" t="s">
        <v>55</v>
      </c>
      <c r="M1691" s="32" t="s">
        <v>5537</v>
      </c>
      <c r="N1691" s="32" t="s">
        <v>54</v>
      </c>
    </row>
    <row r="1692" spans="1:14" s="32" customFormat="1" hidden="1" x14ac:dyDescent="0.3">
      <c r="A1692" s="39">
        <v>46181.714722222219</v>
      </c>
      <c r="B1692" s="32">
        <v>4532541802</v>
      </c>
      <c r="C1692" s="32" t="s">
        <v>48</v>
      </c>
      <c r="D1692" s="32">
        <v>4430265054</v>
      </c>
      <c r="E1692" s="32">
        <v>712</v>
      </c>
      <c r="F1692" s="32">
        <v>639</v>
      </c>
      <c r="G1692" s="32" t="s">
        <v>38</v>
      </c>
      <c r="H1692" s="32" t="s">
        <v>7109</v>
      </c>
      <c r="I1692" s="32" t="s">
        <v>39</v>
      </c>
      <c r="J1692" s="32" t="s">
        <v>40</v>
      </c>
      <c r="K1692" s="32" t="s">
        <v>41</v>
      </c>
      <c r="M1692" s="32" t="s">
        <v>5412</v>
      </c>
      <c r="N1692" s="32" t="s">
        <v>48</v>
      </c>
    </row>
    <row r="1693" spans="1:14" s="32" customFormat="1" hidden="1" x14ac:dyDescent="0.3">
      <c r="A1693" s="39">
        <v>46181.714050925926</v>
      </c>
      <c r="B1693" s="32" t="s">
        <v>54</v>
      </c>
      <c r="C1693" s="32">
        <v>54996076308</v>
      </c>
      <c r="E1693" s="32">
        <v>17</v>
      </c>
      <c r="F1693" s="32">
        <v>0</v>
      </c>
      <c r="G1693" s="32" t="s">
        <v>47</v>
      </c>
      <c r="H1693" s="32" t="s">
        <v>7110</v>
      </c>
      <c r="I1693" s="32" t="s">
        <v>46</v>
      </c>
      <c r="J1693" s="32" t="s">
        <v>55</v>
      </c>
      <c r="M1693" s="32" t="s">
        <v>5537</v>
      </c>
      <c r="N1693" s="32" t="s">
        <v>54</v>
      </c>
    </row>
    <row r="1694" spans="1:14" s="32" customFormat="1" hidden="1" x14ac:dyDescent="0.3">
      <c r="A1694" s="39">
        <v>46181.711018518516</v>
      </c>
      <c r="B1694" s="32" t="s">
        <v>48</v>
      </c>
      <c r="C1694" s="32">
        <v>4532541802</v>
      </c>
      <c r="E1694" s="32">
        <v>76</v>
      </c>
      <c r="F1694" s="32">
        <v>75</v>
      </c>
      <c r="G1694" s="32" t="s">
        <v>38</v>
      </c>
      <c r="H1694" s="32" t="s">
        <v>7111</v>
      </c>
      <c r="I1694" s="32" t="s">
        <v>46</v>
      </c>
      <c r="J1694" s="32" t="s">
        <v>40</v>
      </c>
      <c r="M1694" s="32" t="s">
        <v>5412</v>
      </c>
      <c r="N1694" s="32" t="s">
        <v>48</v>
      </c>
    </row>
    <row r="1695" spans="1:14" s="32" customFormat="1" hidden="1" x14ac:dyDescent="0.3">
      <c r="A1695" s="39">
        <v>46181.702951388892</v>
      </c>
      <c r="B1695" s="32">
        <v>1732146970</v>
      </c>
      <c r="C1695" s="32" t="s">
        <v>44</v>
      </c>
      <c r="D1695" s="32">
        <v>4431268225</v>
      </c>
      <c r="E1695" s="32">
        <v>2607</v>
      </c>
      <c r="F1695" s="32">
        <v>2575</v>
      </c>
      <c r="G1695" s="32" t="s">
        <v>38</v>
      </c>
      <c r="H1695" s="32" t="s">
        <v>7112</v>
      </c>
      <c r="I1695" s="32" t="s">
        <v>39</v>
      </c>
      <c r="J1695" s="32" t="s">
        <v>40</v>
      </c>
      <c r="K1695" s="32" t="s">
        <v>41</v>
      </c>
      <c r="M1695" s="32" t="s">
        <v>5416</v>
      </c>
      <c r="N1695" s="32" t="s">
        <v>44</v>
      </c>
    </row>
    <row r="1696" spans="1:14" s="32" customFormat="1" hidden="1" x14ac:dyDescent="0.3">
      <c r="A1696" s="39">
        <v>46181.699479166666</v>
      </c>
      <c r="B1696" s="32">
        <v>4430450103</v>
      </c>
      <c r="C1696" s="32" t="s">
        <v>43</v>
      </c>
      <c r="D1696" s="32">
        <v>4430265054</v>
      </c>
      <c r="E1696" s="32">
        <v>627</v>
      </c>
      <c r="F1696" s="32">
        <v>519</v>
      </c>
      <c r="G1696" s="32" t="s">
        <v>38</v>
      </c>
      <c r="H1696" s="32" t="s">
        <v>7113</v>
      </c>
      <c r="I1696" s="32" t="s">
        <v>39</v>
      </c>
      <c r="J1696" s="32" t="s">
        <v>40</v>
      </c>
      <c r="K1696" s="32" t="s">
        <v>41</v>
      </c>
      <c r="L1696" s="32">
        <v>5</v>
      </c>
      <c r="M1696" s="32" t="s">
        <v>5418</v>
      </c>
      <c r="N1696" s="32" t="s">
        <v>43</v>
      </c>
    </row>
    <row r="1697" spans="1:14" s="32" customFormat="1" hidden="1" x14ac:dyDescent="0.3">
      <c r="A1697" s="39">
        <v>46181.699259259258</v>
      </c>
      <c r="B1697" s="32">
        <v>18997449617</v>
      </c>
      <c r="C1697" s="32" t="s">
        <v>45</v>
      </c>
      <c r="D1697" s="32">
        <v>4430265054</v>
      </c>
      <c r="E1697" s="32">
        <v>833</v>
      </c>
      <c r="F1697" s="32">
        <v>753</v>
      </c>
      <c r="G1697" s="32" t="s">
        <v>38</v>
      </c>
      <c r="H1697" s="32" t="s">
        <v>7114</v>
      </c>
      <c r="I1697" s="32" t="s">
        <v>39</v>
      </c>
      <c r="J1697" s="32" t="s">
        <v>40</v>
      </c>
      <c r="K1697" s="32" t="s">
        <v>41</v>
      </c>
      <c r="M1697" s="32" t="s">
        <v>5421</v>
      </c>
      <c r="N1697" s="32" t="s">
        <v>45</v>
      </c>
    </row>
    <row r="1698" spans="1:14" s="32" customFormat="1" hidden="1" x14ac:dyDescent="0.3">
      <c r="A1698" s="39">
        <v>46181.68310185185</v>
      </c>
      <c r="B1698" s="32">
        <v>4432524636</v>
      </c>
      <c r="C1698" s="32">
        <v>4430265054</v>
      </c>
      <c r="D1698" s="32">
        <v>4430265054</v>
      </c>
      <c r="E1698" s="32">
        <v>73</v>
      </c>
      <c r="F1698" s="32">
        <v>73</v>
      </c>
      <c r="G1698" s="32" t="s">
        <v>52</v>
      </c>
      <c r="H1698" s="32" t="s">
        <v>7115</v>
      </c>
      <c r="I1698" s="32" t="s">
        <v>39</v>
      </c>
      <c r="J1698" s="32" t="s">
        <v>53</v>
      </c>
      <c r="K1698" s="32" t="s">
        <v>41</v>
      </c>
    </row>
    <row r="1699" spans="1:14" s="32" customFormat="1" hidden="1" x14ac:dyDescent="0.3">
      <c r="A1699" s="39">
        <v>46181.681921296295</v>
      </c>
      <c r="B1699" s="32">
        <v>44991381017</v>
      </c>
      <c r="C1699" s="32" t="s">
        <v>37</v>
      </c>
      <c r="D1699" s="32">
        <v>4430265054</v>
      </c>
      <c r="E1699" s="32">
        <v>1386</v>
      </c>
      <c r="F1699" s="32">
        <v>1270</v>
      </c>
      <c r="G1699" s="32" t="s">
        <v>38</v>
      </c>
      <c r="H1699" s="32" t="s">
        <v>7116</v>
      </c>
      <c r="I1699" s="32" t="s">
        <v>39</v>
      </c>
      <c r="J1699" s="32" t="s">
        <v>40</v>
      </c>
      <c r="K1699" s="32" t="s">
        <v>41</v>
      </c>
      <c r="M1699" s="32" t="s">
        <v>5410</v>
      </c>
      <c r="N1699" s="32" t="s">
        <v>37</v>
      </c>
    </row>
    <row r="1700" spans="1:14" s="32" customFormat="1" hidden="1" x14ac:dyDescent="0.3">
      <c r="A1700" s="39">
        <v>46181.674537037034</v>
      </c>
      <c r="B1700" s="32" t="s">
        <v>45</v>
      </c>
      <c r="C1700" s="32">
        <v>44998620323</v>
      </c>
      <c r="E1700" s="32">
        <v>261</v>
      </c>
      <c r="F1700" s="32">
        <v>255</v>
      </c>
      <c r="G1700" s="32" t="s">
        <v>38</v>
      </c>
      <c r="H1700" s="32" t="s">
        <v>7117</v>
      </c>
      <c r="I1700" s="32" t="s">
        <v>46</v>
      </c>
      <c r="J1700" s="32" t="s">
        <v>40</v>
      </c>
      <c r="M1700" s="32" t="s">
        <v>5421</v>
      </c>
      <c r="N1700" s="32" t="s">
        <v>45</v>
      </c>
    </row>
    <row r="1701" spans="1:14" s="32" customFormat="1" hidden="1" x14ac:dyDescent="0.3">
      <c r="A1701" s="39">
        <v>46181.674467592595</v>
      </c>
      <c r="B1701" s="32" t="s">
        <v>45</v>
      </c>
      <c r="C1701" s="32">
        <v>44998620323</v>
      </c>
      <c r="E1701" s="32">
        <v>4</v>
      </c>
      <c r="F1701" s="32">
        <v>0</v>
      </c>
      <c r="G1701" s="32" t="s">
        <v>47</v>
      </c>
      <c r="H1701" s="32" t="s">
        <v>7118</v>
      </c>
      <c r="I1701" s="32" t="s">
        <v>46</v>
      </c>
      <c r="J1701" s="32" t="s">
        <v>40</v>
      </c>
      <c r="M1701" s="32" t="s">
        <v>5421</v>
      </c>
      <c r="N1701" s="32" t="s">
        <v>45</v>
      </c>
    </row>
    <row r="1702" spans="1:14" s="32" customFormat="1" hidden="1" x14ac:dyDescent="0.3">
      <c r="A1702" s="39">
        <v>46181.673842592594</v>
      </c>
      <c r="B1702" s="32">
        <v>44998761561</v>
      </c>
      <c r="C1702" s="32" t="s">
        <v>37</v>
      </c>
      <c r="D1702" s="32">
        <v>4430265054</v>
      </c>
      <c r="E1702" s="32">
        <v>465</v>
      </c>
      <c r="F1702" s="32">
        <v>312</v>
      </c>
      <c r="G1702" s="32" t="s">
        <v>38</v>
      </c>
      <c r="H1702" s="32" t="s">
        <v>7119</v>
      </c>
      <c r="I1702" s="32" t="s">
        <v>39</v>
      </c>
      <c r="J1702" s="32" t="s">
        <v>40</v>
      </c>
      <c r="K1702" s="32" t="s">
        <v>41</v>
      </c>
      <c r="L1702" s="32">
        <v>5</v>
      </c>
      <c r="M1702" s="32" t="s">
        <v>5410</v>
      </c>
      <c r="N1702" s="32" t="s">
        <v>37</v>
      </c>
    </row>
    <row r="1703" spans="1:14" s="32" customFormat="1" hidden="1" x14ac:dyDescent="0.3">
      <c r="A1703" s="39">
        <v>46181.673344907409</v>
      </c>
      <c r="B1703" s="32">
        <v>99984024914</v>
      </c>
      <c r="C1703" s="32" t="s">
        <v>43</v>
      </c>
      <c r="D1703" s="32">
        <v>4430265054</v>
      </c>
      <c r="E1703" s="32">
        <v>437</v>
      </c>
      <c r="F1703" s="32">
        <v>381</v>
      </c>
      <c r="G1703" s="32" t="s">
        <v>38</v>
      </c>
      <c r="H1703" s="32" t="s">
        <v>7120</v>
      </c>
      <c r="I1703" s="32" t="s">
        <v>39</v>
      </c>
      <c r="J1703" s="32" t="s">
        <v>40</v>
      </c>
      <c r="K1703" s="32" t="s">
        <v>41</v>
      </c>
      <c r="M1703" s="32" t="s">
        <v>5418</v>
      </c>
      <c r="N1703" s="32" t="s">
        <v>43</v>
      </c>
    </row>
    <row r="1704" spans="1:14" s="32" customFormat="1" hidden="1" x14ac:dyDescent="0.3">
      <c r="A1704" s="39">
        <v>46181.658009259256</v>
      </c>
      <c r="B1704" s="32">
        <v>4532541802</v>
      </c>
      <c r="C1704" s="32" t="s">
        <v>48</v>
      </c>
      <c r="D1704" s="32">
        <v>4430265054</v>
      </c>
      <c r="E1704" s="32">
        <v>558</v>
      </c>
      <c r="F1704" s="32">
        <v>532</v>
      </c>
      <c r="G1704" s="32" t="s">
        <v>38</v>
      </c>
      <c r="H1704" s="32" t="s">
        <v>7121</v>
      </c>
      <c r="I1704" s="32" t="s">
        <v>39</v>
      </c>
      <c r="J1704" s="32" t="s">
        <v>40</v>
      </c>
      <c r="K1704" s="32" t="s">
        <v>41</v>
      </c>
      <c r="M1704" s="32" t="s">
        <v>5412</v>
      </c>
      <c r="N1704" s="32" t="s">
        <v>48</v>
      </c>
    </row>
    <row r="1705" spans="1:14" s="32" customFormat="1" hidden="1" x14ac:dyDescent="0.3">
      <c r="A1705" s="39">
        <v>46181.654756944445</v>
      </c>
      <c r="B1705" s="32" t="s">
        <v>48</v>
      </c>
      <c r="C1705" s="32">
        <v>4532541802</v>
      </c>
      <c r="E1705" s="32">
        <v>70</v>
      </c>
      <c r="F1705" s="32">
        <v>69</v>
      </c>
      <c r="G1705" s="32" t="s">
        <v>38</v>
      </c>
      <c r="H1705" s="32" t="s">
        <v>7122</v>
      </c>
      <c r="I1705" s="32" t="s">
        <v>46</v>
      </c>
      <c r="J1705" s="32" t="s">
        <v>40</v>
      </c>
      <c r="M1705" s="32" t="s">
        <v>5412</v>
      </c>
      <c r="N1705" s="32" t="s">
        <v>48</v>
      </c>
    </row>
    <row r="1706" spans="1:14" s="32" customFormat="1" hidden="1" x14ac:dyDescent="0.3">
      <c r="A1706" s="39">
        <v>46181.646180555559</v>
      </c>
      <c r="B1706" s="32">
        <v>44998620323</v>
      </c>
      <c r="C1706" s="32" t="s">
        <v>45</v>
      </c>
      <c r="D1706" s="32">
        <v>4430265054</v>
      </c>
      <c r="E1706" s="32">
        <v>262</v>
      </c>
      <c r="F1706" s="32">
        <v>48</v>
      </c>
      <c r="G1706" s="32" t="s">
        <v>38</v>
      </c>
      <c r="H1706" s="32" t="s">
        <v>7123</v>
      </c>
      <c r="I1706" s="32" t="s">
        <v>39</v>
      </c>
      <c r="J1706" s="32" t="s">
        <v>40</v>
      </c>
      <c r="K1706" s="32" t="s">
        <v>41</v>
      </c>
      <c r="M1706" s="32" t="s">
        <v>5421</v>
      </c>
      <c r="N1706" s="32" t="s">
        <v>45</v>
      </c>
    </row>
    <row r="1707" spans="1:14" s="32" customFormat="1" hidden="1" x14ac:dyDescent="0.3">
      <c r="A1707" s="39">
        <v>46181.645358796297</v>
      </c>
      <c r="B1707" s="32" t="s">
        <v>57</v>
      </c>
      <c r="C1707" s="32">
        <v>44999976008</v>
      </c>
      <c r="E1707" s="32">
        <v>44</v>
      </c>
      <c r="F1707" s="32">
        <v>26</v>
      </c>
      <c r="G1707" s="32" t="s">
        <v>38</v>
      </c>
      <c r="H1707" s="32" t="s">
        <v>7124</v>
      </c>
      <c r="I1707" s="32" t="s">
        <v>46</v>
      </c>
      <c r="J1707" s="32" t="s">
        <v>55</v>
      </c>
      <c r="M1707" s="32" t="s">
        <v>5456</v>
      </c>
      <c r="N1707" s="32" t="s">
        <v>57</v>
      </c>
    </row>
    <row r="1708" spans="1:14" s="32" customFormat="1" hidden="1" x14ac:dyDescent="0.3">
      <c r="A1708" s="39">
        <v>46181.644293981481</v>
      </c>
      <c r="B1708" s="32">
        <v>11966416756</v>
      </c>
      <c r="C1708" s="32" t="s">
        <v>48</v>
      </c>
      <c r="D1708" s="32">
        <v>4431268225</v>
      </c>
      <c r="E1708" s="32">
        <v>404</v>
      </c>
      <c r="F1708" s="32">
        <v>403</v>
      </c>
      <c r="G1708" s="32" t="s">
        <v>38</v>
      </c>
      <c r="H1708" s="32" t="s">
        <v>7125</v>
      </c>
      <c r="I1708" s="32" t="s">
        <v>39</v>
      </c>
      <c r="J1708" s="32" t="s">
        <v>40</v>
      </c>
      <c r="K1708" s="32" t="s">
        <v>41</v>
      </c>
      <c r="M1708" s="32" t="s">
        <v>5412</v>
      </c>
      <c r="N1708" s="32" t="s">
        <v>48</v>
      </c>
    </row>
    <row r="1709" spans="1:14" s="32" customFormat="1" hidden="1" x14ac:dyDescent="0.3">
      <c r="A1709" s="39">
        <v>46181.641817129632</v>
      </c>
      <c r="B1709" s="32">
        <v>44997270192</v>
      </c>
      <c r="C1709" s="32" t="s">
        <v>44</v>
      </c>
      <c r="D1709" s="32">
        <v>4430265054</v>
      </c>
      <c r="E1709" s="32">
        <v>1453</v>
      </c>
      <c r="F1709" s="32">
        <v>1324</v>
      </c>
      <c r="G1709" s="32" t="s">
        <v>38</v>
      </c>
      <c r="H1709" s="32" t="s">
        <v>7126</v>
      </c>
      <c r="I1709" s="32" t="s">
        <v>39</v>
      </c>
      <c r="J1709" s="32" t="s">
        <v>40</v>
      </c>
      <c r="K1709" s="32" t="s">
        <v>41</v>
      </c>
      <c r="L1709" s="32">
        <v>4</v>
      </c>
      <c r="M1709" s="32" t="s">
        <v>5416</v>
      </c>
      <c r="N1709" s="32" t="s">
        <v>44</v>
      </c>
    </row>
    <row r="1710" spans="1:14" s="32" customFormat="1" hidden="1" x14ac:dyDescent="0.3">
      <c r="A1710" s="39">
        <v>46181.641400462962</v>
      </c>
      <c r="B1710" s="32">
        <v>44999497001</v>
      </c>
      <c r="C1710" s="32" t="s">
        <v>37</v>
      </c>
      <c r="D1710" s="32">
        <v>4430265054</v>
      </c>
      <c r="E1710" s="32">
        <v>2783</v>
      </c>
      <c r="F1710" s="32">
        <v>2727</v>
      </c>
      <c r="G1710" s="32" t="s">
        <v>38</v>
      </c>
      <c r="H1710" s="32" t="s">
        <v>7127</v>
      </c>
      <c r="I1710" s="32" t="s">
        <v>39</v>
      </c>
      <c r="J1710" s="32" t="s">
        <v>40</v>
      </c>
      <c r="K1710" s="32" t="s">
        <v>41</v>
      </c>
      <c r="M1710" s="32" t="s">
        <v>5410</v>
      </c>
      <c r="N1710" s="32" t="s">
        <v>37</v>
      </c>
    </row>
    <row r="1711" spans="1:14" s="32" customFormat="1" hidden="1" x14ac:dyDescent="0.3">
      <c r="A1711" s="39">
        <v>46181.632094907407</v>
      </c>
      <c r="B1711" s="32">
        <v>4432256273</v>
      </c>
      <c r="C1711" s="32">
        <v>4430265054</v>
      </c>
      <c r="D1711" s="32">
        <v>4430265054</v>
      </c>
      <c r="E1711" s="32">
        <v>141</v>
      </c>
      <c r="F1711" s="32">
        <v>140</v>
      </c>
      <c r="G1711" s="32" t="s">
        <v>52</v>
      </c>
      <c r="H1711" s="32" t="s">
        <v>7128</v>
      </c>
      <c r="I1711" s="32" t="s">
        <v>39</v>
      </c>
      <c r="J1711" s="32" t="s">
        <v>53</v>
      </c>
      <c r="K1711" s="32" t="s">
        <v>41</v>
      </c>
    </row>
    <row r="1712" spans="1:14" s="32" customFormat="1" hidden="1" x14ac:dyDescent="0.3">
      <c r="A1712" s="39">
        <v>46181.631863425922</v>
      </c>
      <c r="B1712" s="32">
        <v>4432525112</v>
      </c>
      <c r="C1712" s="32" t="s">
        <v>43</v>
      </c>
      <c r="D1712" s="32">
        <v>4430265054</v>
      </c>
      <c r="E1712" s="32">
        <v>837</v>
      </c>
      <c r="F1712" s="32">
        <v>708</v>
      </c>
      <c r="G1712" s="32" t="s">
        <v>38</v>
      </c>
      <c r="H1712" s="32" t="s">
        <v>7129</v>
      </c>
      <c r="I1712" s="32" t="s">
        <v>39</v>
      </c>
      <c r="J1712" s="32" t="s">
        <v>40</v>
      </c>
      <c r="K1712" s="32" t="s">
        <v>41</v>
      </c>
      <c r="L1712" s="32">
        <v>5</v>
      </c>
      <c r="M1712" s="32" t="s">
        <v>5418</v>
      </c>
      <c r="N1712" s="32" t="s">
        <v>43</v>
      </c>
    </row>
    <row r="1713" spans="1:14" s="32" customFormat="1" hidden="1" x14ac:dyDescent="0.3">
      <c r="A1713" s="39">
        <v>46181.627824074072</v>
      </c>
      <c r="B1713" s="32">
        <v>4432272377</v>
      </c>
      <c r="C1713" s="32" t="s">
        <v>45</v>
      </c>
      <c r="D1713" s="32">
        <v>4430265054</v>
      </c>
      <c r="E1713" s="32">
        <v>999</v>
      </c>
      <c r="F1713" s="32">
        <v>927</v>
      </c>
      <c r="G1713" s="32" t="s">
        <v>38</v>
      </c>
      <c r="H1713" s="32" t="s">
        <v>7130</v>
      </c>
      <c r="I1713" s="32" t="s">
        <v>39</v>
      </c>
      <c r="J1713" s="32" t="s">
        <v>40</v>
      </c>
      <c r="K1713" s="32" t="s">
        <v>41</v>
      </c>
      <c r="M1713" s="32" t="s">
        <v>5421</v>
      </c>
      <c r="N1713" s="32" t="s">
        <v>45</v>
      </c>
    </row>
    <row r="1714" spans="1:14" s="32" customFormat="1" hidden="1" x14ac:dyDescent="0.3">
      <c r="A1714" s="39">
        <v>46181.620081018518</v>
      </c>
      <c r="B1714" s="32">
        <v>4334726613</v>
      </c>
      <c r="C1714" s="32" t="s">
        <v>37</v>
      </c>
      <c r="D1714" s="32">
        <v>4430265054</v>
      </c>
      <c r="E1714" s="32">
        <v>298</v>
      </c>
      <c r="F1714" s="32">
        <v>113</v>
      </c>
      <c r="G1714" s="32" t="s">
        <v>38</v>
      </c>
      <c r="H1714" s="32" t="s">
        <v>7131</v>
      </c>
      <c r="I1714" s="32" t="s">
        <v>39</v>
      </c>
      <c r="J1714" s="32" t="s">
        <v>40</v>
      </c>
      <c r="K1714" s="32" t="s">
        <v>41</v>
      </c>
      <c r="M1714" s="32" t="s">
        <v>5410</v>
      </c>
      <c r="N1714" s="32" t="s">
        <v>37</v>
      </c>
    </row>
    <row r="1715" spans="1:14" s="32" customFormat="1" hidden="1" x14ac:dyDescent="0.3">
      <c r="A1715" s="39">
        <v>46181.618888888886</v>
      </c>
      <c r="B1715" s="32" t="s">
        <v>45</v>
      </c>
      <c r="C1715" s="32">
        <v>44991344903</v>
      </c>
      <c r="E1715" s="32">
        <v>45</v>
      </c>
      <c r="F1715" s="32">
        <v>36</v>
      </c>
      <c r="G1715" s="32" t="s">
        <v>38</v>
      </c>
      <c r="H1715" s="32" t="s">
        <v>7132</v>
      </c>
      <c r="I1715" s="32" t="s">
        <v>46</v>
      </c>
      <c r="J1715" s="32" t="s">
        <v>40</v>
      </c>
      <c r="M1715" s="32" t="s">
        <v>5421</v>
      </c>
      <c r="N1715" s="32" t="s">
        <v>45</v>
      </c>
    </row>
    <row r="1716" spans="1:14" s="32" customFormat="1" hidden="1" x14ac:dyDescent="0.3">
      <c r="A1716" s="39">
        <v>46181.612037037034</v>
      </c>
      <c r="B1716" s="32">
        <v>44999917849</v>
      </c>
      <c r="C1716" s="32" t="s">
        <v>43</v>
      </c>
      <c r="D1716" s="32">
        <v>4430265054</v>
      </c>
      <c r="E1716" s="32">
        <v>531</v>
      </c>
      <c r="F1716" s="32">
        <v>476</v>
      </c>
      <c r="G1716" s="32" t="s">
        <v>38</v>
      </c>
      <c r="H1716" s="32" t="s">
        <v>7133</v>
      </c>
      <c r="I1716" s="32" t="s">
        <v>39</v>
      </c>
      <c r="J1716" s="32" t="s">
        <v>40</v>
      </c>
      <c r="K1716" s="32" t="s">
        <v>41</v>
      </c>
      <c r="M1716" s="32" t="s">
        <v>5418</v>
      </c>
      <c r="N1716" s="32" t="s">
        <v>43</v>
      </c>
    </row>
    <row r="1717" spans="1:14" s="32" customFormat="1" hidden="1" x14ac:dyDescent="0.3">
      <c r="A1717" s="39">
        <v>46181.610312500001</v>
      </c>
      <c r="B1717" s="32">
        <v>44988303530</v>
      </c>
      <c r="C1717" s="32" t="s">
        <v>43</v>
      </c>
      <c r="D1717" s="32">
        <v>4430265054</v>
      </c>
      <c r="E1717" s="32">
        <v>118</v>
      </c>
      <c r="F1717" s="32">
        <v>36</v>
      </c>
      <c r="G1717" s="32" t="s">
        <v>38</v>
      </c>
      <c r="H1717" s="32" t="s">
        <v>7134</v>
      </c>
      <c r="I1717" s="32" t="s">
        <v>39</v>
      </c>
      <c r="J1717" s="32" t="s">
        <v>40</v>
      </c>
      <c r="K1717" s="32" t="s">
        <v>41</v>
      </c>
      <c r="M1717" s="32" t="s">
        <v>5418</v>
      </c>
      <c r="N1717" s="32" t="s">
        <v>43</v>
      </c>
    </row>
    <row r="1718" spans="1:14" s="32" customFormat="1" hidden="1" x14ac:dyDescent="0.3">
      <c r="A1718" s="39">
        <v>46181.610150462962</v>
      </c>
      <c r="B1718" s="32">
        <v>44991234625</v>
      </c>
      <c r="C1718" s="32" t="s">
        <v>44</v>
      </c>
      <c r="D1718" s="32">
        <v>4430265054</v>
      </c>
      <c r="E1718" s="32">
        <v>311</v>
      </c>
      <c r="F1718" s="32">
        <v>285</v>
      </c>
      <c r="G1718" s="32" t="s">
        <v>38</v>
      </c>
      <c r="H1718" s="32" t="s">
        <v>7135</v>
      </c>
      <c r="I1718" s="32" t="s">
        <v>39</v>
      </c>
      <c r="J1718" s="32" t="s">
        <v>40</v>
      </c>
      <c r="K1718" s="32" t="s">
        <v>41</v>
      </c>
      <c r="L1718" s="32">
        <v>5</v>
      </c>
      <c r="M1718" s="32" t="s">
        <v>5416</v>
      </c>
      <c r="N1718" s="32" t="s">
        <v>44</v>
      </c>
    </row>
    <row r="1719" spans="1:14" s="32" customFormat="1" hidden="1" x14ac:dyDescent="0.3">
      <c r="A1719" s="39">
        <v>46181.608043981483</v>
      </c>
      <c r="B1719" s="32" t="s">
        <v>5539</v>
      </c>
      <c r="C1719" s="32" t="s">
        <v>45</v>
      </c>
      <c r="D1719" s="32">
        <v>4430265054</v>
      </c>
      <c r="E1719" s="32">
        <v>270</v>
      </c>
      <c r="F1719" s="32">
        <v>117</v>
      </c>
      <c r="G1719" s="32" t="s">
        <v>38</v>
      </c>
      <c r="H1719" s="32" t="s">
        <v>7136</v>
      </c>
      <c r="I1719" s="32" t="s">
        <v>39</v>
      </c>
      <c r="J1719" s="32" t="s">
        <v>40</v>
      </c>
      <c r="K1719" s="32" t="s">
        <v>41</v>
      </c>
      <c r="M1719" s="32" t="s">
        <v>5421</v>
      </c>
      <c r="N1719" s="32" t="s">
        <v>45</v>
      </c>
    </row>
    <row r="1720" spans="1:14" s="32" customFormat="1" hidden="1" x14ac:dyDescent="0.3">
      <c r="A1720" s="39">
        <v>46181.606874999998</v>
      </c>
      <c r="B1720" s="32">
        <v>44991116911</v>
      </c>
      <c r="C1720" s="32" t="s">
        <v>43</v>
      </c>
      <c r="D1720" s="32">
        <v>4430265054</v>
      </c>
      <c r="E1720" s="32">
        <v>353</v>
      </c>
      <c r="F1720" s="32">
        <v>274</v>
      </c>
      <c r="G1720" s="32" t="s">
        <v>38</v>
      </c>
      <c r="H1720" s="32" t="s">
        <v>7137</v>
      </c>
      <c r="I1720" s="32" t="s">
        <v>39</v>
      </c>
      <c r="J1720" s="32" t="s">
        <v>40</v>
      </c>
      <c r="K1720" s="32" t="s">
        <v>41</v>
      </c>
      <c r="L1720" s="32">
        <v>5</v>
      </c>
      <c r="M1720" s="32" t="s">
        <v>5418</v>
      </c>
      <c r="N1720" s="32" t="s">
        <v>43</v>
      </c>
    </row>
    <row r="1721" spans="1:14" s="32" customFormat="1" hidden="1" x14ac:dyDescent="0.3">
      <c r="A1721" s="39">
        <v>46181.603182870371</v>
      </c>
      <c r="B1721" s="32">
        <v>4334232912</v>
      </c>
      <c r="C1721" s="32" t="s">
        <v>48</v>
      </c>
      <c r="D1721" s="32">
        <v>4430265054</v>
      </c>
      <c r="E1721" s="32">
        <v>1163</v>
      </c>
      <c r="F1721" s="32">
        <v>1162</v>
      </c>
      <c r="G1721" s="32" t="s">
        <v>38</v>
      </c>
      <c r="H1721" s="32" t="s">
        <v>7138</v>
      </c>
      <c r="I1721" s="32" t="s">
        <v>39</v>
      </c>
      <c r="J1721" s="32" t="s">
        <v>40</v>
      </c>
      <c r="K1721" s="32" t="s">
        <v>41</v>
      </c>
      <c r="M1721" s="32" t="s">
        <v>5412</v>
      </c>
      <c r="N1721" s="32" t="s">
        <v>48</v>
      </c>
    </row>
    <row r="1722" spans="1:14" s="32" customFormat="1" hidden="1" x14ac:dyDescent="0.3">
      <c r="A1722" s="39">
        <v>46181.601400462961</v>
      </c>
      <c r="B1722" s="32">
        <v>91981481202</v>
      </c>
      <c r="C1722" s="32" t="s">
        <v>44</v>
      </c>
      <c r="D1722" s="32">
        <v>4430265054</v>
      </c>
      <c r="E1722" s="32">
        <v>638</v>
      </c>
      <c r="F1722" s="32">
        <v>552</v>
      </c>
      <c r="G1722" s="32" t="s">
        <v>38</v>
      </c>
      <c r="H1722" s="32" t="s">
        <v>7139</v>
      </c>
      <c r="I1722" s="32" t="s">
        <v>39</v>
      </c>
      <c r="J1722" s="32" t="s">
        <v>40</v>
      </c>
      <c r="K1722" s="32" t="s">
        <v>41</v>
      </c>
      <c r="L1722" s="32">
        <v>5</v>
      </c>
      <c r="M1722" s="32" t="s">
        <v>5416</v>
      </c>
      <c r="N1722" s="32" t="s">
        <v>44</v>
      </c>
    </row>
    <row r="1723" spans="1:14" s="32" customFormat="1" hidden="1" x14ac:dyDescent="0.3">
      <c r="A1723" s="39">
        <v>46181.601111111115</v>
      </c>
      <c r="B1723" s="32">
        <v>6234347959</v>
      </c>
      <c r="C1723" s="32" t="s">
        <v>45</v>
      </c>
      <c r="D1723" s="32">
        <v>4430265054</v>
      </c>
      <c r="E1723" s="32">
        <v>498</v>
      </c>
      <c r="F1723" s="32">
        <v>448</v>
      </c>
      <c r="G1723" s="32" t="s">
        <v>38</v>
      </c>
      <c r="H1723" s="32" t="s">
        <v>7140</v>
      </c>
      <c r="I1723" s="32" t="s">
        <v>39</v>
      </c>
      <c r="J1723" s="32" t="s">
        <v>40</v>
      </c>
      <c r="K1723" s="32" t="s">
        <v>41</v>
      </c>
      <c r="L1723" s="32">
        <v>5</v>
      </c>
      <c r="M1723" s="32" t="s">
        <v>5421</v>
      </c>
      <c r="N1723" s="32" t="s">
        <v>45</v>
      </c>
    </row>
    <row r="1724" spans="1:14" s="32" customFormat="1" hidden="1" x14ac:dyDescent="0.3">
      <c r="A1724" s="39">
        <v>46181.597511574073</v>
      </c>
      <c r="B1724" s="32" t="s">
        <v>56</v>
      </c>
      <c r="C1724" s="32">
        <v>4440040104</v>
      </c>
      <c r="E1724" s="32">
        <v>210</v>
      </c>
      <c r="F1724" s="32">
        <v>207</v>
      </c>
      <c r="G1724" s="32" t="s">
        <v>38</v>
      </c>
      <c r="H1724" s="32" t="s">
        <v>7141</v>
      </c>
      <c r="I1724" s="32" t="s">
        <v>46</v>
      </c>
      <c r="J1724" s="32" t="s">
        <v>53</v>
      </c>
      <c r="M1724" s="32" t="s">
        <v>5440</v>
      </c>
      <c r="N1724" s="32" t="s">
        <v>56</v>
      </c>
    </row>
    <row r="1725" spans="1:14" s="32" customFormat="1" hidden="1" x14ac:dyDescent="0.3">
      <c r="A1725" s="39">
        <v>46181.596365740741</v>
      </c>
      <c r="B1725" s="32">
        <v>4430318516</v>
      </c>
      <c r="C1725" s="32" t="s">
        <v>37</v>
      </c>
      <c r="D1725" s="32">
        <v>4430265054</v>
      </c>
      <c r="E1725" s="32">
        <v>1479</v>
      </c>
      <c r="F1725" s="32">
        <v>1399</v>
      </c>
      <c r="G1725" s="32" t="s">
        <v>38</v>
      </c>
      <c r="H1725" s="32" t="s">
        <v>7142</v>
      </c>
      <c r="I1725" s="32" t="s">
        <v>39</v>
      </c>
      <c r="J1725" s="32" t="s">
        <v>40</v>
      </c>
      <c r="K1725" s="32" t="s">
        <v>41</v>
      </c>
      <c r="M1725" s="32" t="s">
        <v>5410</v>
      </c>
      <c r="N1725" s="32" t="s">
        <v>37</v>
      </c>
    </row>
    <row r="1726" spans="1:14" s="32" customFormat="1" hidden="1" x14ac:dyDescent="0.3">
      <c r="A1726" s="39">
        <v>46181.59547453704</v>
      </c>
      <c r="B1726" s="32" t="s">
        <v>56</v>
      </c>
      <c r="C1726" s="32">
        <v>4440040104</v>
      </c>
      <c r="E1726" s="32">
        <v>172</v>
      </c>
      <c r="F1726" s="32">
        <v>167</v>
      </c>
      <c r="G1726" s="32" t="s">
        <v>38</v>
      </c>
      <c r="H1726" s="32" t="s">
        <v>7143</v>
      </c>
      <c r="I1726" s="32" t="s">
        <v>46</v>
      </c>
      <c r="J1726" s="32" t="s">
        <v>53</v>
      </c>
      <c r="M1726" s="32" t="s">
        <v>5440</v>
      </c>
      <c r="N1726" s="32" t="s">
        <v>56</v>
      </c>
    </row>
    <row r="1727" spans="1:14" s="32" customFormat="1" hidden="1" x14ac:dyDescent="0.3">
      <c r="A1727" s="39">
        <v>46181.592743055553</v>
      </c>
      <c r="B1727" s="32">
        <v>4430318514</v>
      </c>
      <c r="C1727" s="32">
        <v>4430265054</v>
      </c>
      <c r="D1727" s="32">
        <v>4430265054</v>
      </c>
      <c r="E1727" s="32">
        <v>78</v>
      </c>
      <c r="F1727" s="32">
        <v>77</v>
      </c>
      <c r="G1727" s="32" t="s">
        <v>52</v>
      </c>
      <c r="H1727" s="32" t="s">
        <v>7144</v>
      </c>
      <c r="I1727" s="32" t="s">
        <v>39</v>
      </c>
      <c r="J1727" s="32" t="s">
        <v>53</v>
      </c>
      <c r="K1727" s="32" t="s">
        <v>41</v>
      </c>
    </row>
    <row r="1728" spans="1:14" s="32" customFormat="1" hidden="1" x14ac:dyDescent="0.3">
      <c r="A1728" s="39">
        <v>46181.589629629627</v>
      </c>
      <c r="B1728" s="32">
        <v>44998761561</v>
      </c>
      <c r="C1728" s="32" t="s">
        <v>45</v>
      </c>
      <c r="D1728" s="32">
        <v>4430265054</v>
      </c>
      <c r="E1728" s="32">
        <v>704</v>
      </c>
      <c r="F1728" s="32">
        <v>620</v>
      </c>
      <c r="G1728" s="32" t="s">
        <v>38</v>
      </c>
      <c r="H1728" s="32" t="s">
        <v>7145</v>
      </c>
      <c r="I1728" s="32" t="s">
        <v>39</v>
      </c>
      <c r="J1728" s="32" t="s">
        <v>40</v>
      </c>
      <c r="K1728" s="32" t="s">
        <v>41</v>
      </c>
      <c r="M1728" s="32" t="s">
        <v>5421</v>
      </c>
      <c r="N1728" s="32" t="s">
        <v>45</v>
      </c>
    </row>
    <row r="1729" spans="1:14" s="32" customFormat="1" hidden="1" x14ac:dyDescent="0.3">
      <c r="A1729" s="39">
        <v>46181.582673611112</v>
      </c>
      <c r="B1729" s="32" t="s">
        <v>48</v>
      </c>
      <c r="C1729" s="32">
        <v>4331622700</v>
      </c>
      <c r="E1729" s="32">
        <v>62</v>
      </c>
      <c r="F1729" s="32">
        <v>58</v>
      </c>
      <c r="G1729" s="32" t="s">
        <v>38</v>
      </c>
      <c r="H1729" s="32" t="s">
        <v>7146</v>
      </c>
      <c r="I1729" s="32" t="s">
        <v>46</v>
      </c>
      <c r="J1729" s="32" t="s">
        <v>40</v>
      </c>
      <c r="M1729" s="32" t="s">
        <v>5412</v>
      </c>
      <c r="N1729" s="32" t="s">
        <v>48</v>
      </c>
    </row>
    <row r="1730" spans="1:14" s="32" customFormat="1" hidden="1" x14ac:dyDescent="0.3">
      <c r="A1730" s="39">
        <v>46181.581863425927</v>
      </c>
      <c r="B1730" s="32" t="s">
        <v>48</v>
      </c>
      <c r="C1730" s="32">
        <v>4331622700</v>
      </c>
      <c r="E1730" s="32">
        <v>69</v>
      </c>
      <c r="F1730" s="32">
        <v>65</v>
      </c>
      <c r="G1730" s="32" t="s">
        <v>38</v>
      </c>
      <c r="H1730" s="32" t="s">
        <v>7147</v>
      </c>
      <c r="I1730" s="32" t="s">
        <v>46</v>
      </c>
      <c r="J1730" s="32" t="s">
        <v>40</v>
      </c>
      <c r="M1730" s="32" t="s">
        <v>5412</v>
      </c>
      <c r="N1730" s="32" t="s">
        <v>48</v>
      </c>
    </row>
    <row r="1731" spans="1:14" s="32" customFormat="1" hidden="1" x14ac:dyDescent="0.3">
      <c r="A1731" s="39">
        <v>46181.564525462964</v>
      </c>
      <c r="B1731" s="32">
        <v>4430346845</v>
      </c>
      <c r="C1731" s="32" t="s">
        <v>37</v>
      </c>
      <c r="D1731" s="32">
        <v>4430265054</v>
      </c>
      <c r="E1731" s="32">
        <v>1678</v>
      </c>
      <c r="F1731" s="32">
        <v>1619</v>
      </c>
      <c r="G1731" s="32" t="s">
        <v>38</v>
      </c>
      <c r="H1731" s="32" t="s">
        <v>7148</v>
      </c>
      <c r="I1731" s="32" t="s">
        <v>39</v>
      </c>
      <c r="J1731" s="32" t="s">
        <v>40</v>
      </c>
      <c r="K1731" s="32" t="s">
        <v>41</v>
      </c>
      <c r="L1731" s="32">
        <v>4</v>
      </c>
      <c r="M1731" s="32" t="s">
        <v>5410</v>
      </c>
      <c r="N1731" s="32" t="s">
        <v>37</v>
      </c>
    </row>
    <row r="1732" spans="1:14" s="32" customFormat="1" hidden="1" x14ac:dyDescent="0.3">
      <c r="A1732" s="39">
        <v>46181.563645833332</v>
      </c>
      <c r="B1732" s="32">
        <v>1131043888</v>
      </c>
      <c r="C1732" s="32" t="s">
        <v>45</v>
      </c>
      <c r="D1732" s="32">
        <v>4430265054</v>
      </c>
      <c r="E1732" s="32">
        <v>962</v>
      </c>
      <c r="F1732" s="32">
        <v>862</v>
      </c>
      <c r="G1732" s="32" t="s">
        <v>38</v>
      </c>
      <c r="H1732" s="32" t="s">
        <v>7149</v>
      </c>
      <c r="I1732" s="32" t="s">
        <v>39</v>
      </c>
      <c r="J1732" s="32" t="s">
        <v>40</v>
      </c>
      <c r="K1732" s="32" t="s">
        <v>41</v>
      </c>
      <c r="L1732" s="32">
        <v>5</v>
      </c>
      <c r="M1732" s="32" t="s">
        <v>5421</v>
      </c>
      <c r="N1732" s="32" t="s">
        <v>45</v>
      </c>
    </row>
    <row r="1733" spans="1:14" s="32" customFormat="1" hidden="1" x14ac:dyDescent="0.3">
      <c r="A1733" s="39">
        <v>46181.562928240739</v>
      </c>
      <c r="B1733" s="32">
        <v>1131043888</v>
      </c>
      <c r="C1733" s="32">
        <v>4430265054</v>
      </c>
      <c r="D1733" s="32">
        <v>4430265054</v>
      </c>
      <c r="E1733" s="32">
        <v>32</v>
      </c>
      <c r="F1733" s="32">
        <v>31</v>
      </c>
      <c r="G1733" s="32" t="s">
        <v>52</v>
      </c>
      <c r="H1733" s="32" t="s">
        <v>7150</v>
      </c>
      <c r="I1733" s="32" t="s">
        <v>39</v>
      </c>
      <c r="J1733" s="32" t="s">
        <v>53</v>
      </c>
      <c r="K1733" s="32" t="s">
        <v>41</v>
      </c>
    </row>
    <row r="1734" spans="1:14" s="32" customFormat="1" hidden="1" x14ac:dyDescent="0.3">
      <c r="A1734" s="39">
        <v>46181.559490740743</v>
      </c>
      <c r="B1734" s="32">
        <v>4430346845</v>
      </c>
      <c r="C1734" s="32">
        <v>4430265054</v>
      </c>
      <c r="D1734" s="32">
        <v>4430265054</v>
      </c>
      <c r="E1734" s="32">
        <v>13</v>
      </c>
      <c r="F1734" s="32">
        <v>12</v>
      </c>
      <c r="G1734" s="32" t="s">
        <v>52</v>
      </c>
      <c r="H1734" s="32" t="s">
        <v>7151</v>
      </c>
      <c r="I1734" s="32" t="s">
        <v>39</v>
      </c>
      <c r="J1734" s="32" t="s">
        <v>53</v>
      </c>
    </row>
    <row r="1735" spans="1:14" s="32" customFormat="1" hidden="1" x14ac:dyDescent="0.3">
      <c r="A1735" s="39">
        <v>46181.503993055558</v>
      </c>
      <c r="B1735" s="32">
        <v>44999387742</v>
      </c>
      <c r="C1735" s="32">
        <v>4430265054</v>
      </c>
      <c r="D1735" s="32">
        <v>4430265054</v>
      </c>
      <c r="E1735" s="32">
        <v>29</v>
      </c>
      <c r="F1735" s="32">
        <v>28</v>
      </c>
      <c r="G1735" s="32" t="s">
        <v>52</v>
      </c>
      <c r="H1735" s="32" t="s">
        <v>7152</v>
      </c>
      <c r="I1735" s="32" t="s">
        <v>39</v>
      </c>
      <c r="J1735" s="32" t="s">
        <v>53</v>
      </c>
    </row>
    <row r="1736" spans="1:14" s="32" customFormat="1" hidden="1" x14ac:dyDescent="0.3">
      <c r="A1736" s="39">
        <v>46181.497615740744</v>
      </c>
      <c r="B1736" s="32" t="s">
        <v>50</v>
      </c>
      <c r="C1736" s="32" t="s">
        <v>57</v>
      </c>
      <c r="E1736" s="32">
        <v>652</v>
      </c>
      <c r="F1736" s="32">
        <v>648</v>
      </c>
      <c r="G1736" s="32" t="s">
        <v>38</v>
      </c>
      <c r="H1736" s="32" t="s">
        <v>7153</v>
      </c>
      <c r="I1736" s="32" t="s">
        <v>51</v>
      </c>
      <c r="J1736" s="32" t="s">
        <v>55</v>
      </c>
      <c r="M1736" s="32" t="s">
        <v>5746</v>
      </c>
      <c r="N1736" s="32" t="s">
        <v>50</v>
      </c>
    </row>
    <row r="1737" spans="1:14" s="32" customFormat="1" hidden="1" x14ac:dyDescent="0.3">
      <c r="A1737" s="39">
        <v>46181.487581018519</v>
      </c>
      <c r="B1737" s="32">
        <v>43999965552</v>
      </c>
      <c r="C1737" s="32" t="s">
        <v>37</v>
      </c>
      <c r="D1737" s="32">
        <v>4430265054</v>
      </c>
      <c r="E1737" s="32">
        <v>1551</v>
      </c>
      <c r="F1737" s="32">
        <v>1450</v>
      </c>
      <c r="G1737" s="32" t="s">
        <v>38</v>
      </c>
      <c r="H1737" s="32" t="s">
        <v>7154</v>
      </c>
      <c r="I1737" s="32" t="s">
        <v>39</v>
      </c>
      <c r="J1737" s="32" t="s">
        <v>40</v>
      </c>
      <c r="K1737" s="32" t="s">
        <v>41</v>
      </c>
      <c r="M1737" s="32" t="s">
        <v>5410</v>
      </c>
      <c r="N1737" s="32" t="s">
        <v>37</v>
      </c>
    </row>
    <row r="1738" spans="1:14" s="32" customFormat="1" hidden="1" x14ac:dyDescent="0.3">
      <c r="A1738" s="39">
        <v>46181.470775462964</v>
      </c>
      <c r="B1738" s="32">
        <v>1155013761</v>
      </c>
      <c r="C1738" s="32">
        <v>4431268225</v>
      </c>
      <c r="D1738" s="32">
        <v>4431268225</v>
      </c>
      <c r="E1738" s="32">
        <v>4</v>
      </c>
      <c r="F1738" s="32">
        <v>4</v>
      </c>
      <c r="G1738" s="32" t="s">
        <v>52</v>
      </c>
      <c r="H1738" s="32" t="s">
        <v>7155</v>
      </c>
      <c r="I1738" s="32" t="s">
        <v>39</v>
      </c>
      <c r="J1738" s="32" t="s">
        <v>53</v>
      </c>
    </row>
    <row r="1739" spans="1:14" s="32" customFormat="1" hidden="1" x14ac:dyDescent="0.3">
      <c r="A1739" s="39">
        <v>46181.467766203707</v>
      </c>
      <c r="B1739" s="32">
        <v>1131043888</v>
      </c>
      <c r="C1739" s="32" t="s">
        <v>43</v>
      </c>
      <c r="D1739" s="32">
        <v>4430265054</v>
      </c>
      <c r="E1739" s="32">
        <v>389</v>
      </c>
      <c r="F1739" s="32">
        <v>235</v>
      </c>
      <c r="G1739" s="32" t="s">
        <v>38</v>
      </c>
      <c r="H1739" s="32" t="s">
        <v>7156</v>
      </c>
      <c r="I1739" s="32" t="s">
        <v>39</v>
      </c>
      <c r="J1739" s="32" t="s">
        <v>40</v>
      </c>
      <c r="K1739" s="32" t="s">
        <v>41</v>
      </c>
      <c r="M1739" s="32" t="s">
        <v>5418</v>
      </c>
      <c r="N1739" s="32" t="s">
        <v>43</v>
      </c>
    </row>
    <row r="1740" spans="1:14" s="32" customFormat="1" hidden="1" x14ac:dyDescent="0.3">
      <c r="A1740" s="39">
        <v>46181.466967592591</v>
      </c>
      <c r="B1740" s="32">
        <v>4432206400</v>
      </c>
      <c r="C1740" s="32" t="s">
        <v>43</v>
      </c>
      <c r="D1740" s="32">
        <v>4430265054</v>
      </c>
      <c r="E1740" s="32">
        <v>168</v>
      </c>
      <c r="F1740" s="32">
        <v>150</v>
      </c>
      <c r="G1740" s="32" t="s">
        <v>38</v>
      </c>
      <c r="H1740" s="32" t="s">
        <v>7157</v>
      </c>
      <c r="I1740" s="32" t="s">
        <v>39</v>
      </c>
      <c r="J1740" s="32" t="s">
        <v>40</v>
      </c>
      <c r="K1740" s="32" t="s">
        <v>41</v>
      </c>
      <c r="M1740" s="32" t="s">
        <v>5418</v>
      </c>
      <c r="N1740" s="32" t="s">
        <v>43</v>
      </c>
    </row>
    <row r="1741" spans="1:14" s="32" customFormat="1" hidden="1" x14ac:dyDescent="0.3">
      <c r="A1741" s="39">
        <v>46181.465486111112</v>
      </c>
      <c r="B1741" s="32">
        <v>11966416756</v>
      </c>
      <c r="C1741" s="32" t="s">
        <v>44</v>
      </c>
      <c r="D1741" s="32">
        <v>4431268225</v>
      </c>
      <c r="E1741" s="32">
        <v>1358</v>
      </c>
      <c r="F1741" s="32">
        <v>1307</v>
      </c>
      <c r="G1741" s="32" t="s">
        <v>38</v>
      </c>
      <c r="H1741" s="32" t="s">
        <v>7158</v>
      </c>
      <c r="I1741" s="32" t="s">
        <v>39</v>
      </c>
      <c r="J1741" s="32" t="s">
        <v>40</v>
      </c>
      <c r="K1741" s="32" t="s">
        <v>41</v>
      </c>
      <c r="L1741" s="32">
        <v>5</v>
      </c>
      <c r="M1741" s="32" t="s">
        <v>5416</v>
      </c>
      <c r="N1741" s="32" t="s">
        <v>44</v>
      </c>
    </row>
    <row r="1742" spans="1:14" s="32" customFormat="1" hidden="1" x14ac:dyDescent="0.3">
      <c r="A1742" s="39">
        <v>46181.465358796297</v>
      </c>
      <c r="B1742" s="32" t="s">
        <v>56</v>
      </c>
      <c r="E1742" s="32">
        <v>457</v>
      </c>
      <c r="F1742" s="32">
        <v>455</v>
      </c>
      <c r="G1742" s="32" t="s">
        <v>38</v>
      </c>
      <c r="H1742" s="32" t="s">
        <v>7159</v>
      </c>
      <c r="I1742" s="32" t="s">
        <v>46</v>
      </c>
      <c r="J1742" s="32" t="s">
        <v>53</v>
      </c>
      <c r="M1742" s="32" t="s">
        <v>5440</v>
      </c>
      <c r="N1742" s="32" t="s">
        <v>56</v>
      </c>
    </row>
    <row r="1743" spans="1:14" s="32" customFormat="1" hidden="1" x14ac:dyDescent="0.3">
      <c r="A1743" s="39">
        <v>46181.461597222224</v>
      </c>
      <c r="B1743" s="32">
        <v>44997426611</v>
      </c>
      <c r="C1743" s="32" t="s">
        <v>43</v>
      </c>
      <c r="D1743" s="32">
        <v>4430265054</v>
      </c>
      <c r="E1743" s="32">
        <v>266</v>
      </c>
      <c r="F1743" s="32">
        <v>225</v>
      </c>
      <c r="G1743" s="32" t="s">
        <v>38</v>
      </c>
      <c r="H1743" s="32" t="s">
        <v>7160</v>
      </c>
      <c r="I1743" s="32" t="s">
        <v>39</v>
      </c>
      <c r="J1743" s="32" t="s">
        <v>40</v>
      </c>
      <c r="K1743" s="32" t="s">
        <v>41</v>
      </c>
      <c r="M1743" s="32" t="s">
        <v>5418</v>
      </c>
      <c r="N1743" s="32" t="s">
        <v>43</v>
      </c>
    </row>
    <row r="1744" spans="1:14" s="32" customFormat="1" hidden="1" x14ac:dyDescent="0.3">
      <c r="A1744" s="39">
        <v>46181.460844907408</v>
      </c>
      <c r="B1744" s="32" t="s">
        <v>37</v>
      </c>
      <c r="C1744" s="32">
        <v>4330332823</v>
      </c>
      <c r="E1744" s="32">
        <v>1929</v>
      </c>
      <c r="F1744" s="32">
        <v>1919</v>
      </c>
      <c r="G1744" s="32" t="s">
        <v>38</v>
      </c>
      <c r="H1744" s="32" t="s">
        <v>7161</v>
      </c>
      <c r="I1744" s="32" t="s">
        <v>46</v>
      </c>
      <c r="J1744" s="32" t="s">
        <v>40</v>
      </c>
      <c r="L1744" s="32">
        <v>5</v>
      </c>
      <c r="M1744" s="32" t="s">
        <v>5410</v>
      </c>
      <c r="N1744" s="32" t="s">
        <v>37</v>
      </c>
    </row>
    <row r="1745" spans="1:14" s="32" customFormat="1" hidden="1" x14ac:dyDescent="0.3">
      <c r="A1745" s="39">
        <v>46181.458275462966</v>
      </c>
      <c r="B1745" s="32">
        <v>4436312588</v>
      </c>
      <c r="C1745" s="32" t="s">
        <v>44</v>
      </c>
      <c r="D1745" s="32">
        <v>4430265054</v>
      </c>
      <c r="E1745" s="32">
        <v>175</v>
      </c>
      <c r="F1745" s="32">
        <v>83</v>
      </c>
      <c r="G1745" s="32" t="s">
        <v>38</v>
      </c>
      <c r="H1745" s="32" t="s">
        <v>7162</v>
      </c>
      <c r="I1745" s="32" t="s">
        <v>39</v>
      </c>
      <c r="J1745" s="32" t="s">
        <v>40</v>
      </c>
      <c r="K1745" s="32" t="s">
        <v>41</v>
      </c>
      <c r="M1745" s="32" t="s">
        <v>5416</v>
      </c>
      <c r="N1745" s="32" t="s">
        <v>44</v>
      </c>
    </row>
    <row r="1746" spans="1:14" s="32" customFormat="1" hidden="1" x14ac:dyDescent="0.3">
      <c r="A1746" s="39">
        <v>46181.45548611111</v>
      </c>
      <c r="B1746" s="32">
        <v>1131043888</v>
      </c>
      <c r="C1746" s="32" t="s">
        <v>45</v>
      </c>
      <c r="D1746" s="32">
        <v>4430265054</v>
      </c>
      <c r="E1746" s="32">
        <v>2960</v>
      </c>
      <c r="F1746" s="32">
        <v>2807</v>
      </c>
      <c r="G1746" s="32" t="s">
        <v>38</v>
      </c>
      <c r="H1746" s="32" t="s">
        <v>7163</v>
      </c>
      <c r="I1746" s="32" t="s">
        <v>39</v>
      </c>
      <c r="J1746" s="32" t="s">
        <v>40</v>
      </c>
      <c r="K1746" s="32" t="s">
        <v>41</v>
      </c>
      <c r="L1746" s="32">
        <v>5</v>
      </c>
      <c r="M1746" s="32" t="s">
        <v>5421</v>
      </c>
      <c r="N1746" s="32" t="s">
        <v>45</v>
      </c>
    </row>
    <row r="1747" spans="1:14" s="32" customFormat="1" hidden="1" x14ac:dyDescent="0.3">
      <c r="A1747" s="39">
        <v>46181.454583333332</v>
      </c>
      <c r="B1747" s="32">
        <v>1131043888</v>
      </c>
      <c r="C1747" s="32">
        <v>4430265054</v>
      </c>
      <c r="D1747" s="32">
        <v>4430265054</v>
      </c>
      <c r="E1747" s="32">
        <v>61</v>
      </c>
      <c r="F1747" s="32">
        <v>60</v>
      </c>
      <c r="G1747" s="32" t="s">
        <v>52</v>
      </c>
      <c r="H1747" s="32" t="s">
        <v>7164</v>
      </c>
      <c r="I1747" s="32" t="s">
        <v>39</v>
      </c>
      <c r="J1747" s="32" t="s">
        <v>53</v>
      </c>
      <c r="K1747" s="32" t="s">
        <v>41</v>
      </c>
    </row>
    <row r="1748" spans="1:14" s="32" customFormat="1" hidden="1" x14ac:dyDescent="0.3">
      <c r="A1748" s="39">
        <v>46181.452199074076</v>
      </c>
      <c r="B1748" s="32">
        <v>4430288517</v>
      </c>
      <c r="C1748" s="32">
        <v>4430265054</v>
      </c>
      <c r="D1748" s="32">
        <v>4430265054</v>
      </c>
      <c r="E1748" s="32">
        <v>10</v>
      </c>
      <c r="F1748" s="32">
        <v>10</v>
      </c>
      <c r="G1748" s="32" t="s">
        <v>52</v>
      </c>
      <c r="H1748" s="32" t="s">
        <v>7165</v>
      </c>
      <c r="I1748" s="32" t="s">
        <v>39</v>
      </c>
      <c r="J1748" s="32" t="s">
        <v>53</v>
      </c>
    </row>
    <row r="1749" spans="1:14" s="32" customFormat="1" hidden="1" x14ac:dyDescent="0.3">
      <c r="A1749" s="39">
        <v>46181.449062500003</v>
      </c>
      <c r="B1749" s="32">
        <v>4331724400</v>
      </c>
      <c r="C1749" s="32" t="s">
        <v>44</v>
      </c>
      <c r="D1749" s="32">
        <v>4430265054</v>
      </c>
      <c r="E1749" s="32">
        <v>222</v>
      </c>
      <c r="F1749" s="32">
        <v>148</v>
      </c>
      <c r="G1749" s="32" t="s">
        <v>38</v>
      </c>
      <c r="H1749" s="32" t="s">
        <v>7166</v>
      </c>
      <c r="I1749" s="32" t="s">
        <v>39</v>
      </c>
      <c r="J1749" s="32" t="s">
        <v>40</v>
      </c>
      <c r="K1749" s="32" t="s">
        <v>41</v>
      </c>
      <c r="M1749" s="32" t="s">
        <v>5416</v>
      </c>
      <c r="N1749" s="32" t="s">
        <v>44</v>
      </c>
    </row>
    <row r="1750" spans="1:14" s="32" customFormat="1" hidden="1" x14ac:dyDescent="0.3">
      <c r="A1750" s="39">
        <v>46181.438726851855</v>
      </c>
      <c r="B1750" s="32">
        <v>41999853283</v>
      </c>
      <c r="C1750" s="32" t="s">
        <v>45</v>
      </c>
      <c r="D1750" s="32">
        <v>4430265054</v>
      </c>
      <c r="E1750" s="32">
        <v>1314</v>
      </c>
      <c r="F1750" s="32">
        <v>1250</v>
      </c>
      <c r="G1750" s="32" t="s">
        <v>38</v>
      </c>
      <c r="H1750" s="32" t="s">
        <v>7167</v>
      </c>
      <c r="I1750" s="32" t="s">
        <v>39</v>
      </c>
      <c r="J1750" s="32" t="s">
        <v>40</v>
      </c>
      <c r="K1750" s="32" t="s">
        <v>41</v>
      </c>
      <c r="L1750" s="32">
        <v>5</v>
      </c>
      <c r="M1750" s="32" t="s">
        <v>5421</v>
      </c>
      <c r="N1750" s="32" t="s">
        <v>45</v>
      </c>
    </row>
    <row r="1751" spans="1:14" s="32" customFormat="1" hidden="1" x14ac:dyDescent="0.3">
      <c r="A1751" s="39">
        <v>46181.429224537038</v>
      </c>
      <c r="B1751" s="32">
        <v>1002</v>
      </c>
      <c r="C1751" s="32">
        <v>4330332823</v>
      </c>
      <c r="E1751" s="32">
        <v>2714</v>
      </c>
      <c r="F1751" s="32">
        <v>2705</v>
      </c>
      <c r="G1751" s="32" t="s">
        <v>38</v>
      </c>
      <c r="H1751" s="32" t="s">
        <v>7168</v>
      </c>
      <c r="I1751" s="32" t="s">
        <v>46</v>
      </c>
      <c r="J1751" s="32" t="s">
        <v>40</v>
      </c>
    </row>
    <row r="1752" spans="1:14" s="32" customFormat="1" hidden="1" x14ac:dyDescent="0.3">
      <c r="A1752" s="39">
        <v>46181.419282407405</v>
      </c>
      <c r="B1752" s="32">
        <v>4334728840</v>
      </c>
      <c r="C1752" s="32" t="s">
        <v>43</v>
      </c>
      <c r="D1752" s="32">
        <v>4430265054</v>
      </c>
      <c r="E1752" s="32">
        <v>648</v>
      </c>
      <c r="F1752" s="32">
        <v>579</v>
      </c>
      <c r="G1752" s="32" t="s">
        <v>38</v>
      </c>
      <c r="H1752" s="32" t="s">
        <v>7169</v>
      </c>
      <c r="I1752" s="32" t="s">
        <v>39</v>
      </c>
      <c r="J1752" s="32" t="s">
        <v>40</v>
      </c>
      <c r="K1752" s="32" t="s">
        <v>41</v>
      </c>
      <c r="M1752" s="32" t="s">
        <v>5418</v>
      </c>
      <c r="N1752" s="32" t="s">
        <v>43</v>
      </c>
    </row>
    <row r="1753" spans="1:14" s="32" customFormat="1" hidden="1" x14ac:dyDescent="0.3">
      <c r="A1753" s="39">
        <v>46181.418379629627</v>
      </c>
      <c r="B1753" s="32">
        <v>4432256983</v>
      </c>
      <c r="C1753" s="32" t="s">
        <v>45</v>
      </c>
      <c r="D1753" s="32">
        <v>4430265054</v>
      </c>
      <c r="E1753" s="32">
        <v>929</v>
      </c>
      <c r="F1753" s="32">
        <v>811</v>
      </c>
      <c r="G1753" s="32" t="s">
        <v>38</v>
      </c>
      <c r="H1753" s="32" t="s">
        <v>7170</v>
      </c>
      <c r="I1753" s="32" t="s">
        <v>39</v>
      </c>
      <c r="J1753" s="32" t="s">
        <v>40</v>
      </c>
      <c r="K1753" s="32" t="s">
        <v>41</v>
      </c>
      <c r="L1753" s="32">
        <v>5</v>
      </c>
      <c r="M1753" s="32" t="s">
        <v>5421</v>
      </c>
      <c r="N1753" s="32" t="s">
        <v>45</v>
      </c>
    </row>
    <row r="1754" spans="1:14" s="32" customFormat="1" hidden="1" x14ac:dyDescent="0.3">
      <c r="A1754" s="39">
        <v>46181.411736111113</v>
      </c>
      <c r="B1754" s="32">
        <v>2222100098</v>
      </c>
      <c r="C1754" s="32" t="s">
        <v>43</v>
      </c>
      <c r="D1754" s="32">
        <v>4430265054</v>
      </c>
      <c r="E1754" s="32">
        <v>223</v>
      </c>
      <c r="F1754" s="32">
        <v>83</v>
      </c>
      <c r="G1754" s="32" t="s">
        <v>38</v>
      </c>
      <c r="H1754" s="32" t="s">
        <v>7171</v>
      </c>
      <c r="I1754" s="32" t="s">
        <v>39</v>
      </c>
      <c r="J1754" s="32" t="s">
        <v>40</v>
      </c>
      <c r="K1754" s="32" t="s">
        <v>41</v>
      </c>
      <c r="M1754" s="32" t="s">
        <v>5418</v>
      </c>
      <c r="N1754" s="32" t="s">
        <v>43</v>
      </c>
    </row>
    <row r="1755" spans="1:14" s="32" customFormat="1" hidden="1" x14ac:dyDescent="0.3">
      <c r="A1755" s="39">
        <v>46181.402951388889</v>
      </c>
      <c r="B1755" s="32">
        <v>14997225372</v>
      </c>
      <c r="C1755" s="32" t="s">
        <v>45</v>
      </c>
      <c r="D1755" s="32">
        <v>4430265054</v>
      </c>
      <c r="E1755" s="32">
        <v>1118</v>
      </c>
      <c r="F1755" s="32">
        <v>1095</v>
      </c>
      <c r="G1755" s="32" t="s">
        <v>38</v>
      </c>
      <c r="H1755" s="32" t="s">
        <v>7172</v>
      </c>
      <c r="I1755" s="32" t="s">
        <v>39</v>
      </c>
      <c r="J1755" s="32" t="s">
        <v>40</v>
      </c>
      <c r="K1755" s="32" t="s">
        <v>41</v>
      </c>
      <c r="M1755" s="32" t="s">
        <v>5421</v>
      </c>
      <c r="N1755" s="32" t="s">
        <v>45</v>
      </c>
    </row>
    <row r="1756" spans="1:14" s="32" customFormat="1" hidden="1" x14ac:dyDescent="0.3">
      <c r="A1756" s="39">
        <v>46181.399340277778</v>
      </c>
      <c r="B1756" s="32">
        <v>4430456242</v>
      </c>
      <c r="C1756" s="32" t="s">
        <v>48</v>
      </c>
      <c r="D1756" s="32">
        <v>4430265054</v>
      </c>
      <c r="E1756" s="32">
        <v>297</v>
      </c>
      <c r="F1756" s="32">
        <v>175</v>
      </c>
      <c r="G1756" s="32" t="s">
        <v>38</v>
      </c>
      <c r="H1756" s="32" t="s">
        <v>7173</v>
      </c>
      <c r="I1756" s="32" t="s">
        <v>39</v>
      </c>
      <c r="J1756" s="32" t="s">
        <v>40</v>
      </c>
      <c r="K1756" s="32" t="s">
        <v>41</v>
      </c>
      <c r="M1756" s="32" t="s">
        <v>5412</v>
      </c>
      <c r="N1756" s="32" t="s">
        <v>48</v>
      </c>
    </row>
    <row r="1757" spans="1:14" s="32" customFormat="1" hidden="1" x14ac:dyDescent="0.3">
      <c r="A1757" s="39">
        <v>46181.399131944447</v>
      </c>
      <c r="B1757" s="32">
        <v>44998620323</v>
      </c>
      <c r="C1757" s="32" t="s">
        <v>37</v>
      </c>
      <c r="D1757" s="32">
        <v>4430265054</v>
      </c>
      <c r="E1757" s="32">
        <v>1986</v>
      </c>
      <c r="F1757" s="32">
        <v>1818</v>
      </c>
      <c r="G1757" s="32" t="s">
        <v>38</v>
      </c>
      <c r="H1757" s="32" t="s">
        <v>7174</v>
      </c>
      <c r="I1757" s="32" t="s">
        <v>39</v>
      </c>
      <c r="J1757" s="32" t="s">
        <v>40</v>
      </c>
      <c r="K1757" s="32" t="s">
        <v>41</v>
      </c>
      <c r="M1757" s="32" t="s">
        <v>5410</v>
      </c>
      <c r="N1757" s="32" t="s">
        <v>37</v>
      </c>
    </row>
    <row r="1758" spans="1:14" s="32" customFormat="1" hidden="1" x14ac:dyDescent="0.3">
      <c r="A1758" s="39">
        <v>46181.398078703707</v>
      </c>
      <c r="B1758" s="32">
        <v>44997311122</v>
      </c>
      <c r="C1758" s="32" t="s">
        <v>43</v>
      </c>
      <c r="D1758" s="32">
        <v>4430265054</v>
      </c>
      <c r="E1758" s="32">
        <v>247</v>
      </c>
      <c r="F1758" s="32">
        <v>212</v>
      </c>
      <c r="G1758" s="32" t="s">
        <v>38</v>
      </c>
      <c r="H1758" s="32" t="s">
        <v>7175</v>
      </c>
      <c r="I1758" s="32" t="s">
        <v>39</v>
      </c>
      <c r="J1758" s="32" t="s">
        <v>40</v>
      </c>
      <c r="K1758" s="32" t="s">
        <v>41</v>
      </c>
      <c r="M1758" s="32" t="s">
        <v>5418</v>
      </c>
      <c r="N1758" s="32" t="s">
        <v>43</v>
      </c>
    </row>
    <row r="1759" spans="1:14" s="32" customFormat="1" hidden="1" x14ac:dyDescent="0.3">
      <c r="A1759" s="39">
        <v>46181.396018518521</v>
      </c>
      <c r="B1759" s="32">
        <v>99984024914</v>
      </c>
      <c r="C1759" s="32" t="s">
        <v>44</v>
      </c>
      <c r="D1759" s="32">
        <v>4430265054</v>
      </c>
      <c r="E1759" s="32">
        <v>466</v>
      </c>
      <c r="F1759" s="32">
        <v>398</v>
      </c>
      <c r="G1759" s="32" t="s">
        <v>38</v>
      </c>
      <c r="H1759" s="32" t="s">
        <v>7176</v>
      </c>
      <c r="I1759" s="32" t="s">
        <v>39</v>
      </c>
      <c r="J1759" s="32" t="s">
        <v>40</v>
      </c>
      <c r="K1759" s="32" t="s">
        <v>41</v>
      </c>
      <c r="M1759" s="32" t="s">
        <v>5416</v>
      </c>
      <c r="N1759" s="32" t="s">
        <v>44</v>
      </c>
    </row>
    <row r="1760" spans="1:14" s="32" customFormat="1" hidden="1" x14ac:dyDescent="0.3">
      <c r="A1760" s="39">
        <v>46181.395358796297</v>
      </c>
      <c r="B1760" s="32">
        <v>4334226481</v>
      </c>
      <c r="C1760" s="32" t="s">
        <v>45</v>
      </c>
      <c r="D1760" s="32">
        <v>4430265054</v>
      </c>
      <c r="E1760" s="32">
        <v>504</v>
      </c>
      <c r="F1760" s="32">
        <v>409</v>
      </c>
      <c r="G1760" s="32" t="s">
        <v>38</v>
      </c>
      <c r="H1760" s="32" t="s">
        <v>7177</v>
      </c>
      <c r="I1760" s="32" t="s">
        <v>39</v>
      </c>
      <c r="J1760" s="32" t="s">
        <v>40</v>
      </c>
      <c r="K1760" s="32" t="s">
        <v>41</v>
      </c>
      <c r="M1760" s="32" t="s">
        <v>5421</v>
      </c>
      <c r="N1760" s="32" t="s">
        <v>45</v>
      </c>
    </row>
    <row r="1761" spans="1:14" s="32" customFormat="1" hidden="1" x14ac:dyDescent="0.3">
      <c r="A1761" s="39">
        <v>46181.395092592589</v>
      </c>
      <c r="B1761" s="32">
        <v>4430457886</v>
      </c>
      <c r="C1761" s="32">
        <v>4430265054</v>
      </c>
      <c r="D1761" s="32">
        <v>4430265054</v>
      </c>
      <c r="E1761" s="32">
        <v>53</v>
      </c>
      <c r="F1761" s="32">
        <v>52</v>
      </c>
      <c r="G1761" s="32" t="s">
        <v>52</v>
      </c>
      <c r="H1761" s="32" t="s">
        <v>7178</v>
      </c>
      <c r="I1761" s="32" t="s">
        <v>39</v>
      </c>
      <c r="J1761" s="32" t="s">
        <v>53</v>
      </c>
      <c r="K1761" s="32" t="s">
        <v>41</v>
      </c>
    </row>
    <row r="1762" spans="1:14" s="32" customFormat="1" hidden="1" x14ac:dyDescent="0.3">
      <c r="A1762" s="39">
        <v>46181.392766203702</v>
      </c>
      <c r="B1762" s="32" t="s">
        <v>54</v>
      </c>
      <c r="C1762" s="32">
        <v>32988714583</v>
      </c>
      <c r="E1762" s="32">
        <v>19</v>
      </c>
      <c r="F1762" s="32">
        <v>0</v>
      </c>
      <c r="G1762" s="32" t="s">
        <v>47</v>
      </c>
      <c r="H1762" s="32" t="s">
        <v>7179</v>
      </c>
      <c r="I1762" s="32" t="s">
        <v>46</v>
      </c>
      <c r="J1762" s="32" t="s">
        <v>55</v>
      </c>
      <c r="M1762" s="32" t="s">
        <v>5537</v>
      </c>
      <c r="N1762" s="32" t="s">
        <v>54</v>
      </c>
    </row>
    <row r="1763" spans="1:14" s="32" customFormat="1" x14ac:dyDescent="0.3">
      <c r="A1763" s="39">
        <v>46181.39135416667</v>
      </c>
      <c r="B1763" s="32" t="s">
        <v>44</v>
      </c>
      <c r="C1763" s="32">
        <v>43984040334</v>
      </c>
      <c r="E1763" s="32">
        <v>112</v>
      </c>
      <c r="F1763" s="32">
        <v>105</v>
      </c>
      <c r="G1763" s="32" t="s">
        <v>38</v>
      </c>
      <c r="H1763" s="32" t="s">
        <v>7180</v>
      </c>
      <c r="I1763" s="32" t="s">
        <v>46</v>
      </c>
      <c r="J1763" s="32" t="s">
        <v>40</v>
      </c>
      <c r="M1763" s="32" t="s">
        <v>5416</v>
      </c>
      <c r="N1763" s="32" t="s">
        <v>44</v>
      </c>
    </row>
    <row r="1764" spans="1:14" s="32" customFormat="1" hidden="1" x14ac:dyDescent="0.3">
      <c r="A1764" s="39">
        <v>46181.390370370369</v>
      </c>
      <c r="B1764" s="32" t="s">
        <v>54</v>
      </c>
      <c r="C1764" s="32">
        <v>31996901701</v>
      </c>
      <c r="E1764" s="32">
        <v>11</v>
      </c>
      <c r="F1764" s="32">
        <v>0</v>
      </c>
      <c r="G1764" s="32" t="s">
        <v>47</v>
      </c>
      <c r="H1764" s="32" t="s">
        <v>7181</v>
      </c>
      <c r="I1764" s="32" t="s">
        <v>46</v>
      </c>
      <c r="J1764" s="32" t="s">
        <v>55</v>
      </c>
      <c r="M1764" s="32" t="s">
        <v>5537</v>
      </c>
      <c r="N1764" s="32" t="s">
        <v>54</v>
      </c>
    </row>
    <row r="1765" spans="1:14" s="32" customFormat="1" x14ac:dyDescent="0.3">
      <c r="A1765" s="39">
        <v>46181.390196759261</v>
      </c>
      <c r="B1765" s="32" t="s">
        <v>44</v>
      </c>
      <c r="C1765" s="32">
        <v>43984040334</v>
      </c>
      <c r="E1765" s="32">
        <v>34</v>
      </c>
      <c r="F1765" s="32">
        <v>0</v>
      </c>
      <c r="G1765" s="32" t="s">
        <v>47</v>
      </c>
      <c r="H1765" s="32" t="s">
        <v>7182</v>
      </c>
      <c r="I1765" s="32" t="s">
        <v>46</v>
      </c>
      <c r="J1765" s="32" t="s">
        <v>40</v>
      </c>
      <c r="M1765" s="32" t="s">
        <v>5416</v>
      </c>
      <c r="N1765" s="32" t="s">
        <v>44</v>
      </c>
    </row>
    <row r="1766" spans="1:14" s="32" customFormat="1" hidden="1" x14ac:dyDescent="0.3">
      <c r="A1766" s="39">
        <v>46181.387604166666</v>
      </c>
      <c r="B1766" s="32">
        <v>43984040334</v>
      </c>
      <c r="C1766" s="32" t="s">
        <v>44</v>
      </c>
      <c r="D1766" s="32">
        <v>4430265054</v>
      </c>
      <c r="E1766" s="32">
        <v>203</v>
      </c>
      <c r="F1766" s="32">
        <v>63</v>
      </c>
      <c r="G1766" s="32" t="s">
        <v>38</v>
      </c>
      <c r="H1766" s="32" t="s">
        <v>7183</v>
      </c>
      <c r="I1766" s="32" t="s">
        <v>39</v>
      </c>
      <c r="J1766" s="32" t="s">
        <v>40</v>
      </c>
      <c r="K1766" s="32" t="s">
        <v>41</v>
      </c>
      <c r="M1766" s="32" t="s">
        <v>5416</v>
      </c>
      <c r="N1766" s="32" t="s">
        <v>44</v>
      </c>
    </row>
    <row r="1767" spans="1:14" s="32" customFormat="1" hidden="1" x14ac:dyDescent="0.3">
      <c r="A1767" s="39">
        <v>46181.387488425928</v>
      </c>
      <c r="B1767" s="32">
        <v>44991177471</v>
      </c>
      <c r="C1767" s="32" t="s">
        <v>43</v>
      </c>
      <c r="D1767" s="32">
        <v>4430265054</v>
      </c>
      <c r="E1767" s="32">
        <v>190</v>
      </c>
      <c r="F1767" s="32">
        <v>89</v>
      </c>
      <c r="G1767" s="32" t="s">
        <v>38</v>
      </c>
      <c r="H1767" s="32" t="s">
        <v>7184</v>
      </c>
      <c r="I1767" s="32" t="s">
        <v>39</v>
      </c>
      <c r="J1767" s="32" t="s">
        <v>40</v>
      </c>
      <c r="K1767" s="32" t="s">
        <v>41</v>
      </c>
      <c r="M1767" s="32" t="s">
        <v>5418</v>
      </c>
      <c r="N1767" s="32" t="s">
        <v>43</v>
      </c>
    </row>
    <row r="1768" spans="1:14" s="32" customFormat="1" hidden="1" x14ac:dyDescent="0.3">
      <c r="A1768" s="39">
        <v>46181.386655092596</v>
      </c>
      <c r="B1768" s="32">
        <v>1128897100</v>
      </c>
      <c r="C1768" s="32">
        <v>4430265054</v>
      </c>
      <c r="D1768" s="32">
        <v>4430265054</v>
      </c>
      <c r="E1768" s="32">
        <v>24</v>
      </c>
      <c r="F1768" s="32">
        <v>23</v>
      </c>
      <c r="G1768" s="32" t="s">
        <v>52</v>
      </c>
      <c r="H1768" s="32" t="s">
        <v>7185</v>
      </c>
      <c r="I1768" s="32" t="s">
        <v>39</v>
      </c>
      <c r="J1768" s="32" t="s">
        <v>53</v>
      </c>
    </row>
    <row r="1769" spans="1:14" s="32" customFormat="1" hidden="1" x14ac:dyDescent="0.3">
      <c r="A1769" s="39">
        <v>46181.386400462965</v>
      </c>
      <c r="B1769" s="32" t="s">
        <v>54</v>
      </c>
      <c r="C1769" s="32">
        <v>1136702200</v>
      </c>
      <c r="E1769" s="32">
        <v>21</v>
      </c>
      <c r="F1769" s="32">
        <v>19</v>
      </c>
      <c r="G1769" s="32" t="s">
        <v>38</v>
      </c>
      <c r="H1769" s="32" t="s">
        <v>7186</v>
      </c>
      <c r="I1769" s="32" t="s">
        <v>46</v>
      </c>
      <c r="J1769" s="32" t="s">
        <v>55</v>
      </c>
      <c r="M1769" s="32" t="s">
        <v>5537</v>
      </c>
      <c r="N1769" s="32" t="s">
        <v>54</v>
      </c>
    </row>
    <row r="1770" spans="1:14" s="32" customFormat="1" hidden="1" x14ac:dyDescent="0.3">
      <c r="A1770" s="39">
        <v>46181.385729166665</v>
      </c>
      <c r="B1770" s="32" t="s">
        <v>54</v>
      </c>
      <c r="C1770" s="32">
        <v>61999296404</v>
      </c>
      <c r="E1770" s="32">
        <v>24</v>
      </c>
      <c r="F1770" s="32">
        <v>0</v>
      </c>
      <c r="G1770" s="32" t="s">
        <v>47</v>
      </c>
      <c r="H1770" s="32" t="s">
        <v>7187</v>
      </c>
      <c r="I1770" s="32" t="s">
        <v>46</v>
      </c>
      <c r="J1770" s="32" t="s">
        <v>55</v>
      </c>
      <c r="M1770" s="32" t="s">
        <v>5537</v>
      </c>
      <c r="N1770" s="32" t="s">
        <v>54</v>
      </c>
    </row>
    <row r="1771" spans="1:14" s="32" customFormat="1" hidden="1" x14ac:dyDescent="0.3">
      <c r="A1771" s="39">
        <v>46181.385069444441</v>
      </c>
      <c r="B1771" s="32" t="s">
        <v>54</v>
      </c>
      <c r="C1771" s="32">
        <v>7332884714</v>
      </c>
      <c r="E1771" s="32">
        <v>42</v>
      </c>
      <c r="F1771" s="32">
        <v>0</v>
      </c>
      <c r="G1771" s="32" t="s">
        <v>47</v>
      </c>
      <c r="H1771" s="32" t="s">
        <v>7188</v>
      </c>
      <c r="I1771" s="32" t="s">
        <v>46</v>
      </c>
      <c r="J1771" s="32" t="s">
        <v>55</v>
      </c>
      <c r="M1771" s="32" t="s">
        <v>5537</v>
      </c>
      <c r="N1771" s="32" t="s">
        <v>54</v>
      </c>
    </row>
    <row r="1772" spans="1:14" s="32" customFormat="1" hidden="1" x14ac:dyDescent="0.3">
      <c r="A1772" s="39">
        <v>46181.384606481479</v>
      </c>
      <c r="B1772" s="32" t="s">
        <v>54</v>
      </c>
      <c r="C1772" s="32">
        <v>79999719160</v>
      </c>
      <c r="E1772" s="32">
        <v>5</v>
      </c>
      <c r="F1772" s="32">
        <v>2</v>
      </c>
      <c r="G1772" s="32" t="s">
        <v>38</v>
      </c>
      <c r="H1772" s="32" t="s">
        <v>7189</v>
      </c>
      <c r="I1772" s="32" t="s">
        <v>46</v>
      </c>
      <c r="J1772" s="32" t="s">
        <v>55</v>
      </c>
      <c r="M1772" s="32" t="s">
        <v>5537</v>
      </c>
      <c r="N1772" s="32" t="s">
        <v>54</v>
      </c>
    </row>
    <row r="1773" spans="1:14" s="32" customFormat="1" hidden="1" x14ac:dyDescent="0.3">
      <c r="A1773" s="39">
        <v>46181.383449074077</v>
      </c>
      <c r="B1773" s="32" t="s">
        <v>54</v>
      </c>
      <c r="C1773" s="32">
        <v>96991119457</v>
      </c>
      <c r="E1773" s="32">
        <v>3</v>
      </c>
      <c r="F1773" s="32">
        <v>0</v>
      </c>
      <c r="G1773" s="32" t="s">
        <v>47</v>
      </c>
      <c r="H1773" s="32" t="s">
        <v>7190</v>
      </c>
      <c r="I1773" s="32" t="s">
        <v>46</v>
      </c>
      <c r="J1773" s="32" t="s">
        <v>55</v>
      </c>
      <c r="M1773" s="32" t="s">
        <v>5537</v>
      </c>
      <c r="N1773" s="32" t="s">
        <v>54</v>
      </c>
    </row>
    <row r="1774" spans="1:14" s="32" customFormat="1" hidden="1" x14ac:dyDescent="0.3">
      <c r="A1774" s="39">
        <v>46181.381550925929</v>
      </c>
      <c r="B1774" s="32" t="s">
        <v>54</v>
      </c>
      <c r="C1774" s="32">
        <v>11989869456</v>
      </c>
      <c r="E1774" s="32">
        <v>17</v>
      </c>
      <c r="F1774" s="32">
        <v>0</v>
      </c>
      <c r="G1774" s="32" t="s">
        <v>47</v>
      </c>
      <c r="H1774" s="32" t="s">
        <v>7191</v>
      </c>
      <c r="I1774" s="32" t="s">
        <v>46</v>
      </c>
      <c r="J1774" s="32" t="s">
        <v>55</v>
      </c>
      <c r="M1774" s="32" t="s">
        <v>5537</v>
      </c>
      <c r="N1774" s="32" t="s">
        <v>54</v>
      </c>
    </row>
    <row r="1775" spans="1:14" s="32" customFormat="1" hidden="1" x14ac:dyDescent="0.3">
      <c r="A1775" s="39">
        <v>46181.380659722221</v>
      </c>
      <c r="B1775" s="32" t="s">
        <v>54</v>
      </c>
      <c r="C1775" s="32">
        <v>34997785140</v>
      </c>
      <c r="E1775" s="32">
        <v>22</v>
      </c>
      <c r="F1775" s="32">
        <v>0</v>
      </c>
      <c r="G1775" s="32" t="s">
        <v>47</v>
      </c>
      <c r="H1775" s="32" t="s">
        <v>7192</v>
      </c>
      <c r="I1775" s="32" t="s">
        <v>46</v>
      </c>
      <c r="J1775" s="32" t="s">
        <v>55</v>
      </c>
      <c r="M1775" s="32" t="s">
        <v>5537</v>
      </c>
      <c r="N1775" s="32" t="s">
        <v>54</v>
      </c>
    </row>
    <row r="1776" spans="1:14" s="32" customFormat="1" hidden="1" x14ac:dyDescent="0.3">
      <c r="A1776" s="39">
        <v>46181.379988425928</v>
      </c>
      <c r="B1776" s="32" t="s">
        <v>54</v>
      </c>
      <c r="C1776" s="32">
        <v>35991831065</v>
      </c>
      <c r="E1776" s="32">
        <v>14</v>
      </c>
      <c r="F1776" s="32">
        <v>4</v>
      </c>
      <c r="G1776" s="32" t="s">
        <v>38</v>
      </c>
      <c r="H1776" s="32" t="s">
        <v>7193</v>
      </c>
      <c r="I1776" s="32" t="s">
        <v>46</v>
      </c>
      <c r="J1776" s="32" t="s">
        <v>55</v>
      </c>
      <c r="M1776" s="32" t="s">
        <v>5537</v>
      </c>
      <c r="N1776" s="32" t="s">
        <v>54</v>
      </c>
    </row>
    <row r="1777" spans="1:14" s="32" customFormat="1" hidden="1" x14ac:dyDescent="0.3">
      <c r="A1777" s="39">
        <v>46181.379374999997</v>
      </c>
      <c r="B1777" s="32" t="s">
        <v>54</v>
      </c>
      <c r="C1777" s="32">
        <v>21975284473</v>
      </c>
      <c r="E1777" s="32">
        <v>3</v>
      </c>
      <c r="F1777" s="32">
        <v>0</v>
      </c>
      <c r="G1777" s="32" t="s">
        <v>47</v>
      </c>
      <c r="H1777" s="32" t="s">
        <v>7194</v>
      </c>
      <c r="I1777" s="32" t="s">
        <v>46</v>
      </c>
      <c r="J1777" s="32" t="s">
        <v>55</v>
      </c>
      <c r="M1777" s="32" t="s">
        <v>5537</v>
      </c>
      <c r="N1777" s="32" t="s">
        <v>54</v>
      </c>
    </row>
    <row r="1778" spans="1:14" s="32" customFormat="1" hidden="1" x14ac:dyDescent="0.3">
      <c r="A1778" s="39">
        <v>46181.374050925922</v>
      </c>
      <c r="B1778" s="32">
        <v>4330332823</v>
      </c>
      <c r="C1778" s="32" t="s">
        <v>37</v>
      </c>
      <c r="D1778" s="32">
        <v>4430265054</v>
      </c>
      <c r="E1778" s="32">
        <v>2114</v>
      </c>
      <c r="F1778" s="32">
        <v>2094</v>
      </c>
      <c r="G1778" s="32" t="s">
        <v>38</v>
      </c>
      <c r="H1778" s="32" t="s">
        <v>7195</v>
      </c>
      <c r="I1778" s="32" t="s">
        <v>39</v>
      </c>
      <c r="J1778" s="32" t="s">
        <v>40</v>
      </c>
      <c r="K1778" s="32" t="s">
        <v>41</v>
      </c>
      <c r="M1778" s="32" t="s">
        <v>5410</v>
      </c>
      <c r="N1778" s="32" t="s">
        <v>37</v>
      </c>
    </row>
    <row r="1779" spans="1:14" s="32" customFormat="1" hidden="1" x14ac:dyDescent="0.3">
      <c r="A1779" s="39">
        <v>46181.373472222222</v>
      </c>
      <c r="B1779" s="32">
        <v>1131043888</v>
      </c>
      <c r="C1779" s="32" t="s">
        <v>43</v>
      </c>
      <c r="D1779" s="32">
        <v>4430265054</v>
      </c>
      <c r="E1779" s="32">
        <v>359</v>
      </c>
      <c r="F1779" s="32">
        <v>317</v>
      </c>
      <c r="G1779" s="32" t="s">
        <v>38</v>
      </c>
      <c r="H1779" s="32" t="s">
        <v>7196</v>
      </c>
      <c r="I1779" s="32" t="s">
        <v>39</v>
      </c>
      <c r="J1779" s="32" t="s">
        <v>40</v>
      </c>
      <c r="K1779" s="32" t="s">
        <v>41</v>
      </c>
      <c r="M1779" s="32" t="s">
        <v>5418</v>
      </c>
      <c r="N1779" s="32" t="s">
        <v>43</v>
      </c>
    </row>
    <row r="1780" spans="1:14" s="32" customFormat="1" hidden="1" x14ac:dyDescent="0.3">
      <c r="A1780" s="39">
        <v>46181.369039351855</v>
      </c>
      <c r="B1780" s="32">
        <v>4436281154</v>
      </c>
      <c r="C1780" s="32" t="s">
        <v>45</v>
      </c>
      <c r="D1780" s="32">
        <v>4430265054</v>
      </c>
      <c r="E1780" s="32">
        <v>290</v>
      </c>
      <c r="F1780" s="32">
        <v>259</v>
      </c>
      <c r="G1780" s="32" t="s">
        <v>38</v>
      </c>
      <c r="H1780" s="32" t="s">
        <v>7197</v>
      </c>
      <c r="I1780" s="32" t="s">
        <v>39</v>
      </c>
      <c r="J1780" s="32" t="s">
        <v>40</v>
      </c>
      <c r="K1780" s="32" t="s">
        <v>41</v>
      </c>
      <c r="M1780" s="32" t="s">
        <v>5421</v>
      </c>
      <c r="N1780" s="32" t="s">
        <v>45</v>
      </c>
    </row>
    <row r="1781" spans="1:14" s="32" customFormat="1" hidden="1" x14ac:dyDescent="0.3">
      <c r="A1781" s="39">
        <v>46181.368819444448</v>
      </c>
      <c r="B1781" s="32">
        <v>4334234629</v>
      </c>
      <c r="C1781" s="32">
        <v>4430265054</v>
      </c>
      <c r="D1781" s="32">
        <v>4430265054</v>
      </c>
      <c r="E1781" s="32">
        <v>17</v>
      </c>
      <c r="F1781" s="32">
        <v>17</v>
      </c>
      <c r="G1781" s="32" t="s">
        <v>52</v>
      </c>
      <c r="H1781" s="32" t="s">
        <v>7198</v>
      </c>
      <c r="I1781" s="32" t="s">
        <v>39</v>
      </c>
      <c r="J1781" s="32" t="s">
        <v>53</v>
      </c>
      <c r="K1781" s="32" t="s">
        <v>41</v>
      </c>
    </row>
    <row r="1782" spans="1:14" s="32" customFormat="1" hidden="1" x14ac:dyDescent="0.3">
      <c r="A1782" s="39">
        <v>46181.367662037039</v>
      </c>
      <c r="B1782" s="32">
        <v>4334226481</v>
      </c>
      <c r="C1782" s="32">
        <v>4430265054</v>
      </c>
      <c r="D1782" s="32">
        <v>4430265054</v>
      </c>
      <c r="E1782" s="32">
        <v>4</v>
      </c>
      <c r="F1782" s="32">
        <v>3</v>
      </c>
      <c r="G1782" s="32" t="s">
        <v>52</v>
      </c>
      <c r="H1782" s="32" t="s">
        <v>7199</v>
      </c>
      <c r="I1782" s="32" t="s">
        <v>39</v>
      </c>
      <c r="J1782" s="32" t="s">
        <v>53</v>
      </c>
    </row>
    <row r="1783" spans="1:14" s="32" customFormat="1" hidden="1" x14ac:dyDescent="0.3">
      <c r="A1783" s="39">
        <v>46181.357476851852</v>
      </c>
      <c r="B1783" s="32">
        <v>44999748684</v>
      </c>
      <c r="C1783" s="32" t="s">
        <v>37</v>
      </c>
      <c r="D1783" s="32">
        <v>4430265054</v>
      </c>
      <c r="E1783" s="32">
        <v>306</v>
      </c>
      <c r="F1783" s="32">
        <v>250</v>
      </c>
      <c r="G1783" s="32" t="s">
        <v>38</v>
      </c>
      <c r="H1783" s="32" t="s">
        <v>7200</v>
      </c>
      <c r="I1783" s="32" t="s">
        <v>39</v>
      </c>
      <c r="J1783" s="32" t="s">
        <v>40</v>
      </c>
      <c r="K1783" s="32" t="s">
        <v>41</v>
      </c>
      <c r="M1783" s="32" t="s">
        <v>5410</v>
      </c>
      <c r="N1783" s="32" t="s">
        <v>37</v>
      </c>
    </row>
    <row r="1784" spans="1:14" s="32" customFormat="1" hidden="1" x14ac:dyDescent="0.3">
      <c r="A1784" s="39">
        <v>46181.357106481482</v>
      </c>
      <c r="B1784" s="32">
        <v>1438160351</v>
      </c>
      <c r="C1784" s="32">
        <v>4430265054</v>
      </c>
      <c r="D1784" s="32">
        <v>4430265054</v>
      </c>
      <c r="E1784" s="32">
        <v>9</v>
      </c>
      <c r="F1784" s="32">
        <v>9</v>
      </c>
      <c r="G1784" s="32" t="s">
        <v>52</v>
      </c>
      <c r="H1784" s="32" t="s">
        <v>7201</v>
      </c>
      <c r="I1784" s="32" t="s">
        <v>39</v>
      </c>
      <c r="J1784" s="32" t="s">
        <v>53</v>
      </c>
    </row>
    <row r="1785" spans="1:14" s="32" customFormat="1" hidden="1" x14ac:dyDescent="0.3">
      <c r="A1785" s="39">
        <v>46181.35628472222</v>
      </c>
      <c r="B1785" s="32">
        <v>44988067937</v>
      </c>
      <c r="C1785" s="32" t="s">
        <v>44</v>
      </c>
      <c r="D1785" s="32">
        <v>4430265054</v>
      </c>
      <c r="E1785" s="32">
        <v>599</v>
      </c>
      <c r="F1785" s="32">
        <v>556</v>
      </c>
      <c r="G1785" s="32" t="s">
        <v>38</v>
      </c>
      <c r="H1785" s="32" t="s">
        <v>7202</v>
      </c>
      <c r="I1785" s="32" t="s">
        <v>39</v>
      </c>
      <c r="J1785" s="32" t="s">
        <v>40</v>
      </c>
      <c r="K1785" s="32" t="s">
        <v>41</v>
      </c>
      <c r="L1785" s="32">
        <v>5</v>
      </c>
      <c r="M1785" s="32" t="s">
        <v>5416</v>
      </c>
      <c r="N1785" s="32" t="s">
        <v>44</v>
      </c>
    </row>
    <row r="1786" spans="1:14" s="32" customFormat="1" hidden="1" x14ac:dyDescent="0.3">
      <c r="A1786" s="39">
        <v>46181.344131944446</v>
      </c>
      <c r="B1786" s="32">
        <v>44991177471</v>
      </c>
      <c r="C1786" s="32">
        <v>4430265054</v>
      </c>
      <c r="D1786" s="32">
        <v>4430265054</v>
      </c>
      <c r="E1786" s="32">
        <v>12</v>
      </c>
      <c r="F1786" s="32">
        <v>12</v>
      </c>
      <c r="G1786" s="32" t="s">
        <v>52</v>
      </c>
      <c r="H1786" s="32" t="s">
        <v>7203</v>
      </c>
      <c r="I1786" s="32" t="s">
        <v>39</v>
      </c>
      <c r="J1786" s="32" t="s">
        <v>53</v>
      </c>
    </row>
    <row r="1787" spans="1:14" s="32" customFormat="1" hidden="1" x14ac:dyDescent="0.3">
      <c r="A1787" s="39">
        <v>46181.343958333331</v>
      </c>
      <c r="B1787" s="32">
        <v>44991177471</v>
      </c>
      <c r="C1787" s="32">
        <v>4430265054</v>
      </c>
      <c r="D1787" s="32">
        <v>4430265054</v>
      </c>
      <c r="E1787" s="32">
        <v>2</v>
      </c>
      <c r="F1787" s="32">
        <v>1</v>
      </c>
      <c r="G1787" s="32" t="s">
        <v>52</v>
      </c>
      <c r="H1787" s="32" t="s">
        <v>7204</v>
      </c>
      <c r="I1787" s="32" t="s">
        <v>39</v>
      </c>
      <c r="J1787" s="32" t="s">
        <v>53</v>
      </c>
    </row>
    <row r="1788" spans="1:14" s="32" customFormat="1" hidden="1" x14ac:dyDescent="0.3">
      <c r="A1788" s="39">
        <v>46179.345150462963</v>
      </c>
      <c r="B1788" s="32">
        <v>1438160351</v>
      </c>
      <c r="C1788" s="32">
        <v>4430265054</v>
      </c>
      <c r="D1788" s="32">
        <v>4430265054</v>
      </c>
      <c r="E1788" s="32">
        <v>9</v>
      </c>
      <c r="F1788" s="32">
        <v>8</v>
      </c>
      <c r="G1788" s="32" t="s">
        <v>52</v>
      </c>
      <c r="H1788" s="32" t="s">
        <v>7205</v>
      </c>
      <c r="I1788" s="32" t="s">
        <v>39</v>
      </c>
      <c r="J1788" s="32" t="s">
        <v>53</v>
      </c>
    </row>
    <row r="1789" spans="1:14" s="32" customFormat="1" hidden="1" x14ac:dyDescent="0.3">
      <c r="A1789" s="39">
        <v>46178.742268518516</v>
      </c>
      <c r="B1789" s="32" t="s">
        <v>54</v>
      </c>
      <c r="C1789" s="32">
        <v>27998554241</v>
      </c>
      <c r="E1789" s="32">
        <v>5</v>
      </c>
      <c r="F1789" s="32">
        <v>0</v>
      </c>
      <c r="G1789" s="32" t="s">
        <v>47</v>
      </c>
      <c r="H1789" s="32" t="s">
        <v>7206</v>
      </c>
      <c r="I1789" s="32" t="s">
        <v>46</v>
      </c>
      <c r="J1789" s="32" t="s">
        <v>55</v>
      </c>
      <c r="M1789" s="32" t="s">
        <v>5537</v>
      </c>
      <c r="N1789" s="32" t="s">
        <v>54</v>
      </c>
    </row>
    <row r="1790" spans="1:14" s="32" customFormat="1" hidden="1" x14ac:dyDescent="0.3">
      <c r="A1790" s="39">
        <v>46178.741689814815</v>
      </c>
      <c r="B1790" s="32" t="s">
        <v>54</v>
      </c>
      <c r="C1790" s="32">
        <v>82988626230</v>
      </c>
      <c r="E1790" s="32">
        <v>5</v>
      </c>
      <c r="F1790" s="32">
        <v>0</v>
      </c>
      <c r="G1790" s="32" t="s">
        <v>47</v>
      </c>
      <c r="H1790" s="32" t="s">
        <v>7207</v>
      </c>
      <c r="I1790" s="32" t="s">
        <v>46</v>
      </c>
      <c r="J1790" s="32" t="s">
        <v>55</v>
      </c>
      <c r="M1790" s="32" t="s">
        <v>5537</v>
      </c>
      <c r="N1790" s="32" t="s">
        <v>54</v>
      </c>
    </row>
    <row r="1791" spans="1:14" s="32" customFormat="1" hidden="1" x14ac:dyDescent="0.3">
      <c r="A1791" s="39">
        <v>46178.732858796298</v>
      </c>
      <c r="B1791" s="32">
        <v>45999334612</v>
      </c>
      <c r="C1791" s="32" t="s">
        <v>44</v>
      </c>
      <c r="D1791" s="32">
        <v>4430265054</v>
      </c>
      <c r="E1791" s="32">
        <v>291</v>
      </c>
      <c r="F1791" s="32">
        <v>267</v>
      </c>
      <c r="G1791" s="32" t="s">
        <v>38</v>
      </c>
      <c r="H1791" s="32" t="s">
        <v>7208</v>
      </c>
      <c r="I1791" s="32" t="s">
        <v>39</v>
      </c>
      <c r="J1791" s="32" t="s">
        <v>40</v>
      </c>
      <c r="K1791" s="32" t="s">
        <v>41</v>
      </c>
      <c r="L1791" s="32">
        <v>5</v>
      </c>
      <c r="M1791" s="32" t="s">
        <v>5416</v>
      </c>
      <c r="N1791" s="32" t="s">
        <v>44</v>
      </c>
    </row>
    <row r="1792" spans="1:14" s="32" customFormat="1" hidden="1" x14ac:dyDescent="0.3">
      <c r="A1792" s="39">
        <v>46178.731458333335</v>
      </c>
      <c r="B1792" s="32">
        <v>41995061279</v>
      </c>
      <c r="C1792" s="32" t="s">
        <v>45</v>
      </c>
      <c r="D1792" s="32">
        <v>4430265054</v>
      </c>
      <c r="E1792" s="32">
        <v>248</v>
      </c>
      <c r="F1792" s="32">
        <v>207</v>
      </c>
      <c r="G1792" s="32" t="s">
        <v>38</v>
      </c>
      <c r="H1792" s="32" t="s">
        <v>7209</v>
      </c>
      <c r="I1792" s="32" t="s">
        <v>39</v>
      </c>
      <c r="J1792" s="32" t="s">
        <v>40</v>
      </c>
      <c r="K1792" s="32" t="s">
        <v>41</v>
      </c>
      <c r="L1792" s="32">
        <v>4</v>
      </c>
      <c r="M1792" s="32" t="s">
        <v>5421</v>
      </c>
      <c r="N1792" s="32" t="s">
        <v>45</v>
      </c>
    </row>
    <row r="1793" spans="1:14" s="32" customFormat="1" hidden="1" x14ac:dyDescent="0.3">
      <c r="A1793" s="39">
        <v>46178.730439814812</v>
      </c>
      <c r="B1793" s="32">
        <v>41995061279</v>
      </c>
      <c r="C1793" s="32">
        <v>4430265054</v>
      </c>
      <c r="D1793" s="32">
        <v>4430265054</v>
      </c>
      <c r="E1793" s="32">
        <v>15</v>
      </c>
      <c r="F1793" s="32">
        <v>14</v>
      </c>
      <c r="G1793" s="32" t="s">
        <v>52</v>
      </c>
      <c r="H1793" s="32" t="s">
        <v>7210</v>
      </c>
      <c r="I1793" s="32" t="s">
        <v>39</v>
      </c>
      <c r="J1793" s="32" t="s">
        <v>53</v>
      </c>
    </row>
    <row r="1794" spans="1:14" s="32" customFormat="1" hidden="1" x14ac:dyDescent="0.3">
      <c r="A1794" s="39">
        <v>46178.729432870372</v>
      </c>
      <c r="B1794" s="32">
        <v>43999555292</v>
      </c>
      <c r="C1794" s="32" t="s">
        <v>37</v>
      </c>
      <c r="D1794" s="32">
        <v>4430265054</v>
      </c>
      <c r="E1794" s="32">
        <v>559</v>
      </c>
      <c r="F1794" s="32">
        <v>377</v>
      </c>
      <c r="G1794" s="32" t="s">
        <v>38</v>
      </c>
      <c r="H1794" s="32" t="s">
        <v>7211</v>
      </c>
      <c r="I1794" s="32" t="s">
        <v>39</v>
      </c>
      <c r="J1794" s="32" t="s">
        <v>40</v>
      </c>
      <c r="K1794" s="32" t="s">
        <v>41</v>
      </c>
      <c r="L1794" s="32">
        <v>5</v>
      </c>
      <c r="M1794" s="32" t="s">
        <v>5410</v>
      </c>
      <c r="N1794" s="32" t="s">
        <v>37</v>
      </c>
    </row>
    <row r="1795" spans="1:14" s="32" customFormat="1" hidden="1" x14ac:dyDescent="0.3">
      <c r="A1795" s="39">
        <v>46178.72047453704</v>
      </c>
      <c r="B1795" s="32" t="s">
        <v>37</v>
      </c>
      <c r="C1795" s="32">
        <v>4432272377</v>
      </c>
      <c r="E1795" s="32">
        <v>341</v>
      </c>
      <c r="F1795" s="32">
        <v>333</v>
      </c>
      <c r="G1795" s="32" t="s">
        <v>38</v>
      </c>
      <c r="H1795" s="32" t="s">
        <v>7212</v>
      </c>
      <c r="I1795" s="32" t="s">
        <v>46</v>
      </c>
      <c r="J1795" s="32" t="s">
        <v>40</v>
      </c>
      <c r="L1795" s="32">
        <v>5</v>
      </c>
      <c r="M1795" s="32" t="s">
        <v>5410</v>
      </c>
      <c r="N1795" s="32" t="s">
        <v>37</v>
      </c>
    </row>
    <row r="1796" spans="1:14" s="32" customFormat="1" hidden="1" x14ac:dyDescent="0.3">
      <c r="A1796" s="39">
        <v>46178.720243055555</v>
      </c>
      <c r="B1796" s="32" t="s">
        <v>45</v>
      </c>
      <c r="C1796" s="32">
        <v>41995061279</v>
      </c>
      <c r="E1796" s="32">
        <v>190</v>
      </c>
      <c r="F1796" s="32">
        <v>169</v>
      </c>
      <c r="G1796" s="32" t="s">
        <v>38</v>
      </c>
      <c r="H1796" s="32" t="s">
        <v>7213</v>
      </c>
      <c r="I1796" s="32" t="s">
        <v>46</v>
      </c>
      <c r="J1796" s="32" t="s">
        <v>40</v>
      </c>
      <c r="M1796" s="32" t="s">
        <v>5421</v>
      </c>
      <c r="N1796" s="32" t="s">
        <v>45</v>
      </c>
    </row>
    <row r="1797" spans="1:14" s="32" customFormat="1" hidden="1" x14ac:dyDescent="0.3">
      <c r="A1797" s="39">
        <v>46178.719942129632</v>
      </c>
      <c r="B1797" s="32" t="s">
        <v>37</v>
      </c>
      <c r="C1797" s="32">
        <v>4432272377</v>
      </c>
      <c r="E1797" s="32">
        <v>39</v>
      </c>
      <c r="F1797" s="32">
        <v>31</v>
      </c>
      <c r="G1797" s="32" t="s">
        <v>38</v>
      </c>
      <c r="H1797" s="32" t="s">
        <v>7214</v>
      </c>
      <c r="I1797" s="32" t="s">
        <v>46</v>
      </c>
      <c r="J1797" s="32" t="s">
        <v>40</v>
      </c>
      <c r="M1797" s="32" t="s">
        <v>5410</v>
      </c>
      <c r="N1797" s="32" t="s">
        <v>37</v>
      </c>
    </row>
    <row r="1798" spans="1:14" s="32" customFormat="1" hidden="1" x14ac:dyDescent="0.3">
      <c r="A1798" s="39">
        <v>46178.709837962961</v>
      </c>
      <c r="B1798" s="32">
        <v>41995061279</v>
      </c>
      <c r="C1798" s="32" t="s">
        <v>44</v>
      </c>
      <c r="D1798" s="32">
        <v>4430265054</v>
      </c>
      <c r="E1798" s="32">
        <v>121</v>
      </c>
      <c r="F1798" s="32">
        <v>58</v>
      </c>
      <c r="G1798" s="32" t="s">
        <v>38</v>
      </c>
      <c r="H1798" s="32" t="s">
        <v>7215</v>
      </c>
      <c r="I1798" s="32" t="s">
        <v>39</v>
      </c>
      <c r="J1798" s="32" t="s">
        <v>40</v>
      </c>
      <c r="K1798" s="32" t="s">
        <v>41</v>
      </c>
      <c r="M1798" s="32" t="s">
        <v>5416</v>
      </c>
      <c r="N1798" s="32" t="s">
        <v>44</v>
      </c>
    </row>
    <row r="1799" spans="1:14" s="32" customFormat="1" hidden="1" x14ac:dyDescent="0.3">
      <c r="A1799" s="39">
        <v>46178.705543981479</v>
      </c>
      <c r="B1799" s="32">
        <v>4432522678</v>
      </c>
      <c r="C1799" s="32" t="s">
        <v>37</v>
      </c>
      <c r="D1799" s="32">
        <v>4430265054</v>
      </c>
      <c r="E1799" s="32">
        <v>500</v>
      </c>
      <c r="F1799" s="32">
        <v>395</v>
      </c>
      <c r="G1799" s="32" t="s">
        <v>38</v>
      </c>
      <c r="H1799" s="32" t="s">
        <v>7216</v>
      </c>
      <c r="I1799" s="32" t="s">
        <v>39</v>
      </c>
      <c r="J1799" s="32" t="s">
        <v>40</v>
      </c>
      <c r="K1799" s="32" t="s">
        <v>41</v>
      </c>
      <c r="L1799" s="32">
        <v>5</v>
      </c>
      <c r="M1799" s="32" t="s">
        <v>5410</v>
      </c>
      <c r="N1799" s="32" t="s">
        <v>37</v>
      </c>
    </row>
    <row r="1800" spans="1:14" s="32" customFormat="1" hidden="1" x14ac:dyDescent="0.3">
      <c r="A1800" s="39">
        <v>46178.70385416667</v>
      </c>
      <c r="B1800" s="32">
        <v>1438160351</v>
      </c>
      <c r="C1800" s="32">
        <v>4430265054</v>
      </c>
      <c r="D1800" s="32">
        <v>4430265054</v>
      </c>
      <c r="E1800" s="32">
        <v>2</v>
      </c>
      <c r="F1800" s="32">
        <v>2</v>
      </c>
      <c r="G1800" s="32" t="s">
        <v>52</v>
      </c>
      <c r="H1800" s="32" t="s">
        <v>7217</v>
      </c>
      <c r="I1800" s="32" t="s">
        <v>39</v>
      </c>
      <c r="J1800" s="32" t="s">
        <v>53</v>
      </c>
    </row>
    <row r="1801" spans="1:14" s="32" customFormat="1" hidden="1" x14ac:dyDescent="0.3">
      <c r="A1801" s="39">
        <v>46178.694907407407</v>
      </c>
      <c r="B1801" s="32">
        <v>1128897100</v>
      </c>
      <c r="C1801" s="32">
        <v>4430265054</v>
      </c>
      <c r="D1801" s="32">
        <v>4430265054</v>
      </c>
      <c r="E1801" s="32">
        <v>24</v>
      </c>
      <c r="F1801" s="32">
        <v>23</v>
      </c>
      <c r="G1801" s="32" t="s">
        <v>52</v>
      </c>
      <c r="H1801" s="32" t="s">
        <v>7218</v>
      </c>
      <c r="I1801" s="32" t="s">
        <v>39</v>
      </c>
      <c r="J1801" s="32" t="s">
        <v>53</v>
      </c>
    </row>
    <row r="1802" spans="1:14" s="32" customFormat="1" hidden="1" x14ac:dyDescent="0.3">
      <c r="A1802" s="39">
        <v>46178.680659722224</v>
      </c>
      <c r="B1802" s="32">
        <v>41995061279</v>
      </c>
      <c r="C1802" s="32" t="s">
        <v>45</v>
      </c>
      <c r="D1802" s="32">
        <v>4430265054</v>
      </c>
      <c r="E1802" s="32">
        <v>1174</v>
      </c>
      <c r="F1802" s="32">
        <v>955</v>
      </c>
      <c r="G1802" s="32" t="s">
        <v>38</v>
      </c>
      <c r="H1802" s="32" t="s">
        <v>7219</v>
      </c>
      <c r="I1802" s="32" t="s">
        <v>39</v>
      </c>
      <c r="J1802" s="32" t="s">
        <v>40</v>
      </c>
      <c r="K1802" s="32" t="s">
        <v>41</v>
      </c>
      <c r="M1802" s="32" t="s">
        <v>5421</v>
      </c>
      <c r="N1802" s="32" t="s">
        <v>45</v>
      </c>
    </row>
    <row r="1803" spans="1:14" s="32" customFormat="1" hidden="1" x14ac:dyDescent="0.3">
      <c r="A1803" s="39">
        <v>46178.674409722225</v>
      </c>
      <c r="B1803" s="32">
        <v>1128787060</v>
      </c>
      <c r="C1803" s="32">
        <v>4430265054</v>
      </c>
      <c r="D1803" s="32">
        <v>4430265054</v>
      </c>
      <c r="E1803" s="32">
        <v>40</v>
      </c>
      <c r="F1803" s="32">
        <v>20</v>
      </c>
      <c r="G1803" s="32" t="s">
        <v>38</v>
      </c>
      <c r="H1803" s="32" t="s">
        <v>7220</v>
      </c>
      <c r="I1803" s="32" t="s">
        <v>39</v>
      </c>
      <c r="J1803" s="32" t="s">
        <v>53</v>
      </c>
      <c r="K1803" s="32" t="s">
        <v>41</v>
      </c>
    </row>
    <row r="1804" spans="1:14" s="32" customFormat="1" hidden="1" x14ac:dyDescent="0.3">
      <c r="A1804" s="39">
        <v>46178.66951388889</v>
      </c>
      <c r="B1804" s="32">
        <v>4432520627</v>
      </c>
      <c r="C1804" s="32" t="s">
        <v>37</v>
      </c>
      <c r="D1804" s="32">
        <v>4430265054</v>
      </c>
      <c r="E1804" s="32">
        <v>720</v>
      </c>
      <c r="F1804" s="32">
        <v>544</v>
      </c>
      <c r="G1804" s="32" t="s">
        <v>38</v>
      </c>
      <c r="H1804" s="32" t="s">
        <v>7221</v>
      </c>
      <c r="I1804" s="32" t="s">
        <v>39</v>
      </c>
      <c r="J1804" s="32" t="s">
        <v>40</v>
      </c>
      <c r="K1804" s="32" t="s">
        <v>41</v>
      </c>
      <c r="L1804" s="32">
        <v>5</v>
      </c>
      <c r="M1804" s="32" t="s">
        <v>5410</v>
      </c>
      <c r="N1804" s="32" t="s">
        <v>37</v>
      </c>
    </row>
    <row r="1805" spans="1:14" s="32" customFormat="1" hidden="1" x14ac:dyDescent="0.3">
      <c r="A1805" s="39">
        <v>46178.66951388889</v>
      </c>
      <c r="B1805" s="32">
        <v>44998068281</v>
      </c>
      <c r="C1805" s="32" t="s">
        <v>48</v>
      </c>
      <c r="D1805" s="32">
        <v>4430265054</v>
      </c>
      <c r="E1805" s="32">
        <v>1559</v>
      </c>
      <c r="F1805" s="32">
        <v>1558</v>
      </c>
      <c r="G1805" s="32" t="s">
        <v>38</v>
      </c>
      <c r="H1805" s="32" t="s">
        <v>7222</v>
      </c>
      <c r="I1805" s="32" t="s">
        <v>39</v>
      </c>
      <c r="J1805" s="32" t="s">
        <v>40</v>
      </c>
      <c r="K1805" s="32" t="s">
        <v>41</v>
      </c>
      <c r="M1805" s="32" t="s">
        <v>5412</v>
      </c>
      <c r="N1805" s="32" t="s">
        <v>48</v>
      </c>
    </row>
    <row r="1806" spans="1:14" s="32" customFormat="1" hidden="1" x14ac:dyDescent="0.3">
      <c r="A1806" s="39">
        <v>46178.661261574074</v>
      </c>
      <c r="B1806" s="32">
        <v>44998068281</v>
      </c>
      <c r="C1806" s="32" t="s">
        <v>45</v>
      </c>
      <c r="D1806" s="32">
        <v>4430265054</v>
      </c>
      <c r="E1806" s="32">
        <v>705</v>
      </c>
      <c r="F1806" s="32">
        <v>590</v>
      </c>
      <c r="G1806" s="32" t="s">
        <v>38</v>
      </c>
      <c r="H1806" s="32" t="s">
        <v>7223</v>
      </c>
      <c r="I1806" s="32" t="s">
        <v>39</v>
      </c>
      <c r="J1806" s="32" t="s">
        <v>40</v>
      </c>
      <c r="K1806" s="32" t="s">
        <v>41</v>
      </c>
      <c r="M1806" s="32" t="s">
        <v>5421</v>
      </c>
      <c r="N1806" s="32" t="s">
        <v>45</v>
      </c>
    </row>
    <row r="1807" spans="1:14" s="32" customFormat="1" hidden="1" x14ac:dyDescent="0.3">
      <c r="A1807" s="39">
        <v>46178.656770833331</v>
      </c>
      <c r="B1807" s="32">
        <v>4430451715</v>
      </c>
      <c r="C1807" s="32">
        <v>4430265054</v>
      </c>
      <c r="D1807" s="32">
        <v>4430265054</v>
      </c>
      <c r="E1807" s="32">
        <v>57</v>
      </c>
      <c r="F1807" s="32">
        <v>56</v>
      </c>
      <c r="G1807" s="32" t="s">
        <v>52</v>
      </c>
      <c r="H1807" s="32" t="s">
        <v>7224</v>
      </c>
      <c r="I1807" s="32" t="s">
        <v>39</v>
      </c>
      <c r="J1807" s="32" t="s">
        <v>53</v>
      </c>
      <c r="K1807" s="32" t="s">
        <v>41</v>
      </c>
    </row>
    <row r="1808" spans="1:14" s="32" customFormat="1" hidden="1" x14ac:dyDescent="0.3">
      <c r="A1808" s="39">
        <v>46178.652245370373</v>
      </c>
      <c r="B1808" s="32">
        <v>12996381077</v>
      </c>
      <c r="C1808" s="32" t="s">
        <v>37</v>
      </c>
      <c r="D1808" s="32">
        <v>4430265054</v>
      </c>
      <c r="E1808" s="32">
        <v>550</v>
      </c>
      <c r="F1808" s="32">
        <v>499</v>
      </c>
      <c r="G1808" s="32" t="s">
        <v>38</v>
      </c>
      <c r="H1808" s="32" t="s">
        <v>7225</v>
      </c>
      <c r="I1808" s="32" t="s">
        <v>39</v>
      </c>
      <c r="J1808" s="32" t="s">
        <v>40</v>
      </c>
      <c r="K1808" s="32" t="s">
        <v>41</v>
      </c>
      <c r="L1808" s="32">
        <v>5</v>
      </c>
      <c r="M1808" s="32" t="s">
        <v>5410</v>
      </c>
      <c r="N1808" s="32" t="s">
        <v>37</v>
      </c>
    </row>
    <row r="1809" spans="1:14" s="32" customFormat="1" hidden="1" x14ac:dyDescent="0.3">
      <c r="A1809" s="39">
        <v>46178.650949074072</v>
      </c>
      <c r="B1809" s="32">
        <v>44988255390</v>
      </c>
      <c r="C1809" s="32" t="s">
        <v>43</v>
      </c>
      <c r="D1809" s="32">
        <v>4430265054</v>
      </c>
      <c r="E1809" s="32">
        <v>712</v>
      </c>
      <c r="F1809" s="32">
        <v>579</v>
      </c>
      <c r="G1809" s="32" t="s">
        <v>38</v>
      </c>
      <c r="H1809" s="32" t="s">
        <v>7226</v>
      </c>
      <c r="I1809" s="32" t="s">
        <v>39</v>
      </c>
      <c r="J1809" s="32" t="s">
        <v>40</v>
      </c>
      <c r="K1809" s="32" t="s">
        <v>41</v>
      </c>
      <c r="M1809" s="32" t="s">
        <v>5418</v>
      </c>
      <c r="N1809" s="32" t="s">
        <v>43</v>
      </c>
    </row>
    <row r="1810" spans="1:14" s="32" customFormat="1" hidden="1" x14ac:dyDescent="0.3">
      <c r="A1810" s="39">
        <v>46178.647604166668</v>
      </c>
      <c r="B1810" s="32">
        <v>44931999967</v>
      </c>
      <c r="C1810" s="32" t="s">
        <v>37</v>
      </c>
      <c r="D1810" s="32">
        <v>4430265054</v>
      </c>
      <c r="E1810" s="32">
        <v>165</v>
      </c>
      <c r="F1810" s="32">
        <v>113</v>
      </c>
      <c r="G1810" s="32" t="s">
        <v>38</v>
      </c>
      <c r="H1810" s="32" t="s">
        <v>7227</v>
      </c>
      <c r="I1810" s="32" t="s">
        <v>39</v>
      </c>
      <c r="J1810" s="32" t="s">
        <v>40</v>
      </c>
      <c r="K1810" s="32" t="s">
        <v>41</v>
      </c>
      <c r="M1810" s="32" t="s">
        <v>5410</v>
      </c>
      <c r="N1810" s="32" t="s">
        <v>37</v>
      </c>
    </row>
    <row r="1811" spans="1:14" s="32" customFormat="1" hidden="1" x14ac:dyDescent="0.3">
      <c r="A1811" s="39">
        <v>46178.629166666666</v>
      </c>
      <c r="B1811" s="32">
        <v>41995061279</v>
      </c>
      <c r="C1811" s="32" t="s">
        <v>45</v>
      </c>
      <c r="D1811" s="32">
        <v>4430265054</v>
      </c>
      <c r="E1811" s="32">
        <v>1829</v>
      </c>
      <c r="F1811" s="32">
        <v>1762</v>
      </c>
      <c r="G1811" s="32" t="s">
        <v>38</v>
      </c>
      <c r="H1811" s="32" t="s">
        <v>7228</v>
      </c>
      <c r="I1811" s="32" t="s">
        <v>39</v>
      </c>
      <c r="J1811" s="32" t="s">
        <v>40</v>
      </c>
      <c r="K1811" s="32" t="s">
        <v>41</v>
      </c>
      <c r="L1811" s="32">
        <v>3</v>
      </c>
      <c r="M1811" s="32" t="s">
        <v>5421</v>
      </c>
      <c r="N1811" s="32" t="s">
        <v>45</v>
      </c>
    </row>
    <row r="1812" spans="1:14" s="32" customFormat="1" hidden="1" x14ac:dyDescent="0.3">
      <c r="A1812" s="39">
        <v>46178.623240740744</v>
      </c>
      <c r="B1812" s="32">
        <v>1128787060</v>
      </c>
      <c r="C1812" s="32" t="s">
        <v>44</v>
      </c>
      <c r="D1812" s="32">
        <v>4430265054</v>
      </c>
      <c r="E1812" s="32">
        <v>141</v>
      </c>
      <c r="F1812" s="32">
        <v>122</v>
      </c>
      <c r="G1812" s="32" t="s">
        <v>38</v>
      </c>
      <c r="H1812" s="32" t="s">
        <v>7229</v>
      </c>
      <c r="I1812" s="32" t="s">
        <v>39</v>
      </c>
      <c r="J1812" s="32" t="s">
        <v>40</v>
      </c>
      <c r="K1812" s="32" t="s">
        <v>41</v>
      </c>
      <c r="M1812" s="32" t="s">
        <v>5416</v>
      </c>
      <c r="N1812" s="32" t="s">
        <v>44</v>
      </c>
    </row>
    <row r="1813" spans="1:14" s="32" customFormat="1" hidden="1" x14ac:dyDescent="0.3">
      <c r="A1813" s="39">
        <v>46178.622187499997</v>
      </c>
      <c r="B1813" s="32">
        <v>1128897100</v>
      </c>
      <c r="C1813" s="32" t="s">
        <v>43</v>
      </c>
      <c r="D1813" s="32">
        <v>4430265054</v>
      </c>
      <c r="E1813" s="32">
        <v>84</v>
      </c>
      <c r="F1813" s="32">
        <v>2</v>
      </c>
      <c r="G1813" s="32" t="s">
        <v>38</v>
      </c>
      <c r="H1813" s="32" t="s">
        <v>7230</v>
      </c>
      <c r="I1813" s="32" t="s">
        <v>39</v>
      </c>
      <c r="J1813" s="32" t="s">
        <v>40</v>
      </c>
      <c r="K1813" s="32" t="s">
        <v>41</v>
      </c>
      <c r="M1813" s="32" t="s">
        <v>5418</v>
      </c>
      <c r="N1813" s="32" t="s">
        <v>43</v>
      </c>
    </row>
    <row r="1814" spans="1:14" s="32" customFormat="1" hidden="1" x14ac:dyDescent="0.3">
      <c r="A1814" s="39">
        <v>46178.621550925927</v>
      </c>
      <c r="B1814" s="32">
        <v>4432206400</v>
      </c>
      <c r="C1814" s="32">
        <v>4430265054</v>
      </c>
      <c r="D1814" s="32">
        <v>4430265054</v>
      </c>
      <c r="E1814" s="32">
        <v>133</v>
      </c>
      <c r="F1814" s="32">
        <v>133</v>
      </c>
      <c r="G1814" s="32" t="s">
        <v>52</v>
      </c>
      <c r="H1814" s="32" t="s">
        <v>7231</v>
      </c>
      <c r="I1814" s="32" t="s">
        <v>39</v>
      </c>
      <c r="J1814" s="32" t="s">
        <v>53</v>
      </c>
      <c r="K1814" s="32" t="s">
        <v>41</v>
      </c>
    </row>
    <row r="1815" spans="1:14" s="32" customFormat="1" hidden="1" x14ac:dyDescent="0.3">
      <c r="A1815" s="39">
        <v>46178.621481481481</v>
      </c>
      <c r="B1815" s="32">
        <v>41997840159</v>
      </c>
      <c r="C1815" s="32" t="s">
        <v>37</v>
      </c>
      <c r="D1815" s="32">
        <v>4431268225</v>
      </c>
      <c r="E1815" s="32">
        <v>423</v>
      </c>
      <c r="F1815" s="32">
        <v>228</v>
      </c>
      <c r="G1815" s="32" t="s">
        <v>38</v>
      </c>
      <c r="H1815" s="32" t="s">
        <v>7232</v>
      </c>
      <c r="I1815" s="32" t="s">
        <v>39</v>
      </c>
      <c r="J1815" s="32" t="s">
        <v>40</v>
      </c>
      <c r="K1815" s="32" t="s">
        <v>41</v>
      </c>
      <c r="L1815" s="32">
        <v>5</v>
      </c>
      <c r="M1815" s="32" t="s">
        <v>5410</v>
      </c>
      <c r="N1815" s="32" t="s">
        <v>37</v>
      </c>
    </row>
    <row r="1816" spans="1:14" s="32" customFormat="1" hidden="1" x14ac:dyDescent="0.3">
      <c r="A1816" s="39">
        <v>46178.6174537037</v>
      </c>
      <c r="B1816" s="32">
        <v>44999917849</v>
      </c>
      <c r="C1816" s="32" t="s">
        <v>43</v>
      </c>
      <c r="D1816" s="32">
        <v>4430265054</v>
      </c>
      <c r="E1816" s="32">
        <v>266</v>
      </c>
      <c r="F1816" s="32">
        <v>148</v>
      </c>
      <c r="G1816" s="32" t="s">
        <v>38</v>
      </c>
      <c r="H1816" s="32" t="s">
        <v>7233</v>
      </c>
      <c r="I1816" s="32" t="s">
        <v>39</v>
      </c>
      <c r="J1816" s="32" t="s">
        <v>40</v>
      </c>
      <c r="K1816" s="32" t="s">
        <v>41</v>
      </c>
      <c r="M1816" s="32" t="s">
        <v>5418</v>
      </c>
      <c r="N1816" s="32" t="s">
        <v>43</v>
      </c>
    </row>
    <row r="1817" spans="1:14" s="32" customFormat="1" hidden="1" x14ac:dyDescent="0.3">
      <c r="A1817" s="39">
        <v>46178.614606481482</v>
      </c>
      <c r="B1817" s="32">
        <v>4433543396</v>
      </c>
      <c r="C1817" s="32" t="s">
        <v>44</v>
      </c>
      <c r="D1817" s="32">
        <v>4430265054</v>
      </c>
      <c r="E1817" s="32">
        <v>582</v>
      </c>
      <c r="F1817" s="32">
        <v>507</v>
      </c>
      <c r="G1817" s="32" t="s">
        <v>38</v>
      </c>
      <c r="H1817" s="32" t="s">
        <v>7234</v>
      </c>
      <c r="I1817" s="32" t="s">
        <v>39</v>
      </c>
      <c r="J1817" s="32" t="s">
        <v>40</v>
      </c>
      <c r="K1817" s="32" t="s">
        <v>41</v>
      </c>
      <c r="M1817" s="32" t="s">
        <v>5416</v>
      </c>
      <c r="N1817" s="32" t="s">
        <v>44</v>
      </c>
    </row>
    <row r="1818" spans="1:14" s="32" customFormat="1" hidden="1" x14ac:dyDescent="0.3">
      <c r="A1818" s="39">
        <v>46178.612118055556</v>
      </c>
      <c r="B1818" s="32">
        <v>44999770237</v>
      </c>
      <c r="C1818" s="32" t="s">
        <v>37</v>
      </c>
      <c r="D1818" s="32">
        <v>4430265054</v>
      </c>
      <c r="E1818" s="32">
        <v>341</v>
      </c>
      <c r="F1818" s="32">
        <v>289</v>
      </c>
      <c r="G1818" s="32" t="s">
        <v>38</v>
      </c>
      <c r="H1818" s="32" t="s">
        <v>7235</v>
      </c>
      <c r="I1818" s="32" t="s">
        <v>39</v>
      </c>
      <c r="J1818" s="32" t="s">
        <v>40</v>
      </c>
      <c r="K1818" s="32" t="s">
        <v>41</v>
      </c>
      <c r="M1818" s="32" t="s">
        <v>5410</v>
      </c>
      <c r="N1818" s="32" t="s">
        <v>37</v>
      </c>
    </row>
    <row r="1819" spans="1:14" s="32" customFormat="1" hidden="1" x14ac:dyDescent="0.3">
      <c r="A1819" s="39">
        <v>46178.608611111114</v>
      </c>
      <c r="B1819" s="32">
        <v>4430152533</v>
      </c>
      <c r="C1819" s="32" t="s">
        <v>54</v>
      </c>
      <c r="D1819" s="32">
        <v>4430265054</v>
      </c>
      <c r="E1819" s="32">
        <v>196</v>
      </c>
      <c r="F1819" s="32">
        <v>171</v>
      </c>
      <c r="G1819" s="32" t="s">
        <v>38</v>
      </c>
      <c r="H1819" s="32" t="s">
        <v>7236</v>
      </c>
      <c r="I1819" s="32" t="s">
        <v>39</v>
      </c>
      <c r="J1819" s="32" t="s">
        <v>55</v>
      </c>
      <c r="K1819" s="32" t="s">
        <v>49</v>
      </c>
      <c r="M1819" s="32" t="s">
        <v>5537</v>
      </c>
      <c r="N1819" s="32" t="s">
        <v>54</v>
      </c>
    </row>
    <row r="1820" spans="1:14" s="32" customFormat="1" hidden="1" x14ac:dyDescent="0.3">
      <c r="A1820" s="39">
        <v>46178.607569444444</v>
      </c>
      <c r="B1820" s="32">
        <v>44997134514</v>
      </c>
      <c r="C1820" s="32" t="s">
        <v>45</v>
      </c>
      <c r="D1820" s="32">
        <v>4430265054</v>
      </c>
      <c r="E1820" s="32">
        <v>847</v>
      </c>
      <c r="F1820" s="32">
        <v>782</v>
      </c>
      <c r="G1820" s="32" t="s">
        <v>38</v>
      </c>
      <c r="H1820" s="32" t="s">
        <v>7237</v>
      </c>
      <c r="I1820" s="32" t="s">
        <v>39</v>
      </c>
      <c r="J1820" s="32" t="s">
        <v>40</v>
      </c>
      <c r="K1820" s="32" t="s">
        <v>41</v>
      </c>
      <c r="M1820" s="32" t="s">
        <v>5421</v>
      </c>
      <c r="N1820" s="32" t="s">
        <v>45</v>
      </c>
    </row>
    <row r="1821" spans="1:14" s="32" customFormat="1" hidden="1" x14ac:dyDescent="0.3">
      <c r="A1821" s="39">
        <v>46178.607303240744</v>
      </c>
      <c r="B1821" s="32">
        <v>44999770237</v>
      </c>
      <c r="C1821" s="32">
        <v>4430265054</v>
      </c>
      <c r="D1821" s="32">
        <v>4430265054</v>
      </c>
      <c r="E1821" s="32">
        <v>47</v>
      </c>
      <c r="F1821" s="32">
        <v>47</v>
      </c>
      <c r="G1821" s="32" t="s">
        <v>52</v>
      </c>
      <c r="H1821" s="32" t="s">
        <v>7238</v>
      </c>
      <c r="I1821" s="32" t="s">
        <v>39</v>
      </c>
      <c r="J1821" s="32" t="s">
        <v>53</v>
      </c>
      <c r="K1821" s="32" t="s">
        <v>41</v>
      </c>
    </row>
    <row r="1822" spans="1:14" s="32" customFormat="1" hidden="1" x14ac:dyDescent="0.3">
      <c r="A1822" s="39">
        <v>46178.591261574074</v>
      </c>
      <c r="B1822" s="32">
        <v>4430451715</v>
      </c>
      <c r="C1822" s="32" t="s">
        <v>45</v>
      </c>
      <c r="D1822" s="32">
        <v>4430265054</v>
      </c>
      <c r="E1822" s="32">
        <v>210</v>
      </c>
      <c r="F1822" s="32">
        <v>137</v>
      </c>
      <c r="G1822" s="32" t="s">
        <v>38</v>
      </c>
      <c r="H1822" s="32" t="s">
        <v>7239</v>
      </c>
      <c r="I1822" s="32" t="s">
        <v>39</v>
      </c>
      <c r="J1822" s="32" t="s">
        <v>40</v>
      </c>
      <c r="K1822" s="32" t="s">
        <v>41</v>
      </c>
      <c r="L1822" s="32">
        <v>5</v>
      </c>
      <c r="M1822" s="32" t="s">
        <v>5421</v>
      </c>
      <c r="N1822" s="32" t="s">
        <v>45</v>
      </c>
    </row>
    <row r="1823" spans="1:14" s="32" customFormat="1" hidden="1" x14ac:dyDescent="0.3">
      <c r="A1823" s="39">
        <v>46178.590844907405</v>
      </c>
      <c r="B1823" s="32">
        <v>12996381077</v>
      </c>
      <c r="C1823" s="32" t="s">
        <v>37</v>
      </c>
      <c r="D1823" s="32">
        <v>4430265054</v>
      </c>
      <c r="E1823" s="32">
        <v>340</v>
      </c>
      <c r="F1823" s="32">
        <v>243</v>
      </c>
      <c r="G1823" s="32" t="s">
        <v>38</v>
      </c>
      <c r="H1823" s="32" t="s">
        <v>7240</v>
      </c>
      <c r="I1823" s="32" t="s">
        <v>39</v>
      </c>
      <c r="J1823" s="32" t="s">
        <v>40</v>
      </c>
      <c r="K1823" s="32" t="s">
        <v>41</v>
      </c>
      <c r="L1823" s="32">
        <v>5</v>
      </c>
      <c r="M1823" s="32" t="s">
        <v>5410</v>
      </c>
      <c r="N1823" s="32" t="s">
        <v>37</v>
      </c>
    </row>
    <row r="1824" spans="1:14" s="32" customFormat="1" hidden="1" x14ac:dyDescent="0.3">
      <c r="A1824" s="39">
        <v>46178.590775462966</v>
      </c>
      <c r="B1824" s="32">
        <v>4431414588</v>
      </c>
      <c r="C1824" s="32" t="s">
        <v>37</v>
      </c>
      <c r="D1824" s="32">
        <v>4430265054</v>
      </c>
      <c r="E1824" s="32">
        <v>126</v>
      </c>
      <c r="F1824" s="32">
        <v>46</v>
      </c>
      <c r="G1824" s="32" t="s">
        <v>38</v>
      </c>
      <c r="H1824" s="32" t="s">
        <v>7241</v>
      </c>
      <c r="I1824" s="32" t="s">
        <v>39</v>
      </c>
      <c r="J1824" s="32" t="s">
        <v>40</v>
      </c>
      <c r="K1824" s="32" t="s">
        <v>41</v>
      </c>
      <c r="M1824" s="32" t="s">
        <v>5410</v>
      </c>
      <c r="N1824" s="32" t="s">
        <v>37</v>
      </c>
    </row>
    <row r="1825" spans="1:14" s="32" customFormat="1" hidden="1" x14ac:dyDescent="0.3">
      <c r="A1825" s="39">
        <v>46178.589965277781</v>
      </c>
      <c r="B1825" s="32">
        <v>44998068281</v>
      </c>
      <c r="C1825" s="32" t="s">
        <v>43</v>
      </c>
      <c r="D1825" s="32">
        <v>4430265054</v>
      </c>
      <c r="E1825" s="32">
        <v>1056</v>
      </c>
      <c r="F1825" s="32">
        <v>955</v>
      </c>
      <c r="G1825" s="32" t="s">
        <v>38</v>
      </c>
      <c r="H1825" s="32" t="s">
        <v>7242</v>
      </c>
      <c r="I1825" s="32" t="s">
        <v>39</v>
      </c>
      <c r="J1825" s="32" t="s">
        <v>40</v>
      </c>
      <c r="K1825" s="32" t="s">
        <v>41</v>
      </c>
      <c r="L1825" s="32">
        <v>5</v>
      </c>
      <c r="M1825" s="32" t="s">
        <v>5418</v>
      </c>
      <c r="N1825" s="32" t="s">
        <v>43</v>
      </c>
    </row>
    <row r="1826" spans="1:14" s="32" customFormat="1" hidden="1" x14ac:dyDescent="0.3">
      <c r="A1826" s="39">
        <v>46178.589699074073</v>
      </c>
      <c r="B1826" s="32">
        <v>4430451715</v>
      </c>
      <c r="C1826" s="32">
        <v>4430265054</v>
      </c>
      <c r="D1826" s="32">
        <v>4430265054</v>
      </c>
      <c r="E1826" s="32">
        <v>5</v>
      </c>
      <c r="F1826" s="32">
        <v>4</v>
      </c>
      <c r="G1826" s="32" t="s">
        <v>52</v>
      </c>
      <c r="H1826" s="32" t="s">
        <v>7243</v>
      </c>
      <c r="I1826" s="32" t="s">
        <v>39</v>
      </c>
      <c r="J1826" s="32" t="s">
        <v>53</v>
      </c>
    </row>
    <row r="1827" spans="1:14" s="32" customFormat="1" hidden="1" x14ac:dyDescent="0.3">
      <c r="A1827" s="39">
        <v>46178.589259259257</v>
      </c>
      <c r="B1827" s="32">
        <v>44984241715</v>
      </c>
      <c r="C1827" s="32" t="s">
        <v>48</v>
      </c>
      <c r="D1827" s="32">
        <v>4430265054</v>
      </c>
      <c r="E1827" s="32">
        <v>614</v>
      </c>
      <c r="F1827" s="32">
        <v>512</v>
      </c>
      <c r="G1827" s="32" t="s">
        <v>38</v>
      </c>
      <c r="H1827" s="32" t="s">
        <v>7244</v>
      </c>
      <c r="I1827" s="32" t="s">
        <v>39</v>
      </c>
      <c r="J1827" s="32" t="s">
        <v>40</v>
      </c>
      <c r="K1827" s="32" t="s">
        <v>41</v>
      </c>
      <c r="M1827" s="32" t="s">
        <v>5412</v>
      </c>
      <c r="N1827" s="32" t="s">
        <v>48</v>
      </c>
    </row>
    <row r="1828" spans="1:14" s="32" customFormat="1" hidden="1" x14ac:dyDescent="0.3">
      <c r="A1828" s="39">
        <v>46178.582349537035</v>
      </c>
      <c r="B1828" s="32">
        <v>19998793706</v>
      </c>
      <c r="C1828" s="32" t="s">
        <v>37</v>
      </c>
      <c r="D1828" s="32">
        <v>4430265054</v>
      </c>
      <c r="E1828" s="32">
        <v>462</v>
      </c>
      <c r="F1828" s="32">
        <v>436</v>
      </c>
      <c r="G1828" s="32" t="s">
        <v>38</v>
      </c>
      <c r="H1828" s="32" t="s">
        <v>7245</v>
      </c>
      <c r="I1828" s="32" t="s">
        <v>39</v>
      </c>
      <c r="J1828" s="32" t="s">
        <v>40</v>
      </c>
      <c r="K1828" s="32" t="s">
        <v>41</v>
      </c>
      <c r="L1828" s="32">
        <v>5</v>
      </c>
      <c r="M1828" s="32" t="s">
        <v>5410</v>
      </c>
      <c r="N1828" s="32" t="s">
        <v>37</v>
      </c>
    </row>
    <row r="1829" spans="1:14" s="32" customFormat="1" hidden="1" x14ac:dyDescent="0.3">
      <c r="A1829" s="39">
        <v>46178.579270833332</v>
      </c>
      <c r="B1829" s="32">
        <v>44984241715</v>
      </c>
      <c r="C1829" s="32" t="s">
        <v>48</v>
      </c>
      <c r="D1829" s="32">
        <v>4430265054</v>
      </c>
      <c r="E1829" s="32">
        <v>622</v>
      </c>
      <c r="F1829" s="32">
        <v>621</v>
      </c>
      <c r="G1829" s="32" t="s">
        <v>38</v>
      </c>
      <c r="H1829" s="32" t="s">
        <v>7246</v>
      </c>
      <c r="I1829" s="32" t="s">
        <v>39</v>
      </c>
      <c r="J1829" s="32" t="s">
        <v>40</v>
      </c>
      <c r="K1829" s="32" t="s">
        <v>41</v>
      </c>
      <c r="M1829" s="32" t="s">
        <v>5412</v>
      </c>
      <c r="N1829" s="32" t="s">
        <v>48</v>
      </c>
    </row>
    <row r="1830" spans="1:14" s="32" customFormat="1" hidden="1" x14ac:dyDescent="0.3">
      <c r="A1830" s="39">
        <v>46178.578194444446</v>
      </c>
      <c r="B1830" s="32">
        <v>4430141533</v>
      </c>
      <c r="C1830" s="32" t="s">
        <v>54</v>
      </c>
      <c r="D1830" s="32">
        <v>4430265054</v>
      </c>
      <c r="E1830" s="32">
        <v>199</v>
      </c>
      <c r="F1830" s="32">
        <v>108</v>
      </c>
      <c r="G1830" s="32" t="s">
        <v>38</v>
      </c>
      <c r="H1830" s="32" t="s">
        <v>7247</v>
      </c>
      <c r="I1830" s="32" t="s">
        <v>39</v>
      </c>
      <c r="J1830" s="32" t="s">
        <v>55</v>
      </c>
      <c r="K1830" s="32" t="s">
        <v>49</v>
      </c>
      <c r="M1830" s="32" t="s">
        <v>5537</v>
      </c>
      <c r="N1830" s="32" t="s">
        <v>54</v>
      </c>
    </row>
    <row r="1831" spans="1:14" s="32" customFormat="1" hidden="1" x14ac:dyDescent="0.3">
      <c r="A1831" s="39">
        <v>46178.573981481481</v>
      </c>
      <c r="B1831" s="32">
        <v>4433542435</v>
      </c>
      <c r="C1831" s="32" t="s">
        <v>43</v>
      </c>
      <c r="D1831" s="32">
        <v>4430265054</v>
      </c>
      <c r="E1831" s="32">
        <v>693</v>
      </c>
      <c r="F1831" s="32">
        <v>671</v>
      </c>
      <c r="G1831" s="32" t="s">
        <v>38</v>
      </c>
      <c r="H1831" s="32" t="s">
        <v>7248</v>
      </c>
      <c r="I1831" s="32" t="s">
        <v>39</v>
      </c>
      <c r="J1831" s="32" t="s">
        <v>40</v>
      </c>
      <c r="K1831" s="32" t="s">
        <v>41</v>
      </c>
      <c r="M1831" s="32" t="s">
        <v>5418</v>
      </c>
      <c r="N1831" s="32" t="s">
        <v>43</v>
      </c>
    </row>
    <row r="1832" spans="1:14" s="32" customFormat="1" hidden="1" x14ac:dyDescent="0.3">
      <c r="A1832" s="39">
        <v>46178.571608796294</v>
      </c>
      <c r="B1832" s="32">
        <v>4430562296</v>
      </c>
      <c r="C1832" s="32" t="s">
        <v>44</v>
      </c>
      <c r="D1832" s="32">
        <v>4430265054</v>
      </c>
      <c r="E1832" s="32">
        <v>1607</v>
      </c>
      <c r="F1832" s="32">
        <v>1475</v>
      </c>
      <c r="G1832" s="32" t="s">
        <v>38</v>
      </c>
      <c r="H1832" s="32" t="s">
        <v>7249</v>
      </c>
      <c r="I1832" s="32" t="s">
        <v>39</v>
      </c>
      <c r="J1832" s="32" t="s">
        <v>40</v>
      </c>
      <c r="K1832" s="32" t="s">
        <v>41</v>
      </c>
      <c r="M1832" s="32" t="s">
        <v>5416</v>
      </c>
      <c r="N1832" s="32" t="s">
        <v>44</v>
      </c>
    </row>
    <row r="1833" spans="1:14" s="32" customFormat="1" hidden="1" x14ac:dyDescent="0.3">
      <c r="A1833" s="39">
        <v>46178.567002314812</v>
      </c>
      <c r="B1833" s="32" t="s">
        <v>45</v>
      </c>
      <c r="C1833" s="32">
        <v>1143744993</v>
      </c>
      <c r="E1833" s="32">
        <v>1163</v>
      </c>
      <c r="F1833" s="32">
        <v>1154</v>
      </c>
      <c r="G1833" s="32" t="s">
        <v>38</v>
      </c>
      <c r="H1833" s="32" t="s">
        <v>7250</v>
      </c>
      <c r="I1833" s="32" t="s">
        <v>46</v>
      </c>
      <c r="J1833" s="32" t="s">
        <v>40</v>
      </c>
      <c r="M1833" s="32" t="s">
        <v>5421</v>
      </c>
      <c r="N1833" s="32" t="s">
        <v>45</v>
      </c>
    </row>
    <row r="1834" spans="1:14" s="32" customFormat="1" hidden="1" x14ac:dyDescent="0.3">
      <c r="A1834" s="39">
        <v>46178.566157407404</v>
      </c>
      <c r="B1834" s="32">
        <v>44991041123</v>
      </c>
      <c r="C1834" s="32" t="s">
        <v>37</v>
      </c>
      <c r="D1834" s="32">
        <v>4430265054</v>
      </c>
      <c r="E1834" s="32">
        <v>1117</v>
      </c>
      <c r="F1834" s="32">
        <v>1002</v>
      </c>
      <c r="G1834" s="32" t="s">
        <v>38</v>
      </c>
      <c r="H1834" s="32" t="s">
        <v>7251</v>
      </c>
      <c r="I1834" s="32" t="s">
        <v>39</v>
      </c>
      <c r="J1834" s="32" t="s">
        <v>40</v>
      </c>
      <c r="K1834" s="32" t="s">
        <v>41</v>
      </c>
      <c r="M1834" s="32" t="s">
        <v>5410</v>
      </c>
      <c r="N1834" s="32" t="s">
        <v>37</v>
      </c>
    </row>
    <row r="1835" spans="1:14" s="32" customFormat="1" hidden="1" x14ac:dyDescent="0.3">
      <c r="A1835" s="39">
        <v>46178.496064814812</v>
      </c>
      <c r="B1835" s="32">
        <v>41999851787</v>
      </c>
      <c r="C1835" s="32">
        <v>4430265054</v>
      </c>
      <c r="D1835" s="32">
        <v>4430265054</v>
      </c>
      <c r="E1835" s="32">
        <v>34</v>
      </c>
      <c r="F1835" s="32">
        <v>33</v>
      </c>
      <c r="G1835" s="32" t="s">
        <v>52</v>
      </c>
      <c r="H1835" s="32" t="s">
        <v>7252</v>
      </c>
      <c r="I1835" s="32" t="s">
        <v>39</v>
      </c>
      <c r="J1835" s="32" t="s">
        <v>53</v>
      </c>
      <c r="K1835" s="32" t="s">
        <v>41</v>
      </c>
    </row>
    <row r="1836" spans="1:14" s="32" customFormat="1" hidden="1" x14ac:dyDescent="0.3">
      <c r="A1836" s="39">
        <v>46178.484884259262</v>
      </c>
      <c r="B1836" s="32" t="s">
        <v>54</v>
      </c>
      <c r="C1836" s="32">
        <v>1145719690</v>
      </c>
      <c r="E1836" s="32">
        <v>30</v>
      </c>
      <c r="F1836" s="32">
        <v>0</v>
      </c>
      <c r="G1836" s="32" t="s">
        <v>47</v>
      </c>
      <c r="H1836" s="32" t="s">
        <v>7253</v>
      </c>
      <c r="I1836" s="32" t="s">
        <v>46</v>
      </c>
      <c r="J1836" s="32" t="s">
        <v>55</v>
      </c>
      <c r="M1836" s="32" t="s">
        <v>5537</v>
      </c>
      <c r="N1836" s="32" t="s">
        <v>54</v>
      </c>
    </row>
    <row r="1837" spans="1:14" s="32" customFormat="1" hidden="1" x14ac:dyDescent="0.3">
      <c r="A1837" s="39">
        <v>46178.479745370372</v>
      </c>
      <c r="B1837" s="32" t="s">
        <v>54</v>
      </c>
      <c r="C1837" s="32">
        <v>1132216413</v>
      </c>
      <c r="E1837" s="32">
        <v>8</v>
      </c>
      <c r="F1837" s="32">
        <v>0</v>
      </c>
      <c r="G1837" s="32" t="s">
        <v>47</v>
      </c>
      <c r="H1837" s="32" t="s">
        <v>7254</v>
      </c>
      <c r="I1837" s="32" t="s">
        <v>46</v>
      </c>
      <c r="J1837" s="32" t="s">
        <v>55</v>
      </c>
      <c r="M1837" s="32" t="s">
        <v>5537</v>
      </c>
      <c r="N1837" s="32" t="s">
        <v>54</v>
      </c>
    </row>
    <row r="1838" spans="1:14" s="32" customFormat="1" hidden="1" x14ac:dyDescent="0.3">
      <c r="A1838" s="39">
        <v>46178.476678240739</v>
      </c>
      <c r="B1838" s="32">
        <v>4430450103</v>
      </c>
      <c r="C1838" s="32" t="s">
        <v>37</v>
      </c>
      <c r="D1838" s="32">
        <v>4430265054</v>
      </c>
      <c r="E1838" s="32">
        <v>2183</v>
      </c>
      <c r="F1838" s="32">
        <v>2064</v>
      </c>
      <c r="G1838" s="32" t="s">
        <v>38</v>
      </c>
      <c r="H1838" s="32" t="s">
        <v>7255</v>
      </c>
      <c r="I1838" s="32" t="s">
        <v>39</v>
      </c>
      <c r="J1838" s="32" t="s">
        <v>40</v>
      </c>
      <c r="K1838" s="32" t="s">
        <v>41</v>
      </c>
      <c r="L1838" s="32">
        <v>5</v>
      </c>
      <c r="M1838" s="32" t="s">
        <v>5410</v>
      </c>
      <c r="N1838" s="32" t="s">
        <v>37</v>
      </c>
    </row>
    <row r="1839" spans="1:14" s="32" customFormat="1" hidden="1" x14ac:dyDescent="0.3">
      <c r="A1839" s="39">
        <v>46178.474259259259</v>
      </c>
      <c r="B1839" s="32" t="s">
        <v>54</v>
      </c>
      <c r="C1839" s="32">
        <v>51996844476</v>
      </c>
      <c r="E1839" s="32">
        <v>9</v>
      </c>
      <c r="F1839" s="32">
        <v>3</v>
      </c>
      <c r="G1839" s="32" t="s">
        <v>38</v>
      </c>
      <c r="H1839" s="32" t="s">
        <v>7256</v>
      </c>
      <c r="I1839" s="32" t="s">
        <v>46</v>
      </c>
      <c r="J1839" s="32" t="s">
        <v>55</v>
      </c>
      <c r="M1839" s="32" t="s">
        <v>5537</v>
      </c>
      <c r="N1839" s="32" t="s">
        <v>54</v>
      </c>
    </row>
    <row r="1840" spans="1:14" s="32" customFormat="1" hidden="1" x14ac:dyDescent="0.3">
      <c r="A1840" s="39">
        <v>46178.464733796296</v>
      </c>
      <c r="B1840" s="32">
        <v>44991213399</v>
      </c>
      <c r="C1840" s="32" t="s">
        <v>37</v>
      </c>
      <c r="D1840" s="32">
        <v>4430265054</v>
      </c>
      <c r="E1840" s="32">
        <v>868</v>
      </c>
      <c r="F1840" s="32">
        <v>845</v>
      </c>
      <c r="G1840" s="32" t="s">
        <v>38</v>
      </c>
      <c r="H1840" s="32" t="s">
        <v>7257</v>
      </c>
      <c r="I1840" s="32" t="s">
        <v>39</v>
      </c>
      <c r="J1840" s="32" t="s">
        <v>40</v>
      </c>
      <c r="K1840" s="32" t="s">
        <v>41</v>
      </c>
      <c r="L1840" s="32">
        <v>5</v>
      </c>
      <c r="M1840" s="32" t="s">
        <v>5410</v>
      </c>
      <c r="N1840" s="32" t="s">
        <v>37</v>
      </c>
    </row>
    <row r="1841" spans="1:14" s="32" customFormat="1" hidden="1" x14ac:dyDescent="0.3">
      <c r="A1841" s="39">
        <v>46178.46125</v>
      </c>
      <c r="B1841" s="32">
        <v>1143744993</v>
      </c>
      <c r="C1841" s="32" t="s">
        <v>45</v>
      </c>
      <c r="D1841" s="32">
        <v>4431268225</v>
      </c>
      <c r="E1841" s="32">
        <v>3541</v>
      </c>
      <c r="F1841" s="32">
        <v>3499</v>
      </c>
      <c r="G1841" s="32" t="s">
        <v>38</v>
      </c>
      <c r="H1841" s="32" t="s">
        <v>7258</v>
      </c>
      <c r="I1841" s="32" t="s">
        <v>39</v>
      </c>
      <c r="J1841" s="32" t="s">
        <v>40</v>
      </c>
      <c r="K1841" s="32" t="s">
        <v>41</v>
      </c>
      <c r="M1841" s="32" t="s">
        <v>5421</v>
      </c>
      <c r="N1841" s="32" t="s">
        <v>45</v>
      </c>
    </row>
    <row r="1842" spans="1:14" s="32" customFormat="1" hidden="1" x14ac:dyDescent="0.3">
      <c r="A1842" s="39">
        <v>46178.460069444445</v>
      </c>
      <c r="B1842" s="32">
        <v>44984198651</v>
      </c>
      <c r="C1842" s="32" t="s">
        <v>43</v>
      </c>
      <c r="D1842" s="32">
        <v>4430265054</v>
      </c>
      <c r="E1842" s="32">
        <v>1005</v>
      </c>
      <c r="F1842" s="32">
        <v>938</v>
      </c>
      <c r="G1842" s="32" t="s">
        <v>38</v>
      </c>
      <c r="H1842" s="32" t="s">
        <v>7259</v>
      </c>
      <c r="I1842" s="32" t="s">
        <v>39</v>
      </c>
      <c r="J1842" s="32" t="s">
        <v>40</v>
      </c>
      <c r="K1842" s="32" t="s">
        <v>41</v>
      </c>
      <c r="M1842" s="32" t="s">
        <v>5418</v>
      </c>
      <c r="N1842" s="32" t="s">
        <v>43</v>
      </c>
    </row>
    <row r="1843" spans="1:14" s="32" customFormat="1" hidden="1" x14ac:dyDescent="0.3">
      <c r="A1843" s="39">
        <v>46178.450682870367</v>
      </c>
      <c r="B1843" s="32">
        <v>44988067937</v>
      </c>
      <c r="C1843" s="32" t="s">
        <v>43</v>
      </c>
      <c r="D1843" s="32">
        <v>4430265054</v>
      </c>
      <c r="E1843" s="32">
        <v>198</v>
      </c>
      <c r="F1843" s="32">
        <v>127</v>
      </c>
      <c r="G1843" s="32" t="s">
        <v>38</v>
      </c>
      <c r="H1843" s="32" t="s">
        <v>7260</v>
      </c>
      <c r="I1843" s="32" t="s">
        <v>39</v>
      </c>
      <c r="J1843" s="32" t="s">
        <v>40</v>
      </c>
      <c r="K1843" s="32" t="s">
        <v>41</v>
      </c>
      <c r="M1843" s="32" t="s">
        <v>5418</v>
      </c>
      <c r="N1843" s="32" t="s">
        <v>43</v>
      </c>
    </row>
    <row r="1844" spans="1:14" s="32" customFormat="1" hidden="1" x14ac:dyDescent="0.3">
      <c r="A1844" s="39">
        <v>46178.449421296296</v>
      </c>
      <c r="B1844" s="32">
        <v>44988067937</v>
      </c>
      <c r="C1844" s="32">
        <v>4430265054</v>
      </c>
      <c r="D1844" s="32">
        <v>4430265054</v>
      </c>
      <c r="E1844" s="32">
        <v>86</v>
      </c>
      <c r="F1844" s="32">
        <v>85</v>
      </c>
      <c r="G1844" s="32" t="s">
        <v>52</v>
      </c>
      <c r="H1844" s="32" t="s">
        <v>7261</v>
      </c>
      <c r="I1844" s="32" t="s">
        <v>39</v>
      </c>
      <c r="J1844" s="32" t="s">
        <v>53</v>
      </c>
      <c r="K1844" s="32" t="s">
        <v>41</v>
      </c>
    </row>
    <row r="1845" spans="1:14" s="32" customFormat="1" hidden="1" x14ac:dyDescent="0.3">
      <c r="A1845" s="39">
        <v>46178.445590277777</v>
      </c>
      <c r="B1845" s="32">
        <v>1131515685</v>
      </c>
      <c r="C1845" s="32" t="s">
        <v>44</v>
      </c>
      <c r="D1845" s="32">
        <v>4430265054</v>
      </c>
      <c r="E1845" s="32">
        <v>149</v>
      </c>
      <c r="F1845" s="32">
        <v>65</v>
      </c>
      <c r="G1845" s="32" t="s">
        <v>38</v>
      </c>
      <c r="H1845" s="32" t="s">
        <v>7262</v>
      </c>
      <c r="I1845" s="32" t="s">
        <v>39</v>
      </c>
      <c r="J1845" s="32" t="s">
        <v>40</v>
      </c>
      <c r="K1845" s="32" t="s">
        <v>41</v>
      </c>
      <c r="M1845" s="32" t="s">
        <v>5416</v>
      </c>
      <c r="N1845" s="32" t="s">
        <v>44</v>
      </c>
    </row>
    <row r="1846" spans="1:14" s="32" customFormat="1" hidden="1" x14ac:dyDescent="0.3">
      <c r="A1846" s="39">
        <v>46178.440069444441</v>
      </c>
      <c r="B1846" s="32">
        <v>4432524636</v>
      </c>
      <c r="C1846" s="32" t="s">
        <v>43</v>
      </c>
      <c r="D1846" s="32">
        <v>4430265054</v>
      </c>
      <c r="E1846" s="32">
        <v>420</v>
      </c>
      <c r="F1846" s="32">
        <v>284</v>
      </c>
      <c r="G1846" s="32" t="s">
        <v>38</v>
      </c>
      <c r="H1846" s="32" t="s">
        <v>7263</v>
      </c>
      <c r="I1846" s="32" t="s">
        <v>39</v>
      </c>
      <c r="J1846" s="32" t="s">
        <v>40</v>
      </c>
      <c r="K1846" s="32" t="s">
        <v>41</v>
      </c>
      <c r="L1846" s="32">
        <v>5</v>
      </c>
      <c r="M1846" s="32" t="s">
        <v>5418</v>
      </c>
      <c r="N1846" s="32" t="s">
        <v>43</v>
      </c>
    </row>
    <row r="1847" spans="1:14" s="32" customFormat="1" hidden="1" x14ac:dyDescent="0.3">
      <c r="A1847" s="39">
        <v>46178.439687500002</v>
      </c>
      <c r="B1847" s="32" t="s">
        <v>54</v>
      </c>
      <c r="C1847" s="32">
        <v>44999055465</v>
      </c>
      <c r="E1847" s="32">
        <v>0</v>
      </c>
      <c r="F1847" s="32">
        <v>0</v>
      </c>
      <c r="G1847" s="32" t="s">
        <v>47</v>
      </c>
      <c r="H1847" s="32" t="s">
        <v>7264</v>
      </c>
      <c r="I1847" s="32" t="s">
        <v>46</v>
      </c>
      <c r="J1847" s="32" t="s">
        <v>55</v>
      </c>
      <c r="M1847" s="32" t="s">
        <v>5537</v>
      </c>
      <c r="N1847" s="32" t="s">
        <v>54</v>
      </c>
    </row>
    <row r="1848" spans="1:14" s="32" customFormat="1" hidden="1" x14ac:dyDescent="0.3">
      <c r="A1848" s="39">
        <v>46178.438576388886</v>
      </c>
      <c r="B1848" s="32" t="s">
        <v>54</v>
      </c>
      <c r="C1848" s="32">
        <v>64999049579</v>
      </c>
      <c r="E1848" s="32">
        <v>6</v>
      </c>
      <c r="F1848" s="32">
        <v>0</v>
      </c>
      <c r="G1848" s="32" t="s">
        <v>47</v>
      </c>
      <c r="H1848" s="32" t="s">
        <v>7265</v>
      </c>
      <c r="I1848" s="32" t="s">
        <v>46</v>
      </c>
      <c r="J1848" s="32" t="s">
        <v>55</v>
      </c>
      <c r="M1848" s="32" t="s">
        <v>5537</v>
      </c>
      <c r="N1848" s="32" t="s">
        <v>54</v>
      </c>
    </row>
    <row r="1849" spans="1:14" s="32" customFormat="1" hidden="1" x14ac:dyDescent="0.3">
      <c r="A1849" s="39">
        <v>46178.438275462962</v>
      </c>
      <c r="B1849" s="32">
        <v>44997687156</v>
      </c>
      <c r="C1849" s="32" t="s">
        <v>37</v>
      </c>
      <c r="D1849" s="32">
        <v>4430265054</v>
      </c>
      <c r="E1849" s="32">
        <v>789</v>
      </c>
      <c r="F1849" s="32">
        <v>728</v>
      </c>
      <c r="G1849" s="32" t="s">
        <v>38</v>
      </c>
      <c r="H1849" s="32" t="s">
        <v>7266</v>
      </c>
      <c r="I1849" s="32" t="s">
        <v>39</v>
      </c>
      <c r="J1849" s="32" t="s">
        <v>40</v>
      </c>
      <c r="K1849" s="32" t="s">
        <v>41</v>
      </c>
      <c r="M1849" s="32" t="s">
        <v>5410</v>
      </c>
      <c r="N1849" s="32" t="s">
        <v>37</v>
      </c>
    </row>
    <row r="1850" spans="1:14" s="32" customFormat="1" x14ac:dyDescent="0.3">
      <c r="A1850" s="39">
        <v>46178.434432870374</v>
      </c>
      <c r="B1850" s="32" t="s">
        <v>44</v>
      </c>
      <c r="C1850" s="32">
        <v>46991011067</v>
      </c>
      <c r="E1850" s="32">
        <v>509</v>
      </c>
      <c r="F1850" s="32">
        <v>500</v>
      </c>
      <c r="G1850" s="32" t="s">
        <v>38</v>
      </c>
      <c r="H1850" s="32" t="s">
        <v>7267</v>
      </c>
      <c r="I1850" s="32" t="s">
        <v>46</v>
      </c>
      <c r="J1850" s="32" t="s">
        <v>40</v>
      </c>
      <c r="L1850" s="32">
        <v>5</v>
      </c>
      <c r="M1850" s="32" t="s">
        <v>5416</v>
      </c>
      <c r="N1850" s="32" t="s">
        <v>44</v>
      </c>
    </row>
    <row r="1851" spans="1:14" s="32" customFormat="1" hidden="1" x14ac:dyDescent="0.3">
      <c r="A1851" s="39">
        <v>46178.429664351854</v>
      </c>
      <c r="B1851" s="32">
        <v>6234347959</v>
      </c>
      <c r="C1851" s="32" t="s">
        <v>37</v>
      </c>
      <c r="D1851" s="32">
        <v>4430265054</v>
      </c>
      <c r="E1851" s="32">
        <v>229</v>
      </c>
      <c r="F1851" s="32">
        <v>157</v>
      </c>
      <c r="G1851" s="32" t="s">
        <v>38</v>
      </c>
      <c r="H1851" s="32" t="s">
        <v>7268</v>
      </c>
      <c r="I1851" s="32" t="s">
        <v>39</v>
      </c>
      <c r="J1851" s="32" t="s">
        <v>40</v>
      </c>
      <c r="K1851" s="32" t="s">
        <v>41</v>
      </c>
      <c r="M1851" s="32" t="s">
        <v>5410</v>
      </c>
      <c r="N1851" s="32" t="s">
        <v>37</v>
      </c>
    </row>
    <row r="1852" spans="1:14" s="32" customFormat="1" hidden="1" x14ac:dyDescent="0.3">
      <c r="A1852" s="39">
        <v>46178.423738425925</v>
      </c>
      <c r="B1852" s="32">
        <v>19998793706</v>
      </c>
      <c r="C1852" s="32" t="s">
        <v>45</v>
      </c>
      <c r="D1852" s="32">
        <v>4430265054</v>
      </c>
      <c r="E1852" s="32">
        <v>1156</v>
      </c>
      <c r="F1852" s="32">
        <v>1111</v>
      </c>
      <c r="G1852" s="32" t="s">
        <v>38</v>
      </c>
      <c r="H1852" s="32" t="s">
        <v>7269</v>
      </c>
      <c r="I1852" s="32" t="s">
        <v>39</v>
      </c>
      <c r="J1852" s="32" t="s">
        <v>40</v>
      </c>
      <c r="K1852" s="32" t="s">
        <v>41</v>
      </c>
      <c r="L1852" s="32">
        <v>5</v>
      </c>
      <c r="M1852" s="32" t="s">
        <v>5421</v>
      </c>
      <c r="N1852" s="32" t="s">
        <v>45</v>
      </c>
    </row>
    <row r="1853" spans="1:14" s="32" customFormat="1" hidden="1" x14ac:dyDescent="0.3">
      <c r="A1853" s="39">
        <v>46178.41883101852</v>
      </c>
      <c r="B1853" s="32">
        <v>43984040334</v>
      </c>
      <c r="C1853" s="32" t="s">
        <v>37</v>
      </c>
      <c r="D1853" s="32">
        <v>4430265054</v>
      </c>
      <c r="E1853" s="32">
        <v>786</v>
      </c>
      <c r="F1853" s="32">
        <v>730</v>
      </c>
      <c r="G1853" s="32" t="s">
        <v>38</v>
      </c>
      <c r="H1853" s="32" t="s">
        <v>7270</v>
      </c>
      <c r="I1853" s="32" t="s">
        <v>39</v>
      </c>
      <c r="J1853" s="32" t="s">
        <v>40</v>
      </c>
      <c r="K1853" s="32" t="s">
        <v>41</v>
      </c>
      <c r="L1853" s="32">
        <v>5</v>
      </c>
      <c r="M1853" s="32" t="s">
        <v>5410</v>
      </c>
      <c r="N1853" s="32" t="s">
        <v>37</v>
      </c>
    </row>
    <row r="1854" spans="1:14" s="32" customFormat="1" hidden="1" x14ac:dyDescent="0.3">
      <c r="A1854" s="39">
        <v>46178.418692129628</v>
      </c>
      <c r="B1854" s="32">
        <v>62994086124</v>
      </c>
      <c r="C1854" s="32" t="s">
        <v>43</v>
      </c>
      <c r="D1854" s="32">
        <v>4430265054</v>
      </c>
      <c r="E1854" s="32">
        <v>961</v>
      </c>
      <c r="F1854" s="32">
        <v>899</v>
      </c>
      <c r="G1854" s="32" t="s">
        <v>38</v>
      </c>
      <c r="H1854" s="32" t="s">
        <v>7271</v>
      </c>
      <c r="I1854" s="32" t="s">
        <v>39</v>
      </c>
      <c r="J1854" s="32" t="s">
        <v>40</v>
      </c>
      <c r="K1854" s="32" t="s">
        <v>41</v>
      </c>
      <c r="M1854" s="32" t="s">
        <v>5418</v>
      </c>
      <c r="N1854" s="32" t="s">
        <v>43</v>
      </c>
    </row>
    <row r="1855" spans="1:14" s="32" customFormat="1" hidden="1" x14ac:dyDescent="0.3">
      <c r="A1855" s="39">
        <v>46178.408680555556</v>
      </c>
      <c r="B1855" s="32">
        <v>2222100098</v>
      </c>
      <c r="C1855" s="32" t="s">
        <v>48</v>
      </c>
      <c r="D1855" s="32">
        <v>4430265054</v>
      </c>
      <c r="E1855" s="32">
        <v>986</v>
      </c>
      <c r="F1855" s="32">
        <v>986</v>
      </c>
      <c r="G1855" s="32" t="s">
        <v>38</v>
      </c>
      <c r="H1855" s="32" t="s">
        <v>7272</v>
      </c>
      <c r="I1855" s="32" t="s">
        <v>39</v>
      </c>
      <c r="J1855" s="32" t="s">
        <v>40</v>
      </c>
      <c r="K1855" s="32" t="s">
        <v>41</v>
      </c>
      <c r="M1855" s="32" t="s">
        <v>5412</v>
      </c>
      <c r="N1855" s="32" t="s">
        <v>48</v>
      </c>
    </row>
    <row r="1856" spans="1:14" s="32" customFormat="1" hidden="1" x14ac:dyDescent="0.3">
      <c r="A1856" s="39">
        <v>46178.406851851854</v>
      </c>
      <c r="B1856" s="32">
        <v>6234347959</v>
      </c>
      <c r="C1856" s="32" t="s">
        <v>45</v>
      </c>
      <c r="D1856" s="32">
        <v>4430265054</v>
      </c>
      <c r="E1856" s="32">
        <v>626</v>
      </c>
      <c r="F1856" s="32">
        <v>528</v>
      </c>
      <c r="G1856" s="32" t="s">
        <v>38</v>
      </c>
      <c r="H1856" s="32" t="s">
        <v>7273</v>
      </c>
      <c r="I1856" s="32" t="s">
        <v>39</v>
      </c>
      <c r="J1856" s="32" t="s">
        <v>40</v>
      </c>
      <c r="K1856" s="32" t="s">
        <v>41</v>
      </c>
      <c r="M1856" s="32" t="s">
        <v>5421</v>
      </c>
      <c r="N1856" s="32" t="s">
        <v>45</v>
      </c>
    </row>
    <row r="1857" spans="1:14" s="32" customFormat="1" hidden="1" x14ac:dyDescent="0.3">
      <c r="A1857" s="39">
        <v>46178.403773148151</v>
      </c>
      <c r="B1857" s="32">
        <v>46991011067</v>
      </c>
      <c r="C1857" s="32" t="s">
        <v>44</v>
      </c>
      <c r="D1857" s="32">
        <v>4430265054</v>
      </c>
      <c r="E1857" s="32">
        <v>833</v>
      </c>
      <c r="F1857" s="32">
        <v>807</v>
      </c>
      <c r="G1857" s="32" t="s">
        <v>38</v>
      </c>
      <c r="H1857" s="32" t="s">
        <v>7274</v>
      </c>
      <c r="I1857" s="32" t="s">
        <v>39</v>
      </c>
      <c r="J1857" s="32" t="s">
        <v>40</v>
      </c>
      <c r="K1857" s="32" t="s">
        <v>41</v>
      </c>
      <c r="M1857" s="32" t="s">
        <v>5416</v>
      </c>
      <c r="N1857" s="32" t="s">
        <v>44</v>
      </c>
    </row>
    <row r="1858" spans="1:14" s="32" customFormat="1" hidden="1" x14ac:dyDescent="0.3">
      <c r="A1858" s="39">
        <v>46178.398125</v>
      </c>
      <c r="B1858" s="32">
        <v>4432272377</v>
      </c>
      <c r="C1858" s="32" t="s">
        <v>37</v>
      </c>
      <c r="D1858" s="32">
        <v>4430265054</v>
      </c>
      <c r="E1858" s="32">
        <v>1050</v>
      </c>
      <c r="F1858" s="32">
        <v>892</v>
      </c>
      <c r="G1858" s="32" t="s">
        <v>38</v>
      </c>
      <c r="H1858" s="32" t="s">
        <v>7275</v>
      </c>
      <c r="I1858" s="32" t="s">
        <v>39</v>
      </c>
      <c r="J1858" s="32" t="s">
        <v>40</v>
      </c>
      <c r="K1858" s="32" t="s">
        <v>41</v>
      </c>
      <c r="M1858" s="32" t="s">
        <v>5410</v>
      </c>
      <c r="N1858" s="32" t="s">
        <v>37</v>
      </c>
    </row>
    <row r="1859" spans="1:14" s="32" customFormat="1" hidden="1" x14ac:dyDescent="0.3">
      <c r="A1859" s="39">
        <v>46178.38894675926</v>
      </c>
      <c r="B1859" s="32" t="s">
        <v>45</v>
      </c>
      <c r="C1859" s="32">
        <v>4330332823</v>
      </c>
      <c r="E1859" s="32">
        <v>1357</v>
      </c>
      <c r="F1859" s="32">
        <v>1350</v>
      </c>
      <c r="G1859" s="32" t="s">
        <v>38</v>
      </c>
      <c r="H1859" s="32" t="s">
        <v>7276</v>
      </c>
      <c r="I1859" s="32" t="s">
        <v>46</v>
      </c>
      <c r="J1859" s="32" t="s">
        <v>40</v>
      </c>
      <c r="L1859" s="32">
        <v>5</v>
      </c>
      <c r="M1859" s="32" t="s">
        <v>5421</v>
      </c>
      <c r="N1859" s="32" t="s">
        <v>45</v>
      </c>
    </row>
    <row r="1860" spans="1:14" s="32" customFormat="1" hidden="1" x14ac:dyDescent="0.3">
      <c r="A1860" s="39">
        <v>46178.385358796295</v>
      </c>
      <c r="B1860" s="32">
        <v>44998640313</v>
      </c>
      <c r="C1860" s="32" t="s">
        <v>43</v>
      </c>
      <c r="D1860" s="32">
        <v>4430265054</v>
      </c>
      <c r="E1860" s="32">
        <v>90</v>
      </c>
      <c r="F1860" s="32">
        <v>69</v>
      </c>
      <c r="G1860" s="32" t="s">
        <v>38</v>
      </c>
      <c r="H1860" s="32" t="s">
        <v>7277</v>
      </c>
      <c r="I1860" s="32" t="s">
        <v>39</v>
      </c>
      <c r="J1860" s="32" t="s">
        <v>40</v>
      </c>
      <c r="K1860" s="32" t="s">
        <v>41</v>
      </c>
      <c r="M1860" s="32" t="s">
        <v>5418</v>
      </c>
      <c r="N1860" s="32" t="s">
        <v>43</v>
      </c>
    </row>
    <row r="1861" spans="1:14" s="32" customFormat="1" hidden="1" x14ac:dyDescent="0.3">
      <c r="A1861" s="39">
        <v>46178.38449074074</v>
      </c>
      <c r="B1861" s="32">
        <v>4330332823</v>
      </c>
      <c r="C1861" s="32" t="s">
        <v>45</v>
      </c>
      <c r="D1861" s="32">
        <v>4430265054</v>
      </c>
      <c r="E1861" s="32">
        <v>290</v>
      </c>
      <c r="F1861" s="32">
        <v>129</v>
      </c>
      <c r="G1861" s="32" t="s">
        <v>38</v>
      </c>
      <c r="H1861" s="32" t="s">
        <v>7278</v>
      </c>
      <c r="I1861" s="32" t="s">
        <v>39</v>
      </c>
      <c r="J1861" s="32" t="s">
        <v>40</v>
      </c>
      <c r="K1861" s="32" t="s">
        <v>41</v>
      </c>
      <c r="M1861" s="32" t="s">
        <v>5421</v>
      </c>
      <c r="N1861" s="32" t="s">
        <v>45</v>
      </c>
    </row>
    <row r="1862" spans="1:14" s="32" customFormat="1" hidden="1" x14ac:dyDescent="0.3">
      <c r="A1862" s="39">
        <v>46178.380300925928</v>
      </c>
      <c r="B1862" s="32">
        <v>81986261961</v>
      </c>
      <c r="C1862" s="32" t="s">
        <v>45</v>
      </c>
      <c r="D1862" s="32">
        <v>4430265054</v>
      </c>
      <c r="E1862" s="32">
        <v>219</v>
      </c>
      <c r="F1862" s="32">
        <v>199</v>
      </c>
      <c r="G1862" s="32" t="s">
        <v>38</v>
      </c>
      <c r="H1862" s="32" t="s">
        <v>7279</v>
      </c>
      <c r="I1862" s="32" t="s">
        <v>39</v>
      </c>
      <c r="J1862" s="32" t="s">
        <v>40</v>
      </c>
      <c r="K1862" s="32" t="s">
        <v>41</v>
      </c>
      <c r="L1862" s="32">
        <v>5</v>
      </c>
      <c r="M1862" s="32" t="s">
        <v>5421</v>
      </c>
      <c r="N1862" s="32" t="s">
        <v>45</v>
      </c>
    </row>
    <row r="1863" spans="1:14" s="32" customFormat="1" hidden="1" x14ac:dyDescent="0.3">
      <c r="A1863" s="39">
        <v>46178.374907407408</v>
      </c>
      <c r="B1863" s="32" t="s">
        <v>43</v>
      </c>
      <c r="C1863" s="32">
        <v>4434212150</v>
      </c>
      <c r="E1863" s="32">
        <v>1</v>
      </c>
      <c r="F1863" s="32">
        <v>0</v>
      </c>
      <c r="G1863" s="32" t="s">
        <v>47</v>
      </c>
      <c r="H1863" s="32" t="s">
        <v>7280</v>
      </c>
      <c r="I1863" s="32" t="s">
        <v>46</v>
      </c>
      <c r="J1863" s="32" t="s">
        <v>40</v>
      </c>
      <c r="M1863" s="32" t="s">
        <v>5418</v>
      </c>
      <c r="N1863" s="32" t="s">
        <v>43</v>
      </c>
    </row>
    <row r="1864" spans="1:14" s="32" customFormat="1" hidden="1" x14ac:dyDescent="0.3">
      <c r="A1864" s="39">
        <v>46178.374803240738</v>
      </c>
      <c r="B1864" s="32" t="s">
        <v>43</v>
      </c>
      <c r="C1864" s="32">
        <v>4434212150</v>
      </c>
      <c r="E1864" s="32">
        <v>14</v>
      </c>
      <c r="F1864" s="32">
        <v>13</v>
      </c>
      <c r="G1864" s="32" t="s">
        <v>38</v>
      </c>
      <c r="H1864" s="32" t="s">
        <v>7281</v>
      </c>
      <c r="I1864" s="32" t="s">
        <v>46</v>
      </c>
      <c r="J1864" s="32" t="s">
        <v>40</v>
      </c>
      <c r="M1864" s="32" t="s">
        <v>5418</v>
      </c>
      <c r="N1864" s="32" t="s">
        <v>43</v>
      </c>
    </row>
    <row r="1865" spans="1:14" s="32" customFormat="1" hidden="1" x14ac:dyDescent="0.3">
      <c r="A1865" s="39">
        <v>46178.374444444446</v>
      </c>
      <c r="B1865" s="32" t="s">
        <v>43</v>
      </c>
      <c r="C1865" s="32">
        <v>4434212150</v>
      </c>
      <c r="E1865" s="32">
        <v>1</v>
      </c>
      <c r="F1865" s="32">
        <v>0</v>
      </c>
      <c r="G1865" s="32" t="s">
        <v>47</v>
      </c>
      <c r="H1865" s="32" t="s">
        <v>7282</v>
      </c>
      <c r="I1865" s="32" t="s">
        <v>46</v>
      </c>
      <c r="J1865" s="32" t="s">
        <v>40</v>
      </c>
      <c r="M1865" s="32" t="s">
        <v>5418</v>
      </c>
      <c r="N1865" s="32" t="s">
        <v>43</v>
      </c>
    </row>
    <row r="1866" spans="1:14" s="32" customFormat="1" hidden="1" x14ac:dyDescent="0.3">
      <c r="A1866" s="39">
        <v>46178.374305555553</v>
      </c>
      <c r="B1866" s="32" t="s">
        <v>43</v>
      </c>
      <c r="C1866" s="32">
        <v>4434212150</v>
      </c>
      <c r="E1866" s="32">
        <v>1</v>
      </c>
      <c r="F1866" s="32">
        <v>0</v>
      </c>
      <c r="G1866" s="32" t="s">
        <v>47</v>
      </c>
      <c r="H1866" s="32" t="s">
        <v>7283</v>
      </c>
      <c r="I1866" s="32" t="s">
        <v>46</v>
      </c>
      <c r="J1866" s="32" t="s">
        <v>40</v>
      </c>
      <c r="M1866" s="32" t="s">
        <v>5418</v>
      </c>
      <c r="N1866" s="32" t="s">
        <v>43</v>
      </c>
    </row>
    <row r="1867" spans="1:14" s="32" customFormat="1" hidden="1" x14ac:dyDescent="0.3">
      <c r="A1867" s="39">
        <v>46178.372615740744</v>
      </c>
      <c r="B1867" s="32">
        <v>4432272377</v>
      </c>
      <c r="C1867" s="32" t="s">
        <v>37</v>
      </c>
      <c r="D1867" s="32">
        <v>4430265054</v>
      </c>
      <c r="E1867" s="32">
        <v>1046</v>
      </c>
      <c r="F1867" s="32">
        <v>997</v>
      </c>
      <c r="G1867" s="32" t="s">
        <v>38</v>
      </c>
      <c r="H1867" s="32" t="s">
        <v>7284</v>
      </c>
      <c r="I1867" s="32" t="s">
        <v>39</v>
      </c>
      <c r="J1867" s="32" t="s">
        <v>40</v>
      </c>
      <c r="K1867" s="32" t="s">
        <v>41</v>
      </c>
      <c r="M1867" s="32" t="s">
        <v>5410</v>
      </c>
      <c r="N1867" s="32" t="s">
        <v>37</v>
      </c>
    </row>
    <row r="1868" spans="1:14" s="32" customFormat="1" hidden="1" x14ac:dyDescent="0.3">
      <c r="A1868" s="39">
        <v>46178.364386574074</v>
      </c>
      <c r="B1868" s="32">
        <v>83988398480</v>
      </c>
      <c r="C1868" s="32" t="s">
        <v>44</v>
      </c>
      <c r="D1868" s="32">
        <v>4430265054</v>
      </c>
      <c r="E1868" s="32">
        <v>1763</v>
      </c>
      <c r="F1868" s="32">
        <v>1686</v>
      </c>
      <c r="G1868" s="32" t="s">
        <v>38</v>
      </c>
      <c r="H1868" s="32" t="s">
        <v>7285</v>
      </c>
      <c r="I1868" s="32" t="s">
        <v>39</v>
      </c>
      <c r="J1868" s="32" t="s">
        <v>40</v>
      </c>
      <c r="K1868" s="32" t="s">
        <v>41</v>
      </c>
      <c r="L1868" s="32">
        <v>5</v>
      </c>
      <c r="M1868" s="32" t="s">
        <v>5416</v>
      </c>
      <c r="N1868" s="32" t="s">
        <v>44</v>
      </c>
    </row>
    <row r="1869" spans="1:14" s="32" customFormat="1" hidden="1" x14ac:dyDescent="0.3">
      <c r="A1869" s="39">
        <v>46178.358368055553</v>
      </c>
      <c r="B1869" s="32">
        <v>44997134514</v>
      </c>
      <c r="C1869" s="32" t="s">
        <v>45</v>
      </c>
      <c r="D1869" s="32">
        <v>4430265054</v>
      </c>
      <c r="E1869" s="32">
        <v>762</v>
      </c>
      <c r="F1869" s="32">
        <v>742</v>
      </c>
      <c r="G1869" s="32" t="s">
        <v>38</v>
      </c>
      <c r="H1869" s="32" t="s">
        <v>7286</v>
      </c>
      <c r="I1869" s="32" t="s">
        <v>39</v>
      </c>
      <c r="J1869" s="32" t="s">
        <v>40</v>
      </c>
      <c r="K1869" s="32" t="s">
        <v>41</v>
      </c>
      <c r="M1869" s="32" t="s">
        <v>5421</v>
      </c>
      <c r="N1869" s="32" t="s">
        <v>45</v>
      </c>
    </row>
    <row r="1870" spans="1:14" s="32" customFormat="1" hidden="1" x14ac:dyDescent="0.3">
      <c r="A1870" s="39">
        <v>46178.357847222222</v>
      </c>
      <c r="B1870" s="32">
        <v>1438160351</v>
      </c>
      <c r="C1870" s="32">
        <v>4430265054</v>
      </c>
      <c r="D1870" s="32">
        <v>4430265054</v>
      </c>
      <c r="E1870" s="32">
        <v>9</v>
      </c>
      <c r="F1870" s="32">
        <v>8</v>
      </c>
      <c r="G1870" s="32" t="s">
        <v>52</v>
      </c>
      <c r="H1870" s="32" t="s">
        <v>7287</v>
      </c>
      <c r="I1870" s="32" t="s">
        <v>39</v>
      </c>
      <c r="J1870" s="32" t="s">
        <v>53</v>
      </c>
    </row>
    <row r="1871" spans="1:14" s="32" customFormat="1" hidden="1" x14ac:dyDescent="0.3">
      <c r="A1871" s="39">
        <v>46177.717129629629</v>
      </c>
      <c r="B1871" s="32">
        <v>41992013248</v>
      </c>
      <c r="C1871" s="32">
        <v>4430265054</v>
      </c>
      <c r="D1871" s="32">
        <v>4430265054</v>
      </c>
      <c r="E1871" s="32">
        <v>29</v>
      </c>
      <c r="F1871" s="32">
        <v>28</v>
      </c>
      <c r="G1871" s="32" t="s">
        <v>52</v>
      </c>
      <c r="H1871" s="32" t="s">
        <v>7288</v>
      </c>
      <c r="I1871" s="32" t="s">
        <v>39</v>
      </c>
      <c r="J1871" s="32" t="s">
        <v>53</v>
      </c>
    </row>
    <row r="1872" spans="1:14" s="32" customFormat="1" hidden="1" x14ac:dyDescent="0.3">
      <c r="A1872" s="39">
        <v>46177.569872685184</v>
      </c>
      <c r="B1872" s="32">
        <v>12996381077</v>
      </c>
      <c r="C1872" s="32">
        <v>4430265054</v>
      </c>
      <c r="D1872" s="32">
        <v>4430265054</v>
      </c>
      <c r="E1872" s="32">
        <v>29</v>
      </c>
      <c r="F1872" s="32">
        <v>29</v>
      </c>
      <c r="G1872" s="32" t="s">
        <v>52</v>
      </c>
      <c r="H1872" s="32" t="s">
        <v>7289</v>
      </c>
      <c r="I1872" s="32" t="s">
        <v>39</v>
      </c>
      <c r="J1872" s="32" t="s">
        <v>53</v>
      </c>
    </row>
    <row r="1873" spans="1:14" s="32" customFormat="1" hidden="1" x14ac:dyDescent="0.3">
      <c r="A1873" s="39">
        <v>46177.565347222226</v>
      </c>
      <c r="B1873" s="32">
        <v>12996381077</v>
      </c>
      <c r="C1873" s="32">
        <v>4430265054</v>
      </c>
      <c r="D1873" s="32">
        <v>4430265054</v>
      </c>
      <c r="E1873" s="32">
        <v>29</v>
      </c>
      <c r="F1873" s="32">
        <v>28</v>
      </c>
      <c r="G1873" s="32" t="s">
        <v>52</v>
      </c>
      <c r="H1873" s="32" t="s">
        <v>7290</v>
      </c>
      <c r="I1873" s="32" t="s">
        <v>39</v>
      </c>
      <c r="J1873" s="32" t="s">
        <v>53</v>
      </c>
    </row>
    <row r="1874" spans="1:14" s="32" customFormat="1" hidden="1" x14ac:dyDescent="0.3">
      <c r="A1874" s="39">
        <v>46177.564259259256</v>
      </c>
      <c r="B1874" s="32">
        <v>12996381077</v>
      </c>
      <c r="C1874" s="32">
        <v>4430265054</v>
      </c>
      <c r="D1874" s="32">
        <v>4430265054</v>
      </c>
      <c r="E1874" s="32">
        <v>28</v>
      </c>
      <c r="F1874" s="32">
        <v>28</v>
      </c>
      <c r="G1874" s="32" t="s">
        <v>52</v>
      </c>
      <c r="H1874" s="32" t="s">
        <v>7291</v>
      </c>
      <c r="I1874" s="32" t="s">
        <v>39</v>
      </c>
      <c r="J1874" s="32" t="s">
        <v>53</v>
      </c>
    </row>
    <row r="1875" spans="1:14" s="32" customFormat="1" hidden="1" x14ac:dyDescent="0.3">
      <c r="A1875" s="39">
        <v>46177.561168981483</v>
      </c>
      <c r="B1875" s="32">
        <v>12996381077</v>
      </c>
      <c r="C1875" s="32">
        <v>4430265054</v>
      </c>
      <c r="D1875" s="32">
        <v>4430265054</v>
      </c>
      <c r="E1875" s="32">
        <v>15</v>
      </c>
      <c r="F1875" s="32">
        <v>15</v>
      </c>
      <c r="G1875" s="32" t="s">
        <v>52</v>
      </c>
      <c r="H1875" s="32" t="s">
        <v>7292</v>
      </c>
      <c r="I1875" s="32" t="s">
        <v>39</v>
      </c>
      <c r="J1875" s="32" t="s">
        <v>53</v>
      </c>
    </row>
    <row r="1876" spans="1:14" s="32" customFormat="1" hidden="1" x14ac:dyDescent="0.3">
      <c r="A1876" s="39">
        <v>46177.442662037036</v>
      </c>
      <c r="B1876" s="32">
        <v>81983567163</v>
      </c>
      <c r="C1876" s="32">
        <v>4431268225</v>
      </c>
      <c r="D1876" s="32">
        <v>4431268225</v>
      </c>
      <c r="E1876" s="32">
        <v>11</v>
      </c>
      <c r="F1876" s="32">
        <v>11</v>
      </c>
      <c r="G1876" s="32" t="s">
        <v>52</v>
      </c>
      <c r="H1876" s="32" t="s">
        <v>7293</v>
      </c>
      <c r="I1876" s="32" t="s">
        <v>39</v>
      </c>
      <c r="J1876" s="32" t="s">
        <v>53</v>
      </c>
    </row>
    <row r="1877" spans="1:14" s="32" customFormat="1" hidden="1" x14ac:dyDescent="0.3">
      <c r="A1877" s="39">
        <v>46176.993495370371</v>
      </c>
      <c r="B1877" s="32">
        <v>43999965552</v>
      </c>
      <c r="C1877" s="32">
        <v>4431268225</v>
      </c>
      <c r="D1877" s="32">
        <v>4431268225</v>
      </c>
      <c r="E1877" s="32">
        <v>6</v>
      </c>
      <c r="F1877" s="32">
        <v>5</v>
      </c>
      <c r="G1877" s="32" t="s">
        <v>52</v>
      </c>
      <c r="H1877" s="32" t="s">
        <v>7294</v>
      </c>
      <c r="I1877" s="32" t="s">
        <v>39</v>
      </c>
      <c r="J1877" s="32" t="s">
        <v>53</v>
      </c>
    </row>
    <row r="1878" spans="1:14" s="32" customFormat="1" hidden="1" x14ac:dyDescent="0.3">
      <c r="A1878" s="39">
        <v>46176.747696759259</v>
      </c>
      <c r="B1878" s="32">
        <v>1131515685</v>
      </c>
      <c r="C1878" s="32">
        <v>4430265054</v>
      </c>
      <c r="D1878" s="32">
        <v>4430265054</v>
      </c>
      <c r="E1878" s="32">
        <v>10</v>
      </c>
      <c r="F1878" s="32">
        <v>9</v>
      </c>
      <c r="G1878" s="32" t="s">
        <v>52</v>
      </c>
      <c r="H1878" s="32" t="s">
        <v>7295</v>
      </c>
      <c r="I1878" s="32" t="s">
        <v>39</v>
      </c>
      <c r="J1878" s="32" t="s">
        <v>53</v>
      </c>
    </row>
    <row r="1879" spans="1:14" s="32" customFormat="1" hidden="1" x14ac:dyDescent="0.3">
      <c r="A1879" s="39">
        <v>46176.742071759261</v>
      </c>
      <c r="B1879" s="32">
        <v>41995061279</v>
      </c>
      <c r="C1879" s="32" t="s">
        <v>37</v>
      </c>
      <c r="D1879" s="32">
        <v>4430265054</v>
      </c>
      <c r="E1879" s="32">
        <v>898</v>
      </c>
      <c r="F1879" s="32">
        <v>798</v>
      </c>
      <c r="G1879" s="32" t="s">
        <v>38</v>
      </c>
      <c r="H1879" s="32" t="s">
        <v>7296</v>
      </c>
      <c r="I1879" s="32" t="s">
        <v>39</v>
      </c>
      <c r="J1879" s="32" t="s">
        <v>40</v>
      </c>
      <c r="K1879" s="32" t="s">
        <v>41</v>
      </c>
      <c r="M1879" s="32" t="s">
        <v>5410</v>
      </c>
      <c r="N1879" s="32" t="s">
        <v>37</v>
      </c>
    </row>
    <row r="1880" spans="1:14" s="32" customFormat="1" hidden="1" x14ac:dyDescent="0.3">
      <c r="A1880" s="39">
        <v>46176.739548611113</v>
      </c>
      <c r="B1880" s="32">
        <v>44999770237</v>
      </c>
      <c r="C1880" s="32" t="s">
        <v>48</v>
      </c>
      <c r="D1880" s="32">
        <v>4430265054</v>
      </c>
      <c r="E1880" s="32">
        <v>284</v>
      </c>
      <c r="F1880" s="32">
        <v>268</v>
      </c>
      <c r="G1880" s="32" t="s">
        <v>38</v>
      </c>
      <c r="H1880" s="32" t="s">
        <v>7297</v>
      </c>
      <c r="I1880" s="32" t="s">
        <v>39</v>
      </c>
      <c r="J1880" s="32" t="s">
        <v>40</v>
      </c>
      <c r="K1880" s="32" t="s">
        <v>41</v>
      </c>
      <c r="M1880" s="32" t="s">
        <v>5412</v>
      </c>
      <c r="N1880" s="32" t="s">
        <v>48</v>
      </c>
    </row>
    <row r="1881" spans="1:14" s="32" customFormat="1" hidden="1" x14ac:dyDescent="0.3">
      <c r="A1881" s="39">
        <v>46176.734363425923</v>
      </c>
      <c r="B1881" s="32" t="s">
        <v>54</v>
      </c>
      <c r="C1881" s="32">
        <v>95999577261</v>
      </c>
      <c r="E1881" s="32">
        <v>7</v>
      </c>
      <c r="F1881" s="32">
        <v>0</v>
      </c>
      <c r="G1881" s="32" t="s">
        <v>47</v>
      </c>
      <c r="H1881" s="32" t="s">
        <v>7298</v>
      </c>
      <c r="I1881" s="32" t="s">
        <v>46</v>
      </c>
      <c r="J1881" s="32" t="s">
        <v>55</v>
      </c>
      <c r="M1881" s="32" t="s">
        <v>5537</v>
      </c>
      <c r="N1881" s="32" t="s">
        <v>54</v>
      </c>
    </row>
    <row r="1882" spans="1:14" s="32" customFormat="1" hidden="1" x14ac:dyDescent="0.3">
      <c r="A1882" s="39">
        <v>46176.731770833336</v>
      </c>
      <c r="B1882" s="32" t="s">
        <v>43</v>
      </c>
      <c r="C1882" s="32">
        <v>41995061279</v>
      </c>
      <c r="E1882" s="32">
        <v>431</v>
      </c>
      <c r="F1882" s="32">
        <v>417</v>
      </c>
      <c r="G1882" s="32" t="s">
        <v>38</v>
      </c>
      <c r="H1882" s="32" t="s">
        <v>7299</v>
      </c>
      <c r="I1882" s="32" t="s">
        <v>46</v>
      </c>
      <c r="J1882" s="32" t="s">
        <v>40</v>
      </c>
      <c r="M1882" s="32" t="s">
        <v>5418</v>
      </c>
      <c r="N1882" s="32" t="s">
        <v>43</v>
      </c>
    </row>
    <row r="1883" spans="1:14" s="32" customFormat="1" hidden="1" x14ac:dyDescent="0.3">
      <c r="A1883" s="39">
        <v>46176.731307870374</v>
      </c>
      <c r="B1883" s="32">
        <v>4432541200</v>
      </c>
      <c r="C1883" s="32" t="s">
        <v>44</v>
      </c>
      <c r="D1883" s="32">
        <v>4430265054</v>
      </c>
      <c r="E1883" s="32">
        <v>339</v>
      </c>
      <c r="F1883" s="32">
        <v>256</v>
      </c>
      <c r="G1883" s="32" t="s">
        <v>38</v>
      </c>
      <c r="H1883" s="32" t="s">
        <v>7300</v>
      </c>
      <c r="I1883" s="32" t="s">
        <v>39</v>
      </c>
      <c r="J1883" s="32" t="s">
        <v>40</v>
      </c>
      <c r="K1883" s="32" t="s">
        <v>41</v>
      </c>
      <c r="L1883" s="32">
        <v>5</v>
      </c>
      <c r="M1883" s="32" t="s">
        <v>5416</v>
      </c>
      <c r="N1883" s="32" t="s">
        <v>44</v>
      </c>
    </row>
    <row r="1884" spans="1:14" s="32" customFormat="1" hidden="1" x14ac:dyDescent="0.3">
      <c r="A1884" s="39">
        <v>46176.731064814812</v>
      </c>
      <c r="B1884" s="32" t="s">
        <v>45</v>
      </c>
      <c r="C1884" s="32">
        <v>44999479853</v>
      </c>
      <c r="E1884" s="32">
        <v>52</v>
      </c>
      <c r="F1884" s="32">
        <v>29</v>
      </c>
      <c r="G1884" s="32" t="s">
        <v>38</v>
      </c>
      <c r="H1884" s="32" t="s">
        <v>7301</v>
      </c>
      <c r="I1884" s="32" t="s">
        <v>46</v>
      </c>
      <c r="J1884" s="32" t="s">
        <v>40</v>
      </c>
      <c r="M1884" s="32" t="s">
        <v>5421</v>
      </c>
      <c r="N1884" s="32" t="s">
        <v>45</v>
      </c>
    </row>
    <row r="1885" spans="1:14" s="32" customFormat="1" hidden="1" x14ac:dyDescent="0.3">
      <c r="A1885" s="39">
        <v>46176.730775462966</v>
      </c>
      <c r="B1885" s="32" t="s">
        <v>45</v>
      </c>
      <c r="C1885" s="32">
        <v>44999479853</v>
      </c>
      <c r="E1885" s="32">
        <v>22</v>
      </c>
      <c r="F1885" s="32">
        <v>2</v>
      </c>
      <c r="G1885" s="32" t="s">
        <v>38</v>
      </c>
      <c r="H1885" s="32" t="s">
        <v>7302</v>
      </c>
      <c r="I1885" s="32" t="s">
        <v>46</v>
      </c>
      <c r="J1885" s="32" t="s">
        <v>40</v>
      </c>
      <c r="M1885" s="32" t="s">
        <v>5421</v>
      </c>
      <c r="N1885" s="32" t="s">
        <v>45</v>
      </c>
    </row>
    <row r="1886" spans="1:14" s="32" customFormat="1" hidden="1" x14ac:dyDescent="0.3">
      <c r="A1886" s="39">
        <v>46176.73028935185</v>
      </c>
      <c r="B1886" s="32" t="s">
        <v>45</v>
      </c>
      <c r="C1886" s="32">
        <v>44999479853</v>
      </c>
      <c r="E1886" s="32">
        <v>37</v>
      </c>
      <c r="F1886" s="32">
        <v>8</v>
      </c>
      <c r="G1886" s="32" t="s">
        <v>38</v>
      </c>
      <c r="H1886" s="32" t="s">
        <v>7303</v>
      </c>
      <c r="I1886" s="32" t="s">
        <v>46</v>
      </c>
      <c r="J1886" s="32" t="s">
        <v>40</v>
      </c>
      <c r="M1886" s="32" t="s">
        <v>5421</v>
      </c>
      <c r="N1886" s="32" t="s">
        <v>45</v>
      </c>
    </row>
    <row r="1887" spans="1:14" s="32" customFormat="1" hidden="1" x14ac:dyDescent="0.3">
      <c r="A1887" s="39">
        <v>46176.716817129629</v>
      </c>
      <c r="B1887" s="32">
        <v>44999770237</v>
      </c>
      <c r="C1887" s="32" t="s">
        <v>37</v>
      </c>
      <c r="D1887" s="32">
        <v>4430265054</v>
      </c>
      <c r="E1887" s="32">
        <v>50</v>
      </c>
      <c r="F1887" s="32">
        <v>28</v>
      </c>
      <c r="G1887" s="32" t="s">
        <v>38</v>
      </c>
      <c r="H1887" s="32" t="s">
        <v>7304</v>
      </c>
      <c r="I1887" s="32" t="s">
        <v>39</v>
      </c>
      <c r="J1887" s="32" t="s">
        <v>40</v>
      </c>
      <c r="K1887" s="32" t="s">
        <v>41</v>
      </c>
      <c r="M1887" s="32" t="s">
        <v>5410</v>
      </c>
      <c r="N1887" s="32" t="s">
        <v>37</v>
      </c>
    </row>
    <row r="1888" spans="1:14" s="32" customFormat="1" hidden="1" x14ac:dyDescent="0.3">
      <c r="A1888" s="39">
        <v>46176.71497685185</v>
      </c>
      <c r="B1888" s="32">
        <v>14997225372</v>
      </c>
      <c r="C1888" s="32" t="s">
        <v>48</v>
      </c>
      <c r="D1888" s="32">
        <v>4430265054</v>
      </c>
      <c r="E1888" s="32">
        <v>469</v>
      </c>
      <c r="F1888" s="32">
        <v>469</v>
      </c>
      <c r="G1888" s="32" t="s">
        <v>38</v>
      </c>
      <c r="H1888" s="32" t="s">
        <v>7305</v>
      </c>
      <c r="I1888" s="32" t="s">
        <v>39</v>
      </c>
      <c r="J1888" s="32" t="s">
        <v>40</v>
      </c>
      <c r="K1888" s="32" t="s">
        <v>41</v>
      </c>
      <c r="M1888" s="32" t="s">
        <v>5412</v>
      </c>
      <c r="N1888" s="32" t="s">
        <v>48</v>
      </c>
    </row>
    <row r="1889" spans="1:14" s="32" customFormat="1" hidden="1" x14ac:dyDescent="0.3">
      <c r="A1889" s="39">
        <v>46176.71466435185</v>
      </c>
      <c r="B1889" s="32">
        <v>44999680829</v>
      </c>
      <c r="C1889" s="32" t="s">
        <v>44</v>
      </c>
      <c r="D1889" s="32">
        <v>4430265054</v>
      </c>
      <c r="E1889" s="32">
        <v>806</v>
      </c>
      <c r="F1889" s="32">
        <v>762</v>
      </c>
      <c r="G1889" s="32" t="s">
        <v>38</v>
      </c>
      <c r="H1889" s="32" t="s">
        <v>7306</v>
      </c>
      <c r="I1889" s="32" t="s">
        <v>39</v>
      </c>
      <c r="J1889" s="32" t="s">
        <v>40</v>
      </c>
      <c r="K1889" s="32" t="s">
        <v>41</v>
      </c>
      <c r="M1889" s="32" t="s">
        <v>5416</v>
      </c>
      <c r="N1889" s="32" t="s">
        <v>44</v>
      </c>
    </row>
    <row r="1890" spans="1:14" s="32" customFormat="1" hidden="1" x14ac:dyDescent="0.3">
      <c r="A1890" s="39">
        <v>46176.711458333331</v>
      </c>
      <c r="B1890" s="32">
        <v>44984361000</v>
      </c>
      <c r="C1890" s="32">
        <v>4430265054</v>
      </c>
      <c r="D1890" s="32">
        <v>4430265054</v>
      </c>
      <c r="E1890" s="32">
        <v>13</v>
      </c>
      <c r="F1890" s="32">
        <v>12</v>
      </c>
      <c r="G1890" s="32" t="s">
        <v>52</v>
      </c>
      <c r="H1890" s="32" t="s">
        <v>7307</v>
      </c>
      <c r="I1890" s="32" t="s">
        <v>39</v>
      </c>
      <c r="J1890" s="32" t="s">
        <v>53</v>
      </c>
    </row>
    <row r="1891" spans="1:14" s="32" customFormat="1" hidden="1" x14ac:dyDescent="0.3">
      <c r="A1891" s="39">
        <v>46176.710520833331</v>
      </c>
      <c r="B1891" s="32" t="s">
        <v>43</v>
      </c>
      <c r="C1891" s="32">
        <v>96984127272</v>
      </c>
      <c r="E1891" s="32">
        <v>1129</v>
      </c>
      <c r="F1891" s="32">
        <v>1099</v>
      </c>
      <c r="G1891" s="32" t="s">
        <v>38</v>
      </c>
      <c r="H1891" s="32" t="s">
        <v>7308</v>
      </c>
      <c r="I1891" s="32" t="s">
        <v>46</v>
      </c>
      <c r="J1891" s="32" t="s">
        <v>40</v>
      </c>
      <c r="M1891" s="32" t="s">
        <v>5418</v>
      </c>
      <c r="N1891" s="32" t="s">
        <v>43</v>
      </c>
    </row>
    <row r="1892" spans="1:14" s="32" customFormat="1" hidden="1" x14ac:dyDescent="0.3">
      <c r="A1892" s="39">
        <v>46176.707835648151</v>
      </c>
      <c r="B1892" s="32" t="s">
        <v>48</v>
      </c>
      <c r="C1892" s="32">
        <v>4331622700</v>
      </c>
      <c r="E1892" s="32">
        <v>68</v>
      </c>
      <c r="F1892" s="32">
        <v>64</v>
      </c>
      <c r="G1892" s="32" t="s">
        <v>38</v>
      </c>
      <c r="H1892" s="32" t="s">
        <v>7309</v>
      </c>
      <c r="I1892" s="32" t="s">
        <v>46</v>
      </c>
      <c r="J1892" s="32" t="s">
        <v>40</v>
      </c>
      <c r="M1892" s="32" t="s">
        <v>5412</v>
      </c>
      <c r="N1892" s="32" t="s">
        <v>48</v>
      </c>
    </row>
    <row r="1893" spans="1:14" s="32" customFormat="1" hidden="1" x14ac:dyDescent="0.3">
      <c r="A1893" s="39">
        <v>46176.707233796296</v>
      </c>
      <c r="B1893" s="32" t="s">
        <v>48</v>
      </c>
      <c r="C1893" s="32">
        <v>4331622700</v>
      </c>
      <c r="E1893" s="32">
        <v>2</v>
      </c>
      <c r="F1893" s="32">
        <v>0</v>
      </c>
      <c r="G1893" s="32" t="s">
        <v>47</v>
      </c>
      <c r="H1893" s="32" t="s">
        <v>7310</v>
      </c>
      <c r="I1893" s="32" t="s">
        <v>46</v>
      </c>
      <c r="J1893" s="32" t="s">
        <v>40</v>
      </c>
      <c r="M1893" s="32" t="s">
        <v>5412</v>
      </c>
      <c r="N1893" s="32" t="s">
        <v>48</v>
      </c>
    </row>
    <row r="1894" spans="1:14" s="32" customFormat="1" hidden="1" x14ac:dyDescent="0.3">
      <c r="A1894" s="39">
        <v>46176.706145833334</v>
      </c>
      <c r="B1894" s="32" t="s">
        <v>48</v>
      </c>
      <c r="C1894" s="32">
        <v>4331622700</v>
      </c>
      <c r="E1894" s="32">
        <v>69</v>
      </c>
      <c r="F1894" s="32">
        <v>65</v>
      </c>
      <c r="G1894" s="32" t="s">
        <v>38</v>
      </c>
      <c r="H1894" s="32" t="s">
        <v>7311</v>
      </c>
      <c r="I1894" s="32" t="s">
        <v>46</v>
      </c>
      <c r="J1894" s="32" t="s">
        <v>40</v>
      </c>
      <c r="M1894" s="32" t="s">
        <v>5412</v>
      </c>
      <c r="N1894" s="32" t="s">
        <v>48</v>
      </c>
    </row>
    <row r="1895" spans="1:14" s="32" customFormat="1" hidden="1" x14ac:dyDescent="0.3">
      <c r="A1895" s="39">
        <v>46176.704270833332</v>
      </c>
      <c r="B1895" s="32" t="s">
        <v>48</v>
      </c>
      <c r="C1895" s="32">
        <v>4331622700</v>
      </c>
      <c r="E1895" s="32">
        <v>46</v>
      </c>
      <c r="F1895" s="32">
        <v>42</v>
      </c>
      <c r="G1895" s="32" t="s">
        <v>38</v>
      </c>
      <c r="H1895" s="32" t="s">
        <v>7312</v>
      </c>
      <c r="I1895" s="32" t="s">
        <v>46</v>
      </c>
      <c r="J1895" s="32" t="s">
        <v>40</v>
      </c>
      <c r="M1895" s="32" t="s">
        <v>5412</v>
      </c>
      <c r="N1895" s="32" t="s">
        <v>48</v>
      </c>
    </row>
    <row r="1896" spans="1:14" s="32" customFormat="1" hidden="1" x14ac:dyDescent="0.3">
      <c r="A1896" s="39">
        <v>46176.701956018522</v>
      </c>
      <c r="B1896" s="32" t="s">
        <v>45</v>
      </c>
      <c r="C1896" s="32">
        <v>4432256983</v>
      </c>
      <c r="E1896" s="32">
        <v>217</v>
      </c>
      <c r="F1896" s="32">
        <v>202</v>
      </c>
      <c r="G1896" s="32" t="s">
        <v>38</v>
      </c>
      <c r="H1896" s="32" t="s">
        <v>7313</v>
      </c>
      <c r="I1896" s="32" t="s">
        <v>46</v>
      </c>
      <c r="J1896" s="32" t="s">
        <v>40</v>
      </c>
      <c r="L1896" s="32">
        <v>5</v>
      </c>
      <c r="M1896" s="32" t="s">
        <v>5421</v>
      </c>
      <c r="N1896" s="32" t="s">
        <v>45</v>
      </c>
    </row>
    <row r="1897" spans="1:14" s="32" customFormat="1" hidden="1" x14ac:dyDescent="0.3">
      <c r="A1897" s="39">
        <v>46176.701874999999</v>
      </c>
      <c r="B1897" s="32">
        <v>4430257989</v>
      </c>
      <c r="C1897" s="32" t="s">
        <v>43</v>
      </c>
      <c r="D1897" s="32">
        <v>4430265054</v>
      </c>
      <c r="E1897" s="32">
        <v>384</v>
      </c>
      <c r="F1897" s="32">
        <v>265</v>
      </c>
      <c r="G1897" s="32" t="s">
        <v>38</v>
      </c>
      <c r="H1897" s="32" t="s">
        <v>7314</v>
      </c>
      <c r="I1897" s="32" t="s">
        <v>39</v>
      </c>
      <c r="J1897" s="32" t="s">
        <v>40</v>
      </c>
      <c r="K1897" s="32" t="s">
        <v>41</v>
      </c>
      <c r="M1897" s="32" t="s">
        <v>5418</v>
      </c>
      <c r="N1897" s="32" t="s">
        <v>43</v>
      </c>
    </row>
    <row r="1898" spans="1:14" s="32" customFormat="1" hidden="1" x14ac:dyDescent="0.3">
      <c r="A1898" s="39">
        <v>46176.699791666666</v>
      </c>
      <c r="B1898" s="32">
        <v>93991495484</v>
      </c>
      <c r="C1898" s="32" t="s">
        <v>37</v>
      </c>
      <c r="D1898" s="32">
        <v>4430265054</v>
      </c>
      <c r="E1898" s="32">
        <v>1421</v>
      </c>
      <c r="F1898" s="32">
        <v>1331</v>
      </c>
      <c r="G1898" s="32" t="s">
        <v>38</v>
      </c>
      <c r="H1898" s="32" t="s">
        <v>7315</v>
      </c>
      <c r="I1898" s="32" t="s">
        <v>39</v>
      </c>
      <c r="J1898" s="32" t="s">
        <v>40</v>
      </c>
      <c r="K1898" s="32" t="s">
        <v>41</v>
      </c>
      <c r="L1898" s="32">
        <v>5</v>
      </c>
      <c r="M1898" s="32" t="s">
        <v>5410</v>
      </c>
      <c r="N1898" s="32" t="s">
        <v>37</v>
      </c>
    </row>
    <row r="1899" spans="1:14" s="32" customFormat="1" hidden="1" x14ac:dyDescent="0.3">
      <c r="A1899" s="39">
        <v>46176.686493055553</v>
      </c>
      <c r="B1899" s="32" t="s">
        <v>48</v>
      </c>
      <c r="C1899" s="32">
        <v>4331622700</v>
      </c>
      <c r="E1899" s="32">
        <v>69</v>
      </c>
      <c r="F1899" s="32">
        <v>65</v>
      </c>
      <c r="G1899" s="32" t="s">
        <v>38</v>
      </c>
      <c r="H1899" s="32" t="s">
        <v>7316</v>
      </c>
      <c r="I1899" s="32" t="s">
        <v>46</v>
      </c>
      <c r="J1899" s="32" t="s">
        <v>40</v>
      </c>
      <c r="M1899" s="32" t="s">
        <v>5412</v>
      </c>
      <c r="N1899" s="32" t="s">
        <v>48</v>
      </c>
    </row>
    <row r="1900" spans="1:14" s="32" customFormat="1" hidden="1" x14ac:dyDescent="0.3">
      <c r="A1900" s="39">
        <v>46176.678564814814</v>
      </c>
      <c r="B1900" s="32">
        <v>44999387742</v>
      </c>
      <c r="C1900" s="32" t="s">
        <v>43</v>
      </c>
      <c r="D1900" s="32">
        <v>4430265054</v>
      </c>
      <c r="E1900" s="32">
        <v>240</v>
      </c>
      <c r="F1900" s="32">
        <v>221</v>
      </c>
      <c r="G1900" s="32" t="s">
        <v>38</v>
      </c>
      <c r="H1900" s="32" t="s">
        <v>7317</v>
      </c>
      <c r="I1900" s="32" t="s">
        <v>39</v>
      </c>
      <c r="J1900" s="32" t="s">
        <v>40</v>
      </c>
      <c r="K1900" s="32" t="s">
        <v>41</v>
      </c>
      <c r="M1900" s="32" t="s">
        <v>5418</v>
      </c>
      <c r="N1900" s="32" t="s">
        <v>43</v>
      </c>
    </row>
    <row r="1901" spans="1:14" s="32" customFormat="1" hidden="1" x14ac:dyDescent="0.3">
      <c r="A1901" s="39">
        <v>46176.676145833335</v>
      </c>
      <c r="B1901" s="32">
        <v>1131515685</v>
      </c>
      <c r="C1901" s="32" t="s">
        <v>45</v>
      </c>
      <c r="D1901" s="32">
        <v>4430265054</v>
      </c>
      <c r="E1901" s="32">
        <v>592</v>
      </c>
      <c r="F1901" s="32">
        <v>536</v>
      </c>
      <c r="G1901" s="32" t="s">
        <v>38</v>
      </c>
      <c r="H1901" s="32" t="s">
        <v>7318</v>
      </c>
      <c r="I1901" s="32" t="s">
        <v>39</v>
      </c>
      <c r="J1901" s="32" t="s">
        <v>40</v>
      </c>
      <c r="K1901" s="32" t="s">
        <v>41</v>
      </c>
      <c r="L1901" s="32">
        <v>5</v>
      </c>
      <c r="M1901" s="32" t="s">
        <v>5421</v>
      </c>
      <c r="N1901" s="32" t="s">
        <v>45</v>
      </c>
    </row>
    <row r="1902" spans="1:14" s="32" customFormat="1" hidden="1" x14ac:dyDescent="0.3">
      <c r="A1902" s="39">
        <v>46176.674826388888</v>
      </c>
      <c r="B1902" s="32">
        <v>67999627692</v>
      </c>
      <c r="C1902" s="32" t="s">
        <v>37</v>
      </c>
      <c r="D1902" s="32">
        <v>4430265054</v>
      </c>
      <c r="E1902" s="32">
        <v>814</v>
      </c>
      <c r="F1902" s="32">
        <v>689</v>
      </c>
      <c r="G1902" s="32" t="s">
        <v>38</v>
      </c>
      <c r="H1902" s="32" t="s">
        <v>7319</v>
      </c>
      <c r="I1902" s="32" t="s">
        <v>39</v>
      </c>
      <c r="J1902" s="32" t="s">
        <v>40</v>
      </c>
      <c r="K1902" s="32" t="s">
        <v>41</v>
      </c>
      <c r="M1902" s="32" t="s">
        <v>5410</v>
      </c>
      <c r="N1902" s="32" t="s">
        <v>37</v>
      </c>
    </row>
    <row r="1903" spans="1:14" s="32" customFormat="1" hidden="1" x14ac:dyDescent="0.3">
      <c r="A1903" s="39">
        <v>46176.672152777777</v>
      </c>
      <c r="B1903" s="32">
        <v>44988229700</v>
      </c>
      <c r="C1903" s="32" t="s">
        <v>48</v>
      </c>
      <c r="D1903" s="32">
        <v>4430265054</v>
      </c>
      <c r="E1903" s="32">
        <v>630</v>
      </c>
      <c r="F1903" s="32">
        <v>597</v>
      </c>
      <c r="G1903" s="32" t="s">
        <v>38</v>
      </c>
      <c r="H1903" s="32" t="s">
        <v>7320</v>
      </c>
      <c r="I1903" s="32" t="s">
        <v>39</v>
      </c>
      <c r="J1903" s="32" t="s">
        <v>40</v>
      </c>
      <c r="K1903" s="32" t="s">
        <v>41</v>
      </c>
      <c r="M1903" s="32" t="s">
        <v>5412</v>
      </c>
      <c r="N1903" s="32" t="s">
        <v>48</v>
      </c>
    </row>
    <row r="1904" spans="1:14" s="32" customFormat="1" hidden="1" x14ac:dyDescent="0.3">
      <c r="A1904" s="39">
        <v>46176.671354166669</v>
      </c>
      <c r="B1904" s="32">
        <v>18997449617</v>
      </c>
      <c r="C1904" s="32" t="s">
        <v>37</v>
      </c>
      <c r="D1904" s="32">
        <v>4430265054</v>
      </c>
      <c r="E1904" s="32">
        <v>123</v>
      </c>
      <c r="F1904" s="32">
        <v>107</v>
      </c>
      <c r="G1904" s="32" t="s">
        <v>38</v>
      </c>
      <c r="H1904" s="32" t="s">
        <v>7321</v>
      </c>
      <c r="I1904" s="32" t="s">
        <v>39</v>
      </c>
      <c r="J1904" s="32" t="s">
        <v>40</v>
      </c>
      <c r="K1904" s="32" t="s">
        <v>41</v>
      </c>
      <c r="M1904" s="32" t="s">
        <v>5410</v>
      </c>
      <c r="N1904" s="32" t="s">
        <v>37</v>
      </c>
    </row>
    <row r="1905" spans="1:14" s="32" customFormat="1" hidden="1" x14ac:dyDescent="0.3">
      <c r="A1905" s="39">
        <v>46176.671307870369</v>
      </c>
      <c r="B1905" s="32">
        <v>44988229700</v>
      </c>
      <c r="C1905" s="32">
        <v>4430265054</v>
      </c>
      <c r="D1905" s="32">
        <v>4430265054</v>
      </c>
      <c r="E1905" s="32">
        <v>57</v>
      </c>
      <c r="F1905" s="32">
        <v>57</v>
      </c>
      <c r="G1905" s="32" t="s">
        <v>52</v>
      </c>
      <c r="H1905" s="32" t="s">
        <v>7322</v>
      </c>
      <c r="I1905" s="32" t="s">
        <v>39</v>
      </c>
      <c r="J1905" s="32" t="s">
        <v>53</v>
      </c>
    </row>
    <row r="1906" spans="1:14" s="32" customFormat="1" hidden="1" x14ac:dyDescent="0.3">
      <c r="A1906" s="39">
        <v>46176.670451388891</v>
      </c>
      <c r="B1906" s="32">
        <v>6234347959</v>
      </c>
      <c r="C1906" s="32" t="s">
        <v>43</v>
      </c>
      <c r="D1906" s="32">
        <v>4430265054</v>
      </c>
      <c r="E1906" s="32">
        <v>255</v>
      </c>
      <c r="F1906" s="32">
        <v>244</v>
      </c>
      <c r="G1906" s="32" t="s">
        <v>38</v>
      </c>
      <c r="H1906" s="32" t="s">
        <v>7323</v>
      </c>
      <c r="I1906" s="32" t="s">
        <v>39</v>
      </c>
      <c r="J1906" s="32" t="s">
        <v>40</v>
      </c>
      <c r="K1906" s="32" t="s">
        <v>41</v>
      </c>
      <c r="M1906" s="32" t="s">
        <v>5418</v>
      </c>
      <c r="N1906" s="32" t="s">
        <v>43</v>
      </c>
    </row>
    <row r="1907" spans="1:14" s="32" customFormat="1" hidden="1" x14ac:dyDescent="0.3">
      <c r="A1907" s="39">
        <v>46176.665289351855</v>
      </c>
      <c r="B1907" s="32">
        <v>4331622700</v>
      </c>
      <c r="C1907" s="32" t="s">
        <v>44</v>
      </c>
      <c r="D1907" s="32">
        <v>4430265054</v>
      </c>
      <c r="E1907" s="32">
        <v>305</v>
      </c>
      <c r="F1907" s="32">
        <v>244</v>
      </c>
      <c r="G1907" s="32" t="s">
        <v>38</v>
      </c>
      <c r="H1907" s="32" t="s">
        <v>7324</v>
      </c>
      <c r="I1907" s="32" t="s">
        <v>39</v>
      </c>
      <c r="J1907" s="32" t="s">
        <v>40</v>
      </c>
      <c r="K1907" s="32" t="s">
        <v>41</v>
      </c>
      <c r="M1907" s="32" t="s">
        <v>5416</v>
      </c>
      <c r="N1907" s="32" t="s">
        <v>44</v>
      </c>
    </row>
    <row r="1908" spans="1:14" s="32" customFormat="1" hidden="1" x14ac:dyDescent="0.3">
      <c r="A1908" s="39">
        <v>46176.659097222226</v>
      </c>
      <c r="B1908" s="32">
        <v>67999627692</v>
      </c>
      <c r="C1908" s="32" t="s">
        <v>44</v>
      </c>
      <c r="D1908" s="32">
        <v>4430265054</v>
      </c>
      <c r="E1908" s="32">
        <v>137</v>
      </c>
      <c r="F1908" s="32">
        <v>84</v>
      </c>
      <c r="G1908" s="32" t="s">
        <v>38</v>
      </c>
      <c r="H1908" s="32" t="s">
        <v>7325</v>
      </c>
      <c r="I1908" s="32" t="s">
        <v>39</v>
      </c>
      <c r="J1908" s="32" t="s">
        <v>40</v>
      </c>
      <c r="K1908" s="32" t="s">
        <v>41</v>
      </c>
      <c r="M1908" s="32" t="s">
        <v>5416</v>
      </c>
      <c r="N1908" s="32" t="s">
        <v>44</v>
      </c>
    </row>
    <row r="1909" spans="1:14" s="32" customFormat="1" hidden="1" x14ac:dyDescent="0.3">
      <c r="A1909" s="39">
        <v>46176.65351851852</v>
      </c>
      <c r="B1909" s="32">
        <v>4432272377</v>
      </c>
      <c r="C1909" s="32" t="s">
        <v>48</v>
      </c>
      <c r="D1909" s="32">
        <v>4430265054</v>
      </c>
      <c r="E1909" s="32">
        <v>1154</v>
      </c>
      <c r="F1909" s="32">
        <v>1095</v>
      </c>
      <c r="G1909" s="32" t="s">
        <v>38</v>
      </c>
      <c r="H1909" s="32" t="s">
        <v>7326</v>
      </c>
      <c r="I1909" s="32" t="s">
        <v>39</v>
      </c>
      <c r="J1909" s="32" t="s">
        <v>40</v>
      </c>
      <c r="K1909" s="32" t="s">
        <v>41</v>
      </c>
      <c r="M1909" s="32" t="s">
        <v>5412</v>
      </c>
      <c r="N1909" s="32" t="s">
        <v>48</v>
      </c>
    </row>
    <row r="1910" spans="1:14" s="32" customFormat="1" hidden="1" x14ac:dyDescent="0.3">
      <c r="A1910" s="39">
        <v>46176.653055555558</v>
      </c>
      <c r="B1910" s="32">
        <v>41995061279</v>
      </c>
      <c r="C1910" s="32" t="s">
        <v>43</v>
      </c>
      <c r="D1910" s="32">
        <v>4430265054</v>
      </c>
      <c r="E1910" s="32">
        <v>639</v>
      </c>
      <c r="F1910" s="32">
        <v>539</v>
      </c>
      <c r="G1910" s="32" t="s">
        <v>38</v>
      </c>
      <c r="H1910" s="32" t="s">
        <v>7327</v>
      </c>
      <c r="I1910" s="32" t="s">
        <v>39</v>
      </c>
      <c r="J1910" s="32" t="s">
        <v>40</v>
      </c>
      <c r="K1910" s="32" t="s">
        <v>41</v>
      </c>
      <c r="M1910" s="32" t="s">
        <v>5418</v>
      </c>
      <c r="N1910" s="32" t="s">
        <v>43</v>
      </c>
    </row>
    <row r="1911" spans="1:14" s="32" customFormat="1" hidden="1" x14ac:dyDescent="0.3">
      <c r="A1911" s="39">
        <v>46176.649039351854</v>
      </c>
      <c r="B1911" s="32">
        <v>1143744993</v>
      </c>
      <c r="C1911" s="32" t="s">
        <v>45</v>
      </c>
      <c r="D1911" s="32">
        <v>4431268225</v>
      </c>
      <c r="E1911" s="32">
        <v>2151</v>
      </c>
      <c r="F1911" s="32">
        <v>2088</v>
      </c>
      <c r="G1911" s="32" t="s">
        <v>38</v>
      </c>
      <c r="H1911" s="32" t="s">
        <v>7328</v>
      </c>
      <c r="I1911" s="32" t="s">
        <v>39</v>
      </c>
      <c r="J1911" s="32" t="s">
        <v>40</v>
      </c>
      <c r="K1911" s="32" t="s">
        <v>41</v>
      </c>
      <c r="L1911" s="32">
        <v>5</v>
      </c>
      <c r="M1911" s="32" t="s">
        <v>5421</v>
      </c>
      <c r="N1911" s="32" t="s">
        <v>45</v>
      </c>
    </row>
    <row r="1912" spans="1:14" s="32" customFormat="1" hidden="1" x14ac:dyDescent="0.3">
      <c r="A1912" s="39">
        <v>46176.646655092591</v>
      </c>
      <c r="B1912" s="32">
        <v>1153871391</v>
      </c>
      <c r="C1912" s="32">
        <v>4430265054</v>
      </c>
      <c r="D1912" s="32">
        <v>4430265054</v>
      </c>
      <c r="E1912" s="32">
        <v>8</v>
      </c>
      <c r="F1912" s="32">
        <v>7</v>
      </c>
      <c r="G1912" s="32" t="s">
        <v>52</v>
      </c>
      <c r="H1912" s="32" t="s">
        <v>7329</v>
      </c>
      <c r="I1912" s="32" t="s">
        <v>39</v>
      </c>
      <c r="J1912" s="32" t="s">
        <v>53</v>
      </c>
    </row>
    <row r="1913" spans="1:14" s="32" customFormat="1" hidden="1" x14ac:dyDescent="0.3">
      <c r="A1913" s="39">
        <v>46176.646249999998</v>
      </c>
      <c r="B1913" s="32">
        <v>62996869933</v>
      </c>
      <c r="C1913" s="32" t="s">
        <v>48</v>
      </c>
      <c r="D1913" s="32">
        <v>4430265054</v>
      </c>
      <c r="E1913" s="32">
        <v>364</v>
      </c>
      <c r="F1913" s="32">
        <v>364</v>
      </c>
      <c r="G1913" s="32" t="s">
        <v>38</v>
      </c>
      <c r="H1913" s="32" t="s">
        <v>7330</v>
      </c>
      <c r="I1913" s="32" t="s">
        <v>39</v>
      </c>
      <c r="J1913" s="32" t="s">
        <v>40</v>
      </c>
      <c r="K1913" s="32" t="s">
        <v>41</v>
      </c>
      <c r="M1913" s="32" t="s">
        <v>5412</v>
      </c>
      <c r="N1913" s="32" t="s">
        <v>48</v>
      </c>
    </row>
    <row r="1914" spans="1:14" s="32" customFormat="1" hidden="1" x14ac:dyDescent="0.3">
      <c r="A1914" s="39">
        <v>46176.645902777775</v>
      </c>
      <c r="B1914" s="32">
        <v>4432541200</v>
      </c>
      <c r="C1914" s="32" t="s">
        <v>44</v>
      </c>
      <c r="D1914" s="32">
        <v>4430265054</v>
      </c>
      <c r="E1914" s="32">
        <v>334</v>
      </c>
      <c r="F1914" s="32">
        <v>316</v>
      </c>
      <c r="G1914" s="32" t="s">
        <v>38</v>
      </c>
      <c r="H1914" s="32" t="s">
        <v>7331</v>
      </c>
      <c r="I1914" s="32" t="s">
        <v>39</v>
      </c>
      <c r="J1914" s="32" t="s">
        <v>40</v>
      </c>
      <c r="K1914" s="32" t="s">
        <v>41</v>
      </c>
      <c r="M1914" s="32" t="s">
        <v>5416</v>
      </c>
      <c r="N1914" s="32" t="s">
        <v>44</v>
      </c>
    </row>
    <row r="1915" spans="1:14" s="32" customFormat="1" hidden="1" x14ac:dyDescent="0.3">
      <c r="A1915" s="39">
        <v>46176.645150462966</v>
      </c>
      <c r="B1915" s="32">
        <v>4430266744</v>
      </c>
      <c r="C1915" s="32" t="s">
        <v>37</v>
      </c>
      <c r="D1915" s="32">
        <v>4430265054</v>
      </c>
      <c r="E1915" s="32">
        <v>1741</v>
      </c>
      <c r="F1915" s="32">
        <v>1699</v>
      </c>
      <c r="G1915" s="32" t="s">
        <v>38</v>
      </c>
      <c r="H1915" s="32" t="s">
        <v>7332</v>
      </c>
      <c r="I1915" s="32" t="s">
        <v>39</v>
      </c>
      <c r="J1915" s="32" t="s">
        <v>40</v>
      </c>
      <c r="K1915" s="32" t="s">
        <v>41</v>
      </c>
      <c r="L1915" s="32">
        <v>5</v>
      </c>
      <c r="M1915" s="32" t="s">
        <v>5410</v>
      </c>
      <c r="N1915" s="32" t="s">
        <v>37</v>
      </c>
    </row>
    <row r="1916" spans="1:14" s="32" customFormat="1" hidden="1" x14ac:dyDescent="0.3">
      <c r="A1916" s="39">
        <v>46176.642268518517</v>
      </c>
      <c r="B1916" s="32">
        <v>1733237431</v>
      </c>
      <c r="C1916" s="32" t="s">
        <v>44</v>
      </c>
      <c r="D1916" s="32">
        <v>4430265054</v>
      </c>
      <c r="E1916" s="32">
        <v>248</v>
      </c>
      <c r="F1916" s="32">
        <v>204</v>
      </c>
      <c r="G1916" s="32" t="s">
        <v>38</v>
      </c>
      <c r="H1916" s="32" t="s">
        <v>7333</v>
      </c>
      <c r="I1916" s="32" t="s">
        <v>39</v>
      </c>
      <c r="J1916" s="32" t="s">
        <v>40</v>
      </c>
      <c r="K1916" s="32" t="s">
        <v>41</v>
      </c>
      <c r="L1916" s="32">
        <v>5</v>
      </c>
      <c r="M1916" s="32" t="s">
        <v>5416</v>
      </c>
      <c r="N1916" s="32" t="s">
        <v>44</v>
      </c>
    </row>
    <row r="1917" spans="1:14" s="32" customFormat="1" hidden="1" x14ac:dyDescent="0.3">
      <c r="A1917" s="39">
        <v>46176.640833333331</v>
      </c>
      <c r="B1917" s="32">
        <v>44998437682</v>
      </c>
      <c r="C1917" s="32" t="s">
        <v>43</v>
      </c>
      <c r="D1917" s="32">
        <v>4430265054</v>
      </c>
      <c r="E1917" s="32">
        <v>762</v>
      </c>
      <c r="F1917" s="32">
        <v>722</v>
      </c>
      <c r="G1917" s="32" t="s">
        <v>38</v>
      </c>
      <c r="H1917" s="32" t="s">
        <v>7334</v>
      </c>
      <c r="I1917" s="32" t="s">
        <v>39</v>
      </c>
      <c r="J1917" s="32" t="s">
        <v>40</v>
      </c>
      <c r="K1917" s="32" t="s">
        <v>41</v>
      </c>
      <c r="L1917" s="32">
        <v>5</v>
      </c>
      <c r="M1917" s="32" t="s">
        <v>5418</v>
      </c>
      <c r="N1917" s="32" t="s">
        <v>43</v>
      </c>
    </row>
    <row r="1918" spans="1:14" s="32" customFormat="1" hidden="1" x14ac:dyDescent="0.3">
      <c r="A1918" s="39">
        <v>46176.638449074075</v>
      </c>
      <c r="B1918" s="32" t="s">
        <v>54</v>
      </c>
      <c r="C1918" s="32">
        <v>3432126400</v>
      </c>
      <c r="E1918" s="32">
        <v>94</v>
      </c>
      <c r="F1918" s="32">
        <v>84</v>
      </c>
      <c r="G1918" s="32" t="s">
        <v>38</v>
      </c>
      <c r="H1918" s="32" t="s">
        <v>7335</v>
      </c>
      <c r="I1918" s="32" t="s">
        <v>46</v>
      </c>
      <c r="J1918" s="32" t="s">
        <v>55</v>
      </c>
      <c r="M1918" s="32" t="s">
        <v>5537</v>
      </c>
      <c r="N1918" s="32" t="s">
        <v>54</v>
      </c>
    </row>
    <row r="1919" spans="1:14" s="32" customFormat="1" hidden="1" x14ac:dyDescent="0.3">
      <c r="A1919" s="39">
        <v>46176.637928240743</v>
      </c>
      <c r="B1919" s="32" t="s">
        <v>48</v>
      </c>
      <c r="C1919" s="32">
        <v>44988229700</v>
      </c>
      <c r="E1919" s="32">
        <v>14</v>
      </c>
      <c r="F1919" s="32">
        <v>0</v>
      </c>
      <c r="G1919" s="32" t="s">
        <v>47</v>
      </c>
      <c r="H1919" s="32" t="s">
        <v>7336</v>
      </c>
      <c r="I1919" s="32" t="s">
        <v>46</v>
      </c>
      <c r="J1919" s="32" t="s">
        <v>40</v>
      </c>
      <c r="M1919" s="32" t="s">
        <v>5412</v>
      </c>
      <c r="N1919" s="32" t="s">
        <v>48</v>
      </c>
    </row>
    <row r="1920" spans="1:14" s="32" customFormat="1" hidden="1" x14ac:dyDescent="0.3">
      <c r="A1920" s="39">
        <v>46176.637870370374</v>
      </c>
      <c r="B1920" s="32">
        <v>44988067937</v>
      </c>
      <c r="C1920" s="32" t="s">
        <v>48</v>
      </c>
      <c r="D1920" s="32">
        <v>4430265054</v>
      </c>
      <c r="E1920" s="32">
        <v>356</v>
      </c>
      <c r="F1920" s="32">
        <v>355</v>
      </c>
      <c r="G1920" s="32" t="s">
        <v>38</v>
      </c>
      <c r="H1920" s="32" t="s">
        <v>7337</v>
      </c>
      <c r="I1920" s="32" t="s">
        <v>39</v>
      </c>
      <c r="J1920" s="32" t="s">
        <v>40</v>
      </c>
      <c r="K1920" s="32" t="s">
        <v>41</v>
      </c>
      <c r="M1920" s="32" t="s">
        <v>5412</v>
      </c>
      <c r="N1920" s="32" t="s">
        <v>48</v>
      </c>
    </row>
    <row r="1921" spans="1:14" s="32" customFormat="1" hidden="1" x14ac:dyDescent="0.3">
      <c r="A1921" s="39">
        <v>46176.637800925928</v>
      </c>
      <c r="B1921" s="32" t="s">
        <v>54</v>
      </c>
      <c r="C1921" s="32">
        <v>92991222354</v>
      </c>
      <c r="E1921" s="32">
        <v>14</v>
      </c>
      <c r="F1921" s="32">
        <v>1</v>
      </c>
      <c r="G1921" s="32" t="s">
        <v>38</v>
      </c>
      <c r="H1921" s="32" t="s">
        <v>7338</v>
      </c>
      <c r="I1921" s="32" t="s">
        <v>46</v>
      </c>
      <c r="J1921" s="32" t="s">
        <v>55</v>
      </c>
      <c r="M1921" s="32" t="s">
        <v>5537</v>
      </c>
      <c r="N1921" s="32" t="s">
        <v>54</v>
      </c>
    </row>
    <row r="1922" spans="1:14" s="32" customFormat="1" hidden="1" x14ac:dyDescent="0.3">
      <c r="A1922" s="39">
        <v>46176.637627314813</v>
      </c>
      <c r="B1922" s="32" t="s">
        <v>43</v>
      </c>
      <c r="C1922" s="32">
        <v>44999647912</v>
      </c>
      <c r="E1922" s="32">
        <v>46</v>
      </c>
      <c r="F1922" s="32">
        <v>38</v>
      </c>
      <c r="G1922" s="32" t="s">
        <v>38</v>
      </c>
      <c r="H1922" s="32" t="s">
        <v>7339</v>
      </c>
      <c r="I1922" s="32" t="s">
        <v>46</v>
      </c>
      <c r="J1922" s="32" t="s">
        <v>40</v>
      </c>
      <c r="M1922" s="32" t="s">
        <v>5418</v>
      </c>
      <c r="N1922" s="32" t="s">
        <v>43</v>
      </c>
    </row>
    <row r="1923" spans="1:14" s="32" customFormat="1" hidden="1" x14ac:dyDescent="0.3">
      <c r="A1923" s="39">
        <v>46176.637557870374</v>
      </c>
      <c r="B1923" s="32" t="s">
        <v>43</v>
      </c>
      <c r="C1923" s="32">
        <v>44999647912</v>
      </c>
      <c r="E1923" s="32">
        <v>5</v>
      </c>
      <c r="F1923" s="32">
        <v>0</v>
      </c>
      <c r="G1923" s="32" t="s">
        <v>47</v>
      </c>
      <c r="H1923" s="32" t="s">
        <v>7340</v>
      </c>
      <c r="I1923" s="32" t="s">
        <v>46</v>
      </c>
      <c r="J1923" s="32" t="s">
        <v>40</v>
      </c>
      <c r="M1923" s="32" t="s">
        <v>5418</v>
      </c>
      <c r="N1923" s="32" t="s">
        <v>43</v>
      </c>
    </row>
    <row r="1924" spans="1:14" s="32" customFormat="1" hidden="1" x14ac:dyDescent="0.3">
      <c r="A1924" s="39">
        <v>46176.636469907404</v>
      </c>
      <c r="B1924" s="32" t="s">
        <v>48</v>
      </c>
      <c r="C1924" s="32">
        <v>4432268889</v>
      </c>
      <c r="E1924" s="32">
        <v>101</v>
      </c>
      <c r="F1924" s="32">
        <v>80</v>
      </c>
      <c r="G1924" s="32" t="s">
        <v>38</v>
      </c>
      <c r="H1924" s="32" t="s">
        <v>7341</v>
      </c>
      <c r="I1924" s="32" t="s">
        <v>46</v>
      </c>
      <c r="J1924" s="32" t="s">
        <v>40</v>
      </c>
      <c r="M1924" s="32" t="s">
        <v>5412</v>
      </c>
      <c r="N1924" s="32" t="s">
        <v>48</v>
      </c>
    </row>
    <row r="1925" spans="1:14" s="32" customFormat="1" hidden="1" x14ac:dyDescent="0.3">
      <c r="A1925" s="39">
        <v>46176.635775462964</v>
      </c>
      <c r="B1925" s="32" t="s">
        <v>54</v>
      </c>
      <c r="C1925" s="32">
        <v>41985071107</v>
      </c>
      <c r="E1925" s="32">
        <v>11</v>
      </c>
      <c r="F1925" s="32">
        <v>3</v>
      </c>
      <c r="G1925" s="32" t="s">
        <v>38</v>
      </c>
      <c r="H1925" s="32" t="s">
        <v>7342</v>
      </c>
      <c r="I1925" s="32" t="s">
        <v>46</v>
      </c>
      <c r="J1925" s="32" t="s">
        <v>55</v>
      </c>
      <c r="M1925" s="32" t="s">
        <v>5537</v>
      </c>
      <c r="N1925" s="32" t="s">
        <v>54</v>
      </c>
    </row>
    <row r="1926" spans="1:14" s="32" customFormat="1" hidden="1" x14ac:dyDescent="0.3">
      <c r="A1926" s="39">
        <v>46176.634155092594</v>
      </c>
      <c r="B1926" s="32" t="s">
        <v>54</v>
      </c>
      <c r="C1926" s="32">
        <v>11982538842</v>
      </c>
      <c r="E1926" s="32">
        <v>17</v>
      </c>
      <c r="F1926" s="32">
        <v>0</v>
      </c>
      <c r="G1926" s="32" t="s">
        <v>47</v>
      </c>
      <c r="H1926" s="32" t="s">
        <v>7343</v>
      </c>
      <c r="I1926" s="32" t="s">
        <v>46</v>
      </c>
      <c r="J1926" s="32" t="s">
        <v>55</v>
      </c>
      <c r="M1926" s="32" t="s">
        <v>5537</v>
      </c>
      <c r="N1926" s="32" t="s">
        <v>54</v>
      </c>
    </row>
    <row r="1927" spans="1:14" s="32" customFormat="1" hidden="1" x14ac:dyDescent="0.3">
      <c r="A1927" s="39">
        <v>46176.633599537039</v>
      </c>
      <c r="B1927" s="32" t="s">
        <v>54</v>
      </c>
      <c r="C1927" s="32">
        <v>79999293623</v>
      </c>
      <c r="E1927" s="32">
        <v>19</v>
      </c>
      <c r="F1927" s="32">
        <v>0</v>
      </c>
      <c r="G1927" s="32" t="s">
        <v>47</v>
      </c>
      <c r="H1927" s="32" t="s">
        <v>7344</v>
      </c>
      <c r="I1927" s="32" t="s">
        <v>46</v>
      </c>
      <c r="J1927" s="32" t="s">
        <v>55</v>
      </c>
      <c r="M1927" s="32" t="s">
        <v>5537</v>
      </c>
      <c r="N1927" s="32" t="s">
        <v>54</v>
      </c>
    </row>
    <row r="1928" spans="1:14" s="32" customFormat="1" hidden="1" x14ac:dyDescent="0.3">
      <c r="A1928" s="39">
        <v>46176.63318287037</v>
      </c>
      <c r="B1928" s="32">
        <v>4330333542</v>
      </c>
      <c r="C1928" s="32" t="s">
        <v>44</v>
      </c>
      <c r="D1928" s="32">
        <v>4430265054</v>
      </c>
      <c r="E1928" s="32">
        <v>260</v>
      </c>
      <c r="F1928" s="32">
        <v>221</v>
      </c>
      <c r="G1928" s="32" t="s">
        <v>38</v>
      </c>
      <c r="H1928" s="32" t="s">
        <v>7345</v>
      </c>
      <c r="I1928" s="32" t="s">
        <v>39</v>
      </c>
      <c r="J1928" s="32" t="s">
        <v>40</v>
      </c>
      <c r="K1928" s="32" t="s">
        <v>41</v>
      </c>
      <c r="M1928" s="32" t="s">
        <v>5416</v>
      </c>
      <c r="N1928" s="32" t="s">
        <v>44</v>
      </c>
    </row>
    <row r="1929" spans="1:14" s="32" customFormat="1" hidden="1" x14ac:dyDescent="0.3">
      <c r="A1929" s="39">
        <v>46176.627245370371</v>
      </c>
      <c r="B1929" s="32">
        <v>4432256983</v>
      </c>
      <c r="C1929" s="32" t="s">
        <v>45</v>
      </c>
      <c r="D1929" s="32">
        <v>4430265054</v>
      </c>
      <c r="E1929" s="32">
        <v>1483</v>
      </c>
      <c r="F1929" s="32">
        <v>1402</v>
      </c>
      <c r="G1929" s="32" t="s">
        <v>38</v>
      </c>
      <c r="H1929" s="32" t="s">
        <v>7346</v>
      </c>
      <c r="I1929" s="32" t="s">
        <v>39</v>
      </c>
      <c r="J1929" s="32" t="s">
        <v>40</v>
      </c>
      <c r="K1929" s="32" t="s">
        <v>41</v>
      </c>
      <c r="M1929" s="32" t="s">
        <v>5421</v>
      </c>
      <c r="N1929" s="32" t="s">
        <v>45</v>
      </c>
    </row>
    <row r="1930" spans="1:14" s="32" customFormat="1" hidden="1" x14ac:dyDescent="0.3">
      <c r="A1930" s="39">
        <v>46176.622025462966</v>
      </c>
      <c r="B1930" s="32" t="s">
        <v>54</v>
      </c>
      <c r="C1930" s="32">
        <v>71987927130</v>
      </c>
      <c r="E1930" s="32">
        <v>8</v>
      </c>
      <c r="F1930" s="32">
        <v>0</v>
      </c>
      <c r="G1930" s="32" t="s">
        <v>38</v>
      </c>
      <c r="H1930" s="32" t="s">
        <v>7347</v>
      </c>
      <c r="I1930" s="32" t="s">
        <v>46</v>
      </c>
      <c r="J1930" s="32" t="s">
        <v>55</v>
      </c>
      <c r="M1930" s="32" t="s">
        <v>5537</v>
      </c>
      <c r="N1930" s="32" t="s">
        <v>54</v>
      </c>
    </row>
    <row r="1931" spans="1:14" s="32" customFormat="1" hidden="1" x14ac:dyDescent="0.3">
      <c r="A1931" s="39">
        <v>46176.620266203703</v>
      </c>
      <c r="B1931" s="32" t="s">
        <v>54</v>
      </c>
      <c r="C1931" s="32">
        <v>41984625460</v>
      </c>
      <c r="E1931" s="32">
        <v>34</v>
      </c>
      <c r="F1931" s="32">
        <v>0</v>
      </c>
      <c r="G1931" s="32" t="s">
        <v>47</v>
      </c>
      <c r="H1931" s="32" t="s">
        <v>7348</v>
      </c>
      <c r="I1931" s="32" t="s">
        <v>46</v>
      </c>
      <c r="J1931" s="32" t="s">
        <v>55</v>
      </c>
      <c r="M1931" s="32" t="s">
        <v>5537</v>
      </c>
      <c r="N1931" s="32" t="s">
        <v>54</v>
      </c>
    </row>
    <row r="1932" spans="1:14" s="32" customFormat="1" hidden="1" x14ac:dyDescent="0.3">
      <c r="A1932" s="39">
        <v>46176.620046296295</v>
      </c>
      <c r="B1932" s="32" t="s">
        <v>54</v>
      </c>
      <c r="C1932" s="32">
        <v>41984625460</v>
      </c>
      <c r="E1932" s="32">
        <v>7</v>
      </c>
      <c r="F1932" s="32">
        <v>0</v>
      </c>
      <c r="G1932" s="32" t="s">
        <v>47</v>
      </c>
      <c r="H1932" s="32" t="s">
        <v>7349</v>
      </c>
      <c r="I1932" s="32" t="s">
        <v>46</v>
      </c>
      <c r="J1932" s="32" t="s">
        <v>55</v>
      </c>
      <c r="M1932" s="32" t="s">
        <v>5537</v>
      </c>
      <c r="N1932" s="32" t="s">
        <v>54</v>
      </c>
    </row>
    <row r="1933" spans="1:14" s="32" customFormat="1" hidden="1" x14ac:dyDescent="0.3">
      <c r="A1933" s="39">
        <v>46176.619942129626</v>
      </c>
      <c r="B1933" s="32" t="s">
        <v>54</v>
      </c>
      <c r="C1933" s="32">
        <v>41984625460</v>
      </c>
      <c r="E1933" s="32">
        <v>7</v>
      </c>
      <c r="F1933" s="32">
        <v>0</v>
      </c>
      <c r="G1933" s="32" t="s">
        <v>47</v>
      </c>
      <c r="H1933" s="32" t="s">
        <v>7350</v>
      </c>
      <c r="I1933" s="32" t="s">
        <v>46</v>
      </c>
      <c r="J1933" s="32" t="s">
        <v>55</v>
      </c>
      <c r="M1933" s="32" t="s">
        <v>5537</v>
      </c>
      <c r="N1933" s="32" t="s">
        <v>54</v>
      </c>
    </row>
    <row r="1934" spans="1:14" s="32" customFormat="1" hidden="1" x14ac:dyDescent="0.3">
      <c r="A1934" s="39">
        <v>46176.615590277775</v>
      </c>
      <c r="B1934" s="32">
        <v>44984361000</v>
      </c>
      <c r="C1934" s="32" t="s">
        <v>37</v>
      </c>
      <c r="D1934" s="32">
        <v>4430265054</v>
      </c>
      <c r="E1934" s="32">
        <v>2167</v>
      </c>
      <c r="F1934" s="32">
        <v>2070</v>
      </c>
      <c r="G1934" s="32" t="s">
        <v>38</v>
      </c>
      <c r="H1934" s="32" t="s">
        <v>7351</v>
      </c>
      <c r="I1934" s="32" t="s">
        <v>39</v>
      </c>
      <c r="J1934" s="32" t="s">
        <v>40</v>
      </c>
      <c r="K1934" s="32" t="s">
        <v>41</v>
      </c>
      <c r="M1934" s="32" t="s">
        <v>5410</v>
      </c>
      <c r="N1934" s="32" t="s">
        <v>37</v>
      </c>
    </row>
    <row r="1935" spans="1:14" s="32" customFormat="1" hidden="1" x14ac:dyDescent="0.3">
      <c r="A1935" s="39">
        <v>46176.612071759257</v>
      </c>
      <c r="B1935" s="32">
        <v>4331724400</v>
      </c>
      <c r="C1935" s="32" t="s">
        <v>45</v>
      </c>
      <c r="D1935" s="32">
        <v>4430265054</v>
      </c>
      <c r="E1935" s="32">
        <v>733</v>
      </c>
      <c r="F1935" s="32">
        <v>633</v>
      </c>
      <c r="G1935" s="32" t="s">
        <v>38</v>
      </c>
      <c r="H1935" s="32" t="s">
        <v>7352</v>
      </c>
      <c r="I1935" s="32" t="s">
        <v>39</v>
      </c>
      <c r="J1935" s="32" t="s">
        <v>40</v>
      </c>
      <c r="K1935" s="32" t="s">
        <v>41</v>
      </c>
      <c r="M1935" s="32" t="s">
        <v>5421</v>
      </c>
      <c r="N1935" s="32" t="s">
        <v>45</v>
      </c>
    </row>
    <row r="1936" spans="1:14" s="32" customFormat="1" hidden="1" x14ac:dyDescent="0.3">
      <c r="A1936" s="39">
        <v>46176.607418981483</v>
      </c>
      <c r="B1936" s="32">
        <v>44991381017</v>
      </c>
      <c r="C1936" s="32" t="s">
        <v>43</v>
      </c>
      <c r="D1936" s="32">
        <v>4430265054</v>
      </c>
      <c r="E1936" s="32">
        <v>620</v>
      </c>
      <c r="F1936" s="32">
        <v>565</v>
      </c>
      <c r="G1936" s="32" t="s">
        <v>38</v>
      </c>
      <c r="H1936" s="32" t="s">
        <v>7353</v>
      </c>
      <c r="I1936" s="32" t="s">
        <v>39</v>
      </c>
      <c r="J1936" s="32" t="s">
        <v>40</v>
      </c>
      <c r="K1936" s="32" t="s">
        <v>41</v>
      </c>
      <c r="M1936" s="32" t="s">
        <v>5418</v>
      </c>
      <c r="N1936" s="32" t="s">
        <v>43</v>
      </c>
    </row>
    <row r="1937" spans="1:14" s="32" customFormat="1" hidden="1" x14ac:dyDescent="0.3">
      <c r="A1937" s="39">
        <v>46176.607129629629</v>
      </c>
      <c r="B1937" s="32">
        <v>6234347959</v>
      </c>
      <c r="C1937" s="32" t="s">
        <v>37</v>
      </c>
      <c r="D1937" s="32">
        <v>4430265054</v>
      </c>
      <c r="E1937" s="32">
        <v>398</v>
      </c>
      <c r="F1937" s="32">
        <v>339</v>
      </c>
      <c r="G1937" s="32" t="s">
        <v>38</v>
      </c>
      <c r="H1937" s="32" t="s">
        <v>7354</v>
      </c>
      <c r="I1937" s="32" t="s">
        <v>39</v>
      </c>
      <c r="J1937" s="32" t="s">
        <v>40</v>
      </c>
      <c r="K1937" s="32" t="s">
        <v>41</v>
      </c>
      <c r="L1937" s="32">
        <v>5</v>
      </c>
      <c r="M1937" s="32" t="s">
        <v>5410</v>
      </c>
      <c r="N1937" s="32" t="s">
        <v>37</v>
      </c>
    </row>
    <row r="1938" spans="1:14" s="32" customFormat="1" hidden="1" x14ac:dyDescent="0.3">
      <c r="A1938" s="39">
        <v>46176.603182870371</v>
      </c>
      <c r="B1938" s="32">
        <v>4432524636</v>
      </c>
      <c r="C1938" s="32" t="s">
        <v>43</v>
      </c>
      <c r="D1938" s="32">
        <v>4430265054</v>
      </c>
      <c r="E1938" s="32">
        <v>372</v>
      </c>
      <c r="F1938" s="32">
        <v>333</v>
      </c>
      <c r="G1938" s="32" t="s">
        <v>38</v>
      </c>
      <c r="H1938" s="32" t="s">
        <v>7355</v>
      </c>
      <c r="I1938" s="32" t="s">
        <v>39</v>
      </c>
      <c r="J1938" s="32" t="s">
        <v>40</v>
      </c>
      <c r="K1938" s="32" t="s">
        <v>41</v>
      </c>
      <c r="L1938" s="32">
        <v>5</v>
      </c>
      <c r="M1938" s="32" t="s">
        <v>5418</v>
      </c>
      <c r="N1938" s="32" t="s">
        <v>43</v>
      </c>
    </row>
    <row r="1939" spans="1:14" s="32" customFormat="1" hidden="1" x14ac:dyDescent="0.3">
      <c r="A1939" s="39">
        <v>46176.600138888891</v>
      </c>
      <c r="B1939" s="32">
        <v>44998039090</v>
      </c>
      <c r="C1939" s="32" t="s">
        <v>44</v>
      </c>
      <c r="D1939" s="32">
        <v>4430265054</v>
      </c>
      <c r="E1939" s="32">
        <v>787</v>
      </c>
      <c r="F1939" s="32">
        <v>738</v>
      </c>
      <c r="G1939" s="32" t="s">
        <v>38</v>
      </c>
      <c r="H1939" s="32" t="s">
        <v>7356</v>
      </c>
      <c r="I1939" s="32" t="s">
        <v>39</v>
      </c>
      <c r="J1939" s="32" t="s">
        <v>40</v>
      </c>
      <c r="K1939" s="32" t="s">
        <v>41</v>
      </c>
      <c r="M1939" s="32" t="s">
        <v>5416</v>
      </c>
      <c r="N1939" s="32" t="s">
        <v>44</v>
      </c>
    </row>
    <row r="1940" spans="1:14" s="32" customFormat="1" hidden="1" x14ac:dyDescent="0.3">
      <c r="A1940" s="39">
        <v>46176.597615740742</v>
      </c>
      <c r="B1940" s="32">
        <v>4436313274</v>
      </c>
      <c r="C1940" s="32" t="s">
        <v>37</v>
      </c>
      <c r="D1940" s="32">
        <v>4430265054</v>
      </c>
      <c r="E1940" s="32">
        <v>789</v>
      </c>
      <c r="F1940" s="32">
        <v>677</v>
      </c>
      <c r="G1940" s="32" t="s">
        <v>38</v>
      </c>
      <c r="H1940" s="32" t="s">
        <v>7357</v>
      </c>
      <c r="I1940" s="32" t="s">
        <v>39</v>
      </c>
      <c r="J1940" s="32" t="s">
        <v>40</v>
      </c>
      <c r="K1940" s="32" t="s">
        <v>41</v>
      </c>
      <c r="M1940" s="32" t="s">
        <v>5410</v>
      </c>
      <c r="N1940" s="32" t="s">
        <v>37</v>
      </c>
    </row>
    <row r="1941" spans="1:14" s="32" customFormat="1" hidden="1" x14ac:dyDescent="0.3">
      <c r="A1941" s="39">
        <v>46176.596875000003</v>
      </c>
      <c r="B1941" s="32">
        <v>4432442276</v>
      </c>
      <c r="C1941" s="32" t="s">
        <v>45</v>
      </c>
      <c r="D1941" s="32">
        <v>4430265054</v>
      </c>
      <c r="E1941" s="32">
        <v>1050</v>
      </c>
      <c r="F1941" s="32">
        <v>1008</v>
      </c>
      <c r="G1941" s="32" t="s">
        <v>38</v>
      </c>
      <c r="H1941" s="32" t="s">
        <v>7358</v>
      </c>
      <c r="I1941" s="32" t="s">
        <v>39</v>
      </c>
      <c r="J1941" s="32" t="s">
        <v>40</v>
      </c>
      <c r="K1941" s="32" t="s">
        <v>41</v>
      </c>
      <c r="L1941" s="32">
        <v>5</v>
      </c>
      <c r="M1941" s="32" t="s">
        <v>5421</v>
      </c>
      <c r="N1941" s="32" t="s">
        <v>45</v>
      </c>
    </row>
    <row r="1942" spans="1:14" s="32" customFormat="1" hidden="1" x14ac:dyDescent="0.3">
      <c r="A1942" s="39">
        <v>46176.586782407408</v>
      </c>
      <c r="B1942" s="32">
        <v>44988255390</v>
      </c>
      <c r="C1942" s="32" t="s">
        <v>37</v>
      </c>
      <c r="D1942" s="32">
        <v>4430265054</v>
      </c>
      <c r="E1942" s="32">
        <v>499</v>
      </c>
      <c r="F1942" s="32">
        <v>439</v>
      </c>
      <c r="G1942" s="32" t="s">
        <v>38</v>
      </c>
      <c r="H1942" s="32" t="s">
        <v>7359</v>
      </c>
      <c r="I1942" s="32" t="s">
        <v>39</v>
      </c>
      <c r="J1942" s="32" t="s">
        <v>40</v>
      </c>
      <c r="K1942" s="32" t="s">
        <v>41</v>
      </c>
      <c r="M1942" s="32" t="s">
        <v>5410</v>
      </c>
      <c r="N1942" s="32" t="s">
        <v>37</v>
      </c>
    </row>
    <row r="1943" spans="1:14" s="32" customFormat="1" hidden="1" x14ac:dyDescent="0.3">
      <c r="A1943" s="39">
        <v>46176.578055555554</v>
      </c>
      <c r="B1943" s="32">
        <v>47999760576</v>
      </c>
      <c r="C1943" s="32" t="s">
        <v>45</v>
      </c>
      <c r="D1943" s="32">
        <v>4430265054</v>
      </c>
      <c r="E1943" s="32">
        <v>431</v>
      </c>
      <c r="F1943" s="32">
        <v>322</v>
      </c>
      <c r="G1943" s="32" t="s">
        <v>38</v>
      </c>
      <c r="H1943" s="32" t="s">
        <v>7360</v>
      </c>
      <c r="I1943" s="32" t="s">
        <v>39</v>
      </c>
      <c r="J1943" s="32" t="s">
        <v>40</v>
      </c>
      <c r="K1943" s="32" t="s">
        <v>41</v>
      </c>
      <c r="M1943" s="32" t="s">
        <v>5421</v>
      </c>
      <c r="N1943" s="32" t="s">
        <v>45</v>
      </c>
    </row>
    <row r="1944" spans="1:14" s="32" customFormat="1" hidden="1" x14ac:dyDescent="0.3">
      <c r="A1944" s="39">
        <v>46176.574155092596</v>
      </c>
      <c r="B1944" s="32">
        <v>11964449514</v>
      </c>
      <c r="C1944" s="32" t="s">
        <v>37</v>
      </c>
      <c r="D1944" s="32">
        <v>4431268225</v>
      </c>
      <c r="E1944" s="32">
        <v>643</v>
      </c>
      <c r="F1944" s="32">
        <v>605</v>
      </c>
      <c r="G1944" s="32" t="s">
        <v>38</v>
      </c>
      <c r="H1944" s="32" t="s">
        <v>7361</v>
      </c>
      <c r="I1944" s="32" t="s">
        <v>39</v>
      </c>
      <c r="J1944" s="32" t="s">
        <v>40</v>
      </c>
      <c r="K1944" s="32" t="s">
        <v>41</v>
      </c>
      <c r="M1944" s="32" t="s">
        <v>5410</v>
      </c>
      <c r="N1944" s="32" t="s">
        <v>37</v>
      </c>
    </row>
    <row r="1945" spans="1:14" s="32" customFormat="1" hidden="1" x14ac:dyDescent="0.3">
      <c r="A1945" s="39">
        <v>46176.569293981483</v>
      </c>
      <c r="B1945" s="32">
        <v>11964449514</v>
      </c>
      <c r="C1945" s="32">
        <v>4431268225</v>
      </c>
      <c r="D1945" s="32">
        <v>4431268225</v>
      </c>
      <c r="E1945" s="32">
        <v>31</v>
      </c>
      <c r="F1945" s="32">
        <v>31</v>
      </c>
      <c r="G1945" s="32" t="s">
        <v>52</v>
      </c>
      <c r="H1945" s="32" t="s">
        <v>7362</v>
      </c>
      <c r="I1945" s="32" t="s">
        <v>39</v>
      </c>
      <c r="J1945" s="32" t="s">
        <v>53</v>
      </c>
      <c r="K1945" s="32" t="s">
        <v>41</v>
      </c>
    </row>
    <row r="1946" spans="1:14" s="32" customFormat="1" hidden="1" x14ac:dyDescent="0.3">
      <c r="A1946" s="39">
        <v>46176.568078703705</v>
      </c>
      <c r="B1946" s="32">
        <v>11964449514</v>
      </c>
      <c r="C1946" s="32" t="s">
        <v>37</v>
      </c>
      <c r="D1946" s="32">
        <v>4431268225</v>
      </c>
      <c r="E1946" s="32">
        <v>98</v>
      </c>
      <c r="F1946" s="32">
        <v>36</v>
      </c>
      <c r="G1946" s="32" t="s">
        <v>38</v>
      </c>
      <c r="H1946" s="32" t="s">
        <v>7363</v>
      </c>
      <c r="I1946" s="32" t="s">
        <v>39</v>
      </c>
      <c r="J1946" s="32" t="s">
        <v>40</v>
      </c>
      <c r="K1946" s="32" t="s">
        <v>41</v>
      </c>
      <c r="M1946" s="32" t="s">
        <v>5410</v>
      </c>
      <c r="N1946" s="32" t="s">
        <v>37</v>
      </c>
    </row>
    <row r="1947" spans="1:14" s="32" customFormat="1" hidden="1" x14ac:dyDescent="0.3">
      <c r="A1947" s="39">
        <v>46176.55945601852</v>
      </c>
      <c r="B1947" s="32">
        <v>4331622700</v>
      </c>
      <c r="C1947" s="32">
        <v>4430265054</v>
      </c>
      <c r="D1947" s="32">
        <v>4430265054</v>
      </c>
      <c r="E1947" s="32">
        <v>14</v>
      </c>
      <c r="F1947" s="32">
        <v>13</v>
      </c>
      <c r="G1947" s="32" t="s">
        <v>52</v>
      </c>
      <c r="H1947" s="32" t="s">
        <v>7364</v>
      </c>
      <c r="I1947" s="32" t="s">
        <v>39</v>
      </c>
      <c r="J1947" s="32" t="s">
        <v>53</v>
      </c>
    </row>
    <row r="1948" spans="1:14" s="32" customFormat="1" hidden="1" x14ac:dyDescent="0.3">
      <c r="A1948" s="39">
        <v>46176.492696759262</v>
      </c>
      <c r="B1948" s="32">
        <v>77999250878</v>
      </c>
      <c r="C1948" s="32" t="s">
        <v>43</v>
      </c>
      <c r="D1948" s="32">
        <v>4430265054</v>
      </c>
      <c r="E1948" s="32">
        <v>490</v>
      </c>
      <c r="F1948" s="32">
        <v>404</v>
      </c>
      <c r="G1948" s="32" t="s">
        <v>38</v>
      </c>
      <c r="H1948" s="32" t="s">
        <v>7365</v>
      </c>
      <c r="I1948" s="32" t="s">
        <v>39</v>
      </c>
      <c r="J1948" s="32" t="s">
        <v>40</v>
      </c>
      <c r="K1948" s="32" t="s">
        <v>41</v>
      </c>
      <c r="M1948" s="32" t="s">
        <v>5418</v>
      </c>
      <c r="N1948" s="32" t="s">
        <v>43</v>
      </c>
    </row>
    <row r="1949" spans="1:14" s="32" customFormat="1" hidden="1" x14ac:dyDescent="0.3">
      <c r="A1949" s="39">
        <v>46176.492002314815</v>
      </c>
      <c r="B1949" s="32">
        <v>77999250878</v>
      </c>
      <c r="C1949" s="32">
        <v>4430265054</v>
      </c>
      <c r="D1949" s="32">
        <v>4430265054</v>
      </c>
      <c r="E1949" s="32">
        <v>52</v>
      </c>
      <c r="F1949" s="32">
        <v>51</v>
      </c>
      <c r="G1949" s="32" t="s">
        <v>52</v>
      </c>
      <c r="H1949" s="32" t="s">
        <v>7366</v>
      </c>
      <c r="I1949" s="32" t="s">
        <v>39</v>
      </c>
      <c r="J1949" s="32" t="s">
        <v>53</v>
      </c>
      <c r="K1949" s="32" t="s">
        <v>41</v>
      </c>
    </row>
    <row r="1950" spans="1:14" s="32" customFormat="1" hidden="1" x14ac:dyDescent="0.3">
      <c r="A1950" s="39">
        <v>46176.489016203705</v>
      </c>
      <c r="B1950" s="32">
        <v>4432226677</v>
      </c>
      <c r="C1950" s="32">
        <v>4430265054</v>
      </c>
      <c r="D1950" s="32">
        <v>4430265054</v>
      </c>
      <c r="E1950" s="32">
        <v>16</v>
      </c>
      <c r="F1950" s="32">
        <v>15</v>
      </c>
      <c r="G1950" s="32" t="s">
        <v>52</v>
      </c>
      <c r="H1950" s="32" t="s">
        <v>7367</v>
      </c>
      <c r="I1950" s="32" t="s">
        <v>39</v>
      </c>
      <c r="J1950" s="32" t="s">
        <v>53</v>
      </c>
    </row>
    <row r="1951" spans="1:14" s="32" customFormat="1" hidden="1" x14ac:dyDescent="0.3">
      <c r="A1951" s="39">
        <v>46176.48642361111</v>
      </c>
      <c r="B1951" s="32" t="s">
        <v>37</v>
      </c>
      <c r="C1951" s="32">
        <v>1131043888</v>
      </c>
      <c r="E1951" s="32">
        <v>952</v>
      </c>
      <c r="F1951" s="32">
        <v>951</v>
      </c>
      <c r="G1951" s="32" t="s">
        <v>38</v>
      </c>
      <c r="H1951" s="32" t="s">
        <v>7368</v>
      </c>
      <c r="I1951" s="32" t="s">
        <v>46</v>
      </c>
      <c r="J1951" s="32" t="s">
        <v>40</v>
      </c>
      <c r="M1951" s="32" t="s">
        <v>5410</v>
      </c>
      <c r="N1951" s="32" t="s">
        <v>37</v>
      </c>
    </row>
    <row r="1952" spans="1:14" s="32" customFormat="1" hidden="1" x14ac:dyDescent="0.3">
      <c r="A1952" s="39">
        <v>46176.481932870367</v>
      </c>
      <c r="B1952" s="32">
        <v>35998295948</v>
      </c>
      <c r="C1952" s="32" t="s">
        <v>45</v>
      </c>
      <c r="D1952" s="32">
        <v>4430265054</v>
      </c>
      <c r="E1952" s="32">
        <v>421</v>
      </c>
      <c r="F1952" s="32">
        <v>382</v>
      </c>
      <c r="G1952" s="32" t="s">
        <v>38</v>
      </c>
      <c r="H1952" s="32" t="s">
        <v>7369</v>
      </c>
      <c r="I1952" s="32" t="s">
        <v>39</v>
      </c>
      <c r="J1952" s="32" t="s">
        <v>40</v>
      </c>
      <c r="K1952" s="32" t="s">
        <v>41</v>
      </c>
      <c r="L1952" s="32">
        <v>5</v>
      </c>
      <c r="M1952" s="32" t="s">
        <v>5421</v>
      </c>
      <c r="N1952" s="32" t="s">
        <v>45</v>
      </c>
    </row>
    <row r="1953" spans="1:14" s="32" customFormat="1" hidden="1" x14ac:dyDescent="0.3">
      <c r="A1953" s="39">
        <v>46176.479004629633</v>
      </c>
      <c r="B1953" s="32">
        <v>1131043888</v>
      </c>
      <c r="C1953" s="32" t="s">
        <v>37</v>
      </c>
      <c r="D1953" s="32">
        <v>4430265054</v>
      </c>
      <c r="E1953" s="32">
        <v>572</v>
      </c>
      <c r="F1953" s="32">
        <v>433</v>
      </c>
      <c r="G1953" s="32" t="s">
        <v>38</v>
      </c>
      <c r="H1953" s="32" t="s">
        <v>7370</v>
      </c>
      <c r="I1953" s="32" t="s">
        <v>39</v>
      </c>
      <c r="J1953" s="32" t="s">
        <v>40</v>
      </c>
      <c r="K1953" s="32" t="s">
        <v>41</v>
      </c>
      <c r="M1953" s="32" t="s">
        <v>5410</v>
      </c>
      <c r="N1953" s="32" t="s">
        <v>37</v>
      </c>
    </row>
    <row r="1954" spans="1:14" s="32" customFormat="1" hidden="1" x14ac:dyDescent="0.3">
      <c r="A1954" s="39">
        <v>46176.470381944448</v>
      </c>
      <c r="B1954" s="32">
        <v>6234347959</v>
      </c>
      <c r="C1954" s="32" t="s">
        <v>37</v>
      </c>
      <c r="D1954" s="32">
        <v>4430265054</v>
      </c>
      <c r="E1954" s="32">
        <v>306</v>
      </c>
      <c r="F1954" s="32">
        <v>284</v>
      </c>
      <c r="G1954" s="32" t="s">
        <v>38</v>
      </c>
      <c r="H1954" s="32" t="s">
        <v>7371</v>
      </c>
      <c r="I1954" s="32" t="s">
        <v>39</v>
      </c>
      <c r="J1954" s="32" t="s">
        <v>40</v>
      </c>
      <c r="K1954" s="32" t="s">
        <v>41</v>
      </c>
      <c r="M1954" s="32" t="s">
        <v>5410</v>
      </c>
      <c r="N1954" s="32" t="s">
        <v>37</v>
      </c>
    </row>
    <row r="1955" spans="1:14" s="32" customFormat="1" hidden="1" x14ac:dyDescent="0.3">
      <c r="A1955" s="39">
        <v>46176.458310185182</v>
      </c>
      <c r="B1955" s="32">
        <v>11964449514</v>
      </c>
      <c r="C1955" s="32" t="s">
        <v>44</v>
      </c>
      <c r="D1955" s="32">
        <v>4431268225</v>
      </c>
      <c r="E1955" s="32">
        <v>233</v>
      </c>
      <c r="F1955" s="32">
        <v>116</v>
      </c>
      <c r="G1955" s="32" t="s">
        <v>38</v>
      </c>
      <c r="H1955" s="32" t="s">
        <v>7372</v>
      </c>
      <c r="I1955" s="32" t="s">
        <v>39</v>
      </c>
      <c r="J1955" s="32" t="s">
        <v>40</v>
      </c>
      <c r="K1955" s="32" t="s">
        <v>41</v>
      </c>
      <c r="M1955" s="32" t="s">
        <v>5416</v>
      </c>
      <c r="N1955" s="32" t="s">
        <v>44</v>
      </c>
    </row>
    <row r="1956" spans="1:14" s="32" customFormat="1" hidden="1" x14ac:dyDescent="0.3">
      <c r="A1956" s="39">
        <v>46176.455208333333</v>
      </c>
      <c r="B1956" s="32">
        <v>11964449514</v>
      </c>
      <c r="C1956" s="32">
        <v>4431268225</v>
      </c>
      <c r="D1956" s="32">
        <v>4431268225</v>
      </c>
      <c r="E1956" s="32">
        <v>70</v>
      </c>
      <c r="F1956" s="32">
        <v>70</v>
      </c>
      <c r="G1956" s="32" t="s">
        <v>52</v>
      </c>
      <c r="H1956" s="32" t="s">
        <v>7373</v>
      </c>
      <c r="I1956" s="32" t="s">
        <v>39</v>
      </c>
      <c r="J1956" s="32" t="s">
        <v>53</v>
      </c>
      <c r="K1956" s="32" t="s">
        <v>41</v>
      </c>
    </row>
    <row r="1957" spans="1:14" s="32" customFormat="1" hidden="1" x14ac:dyDescent="0.3">
      <c r="A1957" s="39">
        <v>46176.451527777775</v>
      </c>
      <c r="B1957" s="32">
        <v>44999090169</v>
      </c>
      <c r="C1957" s="32" t="s">
        <v>45</v>
      </c>
      <c r="D1957" s="32">
        <v>4430265054</v>
      </c>
      <c r="E1957" s="32">
        <v>942</v>
      </c>
      <c r="F1957" s="32">
        <v>898</v>
      </c>
      <c r="G1957" s="32" t="s">
        <v>38</v>
      </c>
      <c r="H1957" s="32" t="s">
        <v>7374</v>
      </c>
      <c r="I1957" s="32" t="s">
        <v>39</v>
      </c>
      <c r="J1957" s="32" t="s">
        <v>40</v>
      </c>
      <c r="K1957" s="32" t="s">
        <v>41</v>
      </c>
      <c r="L1957" s="32">
        <v>5</v>
      </c>
      <c r="M1957" s="32" t="s">
        <v>5421</v>
      </c>
      <c r="N1957" s="32" t="s">
        <v>45</v>
      </c>
    </row>
    <row r="1958" spans="1:14" s="32" customFormat="1" hidden="1" x14ac:dyDescent="0.3">
      <c r="A1958" s="39">
        <v>46176.451354166667</v>
      </c>
      <c r="B1958" s="32" t="s">
        <v>37</v>
      </c>
      <c r="C1958" s="32">
        <v>62994546858</v>
      </c>
      <c r="E1958" s="32">
        <v>821</v>
      </c>
      <c r="F1958" s="32">
        <v>814</v>
      </c>
      <c r="G1958" s="32" t="s">
        <v>38</v>
      </c>
      <c r="H1958" s="32" t="s">
        <v>7375</v>
      </c>
      <c r="I1958" s="32" t="s">
        <v>46</v>
      </c>
      <c r="J1958" s="32" t="s">
        <v>40</v>
      </c>
      <c r="M1958" s="32" t="s">
        <v>5410</v>
      </c>
      <c r="N1958" s="32" t="s">
        <v>37</v>
      </c>
    </row>
    <row r="1959" spans="1:14" s="32" customFormat="1" hidden="1" x14ac:dyDescent="0.3">
      <c r="A1959" s="39">
        <v>46176.448842592596</v>
      </c>
      <c r="B1959" s="32">
        <v>4432677399</v>
      </c>
      <c r="C1959" s="32" t="s">
        <v>45</v>
      </c>
      <c r="D1959" s="32">
        <v>4430265054</v>
      </c>
      <c r="E1959" s="32">
        <v>224</v>
      </c>
      <c r="F1959" s="32">
        <v>173</v>
      </c>
      <c r="G1959" s="32" t="s">
        <v>38</v>
      </c>
      <c r="H1959" s="32" t="s">
        <v>7376</v>
      </c>
      <c r="I1959" s="32" t="s">
        <v>39</v>
      </c>
      <c r="J1959" s="32" t="s">
        <v>40</v>
      </c>
      <c r="K1959" s="32" t="s">
        <v>41</v>
      </c>
      <c r="M1959" s="32" t="s">
        <v>5421</v>
      </c>
      <c r="N1959" s="32" t="s">
        <v>45</v>
      </c>
    </row>
    <row r="1960" spans="1:14" s="32" customFormat="1" hidden="1" x14ac:dyDescent="0.3">
      <c r="A1960" s="39">
        <v>46176.444467592592</v>
      </c>
      <c r="B1960" s="32">
        <v>62994546858</v>
      </c>
      <c r="C1960" s="32" t="s">
        <v>45</v>
      </c>
      <c r="D1960" s="32">
        <v>4431268225</v>
      </c>
      <c r="E1960" s="32">
        <v>123</v>
      </c>
      <c r="F1960" s="32">
        <v>90</v>
      </c>
      <c r="G1960" s="32" t="s">
        <v>38</v>
      </c>
      <c r="H1960" s="32" t="s">
        <v>7377</v>
      </c>
      <c r="I1960" s="32" t="s">
        <v>39</v>
      </c>
      <c r="J1960" s="32" t="s">
        <v>40</v>
      </c>
      <c r="K1960" s="32" t="s">
        <v>41</v>
      </c>
      <c r="M1960" s="32" t="s">
        <v>5421</v>
      </c>
      <c r="N1960" s="32" t="s">
        <v>45</v>
      </c>
    </row>
    <row r="1961" spans="1:14" s="32" customFormat="1" hidden="1" x14ac:dyDescent="0.3">
      <c r="A1961" s="39">
        <v>46176.442812499998</v>
      </c>
      <c r="B1961" s="32">
        <v>4432524636</v>
      </c>
      <c r="C1961" s="32" t="s">
        <v>45</v>
      </c>
      <c r="D1961" s="32">
        <v>4430265054</v>
      </c>
      <c r="E1961" s="32">
        <v>94</v>
      </c>
      <c r="F1961" s="32">
        <v>80</v>
      </c>
      <c r="G1961" s="32" t="s">
        <v>38</v>
      </c>
      <c r="H1961" s="32" t="s">
        <v>7378</v>
      </c>
      <c r="I1961" s="32" t="s">
        <v>39</v>
      </c>
      <c r="J1961" s="32" t="s">
        <v>40</v>
      </c>
      <c r="K1961" s="32" t="s">
        <v>41</v>
      </c>
      <c r="M1961" s="32" t="s">
        <v>5421</v>
      </c>
      <c r="N1961" s="32" t="s">
        <v>45</v>
      </c>
    </row>
    <row r="1962" spans="1:14" s="32" customFormat="1" hidden="1" x14ac:dyDescent="0.3">
      <c r="A1962" s="39">
        <v>46176.442789351851</v>
      </c>
      <c r="B1962" s="32">
        <v>11964449514</v>
      </c>
      <c r="C1962" s="32" t="s">
        <v>37</v>
      </c>
      <c r="D1962" s="32">
        <v>4431268225</v>
      </c>
      <c r="E1962" s="32">
        <v>696</v>
      </c>
      <c r="F1962" s="32">
        <v>610</v>
      </c>
      <c r="G1962" s="32" t="s">
        <v>38</v>
      </c>
      <c r="H1962" s="32" t="s">
        <v>7379</v>
      </c>
      <c r="I1962" s="32" t="s">
        <v>39</v>
      </c>
      <c r="J1962" s="32" t="s">
        <v>40</v>
      </c>
      <c r="K1962" s="32" t="s">
        <v>41</v>
      </c>
      <c r="M1962" s="32" t="s">
        <v>5410</v>
      </c>
      <c r="N1962" s="32" t="s">
        <v>37</v>
      </c>
    </row>
    <row r="1963" spans="1:14" s="32" customFormat="1" hidden="1" x14ac:dyDescent="0.3">
      <c r="A1963" s="39">
        <v>46176.441469907404</v>
      </c>
      <c r="B1963" s="32">
        <v>4334226481</v>
      </c>
      <c r="C1963" s="32" t="s">
        <v>48</v>
      </c>
      <c r="D1963" s="32">
        <v>4430265054</v>
      </c>
      <c r="E1963" s="32">
        <v>269</v>
      </c>
      <c r="F1963" s="32">
        <v>268</v>
      </c>
      <c r="G1963" s="32" t="s">
        <v>38</v>
      </c>
      <c r="H1963" s="32" t="s">
        <v>7380</v>
      </c>
      <c r="I1963" s="32" t="s">
        <v>39</v>
      </c>
      <c r="J1963" s="32" t="s">
        <v>40</v>
      </c>
      <c r="K1963" s="32" t="s">
        <v>41</v>
      </c>
      <c r="M1963" s="32" t="s">
        <v>5412</v>
      </c>
      <c r="N1963" s="32" t="s">
        <v>48</v>
      </c>
    </row>
    <row r="1964" spans="1:14" s="32" customFormat="1" hidden="1" x14ac:dyDescent="0.3">
      <c r="A1964" s="39">
        <v>46176.440671296295</v>
      </c>
      <c r="B1964" s="32">
        <v>4433543396</v>
      </c>
      <c r="C1964" s="32" t="s">
        <v>44</v>
      </c>
      <c r="D1964" s="32">
        <v>4430265054</v>
      </c>
      <c r="E1964" s="32">
        <v>719</v>
      </c>
      <c r="F1964" s="32">
        <v>676</v>
      </c>
      <c r="G1964" s="32" t="s">
        <v>38</v>
      </c>
      <c r="H1964" s="32" t="s">
        <v>7381</v>
      </c>
      <c r="I1964" s="32" t="s">
        <v>39</v>
      </c>
      <c r="J1964" s="32" t="s">
        <v>40</v>
      </c>
      <c r="K1964" s="32" t="s">
        <v>41</v>
      </c>
      <c r="M1964" s="32" t="s">
        <v>5416</v>
      </c>
      <c r="N1964" s="32" t="s">
        <v>44</v>
      </c>
    </row>
    <row r="1965" spans="1:14" s="32" customFormat="1" hidden="1" x14ac:dyDescent="0.3">
      <c r="A1965" s="39">
        <v>46176.43822916667</v>
      </c>
      <c r="B1965" s="32">
        <v>44997343311</v>
      </c>
      <c r="C1965" s="32" t="s">
        <v>43</v>
      </c>
      <c r="D1965" s="32">
        <v>4430265054</v>
      </c>
      <c r="E1965" s="32">
        <v>682</v>
      </c>
      <c r="F1965" s="32">
        <v>644</v>
      </c>
      <c r="G1965" s="32" t="s">
        <v>38</v>
      </c>
      <c r="H1965" s="32" t="s">
        <v>7382</v>
      </c>
      <c r="I1965" s="32" t="s">
        <v>39</v>
      </c>
      <c r="J1965" s="32" t="s">
        <v>40</v>
      </c>
      <c r="K1965" s="32" t="s">
        <v>41</v>
      </c>
      <c r="L1965" s="32">
        <v>5</v>
      </c>
      <c r="M1965" s="32" t="s">
        <v>5418</v>
      </c>
      <c r="N1965" s="32" t="s">
        <v>43</v>
      </c>
    </row>
    <row r="1966" spans="1:14" s="32" customFormat="1" hidden="1" x14ac:dyDescent="0.3">
      <c r="A1966" s="39">
        <v>46176.432870370372</v>
      </c>
      <c r="B1966" s="32">
        <v>4432272377</v>
      </c>
      <c r="C1966" s="32" t="s">
        <v>44</v>
      </c>
      <c r="D1966" s="32">
        <v>4430265054</v>
      </c>
      <c r="E1966" s="32">
        <v>153</v>
      </c>
      <c r="F1966" s="32">
        <v>101</v>
      </c>
      <c r="G1966" s="32" t="s">
        <v>38</v>
      </c>
      <c r="H1966" s="32" t="s">
        <v>7383</v>
      </c>
      <c r="I1966" s="32" t="s">
        <v>39</v>
      </c>
      <c r="J1966" s="32" t="s">
        <v>40</v>
      </c>
      <c r="K1966" s="32" t="s">
        <v>41</v>
      </c>
      <c r="M1966" s="32" t="s">
        <v>5416</v>
      </c>
      <c r="N1966" s="32" t="s">
        <v>44</v>
      </c>
    </row>
    <row r="1967" spans="1:14" s="32" customFormat="1" hidden="1" x14ac:dyDescent="0.3">
      <c r="A1967" s="39">
        <v>46176.424490740741</v>
      </c>
      <c r="B1967" s="32">
        <v>62994546858</v>
      </c>
      <c r="C1967" s="32" t="s">
        <v>37</v>
      </c>
      <c r="D1967" s="32">
        <v>4431268225</v>
      </c>
      <c r="E1967" s="32">
        <v>1601</v>
      </c>
      <c r="F1967" s="32">
        <v>1578</v>
      </c>
      <c r="G1967" s="32" t="s">
        <v>38</v>
      </c>
      <c r="H1967" s="32" t="s">
        <v>7384</v>
      </c>
      <c r="I1967" s="32" t="s">
        <v>39</v>
      </c>
      <c r="J1967" s="32" t="s">
        <v>40</v>
      </c>
      <c r="K1967" s="32" t="s">
        <v>41</v>
      </c>
      <c r="M1967" s="32" t="s">
        <v>5410</v>
      </c>
      <c r="N1967" s="32" t="s">
        <v>37</v>
      </c>
    </row>
    <row r="1968" spans="1:14" s="32" customFormat="1" hidden="1" x14ac:dyDescent="0.3">
      <c r="A1968" s="39">
        <v>46176.423425925925</v>
      </c>
      <c r="B1968" s="32">
        <v>44999676986</v>
      </c>
      <c r="C1968" s="32" t="s">
        <v>44</v>
      </c>
      <c r="D1968" s="32">
        <v>4430265054</v>
      </c>
      <c r="E1968" s="32">
        <v>246</v>
      </c>
      <c r="F1968" s="32">
        <v>222</v>
      </c>
      <c r="G1968" s="32" t="s">
        <v>38</v>
      </c>
      <c r="H1968" s="32" t="s">
        <v>7385</v>
      </c>
      <c r="I1968" s="32" t="s">
        <v>39</v>
      </c>
      <c r="J1968" s="32" t="s">
        <v>40</v>
      </c>
      <c r="K1968" s="32" t="s">
        <v>41</v>
      </c>
      <c r="M1968" s="32" t="s">
        <v>5416</v>
      </c>
      <c r="N1968" s="32" t="s">
        <v>44</v>
      </c>
    </row>
    <row r="1969" spans="1:14" s="32" customFormat="1" hidden="1" x14ac:dyDescent="0.3">
      <c r="A1969" s="39">
        <v>46176.422696759262</v>
      </c>
      <c r="B1969" s="32">
        <v>44999676986</v>
      </c>
      <c r="C1969" s="32">
        <v>4430265054</v>
      </c>
      <c r="D1969" s="32">
        <v>4430265054</v>
      </c>
      <c r="E1969" s="32">
        <v>2</v>
      </c>
      <c r="F1969" s="32">
        <v>2</v>
      </c>
      <c r="G1969" s="32" t="s">
        <v>52</v>
      </c>
      <c r="H1969" s="32" t="s">
        <v>7386</v>
      </c>
      <c r="I1969" s="32" t="s">
        <v>39</v>
      </c>
      <c r="J1969" s="32" t="s">
        <v>53</v>
      </c>
    </row>
    <row r="1970" spans="1:14" s="32" customFormat="1" hidden="1" x14ac:dyDescent="0.3">
      <c r="A1970" s="39">
        <v>46176.422083333331</v>
      </c>
      <c r="B1970" s="32">
        <v>44984241715</v>
      </c>
      <c r="C1970" s="32" t="s">
        <v>43</v>
      </c>
      <c r="D1970" s="32">
        <v>4430265054</v>
      </c>
      <c r="E1970" s="32">
        <v>311</v>
      </c>
      <c r="F1970" s="32">
        <v>269</v>
      </c>
      <c r="G1970" s="32" t="s">
        <v>38</v>
      </c>
      <c r="H1970" s="32" t="s">
        <v>7387</v>
      </c>
      <c r="I1970" s="32" t="s">
        <v>39</v>
      </c>
      <c r="J1970" s="32" t="s">
        <v>40</v>
      </c>
      <c r="K1970" s="32" t="s">
        <v>41</v>
      </c>
      <c r="L1970" s="32">
        <v>5</v>
      </c>
      <c r="M1970" s="32" t="s">
        <v>5418</v>
      </c>
      <c r="N1970" s="32" t="s">
        <v>43</v>
      </c>
    </row>
    <row r="1971" spans="1:14" s="32" customFormat="1" hidden="1" x14ac:dyDescent="0.3">
      <c r="A1971" s="39">
        <v>46176.420729166668</v>
      </c>
      <c r="B1971" s="32">
        <v>4430459032</v>
      </c>
      <c r="C1971" s="32" t="s">
        <v>45</v>
      </c>
      <c r="D1971" s="32">
        <v>4430265054</v>
      </c>
      <c r="E1971" s="32">
        <v>1814</v>
      </c>
      <c r="F1971" s="32">
        <v>1629</v>
      </c>
      <c r="G1971" s="32" t="s">
        <v>38</v>
      </c>
      <c r="H1971" s="32" t="s">
        <v>7388</v>
      </c>
      <c r="I1971" s="32" t="s">
        <v>39</v>
      </c>
      <c r="J1971" s="32" t="s">
        <v>40</v>
      </c>
      <c r="K1971" s="32" t="s">
        <v>41</v>
      </c>
      <c r="M1971" s="32" t="s">
        <v>5421</v>
      </c>
      <c r="N1971" s="32" t="s">
        <v>45</v>
      </c>
    </row>
    <row r="1972" spans="1:14" s="32" customFormat="1" x14ac:dyDescent="0.3">
      <c r="A1972" s="39">
        <v>46176.413263888891</v>
      </c>
      <c r="B1972" s="32" t="s">
        <v>44</v>
      </c>
      <c r="C1972" s="32">
        <v>4430317020</v>
      </c>
      <c r="E1972" s="32">
        <v>362</v>
      </c>
      <c r="F1972" s="32">
        <v>349</v>
      </c>
      <c r="G1972" s="32" t="s">
        <v>38</v>
      </c>
      <c r="H1972" s="32" t="s">
        <v>7389</v>
      </c>
      <c r="I1972" s="32" t="s">
        <v>46</v>
      </c>
      <c r="J1972" s="32" t="s">
        <v>40</v>
      </c>
      <c r="M1972" s="32" t="s">
        <v>5416</v>
      </c>
      <c r="N1972" s="32" t="s">
        <v>44</v>
      </c>
    </row>
    <row r="1973" spans="1:14" s="32" customFormat="1" x14ac:dyDescent="0.3">
      <c r="A1973" s="39">
        <v>46176.413194444445</v>
      </c>
      <c r="B1973" s="32" t="s">
        <v>44</v>
      </c>
      <c r="C1973" s="32">
        <v>4430317020</v>
      </c>
      <c r="E1973" s="32">
        <v>14</v>
      </c>
      <c r="F1973" s="32">
        <v>13</v>
      </c>
      <c r="G1973" s="32" t="s">
        <v>38</v>
      </c>
      <c r="H1973" s="32" t="s">
        <v>7390</v>
      </c>
      <c r="I1973" s="32" t="s">
        <v>46</v>
      </c>
      <c r="J1973" s="32" t="s">
        <v>40</v>
      </c>
      <c r="M1973" s="32" t="s">
        <v>5416</v>
      </c>
      <c r="N1973" s="32" t="s">
        <v>44</v>
      </c>
    </row>
    <row r="1974" spans="1:14" s="32" customFormat="1" hidden="1" x14ac:dyDescent="0.3">
      <c r="A1974" s="39">
        <v>46176.410312499997</v>
      </c>
      <c r="B1974" s="32">
        <v>44999822688</v>
      </c>
      <c r="C1974" s="32" t="s">
        <v>43</v>
      </c>
      <c r="D1974" s="32">
        <v>4430265054</v>
      </c>
      <c r="E1974" s="32">
        <v>139</v>
      </c>
      <c r="F1974" s="32">
        <v>91</v>
      </c>
      <c r="G1974" s="32" t="s">
        <v>38</v>
      </c>
      <c r="H1974" s="32" t="s">
        <v>7391</v>
      </c>
      <c r="I1974" s="32" t="s">
        <v>39</v>
      </c>
      <c r="J1974" s="32" t="s">
        <v>40</v>
      </c>
      <c r="K1974" s="32" t="s">
        <v>41</v>
      </c>
      <c r="M1974" s="32" t="s">
        <v>5418</v>
      </c>
      <c r="N1974" s="32" t="s">
        <v>43</v>
      </c>
    </row>
    <row r="1975" spans="1:14" s="32" customFormat="1" hidden="1" x14ac:dyDescent="0.3">
      <c r="A1975" s="39">
        <v>46176.408877314818</v>
      </c>
      <c r="B1975" s="32">
        <v>44991396687</v>
      </c>
      <c r="C1975" s="32" t="s">
        <v>37</v>
      </c>
      <c r="D1975" s="32">
        <v>4430265054</v>
      </c>
      <c r="E1975" s="32">
        <v>1045</v>
      </c>
      <c r="F1975" s="32">
        <v>1004</v>
      </c>
      <c r="G1975" s="32" t="s">
        <v>38</v>
      </c>
      <c r="H1975" s="32" t="s">
        <v>7392</v>
      </c>
      <c r="I1975" s="32" t="s">
        <v>39</v>
      </c>
      <c r="J1975" s="32" t="s">
        <v>40</v>
      </c>
      <c r="K1975" s="32" t="s">
        <v>41</v>
      </c>
      <c r="L1975" s="32">
        <v>5</v>
      </c>
      <c r="M1975" s="32" t="s">
        <v>5410</v>
      </c>
      <c r="N1975" s="32" t="s">
        <v>37</v>
      </c>
    </row>
    <row r="1976" spans="1:14" s="32" customFormat="1" hidden="1" x14ac:dyDescent="0.3">
      <c r="A1976" s="39">
        <v>46176.405138888891</v>
      </c>
      <c r="B1976" s="32">
        <v>81986261961</v>
      </c>
      <c r="C1976" s="32" t="s">
        <v>45</v>
      </c>
      <c r="D1976" s="32">
        <v>4430265054</v>
      </c>
      <c r="E1976" s="32">
        <v>885</v>
      </c>
      <c r="F1976" s="32">
        <v>814</v>
      </c>
      <c r="G1976" s="32" t="s">
        <v>38</v>
      </c>
      <c r="H1976" s="32" t="s">
        <v>7393</v>
      </c>
      <c r="I1976" s="32" t="s">
        <v>39</v>
      </c>
      <c r="J1976" s="32" t="s">
        <v>40</v>
      </c>
      <c r="K1976" s="32" t="s">
        <v>41</v>
      </c>
      <c r="M1976" s="32" t="s">
        <v>5421</v>
      </c>
      <c r="N1976" s="32" t="s">
        <v>45</v>
      </c>
    </row>
    <row r="1977" spans="1:14" s="32" customFormat="1" hidden="1" x14ac:dyDescent="0.3">
      <c r="A1977" s="39">
        <v>46176.404282407406</v>
      </c>
      <c r="B1977" s="32">
        <v>4432325260</v>
      </c>
      <c r="C1977" s="32" t="s">
        <v>44</v>
      </c>
      <c r="D1977" s="32">
        <v>4430265054</v>
      </c>
      <c r="E1977" s="32">
        <v>641</v>
      </c>
      <c r="F1977" s="32">
        <v>624</v>
      </c>
      <c r="G1977" s="32" t="s">
        <v>38</v>
      </c>
      <c r="H1977" s="32" t="s">
        <v>7394</v>
      </c>
      <c r="I1977" s="32" t="s">
        <v>39</v>
      </c>
      <c r="J1977" s="32" t="s">
        <v>40</v>
      </c>
      <c r="K1977" s="32" t="s">
        <v>41</v>
      </c>
      <c r="L1977" s="32">
        <v>5</v>
      </c>
      <c r="M1977" s="32" t="s">
        <v>5416</v>
      </c>
      <c r="N1977" s="32" t="s">
        <v>44</v>
      </c>
    </row>
    <row r="1978" spans="1:14" s="32" customFormat="1" hidden="1" x14ac:dyDescent="0.3">
      <c r="A1978" s="39">
        <v>46176.402812499997</v>
      </c>
      <c r="B1978" s="32">
        <v>4430317020</v>
      </c>
      <c r="C1978" s="32" t="s">
        <v>44</v>
      </c>
      <c r="D1978" s="32">
        <v>4430265054</v>
      </c>
      <c r="E1978" s="32">
        <v>112</v>
      </c>
      <c r="F1978" s="32">
        <v>59</v>
      </c>
      <c r="G1978" s="32" t="s">
        <v>38</v>
      </c>
      <c r="H1978" s="32" t="s">
        <v>7395</v>
      </c>
      <c r="I1978" s="32" t="s">
        <v>39</v>
      </c>
      <c r="J1978" s="32" t="s">
        <v>40</v>
      </c>
      <c r="K1978" s="32" t="s">
        <v>41</v>
      </c>
      <c r="M1978" s="32" t="s">
        <v>5416</v>
      </c>
      <c r="N1978" s="32" t="s">
        <v>44</v>
      </c>
    </row>
    <row r="1979" spans="1:14" s="32" customFormat="1" hidden="1" x14ac:dyDescent="0.3">
      <c r="A1979" s="39">
        <v>46176.402800925927</v>
      </c>
      <c r="B1979" s="32">
        <v>96981080303</v>
      </c>
      <c r="C1979" s="32" t="s">
        <v>48</v>
      </c>
      <c r="D1979" s="32">
        <v>4430265054</v>
      </c>
      <c r="E1979" s="32">
        <v>182</v>
      </c>
      <c r="F1979" s="32">
        <v>129</v>
      </c>
      <c r="G1979" s="32" t="s">
        <v>38</v>
      </c>
      <c r="H1979" s="32" t="s">
        <v>7396</v>
      </c>
      <c r="I1979" s="32" t="s">
        <v>39</v>
      </c>
      <c r="J1979" s="32" t="s">
        <v>40</v>
      </c>
      <c r="K1979" s="32" t="s">
        <v>41</v>
      </c>
      <c r="M1979" s="32" t="s">
        <v>5412</v>
      </c>
      <c r="N1979" s="32" t="s">
        <v>48</v>
      </c>
    </row>
    <row r="1980" spans="1:14" s="32" customFormat="1" hidden="1" x14ac:dyDescent="0.3">
      <c r="A1980" s="39">
        <v>46176.399259259262</v>
      </c>
      <c r="B1980" s="32">
        <v>44997426611</v>
      </c>
      <c r="C1980" s="32" t="s">
        <v>43</v>
      </c>
      <c r="D1980" s="32">
        <v>4430265054</v>
      </c>
      <c r="E1980" s="32">
        <v>427</v>
      </c>
      <c r="F1980" s="32">
        <v>385</v>
      </c>
      <c r="G1980" s="32" t="s">
        <v>38</v>
      </c>
      <c r="H1980" s="32" t="s">
        <v>7397</v>
      </c>
      <c r="I1980" s="32" t="s">
        <v>39</v>
      </c>
      <c r="J1980" s="32" t="s">
        <v>40</v>
      </c>
      <c r="K1980" s="32" t="s">
        <v>41</v>
      </c>
      <c r="M1980" s="32" t="s">
        <v>5418</v>
      </c>
      <c r="N1980" s="32" t="s">
        <v>43</v>
      </c>
    </row>
    <row r="1981" spans="1:14" s="32" customFormat="1" hidden="1" x14ac:dyDescent="0.3">
      <c r="A1981" s="39">
        <v>46176.38616898148</v>
      </c>
      <c r="B1981" s="32" t="s">
        <v>50</v>
      </c>
      <c r="C1981" s="32">
        <v>4133126007</v>
      </c>
      <c r="E1981" s="32">
        <v>0</v>
      </c>
      <c r="F1981" s="32">
        <v>0</v>
      </c>
      <c r="G1981" s="32" t="s">
        <v>47</v>
      </c>
      <c r="H1981" s="32" t="s">
        <v>7398</v>
      </c>
      <c r="I1981" s="32" t="s">
        <v>46</v>
      </c>
      <c r="J1981" s="32" t="s">
        <v>55</v>
      </c>
      <c r="M1981" s="32" t="s">
        <v>5746</v>
      </c>
      <c r="N1981" s="32" t="s">
        <v>50</v>
      </c>
    </row>
    <row r="1982" spans="1:14" s="32" customFormat="1" hidden="1" x14ac:dyDescent="0.3">
      <c r="A1982" s="39">
        <v>46176.385983796295</v>
      </c>
      <c r="B1982" s="32" t="s">
        <v>50</v>
      </c>
      <c r="C1982" s="32">
        <v>4133126007</v>
      </c>
      <c r="E1982" s="32">
        <v>1</v>
      </c>
      <c r="F1982" s="32">
        <v>0</v>
      </c>
      <c r="G1982" s="32" t="s">
        <v>47</v>
      </c>
      <c r="H1982" s="32" t="s">
        <v>7399</v>
      </c>
      <c r="I1982" s="32" t="s">
        <v>46</v>
      </c>
      <c r="J1982" s="32" t="s">
        <v>55</v>
      </c>
      <c r="M1982" s="32" t="s">
        <v>5746</v>
      </c>
      <c r="N1982" s="32" t="s">
        <v>50</v>
      </c>
    </row>
    <row r="1983" spans="1:14" s="32" customFormat="1" hidden="1" x14ac:dyDescent="0.3">
      <c r="A1983" s="39">
        <v>46176.377685185187</v>
      </c>
      <c r="B1983" s="32" t="s">
        <v>43</v>
      </c>
      <c r="C1983" s="32">
        <v>44988229700</v>
      </c>
      <c r="E1983" s="32">
        <v>11</v>
      </c>
      <c r="F1983" s="32">
        <v>0</v>
      </c>
      <c r="G1983" s="32" t="s">
        <v>47</v>
      </c>
      <c r="H1983" s="32" t="s">
        <v>7400</v>
      </c>
      <c r="I1983" s="32" t="s">
        <v>46</v>
      </c>
      <c r="J1983" s="32" t="s">
        <v>40</v>
      </c>
      <c r="M1983" s="32" t="s">
        <v>5418</v>
      </c>
      <c r="N1983" s="32" t="s">
        <v>43</v>
      </c>
    </row>
    <row r="1984" spans="1:14" s="32" customFormat="1" hidden="1" x14ac:dyDescent="0.3">
      <c r="A1984" s="39">
        <v>46176.377187500002</v>
      </c>
      <c r="B1984" s="32" t="s">
        <v>43</v>
      </c>
      <c r="C1984" s="32">
        <v>44988229700</v>
      </c>
      <c r="E1984" s="32">
        <v>19</v>
      </c>
      <c r="F1984" s="32">
        <v>0</v>
      </c>
      <c r="G1984" s="32" t="s">
        <v>47</v>
      </c>
      <c r="H1984" s="32" t="s">
        <v>7401</v>
      </c>
      <c r="I1984" s="32" t="s">
        <v>46</v>
      </c>
      <c r="J1984" s="32" t="s">
        <v>40</v>
      </c>
      <c r="M1984" s="32" t="s">
        <v>5418</v>
      </c>
      <c r="N1984" s="32" t="s">
        <v>43</v>
      </c>
    </row>
    <row r="1985" spans="1:14" s="32" customFormat="1" hidden="1" x14ac:dyDescent="0.3">
      <c r="A1985" s="39">
        <v>46176.377106481479</v>
      </c>
      <c r="B1985" s="32" t="s">
        <v>43</v>
      </c>
      <c r="C1985" s="32">
        <v>44988229700</v>
      </c>
      <c r="E1985" s="32">
        <v>5</v>
      </c>
      <c r="F1985" s="32">
        <v>0</v>
      </c>
      <c r="G1985" s="32" t="s">
        <v>47</v>
      </c>
      <c r="H1985" s="32" t="s">
        <v>7402</v>
      </c>
      <c r="I1985" s="32" t="s">
        <v>46</v>
      </c>
      <c r="J1985" s="32" t="s">
        <v>40</v>
      </c>
      <c r="M1985" s="32" t="s">
        <v>5418</v>
      </c>
      <c r="N1985" s="32" t="s">
        <v>43</v>
      </c>
    </row>
    <row r="1986" spans="1:14" s="32" customFormat="1" hidden="1" x14ac:dyDescent="0.3">
      <c r="A1986" s="39">
        <v>46176.370983796296</v>
      </c>
      <c r="B1986" s="32">
        <v>43991762957</v>
      </c>
      <c r="C1986" s="32" t="s">
        <v>37</v>
      </c>
      <c r="D1986" s="32">
        <v>4430265054</v>
      </c>
      <c r="E1986" s="32">
        <v>2777</v>
      </c>
      <c r="F1986" s="32">
        <v>2739</v>
      </c>
      <c r="G1986" s="32" t="s">
        <v>38</v>
      </c>
      <c r="H1986" s="32" t="s">
        <v>7403</v>
      </c>
      <c r="I1986" s="32" t="s">
        <v>39</v>
      </c>
      <c r="J1986" s="32" t="s">
        <v>40</v>
      </c>
      <c r="K1986" s="32" t="s">
        <v>41</v>
      </c>
      <c r="L1986" s="32">
        <v>5</v>
      </c>
      <c r="M1986" s="32" t="s">
        <v>5410</v>
      </c>
      <c r="N1986" s="32" t="s">
        <v>37</v>
      </c>
    </row>
    <row r="1987" spans="1:14" s="32" customFormat="1" hidden="1" x14ac:dyDescent="0.3">
      <c r="A1987" s="39">
        <v>46176.365254629629</v>
      </c>
      <c r="B1987" s="32">
        <v>6234347959</v>
      </c>
      <c r="C1987" s="32" t="s">
        <v>48</v>
      </c>
      <c r="D1987" s="32">
        <v>4430265054</v>
      </c>
      <c r="E1987" s="32">
        <v>515</v>
      </c>
      <c r="F1987" s="32">
        <v>460</v>
      </c>
      <c r="G1987" s="32" t="s">
        <v>38</v>
      </c>
      <c r="H1987" s="32" t="s">
        <v>7404</v>
      </c>
      <c r="I1987" s="32" t="s">
        <v>39</v>
      </c>
      <c r="J1987" s="32" t="s">
        <v>40</v>
      </c>
      <c r="K1987" s="32" t="s">
        <v>41</v>
      </c>
      <c r="M1987" s="32" t="s">
        <v>5412</v>
      </c>
      <c r="N1987" s="32" t="s">
        <v>48</v>
      </c>
    </row>
    <row r="1988" spans="1:14" s="32" customFormat="1" hidden="1" x14ac:dyDescent="0.3">
      <c r="A1988" s="39">
        <v>46176.363703703704</v>
      </c>
      <c r="B1988" s="32">
        <v>67992169496</v>
      </c>
      <c r="C1988" s="32" t="s">
        <v>43</v>
      </c>
      <c r="D1988" s="32">
        <v>4430265054</v>
      </c>
      <c r="E1988" s="32">
        <v>402</v>
      </c>
      <c r="F1988" s="32">
        <v>348</v>
      </c>
      <c r="G1988" s="32" t="s">
        <v>38</v>
      </c>
      <c r="H1988" s="32" t="s">
        <v>7405</v>
      </c>
      <c r="I1988" s="32" t="s">
        <v>39</v>
      </c>
      <c r="J1988" s="32" t="s">
        <v>40</v>
      </c>
      <c r="K1988" s="32" t="s">
        <v>41</v>
      </c>
      <c r="L1988" s="32">
        <v>5</v>
      </c>
      <c r="M1988" s="32" t="s">
        <v>5418</v>
      </c>
      <c r="N1988" s="32" t="s">
        <v>43</v>
      </c>
    </row>
    <row r="1989" spans="1:14" s="32" customFormat="1" hidden="1" x14ac:dyDescent="0.3">
      <c r="A1989" s="39">
        <v>46176.362650462965</v>
      </c>
      <c r="B1989" s="32">
        <v>4430459032</v>
      </c>
      <c r="C1989" s="32" t="s">
        <v>44</v>
      </c>
      <c r="D1989" s="32">
        <v>4430265054</v>
      </c>
      <c r="E1989" s="32">
        <v>472</v>
      </c>
      <c r="F1989" s="32">
        <v>437</v>
      </c>
      <c r="G1989" s="32" t="s">
        <v>38</v>
      </c>
      <c r="H1989" s="32" t="s">
        <v>7406</v>
      </c>
      <c r="I1989" s="32" t="s">
        <v>39</v>
      </c>
      <c r="J1989" s="32" t="s">
        <v>40</v>
      </c>
      <c r="K1989" s="32" t="s">
        <v>41</v>
      </c>
      <c r="L1989" s="32">
        <v>5</v>
      </c>
      <c r="M1989" s="32" t="s">
        <v>5416</v>
      </c>
      <c r="N1989" s="32" t="s">
        <v>44</v>
      </c>
    </row>
    <row r="1990" spans="1:14" s="32" customFormat="1" hidden="1" x14ac:dyDescent="0.3">
      <c r="A1990" s="39">
        <v>46176.361574074072</v>
      </c>
      <c r="B1990" s="32" t="s">
        <v>57</v>
      </c>
      <c r="C1990" s="32">
        <v>44997134514</v>
      </c>
      <c r="E1990" s="32">
        <v>2653</v>
      </c>
      <c r="F1990" s="32">
        <v>2648</v>
      </c>
      <c r="G1990" s="32" t="s">
        <v>38</v>
      </c>
      <c r="H1990" s="32" t="s">
        <v>7407</v>
      </c>
      <c r="I1990" s="32" t="s">
        <v>46</v>
      </c>
      <c r="J1990" s="32" t="s">
        <v>55</v>
      </c>
      <c r="M1990" s="32" t="s">
        <v>5456</v>
      </c>
      <c r="N1990" s="32" t="s">
        <v>57</v>
      </c>
    </row>
    <row r="1991" spans="1:14" s="32" customFormat="1" hidden="1" x14ac:dyDescent="0.3">
      <c r="A1991" s="39">
        <v>46176.357349537036</v>
      </c>
      <c r="B1991" s="32">
        <v>44999743444</v>
      </c>
      <c r="C1991" s="32" t="s">
        <v>45</v>
      </c>
      <c r="D1991" s="32">
        <v>4430265054</v>
      </c>
      <c r="E1991" s="32">
        <v>1362</v>
      </c>
      <c r="F1991" s="32">
        <v>1310</v>
      </c>
      <c r="G1991" s="32" t="s">
        <v>38</v>
      </c>
      <c r="H1991" s="32" t="s">
        <v>7408</v>
      </c>
      <c r="I1991" s="32" t="s">
        <v>39</v>
      </c>
      <c r="J1991" s="32" t="s">
        <v>40</v>
      </c>
      <c r="K1991" s="32" t="s">
        <v>41</v>
      </c>
      <c r="M1991" s="32" t="s">
        <v>5421</v>
      </c>
      <c r="N1991" s="32" t="s">
        <v>45</v>
      </c>
    </row>
    <row r="1992" spans="1:14" s="32" customFormat="1" hidden="1" x14ac:dyDescent="0.3">
      <c r="A1992" s="39">
        <v>46176.354594907411</v>
      </c>
      <c r="B1992" s="32">
        <v>4431337559</v>
      </c>
      <c r="C1992" s="32" t="s">
        <v>43</v>
      </c>
      <c r="D1992" s="32">
        <v>4430265054</v>
      </c>
      <c r="E1992" s="32">
        <v>221</v>
      </c>
      <c r="F1992" s="32">
        <v>170</v>
      </c>
      <c r="G1992" s="32" t="s">
        <v>38</v>
      </c>
      <c r="H1992" s="32" t="s">
        <v>7409</v>
      </c>
      <c r="I1992" s="32" t="s">
        <v>39</v>
      </c>
      <c r="J1992" s="32" t="s">
        <v>40</v>
      </c>
      <c r="K1992" s="32" t="s">
        <v>41</v>
      </c>
      <c r="M1992" s="32" t="s">
        <v>5418</v>
      </c>
      <c r="N1992" s="32" t="s">
        <v>43</v>
      </c>
    </row>
    <row r="1993" spans="1:14" s="32" customFormat="1" hidden="1" x14ac:dyDescent="0.3">
      <c r="A1993" s="39">
        <v>46176.353958333333</v>
      </c>
      <c r="B1993" s="32">
        <v>4431337559</v>
      </c>
      <c r="C1993" s="32">
        <v>4430265054</v>
      </c>
      <c r="D1993" s="32">
        <v>4430265054</v>
      </c>
      <c r="E1993" s="32">
        <v>29</v>
      </c>
      <c r="F1993" s="32">
        <v>29</v>
      </c>
      <c r="G1993" s="32" t="s">
        <v>52</v>
      </c>
      <c r="H1993" s="32" t="s">
        <v>7410</v>
      </c>
      <c r="I1993" s="32" t="s">
        <v>39</v>
      </c>
      <c r="J1993" s="32" t="s">
        <v>53</v>
      </c>
    </row>
    <row r="1994" spans="1:14" s="32" customFormat="1" hidden="1" x14ac:dyDescent="0.3">
      <c r="A1994" s="39">
        <v>46176.347187500003</v>
      </c>
      <c r="B1994" s="32">
        <v>1438160351</v>
      </c>
      <c r="C1994" s="32">
        <v>4430265054</v>
      </c>
      <c r="D1994" s="32">
        <v>4430265054</v>
      </c>
      <c r="E1994" s="32">
        <v>8</v>
      </c>
      <c r="F1994" s="32">
        <v>8</v>
      </c>
      <c r="G1994" s="32" t="s">
        <v>52</v>
      </c>
      <c r="H1994" s="32" t="s">
        <v>7411</v>
      </c>
      <c r="I1994" s="32" t="s">
        <v>39</v>
      </c>
      <c r="J1994" s="32" t="s">
        <v>53</v>
      </c>
    </row>
    <row r="1995" spans="1:14" s="32" customFormat="1" hidden="1" x14ac:dyDescent="0.3">
      <c r="A1995" s="39">
        <v>46175.736666666664</v>
      </c>
      <c r="B1995" s="32">
        <v>4434013046</v>
      </c>
      <c r="C1995" s="32">
        <v>4430265054</v>
      </c>
      <c r="D1995" s="32">
        <v>4430265054</v>
      </c>
      <c r="E1995" s="32">
        <v>120</v>
      </c>
      <c r="F1995" s="32">
        <v>119</v>
      </c>
      <c r="G1995" s="32" t="s">
        <v>52</v>
      </c>
      <c r="H1995" s="32" t="s">
        <v>7412</v>
      </c>
      <c r="I1995" s="32" t="s">
        <v>39</v>
      </c>
      <c r="J1995" s="32" t="s">
        <v>53</v>
      </c>
      <c r="K1995" s="32" t="s">
        <v>41</v>
      </c>
    </row>
    <row r="1996" spans="1:14" s="32" customFormat="1" hidden="1" x14ac:dyDescent="0.3">
      <c r="A1996" s="39">
        <v>46175.734166666669</v>
      </c>
      <c r="B1996" s="32" t="s">
        <v>54</v>
      </c>
      <c r="C1996" s="32">
        <v>91992395417</v>
      </c>
      <c r="E1996" s="32">
        <v>3</v>
      </c>
      <c r="F1996" s="32">
        <v>0</v>
      </c>
      <c r="G1996" s="32" t="s">
        <v>47</v>
      </c>
      <c r="H1996" s="32" t="s">
        <v>7413</v>
      </c>
      <c r="I1996" s="32" t="s">
        <v>46</v>
      </c>
      <c r="J1996" s="32" t="s">
        <v>55</v>
      </c>
      <c r="M1996" s="32" t="s">
        <v>5537</v>
      </c>
      <c r="N1996" s="32" t="s">
        <v>54</v>
      </c>
    </row>
    <row r="1997" spans="1:14" s="32" customFormat="1" hidden="1" x14ac:dyDescent="0.3">
      <c r="A1997" s="39">
        <v>46175.727951388886</v>
      </c>
      <c r="B1997" s="32">
        <v>4431337559</v>
      </c>
      <c r="C1997" s="32" t="s">
        <v>43</v>
      </c>
      <c r="D1997" s="32">
        <v>4430265054</v>
      </c>
      <c r="E1997" s="32">
        <v>542</v>
      </c>
      <c r="F1997" s="32">
        <v>467</v>
      </c>
      <c r="G1997" s="32" t="s">
        <v>38</v>
      </c>
      <c r="H1997" s="32" t="s">
        <v>7414</v>
      </c>
      <c r="I1997" s="32" t="s">
        <v>39</v>
      </c>
      <c r="J1997" s="32" t="s">
        <v>40</v>
      </c>
      <c r="K1997" s="32" t="s">
        <v>41</v>
      </c>
      <c r="M1997" s="32" t="s">
        <v>5418</v>
      </c>
      <c r="N1997" s="32" t="s">
        <v>43</v>
      </c>
    </row>
    <row r="1998" spans="1:14" s="32" customFormat="1" hidden="1" x14ac:dyDescent="0.3">
      <c r="A1998" s="39">
        <v>46175.726388888892</v>
      </c>
      <c r="B1998" s="32">
        <v>44988255390</v>
      </c>
      <c r="C1998" s="32" t="s">
        <v>45</v>
      </c>
      <c r="D1998" s="32">
        <v>4430265054</v>
      </c>
      <c r="E1998" s="32">
        <v>1017</v>
      </c>
      <c r="F1998" s="32">
        <v>976</v>
      </c>
      <c r="G1998" s="32" t="s">
        <v>38</v>
      </c>
      <c r="H1998" s="32" t="s">
        <v>7415</v>
      </c>
      <c r="I1998" s="32" t="s">
        <v>39</v>
      </c>
      <c r="J1998" s="32" t="s">
        <v>40</v>
      </c>
      <c r="K1998" s="32" t="s">
        <v>41</v>
      </c>
      <c r="M1998" s="32" t="s">
        <v>5421</v>
      </c>
      <c r="N1998" s="32" t="s">
        <v>45</v>
      </c>
    </row>
    <row r="1999" spans="1:14" s="32" customFormat="1" hidden="1" x14ac:dyDescent="0.3">
      <c r="A1999" s="39">
        <v>46175.717916666668</v>
      </c>
      <c r="B1999" s="32">
        <v>4431337559</v>
      </c>
      <c r="C1999" s="32" t="s">
        <v>48</v>
      </c>
      <c r="D1999" s="32">
        <v>4430265054</v>
      </c>
      <c r="E1999" s="32">
        <v>358</v>
      </c>
      <c r="F1999" s="32">
        <v>357</v>
      </c>
      <c r="G1999" s="32" t="s">
        <v>38</v>
      </c>
      <c r="H1999" s="32" t="s">
        <v>7416</v>
      </c>
      <c r="I1999" s="32" t="s">
        <v>39</v>
      </c>
      <c r="J1999" s="32" t="s">
        <v>40</v>
      </c>
      <c r="K1999" s="32" t="s">
        <v>41</v>
      </c>
      <c r="M1999" s="32" t="s">
        <v>5412</v>
      </c>
      <c r="N1999" s="32" t="s">
        <v>48</v>
      </c>
    </row>
    <row r="2000" spans="1:14" s="32" customFormat="1" hidden="1" x14ac:dyDescent="0.3">
      <c r="A2000" s="39">
        <v>46175.713136574072</v>
      </c>
      <c r="B2000" s="32" t="s">
        <v>43</v>
      </c>
      <c r="C2000" s="32">
        <v>96984127272</v>
      </c>
      <c r="E2000" s="32">
        <v>1052</v>
      </c>
      <c r="F2000" s="32">
        <v>1039</v>
      </c>
      <c r="G2000" s="32" t="s">
        <v>38</v>
      </c>
      <c r="H2000" s="32" t="s">
        <v>7417</v>
      </c>
      <c r="I2000" s="32" t="s">
        <v>46</v>
      </c>
      <c r="J2000" s="32" t="s">
        <v>40</v>
      </c>
      <c r="M2000" s="32" t="s">
        <v>5418</v>
      </c>
      <c r="N2000" s="32" t="s">
        <v>43</v>
      </c>
    </row>
    <row r="2001" spans="1:14" s="32" customFormat="1" hidden="1" x14ac:dyDescent="0.3">
      <c r="A2001" s="39">
        <v>46175.711527777778</v>
      </c>
      <c r="B2001" s="32" t="s">
        <v>43</v>
      </c>
      <c r="C2001" s="32">
        <v>96991728486</v>
      </c>
      <c r="E2001" s="32">
        <v>7</v>
      </c>
      <c r="F2001" s="32">
        <v>0</v>
      </c>
      <c r="G2001" s="32" t="s">
        <v>47</v>
      </c>
      <c r="H2001" s="32" t="s">
        <v>7418</v>
      </c>
      <c r="I2001" s="32" t="s">
        <v>46</v>
      </c>
      <c r="J2001" s="32" t="s">
        <v>40</v>
      </c>
      <c r="M2001" s="32" t="s">
        <v>5418</v>
      </c>
      <c r="N2001" s="32" t="s">
        <v>43</v>
      </c>
    </row>
    <row r="2002" spans="1:14" s="32" customFormat="1" hidden="1" x14ac:dyDescent="0.3">
      <c r="A2002" s="39">
        <v>46175.709641203706</v>
      </c>
      <c r="B2002" s="32" t="s">
        <v>43</v>
      </c>
      <c r="C2002" s="32">
        <v>96991728486</v>
      </c>
      <c r="E2002" s="32">
        <v>4</v>
      </c>
      <c r="F2002" s="32">
        <v>0</v>
      </c>
      <c r="G2002" s="32" t="s">
        <v>47</v>
      </c>
      <c r="H2002" s="32" t="s">
        <v>7419</v>
      </c>
      <c r="I2002" s="32" t="s">
        <v>46</v>
      </c>
      <c r="J2002" s="32" t="s">
        <v>40</v>
      </c>
      <c r="M2002" s="32" t="s">
        <v>5418</v>
      </c>
      <c r="N2002" s="32" t="s">
        <v>43</v>
      </c>
    </row>
    <row r="2003" spans="1:14" s="32" customFormat="1" hidden="1" x14ac:dyDescent="0.3">
      <c r="A2003" s="39">
        <v>46175.707766203705</v>
      </c>
      <c r="B2003" s="32">
        <v>4331622700</v>
      </c>
      <c r="C2003" s="32" t="s">
        <v>37</v>
      </c>
      <c r="D2003" s="32">
        <v>4430265054</v>
      </c>
      <c r="E2003" s="32">
        <v>1873</v>
      </c>
      <c r="F2003" s="32">
        <v>1829</v>
      </c>
      <c r="G2003" s="32" t="s">
        <v>38</v>
      </c>
      <c r="H2003" s="32" t="s">
        <v>7420</v>
      </c>
      <c r="I2003" s="32" t="s">
        <v>39</v>
      </c>
      <c r="J2003" s="32" t="s">
        <v>40</v>
      </c>
      <c r="K2003" s="32" t="s">
        <v>41</v>
      </c>
      <c r="M2003" s="32" t="s">
        <v>5410</v>
      </c>
      <c r="N2003" s="32" t="s">
        <v>37</v>
      </c>
    </row>
    <row r="2004" spans="1:14" s="32" customFormat="1" hidden="1" x14ac:dyDescent="0.3">
      <c r="A2004" s="39">
        <v>46175.699884259258</v>
      </c>
      <c r="B2004" s="32">
        <v>35998295948</v>
      </c>
      <c r="C2004" s="32" t="s">
        <v>44</v>
      </c>
      <c r="D2004" s="32">
        <v>4430265054</v>
      </c>
      <c r="E2004" s="32">
        <v>1705</v>
      </c>
      <c r="F2004" s="32">
        <v>1506</v>
      </c>
      <c r="G2004" s="32" t="s">
        <v>38</v>
      </c>
      <c r="H2004" s="32" t="s">
        <v>7421</v>
      </c>
      <c r="I2004" s="32" t="s">
        <v>39</v>
      </c>
      <c r="J2004" s="32" t="s">
        <v>40</v>
      </c>
      <c r="K2004" s="32" t="s">
        <v>41</v>
      </c>
      <c r="M2004" s="32" t="s">
        <v>5416</v>
      </c>
      <c r="N2004" s="32" t="s">
        <v>44</v>
      </c>
    </row>
    <row r="2005" spans="1:14" s="32" customFormat="1" hidden="1" x14ac:dyDescent="0.3">
      <c r="A2005" s="39">
        <v>46175.699583333335</v>
      </c>
      <c r="B2005" s="32">
        <v>44999182794</v>
      </c>
      <c r="C2005" s="32" t="s">
        <v>45</v>
      </c>
      <c r="D2005" s="32">
        <v>4430265054</v>
      </c>
      <c r="E2005" s="32">
        <v>654</v>
      </c>
      <c r="F2005" s="32">
        <v>632</v>
      </c>
      <c r="G2005" s="32" t="s">
        <v>38</v>
      </c>
      <c r="H2005" s="32" t="s">
        <v>7422</v>
      </c>
      <c r="I2005" s="32" t="s">
        <v>39</v>
      </c>
      <c r="J2005" s="32" t="s">
        <v>40</v>
      </c>
      <c r="K2005" s="32" t="s">
        <v>41</v>
      </c>
      <c r="L2005" s="32">
        <v>5</v>
      </c>
      <c r="M2005" s="32" t="s">
        <v>5421</v>
      </c>
      <c r="N2005" s="32" t="s">
        <v>45</v>
      </c>
    </row>
    <row r="2006" spans="1:14" s="32" customFormat="1" hidden="1" x14ac:dyDescent="0.3">
      <c r="A2006" s="39">
        <v>46175.698773148149</v>
      </c>
      <c r="B2006" s="32" t="s">
        <v>45</v>
      </c>
      <c r="C2006" s="32">
        <v>44999182794</v>
      </c>
      <c r="E2006" s="32">
        <v>10</v>
      </c>
      <c r="F2006" s="32">
        <v>0</v>
      </c>
      <c r="G2006" s="32" t="s">
        <v>47</v>
      </c>
      <c r="H2006" s="32" t="s">
        <v>7423</v>
      </c>
      <c r="I2006" s="32" t="s">
        <v>46</v>
      </c>
      <c r="J2006" s="32" t="s">
        <v>40</v>
      </c>
      <c r="M2006" s="32" t="s">
        <v>5421</v>
      </c>
      <c r="N2006" s="32" t="s">
        <v>45</v>
      </c>
    </row>
    <row r="2007" spans="1:14" s="32" customFormat="1" hidden="1" x14ac:dyDescent="0.3">
      <c r="A2007" s="39">
        <v>46175.698703703703</v>
      </c>
      <c r="B2007" s="32" t="s">
        <v>45</v>
      </c>
      <c r="C2007" s="32">
        <v>44999182794</v>
      </c>
      <c r="E2007" s="32">
        <v>4</v>
      </c>
      <c r="F2007" s="32">
        <v>0</v>
      </c>
      <c r="G2007" s="32" t="s">
        <v>47</v>
      </c>
      <c r="H2007" s="32" t="s">
        <v>7424</v>
      </c>
      <c r="I2007" s="32" t="s">
        <v>46</v>
      </c>
      <c r="J2007" s="32" t="s">
        <v>40</v>
      </c>
      <c r="M2007" s="32" t="s">
        <v>5421</v>
      </c>
      <c r="N2007" s="32" t="s">
        <v>45</v>
      </c>
    </row>
    <row r="2008" spans="1:14" s="32" customFormat="1" hidden="1" x14ac:dyDescent="0.3">
      <c r="A2008" s="39">
        <v>46175.697557870371</v>
      </c>
      <c r="B2008" s="32">
        <v>44999182794</v>
      </c>
      <c r="C2008" s="32" t="s">
        <v>37</v>
      </c>
      <c r="D2008" s="32">
        <v>4430265054</v>
      </c>
      <c r="E2008" s="32">
        <v>119</v>
      </c>
      <c r="F2008" s="32">
        <v>79</v>
      </c>
      <c r="G2008" s="32" t="s">
        <v>38</v>
      </c>
      <c r="H2008" s="32" t="s">
        <v>7425</v>
      </c>
      <c r="I2008" s="32" t="s">
        <v>39</v>
      </c>
      <c r="J2008" s="32" t="s">
        <v>40</v>
      </c>
      <c r="K2008" s="32" t="s">
        <v>41</v>
      </c>
      <c r="M2008" s="32" t="s">
        <v>5410</v>
      </c>
      <c r="N2008" s="32" t="s">
        <v>37</v>
      </c>
    </row>
    <row r="2009" spans="1:14" s="32" customFormat="1" hidden="1" x14ac:dyDescent="0.3">
      <c r="A2009" s="39">
        <v>46175.694884259261</v>
      </c>
      <c r="B2009" s="32">
        <v>44999182794</v>
      </c>
      <c r="C2009" s="32" t="s">
        <v>45</v>
      </c>
      <c r="D2009" s="32">
        <v>4430265054</v>
      </c>
      <c r="E2009" s="32">
        <v>206</v>
      </c>
      <c r="F2009" s="32">
        <v>164</v>
      </c>
      <c r="G2009" s="32" t="s">
        <v>38</v>
      </c>
      <c r="H2009" s="32" t="s">
        <v>7426</v>
      </c>
      <c r="I2009" s="32" t="s">
        <v>39</v>
      </c>
      <c r="J2009" s="32" t="s">
        <v>40</v>
      </c>
      <c r="K2009" s="32" t="s">
        <v>41</v>
      </c>
      <c r="L2009" s="32">
        <v>5</v>
      </c>
      <c r="M2009" s="32" t="s">
        <v>5421</v>
      </c>
      <c r="N2009" s="32" t="s">
        <v>45</v>
      </c>
    </row>
    <row r="2010" spans="1:14" s="32" customFormat="1" hidden="1" x14ac:dyDescent="0.3">
      <c r="A2010" s="39">
        <v>46175.673877314817</v>
      </c>
      <c r="B2010" s="32" t="s">
        <v>54</v>
      </c>
      <c r="C2010" s="32">
        <v>31989021317</v>
      </c>
      <c r="E2010" s="32">
        <v>5</v>
      </c>
      <c r="F2010" s="32">
        <v>3</v>
      </c>
      <c r="G2010" s="32" t="s">
        <v>38</v>
      </c>
      <c r="H2010" s="32" t="s">
        <v>7427</v>
      </c>
      <c r="I2010" s="32" t="s">
        <v>46</v>
      </c>
      <c r="J2010" s="32" t="s">
        <v>55</v>
      </c>
      <c r="M2010" s="32" t="s">
        <v>5537</v>
      </c>
      <c r="N2010" s="32" t="s">
        <v>54</v>
      </c>
    </row>
    <row r="2011" spans="1:14" s="32" customFormat="1" hidden="1" x14ac:dyDescent="0.3">
      <c r="A2011" s="39">
        <v>46175.673125000001</v>
      </c>
      <c r="B2011" s="32" t="s">
        <v>54</v>
      </c>
      <c r="C2011" s="32">
        <v>92985843309</v>
      </c>
      <c r="E2011" s="32">
        <v>10</v>
      </c>
      <c r="F2011" s="32">
        <v>0</v>
      </c>
      <c r="G2011" s="32" t="s">
        <v>47</v>
      </c>
      <c r="H2011" s="32" t="s">
        <v>7428</v>
      </c>
      <c r="I2011" s="32" t="s">
        <v>46</v>
      </c>
      <c r="J2011" s="32" t="s">
        <v>55</v>
      </c>
      <c r="M2011" s="32" t="s">
        <v>5537</v>
      </c>
      <c r="N2011" s="32" t="s">
        <v>54</v>
      </c>
    </row>
    <row r="2012" spans="1:14" s="32" customFormat="1" hidden="1" x14ac:dyDescent="0.3">
      <c r="A2012" s="39">
        <v>46175.671354166669</v>
      </c>
      <c r="B2012" s="32" t="s">
        <v>54</v>
      </c>
      <c r="C2012" s="32">
        <v>14996339191</v>
      </c>
      <c r="E2012" s="32">
        <v>30</v>
      </c>
      <c r="F2012" s="32">
        <v>3</v>
      </c>
      <c r="G2012" s="32" t="s">
        <v>38</v>
      </c>
      <c r="H2012" s="32" t="s">
        <v>7429</v>
      </c>
      <c r="I2012" s="32" t="s">
        <v>46</v>
      </c>
      <c r="J2012" s="32" t="s">
        <v>55</v>
      </c>
      <c r="M2012" s="32" t="s">
        <v>5537</v>
      </c>
      <c r="N2012" s="32" t="s">
        <v>54</v>
      </c>
    </row>
    <row r="2013" spans="1:14" s="32" customFormat="1" hidden="1" x14ac:dyDescent="0.3">
      <c r="A2013" s="39">
        <v>46175.669872685183</v>
      </c>
      <c r="B2013" s="32">
        <v>44999389014</v>
      </c>
      <c r="C2013" s="32" t="s">
        <v>48</v>
      </c>
      <c r="D2013" s="32">
        <v>4430265054</v>
      </c>
      <c r="E2013" s="32">
        <v>209</v>
      </c>
      <c r="F2013" s="32">
        <v>188</v>
      </c>
      <c r="G2013" s="32" t="s">
        <v>38</v>
      </c>
      <c r="H2013" s="32" t="s">
        <v>7430</v>
      </c>
      <c r="I2013" s="32" t="s">
        <v>39</v>
      </c>
      <c r="J2013" s="32" t="s">
        <v>40</v>
      </c>
      <c r="K2013" s="32" t="s">
        <v>41</v>
      </c>
      <c r="M2013" s="32" t="s">
        <v>5412</v>
      </c>
      <c r="N2013" s="32" t="s">
        <v>48</v>
      </c>
    </row>
    <row r="2014" spans="1:14" s="32" customFormat="1" hidden="1" x14ac:dyDescent="0.3">
      <c r="A2014" s="39">
        <v>46175.668877314813</v>
      </c>
      <c r="B2014" s="32">
        <v>44988255390</v>
      </c>
      <c r="C2014" s="32" t="s">
        <v>37</v>
      </c>
      <c r="D2014" s="32">
        <v>4430265054</v>
      </c>
      <c r="E2014" s="32">
        <v>570</v>
      </c>
      <c r="F2014" s="32">
        <v>408</v>
      </c>
      <c r="G2014" s="32" t="s">
        <v>38</v>
      </c>
      <c r="H2014" s="32" t="s">
        <v>7431</v>
      </c>
      <c r="I2014" s="32" t="s">
        <v>39</v>
      </c>
      <c r="J2014" s="32" t="s">
        <v>40</v>
      </c>
      <c r="K2014" s="32" t="s">
        <v>41</v>
      </c>
      <c r="M2014" s="32" t="s">
        <v>5410</v>
      </c>
      <c r="N2014" s="32" t="s">
        <v>37</v>
      </c>
    </row>
    <row r="2015" spans="1:14" s="32" customFormat="1" hidden="1" x14ac:dyDescent="0.3">
      <c r="A2015" s="39">
        <v>46175.66878472222</v>
      </c>
      <c r="B2015" s="32">
        <v>4430459032</v>
      </c>
      <c r="C2015" s="32" t="s">
        <v>44</v>
      </c>
      <c r="D2015" s="32">
        <v>4430265054</v>
      </c>
      <c r="E2015" s="32">
        <v>530</v>
      </c>
      <c r="F2015" s="32">
        <v>456</v>
      </c>
      <c r="G2015" s="32" t="s">
        <v>38</v>
      </c>
      <c r="H2015" s="32" t="s">
        <v>7432</v>
      </c>
      <c r="I2015" s="32" t="s">
        <v>39</v>
      </c>
      <c r="J2015" s="32" t="s">
        <v>40</v>
      </c>
      <c r="K2015" s="32" t="s">
        <v>41</v>
      </c>
      <c r="L2015" s="32">
        <v>5</v>
      </c>
      <c r="M2015" s="32" t="s">
        <v>5416</v>
      </c>
      <c r="N2015" s="32" t="s">
        <v>44</v>
      </c>
    </row>
    <row r="2016" spans="1:14" s="32" customFormat="1" hidden="1" x14ac:dyDescent="0.3">
      <c r="A2016" s="39">
        <v>46175.668726851851</v>
      </c>
      <c r="B2016" s="32">
        <v>35998295948</v>
      </c>
      <c r="C2016" s="32" t="s">
        <v>43</v>
      </c>
      <c r="D2016" s="32">
        <v>4430265054</v>
      </c>
      <c r="E2016" s="32">
        <v>2033</v>
      </c>
      <c r="F2016" s="32">
        <v>2006</v>
      </c>
      <c r="G2016" s="32" t="s">
        <v>38</v>
      </c>
      <c r="H2016" s="32" t="s">
        <v>7433</v>
      </c>
      <c r="I2016" s="32" t="s">
        <v>39</v>
      </c>
      <c r="J2016" s="32" t="s">
        <v>40</v>
      </c>
      <c r="K2016" s="32" t="s">
        <v>41</v>
      </c>
      <c r="M2016" s="32" t="s">
        <v>5418</v>
      </c>
      <c r="N2016" s="32" t="s">
        <v>43</v>
      </c>
    </row>
    <row r="2017" spans="1:14" s="32" customFormat="1" hidden="1" x14ac:dyDescent="0.3">
      <c r="A2017" s="39">
        <v>46175.665914351855</v>
      </c>
      <c r="B2017" s="32">
        <v>4430152533</v>
      </c>
      <c r="C2017" s="32">
        <v>4430265054</v>
      </c>
      <c r="D2017" s="32">
        <v>4430265054</v>
      </c>
      <c r="E2017" s="32">
        <v>10</v>
      </c>
      <c r="F2017" s="32">
        <v>9</v>
      </c>
      <c r="G2017" s="32" t="s">
        <v>52</v>
      </c>
      <c r="H2017" s="32" t="s">
        <v>7434</v>
      </c>
      <c r="I2017" s="32" t="s">
        <v>39</v>
      </c>
      <c r="J2017" s="32" t="s">
        <v>53</v>
      </c>
    </row>
    <row r="2018" spans="1:14" s="32" customFormat="1" hidden="1" x14ac:dyDescent="0.3">
      <c r="A2018" s="39">
        <v>46175.664131944446</v>
      </c>
      <c r="B2018" s="32">
        <v>4430346845</v>
      </c>
      <c r="C2018" s="32" t="s">
        <v>45</v>
      </c>
      <c r="D2018" s="32">
        <v>4430265054</v>
      </c>
      <c r="E2018" s="32">
        <v>1372</v>
      </c>
      <c r="F2018" s="32">
        <v>1329</v>
      </c>
      <c r="G2018" s="32" t="s">
        <v>38</v>
      </c>
      <c r="H2018" s="32" t="s">
        <v>7435</v>
      </c>
      <c r="I2018" s="32" t="s">
        <v>39</v>
      </c>
      <c r="J2018" s="32" t="s">
        <v>40</v>
      </c>
      <c r="K2018" s="32" t="s">
        <v>41</v>
      </c>
      <c r="L2018" s="32">
        <v>5</v>
      </c>
      <c r="M2018" s="32" t="s">
        <v>5421</v>
      </c>
      <c r="N2018" s="32" t="s">
        <v>45</v>
      </c>
    </row>
    <row r="2019" spans="1:14" s="32" customFormat="1" hidden="1" x14ac:dyDescent="0.3">
      <c r="A2019" s="39">
        <v>46175.663611111115</v>
      </c>
      <c r="B2019" s="32">
        <v>4430141533</v>
      </c>
      <c r="C2019" s="32">
        <v>4430265054</v>
      </c>
      <c r="D2019" s="32">
        <v>4430265054</v>
      </c>
      <c r="E2019" s="32">
        <v>29</v>
      </c>
      <c r="F2019" s="32">
        <v>29</v>
      </c>
      <c r="G2019" s="32" t="s">
        <v>52</v>
      </c>
      <c r="H2019" s="32" t="s">
        <v>7436</v>
      </c>
      <c r="I2019" s="32" t="s">
        <v>39</v>
      </c>
      <c r="J2019" s="32" t="s">
        <v>53</v>
      </c>
      <c r="K2019" s="32" t="s">
        <v>41</v>
      </c>
    </row>
    <row r="2020" spans="1:14" s="32" customFormat="1" hidden="1" x14ac:dyDescent="0.3">
      <c r="A2020" s="39">
        <v>46175.651400462964</v>
      </c>
      <c r="B2020" s="32" t="s">
        <v>54</v>
      </c>
      <c r="C2020" s="32">
        <v>91982217507</v>
      </c>
      <c r="E2020" s="32">
        <v>14</v>
      </c>
      <c r="F2020" s="32">
        <v>0</v>
      </c>
      <c r="G2020" s="32" t="s">
        <v>47</v>
      </c>
      <c r="H2020" s="32" t="s">
        <v>7437</v>
      </c>
      <c r="I2020" s="32" t="s">
        <v>46</v>
      </c>
      <c r="J2020" s="32" t="s">
        <v>55</v>
      </c>
      <c r="M2020" s="32" t="s">
        <v>5537</v>
      </c>
      <c r="N2020" s="32" t="s">
        <v>54</v>
      </c>
    </row>
    <row r="2021" spans="1:14" s="32" customFormat="1" hidden="1" x14ac:dyDescent="0.3">
      <c r="A2021" s="39">
        <v>46175.643645833334</v>
      </c>
      <c r="B2021" s="32">
        <v>44999647912</v>
      </c>
      <c r="C2021" s="32" t="s">
        <v>43</v>
      </c>
      <c r="D2021" s="32">
        <v>4430265054</v>
      </c>
      <c r="E2021" s="32">
        <v>596</v>
      </c>
      <c r="F2021" s="32">
        <v>572</v>
      </c>
      <c r="G2021" s="32" t="s">
        <v>38</v>
      </c>
      <c r="H2021" s="32" t="s">
        <v>7438</v>
      </c>
      <c r="I2021" s="32" t="s">
        <v>39</v>
      </c>
      <c r="J2021" s="32" t="s">
        <v>40</v>
      </c>
      <c r="K2021" s="32" t="s">
        <v>41</v>
      </c>
      <c r="M2021" s="32" t="s">
        <v>5418</v>
      </c>
      <c r="N2021" s="32" t="s">
        <v>43</v>
      </c>
    </row>
    <row r="2022" spans="1:14" s="32" customFormat="1" hidden="1" x14ac:dyDescent="0.3">
      <c r="A2022" s="39">
        <v>46175.643333333333</v>
      </c>
      <c r="B2022" s="32">
        <v>4334226481</v>
      </c>
      <c r="C2022" s="32">
        <v>4430265054</v>
      </c>
      <c r="D2022" s="32">
        <v>4430265054</v>
      </c>
      <c r="E2022" s="32">
        <v>63</v>
      </c>
      <c r="F2022" s="32">
        <v>62</v>
      </c>
      <c r="G2022" s="32" t="s">
        <v>52</v>
      </c>
      <c r="H2022" s="32" t="s">
        <v>7439</v>
      </c>
      <c r="I2022" s="32" t="s">
        <v>39</v>
      </c>
      <c r="J2022" s="32" t="s">
        <v>53</v>
      </c>
      <c r="K2022" s="32" t="s">
        <v>41</v>
      </c>
    </row>
    <row r="2023" spans="1:14" s="32" customFormat="1" hidden="1" x14ac:dyDescent="0.3">
      <c r="A2023" s="39">
        <v>46175.641099537039</v>
      </c>
      <c r="B2023" s="32">
        <v>4430317020</v>
      </c>
      <c r="C2023" s="32" t="s">
        <v>48</v>
      </c>
      <c r="D2023" s="32">
        <v>4430265054</v>
      </c>
      <c r="E2023" s="32">
        <v>326</v>
      </c>
      <c r="F2023" s="32">
        <v>326</v>
      </c>
      <c r="G2023" s="32" t="s">
        <v>38</v>
      </c>
      <c r="H2023" s="32" t="s">
        <v>7440</v>
      </c>
      <c r="I2023" s="32" t="s">
        <v>39</v>
      </c>
      <c r="J2023" s="32" t="s">
        <v>40</v>
      </c>
      <c r="K2023" s="32" t="s">
        <v>41</v>
      </c>
      <c r="L2023" s="32">
        <v>5</v>
      </c>
      <c r="M2023" s="32" t="s">
        <v>5412</v>
      </c>
      <c r="N2023" s="32" t="s">
        <v>48</v>
      </c>
    </row>
    <row r="2024" spans="1:14" s="32" customFormat="1" hidden="1" x14ac:dyDescent="0.3">
      <c r="A2024" s="39">
        <v>46175.640694444446</v>
      </c>
      <c r="B2024" s="32">
        <v>4430315826</v>
      </c>
      <c r="C2024" s="32">
        <v>4430265054</v>
      </c>
      <c r="D2024" s="32">
        <v>4430265054</v>
      </c>
      <c r="E2024" s="32">
        <v>11</v>
      </c>
      <c r="F2024" s="32">
        <v>11</v>
      </c>
      <c r="G2024" s="32" t="s">
        <v>52</v>
      </c>
      <c r="H2024" s="32" t="s">
        <v>7441</v>
      </c>
      <c r="I2024" s="32" t="s">
        <v>39</v>
      </c>
      <c r="J2024" s="32" t="s">
        <v>53</v>
      </c>
    </row>
    <row r="2025" spans="1:14" s="32" customFormat="1" hidden="1" x14ac:dyDescent="0.3">
      <c r="A2025" s="39">
        <v>46175.640335648146</v>
      </c>
      <c r="B2025" s="32">
        <v>44997426611</v>
      </c>
      <c r="C2025" s="32" t="s">
        <v>44</v>
      </c>
      <c r="D2025" s="32">
        <v>4430265054</v>
      </c>
      <c r="E2025" s="32">
        <v>206</v>
      </c>
      <c r="F2025" s="32">
        <v>147</v>
      </c>
      <c r="G2025" s="32" t="s">
        <v>38</v>
      </c>
      <c r="H2025" s="32" t="s">
        <v>7442</v>
      </c>
      <c r="I2025" s="32" t="s">
        <v>39</v>
      </c>
      <c r="J2025" s="32" t="s">
        <v>40</v>
      </c>
      <c r="K2025" s="32" t="s">
        <v>41</v>
      </c>
      <c r="M2025" s="32" t="s">
        <v>5416</v>
      </c>
      <c r="N2025" s="32" t="s">
        <v>44</v>
      </c>
    </row>
    <row r="2026" spans="1:14" s="32" customFormat="1" hidden="1" x14ac:dyDescent="0.3">
      <c r="A2026" s="39">
        <v>46175.637187499997</v>
      </c>
      <c r="B2026" s="32">
        <v>41997840159</v>
      </c>
      <c r="C2026" s="32" t="s">
        <v>37</v>
      </c>
      <c r="D2026" s="32">
        <v>4431268225</v>
      </c>
      <c r="E2026" s="32">
        <v>1000</v>
      </c>
      <c r="F2026" s="32">
        <v>826</v>
      </c>
      <c r="G2026" s="32" t="s">
        <v>38</v>
      </c>
      <c r="H2026" s="32" t="s">
        <v>7443</v>
      </c>
      <c r="I2026" s="32" t="s">
        <v>39</v>
      </c>
      <c r="J2026" s="32" t="s">
        <v>40</v>
      </c>
      <c r="K2026" s="32" t="s">
        <v>41</v>
      </c>
      <c r="M2026" s="32" t="s">
        <v>5410</v>
      </c>
      <c r="N2026" s="32" t="s">
        <v>37</v>
      </c>
    </row>
    <row r="2027" spans="1:14" s="32" customFormat="1" hidden="1" x14ac:dyDescent="0.3">
      <c r="A2027" s="39">
        <v>46175.630416666667</v>
      </c>
      <c r="B2027" s="32">
        <v>4430346845</v>
      </c>
      <c r="C2027" s="32" t="s">
        <v>43</v>
      </c>
      <c r="D2027" s="32">
        <v>4430265054</v>
      </c>
      <c r="E2027" s="32">
        <v>599</v>
      </c>
      <c r="F2027" s="32">
        <v>507</v>
      </c>
      <c r="G2027" s="32" t="s">
        <v>38</v>
      </c>
      <c r="H2027" s="32" t="s">
        <v>7444</v>
      </c>
      <c r="I2027" s="32" t="s">
        <v>39</v>
      </c>
      <c r="J2027" s="32" t="s">
        <v>40</v>
      </c>
      <c r="K2027" s="32" t="s">
        <v>41</v>
      </c>
      <c r="M2027" s="32" t="s">
        <v>5418</v>
      </c>
      <c r="N2027" s="32" t="s">
        <v>43</v>
      </c>
    </row>
    <row r="2028" spans="1:14" s="32" customFormat="1" hidden="1" x14ac:dyDescent="0.3">
      <c r="A2028" s="39">
        <v>46175.629351851851</v>
      </c>
      <c r="B2028" s="32">
        <v>4433543396</v>
      </c>
      <c r="C2028" s="32" t="s">
        <v>37</v>
      </c>
      <c r="D2028" s="32">
        <v>4430265054</v>
      </c>
      <c r="E2028" s="32">
        <v>388</v>
      </c>
      <c r="F2028" s="32">
        <v>245</v>
      </c>
      <c r="G2028" s="32" t="s">
        <v>38</v>
      </c>
      <c r="H2028" s="32" t="s">
        <v>7445</v>
      </c>
      <c r="I2028" s="32" t="s">
        <v>39</v>
      </c>
      <c r="J2028" s="32" t="s">
        <v>40</v>
      </c>
      <c r="K2028" s="32" t="s">
        <v>41</v>
      </c>
      <c r="L2028" s="32">
        <v>5</v>
      </c>
      <c r="M2028" s="32" t="s">
        <v>5410</v>
      </c>
      <c r="N2028" s="32" t="s">
        <v>37</v>
      </c>
    </row>
    <row r="2029" spans="1:14" s="32" customFormat="1" hidden="1" x14ac:dyDescent="0.3">
      <c r="A2029" s="39">
        <v>46175.623182870368</v>
      </c>
      <c r="B2029" s="32">
        <v>4334234629</v>
      </c>
      <c r="C2029" s="32" t="s">
        <v>37</v>
      </c>
      <c r="D2029" s="32">
        <v>4430265054</v>
      </c>
      <c r="E2029" s="32">
        <v>308</v>
      </c>
      <c r="F2029" s="32">
        <v>265</v>
      </c>
      <c r="G2029" s="32" t="s">
        <v>38</v>
      </c>
      <c r="H2029" s="32" t="s">
        <v>7446</v>
      </c>
      <c r="I2029" s="32" t="s">
        <v>39</v>
      </c>
      <c r="J2029" s="32" t="s">
        <v>40</v>
      </c>
      <c r="K2029" s="32" t="s">
        <v>41</v>
      </c>
      <c r="L2029" s="32">
        <v>5</v>
      </c>
      <c r="M2029" s="32" t="s">
        <v>5410</v>
      </c>
      <c r="N2029" s="32" t="s">
        <v>37</v>
      </c>
    </row>
    <row r="2030" spans="1:14" s="32" customFormat="1" hidden="1" x14ac:dyDescent="0.3">
      <c r="A2030" s="39">
        <v>46175.617037037038</v>
      </c>
      <c r="B2030" s="32">
        <v>4432641415</v>
      </c>
      <c r="C2030" s="32">
        <v>4430265054</v>
      </c>
      <c r="D2030" s="32">
        <v>4430265054</v>
      </c>
      <c r="E2030" s="32">
        <v>6</v>
      </c>
      <c r="F2030" s="32">
        <v>6</v>
      </c>
      <c r="G2030" s="32" t="s">
        <v>52</v>
      </c>
      <c r="H2030" s="32" t="s">
        <v>7447</v>
      </c>
      <c r="I2030" s="32" t="s">
        <v>39</v>
      </c>
      <c r="J2030" s="32" t="s">
        <v>53</v>
      </c>
    </row>
    <row r="2031" spans="1:14" s="32" customFormat="1" hidden="1" x14ac:dyDescent="0.3">
      <c r="A2031" s="39">
        <v>46175.612604166665</v>
      </c>
      <c r="B2031" s="32">
        <v>4430468252</v>
      </c>
      <c r="C2031" s="32" t="s">
        <v>44</v>
      </c>
      <c r="D2031" s="32">
        <v>4430265054</v>
      </c>
      <c r="E2031" s="32">
        <v>429</v>
      </c>
      <c r="F2031" s="32">
        <v>340</v>
      </c>
      <c r="G2031" s="32" t="s">
        <v>38</v>
      </c>
      <c r="H2031" s="32" t="s">
        <v>7448</v>
      </c>
      <c r="I2031" s="32" t="s">
        <v>39</v>
      </c>
      <c r="J2031" s="32" t="s">
        <v>40</v>
      </c>
      <c r="K2031" s="32" t="s">
        <v>41</v>
      </c>
      <c r="L2031" s="32">
        <v>5</v>
      </c>
      <c r="M2031" s="32" t="s">
        <v>5416</v>
      </c>
      <c r="N2031" s="32" t="s">
        <v>44</v>
      </c>
    </row>
    <row r="2032" spans="1:14" s="32" customFormat="1" hidden="1" x14ac:dyDescent="0.3">
      <c r="A2032" s="39">
        <v>46175.612523148149</v>
      </c>
      <c r="B2032" s="32">
        <v>1438160351</v>
      </c>
      <c r="C2032" s="32">
        <v>4430265054</v>
      </c>
      <c r="D2032" s="32">
        <v>4430265054</v>
      </c>
      <c r="E2032" s="32">
        <v>20</v>
      </c>
      <c r="F2032" s="32">
        <v>19</v>
      </c>
      <c r="G2032" s="32" t="s">
        <v>52</v>
      </c>
      <c r="H2032" s="32" t="s">
        <v>7449</v>
      </c>
      <c r="I2032" s="32" t="s">
        <v>39</v>
      </c>
      <c r="J2032" s="32" t="s">
        <v>53</v>
      </c>
    </row>
    <row r="2033" spans="1:14" s="32" customFormat="1" hidden="1" x14ac:dyDescent="0.3">
      <c r="A2033" s="39">
        <v>46175.611689814818</v>
      </c>
      <c r="B2033" s="32" t="s">
        <v>37</v>
      </c>
      <c r="C2033" s="32">
        <v>44999449519</v>
      </c>
      <c r="E2033" s="32">
        <v>261</v>
      </c>
      <c r="F2033" s="32">
        <v>257</v>
      </c>
      <c r="G2033" s="32" t="s">
        <v>38</v>
      </c>
      <c r="H2033" s="32" t="s">
        <v>7450</v>
      </c>
      <c r="I2033" s="32" t="s">
        <v>46</v>
      </c>
      <c r="J2033" s="32" t="s">
        <v>40</v>
      </c>
      <c r="L2033" s="32">
        <v>5</v>
      </c>
      <c r="M2033" s="32" t="s">
        <v>5410</v>
      </c>
      <c r="N2033" s="32" t="s">
        <v>37</v>
      </c>
    </row>
    <row r="2034" spans="1:14" s="32" customFormat="1" x14ac:dyDescent="0.3">
      <c r="A2034" s="39">
        <v>46175.60528935185</v>
      </c>
      <c r="B2034" s="32" t="s">
        <v>44</v>
      </c>
      <c r="C2034" s="32">
        <v>41996552694</v>
      </c>
      <c r="E2034" s="32">
        <v>76</v>
      </c>
      <c r="F2034" s="32">
        <v>67</v>
      </c>
      <c r="G2034" s="32" t="s">
        <v>38</v>
      </c>
      <c r="H2034" s="32" t="s">
        <v>7451</v>
      </c>
      <c r="I2034" s="32" t="s">
        <v>46</v>
      </c>
      <c r="J2034" s="32" t="s">
        <v>40</v>
      </c>
      <c r="M2034" s="32" t="s">
        <v>5416</v>
      </c>
      <c r="N2034" s="32" t="s">
        <v>44</v>
      </c>
    </row>
    <row r="2035" spans="1:14" s="32" customFormat="1" hidden="1" x14ac:dyDescent="0.3">
      <c r="A2035" s="39">
        <v>46175.603437500002</v>
      </c>
      <c r="B2035" s="32">
        <v>44991484476</v>
      </c>
      <c r="C2035" s="32" t="s">
        <v>45</v>
      </c>
      <c r="D2035" s="32">
        <v>4430265054</v>
      </c>
      <c r="E2035" s="32">
        <v>445</v>
      </c>
      <c r="F2035" s="32">
        <v>409</v>
      </c>
      <c r="G2035" s="32" t="s">
        <v>38</v>
      </c>
      <c r="H2035" s="32" t="s">
        <v>7452</v>
      </c>
      <c r="I2035" s="32" t="s">
        <v>39</v>
      </c>
      <c r="J2035" s="32" t="s">
        <v>40</v>
      </c>
      <c r="K2035" s="32" t="s">
        <v>41</v>
      </c>
      <c r="M2035" s="32" t="s">
        <v>5421</v>
      </c>
      <c r="N2035" s="32" t="s">
        <v>45</v>
      </c>
    </row>
    <row r="2036" spans="1:14" s="32" customFormat="1" hidden="1" x14ac:dyDescent="0.3">
      <c r="A2036" s="39">
        <v>46175.600462962961</v>
      </c>
      <c r="B2036" s="32">
        <v>1438160351</v>
      </c>
      <c r="C2036" s="32">
        <v>4430265054</v>
      </c>
      <c r="D2036" s="32">
        <v>4430265054</v>
      </c>
      <c r="E2036" s="32">
        <v>9</v>
      </c>
      <c r="F2036" s="32">
        <v>8</v>
      </c>
      <c r="G2036" s="32" t="s">
        <v>52</v>
      </c>
      <c r="H2036" s="32" t="s">
        <v>7453</v>
      </c>
      <c r="I2036" s="32" t="s">
        <v>39</v>
      </c>
      <c r="J2036" s="32" t="s">
        <v>53</v>
      </c>
    </row>
    <row r="2037" spans="1:14" s="32" customFormat="1" hidden="1" x14ac:dyDescent="0.3">
      <c r="A2037" s="39">
        <v>46175.59584490741</v>
      </c>
      <c r="B2037" s="32">
        <v>44999647912</v>
      </c>
      <c r="C2037" s="32" t="s">
        <v>45</v>
      </c>
      <c r="D2037" s="32">
        <v>4430265054</v>
      </c>
      <c r="E2037" s="32">
        <v>256</v>
      </c>
      <c r="F2037" s="32">
        <v>151</v>
      </c>
      <c r="G2037" s="32" t="s">
        <v>38</v>
      </c>
      <c r="H2037" s="32" t="s">
        <v>7454</v>
      </c>
      <c r="I2037" s="32" t="s">
        <v>39</v>
      </c>
      <c r="J2037" s="32" t="s">
        <v>40</v>
      </c>
      <c r="K2037" s="32" t="s">
        <v>41</v>
      </c>
      <c r="L2037" s="32">
        <v>4</v>
      </c>
      <c r="M2037" s="32" t="s">
        <v>5421</v>
      </c>
      <c r="N2037" s="32" t="s">
        <v>45</v>
      </c>
    </row>
    <row r="2038" spans="1:14" s="32" customFormat="1" hidden="1" x14ac:dyDescent="0.3">
      <c r="A2038" s="39">
        <v>46175.591458333336</v>
      </c>
      <c r="B2038" s="32">
        <v>44991772084</v>
      </c>
      <c r="C2038" s="32" t="s">
        <v>45</v>
      </c>
      <c r="D2038" s="32">
        <v>4430265054</v>
      </c>
      <c r="E2038" s="32">
        <v>306</v>
      </c>
      <c r="F2038" s="32">
        <v>283</v>
      </c>
      <c r="G2038" s="32" t="s">
        <v>38</v>
      </c>
      <c r="H2038" s="32" t="s">
        <v>7455</v>
      </c>
      <c r="I2038" s="32" t="s">
        <v>39</v>
      </c>
      <c r="J2038" s="32" t="s">
        <v>40</v>
      </c>
      <c r="K2038" s="32" t="s">
        <v>41</v>
      </c>
      <c r="M2038" s="32" t="s">
        <v>5421</v>
      </c>
      <c r="N2038" s="32" t="s">
        <v>45</v>
      </c>
    </row>
    <row r="2039" spans="1:14" s="32" customFormat="1" hidden="1" x14ac:dyDescent="0.3">
      <c r="A2039" s="39">
        <v>46175.584479166668</v>
      </c>
      <c r="B2039" s="32">
        <v>6234347959</v>
      </c>
      <c r="C2039" s="32" t="s">
        <v>45</v>
      </c>
      <c r="D2039" s="32">
        <v>4430265054</v>
      </c>
      <c r="E2039" s="32">
        <v>57</v>
      </c>
      <c r="F2039" s="32">
        <v>27</v>
      </c>
      <c r="G2039" s="32" t="s">
        <v>38</v>
      </c>
      <c r="H2039" s="32" t="s">
        <v>7456</v>
      </c>
      <c r="I2039" s="32" t="s">
        <v>39</v>
      </c>
      <c r="J2039" s="32" t="s">
        <v>40</v>
      </c>
      <c r="K2039" s="32" t="s">
        <v>41</v>
      </c>
      <c r="L2039" s="32">
        <v>5</v>
      </c>
      <c r="M2039" s="32" t="s">
        <v>5421</v>
      </c>
      <c r="N2039" s="32" t="s">
        <v>45</v>
      </c>
    </row>
    <row r="2040" spans="1:14" s="32" customFormat="1" hidden="1" x14ac:dyDescent="0.3">
      <c r="A2040" s="39">
        <v>46175.579699074071</v>
      </c>
      <c r="B2040" s="32">
        <v>1732146970</v>
      </c>
      <c r="C2040" s="32" t="s">
        <v>44</v>
      </c>
      <c r="D2040" s="32">
        <v>4431268225</v>
      </c>
      <c r="E2040" s="32">
        <v>338</v>
      </c>
      <c r="F2040" s="32">
        <v>266</v>
      </c>
      <c r="G2040" s="32" t="s">
        <v>38</v>
      </c>
      <c r="H2040" s="32" t="s">
        <v>7457</v>
      </c>
      <c r="I2040" s="32" t="s">
        <v>39</v>
      </c>
      <c r="J2040" s="32" t="s">
        <v>40</v>
      </c>
      <c r="K2040" s="32" t="s">
        <v>41</v>
      </c>
      <c r="M2040" s="32" t="s">
        <v>5416</v>
      </c>
      <c r="N2040" s="32" t="s">
        <v>44</v>
      </c>
    </row>
    <row r="2041" spans="1:14" s="32" customFormat="1" hidden="1" x14ac:dyDescent="0.3">
      <c r="A2041" s="39">
        <v>46175.575671296298</v>
      </c>
      <c r="B2041" s="32">
        <v>44999449519</v>
      </c>
      <c r="C2041" s="32" t="s">
        <v>37</v>
      </c>
      <c r="D2041" s="32">
        <v>4430265054</v>
      </c>
      <c r="E2041" s="32">
        <v>2449</v>
      </c>
      <c r="F2041" s="32">
        <v>2379</v>
      </c>
      <c r="G2041" s="32" t="s">
        <v>38</v>
      </c>
      <c r="H2041" s="32" t="s">
        <v>7458</v>
      </c>
      <c r="I2041" s="32" t="s">
        <v>39</v>
      </c>
      <c r="J2041" s="32" t="s">
        <v>40</v>
      </c>
      <c r="K2041" s="32" t="s">
        <v>41</v>
      </c>
      <c r="M2041" s="32" t="s">
        <v>5410</v>
      </c>
      <c r="N2041" s="32" t="s">
        <v>37</v>
      </c>
    </row>
    <row r="2042" spans="1:14" s="32" customFormat="1" hidden="1" x14ac:dyDescent="0.3">
      <c r="A2042" s="39">
        <v>46175.57309027778</v>
      </c>
      <c r="B2042" s="32">
        <v>4430141092</v>
      </c>
      <c r="C2042" s="32" t="s">
        <v>43</v>
      </c>
      <c r="D2042" s="32">
        <v>4430265054</v>
      </c>
      <c r="E2042" s="32">
        <v>143</v>
      </c>
      <c r="F2042" s="32">
        <v>63</v>
      </c>
      <c r="G2042" s="32" t="s">
        <v>38</v>
      </c>
      <c r="H2042" s="32" t="s">
        <v>7459</v>
      </c>
      <c r="I2042" s="32" t="s">
        <v>39</v>
      </c>
      <c r="J2042" s="32" t="s">
        <v>40</v>
      </c>
      <c r="K2042" s="32" t="s">
        <v>41</v>
      </c>
      <c r="M2042" s="32" t="s">
        <v>5418</v>
      </c>
      <c r="N2042" s="32" t="s">
        <v>43</v>
      </c>
    </row>
    <row r="2043" spans="1:14" s="32" customFormat="1" hidden="1" x14ac:dyDescent="0.3">
      <c r="A2043" s="39">
        <v>46175.572256944448</v>
      </c>
      <c r="B2043" s="32">
        <v>6234347959</v>
      </c>
      <c r="C2043" s="32" t="s">
        <v>45</v>
      </c>
      <c r="D2043" s="32">
        <v>4430265054</v>
      </c>
      <c r="E2043" s="32">
        <v>931</v>
      </c>
      <c r="F2043" s="32">
        <v>837</v>
      </c>
      <c r="G2043" s="32" t="s">
        <v>38</v>
      </c>
      <c r="H2043" s="32" t="s">
        <v>7460</v>
      </c>
      <c r="I2043" s="32" t="s">
        <v>39</v>
      </c>
      <c r="J2043" s="32" t="s">
        <v>40</v>
      </c>
      <c r="K2043" s="32" t="s">
        <v>41</v>
      </c>
      <c r="L2043" s="32">
        <v>5</v>
      </c>
      <c r="M2043" s="32" t="s">
        <v>5421</v>
      </c>
      <c r="N2043" s="32" t="s">
        <v>45</v>
      </c>
    </row>
    <row r="2044" spans="1:14" s="32" customFormat="1" hidden="1" x14ac:dyDescent="0.3">
      <c r="A2044" s="39">
        <v>46175.569282407407</v>
      </c>
      <c r="B2044" s="32">
        <v>4432672194</v>
      </c>
      <c r="C2044" s="32">
        <v>4430265054</v>
      </c>
      <c r="D2044" s="32">
        <v>4430265054</v>
      </c>
      <c r="E2044" s="32">
        <v>10</v>
      </c>
      <c r="F2044" s="32">
        <v>9</v>
      </c>
      <c r="G2044" s="32" t="s">
        <v>52</v>
      </c>
      <c r="H2044" s="32" t="s">
        <v>7461</v>
      </c>
      <c r="I2044" s="32" t="s">
        <v>39</v>
      </c>
      <c r="J2044" s="32" t="s">
        <v>53</v>
      </c>
    </row>
    <row r="2045" spans="1:14" s="32" customFormat="1" hidden="1" x14ac:dyDescent="0.3">
      <c r="A2045" s="39">
        <v>46175.489224537036</v>
      </c>
      <c r="B2045" s="32" t="s">
        <v>57</v>
      </c>
      <c r="C2045" s="32">
        <v>41996255598</v>
      </c>
      <c r="E2045" s="32">
        <v>34</v>
      </c>
      <c r="F2045" s="32">
        <v>0</v>
      </c>
      <c r="G2045" s="32" t="s">
        <v>47</v>
      </c>
      <c r="H2045" s="32" t="s">
        <v>7462</v>
      </c>
      <c r="I2045" s="32" t="s">
        <v>46</v>
      </c>
      <c r="J2045" s="32" t="s">
        <v>55</v>
      </c>
      <c r="M2045" s="32" t="s">
        <v>5456</v>
      </c>
      <c r="N2045" s="32" t="s">
        <v>57</v>
      </c>
    </row>
    <row r="2046" spans="1:14" s="32" customFormat="1" hidden="1" x14ac:dyDescent="0.3">
      <c r="A2046" s="39">
        <v>46175.487743055557</v>
      </c>
      <c r="B2046" s="32" t="s">
        <v>57</v>
      </c>
      <c r="C2046" s="32">
        <v>41996255598</v>
      </c>
      <c r="E2046" s="32">
        <v>39</v>
      </c>
      <c r="F2046" s="32">
        <v>3</v>
      </c>
      <c r="G2046" s="32" t="s">
        <v>38</v>
      </c>
      <c r="H2046" s="32" t="s">
        <v>7463</v>
      </c>
      <c r="I2046" s="32" t="s">
        <v>46</v>
      </c>
      <c r="J2046" s="32" t="s">
        <v>55</v>
      </c>
      <c r="M2046" s="32" t="s">
        <v>5456</v>
      </c>
      <c r="N2046" s="32" t="s">
        <v>57</v>
      </c>
    </row>
    <row r="2047" spans="1:14" s="32" customFormat="1" hidden="1" x14ac:dyDescent="0.3">
      <c r="A2047" s="39">
        <v>46175.486666666664</v>
      </c>
      <c r="B2047" s="32">
        <v>6234347959</v>
      </c>
      <c r="C2047" s="32" t="s">
        <v>37</v>
      </c>
      <c r="D2047" s="32">
        <v>4430265054</v>
      </c>
      <c r="E2047" s="32">
        <v>489</v>
      </c>
      <c r="F2047" s="32">
        <v>474</v>
      </c>
      <c r="G2047" s="32" t="s">
        <v>38</v>
      </c>
      <c r="H2047" s="32" t="s">
        <v>7464</v>
      </c>
      <c r="I2047" s="32" t="s">
        <v>39</v>
      </c>
      <c r="J2047" s="32" t="s">
        <v>40</v>
      </c>
      <c r="K2047" s="32" t="s">
        <v>41</v>
      </c>
      <c r="L2047" s="32">
        <v>5</v>
      </c>
      <c r="M2047" s="32" t="s">
        <v>5410</v>
      </c>
      <c r="N2047" s="32" t="s">
        <v>37</v>
      </c>
    </row>
    <row r="2048" spans="1:14" s="32" customFormat="1" hidden="1" x14ac:dyDescent="0.3">
      <c r="A2048" s="39">
        <v>46175.484872685185</v>
      </c>
      <c r="B2048" s="32">
        <v>1333981755</v>
      </c>
      <c r="C2048" s="32" t="s">
        <v>56</v>
      </c>
      <c r="D2048" s="32">
        <v>4430265054</v>
      </c>
      <c r="E2048" s="32">
        <v>92</v>
      </c>
      <c r="F2048" s="32">
        <v>73</v>
      </c>
      <c r="G2048" s="32" t="s">
        <v>38</v>
      </c>
      <c r="H2048" s="32" t="s">
        <v>7465</v>
      </c>
      <c r="I2048" s="32" t="s">
        <v>39</v>
      </c>
      <c r="J2048" s="32" t="s">
        <v>53</v>
      </c>
      <c r="K2048" s="32" t="s">
        <v>41</v>
      </c>
      <c r="M2048" s="32" t="s">
        <v>5440</v>
      </c>
      <c r="N2048" s="32" t="s">
        <v>56</v>
      </c>
    </row>
    <row r="2049" spans="1:14" s="32" customFormat="1" hidden="1" x14ac:dyDescent="0.3">
      <c r="A2049" s="39">
        <v>46175.483680555553</v>
      </c>
      <c r="B2049" s="32" t="s">
        <v>57</v>
      </c>
      <c r="C2049" s="32">
        <v>41988242929</v>
      </c>
      <c r="E2049" s="32">
        <v>0</v>
      </c>
      <c r="F2049" s="32">
        <v>0</v>
      </c>
      <c r="G2049" s="32" t="s">
        <v>47</v>
      </c>
      <c r="H2049" s="32" t="s">
        <v>7466</v>
      </c>
      <c r="I2049" s="32" t="s">
        <v>46</v>
      </c>
      <c r="J2049" s="32" t="s">
        <v>55</v>
      </c>
      <c r="M2049" s="32" t="s">
        <v>5456</v>
      </c>
      <c r="N2049" s="32" t="s">
        <v>57</v>
      </c>
    </row>
    <row r="2050" spans="1:14" s="32" customFormat="1" hidden="1" x14ac:dyDescent="0.3">
      <c r="A2050" s="39">
        <v>46175.483240740738</v>
      </c>
      <c r="B2050" s="32" t="s">
        <v>57</v>
      </c>
      <c r="C2050" s="32">
        <v>41988242929</v>
      </c>
      <c r="E2050" s="32">
        <v>1</v>
      </c>
      <c r="F2050" s="32">
        <v>0</v>
      </c>
      <c r="G2050" s="32" t="s">
        <v>47</v>
      </c>
      <c r="H2050" s="32" t="s">
        <v>7467</v>
      </c>
      <c r="I2050" s="32" t="s">
        <v>46</v>
      </c>
      <c r="J2050" s="32" t="s">
        <v>55</v>
      </c>
      <c r="M2050" s="32" t="s">
        <v>5456</v>
      </c>
      <c r="N2050" s="32" t="s">
        <v>57</v>
      </c>
    </row>
    <row r="2051" spans="1:14" s="32" customFormat="1" hidden="1" x14ac:dyDescent="0.3">
      <c r="A2051" s="39">
        <v>46175.482569444444</v>
      </c>
      <c r="B2051" s="32">
        <v>4430267054</v>
      </c>
      <c r="C2051" s="32" t="s">
        <v>43</v>
      </c>
      <c r="D2051" s="32">
        <v>4430265054</v>
      </c>
      <c r="E2051" s="32">
        <v>123</v>
      </c>
      <c r="F2051" s="32">
        <v>63</v>
      </c>
      <c r="G2051" s="32" t="s">
        <v>38</v>
      </c>
      <c r="H2051" s="32" t="s">
        <v>7468</v>
      </c>
      <c r="I2051" s="32" t="s">
        <v>39</v>
      </c>
      <c r="J2051" s="32" t="s">
        <v>40</v>
      </c>
      <c r="K2051" s="32" t="s">
        <v>41</v>
      </c>
      <c r="M2051" s="32" t="s">
        <v>5418</v>
      </c>
      <c r="N2051" s="32" t="s">
        <v>43</v>
      </c>
    </row>
    <row r="2052" spans="1:14" s="32" customFormat="1" hidden="1" x14ac:dyDescent="0.3">
      <c r="A2052" s="39">
        <v>46175.481539351851</v>
      </c>
      <c r="B2052" s="32">
        <v>1333982215</v>
      </c>
      <c r="C2052" s="32" t="s">
        <v>37</v>
      </c>
      <c r="D2052" s="32">
        <v>4430265054</v>
      </c>
      <c r="E2052" s="32">
        <v>61</v>
      </c>
      <c r="F2052" s="32">
        <v>22</v>
      </c>
      <c r="G2052" s="32" t="s">
        <v>38</v>
      </c>
      <c r="H2052" s="32" t="s">
        <v>7469</v>
      </c>
      <c r="I2052" s="32" t="s">
        <v>39</v>
      </c>
      <c r="J2052" s="32" t="s">
        <v>40</v>
      </c>
      <c r="K2052" s="32" t="s">
        <v>41</v>
      </c>
      <c r="M2052" s="32" t="s">
        <v>5410</v>
      </c>
      <c r="N2052" s="32" t="s">
        <v>37</v>
      </c>
    </row>
    <row r="2053" spans="1:14" s="32" customFormat="1" hidden="1" x14ac:dyDescent="0.3">
      <c r="A2053" s="39">
        <v>46175.4762962963</v>
      </c>
      <c r="B2053" s="32">
        <v>44988067937</v>
      </c>
      <c r="C2053" s="32" t="s">
        <v>45</v>
      </c>
      <c r="D2053" s="32">
        <v>4431268225</v>
      </c>
      <c r="E2053" s="32">
        <v>2455</v>
      </c>
      <c r="F2053" s="32">
        <v>2411</v>
      </c>
      <c r="G2053" s="32" t="s">
        <v>38</v>
      </c>
      <c r="H2053" s="32" t="s">
        <v>7470</v>
      </c>
      <c r="I2053" s="32" t="s">
        <v>39</v>
      </c>
      <c r="J2053" s="32" t="s">
        <v>40</v>
      </c>
      <c r="K2053" s="32" t="s">
        <v>41</v>
      </c>
      <c r="M2053" s="32" t="s">
        <v>5421</v>
      </c>
      <c r="N2053" s="32" t="s">
        <v>45</v>
      </c>
    </row>
    <row r="2054" spans="1:14" s="32" customFormat="1" hidden="1" x14ac:dyDescent="0.3">
      <c r="A2054" s="39">
        <v>46175.476087962961</v>
      </c>
      <c r="B2054" s="32">
        <v>44999582853</v>
      </c>
      <c r="C2054" s="32" t="s">
        <v>44</v>
      </c>
      <c r="D2054" s="32">
        <v>4430265054</v>
      </c>
      <c r="E2054" s="32">
        <v>1364</v>
      </c>
      <c r="F2054" s="32">
        <v>1338</v>
      </c>
      <c r="G2054" s="32" t="s">
        <v>38</v>
      </c>
      <c r="H2054" s="32" t="s">
        <v>7471</v>
      </c>
      <c r="I2054" s="32" t="s">
        <v>39</v>
      </c>
      <c r="J2054" s="32" t="s">
        <v>40</v>
      </c>
      <c r="K2054" s="32" t="s">
        <v>41</v>
      </c>
      <c r="L2054" s="32">
        <v>5</v>
      </c>
      <c r="M2054" s="32" t="s">
        <v>5416</v>
      </c>
      <c r="N2054" s="32" t="s">
        <v>44</v>
      </c>
    </row>
    <row r="2055" spans="1:14" s="32" customFormat="1" hidden="1" x14ac:dyDescent="0.3">
      <c r="A2055" s="39">
        <v>46175.475069444445</v>
      </c>
      <c r="B2055" s="32" t="s">
        <v>57</v>
      </c>
      <c r="C2055" s="32">
        <v>44998006660</v>
      </c>
      <c r="E2055" s="32">
        <v>36</v>
      </c>
      <c r="F2055" s="32">
        <v>13</v>
      </c>
      <c r="G2055" s="32" t="s">
        <v>38</v>
      </c>
      <c r="H2055" s="32" t="s">
        <v>7472</v>
      </c>
      <c r="I2055" s="32" t="s">
        <v>46</v>
      </c>
      <c r="J2055" s="32" t="s">
        <v>55</v>
      </c>
      <c r="M2055" s="32" t="s">
        <v>5456</v>
      </c>
      <c r="N2055" s="32" t="s">
        <v>57</v>
      </c>
    </row>
    <row r="2056" spans="1:14" s="32" customFormat="1" hidden="1" x14ac:dyDescent="0.3">
      <c r="A2056" s="39">
        <v>46175.473599537036</v>
      </c>
      <c r="B2056" s="32" t="s">
        <v>57</v>
      </c>
      <c r="C2056" s="32">
        <v>4430403880</v>
      </c>
      <c r="E2056" s="32">
        <v>86</v>
      </c>
      <c r="F2056" s="32">
        <v>71</v>
      </c>
      <c r="G2056" s="32" t="s">
        <v>38</v>
      </c>
      <c r="H2056" s="32" t="s">
        <v>7473</v>
      </c>
      <c r="I2056" s="32" t="s">
        <v>46</v>
      </c>
      <c r="J2056" s="32" t="s">
        <v>55</v>
      </c>
      <c r="M2056" s="32" t="s">
        <v>5456</v>
      </c>
      <c r="N2056" s="32" t="s">
        <v>57</v>
      </c>
    </row>
    <row r="2057" spans="1:14" s="32" customFormat="1" hidden="1" x14ac:dyDescent="0.3">
      <c r="A2057" s="39">
        <v>46175.473506944443</v>
      </c>
      <c r="B2057" s="32" t="s">
        <v>57</v>
      </c>
      <c r="C2057" s="32">
        <v>4130403880</v>
      </c>
      <c r="E2057" s="32">
        <v>1</v>
      </c>
      <c r="F2057" s="32">
        <v>0</v>
      </c>
      <c r="G2057" s="32" t="s">
        <v>47</v>
      </c>
      <c r="H2057" s="32" t="s">
        <v>7474</v>
      </c>
      <c r="I2057" s="32" t="s">
        <v>46</v>
      </c>
      <c r="J2057" s="32" t="s">
        <v>55</v>
      </c>
      <c r="M2057" s="32" t="s">
        <v>5456</v>
      </c>
      <c r="N2057" s="32" t="s">
        <v>57</v>
      </c>
    </row>
    <row r="2058" spans="1:14" s="32" customFormat="1" hidden="1" x14ac:dyDescent="0.3">
      <c r="A2058" s="39">
        <v>46175.473414351851</v>
      </c>
      <c r="B2058" s="32">
        <v>6234347959</v>
      </c>
      <c r="C2058" s="32" t="s">
        <v>43</v>
      </c>
      <c r="D2058" s="32">
        <v>4430265054</v>
      </c>
      <c r="E2058" s="32">
        <v>481</v>
      </c>
      <c r="F2058" s="32">
        <v>431</v>
      </c>
      <c r="G2058" s="32" t="s">
        <v>38</v>
      </c>
      <c r="H2058" s="32" t="s">
        <v>7475</v>
      </c>
      <c r="I2058" s="32" t="s">
        <v>39</v>
      </c>
      <c r="J2058" s="32" t="s">
        <v>40</v>
      </c>
      <c r="K2058" s="32" t="s">
        <v>41</v>
      </c>
      <c r="L2058" s="32">
        <v>5</v>
      </c>
      <c r="M2058" s="32" t="s">
        <v>5418</v>
      </c>
      <c r="N2058" s="32" t="s">
        <v>43</v>
      </c>
    </row>
    <row r="2059" spans="1:14" s="32" customFormat="1" hidden="1" x14ac:dyDescent="0.3">
      <c r="A2059" s="39">
        <v>46175.473171296297</v>
      </c>
      <c r="B2059" s="32">
        <v>96981080303</v>
      </c>
      <c r="C2059" s="32" t="s">
        <v>37</v>
      </c>
      <c r="D2059" s="32">
        <v>4430265054</v>
      </c>
      <c r="E2059" s="32">
        <v>282</v>
      </c>
      <c r="F2059" s="32">
        <v>200</v>
      </c>
      <c r="G2059" s="32" t="s">
        <v>38</v>
      </c>
      <c r="H2059" s="32" t="s">
        <v>7476</v>
      </c>
      <c r="I2059" s="32" t="s">
        <v>39</v>
      </c>
      <c r="J2059" s="32" t="s">
        <v>40</v>
      </c>
      <c r="K2059" s="32" t="s">
        <v>41</v>
      </c>
      <c r="M2059" s="32" t="s">
        <v>5410</v>
      </c>
      <c r="N2059" s="32" t="s">
        <v>37</v>
      </c>
    </row>
    <row r="2060" spans="1:14" s="32" customFormat="1" hidden="1" x14ac:dyDescent="0.3">
      <c r="A2060" s="39">
        <v>46175.472708333335</v>
      </c>
      <c r="B2060" s="32" t="s">
        <v>57</v>
      </c>
      <c r="C2060" s="32">
        <v>4430410411</v>
      </c>
      <c r="E2060" s="32">
        <v>58</v>
      </c>
      <c r="F2060" s="32">
        <v>38</v>
      </c>
      <c r="G2060" s="32" t="s">
        <v>38</v>
      </c>
      <c r="H2060" s="32" t="s">
        <v>7477</v>
      </c>
      <c r="I2060" s="32" t="s">
        <v>46</v>
      </c>
      <c r="J2060" s="32" t="s">
        <v>55</v>
      </c>
      <c r="M2060" s="32" t="s">
        <v>5456</v>
      </c>
      <c r="N2060" s="32" t="s">
        <v>57</v>
      </c>
    </row>
    <row r="2061" spans="1:14" s="32" customFormat="1" hidden="1" x14ac:dyDescent="0.3">
      <c r="A2061" s="39">
        <v>46175.471539351849</v>
      </c>
      <c r="B2061" s="32">
        <v>6234347959</v>
      </c>
      <c r="C2061" s="32" t="s">
        <v>45</v>
      </c>
      <c r="D2061" s="32">
        <v>4430265054</v>
      </c>
      <c r="E2061" s="32">
        <v>54</v>
      </c>
      <c r="F2061" s="32">
        <v>15</v>
      </c>
      <c r="G2061" s="32" t="s">
        <v>38</v>
      </c>
      <c r="H2061" s="32" t="s">
        <v>7478</v>
      </c>
      <c r="I2061" s="32" t="s">
        <v>39</v>
      </c>
      <c r="J2061" s="32" t="s">
        <v>40</v>
      </c>
      <c r="K2061" s="32" t="s">
        <v>41</v>
      </c>
      <c r="M2061" s="32" t="s">
        <v>5421</v>
      </c>
      <c r="N2061" s="32" t="s">
        <v>45</v>
      </c>
    </row>
    <row r="2062" spans="1:14" s="32" customFormat="1" hidden="1" x14ac:dyDescent="0.3">
      <c r="A2062" s="39">
        <v>46175.458483796298</v>
      </c>
      <c r="B2062" s="32">
        <v>62981535978</v>
      </c>
      <c r="C2062" s="32" t="s">
        <v>48</v>
      </c>
      <c r="D2062" s="32">
        <v>4430265054</v>
      </c>
      <c r="E2062" s="32">
        <v>2222</v>
      </c>
      <c r="F2062" s="32">
        <v>2157</v>
      </c>
      <c r="G2062" s="32" t="s">
        <v>38</v>
      </c>
      <c r="H2062" s="32" t="s">
        <v>7479</v>
      </c>
      <c r="I2062" s="32" t="s">
        <v>39</v>
      </c>
      <c r="J2062" s="32" t="s">
        <v>40</v>
      </c>
      <c r="K2062" s="32" t="s">
        <v>41</v>
      </c>
      <c r="L2062" s="32">
        <v>5</v>
      </c>
      <c r="M2062" s="32" t="s">
        <v>5412</v>
      </c>
      <c r="N2062" s="32" t="s">
        <v>48</v>
      </c>
    </row>
    <row r="2063" spans="1:14" s="32" customFormat="1" hidden="1" x14ac:dyDescent="0.3">
      <c r="A2063" s="39">
        <v>46175.458090277774</v>
      </c>
      <c r="B2063" s="32">
        <v>1438780460</v>
      </c>
      <c r="C2063" s="32" t="s">
        <v>44</v>
      </c>
      <c r="D2063" s="32">
        <v>4430265054</v>
      </c>
      <c r="E2063" s="32">
        <v>115</v>
      </c>
      <c r="F2063" s="32">
        <v>63</v>
      </c>
      <c r="G2063" s="32" t="s">
        <v>38</v>
      </c>
      <c r="H2063" s="32" t="s">
        <v>7480</v>
      </c>
      <c r="I2063" s="32" t="s">
        <v>39</v>
      </c>
      <c r="J2063" s="32" t="s">
        <v>40</v>
      </c>
      <c r="K2063" s="32" t="s">
        <v>41</v>
      </c>
      <c r="M2063" s="32" t="s">
        <v>5416</v>
      </c>
      <c r="N2063" s="32" t="s">
        <v>44</v>
      </c>
    </row>
    <row r="2064" spans="1:14" s="32" customFormat="1" hidden="1" x14ac:dyDescent="0.3">
      <c r="A2064" s="39">
        <v>46175.456863425927</v>
      </c>
      <c r="B2064" s="32">
        <v>4435228300</v>
      </c>
      <c r="C2064" s="32" t="s">
        <v>45</v>
      </c>
      <c r="D2064" s="32">
        <v>4430265054</v>
      </c>
      <c r="E2064" s="32">
        <v>691</v>
      </c>
      <c r="F2064" s="32">
        <v>648</v>
      </c>
      <c r="G2064" s="32" t="s">
        <v>38</v>
      </c>
      <c r="H2064" s="32" t="s">
        <v>7481</v>
      </c>
      <c r="I2064" s="32" t="s">
        <v>39</v>
      </c>
      <c r="J2064" s="32" t="s">
        <v>40</v>
      </c>
      <c r="K2064" s="32" t="s">
        <v>41</v>
      </c>
      <c r="L2064" s="32">
        <v>5</v>
      </c>
      <c r="M2064" s="32" t="s">
        <v>5421</v>
      </c>
      <c r="N2064" s="32" t="s">
        <v>45</v>
      </c>
    </row>
    <row r="2065" spans="1:14" s="32" customFormat="1" hidden="1" x14ac:dyDescent="0.3">
      <c r="A2065" s="39">
        <v>46175.454745370371</v>
      </c>
      <c r="B2065" s="32">
        <v>44988229700</v>
      </c>
      <c r="C2065" s="32" t="s">
        <v>43</v>
      </c>
      <c r="D2065" s="32">
        <v>4430265054</v>
      </c>
      <c r="E2065" s="32">
        <v>588</v>
      </c>
      <c r="F2065" s="32">
        <v>531</v>
      </c>
      <c r="G2065" s="32" t="s">
        <v>38</v>
      </c>
      <c r="H2065" s="32" t="s">
        <v>7482</v>
      </c>
      <c r="I2065" s="32" t="s">
        <v>39</v>
      </c>
      <c r="J2065" s="32" t="s">
        <v>40</v>
      </c>
      <c r="K2065" s="32" t="s">
        <v>41</v>
      </c>
      <c r="L2065" s="32">
        <v>5</v>
      </c>
      <c r="M2065" s="32" t="s">
        <v>5418</v>
      </c>
      <c r="N2065" s="32" t="s">
        <v>43</v>
      </c>
    </row>
    <row r="2066" spans="1:14" s="32" customFormat="1" hidden="1" x14ac:dyDescent="0.3">
      <c r="A2066" s="39">
        <v>46175.454398148147</v>
      </c>
      <c r="B2066" s="32">
        <v>35998295948</v>
      </c>
      <c r="C2066" s="32" t="s">
        <v>45</v>
      </c>
      <c r="D2066" s="32">
        <v>4430265054</v>
      </c>
      <c r="E2066" s="32">
        <v>113</v>
      </c>
      <c r="F2066" s="32">
        <v>97</v>
      </c>
      <c r="G2066" s="32" t="s">
        <v>38</v>
      </c>
      <c r="H2066" s="32" t="s">
        <v>7483</v>
      </c>
      <c r="I2066" s="32" t="s">
        <v>39</v>
      </c>
      <c r="J2066" s="32" t="s">
        <v>40</v>
      </c>
      <c r="K2066" s="32" t="s">
        <v>41</v>
      </c>
      <c r="M2066" s="32" t="s">
        <v>5421</v>
      </c>
      <c r="N2066" s="32" t="s">
        <v>45</v>
      </c>
    </row>
    <row r="2067" spans="1:14" s="32" customFormat="1" hidden="1" x14ac:dyDescent="0.3">
      <c r="A2067" s="39">
        <v>46175.45071759259</v>
      </c>
      <c r="B2067" s="32">
        <v>4330333542</v>
      </c>
      <c r="C2067" s="32" t="s">
        <v>37</v>
      </c>
      <c r="D2067" s="32">
        <v>4430265054</v>
      </c>
      <c r="E2067" s="32">
        <v>814</v>
      </c>
      <c r="F2067" s="32">
        <v>789</v>
      </c>
      <c r="G2067" s="32" t="s">
        <v>38</v>
      </c>
      <c r="H2067" s="32" t="s">
        <v>7484</v>
      </c>
      <c r="I2067" s="32" t="s">
        <v>39</v>
      </c>
      <c r="J2067" s="32" t="s">
        <v>40</v>
      </c>
      <c r="K2067" s="32" t="s">
        <v>41</v>
      </c>
      <c r="M2067" s="32" t="s">
        <v>5410</v>
      </c>
      <c r="N2067" s="32" t="s">
        <v>37</v>
      </c>
    </row>
    <row r="2068" spans="1:14" s="32" customFormat="1" hidden="1" x14ac:dyDescent="0.3">
      <c r="A2068" s="39">
        <v>46175.449571759258</v>
      </c>
      <c r="B2068" s="32">
        <v>4433543396</v>
      </c>
      <c r="C2068" s="32" t="s">
        <v>45</v>
      </c>
      <c r="D2068" s="32">
        <v>4430265054</v>
      </c>
      <c r="E2068" s="32">
        <v>111</v>
      </c>
      <c r="F2068" s="32">
        <v>93</v>
      </c>
      <c r="G2068" s="32" t="s">
        <v>38</v>
      </c>
      <c r="H2068" s="32" t="s">
        <v>7485</v>
      </c>
      <c r="I2068" s="32" t="s">
        <v>39</v>
      </c>
      <c r="J2068" s="32" t="s">
        <v>40</v>
      </c>
      <c r="K2068" s="32" t="s">
        <v>41</v>
      </c>
      <c r="M2068" s="32" t="s">
        <v>5421</v>
      </c>
      <c r="N2068" s="32" t="s">
        <v>45</v>
      </c>
    </row>
    <row r="2069" spans="1:14" s="32" customFormat="1" hidden="1" x14ac:dyDescent="0.3">
      <c r="A2069" s="39">
        <v>46175.442604166667</v>
      </c>
      <c r="B2069" s="32">
        <v>4121414966</v>
      </c>
      <c r="C2069" s="32">
        <v>4531273172</v>
      </c>
      <c r="D2069" s="32">
        <v>4531273172</v>
      </c>
      <c r="E2069" s="32">
        <v>47</v>
      </c>
      <c r="F2069" s="32">
        <v>47</v>
      </c>
      <c r="G2069" s="32" t="s">
        <v>52</v>
      </c>
      <c r="H2069" s="32" t="s">
        <v>7486</v>
      </c>
      <c r="I2069" s="32" t="s">
        <v>39</v>
      </c>
      <c r="J2069" s="32" t="s">
        <v>53</v>
      </c>
      <c r="K2069" s="32" t="s">
        <v>41</v>
      </c>
    </row>
    <row r="2070" spans="1:14" s="32" customFormat="1" hidden="1" x14ac:dyDescent="0.3">
      <c r="A2070" s="39">
        <v>46175.441886574074</v>
      </c>
      <c r="B2070" s="32" t="s">
        <v>57</v>
      </c>
      <c r="C2070" s="32">
        <v>41995010487</v>
      </c>
      <c r="E2070" s="32">
        <v>409</v>
      </c>
      <c r="F2070" s="32">
        <v>393</v>
      </c>
      <c r="G2070" s="32" t="s">
        <v>38</v>
      </c>
      <c r="H2070" s="32" t="s">
        <v>7487</v>
      </c>
      <c r="I2070" s="32" t="s">
        <v>46</v>
      </c>
      <c r="J2070" s="32" t="s">
        <v>55</v>
      </c>
      <c r="M2070" s="32" t="s">
        <v>5456</v>
      </c>
      <c r="N2070" s="32" t="s">
        <v>57</v>
      </c>
    </row>
    <row r="2071" spans="1:14" s="32" customFormat="1" hidden="1" x14ac:dyDescent="0.3">
      <c r="A2071" s="39">
        <v>46175.439699074072</v>
      </c>
      <c r="B2071" s="32">
        <v>4431337559</v>
      </c>
      <c r="C2071" s="32" t="s">
        <v>45</v>
      </c>
      <c r="D2071" s="32">
        <v>4430265054</v>
      </c>
      <c r="E2071" s="32">
        <v>193</v>
      </c>
      <c r="F2071" s="32">
        <v>164</v>
      </c>
      <c r="G2071" s="32" t="s">
        <v>38</v>
      </c>
      <c r="H2071" s="32" t="s">
        <v>7488</v>
      </c>
      <c r="I2071" s="32" t="s">
        <v>39</v>
      </c>
      <c r="J2071" s="32" t="s">
        <v>40</v>
      </c>
      <c r="K2071" s="32" t="s">
        <v>41</v>
      </c>
      <c r="M2071" s="32" t="s">
        <v>5421</v>
      </c>
      <c r="N2071" s="32" t="s">
        <v>45</v>
      </c>
    </row>
    <row r="2072" spans="1:14" s="32" customFormat="1" hidden="1" x14ac:dyDescent="0.3">
      <c r="A2072" s="39">
        <v>46175.436597222222</v>
      </c>
      <c r="B2072" s="32" t="s">
        <v>43</v>
      </c>
      <c r="C2072" s="32">
        <v>44998020022</v>
      </c>
      <c r="E2072" s="32">
        <v>1052</v>
      </c>
      <c r="F2072" s="32">
        <v>1042</v>
      </c>
      <c r="G2072" s="32" t="s">
        <v>38</v>
      </c>
      <c r="H2072" s="32" t="s">
        <v>7489</v>
      </c>
      <c r="I2072" s="32" t="s">
        <v>46</v>
      </c>
      <c r="J2072" s="32" t="s">
        <v>40</v>
      </c>
      <c r="M2072" s="32" t="s">
        <v>5418</v>
      </c>
      <c r="N2072" s="32" t="s">
        <v>43</v>
      </c>
    </row>
    <row r="2073" spans="1:14" s="32" customFormat="1" hidden="1" x14ac:dyDescent="0.3">
      <c r="A2073" s="39">
        <v>46175.436249999999</v>
      </c>
      <c r="B2073" s="32" t="s">
        <v>43</v>
      </c>
      <c r="C2073" s="32">
        <v>44998020022</v>
      </c>
      <c r="E2073" s="32">
        <v>34</v>
      </c>
      <c r="F2073" s="32">
        <v>17</v>
      </c>
      <c r="G2073" s="32" t="s">
        <v>38</v>
      </c>
      <c r="H2073" s="32" t="s">
        <v>7490</v>
      </c>
      <c r="I2073" s="32" t="s">
        <v>46</v>
      </c>
      <c r="J2073" s="32" t="s">
        <v>40</v>
      </c>
      <c r="M2073" s="32" t="s">
        <v>5418</v>
      </c>
      <c r="N2073" s="32" t="s">
        <v>43</v>
      </c>
    </row>
    <row r="2074" spans="1:14" s="32" customFormat="1" hidden="1" x14ac:dyDescent="0.3">
      <c r="A2074" s="39">
        <v>46175.435428240744</v>
      </c>
      <c r="B2074" s="32" t="s">
        <v>57</v>
      </c>
      <c r="C2074" s="32">
        <v>44999416670</v>
      </c>
      <c r="E2074" s="32">
        <v>50</v>
      </c>
      <c r="F2074" s="32">
        <v>11</v>
      </c>
      <c r="G2074" s="32" t="s">
        <v>38</v>
      </c>
      <c r="H2074" s="32" t="s">
        <v>7491</v>
      </c>
      <c r="I2074" s="32" t="s">
        <v>46</v>
      </c>
      <c r="J2074" s="32" t="s">
        <v>55</v>
      </c>
      <c r="M2074" s="32" t="s">
        <v>5456</v>
      </c>
      <c r="N2074" s="32" t="s">
        <v>57</v>
      </c>
    </row>
    <row r="2075" spans="1:14" s="32" customFormat="1" hidden="1" x14ac:dyDescent="0.3">
      <c r="A2075" s="39">
        <v>46175.435324074075</v>
      </c>
      <c r="B2075" s="32" t="s">
        <v>57</v>
      </c>
      <c r="C2075" s="32">
        <v>4432322101</v>
      </c>
      <c r="E2075" s="32">
        <v>1</v>
      </c>
      <c r="F2075" s="32">
        <v>0</v>
      </c>
      <c r="G2075" s="32" t="s">
        <v>47</v>
      </c>
      <c r="H2075" s="32" t="s">
        <v>7492</v>
      </c>
      <c r="I2075" s="32" t="s">
        <v>46</v>
      </c>
      <c r="J2075" s="32" t="s">
        <v>55</v>
      </c>
      <c r="M2075" s="32" t="s">
        <v>5456</v>
      </c>
      <c r="N2075" s="32" t="s">
        <v>57</v>
      </c>
    </row>
    <row r="2076" spans="1:14" s="32" customFormat="1" hidden="1" x14ac:dyDescent="0.3">
      <c r="A2076" s="39">
        <v>46175.432384259257</v>
      </c>
      <c r="B2076" s="32">
        <v>1639391799</v>
      </c>
      <c r="C2076" s="32" t="s">
        <v>37</v>
      </c>
      <c r="D2076" s="32">
        <v>4430265054</v>
      </c>
      <c r="E2076" s="32">
        <v>315</v>
      </c>
      <c r="F2076" s="32">
        <v>219</v>
      </c>
      <c r="G2076" s="32" t="s">
        <v>38</v>
      </c>
      <c r="H2076" s="32" t="s">
        <v>7493</v>
      </c>
      <c r="I2076" s="32" t="s">
        <v>39</v>
      </c>
      <c r="J2076" s="32" t="s">
        <v>40</v>
      </c>
      <c r="K2076" s="32" t="s">
        <v>41</v>
      </c>
      <c r="L2076" s="32">
        <v>5</v>
      </c>
      <c r="M2076" s="32" t="s">
        <v>5410</v>
      </c>
      <c r="N2076" s="32" t="s">
        <v>37</v>
      </c>
    </row>
    <row r="2077" spans="1:14" s="32" customFormat="1" hidden="1" x14ac:dyDescent="0.3">
      <c r="A2077" s="39">
        <v>46175.429780092592</v>
      </c>
      <c r="B2077" s="32" t="s">
        <v>57</v>
      </c>
      <c r="C2077" s="32">
        <v>44999416670</v>
      </c>
      <c r="E2077" s="32">
        <v>52</v>
      </c>
      <c r="F2077" s="32">
        <v>13</v>
      </c>
      <c r="G2077" s="32" t="s">
        <v>38</v>
      </c>
      <c r="H2077" s="32" t="s">
        <v>7494</v>
      </c>
      <c r="I2077" s="32" t="s">
        <v>46</v>
      </c>
      <c r="J2077" s="32" t="s">
        <v>55</v>
      </c>
      <c r="M2077" s="32" t="s">
        <v>5456</v>
      </c>
      <c r="N2077" s="32" t="s">
        <v>57</v>
      </c>
    </row>
    <row r="2078" spans="1:14" s="32" customFormat="1" hidden="1" x14ac:dyDescent="0.3">
      <c r="A2078" s="39">
        <v>46175.429606481484</v>
      </c>
      <c r="B2078" s="32" t="s">
        <v>57</v>
      </c>
      <c r="C2078" s="32">
        <v>4432322101</v>
      </c>
      <c r="E2078" s="32">
        <v>1</v>
      </c>
      <c r="F2078" s="32">
        <v>0</v>
      </c>
      <c r="G2078" s="32" t="s">
        <v>47</v>
      </c>
      <c r="H2078" s="32" t="s">
        <v>7495</v>
      </c>
      <c r="I2078" s="32" t="s">
        <v>46</v>
      </c>
      <c r="J2078" s="32" t="s">
        <v>55</v>
      </c>
      <c r="M2078" s="32" t="s">
        <v>5456</v>
      </c>
      <c r="N2078" s="32" t="s">
        <v>57</v>
      </c>
    </row>
    <row r="2079" spans="1:14" s="32" customFormat="1" hidden="1" x14ac:dyDescent="0.3">
      <c r="A2079" s="39">
        <v>46175.40861111111</v>
      </c>
      <c r="B2079" s="32">
        <v>4430141533</v>
      </c>
      <c r="C2079" s="32" t="s">
        <v>43</v>
      </c>
      <c r="D2079" s="32">
        <v>4430265054</v>
      </c>
      <c r="E2079" s="32">
        <v>123</v>
      </c>
      <c r="F2079" s="32">
        <v>85</v>
      </c>
      <c r="G2079" s="32" t="s">
        <v>38</v>
      </c>
      <c r="H2079" s="32" t="s">
        <v>7496</v>
      </c>
      <c r="I2079" s="32" t="s">
        <v>39</v>
      </c>
      <c r="J2079" s="32" t="s">
        <v>40</v>
      </c>
      <c r="K2079" s="32" t="s">
        <v>41</v>
      </c>
      <c r="M2079" s="32" t="s">
        <v>5418</v>
      </c>
      <c r="N2079" s="32" t="s">
        <v>43</v>
      </c>
    </row>
    <row r="2080" spans="1:14" s="32" customFormat="1" hidden="1" x14ac:dyDescent="0.3">
      <c r="A2080" s="39">
        <v>46175.407777777778</v>
      </c>
      <c r="B2080" s="32">
        <v>41991740047</v>
      </c>
      <c r="C2080" s="32" t="s">
        <v>48</v>
      </c>
      <c r="D2080" s="32">
        <v>4430265054</v>
      </c>
      <c r="E2080" s="32">
        <v>444</v>
      </c>
      <c r="F2080" s="32">
        <v>410</v>
      </c>
      <c r="G2080" s="32" t="s">
        <v>38</v>
      </c>
      <c r="H2080" s="32" t="s">
        <v>7497</v>
      </c>
      <c r="I2080" s="32" t="s">
        <v>39</v>
      </c>
      <c r="J2080" s="32" t="s">
        <v>40</v>
      </c>
      <c r="K2080" s="32" t="s">
        <v>41</v>
      </c>
      <c r="M2080" s="32" t="s">
        <v>5412</v>
      </c>
      <c r="N2080" s="32" t="s">
        <v>48</v>
      </c>
    </row>
    <row r="2081" spans="1:14" s="32" customFormat="1" hidden="1" x14ac:dyDescent="0.3">
      <c r="A2081" s="39">
        <v>46175.407430555555</v>
      </c>
      <c r="B2081" s="32">
        <v>44988067937</v>
      </c>
      <c r="C2081" s="32" t="s">
        <v>37</v>
      </c>
      <c r="D2081" s="32">
        <v>4431268225</v>
      </c>
      <c r="E2081" s="32">
        <v>379</v>
      </c>
      <c r="F2081" s="32">
        <v>307</v>
      </c>
      <c r="G2081" s="32" t="s">
        <v>38</v>
      </c>
      <c r="H2081" s="32" t="s">
        <v>7498</v>
      </c>
      <c r="I2081" s="32" t="s">
        <v>39</v>
      </c>
      <c r="J2081" s="32" t="s">
        <v>40</v>
      </c>
      <c r="K2081" s="32" t="s">
        <v>41</v>
      </c>
      <c r="M2081" s="32" t="s">
        <v>5410</v>
      </c>
      <c r="N2081" s="32" t="s">
        <v>37</v>
      </c>
    </row>
    <row r="2082" spans="1:14" s="32" customFormat="1" hidden="1" x14ac:dyDescent="0.3">
      <c r="A2082" s="39">
        <v>46175.407141203701</v>
      </c>
      <c r="B2082" s="32" t="s">
        <v>57</v>
      </c>
      <c r="C2082" s="32">
        <v>4432641415</v>
      </c>
      <c r="E2082" s="32">
        <v>43</v>
      </c>
      <c r="F2082" s="32">
        <v>5</v>
      </c>
      <c r="G2082" s="32" t="s">
        <v>38</v>
      </c>
      <c r="H2082" s="32" t="s">
        <v>7499</v>
      </c>
      <c r="I2082" s="32" t="s">
        <v>46</v>
      </c>
      <c r="J2082" s="32" t="s">
        <v>55</v>
      </c>
      <c r="M2082" s="32" t="s">
        <v>5456</v>
      </c>
      <c r="N2082" s="32" t="s">
        <v>57</v>
      </c>
    </row>
    <row r="2083" spans="1:14" s="32" customFormat="1" hidden="1" x14ac:dyDescent="0.3">
      <c r="A2083" s="39">
        <v>46175.406631944446</v>
      </c>
      <c r="B2083" s="32" t="s">
        <v>57</v>
      </c>
      <c r="C2083" s="32">
        <v>44999976008</v>
      </c>
      <c r="E2083" s="32">
        <v>20</v>
      </c>
      <c r="F2083" s="32">
        <v>9</v>
      </c>
      <c r="G2083" s="32" t="s">
        <v>38</v>
      </c>
      <c r="H2083" s="32" t="s">
        <v>7500</v>
      </c>
      <c r="I2083" s="32" t="s">
        <v>46</v>
      </c>
      <c r="J2083" s="32" t="s">
        <v>55</v>
      </c>
      <c r="M2083" s="32" t="s">
        <v>5456</v>
      </c>
      <c r="N2083" s="32" t="s">
        <v>57</v>
      </c>
    </row>
    <row r="2084" spans="1:14" s="32" customFormat="1" hidden="1" x14ac:dyDescent="0.3">
      <c r="A2084" s="39">
        <v>46175.406377314815</v>
      </c>
      <c r="B2084" s="32" t="s">
        <v>57</v>
      </c>
      <c r="C2084" s="32">
        <v>44999971415</v>
      </c>
      <c r="E2084" s="32">
        <v>14</v>
      </c>
      <c r="F2084" s="32">
        <v>2</v>
      </c>
      <c r="G2084" s="32" t="s">
        <v>38</v>
      </c>
      <c r="H2084" s="32" t="s">
        <v>7501</v>
      </c>
      <c r="I2084" s="32" t="s">
        <v>46</v>
      </c>
      <c r="J2084" s="32" t="s">
        <v>55</v>
      </c>
      <c r="M2084" s="32" t="s">
        <v>5456</v>
      </c>
      <c r="N2084" s="32" t="s">
        <v>57</v>
      </c>
    </row>
    <row r="2085" spans="1:14" s="32" customFormat="1" hidden="1" x14ac:dyDescent="0.3">
      <c r="A2085" s="39">
        <v>46175.404756944445</v>
      </c>
      <c r="B2085" s="32" t="s">
        <v>57</v>
      </c>
      <c r="C2085" s="32">
        <v>4432641415</v>
      </c>
      <c r="E2085" s="32">
        <v>45</v>
      </c>
      <c r="F2085" s="32">
        <v>7</v>
      </c>
      <c r="G2085" s="32" t="s">
        <v>38</v>
      </c>
      <c r="H2085" s="32" t="s">
        <v>7502</v>
      </c>
      <c r="I2085" s="32" t="s">
        <v>46</v>
      </c>
      <c r="J2085" s="32" t="s">
        <v>55</v>
      </c>
      <c r="M2085" s="32" t="s">
        <v>5456</v>
      </c>
      <c r="N2085" s="32" t="s">
        <v>57</v>
      </c>
    </row>
    <row r="2086" spans="1:14" s="32" customFormat="1" hidden="1" x14ac:dyDescent="0.3">
      <c r="A2086" s="39">
        <v>46175.404629629629</v>
      </c>
      <c r="B2086" s="32" t="s">
        <v>57</v>
      </c>
      <c r="C2086" s="32">
        <v>4432641415</v>
      </c>
      <c r="E2086" s="32">
        <v>6</v>
      </c>
      <c r="F2086" s="32">
        <v>6</v>
      </c>
      <c r="G2086" s="32" t="s">
        <v>38</v>
      </c>
      <c r="H2086" s="32" t="s">
        <v>7503</v>
      </c>
      <c r="I2086" s="32" t="s">
        <v>46</v>
      </c>
      <c r="J2086" s="32" t="s">
        <v>55</v>
      </c>
      <c r="M2086" s="32" t="s">
        <v>5456</v>
      </c>
      <c r="N2086" s="32" t="s">
        <v>57</v>
      </c>
    </row>
    <row r="2087" spans="1:14" s="32" customFormat="1" hidden="1" x14ac:dyDescent="0.3">
      <c r="A2087" s="39">
        <v>46175.39949074074</v>
      </c>
      <c r="B2087" s="32" t="s">
        <v>48</v>
      </c>
      <c r="C2087" s="32">
        <v>43991762957</v>
      </c>
      <c r="E2087" s="32">
        <v>58</v>
      </c>
      <c r="F2087" s="32">
        <v>28</v>
      </c>
      <c r="G2087" s="32" t="s">
        <v>38</v>
      </c>
      <c r="H2087" s="32" t="s">
        <v>7504</v>
      </c>
      <c r="I2087" s="32" t="s">
        <v>46</v>
      </c>
      <c r="J2087" s="32" t="s">
        <v>40</v>
      </c>
      <c r="M2087" s="32" t="s">
        <v>5412</v>
      </c>
      <c r="N2087" s="32" t="s">
        <v>48</v>
      </c>
    </row>
    <row r="2088" spans="1:14" s="32" customFormat="1" hidden="1" x14ac:dyDescent="0.3">
      <c r="A2088" s="39">
        <v>46175.398553240739</v>
      </c>
      <c r="B2088" s="32" t="s">
        <v>48</v>
      </c>
      <c r="C2088" s="32">
        <v>43991762957</v>
      </c>
      <c r="E2088" s="32">
        <v>55</v>
      </c>
      <c r="F2088" s="32">
        <v>31</v>
      </c>
      <c r="G2088" s="32" t="s">
        <v>38</v>
      </c>
      <c r="H2088" s="32" t="s">
        <v>7505</v>
      </c>
      <c r="I2088" s="32" t="s">
        <v>46</v>
      </c>
      <c r="J2088" s="32" t="s">
        <v>40</v>
      </c>
      <c r="M2088" s="32" t="s">
        <v>5412</v>
      </c>
      <c r="N2088" s="32" t="s">
        <v>48</v>
      </c>
    </row>
    <row r="2089" spans="1:14" s="32" customFormat="1" hidden="1" x14ac:dyDescent="0.3">
      <c r="A2089" s="39">
        <v>46175.391388888886</v>
      </c>
      <c r="B2089" s="32" t="s">
        <v>57</v>
      </c>
      <c r="C2089" s="32">
        <v>3133399800</v>
      </c>
      <c r="E2089" s="32">
        <v>290</v>
      </c>
      <c r="F2089" s="32">
        <v>289</v>
      </c>
      <c r="G2089" s="32" t="s">
        <v>38</v>
      </c>
      <c r="H2089" s="32" t="s">
        <v>7506</v>
      </c>
      <c r="I2089" s="32" t="s">
        <v>46</v>
      </c>
      <c r="J2089" s="32" t="s">
        <v>55</v>
      </c>
      <c r="M2089" s="32" t="s">
        <v>5456</v>
      </c>
      <c r="N2089" s="32" t="s">
        <v>57</v>
      </c>
    </row>
    <row r="2090" spans="1:14" s="32" customFormat="1" hidden="1" x14ac:dyDescent="0.3">
      <c r="A2090" s="39">
        <v>46175.390787037039</v>
      </c>
      <c r="B2090" s="32" t="s">
        <v>57</v>
      </c>
      <c r="C2090" s="32">
        <v>11945416462</v>
      </c>
      <c r="E2090" s="32">
        <v>21</v>
      </c>
      <c r="F2090" s="32">
        <v>17</v>
      </c>
      <c r="G2090" s="32" t="s">
        <v>38</v>
      </c>
      <c r="H2090" s="32" t="s">
        <v>7507</v>
      </c>
      <c r="I2090" s="32" t="s">
        <v>46</v>
      </c>
      <c r="J2090" s="32" t="s">
        <v>55</v>
      </c>
      <c r="M2090" s="32" t="s">
        <v>5456</v>
      </c>
      <c r="N2090" s="32" t="s">
        <v>57</v>
      </c>
    </row>
    <row r="2091" spans="1:14" s="32" customFormat="1" hidden="1" x14ac:dyDescent="0.3">
      <c r="A2091" s="39">
        <v>46175.390601851854</v>
      </c>
      <c r="B2091" s="32" t="s">
        <v>57</v>
      </c>
      <c r="C2091" s="32">
        <v>11945416462</v>
      </c>
      <c r="E2091" s="32">
        <v>8</v>
      </c>
      <c r="F2091" s="32">
        <v>3</v>
      </c>
      <c r="G2091" s="32" t="s">
        <v>38</v>
      </c>
      <c r="H2091" s="32" t="s">
        <v>7508</v>
      </c>
      <c r="I2091" s="32" t="s">
        <v>46</v>
      </c>
      <c r="J2091" s="32" t="s">
        <v>55</v>
      </c>
      <c r="M2091" s="32" t="s">
        <v>5456</v>
      </c>
      <c r="N2091" s="32" t="s">
        <v>57</v>
      </c>
    </row>
    <row r="2092" spans="1:14" s="32" customFormat="1" hidden="1" x14ac:dyDescent="0.3">
      <c r="A2092" s="39">
        <v>46175.390428240738</v>
      </c>
      <c r="B2092" s="32" t="s">
        <v>57</v>
      </c>
      <c r="C2092" s="32">
        <v>1145416462</v>
      </c>
      <c r="E2092" s="32">
        <v>6</v>
      </c>
      <c r="F2092" s="32">
        <v>0</v>
      </c>
      <c r="G2092" s="32" t="s">
        <v>47</v>
      </c>
      <c r="H2092" s="32" t="s">
        <v>7509</v>
      </c>
      <c r="I2092" s="32" t="s">
        <v>46</v>
      </c>
      <c r="J2092" s="32" t="s">
        <v>55</v>
      </c>
      <c r="M2092" s="32" t="s">
        <v>5456</v>
      </c>
      <c r="N2092" s="32" t="s">
        <v>57</v>
      </c>
    </row>
    <row r="2093" spans="1:14" s="32" customFormat="1" hidden="1" x14ac:dyDescent="0.3">
      <c r="A2093" s="39">
        <v>46175.389016203706</v>
      </c>
      <c r="B2093" s="32">
        <v>44999903759</v>
      </c>
      <c r="C2093" s="32" t="s">
        <v>43</v>
      </c>
      <c r="D2093" s="32">
        <v>4430265054</v>
      </c>
      <c r="E2093" s="32">
        <v>74</v>
      </c>
      <c r="F2093" s="32">
        <v>53</v>
      </c>
      <c r="G2093" s="32" t="s">
        <v>38</v>
      </c>
      <c r="H2093" s="32" t="s">
        <v>7510</v>
      </c>
      <c r="I2093" s="32" t="s">
        <v>39</v>
      </c>
      <c r="J2093" s="32" t="s">
        <v>40</v>
      </c>
      <c r="K2093" s="32" t="s">
        <v>41</v>
      </c>
      <c r="M2093" s="32" t="s">
        <v>5418</v>
      </c>
      <c r="N2093" s="32" t="s">
        <v>43</v>
      </c>
    </row>
    <row r="2094" spans="1:14" s="32" customFormat="1" hidden="1" x14ac:dyDescent="0.3">
      <c r="A2094" s="39">
        <v>46175.386956018519</v>
      </c>
      <c r="B2094" s="32">
        <v>44997270192</v>
      </c>
      <c r="C2094" s="32" t="s">
        <v>45</v>
      </c>
      <c r="D2094" s="32">
        <v>4430265054</v>
      </c>
      <c r="E2094" s="32">
        <v>1217</v>
      </c>
      <c r="F2094" s="32">
        <v>1171</v>
      </c>
      <c r="G2094" s="32" t="s">
        <v>38</v>
      </c>
      <c r="H2094" s="32" t="s">
        <v>7511</v>
      </c>
      <c r="I2094" s="32" t="s">
        <v>39</v>
      </c>
      <c r="J2094" s="32" t="s">
        <v>40</v>
      </c>
      <c r="K2094" s="32" t="s">
        <v>41</v>
      </c>
      <c r="M2094" s="32" t="s">
        <v>5421</v>
      </c>
      <c r="N2094" s="32" t="s">
        <v>45</v>
      </c>
    </row>
    <row r="2095" spans="1:14" s="32" customFormat="1" x14ac:dyDescent="0.3">
      <c r="A2095" s="39">
        <v>46175.385138888887</v>
      </c>
      <c r="B2095" s="32" t="s">
        <v>44</v>
      </c>
      <c r="C2095" s="32">
        <v>44988067937</v>
      </c>
      <c r="E2095" s="32">
        <v>147</v>
      </c>
      <c r="F2095" s="32">
        <v>132</v>
      </c>
      <c r="G2095" s="32" t="s">
        <v>38</v>
      </c>
      <c r="H2095" s="32" t="s">
        <v>7512</v>
      </c>
      <c r="I2095" s="32" t="s">
        <v>46</v>
      </c>
      <c r="J2095" s="32" t="s">
        <v>40</v>
      </c>
      <c r="M2095" s="32" t="s">
        <v>5416</v>
      </c>
      <c r="N2095" s="32" t="s">
        <v>44</v>
      </c>
    </row>
    <row r="2096" spans="1:14" s="32" customFormat="1" x14ac:dyDescent="0.3">
      <c r="A2096" s="39">
        <v>46175.385057870371</v>
      </c>
      <c r="B2096" s="32" t="s">
        <v>44</v>
      </c>
      <c r="C2096" s="32">
        <v>44988067937</v>
      </c>
      <c r="E2096" s="32">
        <v>4</v>
      </c>
      <c r="F2096" s="32">
        <v>0</v>
      </c>
      <c r="G2096" s="32" t="s">
        <v>47</v>
      </c>
      <c r="H2096" s="32" t="s">
        <v>7513</v>
      </c>
      <c r="I2096" s="32" t="s">
        <v>46</v>
      </c>
      <c r="J2096" s="32" t="s">
        <v>40</v>
      </c>
      <c r="M2096" s="32" t="s">
        <v>5416</v>
      </c>
      <c r="N2096" s="32" t="s">
        <v>44</v>
      </c>
    </row>
    <row r="2097" spans="1:14" s="32" customFormat="1" hidden="1" x14ac:dyDescent="0.3">
      <c r="A2097" s="39">
        <v>46175.382673611108</v>
      </c>
      <c r="B2097" s="32">
        <v>4430286521</v>
      </c>
      <c r="C2097" s="32" t="s">
        <v>45</v>
      </c>
      <c r="D2097" s="32">
        <v>4430265054</v>
      </c>
      <c r="E2097" s="32">
        <v>304</v>
      </c>
      <c r="F2097" s="32">
        <v>279</v>
      </c>
      <c r="G2097" s="32" t="s">
        <v>38</v>
      </c>
      <c r="H2097" s="32" t="s">
        <v>7514</v>
      </c>
      <c r="I2097" s="32" t="s">
        <v>39</v>
      </c>
      <c r="J2097" s="32" t="s">
        <v>40</v>
      </c>
      <c r="K2097" s="32" t="s">
        <v>41</v>
      </c>
      <c r="L2097" s="32">
        <v>5</v>
      </c>
      <c r="M2097" s="32" t="s">
        <v>5421</v>
      </c>
      <c r="N2097" s="32" t="s">
        <v>45</v>
      </c>
    </row>
    <row r="2098" spans="1:14" s="32" customFormat="1" hidden="1" x14ac:dyDescent="0.3">
      <c r="A2098" s="39">
        <v>46175.381840277776</v>
      </c>
      <c r="B2098" s="32">
        <v>4430286521</v>
      </c>
      <c r="C2098" s="32">
        <v>4430265054</v>
      </c>
      <c r="D2098" s="32">
        <v>4430265054</v>
      </c>
      <c r="E2098" s="32">
        <v>19</v>
      </c>
      <c r="F2098" s="32">
        <v>2</v>
      </c>
      <c r="G2098" s="32" t="s">
        <v>52</v>
      </c>
      <c r="H2098" s="32" t="s">
        <v>7515</v>
      </c>
      <c r="I2098" s="32" t="s">
        <v>39</v>
      </c>
      <c r="J2098" s="32" t="s">
        <v>53</v>
      </c>
    </row>
    <row r="2099" spans="1:14" s="32" customFormat="1" hidden="1" x14ac:dyDescent="0.3">
      <c r="A2099" s="39">
        <v>46175.376643518517</v>
      </c>
      <c r="B2099" s="32">
        <v>4432677399</v>
      </c>
      <c r="C2099" s="32" t="s">
        <v>43</v>
      </c>
      <c r="D2099" s="32">
        <v>4430265054</v>
      </c>
      <c r="E2099" s="32">
        <v>513</v>
      </c>
      <c r="F2099" s="32">
        <v>481</v>
      </c>
      <c r="G2099" s="32" t="s">
        <v>38</v>
      </c>
      <c r="H2099" s="32" t="s">
        <v>7516</v>
      </c>
      <c r="I2099" s="32" t="s">
        <v>39</v>
      </c>
      <c r="J2099" s="32" t="s">
        <v>40</v>
      </c>
      <c r="K2099" s="32" t="s">
        <v>41</v>
      </c>
      <c r="M2099" s="32" t="s">
        <v>5418</v>
      </c>
      <c r="N2099" s="32" t="s">
        <v>43</v>
      </c>
    </row>
    <row r="2100" spans="1:14" s="32" customFormat="1" hidden="1" x14ac:dyDescent="0.3">
      <c r="A2100" s="39">
        <v>46175.374224537038</v>
      </c>
      <c r="B2100" s="32">
        <v>44988067937</v>
      </c>
      <c r="C2100" s="32" t="s">
        <v>44</v>
      </c>
      <c r="D2100" s="32">
        <v>4430265054</v>
      </c>
      <c r="E2100" s="32">
        <v>421</v>
      </c>
      <c r="F2100" s="32">
        <v>259</v>
      </c>
      <c r="G2100" s="32" t="s">
        <v>38</v>
      </c>
      <c r="H2100" s="32" t="s">
        <v>7517</v>
      </c>
      <c r="I2100" s="32" t="s">
        <v>39</v>
      </c>
      <c r="J2100" s="32" t="s">
        <v>40</v>
      </c>
      <c r="K2100" s="32" t="s">
        <v>41</v>
      </c>
      <c r="M2100" s="32" t="s">
        <v>5416</v>
      </c>
      <c r="N2100" s="32" t="s">
        <v>44</v>
      </c>
    </row>
    <row r="2101" spans="1:14" s="32" customFormat="1" hidden="1" x14ac:dyDescent="0.3">
      <c r="A2101" s="39">
        <v>46175.373090277775</v>
      </c>
      <c r="B2101" s="32">
        <v>44997270192</v>
      </c>
      <c r="C2101" s="32" t="s">
        <v>45</v>
      </c>
      <c r="D2101" s="32">
        <v>4430265054</v>
      </c>
      <c r="E2101" s="32">
        <v>414</v>
      </c>
      <c r="F2101" s="32">
        <v>366</v>
      </c>
      <c r="G2101" s="32" t="s">
        <v>38</v>
      </c>
      <c r="H2101" s="32" t="s">
        <v>7518</v>
      </c>
      <c r="I2101" s="32" t="s">
        <v>39</v>
      </c>
      <c r="J2101" s="32" t="s">
        <v>40</v>
      </c>
      <c r="K2101" s="32" t="s">
        <v>41</v>
      </c>
      <c r="M2101" s="32" t="s">
        <v>5421</v>
      </c>
      <c r="N2101" s="32" t="s">
        <v>45</v>
      </c>
    </row>
    <row r="2102" spans="1:14" s="32" customFormat="1" hidden="1" x14ac:dyDescent="0.3">
      <c r="A2102" s="39">
        <v>46175.364270833335</v>
      </c>
      <c r="B2102" s="32">
        <v>44998620323</v>
      </c>
      <c r="C2102" s="32" t="s">
        <v>45</v>
      </c>
      <c r="D2102" s="32">
        <v>4430265054</v>
      </c>
      <c r="E2102" s="32">
        <v>487</v>
      </c>
      <c r="F2102" s="32">
        <v>465</v>
      </c>
      <c r="G2102" s="32" t="s">
        <v>38</v>
      </c>
      <c r="H2102" s="32" t="s">
        <v>7519</v>
      </c>
      <c r="I2102" s="32" t="s">
        <v>39</v>
      </c>
      <c r="J2102" s="32" t="s">
        <v>40</v>
      </c>
      <c r="K2102" s="32" t="s">
        <v>41</v>
      </c>
      <c r="M2102" s="32" t="s">
        <v>5421</v>
      </c>
      <c r="N2102" s="32" t="s">
        <v>45</v>
      </c>
    </row>
    <row r="2103" spans="1:14" s="32" customFormat="1" hidden="1" x14ac:dyDescent="0.3">
      <c r="A2103" s="39">
        <v>46175.363252314812</v>
      </c>
      <c r="B2103" s="32">
        <v>44999917849</v>
      </c>
      <c r="C2103" s="32" t="s">
        <v>44</v>
      </c>
      <c r="D2103" s="32">
        <v>4430265054</v>
      </c>
      <c r="E2103" s="32">
        <v>130</v>
      </c>
      <c r="F2103" s="32">
        <v>108</v>
      </c>
      <c r="G2103" s="32" t="s">
        <v>38</v>
      </c>
      <c r="H2103" s="32" t="s">
        <v>7520</v>
      </c>
      <c r="I2103" s="32" t="s">
        <v>39</v>
      </c>
      <c r="J2103" s="32" t="s">
        <v>40</v>
      </c>
      <c r="K2103" s="32" t="s">
        <v>41</v>
      </c>
      <c r="L2103" s="32">
        <v>5</v>
      </c>
      <c r="M2103" s="32" t="s">
        <v>5416</v>
      </c>
      <c r="N2103" s="32" t="s">
        <v>44</v>
      </c>
    </row>
    <row r="2104" spans="1:14" s="32" customFormat="1" hidden="1" x14ac:dyDescent="0.3">
      <c r="A2104" s="39">
        <v>46175.360810185186</v>
      </c>
      <c r="B2104" s="32">
        <v>44998581219</v>
      </c>
      <c r="C2104" s="32" t="s">
        <v>45</v>
      </c>
      <c r="D2104" s="32">
        <v>4430265054</v>
      </c>
      <c r="E2104" s="32">
        <v>124</v>
      </c>
      <c r="F2104" s="32">
        <v>75</v>
      </c>
      <c r="G2104" s="32" t="s">
        <v>38</v>
      </c>
      <c r="H2104" s="32" t="s">
        <v>7521</v>
      </c>
      <c r="I2104" s="32" t="s">
        <v>39</v>
      </c>
      <c r="J2104" s="32" t="s">
        <v>40</v>
      </c>
      <c r="K2104" s="32" t="s">
        <v>41</v>
      </c>
      <c r="M2104" s="32" t="s">
        <v>5421</v>
      </c>
      <c r="N2104" s="32" t="s">
        <v>45</v>
      </c>
    </row>
    <row r="2105" spans="1:14" s="32" customFormat="1" hidden="1" x14ac:dyDescent="0.3">
      <c r="A2105" s="39">
        <v>46175.359027777777</v>
      </c>
      <c r="B2105" s="32">
        <v>4532541802</v>
      </c>
      <c r="C2105" s="32" t="s">
        <v>44</v>
      </c>
      <c r="D2105" s="32">
        <v>4430265054</v>
      </c>
      <c r="E2105" s="32">
        <v>125</v>
      </c>
      <c r="F2105" s="32">
        <v>107</v>
      </c>
      <c r="G2105" s="32" t="s">
        <v>38</v>
      </c>
      <c r="H2105" s="32" t="s">
        <v>7522</v>
      </c>
      <c r="I2105" s="32" t="s">
        <v>39</v>
      </c>
      <c r="J2105" s="32" t="s">
        <v>40</v>
      </c>
      <c r="K2105" s="32" t="s">
        <v>41</v>
      </c>
      <c r="M2105" s="32" t="s">
        <v>5416</v>
      </c>
      <c r="N2105" s="32" t="s">
        <v>44</v>
      </c>
    </row>
    <row r="2106" spans="1:14" s="32" customFormat="1" hidden="1" x14ac:dyDescent="0.3">
      <c r="A2106" s="39">
        <v>46175.357743055552</v>
      </c>
      <c r="B2106" s="32">
        <v>4334728840</v>
      </c>
      <c r="C2106" s="32" t="s">
        <v>37</v>
      </c>
      <c r="D2106" s="32">
        <v>4430265054</v>
      </c>
      <c r="E2106" s="32">
        <v>838</v>
      </c>
      <c r="F2106" s="32">
        <v>761</v>
      </c>
      <c r="G2106" s="32" t="s">
        <v>38</v>
      </c>
      <c r="H2106" s="32" t="s">
        <v>7523</v>
      </c>
      <c r="I2106" s="32" t="s">
        <v>39</v>
      </c>
      <c r="J2106" s="32" t="s">
        <v>40</v>
      </c>
      <c r="K2106" s="32" t="s">
        <v>41</v>
      </c>
      <c r="L2106" s="32">
        <v>5</v>
      </c>
      <c r="M2106" s="32" t="s">
        <v>5410</v>
      </c>
      <c r="N2106" s="32" t="s">
        <v>37</v>
      </c>
    </row>
    <row r="2107" spans="1:14" s="32" customFormat="1" hidden="1" x14ac:dyDescent="0.3">
      <c r="A2107" s="39">
        <v>46175.346180555556</v>
      </c>
      <c r="B2107" s="32">
        <v>4532541802</v>
      </c>
      <c r="C2107" s="32">
        <v>4430265054</v>
      </c>
      <c r="D2107" s="32">
        <v>4430265054</v>
      </c>
      <c r="E2107" s="32">
        <v>12</v>
      </c>
      <c r="F2107" s="32">
        <v>11</v>
      </c>
      <c r="G2107" s="32" t="s">
        <v>52</v>
      </c>
      <c r="H2107" s="32" t="s">
        <v>7524</v>
      </c>
      <c r="I2107" s="32" t="s">
        <v>39</v>
      </c>
      <c r="J2107" s="32" t="s">
        <v>53</v>
      </c>
    </row>
    <row r="2108" spans="1:14" s="32" customFormat="1" hidden="1" x14ac:dyDescent="0.3">
      <c r="A2108" s="39">
        <v>46175.338495370372</v>
      </c>
      <c r="B2108" s="32" t="s">
        <v>37</v>
      </c>
      <c r="C2108" s="32">
        <v>4430141533</v>
      </c>
      <c r="E2108" s="32">
        <v>232</v>
      </c>
      <c r="F2108" s="32">
        <v>208</v>
      </c>
      <c r="G2108" s="32" t="s">
        <v>38</v>
      </c>
      <c r="H2108" s="32" t="s">
        <v>7525</v>
      </c>
      <c r="I2108" s="32" t="s">
        <v>46</v>
      </c>
      <c r="J2108" s="32" t="s">
        <v>40</v>
      </c>
      <c r="M2108" s="32" t="s">
        <v>5410</v>
      </c>
      <c r="N2108" s="32" t="s">
        <v>37</v>
      </c>
    </row>
    <row r="2109" spans="1:14" s="32" customFormat="1" hidden="1" x14ac:dyDescent="0.3">
      <c r="A2109" s="39">
        <v>46175.337511574071</v>
      </c>
      <c r="B2109" s="32">
        <v>4430468252</v>
      </c>
      <c r="C2109" s="32">
        <v>4430265054</v>
      </c>
      <c r="D2109" s="32">
        <v>4430265054</v>
      </c>
      <c r="E2109" s="32">
        <v>4</v>
      </c>
      <c r="F2109" s="32">
        <v>3</v>
      </c>
      <c r="G2109" s="32" t="s">
        <v>52</v>
      </c>
      <c r="H2109" s="32" t="s">
        <v>7526</v>
      </c>
      <c r="I2109" s="32" t="s">
        <v>39</v>
      </c>
      <c r="J2109" s="32" t="s">
        <v>53</v>
      </c>
    </row>
    <row r="2110" spans="1:14" s="32" customFormat="1" hidden="1" x14ac:dyDescent="0.3">
      <c r="A2110" s="39">
        <v>46174.740057870367</v>
      </c>
      <c r="B2110" s="32">
        <v>4430468268</v>
      </c>
      <c r="C2110" s="32" t="s">
        <v>44</v>
      </c>
      <c r="D2110" s="32">
        <v>4430265054</v>
      </c>
      <c r="E2110" s="32">
        <v>414</v>
      </c>
      <c r="F2110" s="32">
        <v>130</v>
      </c>
      <c r="G2110" s="32" t="s">
        <v>38</v>
      </c>
      <c r="H2110" s="32" t="s">
        <v>7527</v>
      </c>
      <c r="I2110" s="32" t="s">
        <v>39</v>
      </c>
      <c r="J2110" s="32" t="s">
        <v>40</v>
      </c>
      <c r="K2110" s="32" t="s">
        <v>41</v>
      </c>
      <c r="L2110" s="32">
        <v>5</v>
      </c>
      <c r="M2110" s="32" t="s">
        <v>5416</v>
      </c>
      <c r="N2110" s="32" t="s">
        <v>44</v>
      </c>
    </row>
    <row r="2111" spans="1:14" s="32" customFormat="1" hidden="1" x14ac:dyDescent="0.3">
      <c r="A2111" s="39">
        <v>46174.712488425925</v>
      </c>
      <c r="B2111" s="32">
        <v>35998295948</v>
      </c>
      <c r="C2111" s="32" t="s">
        <v>37</v>
      </c>
      <c r="D2111" s="32">
        <v>4430265054</v>
      </c>
      <c r="E2111" s="32">
        <v>589</v>
      </c>
      <c r="F2111" s="32">
        <v>422</v>
      </c>
      <c r="G2111" s="32" t="s">
        <v>38</v>
      </c>
      <c r="H2111" s="32" t="s">
        <v>7528</v>
      </c>
      <c r="I2111" s="32" t="s">
        <v>39</v>
      </c>
      <c r="J2111" s="32" t="s">
        <v>40</v>
      </c>
      <c r="K2111" s="32" t="s">
        <v>41</v>
      </c>
      <c r="M2111" s="32" t="s">
        <v>5410</v>
      </c>
      <c r="N2111" s="32" t="s">
        <v>37</v>
      </c>
    </row>
    <row r="2112" spans="1:14" s="32" customFormat="1" hidden="1" x14ac:dyDescent="0.3">
      <c r="A2112" s="39">
        <v>46174.710543981484</v>
      </c>
      <c r="B2112" s="32">
        <v>4532541802</v>
      </c>
      <c r="C2112" s="32" t="s">
        <v>43</v>
      </c>
      <c r="D2112" s="32">
        <v>4430265054</v>
      </c>
      <c r="E2112" s="32">
        <v>182</v>
      </c>
      <c r="F2112" s="32">
        <v>162</v>
      </c>
      <c r="G2112" s="32" t="s">
        <v>38</v>
      </c>
      <c r="H2112" s="32" t="s">
        <v>7529</v>
      </c>
      <c r="I2112" s="32" t="s">
        <v>39</v>
      </c>
      <c r="J2112" s="32" t="s">
        <v>40</v>
      </c>
      <c r="K2112" s="32" t="s">
        <v>41</v>
      </c>
      <c r="M2112" s="32" t="s">
        <v>5418</v>
      </c>
      <c r="N2112" s="32" t="s">
        <v>43</v>
      </c>
    </row>
    <row r="2113" spans="1:14" s="32" customFormat="1" hidden="1" x14ac:dyDescent="0.3">
      <c r="A2113" s="39">
        <v>46174.708414351851</v>
      </c>
      <c r="B2113" s="32">
        <v>44999869092</v>
      </c>
      <c r="C2113" s="32" t="s">
        <v>44</v>
      </c>
      <c r="D2113" s="32">
        <v>4430265054</v>
      </c>
      <c r="E2113" s="32">
        <v>316</v>
      </c>
      <c r="F2113" s="32">
        <v>277</v>
      </c>
      <c r="G2113" s="32" t="s">
        <v>38</v>
      </c>
      <c r="H2113" s="32" t="s">
        <v>7530</v>
      </c>
      <c r="I2113" s="32" t="s">
        <v>39</v>
      </c>
      <c r="J2113" s="32" t="s">
        <v>40</v>
      </c>
      <c r="K2113" s="32" t="s">
        <v>41</v>
      </c>
      <c r="L2113" s="32">
        <v>5</v>
      </c>
      <c r="M2113" s="32" t="s">
        <v>5416</v>
      </c>
      <c r="N2113" s="32" t="s">
        <v>44</v>
      </c>
    </row>
    <row r="2114" spans="1:14" s="32" customFormat="1" hidden="1" x14ac:dyDescent="0.3">
      <c r="A2114" s="39">
        <v>46174.704861111109</v>
      </c>
      <c r="B2114" s="32">
        <v>35998295948</v>
      </c>
      <c r="C2114" s="32" t="s">
        <v>43</v>
      </c>
      <c r="D2114" s="32">
        <v>4430265054</v>
      </c>
      <c r="E2114" s="32">
        <v>117</v>
      </c>
      <c r="F2114" s="32">
        <v>74</v>
      </c>
      <c r="G2114" s="32" t="s">
        <v>38</v>
      </c>
      <c r="H2114" s="32" t="s">
        <v>7531</v>
      </c>
      <c r="I2114" s="32" t="s">
        <v>39</v>
      </c>
      <c r="J2114" s="32" t="s">
        <v>40</v>
      </c>
      <c r="K2114" s="32" t="s">
        <v>41</v>
      </c>
      <c r="M2114" s="32" t="s">
        <v>5418</v>
      </c>
      <c r="N2114" s="32" t="s">
        <v>43</v>
      </c>
    </row>
    <row r="2115" spans="1:14" s="32" customFormat="1" hidden="1" x14ac:dyDescent="0.3">
      <c r="A2115" s="39">
        <v>46174.702187499999</v>
      </c>
      <c r="B2115" s="32" t="s">
        <v>54</v>
      </c>
      <c r="C2115" s="32">
        <v>88992466278</v>
      </c>
      <c r="E2115" s="32">
        <v>17</v>
      </c>
      <c r="F2115" s="32">
        <v>12</v>
      </c>
      <c r="G2115" s="32" t="s">
        <v>38</v>
      </c>
      <c r="H2115" s="32" t="s">
        <v>7532</v>
      </c>
      <c r="I2115" s="32" t="s">
        <v>46</v>
      </c>
      <c r="J2115" s="32" t="s">
        <v>55</v>
      </c>
      <c r="M2115" s="32" t="s">
        <v>5537</v>
      </c>
      <c r="N2115" s="32" t="s">
        <v>54</v>
      </c>
    </row>
    <row r="2116" spans="1:14" s="32" customFormat="1" hidden="1" x14ac:dyDescent="0.3">
      <c r="A2116" s="39">
        <v>46174.699618055558</v>
      </c>
      <c r="B2116" s="32" t="s">
        <v>43</v>
      </c>
      <c r="C2116" s="32">
        <v>62981535978</v>
      </c>
      <c r="E2116" s="32">
        <v>10</v>
      </c>
      <c r="F2116" s="32">
        <v>0</v>
      </c>
      <c r="G2116" s="32" t="s">
        <v>47</v>
      </c>
      <c r="H2116" s="32" t="s">
        <v>7533</v>
      </c>
      <c r="I2116" s="32" t="s">
        <v>46</v>
      </c>
      <c r="J2116" s="32" t="s">
        <v>40</v>
      </c>
      <c r="M2116" s="32" t="s">
        <v>5418</v>
      </c>
      <c r="N2116" s="32" t="s">
        <v>43</v>
      </c>
    </row>
    <row r="2117" spans="1:14" s="32" customFormat="1" hidden="1" x14ac:dyDescent="0.3">
      <c r="A2117" s="39">
        <v>46174.698981481481</v>
      </c>
      <c r="B2117" s="32" t="s">
        <v>54</v>
      </c>
      <c r="C2117" s="32">
        <v>1145255636</v>
      </c>
      <c r="E2117" s="32">
        <v>7</v>
      </c>
      <c r="F2117" s="32">
        <v>0</v>
      </c>
      <c r="G2117" s="32" t="s">
        <v>47</v>
      </c>
      <c r="H2117" s="32" t="s">
        <v>7534</v>
      </c>
      <c r="I2117" s="32" t="s">
        <v>46</v>
      </c>
      <c r="J2117" s="32" t="s">
        <v>55</v>
      </c>
      <c r="M2117" s="32" t="s">
        <v>5537</v>
      </c>
      <c r="N2117" s="32" t="s">
        <v>54</v>
      </c>
    </row>
    <row r="2118" spans="1:14" s="32" customFormat="1" hidden="1" x14ac:dyDescent="0.3">
      <c r="A2118" s="39">
        <v>46174.685289351852</v>
      </c>
      <c r="B2118" s="32">
        <v>6234347959</v>
      </c>
      <c r="C2118" s="32" t="s">
        <v>37</v>
      </c>
      <c r="D2118" s="32">
        <v>4430265054</v>
      </c>
      <c r="E2118" s="32">
        <v>2299</v>
      </c>
      <c r="F2118" s="32">
        <v>2218</v>
      </c>
      <c r="G2118" s="32" t="s">
        <v>38</v>
      </c>
      <c r="H2118" s="32" t="s">
        <v>7535</v>
      </c>
      <c r="I2118" s="32" t="s">
        <v>39</v>
      </c>
      <c r="J2118" s="32" t="s">
        <v>40</v>
      </c>
      <c r="K2118" s="32" t="s">
        <v>41</v>
      </c>
      <c r="M2118" s="32" t="s">
        <v>5410</v>
      </c>
      <c r="N2118" s="32" t="s">
        <v>37</v>
      </c>
    </row>
    <row r="2119" spans="1:14" s="32" customFormat="1" hidden="1" x14ac:dyDescent="0.3">
      <c r="A2119" s="39">
        <v>46174.675462962965</v>
      </c>
      <c r="B2119" s="32">
        <v>4130263118</v>
      </c>
      <c r="C2119" s="32" t="s">
        <v>44</v>
      </c>
      <c r="D2119" s="32">
        <v>4430265054</v>
      </c>
      <c r="E2119" s="32">
        <v>590</v>
      </c>
      <c r="F2119" s="32">
        <v>507</v>
      </c>
      <c r="G2119" s="32" t="s">
        <v>38</v>
      </c>
      <c r="H2119" s="32" t="s">
        <v>7536</v>
      </c>
      <c r="I2119" s="32" t="s">
        <v>39</v>
      </c>
      <c r="J2119" s="32" t="s">
        <v>40</v>
      </c>
      <c r="K2119" s="32" t="s">
        <v>41</v>
      </c>
      <c r="M2119" s="32" t="s">
        <v>5416</v>
      </c>
      <c r="N2119" s="32" t="s">
        <v>44</v>
      </c>
    </row>
    <row r="2120" spans="1:14" s="32" customFormat="1" hidden="1" x14ac:dyDescent="0.3">
      <c r="A2120" s="39">
        <v>46174.674456018518</v>
      </c>
      <c r="B2120" s="32">
        <v>4431337559</v>
      </c>
      <c r="C2120" s="32" t="s">
        <v>48</v>
      </c>
      <c r="D2120" s="32">
        <v>4430265054</v>
      </c>
      <c r="E2120" s="32">
        <v>270</v>
      </c>
      <c r="F2120" s="32">
        <v>269</v>
      </c>
      <c r="G2120" s="32" t="s">
        <v>38</v>
      </c>
      <c r="H2120" s="32" t="s">
        <v>7537</v>
      </c>
      <c r="I2120" s="32" t="s">
        <v>39</v>
      </c>
      <c r="J2120" s="32" t="s">
        <v>40</v>
      </c>
      <c r="K2120" s="32" t="s">
        <v>41</v>
      </c>
      <c r="M2120" s="32" t="s">
        <v>5412</v>
      </c>
      <c r="N2120" s="32" t="s">
        <v>48</v>
      </c>
    </row>
    <row r="2121" spans="1:14" s="32" customFormat="1" hidden="1" x14ac:dyDescent="0.3">
      <c r="A2121" s="39">
        <v>46174.673726851855</v>
      </c>
      <c r="B2121" s="32">
        <v>4330333542</v>
      </c>
      <c r="C2121" s="32" t="s">
        <v>44</v>
      </c>
      <c r="D2121" s="32">
        <v>4430265054</v>
      </c>
      <c r="E2121" s="32">
        <v>77</v>
      </c>
      <c r="F2121" s="32">
        <v>54</v>
      </c>
      <c r="G2121" s="32" t="s">
        <v>38</v>
      </c>
      <c r="H2121" s="32" t="s">
        <v>7538</v>
      </c>
      <c r="I2121" s="32" t="s">
        <v>39</v>
      </c>
      <c r="J2121" s="32" t="s">
        <v>40</v>
      </c>
      <c r="K2121" s="32" t="s">
        <v>41</v>
      </c>
      <c r="M2121" s="32" t="s">
        <v>5416</v>
      </c>
      <c r="N2121" s="32" t="s">
        <v>44</v>
      </c>
    </row>
    <row r="2122" spans="1:14" s="32" customFormat="1" hidden="1" x14ac:dyDescent="0.3">
      <c r="A2122" s="39">
        <v>46174.671643518515</v>
      </c>
      <c r="B2122" s="32">
        <v>4432525112</v>
      </c>
      <c r="C2122" s="32" t="s">
        <v>37</v>
      </c>
      <c r="D2122" s="32">
        <v>4430265054</v>
      </c>
      <c r="E2122" s="32">
        <v>385</v>
      </c>
      <c r="F2122" s="32">
        <v>310</v>
      </c>
      <c r="G2122" s="32" t="s">
        <v>38</v>
      </c>
      <c r="H2122" s="32" t="s">
        <v>7539</v>
      </c>
      <c r="I2122" s="32" t="s">
        <v>39</v>
      </c>
      <c r="J2122" s="32" t="s">
        <v>40</v>
      </c>
      <c r="K2122" s="32" t="s">
        <v>41</v>
      </c>
      <c r="L2122" s="32">
        <v>5</v>
      </c>
      <c r="M2122" s="32" t="s">
        <v>5410</v>
      </c>
      <c r="N2122" s="32" t="s">
        <v>37</v>
      </c>
    </row>
    <row r="2123" spans="1:14" s="32" customFormat="1" hidden="1" x14ac:dyDescent="0.3">
      <c r="A2123" s="39">
        <v>46174.67114583333</v>
      </c>
      <c r="B2123" s="32">
        <v>43999317663</v>
      </c>
      <c r="C2123" s="32" t="s">
        <v>44</v>
      </c>
      <c r="D2123" s="32">
        <v>4430265054</v>
      </c>
      <c r="E2123" s="32">
        <v>172</v>
      </c>
      <c r="F2123" s="32">
        <v>88</v>
      </c>
      <c r="G2123" s="32" t="s">
        <v>38</v>
      </c>
      <c r="H2123" s="32" t="s">
        <v>7540</v>
      </c>
      <c r="I2123" s="32" t="s">
        <v>39</v>
      </c>
      <c r="J2123" s="32" t="s">
        <v>40</v>
      </c>
      <c r="K2123" s="32" t="s">
        <v>41</v>
      </c>
      <c r="M2123" s="32" t="s">
        <v>5416</v>
      </c>
      <c r="N2123" s="32" t="s">
        <v>44</v>
      </c>
    </row>
    <row r="2124" spans="1:14" s="32" customFormat="1" hidden="1" x14ac:dyDescent="0.3">
      <c r="A2124" s="39">
        <v>46174.670347222222</v>
      </c>
      <c r="B2124" s="32">
        <v>4432525112</v>
      </c>
      <c r="C2124" s="32">
        <v>4430265054</v>
      </c>
      <c r="D2124" s="32">
        <v>4430265054</v>
      </c>
      <c r="E2124" s="32">
        <v>2</v>
      </c>
      <c r="F2124" s="32">
        <v>1</v>
      </c>
      <c r="G2124" s="32" t="s">
        <v>52</v>
      </c>
      <c r="H2124" s="32" t="s">
        <v>7541</v>
      </c>
      <c r="I2124" s="32" t="s">
        <v>39</v>
      </c>
      <c r="J2124" s="32" t="s">
        <v>53</v>
      </c>
    </row>
    <row r="2125" spans="1:14" s="32" customFormat="1" hidden="1" x14ac:dyDescent="0.3">
      <c r="A2125" s="39">
        <v>46174.653310185182</v>
      </c>
      <c r="B2125" s="32">
        <v>62981535978</v>
      </c>
      <c r="C2125" s="32" t="s">
        <v>43</v>
      </c>
      <c r="D2125" s="32">
        <v>4430265054</v>
      </c>
      <c r="E2125" s="32">
        <v>1088</v>
      </c>
      <c r="F2125" s="32">
        <v>1005</v>
      </c>
      <c r="G2125" s="32" t="s">
        <v>38</v>
      </c>
      <c r="H2125" s="32" t="s">
        <v>7542</v>
      </c>
      <c r="I2125" s="32" t="s">
        <v>39</v>
      </c>
      <c r="J2125" s="32" t="s">
        <v>40</v>
      </c>
      <c r="K2125" s="32" t="s">
        <v>41</v>
      </c>
      <c r="M2125" s="32" t="s">
        <v>5418</v>
      </c>
      <c r="N2125" s="32" t="s">
        <v>43</v>
      </c>
    </row>
    <row r="2126" spans="1:14" s="32" customFormat="1" hidden="1" x14ac:dyDescent="0.3">
      <c r="A2126" s="39">
        <v>46174.638541666667</v>
      </c>
      <c r="B2126" s="32">
        <v>2121123730</v>
      </c>
      <c r="C2126" s="32" t="s">
        <v>48</v>
      </c>
      <c r="D2126" s="32">
        <v>4531273163</v>
      </c>
      <c r="E2126" s="32">
        <v>46</v>
      </c>
      <c r="F2126" s="32">
        <v>8</v>
      </c>
      <c r="G2126" s="32" t="s">
        <v>38</v>
      </c>
      <c r="H2126" s="32" t="s">
        <v>7543</v>
      </c>
      <c r="I2126" s="32" t="s">
        <v>39</v>
      </c>
      <c r="J2126" s="32" t="s">
        <v>40</v>
      </c>
      <c r="K2126" s="32" t="s">
        <v>41</v>
      </c>
      <c r="M2126" s="32" t="s">
        <v>5412</v>
      </c>
      <c r="N2126" s="32" t="s">
        <v>48</v>
      </c>
    </row>
    <row r="2127" spans="1:14" s="32" customFormat="1" hidden="1" x14ac:dyDescent="0.3">
      <c r="A2127" s="39">
        <v>46174.638287037036</v>
      </c>
      <c r="B2127" s="32">
        <v>44997134514</v>
      </c>
      <c r="C2127" s="32" t="s">
        <v>37</v>
      </c>
      <c r="D2127" s="32">
        <v>4430265054</v>
      </c>
      <c r="E2127" s="32">
        <v>197</v>
      </c>
      <c r="F2127" s="32">
        <v>144</v>
      </c>
      <c r="G2127" s="32" t="s">
        <v>38</v>
      </c>
      <c r="H2127" s="32" t="s">
        <v>7544</v>
      </c>
      <c r="I2127" s="32" t="s">
        <v>39</v>
      </c>
      <c r="J2127" s="32" t="s">
        <v>40</v>
      </c>
      <c r="K2127" s="32" t="s">
        <v>41</v>
      </c>
      <c r="M2127" s="32" t="s">
        <v>5410</v>
      </c>
      <c r="N2127" s="32" t="s">
        <v>37</v>
      </c>
    </row>
    <row r="2128" spans="1:14" s="32" customFormat="1" hidden="1" x14ac:dyDescent="0.3">
      <c r="A2128" s="39">
        <v>46174.634039351855</v>
      </c>
      <c r="B2128" s="32">
        <v>4121413772</v>
      </c>
      <c r="C2128" s="32">
        <v>4531273162</v>
      </c>
      <c r="D2128" s="32">
        <v>4531273162</v>
      </c>
      <c r="E2128" s="32">
        <v>46</v>
      </c>
      <c r="F2128" s="32">
        <v>46</v>
      </c>
      <c r="G2128" s="32" t="s">
        <v>52</v>
      </c>
      <c r="H2128" s="32" t="s">
        <v>7545</v>
      </c>
      <c r="I2128" s="32" t="s">
        <v>39</v>
      </c>
      <c r="J2128" s="32" t="s">
        <v>53</v>
      </c>
      <c r="K2128" s="32" t="s">
        <v>41</v>
      </c>
    </row>
    <row r="2129" spans="1:14" s="32" customFormat="1" hidden="1" x14ac:dyDescent="0.3">
      <c r="A2129" s="39">
        <v>46174.629988425928</v>
      </c>
      <c r="B2129" s="32">
        <v>4121413772</v>
      </c>
      <c r="C2129" s="32" t="s">
        <v>45</v>
      </c>
      <c r="D2129" s="32">
        <v>4531273173</v>
      </c>
      <c r="E2129" s="32">
        <v>46</v>
      </c>
      <c r="F2129" s="32">
        <v>10</v>
      </c>
      <c r="G2129" s="32" t="s">
        <v>38</v>
      </c>
      <c r="H2129" s="32" t="s">
        <v>7546</v>
      </c>
      <c r="I2129" s="32" t="s">
        <v>39</v>
      </c>
      <c r="J2129" s="32" t="s">
        <v>40</v>
      </c>
      <c r="K2129" s="32" t="s">
        <v>41</v>
      </c>
      <c r="M2129" s="32" t="s">
        <v>5421</v>
      </c>
      <c r="N2129" s="32" t="s">
        <v>45</v>
      </c>
    </row>
    <row r="2130" spans="1:14" s="32" customFormat="1" hidden="1" x14ac:dyDescent="0.3">
      <c r="A2130" s="39">
        <v>46174.627638888887</v>
      </c>
      <c r="B2130" s="32">
        <v>44991116911</v>
      </c>
      <c r="C2130" s="32" t="s">
        <v>45</v>
      </c>
      <c r="D2130" s="32">
        <v>4430265054</v>
      </c>
      <c r="E2130" s="32">
        <v>220</v>
      </c>
      <c r="F2130" s="32">
        <v>203</v>
      </c>
      <c r="G2130" s="32" t="s">
        <v>38</v>
      </c>
      <c r="H2130" s="32" t="s">
        <v>7547</v>
      </c>
      <c r="I2130" s="32" t="s">
        <v>39</v>
      </c>
      <c r="J2130" s="32" t="s">
        <v>40</v>
      </c>
      <c r="K2130" s="32" t="s">
        <v>41</v>
      </c>
      <c r="L2130" s="32">
        <v>5</v>
      </c>
      <c r="M2130" s="32" t="s">
        <v>5421</v>
      </c>
      <c r="N2130" s="32" t="s">
        <v>45</v>
      </c>
    </row>
    <row r="2131" spans="1:14" s="32" customFormat="1" hidden="1" x14ac:dyDescent="0.3">
      <c r="A2131" s="39">
        <v>46174.626574074071</v>
      </c>
      <c r="B2131" s="32">
        <v>44997134514</v>
      </c>
      <c r="C2131" s="32" t="s">
        <v>45</v>
      </c>
      <c r="D2131" s="32">
        <v>4430265054</v>
      </c>
      <c r="E2131" s="32">
        <v>95</v>
      </c>
      <c r="F2131" s="32">
        <v>29</v>
      </c>
      <c r="G2131" s="32" t="s">
        <v>38</v>
      </c>
      <c r="H2131" s="32" t="s">
        <v>7548</v>
      </c>
      <c r="I2131" s="32" t="s">
        <v>39</v>
      </c>
      <c r="J2131" s="32" t="s">
        <v>40</v>
      </c>
      <c r="K2131" s="32" t="s">
        <v>41</v>
      </c>
      <c r="M2131" s="32" t="s">
        <v>5421</v>
      </c>
      <c r="N2131" s="32" t="s">
        <v>45</v>
      </c>
    </row>
    <row r="2132" spans="1:14" s="32" customFormat="1" hidden="1" x14ac:dyDescent="0.3">
      <c r="A2132" s="39">
        <v>46174.626030092593</v>
      </c>
      <c r="B2132" s="32">
        <v>62996869933</v>
      </c>
      <c r="C2132" s="32" t="s">
        <v>43</v>
      </c>
      <c r="D2132" s="32">
        <v>4430265054</v>
      </c>
      <c r="E2132" s="32">
        <v>1174</v>
      </c>
      <c r="F2132" s="32">
        <v>1103</v>
      </c>
      <c r="G2132" s="32" t="s">
        <v>38</v>
      </c>
      <c r="H2132" s="32" t="s">
        <v>7549</v>
      </c>
      <c r="I2132" s="32" t="s">
        <v>39</v>
      </c>
      <c r="J2132" s="32" t="s">
        <v>40</v>
      </c>
      <c r="K2132" s="32" t="s">
        <v>41</v>
      </c>
      <c r="M2132" s="32" t="s">
        <v>5418</v>
      </c>
      <c r="N2132" s="32" t="s">
        <v>43</v>
      </c>
    </row>
    <row r="2133" spans="1:14" s="32" customFormat="1" hidden="1" x14ac:dyDescent="0.3">
      <c r="A2133" s="39">
        <v>46174.625451388885</v>
      </c>
      <c r="B2133" s="32">
        <v>99984754234</v>
      </c>
      <c r="C2133" s="32" t="s">
        <v>44</v>
      </c>
      <c r="D2133" s="32">
        <v>4430265054</v>
      </c>
      <c r="E2133" s="32">
        <v>848</v>
      </c>
      <c r="F2133" s="32">
        <v>756</v>
      </c>
      <c r="G2133" s="32" t="s">
        <v>38</v>
      </c>
      <c r="H2133" s="32" t="s">
        <v>7550</v>
      </c>
      <c r="I2133" s="32" t="s">
        <v>39</v>
      </c>
      <c r="J2133" s="32" t="s">
        <v>40</v>
      </c>
      <c r="K2133" s="32" t="s">
        <v>41</v>
      </c>
      <c r="L2133" s="32">
        <v>5</v>
      </c>
      <c r="M2133" s="32" t="s">
        <v>5416</v>
      </c>
      <c r="N2133" s="32" t="s">
        <v>44</v>
      </c>
    </row>
    <row r="2134" spans="1:14" s="32" customFormat="1" hidden="1" x14ac:dyDescent="0.3">
      <c r="A2134" s="39">
        <v>46174.625081018516</v>
      </c>
      <c r="B2134" s="32" t="s">
        <v>48</v>
      </c>
      <c r="C2134" s="32">
        <v>44999647912</v>
      </c>
      <c r="E2134" s="32">
        <v>294</v>
      </c>
      <c r="F2134" s="32">
        <v>279</v>
      </c>
      <c r="G2134" s="32" t="s">
        <v>38</v>
      </c>
      <c r="H2134" s="32" t="s">
        <v>7551</v>
      </c>
      <c r="I2134" s="32" t="s">
        <v>46</v>
      </c>
      <c r="J2134" s="32" t="s">
        <v>40</v>
      </c>
      <c r="M2134" s="32" t="s">
        <v>5412</v>
      </c>
      <c r="N2134" s="32" t="s">
        <v>48</v>
      </c>
    </row>
    <row r="2135" spans="1:14" s="32" customFormat="1" hidden="1" x14ac:dyDescent="0.3">
      <c r="A2135" s="39">
        <v>46174.624386574076</v>
      </c>
      <c r="B2135" s="32" t="s">
        <v>48</v>
      </c>
      <c r="C2135" s="32">
        <v>4432675739</v>
      </c>
      <c r="E2135" s="32">
        <v>46</v>
      </c>
      <c r="F2135" s="32">
        <v>0</v>
      </c>
      <c r="G2135" s="32" t="s">
        <v>47</v>
      </c>
      <c r="H2135" s="32" t="s">
        <v>7552</v>
      </c>
      <c r="I2135" s="32" t="s">
        <v>46</v>
      </c>
      <c r="J2135" s="32" t="s">
        <v>40</v>
      </c>
      <c r="M2135" s="32" t="s">
        <v>5412</v>
      </c>
      <c r="N2135" s="32" t="s">
        <v>48</v>
      </c>
    </row>
    <row r="2136" spans="1:14" s="32" customFormat="1" hidden="1" x14ac:dyDescent="0.3">
      <c r="A2136" s="39">
        <v>46174.616932870369</v>
      </c>
      <c r="B2136" s="32">
        <v>44998107650</v>
      </c>
      <c r="C2136" s="32" t="s">
        <v>45</v>
      </c>
      <c r="D2136" s="32">
        <v>4431268225</v>
      </c>
      <c r="E2136" s="32">
        <v>216</v>
      </c>
      <c r="F2136" s="32">
        <v>175</v>
      </c>
      <c r="G2136" s="32" t="s">
        <v>38</v>
      </c>
      <c r="H2136" s="32" t="s">
        <v>7553</v>
      </c>
      <c r="I2136" s="32" t="s">
        <v>39</v>
      </c>
      <c r="J2136" s="32" t="s">
        <v>40</v>
      </c>
      <c r="K2136" s="32" t="s">
        <v>41</v>
      </c>
      <c r="L2136" s="32">
        <v>5</v>
      </c>
      <c r="M2136" s="32" t="s">
        <v>5421</v>
      </c>
      <c r="N2136" s="32" t="s">
        <v>45</v>
      </c>
    </row>
    <row r="2137" spans="1:14" s="32" customFormat="1" hidden="1" x14ac:dyDescent="0.3">
      <c r="A2137" s="39">
        <v>46174.612986111111</v>
      </c>
      <c r="B2137" s="32">
        <v>53981112780</v>
      </c>
      <c r="C2137" s="32" t="s">
        <v>45</v>
      </c>
      <c r="D2137" s="32">
        <v>4430265054</v>
      </c>
      <c r="E2137" s="32">
        <v>330</v>
      </c>
      <c r="F2137" s="32">
        <v>319</v>
      </c>
      <c r="G2137" s="32" t="s">
        <v>38</v>
      </c>
      <c r="H2137" s="32" t="s">
        <v>7554</v>
      </c>
      <c r="I2137" s="32" t="s">
        <v>39</v>
      </c>
      <c r="J2137" s="32" t="s">
        <v>40</v>
      </c>
      <c r="K2137" s="32" t="s">
        <v>41</v>
      </c>
      <c r="L2137" s="32">
        <v>5</v>
      </c>
      <c r="M2137" s="32" t="s">
        <v>5421</v>
      </c>
      <c r="N2137" s="32" t="s">
        <v>45</v>
      </c>
    </row>
    <row r="2138" spans="1:14" s="32" customFormat="1" hidden="1" x14ac:dyDescent="0.3">
      <c r="A2138" s="39">
        <v>46174.606435185182</v>
      </c>
      <c r="B2138" s="32">
        <v>44988255390</v>
      </c>
      <c r="C2138" s="32" t="s">
        <v>37</v>
      </c>
      <c r="D2138" s="32">
        <v>4430265054</v>
      </c>
      <c r="E2138" s="32">
        <v>2273</v>
      </c>
      <c r="F2138" s="32">
        <v>2221</v>
      </c>
      <c r="G2138" s="32" t="s">
        <v>38</v>
      </c>
      <c r="H2138" s="32" t="s">
        <v>7555</v>
      </c>
      <c r="I2138" s="32" t="s">
        <v>39</v>
      </c>
      <c r="J2138" s="32" t="s">
        <v>40</v>
      </c>
      <c r="K2138" s="32" t="s">
        <v>41</v>
      </c>
      <c r="L2138" s="32">
        <v>5</v>
      </c>
      <c r="M2138" s="32" t="s">
        <v>5410</v>
      </c>
      <c r="N2138" s="32" t="s">
        <v>37</v>
      </c>
    </row>
    <row r="2139" spans="1:14" s="32" customFormat="1" hidden="1" x14ac:dyDescent="0.3">
      <c r="A2139" s="39">
        <v>46174.605995370373</v>
      </c>
      <c r="B2139" s="32" t="s">
        <v>56</v>
      </c>
      <c r="C2139" s="32">
        <v>4440901685</v>
      </c>
      <c r="E2139" s="32">
        <v>406</v>
      </c>
      <c r="F2139" s="32">
        <v>393</v>
      </c>
      <c r="G2139" s="32" t="s">
        <v>38</v>
      </c>
      <c r="H2139" s="32" t="s">
        <v>7556</v>
      </c>
      <c r="I2139" s="32" t="s">
        <v>46</v>
      </c>
      <c r="J2139" s="32" t="s">
        <v>53</v>
      </c>
      <c r="M2139" s="32" t="s">
        <v>5440</v>
      </c>
      <c r="N2139" s="32" t="s">
        <v>56</v>
      </c>
    </row>
    <row r="2140" spans="1:14" s="32" customFormat="1" hidden="1" x14ac:dyDescent="0.3">
      <c r="A2140" s="39">
        <v>46174.604363425926</v>
      </c>
      <c r="B2140" s="32">
        <v>11947305571</v>
      </c>
      <c r="C2140" s="32" t="s">
        <v>45</v>
      </c>
      <c r="D2140" s="32">
        <v>4430265054</v>
      </c>
      <c r="E2140" s="32">
        <v>324</v>
      </c>
      <c r="F2140" s="32">
        <v>305</v>
      </c>
      <c r="G2140" s="32" t="s">
        <v>38</v>
      </c>
      <c r="H2140" s="32" t="s">
        <v>7557</v>
      </c>
      <c r="I2140" s="32" t="s">
        <v>39</v>
      </c>
      <c r="J2140" s="32" t="s">
        <v>40</v>
      </c>
      <c r="K2140" s="32" t="s">
        <v>41</v>
      </c>
      <c r="M2140" s="32" t="s">
        <v>5421</v>
      </c>
      <c r="N2140" s="32" t="s">
        <v>45</v>
      </c>
    </row>
    <row r="2141" spans="1:14" s="32" customFormat="1" hidden="1" x14ac:dyDescent="0.3">
      <c r="A2141" s="39">
        <v>46174.600405092591</v>
      </c>
      <c r="B2141" s="32">
        <v>4432321371</v>
      </c>
      <c r="C2141" s="32" t="s">
        <v>37</v>
      </c>
      <c r="D2141" s="32">
        <v>4430265054</v>
      </c>
      <c r="E2141" s="32">
        <v>151</v>
      </c>
      <c r="F2141" s="32">
        <v>113</v>
      </c>
      <c r="G2141" s="32" t="s">
        <v>38</v>
      </c>
      <c r="H2141" s="32" t="s">
        <v>7558</v>
      </c>
      <c r="I2141" s="32" t="s">
        <v>39</v>
      </c>
      <c r="J2141" s="32" t="s">
        <v>40</v>
      </c>
      <c r="K2141" s="32" t="s">
        <v>41</v>
      </c>
      <c r="M2141" s="32" t="s">
        <v>5410</v>
      </c>
      <c r="N2141" s="32" t="s">
        <v>37</v>
      </c>
    </row>
    <row r="2142" spans="1:14" s="32" customFormat="1" hidden="1" x14ac:dyDescent="0.3">
      <c r="A2142" s="39">
        <v>46174.59988425926</v>
      </c>
      <c r="B2142" s="32">
        <v>4430146402</v>
      </c>
      <c r="C2142" s="32" t="s">
        <v>43</v>
      </c>
      <c r="D2142" s="32">
        <v>4430265054</v>
      </c>
      <c r="E2142" s="32">
        <v>265</v>
      </c>
      <c r="F2142" s="32">
        <v>222</v>
      </c>
      <c r="G2142" s="32" t="s">
        <v>38</v>
      </c>
      <c r="H2142" s="32" t="s">
        <v>7559</v>
      </c>
      <c r="I2142" s="32" t="s">
        <v>39</v>
      </c>
      <c r="J2142" s="32" t="s">
        <v>40</v>
      </c>
      <c r="K2142" s="32" t="s">
        <v>41</v>
      </c>
      <c r="M2142" s="32" t="s">
        <v>5418</v>
      </c>
      <c r="N2142" s="32" t="s">
        <v>43</v>
      </c>
    </row>
    <row r="2143" spans="1:14" s="32" customFormat="1" hidden="1" x14ac:dyDescent="0.3">
      <c r="A2143" s="39">
        <v>46174.599780092591</v>
      </c>
      <c r="B2143" s="32">
        <v>44988303530</v>
      </c>
      <c r="C2143" s="32" t="s">
        <v>44</v>
      </c>
      <c r="D2143" s="32">
        <v>4430265054</v>
      </c>
      <c r="E2143" s="32">
        <v>391</v>
      </c>
      <c r="F2143" s="32">
        <v>307</v>
      </c>
      <c r="G2143" s="32" t="s">
        <v>38</v>
      </c>
      <c r="H2143" s="32" t="s">
        <v>7560</v>
      </c>
      <c r="I2143" s="32" t="s">
        <v>39</v>
      </c>
      <c r="J2143" s="32" t="s">
        <v>40</v>
      </c>
      <c r="K2143" s="32" t="s">
        <v>41</v>
      </c>
      <c r="M2143" s="32" t="s">
        <v>5416</v>
      </c>
      <c r="N2143" s="32" t="s">
        <v>44</v>
      </c>
    </row>
    <row r="2144" spans="1:14" s="32" customFormat="1" hidden="1" x14ac:dyDescent="0.3">
      <c r="A2144" s="39">
        <v>46174.595023148147</v>
      </c>
      <c r="B2144" s="32">
        <v>44988303530</v>
      </c>
      <c r="C2144" s="32" t="s">
        <v>44</v>
      </c>
      <c r="D2144" s="32">
        <v>4430265054</v>
      </c>
      <c r="E2144" s="32">
        <v>244</v>
      </c>
      <c r="F2144" s="32">
        <v>192</v>
      </c>
      <c r="G2144" s="32" t="s">
        <v>38</v>
      </c>
      <c r="H2144" s="32" t="s">
        <v>7561</v>
      </c>
      <c r="I2144" s="32" t="s">
        <v>39</v>
      </c>
      <c r="J2144" s="32" t="s">
        <v>40</v>
      </c>
      <c r="K2144" s="32" t="s">
        <v>41</v>
      </c>
      <c r="M2144" s="32" t="s">
        <v>5416</v>
      </c>
      <c r="N2144" s="32" t="s">
        <v>44</v>
      </c>
    </row>
    <row r="2145" spans="1:14" s="32" customFormat="1" hidden="1" x14ac:dyDescent="0.3">
      <c r="A2145" s="39">
        <v>46174.586805555555</v>
      </c>
      <c r="B2145" s="32">
        <v>44997311122</v>
      </c>
      <c r="C2145" s="32" t="s">
        <v>43</v>
      </c>
      <c r="D2145" s="32">
        <v>4430265054</v>
      </c>
      <c r="E2145" s="32">
        <v>168</v>
      </c>
      <c r="F2145" s="32">
        <v>113</v>
      </c>
      <c r="G2145" s="32" t="s">
        <v>38</v>
      </c>
      <c r="H2145" s="32" t="s">
        <v>7562</v>
      </c>
      <c r="I2145" s="32" t="s">
        <v>39</v>
      </c>
      <c r="J2145" s="32" t="s">
        <v>40</v>
      </c>
      <c r="K2145" s="32" t="s">
        <v>41</v>
      </c>
      <c r="M2145" s="32" t="s">
        <v>5418</v>
      </c>
      <c r="N2145" s="32" t="s">
        <v>43</v>
      </c>
    </row>
    <row r="2146" spans="1:14" s="32" customFormat="1" hidden="1" x14ac:dyDescent="0.3">
      <c r="A2146" s="39">
        <v>46174.572071759256</v>
      </c>
      <c r="B2146" s="32">
        <v>14997225372</v>
      </c>
      <c r="C2146" s="32">
        <v>4430265054</v>
      </c>
      <c r="D2146" s="32">
        <v>4430265054</v>
      </c>
      <c r="E2146" s="32">
        <v>62</v>
      </c>
      <c r="F2146" s="32">
        <v>61</v>
      </c>
      <c r="G2146" s="32" t="s">
        <v>52</v>
      </c>
      <c r="H2146" s="32" t="s">
        <v>7563</v>
      </c>
      <c r="I2146" s="32" t="s">
        <v>39</v>
      </c>
      <c r="J2146" s="32" t="s">
        <v>53</v>
      </c>
      <c r="K2146" s="32" t="s">
        <v>41</v>
      </c>
    </row>
    <row r="2147" spans="1:14" s="32" customFormat="1" hidden="1" x14ac:dyDescent="0.3">
      <c r="A2147" s="39">
        <v>46174.570509259262</v>
      </c>
      <c r="B2147" s="32">
        <v>44997134514</v>
      </c>
      <c r="C2147" s="32" t="s">
        <v>37</v>
      </c>
      <c r="D2147" s="32">
        <v>4430265054</v>
      </c>
      <c r="E2147" s="32">
        <v>95</v>
      </c>
      <c r="F2147" s="32">
        <v>38</v>
      </c>
      <c r="G2147" s="32" t="s">
        <v>38</v>
      </c>
      <c r="H2147" s="32" t="s">
        <v>7564</v>
      </c>
      <c r="I2147" s="32" t="s">
        <v>39</v>
      </c>
      <c r="J2147" s="32" t="s">
        <v>40</v>
      </c>
      <c r="K2147" s="32" t="s">
        <v>41</v>
      </c>
      <c r="M2147" s="32" t="s">
        <v>5410</v>
      </c>
      <c r="N2147" s="32" t="s">
        <v>37</v>
      </c>
    </row>
    <row r="2148" spans="1:14" s="32" customFormat="1" hidden="1" x14ac:dyDescent="0.3">
      <c r="A2148" s="39">
        <v>46174.562581018516</v>
      </c>
      <c r="B2148" s="32">
        <v>44997134514</v>
      </c>
      <c r="C2148" s="32" t="s">
        <v>45</v>
      </c>
      <c r="D2148" s="32">
        <v>4430265054</v>
      </c>
      <c r="E2148" s="32">
        <v>59</v>
      </c>
      <c r="F2148" s="32">
        <v>36</v>
      </c>
      <c r="G2148" s="32" t="s">
        <v>38</v>
      </c>
      <c r="H2148" s="32" t="s">
        <v>7565</v>
      </c>
      <c r="I2148" s="32" t="s">
        <v>39</v>
      </c>
      <c r="J2148" s="32" t="s">
        <v>40</v>
      </c>
      <c r="K2148" s="32" t="s">
        <v>41</v>
      </c>
      <c r="M2148" s="32" t="s">
        <v>5421</v>
      </c>
      <c r="N2148" s="32" t="s">
        <v>45</v>
      </c>
    </row>
    <row r="2149" spans="1:14" s="32" customFormat="1" hidden="1" x14ac:dyDescent="0.3">
      <c r="A2149" s="39">
        <v>46174.559953703705</v>
      </c>
      <c r="B2149" s="32">
        <v>44997134514</v>
      </c>
      <c r="C2149" s="32">
        <v>4430265054</v>
      </c>
      <c r="D2149" s="32">
        <v>4430265054</v>
      </c>
      <c r="E2149" s="32">
        <v>29</v>
      </c>
      <c r="F2149" s="32">
        <v>29</v>
      </c>
      <c r="G2149" s="32" t="s">
        <v>52</v>
      </c>
      <c r="H2149" s="32" t="s">
        <v>7566</v>
      </c>
      <c r="I2149" s="32" t="s">
        <v>39</v>
      </c>
      <c r="J2149" s="32" t="s">
        <v>53</v>
      </c>
    </row>
    <row r="2150" spans="1:14" s="32" customFormat="1" hidden="1" x14ac:dyDescent="0.3">
      <c r="A2150" s="39">
        <v>46174.503391203703</v>
      </c>
      <c r="B2150" s="32">
        <v>4430141533</v>
      </c>
      <c r="C2150" s="32">
        <v>4430265054</v>
      </c>
      <c r="D2150" s="32">
        <v>4430265054</v>
      </c>
      <c r="E2150" s="32">
        <v>28</v>
      </c>
      <c r="F2150" s="32">
        <v>28</v>
      </c>
      <c r="G2150" s="32" t="s">
        <v>52</v>
      </c>
      <c r="H2150" s="32" t="s">
        <v>7567</v>
      </c>
      <c r="I2150" s="32" t="s">
        <v>39</v>
      </c>
      <c r="J2150" s="32" t="s">
        <v>53</v>
      </c>
    </row>
    <row r="2151" spans="1:14" s="32" customFormat="1" hidden="1" x14ac:dyDescent="0.3">
      <c r="A2151" s="39">
        <v>46174.500104166669</v>
      </c>
      <c r="B2151" s="32" t="s">
        <v>37</v>
      </c>
      <c r="C2151" s="32">
        <v>4430141533</v>
      </c>
      <c r="E2151" s="32">
        <v>56</v>
      </c>
      <c r="F2151" s="32">
        <v>0</v>
      </c>
      <c r="G2151" s="32" t="s">
        <v>47</v>
      </c>
      <c r="H2151" s="32" t="s">
        <v>7568</v>
      </c>
      <c r="I2151" s="32" t="s">
        <v>46</v>
      </c>
      <c r="J2151" s="32" t="s">
        <v>40</v>
      </c>
      <c r="M2151" s="32" t="s">
        <v>5410</v>
      </c>
      <c r="N2151" s="32" t="s">
        <v>37</v>
      </c>
    </row>
    <row r="2152" spans="1:14" s="32" customFormat="1" hidden="1" x14ac:dyDescent="0.3">
      <c r="A2152" s="39">
        <v>46174.48642361111</v>
      </c>
      <c r="B2152" s="32">
        <v>4430141533</v>
      </c>
      <c r="C2152" s="32" t="s">
        <v>37</v>
      </c>
      <c r="D2152" s="32">
        <v>4430265054</v>
      </c>
      <c r="E2152" s="32">
        <v>906</v>
      </c>
      <c r="F2152" s="32">
        <v>839</v>
      </c>
      <c r="G2152" s="32" t="s">
        <v>38</v>
      </c>
      <c r="H2152" s="32" t="s">
        <v>7569</v>
      </c>
      <c r="I2152" s="32" t="s">
        <v>39</v>
      </c>
      <c r="J2152" s="32" t="s">
        <v>40</v>
      </c>
      <c r="K2152" s="32" t="s">
        <v>41</v>
      </c>
      <c r="M2152" s="32" t="s">
        <v>5410</v>
      </c>
      <c r="N2152" s="32" t="s">
        <v>37</v>
      </c>
    </row>
    <row r="2153" spans="1:14" s="32" customFormat="1" hidden="1" x14ac:dyDescent="0.3">
      <c r="A2153" s="39">
        <v>46174.484178240738</v>
      </c>
      <c r="B2153" s="32">
        <v>43991762957</v>
      </c>
      <c r="C2153" s="32" t="s">
        <v>43</v>
      </c>
      <c r="D2153" s="32">
        <v>4430265054</v>
      </c>
      <c r="E2153" s="32">
        <v>1342</v>
      </c>
      <c r="F2153" s="32">
        <v>1250</v>
      </c>
      <c r="G2153" s="32" t="s">
        <v>38</v>
      </c>
      <c r="H2153" s="32" t="s">
        <v>7570</v>
      </c>
      <c r="I2153" s="32" t="s">
        <v>39</v>
      </c>
      <c r="J2153" s="32" t="s">
        <v>40</v>
      </c>
      <c r="K2153" s="32" t="s">
        <v>41</v>
      </c>
      <c r="M2153" s="32" t="s">
        <v>5418</v>
      </c>
      <c r="N2153" s="32" t="s">
        <v>43</v>
      </c>
    </row>
    <row r="2154" spans="1:14" s="32" customFormat="1" hidden="1" x14ac:dyDescent="0.3">
      <c r="A2154" s="39">
        <v>46174.479826388888</v>
      </c>
      <c r="B2154" s="32">
        <v>4121414966</v>
      </c>
      <c r="C2154" s="32">
        <v>4531273164</v>
      </c>
      <c r="D2154" s="32">
        <v>4531273164</v>
      </c>
      <c r="E2154" s="32">
        <v>47</v>
      </c>
      <c r="F2154" s="32">
        <v>46</v>
      </c>
      <c r="G2154" s="32" t="s">
        <v>52</v>
      </c>
      <c r="H2154" s="32" t="s">
        <v>7571</v>
      </c>
      <c r="I2154" s="32" t="s">
        <v>39</v>
      </c>
      <c r="J2154" s="32" t="s">
        <v>53</v>
      </c>
      <c r="K2154" s="32" t="s">
        <v>41</v>
      </c>
    </row>
    <row r="2155" spans="1:14" s="32" customFormat="1" hidden="1" x14ac:dyDescent="0.3">
      <c r="A2155" s="39">
        <v>46174.475069444445</v>
      </c>
      <c r="B2155" s="32">
        <v>1140330393</v>
      </c>
      <c r="C2155" s="32" t="s">
        <v>45</v>
      </c>
      <c r="D2155" s="32">
        <v>4430265054</v>
      </c>
      <c r="E2155" s="32">
        <v>1373</v>
      </c>
      <c r="F2155" s="32">
        <v>1291</v>
      </c>
      <c r="G2155" s="32" t="s">
        <v>38</v>
      </c>
      <c r="H2155" s="32" t="s">
        <v>7572</v>
      </c>
      <c r="I2155" s="32" t="s">
        <v>39</v>
      </c>
      <c r="J2155" s="32" t="s">
        <v>40</v>
      </c>
      <c r="K2155" s="32" t="s">
        <v>41</v>
      </c>
      <c r="L2155" s="32">
        <v>5</v>
      </c>
      <c r="M2155" s="32" t="s">
        <v>5421</v>
      </c>
      <c r="N2155" s="32" t="s">
        <v>45</v>
      </c>
    </row>
    <row r="2156" spans="1:14" s="32" customFormat="1" hidden="1" x14ac:dyDescent="0.3">
      <c r="A2156" s="39">
        <v>46174.454016203701</v>
      </c>
      <c r="B2156" s="32">
        <v>44997134514</v>
      </c>
      <c r="C2156" s="32" t="s">
        <v>37</v>
      </c>
      <c r="D2156" s="32">
        <v>4430265054</v>
      </c>
      <c r="E2156" s="32">
        <v>206</v>
      </c>
      <c r="F2156" s="32">
        <v>119</v>
      </c>
      <c r="G2156" s="32" t="s">
        <v>38</v>
      </c>
      <c r="H2156" s="32" t="s">
        <v>7573</v>
      </c>
      <c r="I2156" s="32" t="s">
        <v>39</v>
      </c>
      <c r="J2156" s="32" t="s">
        <v>40</v>
      </c>
      <c r="K2156" s="32" t="s">
        <v>41</v>
      </c>
      <c r="M2156" s="32" t="s">
        <v>5410</v>
      </c>
      <c r="N2156" s="32" t="s">
        <v>37</v>
      </c>
    </row>
    <row r="2157" spans="1:14" s="32" customFormat="1" hidden="1" x14ac:dyDescent="0.3">
      <c r="A2157" s="39">
        <v>46174.449293981481</v>
      </c>
      <c r="B2157" s="32">
        <v>44998890329</v>
      </c>
      <c r="C2157" s="32" t="s">
        <v>45</v>
      </c>
      <c r="D2157" s="32">
        <v>4430265054</v>
      </c>
      <c r="E2157" s="32">
        <v>1464</v>
      </c>
      <c r="F2157" s="32">
        <v>1445</v>
      </c>
      <c r="G2157" s="32" t="s">
        <v>38</v>
      </c>
      <c r="H2157" s="32" t="s">
        <v>7574</v>
      </c>
      <c r="I2157" s="32" t="s">
        <v>39</v>
      </c>
      <c r="J2157" s="32" t="s">
        <v>40</v>
      </c>
      <c r="K2157" s="32" t="s">
        <v>41</v>
      </c>
      <c r="M2157" s="32" t="s">
        <v>5421</v>
      </c>
      <c r="N2157" s="32" t="s">
        <v>45</v>
      </c>
    </row>
    <row r="2158" spans="1:14" s="32" customFormat="1" hidden="1" x14ac:dyDescent="0.3">
      <c r="A2158" s="39">
        <v>46174.443124999998</v>
      </c>
      <c r="B2158" s="32">
        <v>44991349500</v>
      </c>
      <c r="C2158" s="32" t="s">
        <v>48</v>
      </c>
      <c r="D2158" s="32">
        <v>4431268225</v>
      </c>
      <c r="E2158" s="32">
        <v>406</v>
      </c>
      <c r="F2158" s="32">
        <v>351</v>
      </c>
      <c r="G2158" s="32" t="s">
        <v>38</v>
      </c>
      <c r="H2158" s="32" t="s">
        <v>7575</v>
      </c>
      <c r="I2158" s="32" t="s">
        <v>39</v>
      </c>
      <c r="J2158" s="32" t="s">
        <v>40</v>
      </c>
      <c r="K2158" s="32" t="s">
        <v>41</v>
      </c>
      <c r="M2158" s="32" t="s">
        <v>5412</v>
      </c>
      <c r="N2158" s="32" t="s">
        <v>48</v>
      </c>
    </row>
    <row r="2159" spans="1:14" s="32" customFormat="1" hidden="1" x14ac:dyDescent="0.3">
      <c r="A2159" s="39">
        <v>46174.441759259258</v>
      </c>
      <c r="B2159" s="32">
        <v>44997400641</v>
      </c>
      <c r="C2159" s="32" t="s">
        <v>44</v>
      </c>
      <c r="D2159" s="32">
        <v>4430265054</v>
      </c>
      <c r="E2159" s="32">
        <v>420</v>
      </c>
      <c r="F2159" s="32">
        <v>266</v>
      </c>
      <c r="G2159" s="32" t="s">
        <v>38</v>
      </c>
      <c r="H2159" s="32" t="s">
        <v>7576</v>
      </c>
      <c r="I2159" s="32" t="s">
        <v>39</v>
      </c>
      <c r="J2159" s="32" t="s">
        <v>40</v>
      </c>
      <c r="K2159" s="32" t="s">
        <v>41</v>
      </c>
      <c r="M2159" s="32" t="s">
        <v>5416</v>
      </c>
      <c r="N2159" s="32" t="s">
        <v>44</v>
      </c>
    </row>
    <row r="2160" spans="1:14" s="32" customFormat="1" hidden="1" x14ac:dyDescent="0.3">
      <c r="A2160" s="39">
        <v>46174.440925925926</v>
      </c>
      <c r="B2160" s="32">
        <v>44997650834</v>
      </c>
      <c r="C2160" s="32" t="s">
        <v>45</v>
      </c>
      <c r="D2160" s="32">
        <v>4430265054</v>
      </c>
      <c r="E2160" s="32">
        <v>380</v>
      </c>
      <c r="F2160" s="32">
        <v>353</v>
      </c>
      <c r="G2160" s="32" t="s">
        <v>38</v>
      </c>
      <c r="H2160" s="32" t="s">
        <v>7577</v>
      </c>
      <c r="I2160" s="32" t="s">
        <v>39</v>
      </c>
      <c r="J2160" s="32" t="s">
        <v>40</v>
      </c>
      <c r="K2160" s="32" t="s">
        <v>41</v>
      </c>
      <c r="L2160" s="32">
        <v>5</v>
      </c>
      <c r="M2160" s="32" t="s">
        <v>5421</v>
      </c>
      <c r="N2160" s="32" t="s">
        <v>45</v>
      </c>
    </row>
    <row r="2161" spans="1:14" s="32" customFormat="1" hidden="1" x14ac:dyDescent="0.3">
      <c r="A2161" s="39">
        <v>46174.436643518522</v>
      </c>
      <c r="B2161" s="32">
        <v>44998032021</v>
      </c>
      <c r="C2161" s="32" t="s">
        <v>37</v>
      </c>
      <c r="D2161" s="32">
        <v>4430265054</v>
      </c>
      <c r="E2161" s="32">
        <v>387</v>
      </c>
      <c r="F2161" s="32">
        <v>338</v>
      </c>
      <c r="G2161" s="32" t="s">
        <v>38</v>
      </c>
      <c r="H2161" s="32" t="s">
        <v>7578</v>
      </c>
      <c r="I2161" s="32" t="s">
        <v>39</v>
      </c>
      <c r="J2161" s="32" t="s">
        <v>40</v>
      </c>
      <c r="K2161" s="32" t="s">
        <v>41</v>
      </c>
      <c r="L2161" s="32">
        <v>5</v>
      </c>
      <c r="M2161" s="32" t="s">
        <v>5410</v>
      </c>
      <c r="N2161" s="32" t="s">
        <v>37</v>
      </c>
    </row>
    <row r="2162" spans="1:14" s="32" customFormat="1" hidden="1" x14ac:dyDescent="0.3">
      <c r="A2162" s="39">
        <v>46174.425104166665</v>
      </c>
      <c r="B2162" s="32">
        <v>2121123730</v>
      </c>
      <c r="C2162" s="32">
        <v>4531273159</v>
      </c>
      <c r="D2162" s="32">
        <v>4531273159</v>
      </c>
      <c r="E2162" s="32">
        <v>47</v>
      </c>
      <c r="F2162" s="32">
        <v>46</v>
      </c>
      <c r="G2162" s="32" t="s">
        <v>52</v>
      </c>
      <c r="H2162" s="32" t="s">
        <v>7579</v>
      </c>
      <c r="I2162" s="32" t="s">
        <v>39</v>
      </c>
      <c r="J2162" s="32" t="s">
        <v>53</v>
      </c>
      <c r="K2162" s="32" t="s">
        <v>41</v>
      </c>
    </row>
    <row r="2163" spans="1:14" s="32" customFormat="1" hidden="1" x14ac:dyDescent="0.3">
      <c r="A2163" s="39">
        <v>46174.416921296295</v>
      </c>
      <c r="B2163" s="32">
        <v>64984043469</v>
      </c>
      <c r="C2163" s="32" t="s">
        <v>45</v>
      </c>
      <c r="D2163" s="32">
        <v>4430265054</v>
      </c>
      <c r="E2163" s="32">
        <v>1348</v>
      </c>
      <c r="F2163" s="32">
        <v>1305</v>
      </c>
      <c r="G2163" s="32" t="s">
        <v>38</v>
      </c>
      <c r="H2163" s="32" t="s">
        <v>7580</v>
      </c>
      <c r="I2163" s="32" t="s">
        <v>39</v>
      </c>
      <c r="J2163" s="32" t="s">
        <v>40</v>
      </c>
      <c r="K2163" s="32" t="s">
        <v>41</v>
      </c>
      <c r="L2163" s="32">
        <v>5</v>
      </c>
      <c r="M2163" s="32" t="s">
        <v>5421</v>
      </c>
      <c r="N2163" s="32" t="s">
        <v>45</v>
      </c>
    </row>
    <row r="2164" spans="1:14" s="32" customFormat="1" hidden="1" x14ac:dyDescent="0.3">
      <c r="A2164" s="39">
        <v>46174.411736111113</v>
      </c>
      <c r="B2164" s="32" t="s">
        <v>37</v>
      </c>
      <c r="C2164" s="32">
        <v>44997134514</v>
      </c>
      <c r="E2164" s="32">
        <v>99</v>
      </c>
      <c r="F2164" s="32">
        <v>95</v>
      </c>
      <c r="G2164" s="32" t="s">
        <v>38</v>
      </c>
      <c r="H2164" s="32" t="s">
        <v>7581</v>
      </c>
      <c r="I2164" s="32" t="s">
        <v>46</v>
      </c>
      <c r="J2164" s="32" t="s">
        <v>40</v>
      </c>
      <c r="M2164" s="32" t="s">
        <v>5410</v>
      </c>
      <c r="N2164" s="32" t="s">
        <v>37</v>
      </c>
    </row>
    <row r="2165" spans="1:14" s="32" customFormat="1" hidden="1" x14ac:dyDescent="0.3">
      <c r="A2165" s="39">
        <v>46174.408356481479</v>
      </c>
      <c r="B2165" s="32" t="s">
        <v>37</v>
      </c>
      <c r="C2165" s="32">
        <v>4430282545</v>
      </c>
      <c r="E2165" s="32">
        <v>89</v>
      </c>
      <c r="F2165" s="32">
        <v>0</v>
      </c>
      <c r="G2165" s="32" t="s">
        <v>47</v>
      </c>
      <c r="H2165" s="32" t="s">
        <v>7582</v>
      </c>
      <c r="I2165" s="32" t="s">
        <v>46</v>
      </c>
      <c r="J2165" s="32" t="s">
        <v>40</v>
      </c>
      <c r="M2165" s="32" t="s">
        <v>5410</v>
      </c>
      <c r="N2165" s="32" t="s">
        <v>37</v>
      </c>
    </row>
    <row r="2166" spans="1:14" s="32" customFormat="1" hidden="1" x14ac:dyDescent="0.3">
      <c r="A2166" s="39">
        <v>46174.407905092594</v>
      </c>
      <c r="B2166" s="32" t="s">
        <v>37</v>
      </c>
      <c r="C2166" s="32">
        <v>44998130160</v>
      </c>
      <c r="E2166" s="32">
        <v>36</v>
      </c>
      <c r="F2166" s="32">
        <v>0</v>
      </c>
      <c r="G2166" s="32" t="s">
        <v>47</v>
      </c>
      <c r="H2166" s="32" t="s">
        <v>7583</v>
      </c>
      <c r="I2166" s="32" t="s">
        <v>46</v>
      </c>
      <c r="J2166" s="32" t="s">
        <v>40</v>
      </c>
      <c r="M2166" s="32" t="s">
        <v>5410</v>
      </c>
      <c r="N2166" s="32" t="s">
        <v>37</v>
      </c>
    </row>
    <row r="2167" spans="1:14" s="32" customFormat="1" hidden="1" x14ac:dyDescent="0.3">
      <c r="A2167" s="39">
        <v>46174.40216435185</v>
      </c>
      <c r="B2167" s="32" t="s">
        <v>37</v>
      </c>
      <c r="C2167" s="32">
        <v>4430265076</v>
      </c>
      <c r="E2167" s="32">
        <v>4</v>
      </c>
      <c r="F2167" s="32">
        <v>0</v>
      </c>
      <c r="G2167" s="32" t="s">
        <v>47</v>
      </c>
      <c r="H2167" s="32" t="s">
        <v>7584</v>
      </c>
      <c r="I2167" s="32" t="s">
        <v>46</v>
      </c>
      <c r="J2167" s="32" t="s">
        <v>40</v>
      </c>
      <c r="M2167" s="32" t="s">
        <v>5410</v>
      </c>
      <c r="N2167" s="32" t="s">
        <v>37</v>
      </c>
    </row>
    <row r="2168" spans="1:14" s="32" customFormat="1" hidden="1" x14ac:dyDescent="0.3">
      <c r="A2168" s="39">
        <v>46174.402048611111</v>
      </c>
      <c r="B2168" s="32" t="s">
        <v>37</v>
      </c>
      <c r="C2168" s="32">
        <v>4430282545</v>
      </c>
      <c r="E2168" s="32">
        <v>8</v>
      </c>
      <c r="F2168" s="32">
        <v>0</v>
      </c>
      <c r="G2168" s="32" t="s">
        <v>47</v>
      </c>
      <c r="H2168" s="32" t="s">
        <v>7585</v>
      </c>
      <c r="I2168" s="32" t="s">
        <v>46</v>
      </c>
      <c r="J2168" s="32" t="s">
        <v>40</v>
      </c>
      <c r="M2168" s="32" t="s">
        <v>5410</v>
      </c>
      <c r="N2168" s="32" t="s">
        <v>37</v>
      </c>
    </row>
    <row r="2169" spans="1:14" s="32" customFormat="1" hidden="1" x14ac:dyDescent="0.3">
      <c r="A2169" s="39">
        <v>46174.40152777778</v>
      </c>
      <c r="B2169" s="32" t="s">
        <v>37</v>
      </c>
      <c r="C2169" s="32">
        <v>44998130160</v>
      </c>
      <c r="E2169" s="32">
        <v>36</v>
      </c>
      <c r="F2169" s="32">
        <v>0</v>
      </c>
      <c r="G2169" s="32" t="s">
        <v>47</v>
      </c>
      <c r="H2169" s="32" t="s">
        <v>7586</v>
      </c>
      <c r="I2169" s="32" t="s">
        <v>46</v>
      </c>
      <c r="J2169" s="32" t="s">
        <v>40</v>
      </c>
      <c r="M2169" s="32" t="s">
        <v>5410</v>
      </c>
      <c r="N2169" s="32" t="s">
        <v>37</v>
      </c>
    </row>
    <row r="2170" spans="1:14" s="32" customFormat="1" hidden="1" x14ac:dyDescent="0.3">
      <c r="A2170" s="39">
        <v>46174.401087962964</v>
      </c>
      <c r="B2170" s="32" t="s">
        <v>37</v>
      </c>
      <c r="C2170" s="32">
        <v>44998130160</v>
      </c>
      <c r="E2170" s="32">
        <v>35</v>
      </c>
      <c r="F2170" s="32">
        <v>0</v>
      </c>
      <c r="G2170" s="32" t="s">
        <v>47</v>
      </c>
      <c r="H2170" s="32" t="s">
        <v>7587</v>
      </c>
      <c r="I2170" s="32" t="s">
        <v>46</v>
      </c>
      <c r="J2170" s="32" t="s">
        <v>40</v>
      </c>
      <c r="M2170" s="32" t="s">
        <v>5410</v>
      </c>
      <c r="N2170" s="32" t="s">
        <v>37</v>
      </c>
    </row>
    <row r="2171" spans="1:14" s="32" customFormat="1" hidden="1" x14ac:dyDescent="0.3">
      <c r="A2171" s="39">
        <v>46174.400972222225</v>
      </c>
      <c r="B2171" s="32">
        <v>81986261961</v>
      </c>
      <c r="C2171" s="32" t="s">
        <v>37</v>
      </c>
      <c r="D2171" s="32">
        <v>4430265054</v>
      </c>
      <c r="E2171" s="32">
        <v>317</v>
      </c>
      <c r="F2171" s="32">
        <v>203</v>
      </c>
      <c r="G2171" s="32" t="s">
        <v>38</v>
      </c>
      <c r="H2171" s="32" t="s">
        <v>7588</v>
      </c>
      <c r="I2171" s="32" t="s">
        <v>39</v>
      </c>
      <c r="J2171" s="32" t="s">
        <v>40</v>
      </c>
      <c r="K2171" s="32" t="s">
        <v>41</v>
      </c>
      <c r="M2171" s="32" t="s">
        <v>5410</v>
      </c>
      <c r="N2171" s="32" t="s">
        <v>37</v>
      </c>
    </row>
    <row r="2172" spans="1:14" s="32" customFormat="1" hidden="1" x14ac:dyDescent="0.3">
      <c r="A2172" s="39">
        <v>46174.400949074072</v>
      </c>
      <c r="B2172" s="32" t="s">
        <v>37</v>
      </c>
      <c r="C2172" s="32">
        <v>44998130160</v>
      </c>
      <c r="E2172" s="32">
        <v>6</v>
      </c>
      <c r="F2172" s="32">
        <v>0</v>
      </c>
      <c r="G2172" s="32" t="s">
        <v>47</v>
      </c>
      <c r="H2172" s="32" t="s">
        <v>7589</v>
      </c>
      <c r="I2172" s="32" t="s">
        <v>46</v>
      </c>
      <c r="J2172" s="32" t="s">
        <v>40</v>
      </c>
      <c r="M2172" s="32" t="s">
        <v>5410</v>
      </c>
      <c r="N2172" s="32" t="s">
        <v>37</v>
      </c>
    </row>
    <row r="2173" spans="1:14" s="32" customFormat="1" hidden="1" x14ac:dyDescent="0.3">
      <c r="A2173" s="39">
        <v>46174.388958333337</v>
      </c>
      <c r="B2173" s="32">
        <v>43999317663</v>
      </c>
      <c r="C2173" s="32" t="s">
        <v>43</v>
      </c>
      <c r="D2173" s="32">
        <v>4430265054</v>
      </c>
      <c r="E2173" s="32">
        <v>743</v>
      </c>
      <c r="F2173" s="32">
        <v>679</v>
      </c>
      <c r="G2173" s="32" t="s">
        <v>38</v>
      </c>
      <c r="H2173" s="32" t="s">
        <v>7590</v>
      </c>
      <c r="I2173" s="32" t="s">
        <v>39</v>
      </c>
      <c r="J2173" s="32" t="s">
        <v>40</v>
      </c>
      <c r="K2173" s="32" t="s">
        <v>41</v>
      </c>
      <c r="M2173" s="32" t="s">
        <v>5418</v>
      </c>
      <c r="N2173" s="32" t="s">
        <v>43</v>
      </c>
    </row>
    <row r="2174" spans="1:14" s="32" customFormat="1" hidden="1" x14ac:dyDescent="0.3">
      <c r="A2174" s="39">
        <v>46174.388622685183</v>
      </c>
      <c r="B2174" s="32">
        <v>4430317020</v>
      </c>
      <c r="C2174" s="32" t="s">
        <v>48</v>
      </c>
      <c r="D2174" s="32">
        <v>4430265054</v>
      </c>
      <c r="E2174" s="32">
        <v>279</v>
      </c>
      <c r="F2174" s="32">
        <v>278</v>
      </c>
      <c r="G2174" s="32" t="s">
        <v>38</v>
      </c>
      <c r="H2174" s="32" t="s">
        <v>7591</v>
      </c>
      <c r="I2174" s="32" t="s">
        <v>39</v>
      </c>
      <c r="J2174" s="32" t="s">
        <v>40</v>
      </c>
      <c r="K2174" s="32" t="s">
        <v>41</v>
      </c>
      <c r="M2174" s="32" t="s">
        <v>5412</v>
      </c>
      <c r="N2174" s="32" t="s">
        <v>48</v>
      </c>
    </row>
    <row r="2175" spans="1:14" s="32" customFormat="1" hidden="1" x14ac:dyDescent="0.3">
      <c r="A2175" s="39">
        <v>46174.379756944443</v>
      </c>
      <c r="B2175" s="32">
        <v>4532541802</v>
      </c>
      <c r="C2175" s="32" t="s">
        <v>44</v>
      </c>
      <c r="D2175" s="32">
        <v>4430265054</v>
      </c>
      <c r="E2175" s="32">
        <v>124</v>
      </c>
      <c r="F2175" s="32">
        <v>107</v>
      </c>
      <c r="G2175" s="32" t="s">
        <v>38</v>
      </c>
      <c r="H2175" s="32" t="s">
        <v>7592</v>
      </c>
      <c r="I2175" s="32" t="s">
        <v>39</v>
      </c>
      <c r="J2175" s="32" t="s">
        <v>40</v>
      </c>
      <c r="K2175" s="32" t="s">
        <v>41</v>
      </c>
      <c r="M2175" s="32" t="s">
        <v>5416</v>
      </c>
      <c r="N2175" s="32" t="s">
        <v>44</v>
      </c>
    </row>
    <row r="2176" spans="1:14" s="32" customFormat="1" hidden="1" x14ac:dyDescent="0.3">
      <c r="A2176" s="39">
        <v>46174.379756944443</v>
      </c>
      <c r="B2176" s="32">
        <v>44999654761</v>
      </c>
      <c r="C2176" s="32" t="s">
        <v>43</v>
      </c>
      <c r="D2176" s="32">
        <v>4430265054</v>
      </c>
      <c r="E2176" s="32">
        <v>469</v>
      </c>
      <c r="F2176" s="32">
        <v>447</v>
      </c>
      <c r="G2176" s="32" t="s">
        <v>38</v>
      </c>
      <c r="H2176" s="32" t="s">
        <v>7593</v>
      </c>
      <c r="I2176" s="32" t="s">
        <v>39</v>
      </c>
      <c r="J2176" s="32" t="s">
        <v>40</v>
      </c>
      <c r="K2176" s="32" t="s">
        <v>41</v>
      </c>
      <c r="M2176" s="32" t="s">
        <v>5418</v>
      </c>
      <c r="N2176" s="32" t="s">
        <v>43</v>
      </c>
    </row>
    <row r="2177" spans="1:14" s="32" customFormat="1" hidden="1" x14ac:dyDescent="0.3">
      <c r="A2177" s="39">
        <v>46174.379432870373</v>
      </c>
      <c r="B2177" s="32">
        <v>44998130160</v>
      </c>
      <c r="C2177" s="32" t="s">
        <v>37</v>
      </c>
      <c r="D2177" s="32">
        <v>4430265054</v>
      </c>
      <c r="E2177" s="32">
        <v>185</v>
      </c>
      <c r="F2177" s="32">
        <v>156</v>
      </c>
      <c r="G2177" s="32" t="s">
        <v>38</v>
      </c>
      <c r="H2177" s="32" t="s">
        <v>7594</v>
      </c>
      <c r="I2177" s="32" t="s">
        <v>39</v>
      </c>
      <c r="J2177" s="32" t="s">
        <v>40</v>
      </c>
      <c r="K2177" s="32" t="s">
        <v>41</v>
      </c>
      <c r="M2177" s="32" t="s">
        <v>5410</v>
      </c>
      <c r="N2177" s="32" t="s">
        <v>37</v>
      </c>
    </row>
    <row r="2178" spans="1:14" s="32" customFormat="1" hidden="1" x14ac:dyDescent="0.3">
      <c r="A2178" s="39">
        <v>46174.3749537037</v>
      </c>
      <c r="B2178" s="32">
        <v>4430318516</v>
      </c>
      <c r="C2178" s="32" t="s">
        <v>45</v>
      </c>
      <c r="D2178" s="32">
        <v>4430265054</v>
      </c>
      <c r="E2178" s="32">
        <v>600</v>
      </c>
      <c r="F2178" s="32">
        <v>575</v>
      </c>
      <c r="G2178" s="32" t="s">
        <v>38</v>
      </c>
      <c r="H2178" s="32" t="s">
        <v>7595</v>
      </c>
      <c r="I2178" s="32" t="s">
        <v>39</v>
      </c>
      <c r="J2178" s="32" t="s">
        <v>40</v>
      </c>
      <c r="K2178" s="32" t="s">
        <v>41</v>
      </c>
      <c r="M2178" s="32" t="s">
        <v>5421</v>
      </c>
      <c r="N2178" s="32" t="s">
        <v>45</v>
      </c>
    </row>
    <row r="2179" spans="1:14" s="32" customFormat="1" hidden="1" x14ac:dyDescent="0.3">
      <c r="A2179" s="39">
        <v>46174.367708333331</v>
      </c>
      <c r="B2179" s="32" t="s">
        <v>37</v>
      </c>
      <c r="C2179" s="32">
        <v>1131043888</v>
      </c>
      <c r="E2179" s="32">
        <v>952</v>
      </c>
      <c r="F2179" s="32">
        <v>950</v>
      </c>
      <c r="G2179" s="32" t="s">
        <v>38</v>
      </c>
      <c r="H2179" s="32" t="s">
        <v>7596</v>
      </c>
      <c r="I2179" s="32" t="s">
        <v>46</v>
      </c>
      <c r="J2179" s="32" t="s">
        <v>40</v>
      </c>
      <c r="L2179" s="32">
        <v>5</v>
      </c>
      <c r="M2179" s="32" t="s">
        <v>5410</v>
      </c>
      <c r="N2179" s="32" t="s">
        <v>37</v>
      </c>
    </row>
    <row r="2180" spans="1:14" s="32" customFormat="1" hidden="1" x14ac:dyDescent="0.3">
      <c r="A2180" s="39">
        <v>46174.356770833336</v>
      </c>
      <c r="B2180" s="32">
        <v>99984754234</v>
      </c>
      <c r="C2180" s="32" t="s">
        <v>43</v>
      </c>
      <c r="D2180" s="32">
        <v>4430265054</v>
      </c>
      <c r="E2180" s="32">
        <v>1804</v>
      </c>
      <c r="F2180" s="32">
        <v>1773</v>
      </c>
      <c r="G2180" s="32" t="s">
        <v>38</v>
      </c>
      <c r="H2180" s="32" t="s">
        <v>7597</v>
      </c>
      <c r="I2180" s="32" t="s">
        <v>39</v>
      </c>
      <c r="J2180" s="32" t="s">
        <v>40</v>
      </c>
      <c r="K2180" s="32" t="s">
        <v>41</v>
      </c>
      <c r="L2180" s="32">
        <v>5</v>
      </c>
      <c r="M2180" s="32" t="s">
        <v>5418</v>
      </c>
      <c r="N2180" s="32" t="s">
        <v>43</v>
      </c>
    </row>
    <row r="2181" spans="1:14" s="32" customFormat="1" hidden="1" x14ac:dyDescent="0.3">
      <c r="A2181" s="39">
        <v>46174.354247685187</v>
      </c>
      <c r="B2181" s="32">
        <v>44997134514</v>
      </c>
      <c r="C2181" s="32" t="s">
        <v>37</v>
      </c>
      <c r="D2181" s="32">
        <v>4430265054</v>
      </c>
      <c r="E2181" s="32">
        <v>793</v>
      </c>
      <c r="F2181" s="32">
        <v>733</v>
      </c>
      <c r="G2181" s="32" t="s">
        <v>38</v>
      </c>
      <c r="H2181" s="32" t="s">
        <v>7598</v>
      </c>
      <c r="I2181" s="32" t="s">
        <v>39</v>
      </c>
      <c r="J2181" s="32" t="s">
        <v>40</v>
      </c>
      <c r="K2181" s="32" t="s">
        <v>41</v>
      </c>
      <c r="M2181" s="32" t="s">
        <v>5410</v>
      </c>
      <c r="N2181" s="32" t="s">
        <v>37</v>
      </c>
    </row>
    <row r="2182" spans="1:14" s="32" customFormat="1" hidden="1" x14ac:dyDescent="0.3">
      <c r="A2182" s="39">
        <v>46174.353819444441</v>
      </c>
      <c r="B2182" s="32">
        <v>44997134514</v>
      </c>
      <c r="C2182" s="32">
        <v>4430265054</v>
      </c>
      <c r="D2182" s="32">
        <v>4430265054</v>
      </c>
      <c r="E2182" s="32">
        <v>28</v>
      </c>
      <c r="F2182" s="32">
        <v>28</v>
      </c>
      <c r="G2182" s="32" t="s">
        <v>52</v>
      </c>
      <c r="H2182" s="32" t="s">
        <v>7599</v>
      </c>
      <c r="I2182" s="32" t="s">
        <v>39</v>
      </c>
      <c r="J2182" s="32" t="s">
        <v>53</v>
      </c>
    </row>
    <row r="2183" spans="1:14" s="32" customFormat="1" hidden="1" x14ac:dyDescent="0.3">
      <c r="A2183" s="39">
        <v>46174.351458333331</v>
      </c>
      <c r="B2183" s="32">
        <v>44997134514</v>
      </c>
      <c r="C2183" s="32">
        <v>4430265054</v>
      </c>
      <c r="D2183" s="32">
        <v>4430265054</v>
      </c>
      <c r="E2183" s="32">
        <v>28</v>
      </c>
      <c r="F2183" s="32">
        <v>28</v>
      </c>
      <c r="G2183" s="32" t="s">
        <v>52</v>
      </c>
      <c r="H2183" s="32" t="s">
        <v>7600</v>
      </c>
      <c r="I2183" s="32" t="s">
        <v>39</v>
      </c>
      <c r="J2183" s="32" t="s">
        <v>53</v>
      </c>
    </row>
    <row r="2184" spans="1:14" s="32" customFormat="1" hidden="1" x14ac:dyDescent="0.3">
      <c r="A2184" s="39">
        <v>46174.34915509259</v>
      </c>
      <c r="B2184" s="32">
        <v>44997134514</v>
      </c>
      <c r="C2184" s="32">
        <v>4430265054</v>
      </c>
      <c r="D2184" s="32">
        <v>4430265054</v>
      </c>
      <c r="E2184" s="32">
        <v>28</v>
      </c>
      <c r="F2184" s="32">
        <v>28</v>
      </c>
      <c r="G2184" s="32" t="s">
        <v>52</v>
      </c>
      <c r="H2184" s="32" t="s">
        <v>7601</v>
      </c>
      <c r="I2184" s="32" t="s">
        <v>39</v>
      </c>
      <c r="J2184" s="32" t="s">
        <v>53</v>
      </c>
    </row>
    <row r="2185" spans="1:14" s="32" customFormat="1" hidden="1" x14ac:dyDescent="0.3">
      <c r="A2185" s="39">
        <v>46174.337430555555</v>
      </c>
      <c r="B2185" s="32">
        <v>99984754234</v>
      </c>
      <c r="C2185" s="32">
        <v>4430265054</v>
      </c>
      <c r="D2185" s="32">
        <v>4430265054</v>
      </c>
      <c r="E2185" s="32">
        <v>14</v>
      </c>
      <c r="F2185" s="32">
        <v>13</v>
      </c>
      <c r="G2185" s="32" t="s">
        <v>52</v>
      </c>
      <c r="H2185" s="32" t="s">
        <v>7602</v>
      </c>
      <c r="I2185" s="32" t="s">
        <v>39</v>
      </c>
      <c r="J2185" s="32" t="s">
        <v>53</v>
      </c>
    </row>
  </sheetData>
  <autoFilter ref="A1:L2185" xr:uid="{1925E673-B92D-4842-81BB-10C01394CAF3}">
    <filterColumn colId="1">
      <filters>
        <filter val="PSYSTEM_1013"/>
      </filters>
    </filterColumn>
  </autoFilter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550EF-5C9F-4980-B404-19C8D141AC41}">
  <dimension ref="A1:E155"/>
  <sheetViews>
    <sheetView zoomScale="87" workbookViewId="0">
      <pane ySplit="1" topLeftCell="A129" activePane="bottomLeft" state="frozen"/>
      <selection activeCell="L27" sqref="L27:L3095"/>
      <selection pane="bottomLeft" activeCell="D2" sqref="D2:D106"/>
    </sheetView>
  </sheetViews>
  <sheetFormatPr defaultRowHeight="14.4" x14ac:dyDescent="0.3"/>
  <cols>
    <col min="1" max="1" width="17.77734375" style="32" bestFit="1" customWidth="1"/>
    <col min="2" max="2" width="14.77734375" style="32" bestFit="1" customWidth="1"/>
    <col min="3" max="4" width="16.33203125" style="32" bestFit="1" customWidth="1"/>
    <col min="5" max="5" width="17.44140625" style="32" bestFit="1" customWidth="1"/>
    <col min="6" max="16384" width="8.88671875" style="32"/>
  </cols>
  <sheetData>
    <row r="1" spans="1:5" x14ac:dyDescent="0.3">
      <c r="A1" s="29" t="s">
        <v>20</v>
      </c>
      <c r="B1" s="29" t="s">
        <v>19</v>
      </c>
      <c r="C1" s="29" t="s">
        <v>21</v>
      </c>
      <c r="D1" s="29" t="s">
        <v>32</v>
      </c>
      <c r="E1" s="29" t="s">
        <v>22</v>
      </c>
    </row>
    <row r="2" spans="1:5" x14ac:dyDescent="0.3">
      <c r="A2" s="32">
        <v>5</v>
      </c>
      <c r="B2" s="32">
        <v>5</v>
      </c>
      <c r="C2" s="32">
        <v>5</v>
      </c>
      <c r="D2" s="32">
        <v>5</v>
      </c>
    </row>
    <row r="3" spans="1:5" x14ac:dyDescent="0.3">
      <c r="A3" s="32">
        <v>5</v>
      </c>
      <c r="B3" s="32">
        <v>5</v>
      </c>
      <c r="C3" s="32">
        <v>5</v>
      </c>
      <c r="D3" s="32">
        <v>5</v>
      </c>
    </row>
    <row r="4" spans="1:5" x14ac:dyDescent="0.3">
      <c r="A4" s="32">
        <v>5</v>
      </c>
      <c r="B4" s="32">
        <v>5</v>
      </c>
      <c r="C4" s="32">
        <v>5</v>
      </c>
      <c r="D4" s="32">
        <v>5</v>
      </c>
    </row>
    <row r="5" spans="1:5" x14ac:dyDescent="0.3">
      <c r="A5" s="32">
        <v>5</v>
      </c>
      <c r="B5" s="32">
        <v>5</v>
      </c>
      <c r="C5" s="32">
        <v>5</v>
      </c>
      <c r="D5" s="32">
        <v>5</v>
      </c>
    </row>
    <row r="6" spans="1:5" x14ac:dyDescent="0.3">
      <c r="A6" s="32">
        <v>5</v>
      </c>
      <c r="B6" s="32">
        <v>5</v>
      </c>
      <c r="C6" s="32">
        <v>5</v>
      </c>
      <c r="D6" s="32">
        <v>5</v>
      </c>
    </row>
    <row r="7" spans="1:5" x14ac:dyDescent="0.3">
      <c r="A7" s="32">
        <v>5</v>
      </c>
      <c r="B7" s="32">
        <v>5</v>
      </c>
      <c r="C7" s="32">
        <v>5</v>
      </c>
      <c r="D7" s="32">
        <v>5</v>
      </c>
    </row>
    <row r="8" spans="1:5" x14ac:dyDescent="0.3">
      <c r="A8" s="32">
        <v>5</v>
      </c>
      <c r="B8" s="32">
        <v>5</v>
      </c>
      <c r="C8" s="32">
        <v>5</v>
      </c>
      <c r="D8" s="32">
        <v>5</v>
      </c>
    </row>
    <row r="9" spans="1:5" x14ac:dyDescent="0.3">
      <c r="A9" s="32">
        <v>5</v>
      </c>
      <c r="B9" s="32">
        <v>5</v>
      </c>
      <c r="C9" s="32">
        <v>5</v>
      </c>
      <c r="D9" s="32">
        <v>5</v>
      </c>
    </row>
    <row r="10" spans="1:5" x14ac:dyDescent="0.3">
      <c r="A10" s="32">
        <v>5</v>
      </c>
      <c r="B10" s="32">
        <v>5</v>
      </c>
      <c r="C10" s="32">
        <v>5</v>
      </c>
      <c r="D10" s="32">
        <v>5</v>
      </c>
    </row>
    <row r="11" spans="1:5" x14ac:dyDescent="0.3">
      <c r="A11" s="32">
        <v>5</v>
      </c>
      <c r="B11" s="32">
        <v>5</v>
      </c>
      <c r="C11" s="32">
        <v>5</v>
      </c>
      <c r="D11" s="32">
        <v>5</v>
      </c>
    </row>
    <row r="12" spans="1:5" x14ac:dyDescent="0.3">
      <c r="A12" s="32">
        <v>5</v>
      </c>
      <c r="B12" s="32">
        <v>5</v>
      </c>
      <c r="C12" s="32">
        <v>5</v>
      </c>
      <c r="D12" s="32">
        <v>5</v>
      </c>
    </row>
    <row r="13" spans="1:5" x14ac:dyDescent="0.3">
      <c r="A13" s="32">
        <v>5</v>
      </c>
      <c r="B13" s="32">
        <v>5</v>
      </c>
      <c r="C13" s="32">
        <v>5</v>
      </c>
      <c r="D13" s="32">
        <v>5</v>
      </c>
    </row>
    <row r="14" spans="1:5" x14ac:dyDescent="0.3">
      <c r="A14" s="32">
        <v>5</v>
      </c>
      <c r="B14" s="32">
        <v>5</v>
      </c>
      <c r="C14" s="32">
        <v>5</v>
      </c>
      <c r="D14" s="32">
        <v>5</v>
      </c>
    </row>
    <row r="15" spans="1:5" x14ac:dyDescent="0.3">
      <c r="A15" s="32">
        <v>5</v>
      </c>
      <c r="B15" s="32">
        <v>5</v>
      </c>
      <c r="C15" s="32">
        <v>5</v>
      </c>
      <c r="D15" s="32">
        <v>5</v>
      </c>
    </row>
    <row r="16" spans="1:5" x14ac:dyDescent="0.3">
      <c r="A16" s="32">
        <v>5</v>
      </c>
      <c r="B16" s="32">
        <v>5</v>
      </c>
      <c r="C16" s="32">
        <v>5</v>
      </c>
      <c r="D16" s="32">
        <v>5</v>
      </c>
    </row>
    <row r="17" spans="1:4" x14ac:dyDescent="0.3">
      <c r="A17" s="32">
        <v>5</v>
      </c>
      <c r="B17" s="32">
        <v>5</v>
      </c>
      <c r="C17" s="32">
        <v>5</v>
      </c>
      <c r="D17" s="32">
        <v>5</v>
      </c>
    </row>
    <row r="18" spans="1:4" x14ac:dyDescent="0.3">
      <c r="A18" s="32">
        <v>5</v>
      </c>
      <c r="B18" s="32">
        <v>5</v>
      </c>
      <c r="C18" s="32">
        <v>5</v>
      </c>
      <c r="D18" s="32">
        <v>5</v>
      </c>
    </row>
    <row r="19" spans="1:4" x14ac:dyDescent="0.3">
      <c r="A19" s="32">
        <v>5</v>
      </c>
      <c r="B19" s="32">
        <v>5</v>
      </c>
      <c r="C19" s="32">
        <v>5</v>
      </c>
      <c r="D19" s="32">
        <v>5</v>
      </c>
    </row>
    <row r="20" spans="1:4" x14ac:dyDescent="0.3">
      <c r="A20" s="32">
        <v>5</v>
      </c>
      <c r="B20" s="32">
        <v>5</v>
      </c>
      <c r="C20" s="32">
        <v>5</v>
      </c>
      <c r="D20" s="32">
        <v>5</v>
      </c>
    </row>
    <row r="21" spans="1:4" x14ac:dyDescent="0.3">
      <c r="A21" s="32">
        <v>5</v>
      </c>
      <c r="B21" s="32">
        <v>5</v>
      </c>
      <c r="C21" s="32">
        <v>5</v>
      </c>
      <c r="D21" s="32">
        <v>5</v>
      </c>
    </row>
    <row r="22" spans="1:4" x14ac:dyDescent="0.3">
      <c r="A22" s="32">
        <v>5</v>
      </c>
      <c r="B22" s="32">
        <v>5</v>
      </c>
      <c r="C22" s="32">
        <v>5</v>
      </c>
      <c r="D22" s="32">
        <v>5</v>
      </c>
    </row>
    <row r="23" spans="1:4" x14ac:dyDescent="0.3">
      <c r="A23" s="32">
        <v>5</v>
      </c>
      <c r="B23" s="32">
        <v>5</v>
      </c>
      <c r="C23" s="32">
        <v>5</v>
      </c>
      <c r="D23" s="32">
        <v>5</v>
      </c>
    </row>
    <row r="24" spans="1:4" x14ac:dyDescent="0.3">
      <c r="A24" s="32">
        <v>5</v>
      </c>
      <c r="B24" s="32">
        <v>5</v>
      </c>
      <c r="C24" s="32">
        <v>5</v>
      </c>
      <c r="D24" s="32">
        <v>5</v>
      </c>
    </row>
    <row r="25" spans="1:4" x14ac:dyDescent="0.3">
      <c r="A25" s="32">
        <v>5</v>
      </c>
      <c r="B25" s="32">
        <v>5</v>
      </c>
      <c r="C25" s="32">
        <v>5</v>
      </c>
      <c r="D25" s="32">
        <v>5</v>
      </c>
    </row>
    <row r="26" spans="1:4" x14ac:dyDescent="0.3">
      <c r="A26" s="32">
        <v>5</v>
      </c>
      <c r="B26" s="32">
        <v>5</v>
      </c>
      <c r="C26" s="32">
        <v>5</v>
      </c>
      <c r="D26" s="32">
        <v>5</v>
      </c>
    </row>
    <row r="27" spans="1:4" x14ac:dyDescent="0.3">
      <c r="A27" s="32">
        <v>5</v>
      </c>
      <c r="B27" s="32">
        <v>5</v>
      </c>
      <c r="C27" s="32">
        <v>5</v>
      </c>
      <c r="D27" s="32">
        <v>5</v>
      </c>
    </row>
    <row r="28" spans="1:4" x14ac:dyDescent="0.3">
      <c r="A28" s="32">
        <v>4</v>
      </c>
      <c r="B28" s="32">
        <v>5</v>
      </c>
      <c r="C28" s="32">
        <v>5</v>
      </c>
      <c r="D28" s="32">
        <v>5</v>
      </c>
    </row>
    <row r="29" spans="1:4" x14ac:dyDescent="0.3">
      <c r="A29" s="40">
        <v>4</v>
      </c>
      <c r="B29" s="32">
        <v>5</v>
      </c>
      <c r="C29" s="32">
        <v>5</v>
      </c>
      <c r="D29" s="32">
        <v>5</v>
      </c>
    </row>
    <row r="30" spans="1:4" x14ac:dyDescent="0.3">
      <c r="A30" s="32">
        <v>5</v>
      </c>
      <c r="B30" s="32">
        <v>5</v>
      </c>
      <c r="C30" s="32">
        <v>5</v>
      </c>
      <c r="D30" s="32">
        <v>5</v>
      </c>
    </row>
    <row r="31" spans="1:4" x14ac:dyDescent="0.3">
      <c r="A31" s="32">
        <v>5</v>
      </c>
      <c r="B31" s="32">
        <v>5</v>
      </c>
      <c r="C31" s="32">
        <v>5</v>
      </c>
      <c r="D31" s="32">
        <v>5</v>
      </c>
    </row>
    <row r="32" spans="1:4" x14ac:dyDescent="0.3">
      <c r="A32" s="32">
        <v>5</v>
      </c>
      <c r="B32" s="32">
        <v>5</v>
      </c>
      <c r="C32" s="32">
        <v>5</v>
      </c>
      <c r="D32" s="32">
        <v>5</v>
      </c>
    </row>
    <row r="33" spans="1:4" x14ac:dyDescent="0.3">
      <c r="A33" s="32">
        <v>5</v>
      </c>
      <c r="B33" s="32">
        <v>5</v>
      </c>
      <c r="C33" s="32">
        <v>5</v>
      </c>
      <c r="D33" s="32">
        <v>5</v>
      </c>
    </row>
    <row r="34" spans="1:4" x14ac:dyDescent="0.3">
      <c r="A34" s="32">
        <v>5</v>
      </c>
      <c r="B34" s="32">
        <v>5</v>
      </c>
      <c r="C34" s="32">
        <v>5</v>
      </c>
      <c r="D34" s="32">
        <v>5</v>
      </c>
    </row>
    <row r="35" spans="1:4" x14ac:dyDescent="0.3">
      <c r="A35" s="32">
        <v>5</v>
      </c>
      <c r="B35" s="32">
        <v>5</v>
      </c>
      <c r="C35" s="32">
        <v>5</v>
      </c>
      <c r="D35" s="32">
        <v>5</v>
      </c>
    </row>
    <row r="36" spans="1:4" x14ac:dyDescent="0.3">
      <c r="A36" s="32">
        <v>5</v>
      </c>
      <c r="B36" s="32">
        <v>3</v>
      </c>
      <c r="C36" s="32">
        <v>5</v>
      </c>
      <c r="D36" s="32">
        <v>5</v>
      </c>
    </row>
    <row r="37" spans="1:4" x14ac:dyDescent="0.3">
      <c r="A37" s="32">
        <v>5</v>
      </c>
      <c r="B37" s="32">
        <v>5</v>
      </c>
      <c r="C37" s="32">
        <v>5</v>
      </c>
      <c r="D37" s="32">
        <v>5</v>
      </c>
    </row>
    <row r="38" spans="1:4" x14ac:dyDescent="0.3">
      <c r="A38" s="32">
        <v>5</v>
      </c>
      <c r="B38" s="32">
        <v>5</v>
      </c>
      <c r="C38" s="32">
        <v>5</v>
      </c>
      <c r="D38" s="32">
        <v>5</v>
      </c>
    </row>
    <row r="39" spans="1:4" x14ac:dyDescent="0.3">
      <c r="A39" s="32">
        <v>5</v>
      </c>
      <c r="B39" s="32">
        <v>5</v>
      </c>
      <c r="C39" s="32">
        <v>5</v>
      </c>
      <c r="D39" s="32">
        <v>4</v>
      </c>
    </row>
    <row r="40" spans="1:4" x14ac:dyDescent="0.3">
      <c r="A40" s="32">
        <v>5</v>
      </c>
      <c r="B40" s="32">
        <v>5</v>
      </c>
      <c r="C40" s="32">
        <v>5</v>
      </c>
      <c r="D40" s="32">
        <v>5</v>
      </c>
    </row>
    <row r="41" spans="1:4" x14ac:dyDescent="0.3">
      <c r="A41" s="32">
        <v>5</v>
      </c>
      <c r="B41" s="32">
        <v>5</v>
      </c>
      <c r="C41" s="32">
        <v>5</v>
      </c>
      <c r="D41" s="32">
        <v>5</v>
      </c>
    </row>
    <row r="42" spans="1:4" x14ac:dyDescent="0.3">
      <c r="A42" s="32">
        <v>5</v>
      </c>
      <c r="B42" s="32">
        <v>5</v>
      </c>
      <c r="C42" s="32">
        <v>5</v>
      </c>
      <c r="D42" s="32">
        <v>5</v>
      </c>
    </row>
    <row r="43" spans="1:4" x14ac:dyDescent="0.3">
      <c r="A43" s="32">
        <v>5</v>
      </c>
      <c r="B43" s="32">
        <v>5</v>
      </c>
      <c r="C43" s="32">
        <v>5</v>
      </c>
      <c r="D43" s="32">
        <v>5</v>
      </c>
    </row>
    <row r="44" spans="1:4" x14ac:dyDescent="0.3">
      <c r="A44" s="32">
        <v>5</v>
      </c>
      <c r="B44" s="32">
        <v>5</v>
      </c>
      <c r="C44" s="32">
        <v>5</v>
      </c>
      <c r="D44" s="32">
        <v>5</v>
      </c>
    </row>
    <row r="45" spans="1:4" x14ac:dyDescent="0.3">
      <c r="A45" s="32">
        <v>5</v>
      </c>
      <c r="B45" s="32">
        <v>5</v>
      </c>
      <c r="C45" s="32">
        <v>5</v>
      </c>
      <c r="D45" s="32">
        <v>5</v>
      </c>
    </row>
    <row r="46" spans="1:4" x14ac:dyDescent="0.3">
      <c r="A46" s="32">
        <v>5</v>
      </c>
      <c r="B46" s="32">
        <v>5</v>
      </c>
      <c r="C46" s="32">
        <v>5</v>
      </c>
      <c r="D46" s="32">
        <v>4</v>
      </c>
    </row>
    <row r="47" spans="1:4" x14ac:dyDescent="0.3">
      <c r="A47" s="32">
        <v>5</v>
      </c>
      <c r="B47" s="32">
        <v>5</v>
      </c>
      <c r="C47" s="32">
        <v>5</v>
      </c>
      <c r="D47" s="32">
        <v>5</v>
      </c>
    </row>
    <row r="48" spans="1:4" x14ac:dyDescent="0.3">
      <c r="A48" s="32">
        <v>4</v>
      </c>
      <c r="B48" s="32">
        <v>5</v>
      </c>
      <c r="C48" s="32">
        <v>5</v>
      </c>
      <c r="D48" s="32">
        <v>5</v>
      </c>
    </row>
    <row r="49" spans="1:4" x14ac:dyDescent="0.3">
      <c r="A49" s="32">
        <v>5</v>
      </c>
      <c r="B49" s="32">
        <v>5</v>
      </c>
      <c r="C49" s="32">
        <v>5</v>
      </c>
      <c r="D49" s="32">
        <v>5</v>
      </c>
    </row>
    <row r="50" spans="1:4" x14ac:dyDescent="0.3">
      <c r="A50" s="32">
        <v>5</v>
      </c>
      <c r="B50" s="32">
        <v>5</v>
      </c>
      <c r="C50" s="32">
        <v>5</v>
      </c>
      <c r="D50" s="32">
        <v>5</v>
      </c>
    </row>
    <row r="51" spans="1:4" x14ac:dyDescent="0.3">
      <c r="A51" s="32">
        <v>5</v>
      </c>
      <c r="B51" s="32">
        <v>5</v>
      </c>
      <c r="C51" s="32">
        <v>5</v>
      </c>
      <c r="D51" s="32">
        <v>5</v>
      </c>
    </row>
    <row r="52" spans="1:4" x14ac:dyDescent="0.3">
      <c r="A52" s="32">
        <v>5</v>
      </c>
      <c r="B52" s="32">
        <v>5</v>
      </c>
      <c r="C52" s="32">
        <v>5</v>
      </c>
      <c r="D52" s="40">
        <v>5</v>
      </c>
    </row>
    <row r="53" spans="1:4" x14ac:dyDescent="0.3">
      <c r="A53" s="32">
        <v>5</v>
      </c>
      <c r="B53" s="32">
        <v>5</v>
      </c>
      <c r="C53" s="32">
        <v>5</v>
      </c>
      <c r="D53" s="32">
        <v>5</v>
      </c>
    </row>
    <row r="54" spans="1:4" x14ac:dyDescent="0.3">
      <c r="A54" s="32">
        <v>5</v>
      </c>
      <c r="B54" s="32">
        <v>5</v>
      </c>
      <c r="C54" s="32">
        <v>5</v>
      </c>
      <c r="D54" s="32">
        <v>5</v>
      </c>
    </row>
    <row r="55" spans="1:4" x14ac:dyDescent="0.3">
      <c r="A55" s="32">
        <v>5</v>
      </c>
      <c r="B55" s="32">
        <v>5</v>
      </c>
      <c r="C55" s="32">
        <v>5</v>
      </c>
      <c r="D55" s="32">
        <v>5</v>
      </c>
    </row>
    <row r="56" spans="1:4" x14ac:dyDescent="0.3">
      <c r="A56" s="32">
        <v>5</v>
      </c>
      <c r="B56" s="32">
        <v>5</v>
      </c>
      <c r="C56" s="32">
        <v>5</v>
      </c>
      <c r="D56" s="32">
        <v>5</v>
      </c>
    </row>
    <row r="57" spans="1:4" x14ac:dyDescent="0.3">
      <c r="A57" s="32">
        <v>5</v>
      </c>
      <c r="B57" s="32">
        <v>5</v>
      </c>
      <c r="C57" s="32">
        <v>5</v>
      </c>
      <c r="D57" s="32">
        <v>4</v>
      </c>
    </row>
    <row r="58" spans="1:4" x14ac:dyDescent="0.3">
      <c r="A58" s="32">
        <v>5</v>
      </c>
      <c r="B58" s="32">
        <v>5</v>
      </c>
      <c r="C58" s="32">
        <v>5</v>
      </c>
      <c r="D58" s="32">
        <v>5</v>
      </c>
    </row>
    <row r="59" spans="1:4" x14ac:dyDescent="0.3">
      <c r="A59" s="32">
        <v>5</v>
      </c>
      <c r="B59" s="32">
        <v>5</v>
      </c>
      <c r="C59" s="32">
        <v>4.5</v>
      </c>
      <c r="D59" s="32">
        <v>5</v>
      </c>
    </row>
    <row r="60" spans="1:4" x14ac:dyDescent="0.3">
      <c r="A60" s="32">
        <v>5</v>
      </c>
      <c r="B60" s="32">
        <v>5</v>
      </c>
      <c r="D60" s="32">
        <v>5</v>
      </c>
    </row>
    <row r="61" spans="1:4" x14ac:dyDescent="0.3">
      <c r="A61" s="32">
        <v>5</v>
      </c>
      <c r="B61" s="32">
        <v>5</v>
      </c>
      <c r="D61" s="32">
        <v>5</v>
      </c>
    </row>
    <row r="62" spans="1:4" x14ac:dyDescent="0.3">
      <c r="A62" s="32">
        <v>5</v>
      </c>
      <c r="B62" s="32">
        <v>5</v>
      </c>
      <c r="D62" s="32">
        <v>5</v>
      </c>
    </row>
    <row r="63" spans="1:4" x14ac:dyDescent="0.3">
      <c r="A63" s="32">
        <v>4</v>
      </c>
      <c r="B63" s="32">
        <v>5</v>
      </c>
      <c r="D63" s="32">
        <v>5</v>
      </c>
    </row>
    <row r="64" spans="1:4" x14ac:dyDescent="0.3">
      <c r="A64" s="32">
        <v>3</v>
      </c>
      <c r="B64" s="32">
        <v>4</v>
      </c>
      <c r="D64" s="32">
        <v>5</v>
      </c>
    </row>
    <row r="65" spans="1:4" x14ac:dyDescent="0.3">
      <c r="A65" s="32">
        <v>5</v>
      </c>
      <c r="B65" s="40">
        <v>5</v>
      </c>
      <c r="D65" s="32">
        <v>5</v>
      </c>
    </row>
    <row r="66" spans="1:4" x14ac:dyDescent="0.3">
      <c r="A66" s="32">
        <v>5</v>
      </c>
      <c r="B66" s="32">
        <v>4</v>
      </c>
      <c r="D66" s="32">
        <v>5</v>
      </c>
    </row>
    <row r="67" spans="1:4" x14ac:dyDescent="0.3">
      <c r="A67" s="32">
        <v>5</v>
      </c>
      <c r="B67" s="32">
        <v>5</v>
      </c>
      <c r="D67" s="32">
        <v>5</v>
      </c>
    </row>
    <row r="68" spans="1:4" x14ac:dyDescent="0.3">
      <c r="A68" s="32">
        <v>5</v>
      </c>
      <c r="B68" s="32">
        <v>4</v>
      </c>
      <c r="D68" s="32">
        <v>5</v>
      </c>
    </row>
    <row r="69" spans="1:4" x14ac:dyDescent="0.3">
      <c r="A69" s="32">
        <v>5</v>
      </c>
      <c r="B69" s="32">
        <v>5</v>
      </c>
      <c r="D69" s="32">
        <v>5</v>
      </c>
    </row>
    <row r="70" spans="1:4" x14ac:dyDescent="0.3">
      <c r="A70" s="32">
        <v>5</v>
      </c>
      <c r="B70" s="32">
        <v>4</v>
      </c>
      <c r="D70" s="32">
        <v>5</v>
      </c>
    </row>
    <row r="71" spans="1:4" x14ac:dyDescent="0.3">
      <c r="A71" s="32">
        <v>5</v>
      </c>
      <c r="B71" s="32">
        <v>5</v>
      </c>
      <c r="D71" s="32">
        <v>5</v>
      </c>
    </row>
    <row r="72" spans="1:4" x14ac:dyDescent="0.3">
      <c r="A72" s="32">
        <v>5</v>
      </c>
      <c r="B72" s="32">
        <v>5</v>
      </c>
      <c r="D72" s="32">
        <v>5</v>
      </c>
    </row>
    <row r="73" spans="1:4" x14ac:dyDescent="0.3">
      <c r="A73" s="32">
        <v>5</v>
      </c>
      <c r="B73" s="32">
        <v>5</v>
      </c>
      <c r="D73" s="32">
        <v>5</v>
      </c>
    </row>
    <row r="74" spans="1:4" x14ac:dyDescent="0.3">
      <c r="A74" s="32">
        <v>5</v>
      </c>
      <c r="B74" s="32">
        <v>5</v>
      </c>
      <c r="D74" s="32">
        <v>5</v>
      </c>
    </row>
    <row r="75" spans="1:4" x14ac:dyDescent="0.3">
      <c r="A75" s="32">
        <v>5</v>
      </c>
      <c r="B75" s="32">
        <v>5</v>
      </c>
      <c r="D75" s="32">
        <v>5</v>
      </c>
    </row>
    <row r="76" spans="1:4" x14ac:dyDescent="0.3">
      <c r="A76" s="32">
        <v>4</v>
      </c>
      <c r="B76" s="32">
        <v>5</v>
      </c>
      <c r="D76" s="32">
        <v>5</v>
      </c>
    </row>
    <row r="77" spans="1:4" x14ac:dyDescent="0.3">
      <c r="A77" s="32">
        <v>5</v>
      </c>
      <c r="B77" s="32">
        <v>5</v>
      </c>
      <c r="D77" s="32">
        <v>5</v>
      </c>
    </row>
    <row r="78" spans="1:4" x14ac:dyDescent="0.3">
      <c r="A78" s="32">
        <v>5</v>
      </c>
      <c r="B78" s="32">
        <v>5</v>
      </c>
      <c r="D78" s="32">
        <v>5</v>
      </c>
    </row>
    <row r="79" spans="1:4" x14ac:dyDescent="0.3">
      <c r="A79" s="32">
        <v>5</v>
      </c>
      <c r="B79" s="32">
        <v>5</v>
      </c>
      <c r="D79" s="32">
        <v>5</v>
      </c>
    </row>
    <row r="80" spans="1:4" x14ac:dyDescent="0.3">
      <c r="A80" s="32">
        <v>5</v>
      </c>
      <c r="B80" s="32">
        <v>5</v>
      </c>
      <c r="D80" s="32">
        <v>5</v>
      </c>
    </row>
    <row r="81" spans="1:4" x14ac:dyDescent="0.3">
      <c r="A81" s="32">
        <v>5</v>
      </c>
      <c r="B81" s="32">
        <v>5</v>
      </c>
      <c r="D81" s="32">
        <v>5</v>
      </c>
    </row>
    <row r="82" spans="1:4" x14ac:dyDescent="0.3">
      <c r="A82" s="32">
        <v>5</v>
      </c>
      <c r="B82" s="32">
        <v>5</v>
      </c>
      <c r="D82" s="32">
        <v>5</v>
      </c>
    </row>
    <row r="83" spans="1:4" x14ac:dyDescent="0.3">
      <c r="A83" s="32">
        <v>5</v>
      </c>
      <c r="B83" s="32">
        <v>5</v>
      </c>
      <c r="D83" s="32">
        <v>5</v>
      </c>
    </row>
    <row r="84" spans="1:4" x14ac:dyDescent="0.3">
      <c r="A84" s="32">
        <v>5</v>
      </c>
      <c r="B84" s="32">
        <v>5</v>
      </c>
      <c r="D84" s="32">
        <v>5</v>
      </c>
    </row>
    <row r="85" spans="1:4" x14ac:dyDescent="0.3">
      <c r="A85" s="32">
        <v>5</v>
      </c>
      <c r="B85" s="32">
        <v>5</v>
      </c>
      <c r="D85" s="32">
        <v>5</v>
      </c>
    </row>
    <row r="86" spans="1:4" x14ac:dyDescent="0.3">
      <c r="A86" s="32">
        <v>5</v>
      </c>
      <c r="B86" s="32">
        <v>5</v>
      </c>
      <c r="D86" s="32">
        <v>5</v>
      </c>
    </row>
    <row r="87" spans="1:4" x14ac:dyDescent="0.3">
      <c r="A87" s="32">
        <v>5</v>
      </c>
      <c r="B87" s="32">
        <v>5</v>
      </c>
      <c r="D87" s="32">
        <v>5</v>
      </c>
    </row>
    <row r="88" spans="1:4" x14ac:dyDescent="0.3">
      <c r="A88" s="32">
        <v>5</v>
      </c>
      <c r="B88" s="32">
        <v>5</v>
      </c>
      <c r="D88" s="32">
        <v>5</v>
      </c>
    </row>
    <row r="89" spans="1:4" x14ac:dyDescent="0.3">
      <c r="A89" s="32">
        <v>5</v>
      </c>
      <c r="B89" s="32">
        <v>4</v>
      </c>
      <c r="D89" s="32">
        <v>5</v>
      </c>
    </row>
    <row r="90" spans="1:4" x14ac:dyDescent="0.3">
      <c r="A90" s="32">
        <v>5</v>
      </c>
      <c r="B90" s="32">
        <v>5</v>
      </c>
      <c r="D90" s="32">
        <v>5</v>
      </c>
    </row>
    <row r="91" spans="1:4" x14ac:dyDescent="0.3">
      <c r="A91" s="32">
        <v>5</v>
      </c>
      <c r="B91" s="32">
        <v>5</v>
      </c>
      <c r="D91" s="32">
        <v>5</v>
      </c>
    </row>
    <row r="92" spans="1:4" x14ac:dyDescent="0.3">
      <c r="A92" s="32">
        <v>4</v>
      </c>
      <c r="B92" s="32">
        <v>4</v>
      </c>
      <c r="D92" s="32">
        <v>5</v>
      </c>
    </row>
    <row r="93" spans="1:4" x14ac:dyDescent="0.3">
      <c r="A93" s="32">
        <v>5</v>
      </c>
      <c r="B93" s="32">
        <v>5</v>
      </c>
      <c r="D93" s="32">
        <v>5</v>
      </c>
    </row>
    <row r="94" spans="1:4" x14ac:dyDescent="0.3">
      <c r="A94" s="32">
        <v>5</v>
      </c>
      <c r="B94" s="32">
        <v>5</v>
      </c>
      <c r="D94" s="32">
        <v>5</v>
      </c>
    </row>
    <row r="95" spans="1:4" x14ac:dyDescent="0.3">
      <c r="A95" s="32">
        <v>5</v>
      </c>
      <c r="B95" s="32">
        <v>4</v>
      </c>
      <c r="D95" s="32">
        <v>5</v>
      </c>
    </row>
    <row r="96" spans="1:4" x14ac:dyDescent="0.3">
      <c r="A96" s="32">
        <v>5</v>
      </c>
      <c r="B96" s="32">
        <v>5</v>
      </c>
      <c r="D96" s="32">
        <v>5</v>
      </c>
    </row>
    <row r="97" spans="1:4" x14ac:dyDescent="0.3">
      <c r="A97" s="32">
        <v>5</v>
      </c>
      <c r="B97" s="32">
        <v>5</v>
      </c>
      <c r="D97" s="32">
        <v>5</v>
      </c>
    </row>
    <row r="98" spans="1:4" x14ac:dyDescent="0.3">
      <c r="A98" s="32">
        <v>5</v>
      </c>
      <c r="B98" s="32">
        <v>5</v>
      </c>
      <c r="D98" s="32">
        <v>5</v>
      </c>
    </row>
    <row r="99" spans="1:4" x14ac:dyDescent="0.3">
      <c r="A99" s="32">
        <v>5</v>
      </c>
      <c r="B99" s="32">
        <v>5</v>
      </c>
      <c r="D99" s="32">
        <v>5</v>
      </c>
    </row>
    <row r="100" spans="1:4" x14ac:dyDescent="0.3">
      <c r="A100" s="32">
        <v>5</v>
      </c>
      <c r="B100" s="32">
        <v>5</v>
      </c>
      <c r="D100" s="32">
        <v>5</v>
      </c>
    </row>
    <row r="101" spans="1:4" x14ac:dyDescent="0.3">
      <c r="A101" s="32">
        <v>5</v>
      </c>
      <c r="B101" s="32">
        <v>5</v>
      </c>
      <c r="D101" s="32">
        <v>5</v>
      </c>
    </row>
    <row r="102" spans="1:4" x14ac:dyDescent="0.3">
      <c r="A102" s="32">
        <v>5</v>
      </c>
      <c r="B102" s="32">
        <v>5</v>
      </c>
      <c r="D102" s="32">
        <v>5</v>
      </c>
    </row>
    <row r="103" spans="1:4" x14ac:dyDescent="0.3">
      <c r="A103" s="32">
        <v>5</v>
      </c>
      <c r="B103" s="32">
        <v>5</v>
      </c>
      <c r="D103" s="32">
        <v>5</v>
      </c>
    </row>
    <row r="104" spans="1:4" x14ac:dyDescent="0.3">
      <c r="A104" s="32">
        <v>5</v>
      </c>
      <c r="B104" s="32">
        <v>5</v>
      </c>
      <c r="D104" s="32">
        <v>4</v>
      </c>
    </row>
    <row r="105" spans="1:4" x14ac:dyDescent="0.3">
      <c r="A105" s="32">
        <v>5</v>
      </c>
      <c r="B105" s="32">
        <v>5</v>
      </c>
      <c r="D105" s="32">
        <v>4</v>
      </c>
    </row>
    <row r="106" spans="1:4" x14ac:dyDescent="0.3">
      <c r="A106" s="32">
        <v>5</v>
      </c>
      <c r="B106" s="32">
        <v>5</v>
      </c>
      <c r="D106" s="32">
        <v>4</v>
      </c>
    </row>
    <row r="107" spans="1:4" x14ac:dyDescent="0.3">
      <c r="A107" s="32">
        <v>5</v>
      </c>
      <c r="B107" s="32">
        <v>5</v>
      </c>
    </row>
    <row r="108" spans="1:4" x14ac:dyDescent="0.3">
      <c r="A108" s="32">
        <v>5</v>
      </c>
      <c r="B108" s="32">
        <v>5</v>
      </c>
    </row>
    <row r="109" spans="1:4" x14ac:dyDescent="0.3">
      <c r="A109" s="32">
        <v>5</v>
      </c>
      <c r="B109" s="32">
        <v>5</v>
      </c>
    </row>
    <row r="110" spans="1:4" x14ac:dyDescent="0.3">
      <c r="A110" s="32">
        <v>5</v>
      </c>
      <c r="B110" s="32">
        <v>5</v>
      </c>
    </row>
    <row r="111" spans="1:4" x14ac:dyDescent="0.3">
      <c r="A111" s="32">
        <v>5</v>
      </c>
      <c r="B111" s="32">
        <v>5</v>
      </c>
    </row>
    <row r="112" spans="1:4" x14ac:dyDescent="0.3">
      <c r="A112" s="32">
        <v>5</v>
      </c>
      <c r="B112" s="32">
        <v>5</v>
      </c>
    </row>
    <row r="113" spans="1:2" x14ac:dyDescent="0.3">
      <c r="A113" s="32">
        <v>5</v>
      </c>
      <c r="B113" s="32">
        <v>5</v>
      </c>
    </row>
    <row r="114" spans="1:2" x14ac:dyDescent="0.3">
      <c r="A114" s="32">
        <v>4.5</v>
      </c>
      <c r="B114" s="32">
        <v>5</v>
      </c>
    </row>
    <row r="115" spans="1:2" x14ac:dyDescent="0.3">
      <c r="A115" s="32">
        <v>4.5</v>
      </c>
      <c r="B115" s="32">
        <v>5</v>
      </c>
    </row>
    <row r="116" spans="1:2" x14ac:dyDescent="0.3">
      <c r="B116" s="32">
        <v>5</v>
      </c>
    </row>
    <row r="117" spans="1:2" x14ac:dyDescent="0.3">
      <c r="B117" s="32">
        <v>5</v>
      </c>
    </row>
    <row r="118" spans="1:2" x14ac:dyDescent="0.3">
      <c r="B118" s="32">
        <v>5</v>
      </c>
    </row>
    <row r="119" spans="1:2" x14ac:dyDescent="0.3">
      <c r="B119" s="32">
        <v>5</v>
      </c>
    </row>
    <row r="120" spans="1:2" x14ac:dyDescent="0.3">
      <c r="B120" s="32">
        <v>5</v>
      </c>
    </row>
    <row r="121" spans="1:2" x14ac:dyDescent="0.3">
      <c r="B121" s="32">
        <v>5</v>
      </c>
    </row>
    <row r="122" spans="1:2" x14ac:dyDescent="0.3">
      <c r="B122" s="32">
        <v>5</v>
      </c>
    </row>
    <row r="123" spans="1:2" x14ac:dyDescent="0.3">
      <c r="B123" s="32">
        <v>5</v>
      </c>
    </row>
    <row r="124" spans="1:2" x14ac:dyDescent="0.3">
      <c r="B124" s="32">
        <v>5</v>
      </c>
    </row>
    <row r="125" spans="1:2" x14ac:dyDescent="0.3">
      <c r="B125" s="32">
        <v>5</v>
      </c>
    </row>
    <row r="126" spans="1:2" x14ac:dyDescent="0.3">
      <c r="B126" s="32">
        <v>5</v>
      </c>
    </row>
    <row r="127" spans="1:2" x14ac:dyDescent="0.3">
      <c r="B127" s="32">
        <v>5</v>
      </c>
    </row>
    <row r="128" spans="1:2" x14ac:dyDescent="0.3">
      <c r="B128" s="32">
        <v>5</v>
      </c>
    </row>
    <row r="129" spans="2:2" x14ac:dyDescent="0.3">
      <c r="B129" s="32">
        <v>5</v>
      </c>
    </row>
    <row r="130" spans="2:2" x14ac:dyDescent="0.3">
      <c r="B130" s="32">
        <v>4</v>
      </c>
    </row>
    <row r="131" spans="2:2" x14ac:dyDescent="0.3">
      <c r="B131" s="32">
        <v>5</v>
      </c>
    </row>
    <row r="132" spans="2:2" x14ac:dyDescent="0.3">
      <c r="B132" s="32">
        <v>5</v>
      </c>
    </row>
    <row r="133" spans="2:2" x14ac:dyDescent="0.3">
      <c r="B133" s="32">
        <v>5</v>
      </c>
    </row>
    <row r="134" spans="2:2" x14ac:dyDescent="0.3">
      <c r="B134" s="32">
        <v>5</v>
      </c>
    </row>
    <row r="135" spans="2:2" x14ac:dyDescent="0.3">
      <c r="B135" s="32">
        <v>5</v>
      </c>
    </row>
    <row r="136" spans="2:2" x14ac:dyDescent="0.3">
      <c r="B136" s="32">
        <v>5</v>
      </c>
    </row>
    <row r="137" spans="2:2" x14ac:dyDescent="0.3">
      <c r="B137" s="32">
        <v>5</v>
      </c>
    </row>
    <row r="138" spans="2:2" x14ac:dyDescent="0.3">
      <c r="B138" s="32">
        <v>5</v>
      </c>
    </row>
    <row r="139" spans="2:2" x14ac:dyDescent="0.3">
      <c r="B139" s="32">
        <v>5</v>
      </c>
    </row>
    <row r="140" spans="2:2" x14ac:dyDescent="0.3">
      <c r="B140" s="32">
        <v>5</v>
      </c>
    </row>
    <row r="141" spans="2:2" x14ac:dyDescent="0.3">
      <c r="B141" s="32">
        <v>5</v>
      </c>
    </row>
    <row r="142" spans="2:2" x14ac:dyDescent="0.3">
      <c r="B142" s="32">
        <v>5</v>
      </c>
    </row>
    <row r="143" spans="2:2" x14ac:dyDescent="0.3">
      <c r="B143" s="32">
        <v>5</v>
      </c>
    </row>
    <row r="144" spans="2:2" x14ac:dyDescent="0.3">
      <c r="B144" s="32">
        <v>5</v>
      </c>
    </row>
    <row r="145" spans="2:2" x14ac:dyDescent="0.3">
      <c r="B145" s="32">
        <v>5</v>
      </c>
    </row>
    <row r="146" spans="2:2" x14ac:dyDescent="0.3">
      <c r="B146" s="32">
        <v>5</v>
      </c>
    </row>
    <row r="147" spans="2:2" x14ac:dyDescent="0.3">
      <c r="B147" s="32">
        <v>5</v>
      </c>
    </row>
    <row r="148" spans="2:2" x14ac:dyDescent="0.3">
      <c r="B148" s="32">
        <v>5</v>
      </c>
    </row>
    <row r="149" spans="2:2" x14ac:dyDescent="0.3">
      <c r="B149" s="32">
        <v>5</v>
      </c>
    </row>
    <row r="150" spans="2:2" x14ac:dyDescent="0.3">
      <c r="B150" s="32">
        <v>5</v>
      </c>
    </row>
    <row r="151" spans="2:2" x14ac:dyDescent="0.3">
      <c r="B151" s="32">
        <v>5</v>
      </c>
    </row>
    <row r="152" spans="2:2" x14ac:dyDescent="0.3">
      <c r="B152" s="32">
        <v>5</v>
      </c>
    </row>
    <row r="153" spans="2:2" x14ac:dyDescent="0.3">
      <c r="B153" s="32">
        <v>5</v>
      </c>
    </row>
    <row r="154" spans="2:2" x14ac:dyDescent="0.3">
      <c r="B154" s="32">
        <v>4.5</v>
      </c>
    </row>
    <row r="155" spans="2:2" x14ac:dyDescent="0.3">
      <c r="B155" s="32">
        <v>4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D5DCA-F6D5-4D7F-9886-0214F73CFF22}">
  <dimension ref="A1:I24"/>
  <sheetViews>
    <sheetView zoomScale="78" zoomScaleNormal="85" workbookViewId="0">
      <selection activeCell="C6" sqref="C6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9" max="9" width="28.88671875" bestFit="1" customWidth="1"/>
  </cols>
  <sheetData>
    <row r="1" spans="1:9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I1" s="4" t="s">
        <v>26</v>
      </c>
    </row>
    <row r="2" spans="1:9" x14ac:dyDescent="0.3">
      <c r="A2" s="19" t="s">
        <v>20</v>
      </c>
      <c r="B2" s="20">
        <f>D15+E15+F15</f>
        <v>410</v>
      </c>
      <c r="C2" s="20">
        <f>B15+C15</f>
        <v>116</v>
      </c>
      <c r="D2" s="21">
        <f>C2/B2</f>
        <v>0.28292682926829266</v>
      </c>
      <c r="E2" s="26">
        <f>AVERAGE('Notas Jun'!$A$2:$A$200)</f>
        <v>4.9210526315789478</v>
      </c>
      <c r="F2" s="26"/>
      <c r="G2" s="30">
        <f>E2-F2</f>
        <v>4.9210526315789478</v>
      </c>
      <c r="H2" s="1"/>
      <c r="I2" s="35">
        <f>G2*C2</f>
        <v>570.84210526315792</v>
      </c>
    </row>
    <row r="3" spans="1:9" x14ac:dyDescent="0.3">
      <c r="A3" s="5" t="s">
        <v>19</v>
      </c>
      <c r="B3" s="6">
        <f>D16+E16+F16</f>
        <v>429</v>
      </c>
      <c r="C3" s="6">
        <f>B16+C16</f>
        <v>153</v>
      </c>
      <c r="D3" s="33">
        <f>C3/B3</f>
        <v>0.35664335664335667</v>
      </c>
      <c r="E3" s="8">
        <f>AVERAGE('Notas Jun'!$B$2:$B$200)</f>
        <v>4.9253246753246751</v>
      </c>
      <c r="F3" s="8"/>
      <c r="G3" s="31">
        <f t="shared" ref="G3:G5" si="0">E3-F3</f>
        <v>4.9253246753246751</v>
      </c>
      <c r="H3" s="1"/>
      <c r="I3" s="23">
        <f>G3*C3</f>
        <v>753.57467532467524</v>
      </c>
    </row>
    <row r="4" spans="1:9" x14ac:dyDescent="0.3">
      <c r="A4" s="19" t="s">
        <v>21</v>
      </c>
      <c r="B4" s="20">
        <f t="shared" ref="B4:B5" si="1">D17+E17+F17</f>
        <v>271</v>
      </c>
      <c r="C4" s="20">
        <f>B17+C17</f>
        <v>59</v>
      </c>
      <c r="D4" s="21">
        <f>C4/B4</f>
        <v>0.21771217712177121</v>
      </c>
      <c r="E4" s="26">
        <f>AVERAGE('Notas Jun'!$C$2:$C$200)</f>
        <v>4.9913793103448274</v>
      </c>
      <c r="F4" s="26"/>
      <c r="G4" s="30">
        <f t="shared" si="0"/>
        <v>4.9913793103448274</v>
      </c>
      <c r="H4" s="1"/>
      <c r="I4" s="35">
        <f t="shared" ref="I4:I5" si="2">G4*C4</f>
        <v>294.49137931034483</v>
      </c>
    </row>
    <row r="5" spans="1:9" x14ac:dyDescent="0.3">
      <c r="A5" s="5" t="s">
        <v>32</v>
      </c>
      <c r="B5" s="6">
        <f t="shared" si="1"/>
        <v>467</v>
      </c>
      <c r="C5" s="6">
        <f>B18+C18</f>
        <v>113</v>
      </c>
      <c r="D5" s="33">
        <f>C5/B5</f>
        <v>0.24197002141327623</v>
      </c>
      <c r="E5" s="8">
        <f>AVERAGE('Notas Jun'!$D$2:$D$200)</f>
        <v>4.9428571428571431</v>
      </c>
      <c r="F5" s="8"/>
      <c r="G5" s="31">
        <f t="shared" si="0"/>
        <v>4.9428571428571431</v>
      </c>
      <c r="H5" s="1"/>
      <c r="I5" s="35">
        <f t="shared" si="2"/>
        <v>558.5428571428572</v>
      </c>
    </row>
    <row r="6" spans="1:9" x14ac:dyDescent="0.3">
      <c r="A6" s="19"/>
      <c r="B6" s="20"/>
      <c r="C6" s="20"/>
      <c r="D6" s="21"/>
      <c r="E6" s="26"/>
      <c r="F6" s="26"/>
      <c r="G6" s="30"/>
      <c r="H6" s="1"/>
      <c r="I6" s="35"/>
    </row>
    <row r="7" spans="1:9" x14ac:dyDescent="0.3">
      <c r="A7" s="5"/>
      <c r="B7" s="6"/>
      <c r="C7" s="6"/>
      <c r="D7" s="7"/>
      <c r="E7" s="8"/>
      <c r="F7" s="8"/>
      <c r="G7" s="12"/>
      <c r="H7" s="1"/>
      <c r="I7" s="35"/>
    </row>
    <row r="8" spans="1:9" x14ac:dyDescent="0.3">
      <c r="A8" s="1"/>
      <c r="B8" s="1"/>
      <c r="C8" s="1"/>
      <c r="D8" s="9"/>
      <c r="E8" s="1"/>
      <c r="F8" s="27"/>
      <c r="G8" s="13"/>
      <c r="H8" s="1"/>
      <c r="I8" s="1"/>
    </row>
    <row r="9" spans="1:9" x14ac:dyDescent="0.3">
      <c r="A9" s="14" t="s">
        <v>16</v>
      </c>
      <c r="B9" s="14">
        <f>SUM(B2:B7)</f>
        <v>1577</v>
      </c>
      <c r="C9" s="14">
        <f>SUM(C2:C7)</f>
        <v>441</v>
      </c>
      <c r="D9" s="15">
        <f>C9/B9</f>
        <v>0.27964489537095749</v>
      </c>
      <c r="E9" s="16">
        <f>AVERAGE(E2:E7)</f>
        <v>4.9451534400263988</v>
      </c>
      <c r="F9" s="16"/>
      <c r="G9" s="17">
        <f>E9-F9</f>
        <v>4.9451534400263988</v>
      </c>
      <c r="H9" s="1"/>
      <c r="I9" s="18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9" x14ac:dyDescent="0.3">
      <c r="A15" s="19" t="s">
        <v>20</v>
      </c>
      <c r="B15" s="1">
        <f>COUNTIFS(Jun!$B$2:$B$3000,"PSYSTEM_1005",Jun!$E$2:$E$3000,"&gt;100",Jun!$L$2:$L$3000,"&gt;0")</f>
        <v>9</v>
      </c>
      <c r="C15" s="1">
        <f>COUNTIFS(Jun!$C$2:$C$4000,"PSYSTEM_1005",Jun!$E$2:$E$4000,"&gt;100",Jun!$L$2:$L$4000,"&gt;0")+G15</f>
        <v>107</v>
      </c>
      <c r="D15" s="1">
        <f>COUNTIFS(Jun!$B$2:$B$4000,"PSYSTEM_1005",Jun!$E$2:$E$4000,"&gt;100")</f>
        <v>54</v>
      </c>
      <c r="E15" s="1">
        <f>COUNTIFS(Jun!$C$2:$C$4000,"PSYSTEM_1005",Jun!$E$2:$E$4000,"&gt;100")</f>
        <v>254</v>
      </c>
      <c r="F15" s="1">
        <v>102</v>
      </c>
      <c r="G15" s="32">
        <v>23</v>
      </c>
    </row>
    <row r="16" spans="1:9" x14ac:dyDescent="0.3">
      <c r="A16" s="5" t="s">
        <v>19</v>
      </c>
      <c r="B16" s="1">
        <f>COUNTIFS(Jun!$B$2:$B$3000,"PSYSTEM_1002",Jun!$E$2:$E$3000,"&gt;100",Jun!$L$2:$L$3000,"&gt;0")</f>
        <v>21</v>
      </c>
      <c r="C16" s="1">
        <f>COUNTIFS(Jun!$C$2:$C$4000,"PSYSTEM_1002",Jun!$E$2:$E$4000,"&gt;100",Jun!$L$2:$L$4000,"&gt;0")+G16</f>
        <v>132</v>
      </c>
      <c r="D16" s="1">
        <f>COUNTIFS(Jun!$B$2:$B$4000,"PSYSTEM_1002",Jun!$E$2:$E$4000,"&gt;100")</f>
        <v>45</v>
      </c>
      <c r="E16" s="1">
        <f>COUNTIFS(Jun!$C$2:$C$4000,"PSYSTEM_1002",Jun!$E$2:$E$4000,"&gt;100")</f>
        <v>269</v>
      </c>
      <c r="F16" s="32">
        <v>115</v>
      </c>
      <c r="G16" s="32">
        <v>15</v>
      </c>
    </row>
    <row r="17" spans="1:9" x14ac:dyDescent="0.3">
      <c r="A17" s="19" t="s">
        <v>21</v>
      </c>
      <c r="B17" s="1">
        <f>COUNTIFS(Jun!$B$2:$B$3000,"PSYSTEM_1004",Jun!$E$2:$E$3000,"&gt;100",Jun!$L$2:$L$3000,"&gt;0")</f>
        <v>1</v>
      </c>
      <c r="C17" s="1">
        <f>COUNTIFS(Jun!$C$2:$C$4000,"PSYSTEM_1004",Jun!$E$2:$E$4000,"&gt;100",Jun!$L$2:$L$4000,"&gt;0")+G17</f>
        <v>58</v>
      </c>
      <c r="D17" s="1">
        <f>COUNTIFS(Jun!$B$2:$B$4000,"PSYSTEM_1004",Jun!$E$2:$E$4000,"&gt;100")</f>
        <v>14</v>
      </c>
      <c r="E17" s="1">
        <f>COUNTIFS(Jun!$C$2:$C$4000,"PSYSTEM_1004",Jun!$E$2:$E$4000,"&gt;100")</f>
        <v>164</v>
      </c>
      <c r="F17" s="1">
        <v>93</v>
      </c>
      <c r="G17" s="32">
        <v>16</v>
      </c>
    </row>
    <row r="18" spans="1:9" x14ac:dyDescent="0.3">
      <c r="A18" s="5" t="s">
        <v>32</v>
      </c>
      <c r="B18" s="1">
        <f>COUNTIFS(Jun!$B$2:$B$3000,"PSYSTEM_1013",Jun!$E$2:$E$3000,"&gt;100",Jun!$L$2:$L$3000,"&gt;0")</f>
        <v>4</v>
      </c>
      <c r="C18" s="1">
        <f>COUNTIFS(Jun!$C$2:$C$4000,"PSYSTEM_1013",Jun!$E$2:$E$4000,"&gt;100",Jun!$L$2:$L$4000,"&gt;0")+G18</f>
        <v>109</v>
      </c>
      <c r="D18" s="1">
        <f>COUNTIFS(Jun!$B$2:$B$4000,"PSYSTEM_1013",Jun!$E$2:$E$4000,"&gt;100")</f>
        <v>16</v>
      </c>
      <c r="E18" s="1">
        <f>COUNTIFS(Jun!$C$2:$C$4000,"PSYSTEM_1013",Jun!$E$2:$E$4000,"&gt;100")</f>
        <v>243</v>
      </c>
      <c r="F18" s="1">
        <v>208</v>
      </c>
      <c r="G18" s="1">
        <v>36</v>
      </c>
      <c r="H18" s="1"/>
      <c r="I18" s="1"/>
    </row>
    <row r="19" spans="1:9" x14ac:dyDescent="0.3">
      <c r="A19" s="19"/>
      <c r="B19" s="1"/>
      <c r="C19" s="1"/>
      <c r="D19" s="1"/>
      <c r="E19" s="1"/>
      <c r="F19" s="1"/>
      <c r="G19" s="1"/>
      <c r="H19" s="1"/>
      <c r="I19" s="1"/>
    </row>
    <row r="21" spans="1:9" x14ac:dyDescent="0.3">
      <c r="A21" s="22" t="s">
        <v>28</v>
      </c>
      <c r="B21" s="1"/>
      <c r="C21" s="1"/>
    </row>
    <row r="22" spans="1:9" x14ac:dyDescent="0.3">
      <c r="A22" s="22" t="s">
        <v>27</v>
      </c>
      <c r="B22" s="1"/>
      <c r="C22" s="1"/>
    </row>
    <row r="23" spans="1:9" x14ac:dyDescent="0.3">
      <c r="A23" s="22" t="s">
        <v>29</v>
      </c>
      <c r="B23" s="1"/>
      <c r="C23" s="1"/>
    </row>
    <row r="24" spans="1:9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017B-7D3D-4304-A410-6163E7DBF1CC}">
  <dimension ref="A1:E359"/>
  <sheetViews>
    <sheetView zoomScale="87" workbookViewId="0">
      <pane ySplit="1" topLeftCell="A282" activePane="bottomLeft" state="frozen"/>
      <selection pane="bottomLeft" activeCell="H282" sqref="H282"/>
    </sheetView>
  </sheetViews>
  <sheetFormatPr defaultRowHeight="14.4" x14ac:dyDescent="0.3"/>
  <cols>
    <col min="1" max="1" width="16.88671875" style="32" bestFit="1" customWidth="1"/>
    <col min="2" max="2" width="14.109375" style="32" bestFit="1" customWidth="1"/>
    <col min="3" max="4" width="15.5546875" style="32" bestFit="1" customWidth="1"/>
    <col min="5" max="5" width="17" style="32" bestFit="1" customWidth="1"/>
    <col min="6" max="16384" width="8.88671875" style="32"/>
  </cols>
  <sheetData>
    <row r="1" spans="1:5" x14ac:dyDescent="0.3">
      <c r="A1" s="29" t="s">
        <v>20</v>
      </c>
      <c r="B1" s="29" t="s">
        <v>19</v>
      </c>
      <c r="C1" s="29" t="s">
        <v>21</v>
      </c>
      <c r="D1" s="29" t="s">
        <v>32</v>
      </c>
      <c r="E1" s="29" t="s">
        <v>22</v>
      </c>
    </row>
    <row r="2" spans="1:5" x14ac:dyDescent="0.3">
      <c r="A2" s="1">
        <v>5</v>
      </c>
      <c r="B2" s="1">
        <v>5</v>
      </c>
      <c r="C2" s="1">
        <v>5</v>
      </c>
      <c r="D2" s="1">
        <v>5</v>
      </c>
    </row>
    <row r="3" spans="1:5" x14ac:dyDescent="0.3">
      <c r="A3" s="1">
        <v>5</v>
      </c>
      <c r="B3" s="1">
        <v>5</v>
      </c>
      <c r="C3" s="1">
        <v>5</v>
      </c>
      <c r="D3" s="1">
        <v>5</v>
      </c>
    </row>
    <row r="4" spans="1:5" x14ac:dyDescent="0.3">
      <c r="A4" s="1">
        <v>5</v>
      </c>
      <c r="B4" s="1">
        <v>5</v>
      </c>
      <c r="C4" s="1">
        <v>5</v>
      </c>
      <c r="D4" s="1">
        <v>5</v>
      </c>
    </row>
    <row r="5" spans="1:5" x14ac:dyDescent="0.3">
      <c r="A5" s="1">
        <v>5</v>
      </c>
      <c r="B5" s="1">
        <v>5</v>
      </c>
      <c r="C5" s="1">
        <v>5</v>
      </c>
      <c r="D5" s="1">
        <v>5</v>
      </c>
    </row>
    <row r="6" spans="1:5" x14ac:dyDescent="0.3">
      <c r="A6" s="1">
        <v>5</v>
      </c>
      <c r="B6" s="1">
        <v>5</v>
      </c>
      <c r="C6" s="1">
        <v>5</v>
      </c>
      <c r="D6" s="1">
        <v>5</v>
      </c>
    </row>
    <row r="7" spans="1:5" x14ac:dyDescent="0.3">
      <c r="A7" s="1">
        <v>5</v>
      </c>
      <c r="B7" s="1">
        <v>5</v>
      </c>
      <c r="C7" s="1">
        <v>5</v>
      </c>
      <c r="D7" s="1">
        <v>5</v>
      </c>
    </row>
    <row r="8" spans="1:5" x14ac:dyDescent="0.3">
      <c r="A8" s="1">
        <v>5</v>
      </c>
      <c r="B8" s="1">
        <v>5</v>
      </c>
      <c r="C8" s="1">
        <v>5</v>
      </c>
      <c r="D8" s="1">
        <v>5</v>
      </c>
    </row>
    <row r="9" spans="1:5" x14ac:dyDescent="0.3">
      <c r="A9" s="1">
        <v>5</v>
      </c>
      <c r="B9" s="1">
        <v>5</v>
      </c>
      <c r="C9" s="1">
        <v>5</v>
      </c>
      <c r="D9" s="1">
        <v>5</v>
      </c>
    </row>
    <row r="10" spans="1:5" x14ac:dyDescent="0.3">
      <c r="A10" s="1">
        <v>5</v>
      </c>
      <c r="B10" s="1">
        <v>5</v>
      </c>
      <c r="C10" s="1">
        <v>5</v>
      </c>
      <c r="D10" s="1">
        <v>5</v>
      </c>
    </row>
    <row r="11" spans="1:5" x14ac:dyDescent="0.3">
      <c r="A11" s="1">
        <v>5</v>
      </c>
      <c r="B11" s="1">
        <v>5</v>
      </c>
      <c r="C11" s="1">
        <v>4</v>
      </c>
      <c r="D11" s="1">
        <v>5</v>
      </c>
    </row>
    <row r="12" spans="1:5" x14ac:dyDescent="0.3">
      <c r="A12" s="1">
        <v>5</v>
      </c>
      <c r="B12" s="1">
        <v>5</v>
      </c>
      <c r="C12" s="1">
        <v>5</v>
      </c>
      <c r="D12" s="1">
        <v>5</v>
      </c>
    </row>
    <row r="13" spans="1:5" x14ac:dyDescent="0.3">
      <c r="A13" s="1">
        <v>5</v>
      </c>
      <c r="B13" s="1">
        <v>5</v>
      </c>
      <c r="C13" s="1">
        <v>5</v>
      </c>
      <c r="D13" s="1">
        <v>5</v>
      </c>
    </row>
    <row r="14" spans="1:5" x14ac:dyDescent="0.3">
      <c r="A14" s="1">
        <v>5</v>
      </c>
      <c r="B14" s="1">
        <v>5</v>
      </c>
      <c r="C14" s="1">
        <v>5</v>
      </c>
      <c r="D14" s="1">
        <v>5</v>
      </c>
    </row>
    <row r="15" spans="1:5" x14ac:dyDescent="0.3">
      <c r="A15" s="1">
        <v>5</v>
      </c>
      <c r="B15" s="1">
        <v>5</v>
      </c>
      <c r="C15" s="1">
        <v>5</v>
      </c>
      <c r="D15" s="1">
        <v>5</v>
      </c>
    </row>
    <row r="16" spans="1:5" x14ac:dyDescent="0.3">
      <c r="A16" s="1">
        <v>5</v>
      </c>
      <c r="B16" s="1">
        <v>5</v>
      </c>
      <c r="C16" s="1">
        <v>5</v>
      </c>
      <c r="D16" s="1">
        <v>5</v>
      </c>
    </row>
    <row r="17" spans="1:4" x14ac:dyDescent="0.3">
      <c r="A17" s="1">
        <v>5</v>
      </c>
      <c r="B17" s="1">
        <v>5</v>
      </c>
      <c r="C17" s="1">
        <v>5</v>
      </c>
      <c r="D17" s="1">
        <v>5</v>
      </c>
    </row>
    <row r="18" spans="1:4" x14ac:dyDescent="0.3">
      <c r="A18" s="1">
        <v>5</v>
      </c>
      <c r="B18" s="1">
        <v>5</v>
      </c>
      <c r="C18" s="1">
        <v>5</v>
      </c>
      <c r="D18" s="1">
        <v>5</v>
      </c>
    </row>
    <row r="19" spans="1:4" x14ac:dyDescent="0.3">
      <c r="A19" s="1">
        <v>5</v>
      </c>
      <c r="B19" s="1">
        <v>5</v>
      </c>
      <c r="C19" s="1">
        <v>5</v>
      </c>
      <c r="D19" s="1">
        <v>5</v>
      </c>
    </row>
    <row r="20" spans="1:4" x14ac:dyDescent="0.3">
      <c r="A20" s="1">
        <v>5</v>
      </c>
      <c r="B20" s="1">
        <v>5</v>
      </c>
      <c r="C20" s="1">
        <v>5</v>
      </c>
      <c r="D20" s="1">
        <v>4</v>
      </c>
    </row>
    <row r="21" spans="1:4" x14ac:dyDescent="0.3">
      <c r="A21" s="1">
        <v>5</v>
      </c>
      <c r="B21" s="1">
        <v>5</v>
      </c>
      <c r="C21" s="1">
        <v>5</v>
      </c>
      <c r="D21" s="1">
        <v>5</v>
      </c>
    </row>
    <row r="22" spans="1:4" x14ac:dyDescent="0.3">
      <c r="A22" s="1">
        <v>5</v>
      </c>
      <c r="B22" s="1">
        <v>5</v>
      </c>
      <c r="C22" s="1">
        <v>5</v>
      </c>
      <c r="D22" s="1">
        <v>5</v>
      </c>
    </row>
    <row r="23" spans="1:4" x14ac:dyDescent="0.3">
      <c r="A23" s="1">
        <v>5</v>
      </c>
      <c r="B23" s="1">
        <v>5</v>
      </c>
      <c r="C23" s="1">
        <v>5</v>
      </c>
      <c r="D23" s="1">
        <v>5</v>
      </c>
    </row>
    <row r="24" spans="1:4" x14ac:dyDescent="0.3">
      <c r="A24" s="1">
        <v>5</v>
      </c>
      <c r="B24" s="1">
        <v>5</v>
      </c>
      <c r="C24" s="1">
        <v>5</v>
      </c>
      <c r="D24" s="1">
        <v>5</v>
      </c>
    </row>
    <row r="25" spans="1:4" x14ac:dyDescent="0.3">
      <c r="A25" s="1">
        <v>5</v>
      </c>
      <c r="B25" s="1">
        <v>5</v>
      </c>
      <c r="C25" s="1">
        <v>5</v>
      </c>
      <c r="D25" s="1">
        <v>5</v>
      </c>
    </row>
    <row r="26" spans="1:4" x14ac:dyDescent="0.3">
      <c r="A26" s="1">
        <v>5</v>
      </c>
      <c r="B26" s="1">
        <v>5</v>
      </c>
      <c r="C26" s="1">
        <v>5</v>
      </c>
      <c r="D26" s="1">
        <v>5</v>
      </c>
    </row>
    <row r="27" spans="1:4" x14ac:dyDescent="0.3">
      <c r="A27" s="1">
        <v>5</v>
      </c>
      <c r="B27" s="1">
        <v>5</v>
      </c>
      <c r="C27" s="1">
        <v>5</v>
      </c>
      <c r="D27" s="1">
        <v>5</v>
      </c>
    </row>
    <row r="28" spans="1:4" x14ac:dyDescent="0.3">
      <c r="A28" s="1">
        <v>5</v>
      </c>
      <c r="B28" s="1">
        <v>5</v>
      </c>
      <c r="C28" s="1">
        <v>5</v>
      </c>
      <c r="D28" s="1">
        <v>5</v>
      </c>
    </row>
    <row r="29" spans="1:4" x14ac:dyDescent="0.3">
      <c r="A29" s="1">
        <v>4</v>
      </c>
      <c r="B29" s="1">
        <v>5</v>
      </c>
      <c r="C29" s="1">
        <v>3</v>
      </c>
      <c r="D29" s="1">
        <v>5</v>
      </c>
    </row>
    <row r="30" spans="1:4" x14ac:dyDescent="0.3">
      <c r="A30" s="1">
        <v>5</v>
      </c>
      <c r="B30" s="1">
        <v>5</v>
      </c>
      <c r="C30" s="1">
        <v>5</v>
      </c>
      <c r="D30" s="1">
        <v>5</v>
      </c>
    </row>
    <row r="31" spans="1:4" x14ac:dyDescent="0.3">
      <c r="A31" s="1">
        <v>5</v>
      </c>
      <c r="B31" s="1">
        <v>5</v>
      </c>
      <c r="C31" s="1">
        <v>5</v>
      </c>
      <c r="D31" s="1">
        <v>5</v>
      </c>
    </row>
    <row r="32" spans="1:4" x14ac:dyDescent="0.3">
      <c r="A32" s="1">
        <v>5</v>
      </c>
      <c r="B32" s="1">
        <v>5</v>
      </c>
      <c r="C32" s="1">
        <v>4</v>
      </c>
      <c r="D32" s="1">
        <v>5</v>
      </c>
    </row>
    <row r="33" spans="1:4" x14ac:dyDescent="0.3">
      <c r="A33" s="1">
        <v>5</v>
      </c>
      <c r="B33" s="1">
        <v>5</v>
      </c>
      <c r="C33" s="1">
        <v>5</v>
      </c>
      <c r="D33" s="1">
        <v>5</v>
      </c>
    </row>
    <row r="34" spans="1:4" x14ac:dyDescent="0.3">
      <c r="A34" s="1">
        <v>5</v>
      </c>
      <c r="B34" s="1">
        <v>5</v>
      </c>
      <c r="C34" s="1">
        <v>5</v>
      </c>
      <c r="D34" s="1">
        <v>5</v>
      </c>
    </row>
    <row r="35" spans="1:4" x14ac:dyDescent="0.3">
      <c r="A35" s="1">
        <v>5</v>
      </c>
      <c r="B35" s="1">
        <v>5</v>
      </c>
      <c r="C35" s="1">
        <v>5</v>
      </c>
      <c r="D35" s="1">
        <v>5</v>
      </c>
    </row>
    <row r="36" spans="1:4" x14ac:dyDescent="0.3">
      <c r="A36" s="1">
        <v>5</v>
      </c>
      <c r="B36" s="1">
        <v>5</v>
      </c>
      <c r="C36" s="1">
        <v>5</v>
      </c>
      <c r="D36" s="1">
        <v>5</v>
      </c>
    </row>
    <row r="37" spans="1:4" x14ac:dyDescent="0.3">
      <c r="A37" s="1">
        <v>5</v>
      </c>
      <c r="B37" s="1">
        <v>5</v>
      </c>
      <c r="C37" s="1">
        <v>5</v>
      </c>
      <c r="D37" s="1">
        <v>5</v>
      </c>
    </row>
    <row r="38" spans="1:4" x14ac:dyDescent="0.3">
      <c r="A38" s="1">
        <v>5</v>
      </c>
      <c r="B38" s="1">
        <v>5</v>
      </c>
      <c r="C38" s="1">
        <v>5</v>
      </c>
      <c r="D38" s="1">
        <v>5</v>
      </c>
    </row>
    <row r="39" spans="1:4" x14ac:dyDescent="0.3">
      <c r="A39" s="1">
        <v>5</v>
      </c>
      <c r="B39" s="1">
        <v>5</v>
      </c>
      <c r="C39" s="1">
        <v>5</v>
      </c>
      <c r="D39" s="1">
        <v>5</v>
      </c>
    </row>
    <row r="40" spans="1:4" x14ac:dyDescent="0.3">
      <c r="A40" s="1">
        <v>5</v>
      </c>
      <c r="B40" s="1">
        <v>5</v>
      </c>
      <c r="C40" s="1">
        <v>5</v>
      </c>
      <c r="D40" s="1">
        <v>5</v>
      </c>
    </row>
    <row r="41" spans="1:4" x14ac:dyDescent="0.3">
      <c r="A41" s="1">
        <v>5</v>
      </c>
      <c r="B41" s="1">
        <v>5</v>
      </c>
      <c r="C41" s="1">
        <v>5</v>
      </c>
      <c r="D41" s="1">
        <v>5</v>
      </c>
    </row>
    <row r="42" spans="1:4" x14ac:dyDescent="0.3">
      <c r="A42" s="1">
        <v>5</v>
      </c>
      <c r="B42" s="1">
        <v>5</v>
      </c>
      <c r="C42" s="1">
        <v>5</v>
      </c>
      <c r="D42" s="1">
        <v>5</v>
      </c>
    </row>
    <row r="43" spans="1:4" x14ac:dyDescent="0.3">
      <c r="A43" s="1">
        <v>5</v>
      </c>
      <c r="B43" s="1">
        <v>5</v>
      </c>
      <c r="C43" s="1">
        <v>5</v>
      </c>
      <c r="D43" s="1">
        <v>5</v>
      </c>
    </row>
    <row r="44" spans="1:4" x14ac:dyDescent="0.3">
      <c r="A44" s="1">
        <v>5</v>
      </c>
      <c r="B44" s="1">
        <v>5</v>
      </c>
      <c r="C44" s="1">
        <v>5</v>
      </c>
      <c r="D44" s="1">
        <v>5</v>
      </c>
    </row>
    <row r="45" spans="1:4" x14ac:dyDescent="0.3">
      <c r="A45" s="1">
        <v>5</v>
      </c>
      <c r="B45" s="1">
        <v>5</v>
      </c>
      <c r="C45" s="1">
        <v>5</v>
      </c>
      <c r="D45" s="1">
        <v>5</v>
      </c>
    </row>
    <row r="46" spans="1:4" x14ac:dyDescent="0.3">
      <c r="A46" s="1">
        <v>5</v>
      </c>
      <c r="B46" s="1">
        <v>5</v>
      </c>
      <c r="C46" s="1">
        <v>5</v>
      </c>
      <c r="D46" s="1">
        <v>5</v>
      </c>
    </row>
    <row r="47" spans="1:4" x14ac:dyDescent="0.3">
      <c r="A47" s="1">
        <v>5</v>
      </c>
      <c r="B47" s="1">
        <v>5</v>
      </c>
      <c r="C47" s="1">
        <v>5</v>
      </c>
      <c r="D47" s="1">
        <v>5</v>
      </c>
    </row>
    <row r="48" spans="1:4" x14ac:dyDescent="0.3">
      <c r="A48" s="1">
        <v>5</v>
      </c>
      <c r="B48" s="1">
        <v>5</v>
      </c>
      <c r="C48" s="1">
        <v>5</v>
      </c>
      <c r="D48" s="1">
        <v>5</v>
      </c>
    </row>
    <row r="49" spans="1:4" x14ac:dyDescent="0.3">
      <c r="A49" s="1">
        <v>5</v>
      </c>
      <c r="B49" s="1">
        <v>5</v>
      </c>
      <c r="C49" s="1">
        <v>5</v>
      </c>
      <c r="D49" s="1">
        <v>5</v>
      </c>
    </row>
    <row r="50" spans="1:4" x14ac:dyDescent="0.3">
      <c r="A50" s="1">
        <v>5</v>
      </c>
      <c r="B50" s="1">
        <v>5</v>
      </c>
      <c r="C50" s="1">
        <v>5</v>
      </c>
      <c r="D50" s="1">
        <v>5</v>
      </c>
    </row>
    <row r="51" spans="1:4" x14ac:dyDescent="0.3">
      <c r="A51" s="1">
        <v>5</v>
      </c>
      <c r="B51" s="1">
        <v>5</v>
      </c>
      <c r="C51" s="1">
        <v>5</v>
      </c>
      <c r="D51" s="1">
        <v>5</v>
      </c>
    </row>
    <row r="52" spans="1:4" x14ac:dyDescent="0.3">
      <c r="A52" s="1">
        <v>5</v>
      </c>
      <c r="B52" s="1">
        <v>5</v>
      </c>
      <c r="C52" s="1">
        <v>5</v>
      </c>
      <c r="D52" s="32">
        <v>5</v>
      </c>
    </row>
    <row r="53" spans="1:4" x14ac:dyDescent="0.3">
      <c r="A53" s="1">
        <v>5</v>
      </c>
      <c r="B53" s="1">
        <v>5</v>
      </c>
      <c r="C53" s="1">
        <v>5</v>
      </c>
      <c r="D53" s="32">
        <v>5</v>
      </c>
    </row>
    <row r="54" spans="1:4" x14ac:dyDescent="0.3">
      <c r="A54" s="1">
        <v>5</v>
      </c>
      <c r="B54" s="1">
        <v>5</v>
      </c>
      <c r="C54" s="1">
        <v>5</v>
      </c>
      <c r="D54" s="32">
        <v>5</v>
      </c>
    </row>
    <row r="55" spans="1:4" x14ac:dyDescent="0.3">
      <c r="A55" s="1">
        <v>5</v>
      </c>
      <c r="B55" s="1">
        <v>5</v>
      </c>
      <c r="C55" s="1">
        <v>5</v>
      </c>
      <c r="D55" s="32">
        <v>5</v>
      </c>
    </row>
    <row r="56" spans="1:4" x14ac:dyDescent="0.3">
      <c r="A56" s="1">
        <v>5</v>
      </c>
      <c r="B56" s="1">
        <v>5</v>
      </c>
      <c r="C56" s="1">
        <v>5</v>
      </c>
      <c r="D56" s="32">
        <v>5</v>
      </c>
    </row>
    <row r="57" spans="1:4" x14ac:dyDescent="0.3">
      <c r="A57" s="1">
        <v>5</v>
      </c>
      <c r="B57" s="1">
        <v>5</v>
      </c>
      <c r="C57" s="1">
        <v>5</v>
      </c>
      <c r="D57" s="32">
        <v>5</v>
      </c>
    </row>
    <row r="58" spans="1:4" x14ac:dyDescent="0.3">
      <c r="A58" s="1">
        <v>5</v>
      </c>
      <c r="B58" s="1">
        <v>5</v>
      </c>
      <c r="C58" s="1">
        <v>5</v>
      </c>
      <c r="D58" s="32">
        <v>5</v>
      </c>
    </row>
    <row r="59" spans="1:4" x14ac:dyDescent="0.3">
      <c r="A59" s="1">
        <v>5</v>
      </c>
      <c r="B59" s="1">
        <v>5</v>
      </c>
      <c r="C59" s="1">
        <v>5</v>
      </c>
      <c r="D59" s="32">
        <v>5</v>
      </c>
    </row>
    <row r="60" spans="1:4" x14ac:dyDescent="0.3">
      <c r="A60" s="1">
        <v>5</v>
      </c>
      <c r="B60" s="1">
        <v>5</v>
      </c>
      <c r="C60" s="1">
        <v>5</v>
      </c>
      <c r="D60" s="32">
        <v>5</v>
      </c>
    </row>
    <row r="61" spans="1:4" x14ac:dyDescent="0.3">
      <c r="A61" s="1">
        <v>5</v>
      </c>
      <c r="B61" s="1">
        <v>5</v>
      </c>
      <c r="C61" s="1">
        <v>5</v>
      </c>
      <c r="D61" s="32">
        <v>5</v>
      </c>
    </row>
    <row r="62" spans="1:4" x14ac:dyDescent="0.3">
      <c r="A62" s="1">
        <v>5</v>
      </c>
      <c r="B62" s="1">
        <v>5</v>
      </c>
      <c r="C62" s="1">
        <v>5</v>
      </c>
      <c r="D62" s="32">
        <v>5</v>
      </c>
    </row>
    <row r="63" spans="1:4" x14ac:dyDescent="0.3">
      <c r="A63" s="1">
        <v>5</v>
      </c>
      <c r="B63" s="1">
        <v>5</v>
      </c>
      <c r="C63" s="1">
        <v>5</v>
      </c>
      <c r="D63" s="32">
        <v>5</v>
      </c>
    </row>
    <row r="64" spans="1:4" x14ac:dyDescent="0.3">
      <c r="A64" s="1">
        <v>5</v>
      </c>
      <c r="B64" s="1">
        <v>4</v>
      </c>
      <c r="C64" s="1">
        <v>5</v>
      </c>
      <c r="D64" s="32">
        <v>5</v>
      </c>
    </row>
    <row r="65" spans="1:4" x14ac:dyDescent="0.3">
      <c r="A65" s="1">
        <v>5</v>
      </c>
      <c r="B65" s="1">
        <v>5</v>
      </c>
      <c r="C65" s="1">
        <v>5</v>
      </c>
      <c r="D65" s="32">
        <v>5</v>
      </c>
    </row>
    <row r="66" spans="1:4" x14ac:dyDescent="0.3">
      <c r="A66" s="1">
        <v>5</v>
      </c>
      <c r="B66" s="1">
        <v>5</v>
      </c>
      <c r="C66" s="1">
        <v>5</v>
      </c>
      <c r="D66" s="32">
        <v>5</v>
      </c>
    </row>
    <row r="67" spans="1:4" x14ac:dyDescent="0.3">
      <c r="A67" s="1">
        <v>5</v>
      </c>
      <c r="B67" s="1">
        <v>5</v>
      </c>
      <c r="C67" s="1">
        <v>5</v>
      </c>
      <c r="D67" s="32">
        <v>5</v>
      </c>
    </row>
    <row r="68" spans="1:4" x14ac:dyDescent="0.3">
      <c r="A68" s="1">
        <v>5</v>
      </c>
      <c r="B68" s="1">
        <v>5</v>
      </c>
      <c r="C68" s="1">
        <v>5</v>
      </c>
      <c r="D68" s="32">
        <v>5</v>
      </c>
    </row>
    <row r="69" spans="1:4" x14ac:dyDescent="0.3">
      <c r="A69" s="1">
        <v>5</v>
      </c>
      <c r="B69" s="1">
        <v>5</v>
      </c>
      <c r="C69" s="1">
        <v>5</v>
      </c>
      <c r="D69" s="32">
        <v>5</v>
      </c>
    </row>
    <row r="70" spans="1:4" x14ac:dyDescent="0.3">
      <c r="A70" s="1">
        <v>5</v>
      </c>
      <c r="B70" s="1">
        <v>5</v>
      </c>
      <c r="C70" s="1">
        <v>5</v>
      </c>
      <c r="D70" s="32">
        <v>4.5</v>
      </c>
    </row>
    <row r="71" spans="1:4" x14ac:dyDescent="0.3">
      <c r="A71" s="1">
        <v>5</v>
      </c>
      <c r="B71" s="1">
        <v>5</v>
      </c>
      <c r="C71" s="1">
        <v>4</v>
      </c>
      <c r="D71" s="32">
        <v>4</v>
      </c>
    </row>
    <row r="72" spans="1:4" x14ac:dyDescent="0.3">
      <c r="A72" s="1">
        <v>5</v>
      </c>
      <c r="B72" s="1">
        <v>5</v>
      </c>
      <c r="C72" s="1">
        <v>5</v>
      </c>
      <c r="D72" s="32">
        <v>5</v>
      </c>
    </row>
    <row r="73" spans="1:4" x14ac:dyDescent="0.3">
      <c r="A73" s="1">
        <v>5</v>
      </c>
      <c r="B73" s="1">
        <v>5</v>
      </c>
      <c r="C73" s="1">
        <v>5</v>
      </c>
      <c r="D73" s="32">
        <v>5</v>
      </c>
    </row>
    <row r="74" spans="1:4" x14ac:dyDescent="0.3">
      <c r="A74" s="1">
        <v>5</v>
      </c>
      <c r="B74" s="1">
        <v>5</v>
      </c>
      <c r="C74" s="1">
        <v>5</v>
      </c>
      <c r="D74" s="32">
        <v>5</v>
      </c>
    </row>
    <row r="75" spans="1:4" x14ac:dyDescent="0.3">
      <c r="A75" s="1">
        <v>5</v>
      </c>
      <c r="B75" s="1">
        <v>5</v>
      </c>
      <c r="C75" s="1">
        <v>5</v>
      </c>
      <c r="D75" s="32">
        <v>5</v>
      </c>
    </row>
    <row r="76" spans="1:4" x14ac:dyDescent="0.3">
      <c r="A76" s="1">
        <v>5</v>
      </c>
      <c r="B76" s="1">
        <v>5</v>
      </c>
      <c r="C76" s="1">
        <v>5</v>
      </c>
      <c r="D76" s="32">
        <v>5</v>
      </c>
    </row>
    <row r="77" spans="1:4" x14ac:dyDescent="0.3">
      <c r="A77" s="1">
        <v>5</v>
      </c>
      <c r="B77" s="1">
        <v>5</v>
      </c>
      <c r="C77" s="1">
        <v>5</v>
      </c>
      <c r="D77" s="32">
        <v>5</v>
      </c>
    </row>
    <row r="78" spans="1:4" x14ac:dyDescent="0.3">
      <c r="A78" s="1">
        <v>5</v>
      </c>
      <c r="B78" s="1">
        <v>5</v>
      </c>
      <c r="C78" s="1">
        <v>5</v>
      </c>
      <c r="D78" s="32">
        <v>5</v>
      </c>
    </row>
    <row r="79" spans="1:4" x14ac:dyDescent="0.3">
      <c r="A79" s="1">
        <v>5</v>
      </c>
      <c r="B79" s="1">
        <v>5</v>
      </c>
      <c r="C79" s="1">
        <v>5</v>
      </c>
      <c r="D79" s="32">
        <v>5</v>
      </c>
    </row>
    <row r="80" spans="1:4" x14ac:dyDescent="0.3">
      <c r="A80" s="1">
        <v>5</v>
      </c>
      <c r="B80" s="1">
        <v>4</v>
      </c>
      <c r="C80" s="1">
        <v>5</v>
      </c>
      <c r="D80" s="32">
        <v>5</v>
      </c>
    </row>
    <row r="81" spans="1:4" x14ac:dyDescent="0.3">
      <c r="A81" s="1">
        <v>5</v>
      </c>
      <c r="B81" s="1">
        <v>5</v>
      </c>
      <c r="C81" s="1">
        <v>5</v>
      </c>
      <c r="D81" s="32">
        <v>5</v>
      </c>
    </row>
    <row r="82" spans="1:4" x14ac:dyDescent="0.3">
      <c r="A82" s="1">
        <v>5</v>
      </c>
      <c r="B82" s="1">
        <v>5</v>
      </c>
      <c r="C82" s="1">
        <v>5</v>
      </c>
      <c r="D82" s="32">
        <v>5</v>
      </c>
    </row>
    <row r="83" spans="1:4" x14ac:dyDescent="0.3">
      <c r="A83" s="1">
        <v>5</v>
      </c>
      <c r="B83" s="1">
        <v>5</v>
      </c>
      <c r="C83" s="1">
        <v>5</v>
      </c>
      <c r="D83" s="32">
        <v>5</v>
      </c>
    </row>
    <row r="84" spans="1:4" x14ac:dyDescent="0.3">
      <c r="A84" s="1">
        <v>5</v>
      </c>
      <c r="B84" s="1">
        <v>5</v>
      </c>
      <c r="C84" s="1">
        <v>5</v>
      </c>
      <c r="D84" s="32">
        <v>5</v>
      </c>
    </row>
    <row r="85" spans="1:4" x14ac:dyDescent="0.3">
      <c r="A85" s="1">
        <v>5</v>
      </c>
      <c r="B85" s="1">
        <v>5</v>
      </c>
      <c r="C85" s="1">
        <v>5</v>
      </c>
      <c r="D85" s="32">
        <v>5</v>
      </c>
    </row>
    <row r="86" spans="1:4" x14ac:dyDescent="0.3">
      <c r="A86" s="1">
        <v>5</v>
      </c>
      <c r="B86" s="1">
        <v>5</v>
      </c>
      <c r="C86" s="1">
        <v>5</v>
      </c>
      <c r="D86" s="32">
        <v>5</v>
      </c>
    </row>
    <row r="87" spans="1:4" x14ac:dyDescent="0.3">
      <c r="A87" s="1">
        <v>5</v>
      </c>
      <c r="B87" s="1">
        <v>5</v>
      </c>
      <c r="C87" s="38">
        <v>5</v>
      </c>
      <c r="D87" s="32">
        <v>5</v>
      </c>
    </row>
    <row r="88" spans="1:4" x14ac:dyDescent="0.3">
      <c r="A88" s="38">
        <v>5</v>
      </c>
      <c r="B88" s="1">
        <v>5</v>
      </c>
      <c r="C88" s="1">
        <v>5</v>
      </c>
      <c r="D88" s="32">
        <v>5</v>
      </c>
    </row>
    <row r="89" spans="1:4" x14ac:dyDescent="0.3">
      <c r="A89" s="1">
        <v>5</v>
      </c>
      <c r="B89" s="1">
        <v>5</v>
      </c>
      <c r="C89" s="1">
        <v>5</v>
      </c>
      <c r="D89" s="32">
        <v>5</v>
      </c>
    </row>
    <row r="90" spans="1:4" x14ac:dyDescent="0.3">
      <c r="A90" s="1">
        <v>5</v>
      </c>
      <c r="B90" s="1">
        <v>5</v>
      </c>
      <c r="C90" s="1">
        <v>5</v>
      </c>
      <c r="D90" s="32">
        <v>5</v>
      </c>
    </row>
    <row r="91" spans="1:4" x14ac:dyDescent="0.3">
      <c r="A91" s="1">
        <v>5</v>
      </c>
      <c r="B91" s="1">
        <v>5</v>
      </c>
      <c r="C91" s="1">
        <v>5</v>
      </c>
      <c r="D91" s="32">
        <v>5</v>
      </c>
    </row>
    <row r="92" spans="1:4" x14ac:dyDescent="0.3">
      <c r="A92" s="1">
        <v>5</v>
      </c>
      <c r="B92" s="1">
        <v>5</v>
      </c>
      <c r="C92" s="1">
        <v>5</v>
      </c>
      <c r="D92" s="32">
        <v>5</v>
      </c>
    </row>
    <row r="93" spans="1:4" x14ac:dyDescent="0.3">
      <c r="A93" s="1">
        <v>5</v>
      </c>
      <c r="B93" s="1">
        <v>5</v>
      </c>
      <c r="C93" s="1">
        <v>5</v>
      </c>
      <c r="D93" s="32">
        <v>5</v>
      </c>
    </row>
    <row r="94" spans="1:4" x14ac:dyDescent="0.3">
      <c r="A94" s="1">
        <v>5</v>
      </c>
      <c r="B94" s="1">
        <v>5</v>
      </c>
      <c r="C94" s="32">
        <v>5</v>
      </c>
      <c r="D94" s="32">
        <v>5</v>
      </c>
    </row>
    <row r="95" spans="1:4" x14ac:dyDescent="0.3">
      <c r="A95" s="1">
        <v>5</v>
      </c>
      <c r="B95" s="1">
        <v>4</v>
      </c>
      <c r="C95" s="32">
        <v>5</v>
      </c>
      <c r="D95" s="32">
        <v>5</v>
      </c>
    </row>
    <row r="96" spans="1:4" x14ac:dyDescent="0.3">
      <c r="A96" s="1">
        <v>5</v>
      </c>
      <c r="B96" s="1">
        <v>5</v>
      </c>
      <c r="C96" s="32">
        <v>5</v>
      </c>
      <c r="D96" s="32">
        <v>5</v>
      </c>
    </row>
    <row r="97" spans="1:4" x14ac:dyDescent="0.3">
      <c r="A97" s="1">
        <v>5</v>
      </c>
      <c r="B97" s="1">
        <v>5</v>
      </c>
      <c r="C97" s="32">
        <v>5</v>
      </c>
      <c r="D97" s="32">
        <v>5</v>
      </c>
    </row>
    <row r="98" spans="1:4" x14ac:dyDescent="0.3">
      <c r="A98" s="1">
        <v>5</v>
      </c>
      <c r="B98" s="1">
        <v>5</v>
      </c>
      <c r="C98" s="32">
        <v>5</v>
      </c>
      <c r="D98" s="32">
        <v>5</v>
      </c>
    </row>
    <row r="99" spans="1:4" x14ac:dyDescent="0.3">
      <c r="A99" s="1">
        <v>5</v>
      </c>
      <c r="B99" s="1">
        <v>5</v>
      </c>
      <c r="C99" s="32">
        <v>5</v>
      </c>
      <c r="D99" s="32">
        <v>5</v>
      </c>
    </row>
    <row r="100" spans="1:4" x14ac:dyDescent="0.3">
      <c r="A100" s="1">
        <v>5</v>
      </c>
      <c r="B100" s="32">
        <v>5</v>
      </c>
      <c r="C100" s="32">
        <v>5</v>
      </c>
      <c r="D100" s="32">
        <v>5</v>
      </c>
    </row>
    <row r="101" spans="1:4" x14ac:dyDescent="0.3">
      <c r="A101" s="32">
        <v>5</v>
      </c>
      <c r="B101" s="32">
        <v>5</v>
      </c>
      <c r="C101" s="32">
        <v>5</v>
      </c>
      <c r="D101" s="32">
        <v>5</v>
      </c>
    </row>
    <row r="102" spans="1:4" x14ac:dyDescent="0.3">
      <c r="A102" s="32">
        <v>5</v>
      </c>
      <c r="B102" s="32">
        <v>5</v>
      </c>
      <c r="C102" s="32">
        <v>5</v>
      </c>
      <c r="D102" s="32">
        <v>5</v>
      </c>
    </row>
    <row r="103" spans="1:4" x14ac:dyDescent="0.3">
      <c r="A103" s="32">
        <v>5</v>
      </c>
      <c r="B103" s="32">
        <v>5</v>
      </c>
      <c r="C103" s="32">
        <v>5</v>
      </c>
      <c r="D103" s="32">
        <v>5</v>
      </c>
    </row>
    <row r="104" spans="1:4" x14ac:dyDescent="0.3">
      <c r="A104" s="32">
        <v>5</v>
      </c>
      <c r="B104" s="32">
        <v>5</v>
      </c>
      <c r="C104" s="32">
        <v>5</v>
      </c>
      <c r="D104" s="32">
        <v>5</v>
      </c>
    </row>
    <row r="105" spans="1:4" x14ac:dyDescent="0.3">
      <c r="A105" s="32">
        <v>5</v>
      </c>
      <c r="B105" s="32">
        <v>5</v>
      </c>
      <c r="C105" s="32">
        <v>5</v>
      </c>
      <c r="D105" s="32">
        <v>5</v>
      </c>
    </row>
    <row r="106" spans="1:4" x14ac:dyDescent="0.3">
      <c r="A106" s="32">
        <v>5</v>
      </c>
      <c r="B106" s="32">
        <v>5</v>
      </c>
      <c r="C106" s="32">
        <v>5</v>
      </c>
      <c r="D106" s="32">
        <v>5</v>
      </c>
    </row>
    <row r="107" spans="1:4" x14ac:dyDescent="0.3">
      <c r="A107" s="32">
        <v>5</v>
      </c>
      <c r="B107" s="32">
        <v>5</v>
      </c>
      <c r="C107" s="32">
        <v>5</v>
      </c>
      <c r="D107" s="32">
        <v>5</v>
      </c>
    </row>
    <row r="108" spans="1:4" x14ac:dyDescent="0.3">
      <c r="A108" s="32">
        <v>5</v>
      </c>
      <c r="B108" s="32">
        <v>5</v>
      </c>
      <c r="C108" s="32">
        <v>5</v>
      </c>
      <c r="D108" s="32">
        <v>5</v>
      </c>
    </row>
    <row r="109" spans="1:4" x14ac:dyDescent="0.3">
      <c r="A109" s="32">
        <v>5</v>
      </c>
      <c r="B109" s="32">
        <v>5</v>
      </c>
      <c r="C109" s="32">
        <v>5</v>
      </c>
      <c r="D109" s="32">
        <v>5</v>
      </c>
    </row>
    <row r="110" spans="1:4" x14ac:dyDescent="0.3">
      <c r="A110" s="32">
        <v>5</v>
      </c>
      <c r="B110" s="32">
        <v>5</v>
      </c>
      <c r="C110" s="32">
        <v>5</v>
      </c>
      <c r="D110" s="32">
        <v>5</v>
      </c>
    </row>
    <row r="111" spans="1:4" x14ac:dyDescent="0.3">
      <c r="A111" s="32">
        <v>5</v>
      </c>
      <c r="B111" s="32">
        <v>5</v>
      </c>
      <c r="C111" s="32">
        <v>5</v>
      </c>
      <c r="D111" s="32">
        <v>5</v>
      </c>
    </row>
    <row r="112" spans="1:4" x14ac:dyDescent="0.3">
      <c r="A112" s="32">
        <v>5</v>
      </c>
      <c r="B112" s="32">
        <v>5</v>
      </c>
      <c r="C112" s="32">
        <v>5</v>
      </c>
      <c r="D112" s="32">
        <v>5</v>
      </c>
    </row>
    <row r="113" spans="1:4" x14ac:dyDescent="0.3">
      <c r="A113" s="32">
        <v>5</v>
      </c>
      <c r="B113" s="32">
        <v>5</v>
      </c>
      <c r="C113" s="32">
        <v>5</v>
      </c>
      <c r="D113" s="32">
        <v>5</v>
      </c>
    </row>
    <row r="114" spans="1:4" x14ac:dyDescent="0.3">
      <c r="A114" s="32">
        <v>5</v>
      </c>
      <c r="B114" s="32">
        <v>5</v>
      </c>
      <c r="C114" s="32">
        <v>5</v>
      </c>
      <c r="D114" s="32">
        <v>5</v>
      </c>
    </row>
    <row r="115" spans="1:4" x14ac:dyDescent="0.3">
      <c r="A115" s="32">
        <v>5</v>
      </c>
      <c r="B115" s="32">
        <v>4.5</v>
      </c>
      <c r="C115" s="32">
        <v>5</v>
      </c>
      <c r="D115" s="32">
        <v>5</v>
      </c>
    </row>
    <row r="116" spans="1:4" x14ac:dyDescent="0.3">
      <c r="A116" s="32">
        <v>5</v>
      </c>
      <c r="B116" s="32">
        <v>4.5</v>
      </c>
      <c r="C116" s="32">
        <v>5</v>
      </c>
      <c r="D116" s="32">
        <v>5</v>
      </c>
    </row>
    <row r="117" spans="1:4" x14ac:dyDescent="0.3">
      <c r="A117" s="32">
        <v>5</v>
      </c>
      <c r="B117" s="32">
        <v>5</v>
      </c>
      <c r="C117" s="32">
        <v>5</v>
      </c>
      <c r="D117" s="32">
        <v>5</v>
      </c>
    </row>
    <row r="118" spans="1:4" x14ac:dyDescent="0.3">
      <c r="A118" s="32">
        <v>5</v>
      </c>
      <c r="B118" s="32">
        <v>5</v>
      </c>
      <c r="C118" s="32">
        <v>5</v>
      </c>
      <c r="D118" s="32">
        <v>5</v>
      </c>
    </row>
    <row r="119" spans="1:4" x14ac:dyDescent="0.3">
      <c r="A119" s="32">
        <v>5</v>
      </c>
      <c r="B119" s="32">
        <v>5</v>
      </c>
      <c r="C119" s="32">
        <v>5</v>
      </c>
      <c r="D119" s="32">
        <v>5</v>
      </c>
    </row>
    <row r="120" spans="1:4" x14ac:dyDescent="0.3">
      <c r="A120" s="32">
        <v>5</v>
      </c>
      <c r="B120" s="32">
        <v>4</v>
      </c>
      <c r="C120" s="32">
        <v>5</v>
      </c>
      <c r="D120" s="32">
        <v>5</v>
      </c>
    </row>
    <row r="121" spans="1:4" x14ac:dyDescent="0.3">
      <c r="A121" s="32">
        <v>5</v>
      </c>
      <c r="B121" s="32">
        <v>5</v>
      </c>
      <c r="C121" s="32">
        <v>5</v>
      </c>
      <c r="D121" s="32">
        <v>5</v>
      </c>
    </row>
    <row r="122" spans="1:4" x14ac:dyDescent="0.3">
      <c r="A122" s="32">
        <v>5</v>
      </c>
      <c r="B122" s="32">
        <v>5</v>
      </c>
      <c r="C122" s="32">
        <v>5</v>
      </c>
      <c r="D122" s="32">
        <v>5</v>
      </c>
    </row>
    <row r="123" spans="1:4" x14ac:dyDescent="0.3">
      <c r="A123" s="32">
        <v>4</v>
      </c>
      <c r="B123" s="32">
        <v>5</v>
      </c>
      <c r="C123" s="32">
        <v>5</v>
      </c>
      <c r="D123" s="32">
        <v>5</v>
      </c>
    </row>
    <row r="124" spans="1:4" x14ac:dyDescent="0.3">
      <c r="A124" s="32">
        <v>5</v>
      </c>
      <c r="B124" s="32">
        <v>5</v>
      </c>
      <c r="C124" s="32">
        <v>5</v>
      </c>
      <c r="D124" s="32">
        <v>5</v>
      </c>
    </row>
    <row r="125" spans="1:4" x14ac:dyDescent="0.3">
      <c r="A125" s="32">
        <v>5</v>
      </c>
      <c r="B125" s="32">
        <v>5</v>
      </c>
      <c r="C125" s="32">
        <v>5</v>
      </c>
      <c r="D125" s="32">
        <v>5</v>
      </c>
    </row>
    <row r="126" spans="1:4" x14ac:dyDescent="0.3">
      <c r="A126" s="32">
        <v>5</v>
      </c>
      <c r="B126" s="32">
        <v>5</v>
      </c>
      <c r="C126" s="32">
        <v>5</v>
      </c>
      <c r="D126" s="32">
        <v>5</v>
      </c>
    </row>
    <row r="127" spans="1:4" x14ac:dyDescent="0.3">
      <c r="A127" s="32">
        <v>5</v>
      </c>
      <c r="B127" s="32">
        <v>5</v>
      </c>
      <c r="C127" s="32">
        <v>5</v>
      </c>
      <c r="D127" s="32">
        <v>5</v>
      </c>
    </row>
    <row r="128" spans="1:4" x14ac:dyDescent="0.3">
      <c r="A128" s="32">
        <v>5</v>
      </c>
      <c r="B128" s="32">
        <v>5</v>
      </c>
      <c r="C128" s="32">
        <v>5</v>
      </c>
      <c r="D128" s="32">
        <v>5</v>
      </c>
    </row>
    <row r="129" spans="1:4" x14ac:dyDescent="0.3">
      <c r="A129" s="32">
        <v>5</v>
      </c>
      <c r="B129" s="32">
        <v>5</v>
      </c>
      <c r="C129" s="32">
        <v>5</v>
      </c>
      <c r="D129" s="32">
        <v>4</v>
      </c>
    </row>
    <row r="130" spans="1:4" x14ac:dyDescent="0.3">
      <c r="A130" s="32">
        <v>5</v>
      </c>
      <c r="B130" s="32">
        <v>5</v>
      </c>
      <c r="C130" s="32">
        <v>5</v>
      </c>
      <c r="D130" s="32">
        <v>5</v>
      </c>
    </row>
    <row r="131" spans="1:4" x14ac:dyDescent="0.3">
      <c r="A131" s="32">
        <v>5</v>
      </c>
      <c r="B131" s="32">
        <v>5</v>
      </c>
      <c r="C131" s="32">
        <v>5</v>
      </c>
      <c r="D131" s="32">
        <v>5</v>
      </c>
    </row>
    <row r="132" spans="1:4" x14ac:dyDescent="0.3">
      <c r="A132" s="32">
        <v>5</v>
      </c>
      <c r="B132" s="32">
        <v>5</v>
      </c>
      <c r="C132" s="32">
        <v>5</v>
      </c>
      <c r="D132" s="32">
        <v>5</v>
      </c>
    </row>
    <row r="133" spans="1:4" x14ac:dyDescent="0.3">
      <c r="A133" s="32">
        <v>5</v>
      </c>
      <c r="B133" s="32">
        <v>5</v>
      </c>
      <c r="C133" s="32">
        <v>5</v>
      </c>
      <c r="D133" s="32">
        <v>5</v>
      </c>
    </row>
    <row r="134" spans="1:4" x14ac:dyDescent="0.3">
      <c r="A134" s="40">
        <v>5</v>
      </c>
      <c r="B134" s="32">
        <v>5</v>
      </c>
      <c r="C134" s="32">
        <v>5</v>
      </c>
      <c r="D134" s="32">
        <v>5</v>
      </c>
    </row>
    <row r="135" spans="1:4" x14ac:dyDescent="0.3">
      <c r="A135" s="32">
        <v>5</v>
      </c>
      <c r="B135" s="32">
        <v>5</v>
      </c>
      <c r="C135" s="32">
        <v>5</v>
      </c>
      <c r="D135" s="32">
        <v>5</v>
      </c>
    </row>
    <row r="136" spans="1:4" x14ac:dyDescent="0.3">
      <c r="A136" s="32">
        <v>5</v>
      </c>
      <c r="B136" s="32">
        <v>5</v>
      </c>
      <c r="C136" s="32">
        <v>5</v>
      </c>
      <c r="D136" s="32">
        <v>5</v>
      </c>
    </row>
    <row r="137" spans="1:4" x14ac:dyDescent="0.3">
      <c r="A137" s="32">
        <v>5</v>
      </c>
      <c r="B137" s="32">
        <v>5</v>
      </c>
      <c r="C137" s="32">
        <v>5</v>
      </c>
      <c r="D137" s="32">
        <v>5</v>
      </c>
    </row>
    <row r="138" spans="1:4" x14ac:dyDescent="0.3">
      <c r="A138" s="32">
        <v>5</v>
      </c>
      <c r="B138" s="32">
        <v>5</v>
      </c>
      <c r="C138" s="32">
        <v>5</v>
      </c>
      <c r="D138" s="32">
        <v>5</v>
      </c>
    </row>
    <row r="139" spans="1:4" x14ac:dyDescent="0.3">
      <c r="A139" s="32">
        <v>5</v>
      </c>
      <c r="B139" s="32">
        <v>5</v>
      </c>
      <c r="C139" s="32">
        <v>5</v>
      </c>
      <c r="D139" s="32">
        <v>5</v>
      </c>
    </row>
    <row r="140" spans="1:4" x14ac:dyDescent="0.3">
      <c r="A140" s="32">
        <v>5</v>
      </c>
      <c r="B140" s="32">
        <v>5</v>
      </c>
      <c r="C140" s="32">
        <v>5</v>
      </c>
      <c r="D140" s="32">
        <v>5</v>
      </c>
    </row>
    <row r="141" spans="1:4" x14ac:dyDescent="0.3">
      <c r="A141" s="32">
        <v>5</v>
      </c>
      <c r="B141" s="32">
        <v>5</v>
      </c>
      <c r="C141" s="32">
        <v>5</v>
      </c>
      <c r="D141" s="32">
        <v>5</v>
      </c>
    </row>
    <row r="142" spans="1:4" x14ac:dyDescent="0.3">
      <c r="A142" s="32">
        <v>4</v>
      </c>
      <c r="B142" s="32">
        <v>5</v>
      </c>
      <c r="C142" s="32">
        <v>5</v>
      </c>
      <c r="D142" s="32">
        <v>4.5</v>
      </c>
    </row>
    <row r="143" spans="1:4" x14ac:dyDescent="0.3">
      <c r="A143" s="32">
        <v>5</v>
      </c>
      <c r="B143" s="32">
        <v>5</v>
      </c>
      <c r="C143" s="32">
        <v>5</v>
      </c>
      <c r="D143" s="32">
        <v>4.5</v>
      </c>
    </row>
    <row r="144" spans="1:4" x14ac:dyDescent="0.3">
      <c r="A144" s="32">
        <v>5</v>
      </c>
      <c r="B144" s="32">
        <v>5</v>
      </c>
      <c r="C144" s="32">
        <v>5</v>
      </c>
      <c r="D144" s="32">
        <v>5</v>
      </c>
    </row>
    <row r="145" spans="1:4" x14ac:dyDescent="0.3">
      <c r="A145" s="32">
        <v>5</v>
      </c>
      <c r="B145" s="32">
        <v>5</v>
      </c>
      <c r="C145" s="32">
        <v>5</v>
      </c>
      <c r="D145" s="32">
        <v>5</v>
      </c>
    </row>
    <row r="146" spans="1:4" x14ac:dyDescent="0.3">
      <c r="A146" s="32">
        <v>5</v>
      </c>
      <c r="B146" s="32">
        <v>5</v>
      </c>
      <c r="C146" s="32">
        <v>5</v>
      </c>
      <c r="D146" s="32">
        <v>5</v>
      </c>
    </row>
    <row r="147" spans="1:4" x14ac:dyDescent="0.3">
      <c r="A147" s="32">
        <v>5</v>
      </c>
      <c r="B147" s="32">
        <v>5</v>
      </c>
      <c r="C147" s="32">
        <v>5</v>
      </c>
      <c r="D147" s="32">
        <v>5</v>
      </c>
    </row>
    <row r="148" spans="1:4" x14ac:dyDescent="0.3">
      <c r="A148" s="32">
        <v>4</v>
      </c>
      <c r="B148" s="32">
        <v>5</v>
      </c>
      <c r="C148" s="32">
        <v>5</v>
      </c>
      <c r="D148" s="32">
        <v>5</v>
      </c>
    </row>
    <row r="149" spans="1:4" x14ac:dyDescent="0.3">
      <c r="A149" s="32">
        <v>5</v>
      </c>
      <c r="B149" s="32">
        <v>5</v>
      </c>
      <c r="C149" s="32">
        <v>5</v>
      </c>
      <c r="D149" s="32">
        <v>5</v>
      </c>
    </row>
    <row r="150" spans="1:4" x14ac:dyDescent="0.3">
      <c r="A150" s="32">
        <v>5</v>
      </c>
      <c r="B150" s="32">
        <v>5</v>
      </c>
      <c r="C150" s="32">
        <v>5</v>
      </c>
      <c r="D150" s="32">
        <v>5</v>
      </c>
    </row>
    <row r="151" spans="1:4" x14ac:dyDescent="0.3">
      <c r="A151" s="32">
        <v>5</v>
      </c>
      <c r="B151" s="32">
        <v>5</v>
      </c>
      <c r="C151" s="32">
        <v>5</v>
      </c>
      <c r="D151" s="32">
        <v>5</v>
      </c>
    </row>
    <row r="152" spans="1:4" x14ac:dyDescent="0.3">
      <c r="A152" s="32">
        <v>5</v>
      </c>
      <c r="B152" s="32">
        <v>5</v>
      </c>
      <c r="C152" s="32">
        <v>5</v>
      </c>
      <c r="D152" s="32">
        <v>5</v>
      </c>
    </row>
    <row r="153" spans="1:4" x14ac:dyDescent="0.3">
      <c r="A153" s="32">
        <v>5</v>
      </c>
      <c r="B153" s="32">
        <v>5</v>
      </c>
      <c r="C153" s="32">
        <v>5</v>
      </c>
      <c r="D153" s="32">
        <v>5</v>
      </c>
    </row>
    <row r="154" spans="1:4" x14ac:dyDescent="0.3">
      <c r="A154" s="32">
        <v>5</v>
      </c>
      <c r="B154" s="32">
        <v>5</v>
      </c>
      <c r="C154" s="32">
        <v>5</v>
      </c>
      <c r="D154" s="32">
        <v>5</v>
      </c>
    </row>
    <row r="155" spans="1:4" x14ac:dyDescent="0.3">
      <c r="A155" s="32">
        <v>5</v>
      </c>
      <c r="B155" s="32">
        <v>5</v>
      </c>
      <c r="C155" s="32">
        <v>5</v>
      </c>
      <c r="D155" s="32">
        <v>5</v>
      </c>
    </row>
    <row r="156" spans="1:4" x14ac:dyDescent="0.3">
      <c r="A156" s="32">
        <v>5</v>
      </c>
      <c r="B156" s="32">
        <v>5</v>
      </c>
      <c r="C156" s="32">
        <v>5</v>
      </c>
      <c r="D156" s="32">
        <v>5</v>
      </c>
    </row>
    <row r="157" spans="1:4" x14ac:dyDescent="0.3">
      <c r="A157" s="32">
        <v>5</v>
      </c>
      <c r="B157" s="32">
        <v>5</v>
      </c>
      <c r="C157" s="32">
        <v>5</v>
      </c>
      <c r="D157" s="32">
        <v>5</v>
      </c>
    </row>
    <row r="158" spans="1:4" x14ac:dyDescent="0.3">
      <c r="A158" s="32">
        <v>5</v>
      </c>
      <c r="B158" s="32">
        <v>5</v>
      </c>
      <c r="C158" s="32">
        <v>5</v>
      </c>
      <c r="D158" s="32">
        <v>5</v>
      </c>
    </row>
    <row r="159" spans="1:4" x14ac:dyDescent="0.3">
      <c r="A159" s="32">
        <v>5</v>
      </c>
      <c r="B159" s="32">
        <v>5</v>
      </c>
      <c r="C159" s="32">
        <v>5</v>
      </c>
      <c r="D159" s="32">
        <v>5</v>
      </c>
    </row>
    <row r="160" spans="1:4" x14ac:dyDescent="0.3">
      <c r="A160" s="32">
        <v>5</v>
      </c>
      <c r="B160" s="32">
        <v>5</v>
      </c>
      <c r="C160" s="32">
        <v>5</v>
      </c>
      <c r="D160" s="32">
        <v>4.5</v>
      </c>
    </row>
    <row r="161" spans="1:4" x14ac:dyDescent="0.3">
      <c r="A161" s="32">
        <v>5</v>
      </c>
      <c r="B161" s="32">
        <v>5</v>
      </c>
      <c r="C161" s="32">
        <v>5</v>
      </c>
      <c r="D161" s="32">
        <v>5</v>
      </c>
    </row>
    <row r="162" spans="1:4" x14ac:dyDescent="0.3">
      <c r="A162" s="32">
        <v>5</v>
      </c>
      <c r="B162" s="32">
        <v>5</v>
      </c>
      <c r="C162" s="32">
        <v>5</v>
      </c>
      <c r="D162" s="32">
        <v>5</v>
      </c>
    </row>
    <row r="163" spans="1:4" x14ac:dyDescent="0.3">
      <c r="A163" s="32">
        <v>5</v>
      </c>
      <c r="B163" s="40">
        <v>5</v>
      </c>
      <c r="C163" s="32">
        <v>5</v>
      </c>
      <c r="D163" s="32">
        <v>5</v>
      </c>
    </row>
    <row r="164" spans="1:4" x14ac:dyDescent="0.3">
      <c r="A164" s="32">
        <v>5</v>
      </c>
      <c r="B164" s="32">
        <v>5</v>
      </c>
      <c r="C164" s="32">
        <v>5</v>
      </c>
      <c r="D164" s="32">
        <v>5</v>
      </c>
    </row>
    <row r="165" spans="1:4" x14ac:dyDescent="0.3">
      <c r="A165" s="32">
        <v>5</v>
      </c>
      <c r="B165" s="32">
        <v>5</v>
      </c>
      <c r="C165" s="32">
        <v>5</v>
      </c>
      <c r="D165" s="32">
        <v>5</v>
      </c>
    </row>
    <row r="166" spans="1:4" x14ac:dyDescent="0.3">
      <c r="A166" s="32">
        <v>5</v>
      </c>
      <c r="B166" s="32">
        <v>5</v>
      </c>
      <c r="C166" s="32">
        <v>5</v>
      </c>
      <c r="D166" s="32">
        <v>5</v>
      </c>
    </row>
    <row r="167" spans="1:4" x14ac:dyDescent="0.3">
      <c r="A167" s="32">
        <v>5</v>
      </c>
      <c r="B167" s="32">
        <v>5</v>
      </c>
      <c r="C167" s="32">
        <v>5</v>
      </c>
      <c r="D167" s="32">
        <v>5</v>
      </c>
    </row>
    <row r="168" spans="1:4" x14ac:dyDescent="0.3">
      <c r="A168" s="32">
        <v>5</v>
      </c>
      <c r="B168" s="32">
        <v>5</v>
      </c>
      <c r="C168" s="32">
        <v>5</v>
      </c>
      <c r="D168" s="32">
        <v>5</v>
      </c>
    </row>
    <row r="169" spans="1:4" x14ac:dyDescent="0.3">
      <c r="A169" s="32">
        <v>5</v>
      </c>
      <c r="B169" s="32">
        <v>5</v>
      </c>
      <c r="C169" s="32">
        <v>4</v>
      </c>
      <c r="D169" s="32">
        <v>5</v>
      </c>
    </row>
    <row r="170" spans="1:4" x14ac:dyDescent="0.3">
      <c r="A170" s="32">
        <v>5</v>
      </c>
      <c r="B170" s="32">
        <v>5</v>
      </c>
      <c r="C170" s="32">
        <v>5</v>
      </c>
      <c r="D170" s="32">
        <v>5</v>
      </c>
    </row>
    <row r="171" spans="1:4" x14ac:dyDescent="0.3">
      <c r="A171" s="32">
        <v>5</v>
      </c>
      <c r="B171" s="32">
        <v>5</v>
      </c>
      <c r="C171" s="32">
        <v>5</v>
      </c>
      <c r="D171" s="32">
        <v>5</v>
      </c>
    </row>
    <row r="172" spans="1:4" x14ac:dyDescent="0.3">
      <c r="A172" s="32">
        <v>5</v>
      </c>
      <c r="B172" s="32">
        <v>5</v>
      </c>
      <c r="C172" s="32">
        <v>5</v>
      </c>
      <c r="D172" s="32">
        <v>5</v>
      </c>
    </row>
    <row r="173" spans="1:4" x14ac:dyDescent="0.3">
      <c r="A173" s="32">
        <v>5</v>
      </c>
      <c r="B173" s="32">
        <v>5</v>
      </c>
      <c r="C173" s="32">
        <v>5</v>
      </c>
      <c r="D173" s="32">
        <v>5</v>
      </c>
    </row>
    <row r="174" spans="1:4" x14ac:dyDescent="0.3">
      <c r="A174" s="32">
        <v>5</v>
      </c>
      <c r="B174" s="32">
        <v>5</v>
      </c>
      <c r="C174" s="32">
        <v>5</v>
      </c>
      <c r="D174" s="32">
        <v>5</v>
      </c>
    </row>
    <row r="175" spans="1:4" x14ac:dyDescent="0.3">
      <c r="A175" s="32">
        <v>5</v>
      </c>
      <c r="B175" s="32">
        <v>5</v>
      </c>
      <c r="C175" s="32">
        <v>5</v>
      </c>
      <c r="D175" s="32">
        <v>5</v>
      </c>
    </row>
    <row r="176" spans="1:4" x14ac:dyDescent="0.3">
      <c r="A176" s="32">
        <v>5</v>
      </c>
      <c r="B176" s="32">
        <v>5</v>
      </c>
      <c r="C176" s="32">
        <v>5</v>
      </c>
      <c r="D176" s="32">
        <v>5</v>
      </c>
    </row>
    <row r="177" spans="1:4" x14ac:dyDescent="0.3">
      <c r="A177" s="32">
        <v>5</v>
      </c>
      <c r="B177" s="32">
        <v>5</v>
      </c>
      <c r="C177" s="32">
        <v>5</v>
      </c>
      <c r="D177" s="32">
        <v>5</v>
      </c>
    </row>
    <row r="178" spans="1:4" x14ac:dyDescent="0.3">
      <c r="A178" s="32">
        <v>5</v>
      </c>
      <c r="B178" s="32">
        <v>5</v>
      </c>
      <c r="C178" s="32">
        <v>5</v>
      </c>
      <c r="D178" s="32">
        <v>5</v>
      </c>
    </row>
    <row r="179" spans="1:4" x14ac:dyDescent="0.3">
      <c r="A179" s="32">
        <v>5</v>
      </c>
      <c r="B179" s="32">
        <v>5</v>
      </c>
      <c r="C179" s="32">
        <v>5</v>
      </c>
      <c r="D179" s="32">
        <v>5</v>
      </c>
    </row>
    <row r="180" spans="1:4" x14ac:dyDescent="0.3">
      <c r="A180" s="32">
        <v>5</v>
      </c>
      <c r="B180" s="32">
        <v>5</v>
      </c>
      <c r="C180" s="32">
        <v>5</v>
      </c>
      <c r="D180" s="32">
        <v>5</v>
      </c>
    </row>
    <row r="181" spans="1:4" x14ac:dyDescent="0.3">
      <c r="A181" s="32">
        <v>5</v>
      </c>
      <c r="B181" s="32">
        <v>5</v>
      </c>
      <c r="C181" s="32">
        <v>5</v>
      </c>
      <c r="D181" s="32">
        <v>5</v>
      </c>
    </row>
    <row r="182" spans="1:4" x14ac:dyDescent="0.3">
      <c r="A182" s="32">
        <v>5</v>
      </c>
      <c r="B182" s="32">
        <v>5</v>
      </c>
      <c r="C182" s="32">
        <v>5</v>
      </c>
      <c r="D182" s="32">
        <v>5</v>
      </c>
    </row>
    <row r="183" spans="1:4" x14ac:dyDescent="0.3">
      <c r="A183" s="32">
        <v>5</v>
      </c>
      <c r="B183" s="32">
        <v>5</v>
      </c>
      <c r="C183" s="32">
        <v>5</v>
      </c>
      <c r="D183" s="32">
        <v>5</v>
      </c>
    </row>
    <row r="184" spans="1:4" x14ac:dyDescent="0.3">
      <c r="A184" s="32">
        <v>5</v>
      </c>
      <c r="B184" s="32">
        <v>5</v>
      </c>
      <c r="C184" s="32">
        <v>5</v>
      </c>
      <c r="D184" s="32">
        <v>5</v>
      </c>
    </row>
    <row r="185" spans="1:4" x14ac:dyDescent="0.3">
      <c r="A185" s="32">
        <v>5</v>
      </c>
      <c r="B185" s="32">
        <v>5</v>
      </c>
      <c r="C185" s="32">
        <v>5</v>
      </c>
      <c r="D185" s="32">
        <v>5</v>
      </c>
    </row>
    <row r="186" spans="1:4" x14ac:dyDescent="0.3">
      <c r="A186" s="32">
        <v>5</v>
      </c>
      <c r="B186" s="32">
        <v>5</v>
      </c>
      <c r="C186" s="32">
        <v>5</v>
      </c>
      <c r="D186" s="32">
        <v>5</v>
      </c>
    </row>
    <row r="187" spans="1:4" x14ac:dyDescent="0.3">
      <c r="A187" s="32">
        <v>5</v>
      </c>
      <c r="B187" s="32">
        <v>5</v>
      </c>
      <c r="C187" s="32">
        <v>5</v>
      </c>
      <c r="D187" s="32">
        <v>5</v>
      </c>
    </row>
    <row r="188" spans="1:4" x14ac:dyDescent="0.3">
      <c r="A188" s="32">
        <v>5</v>
      </c>
      <c r="B188" s="32">
        <v>5</v>
      </c>
      <c r="C188" s="32">
        <v>5</v>
      </c>
      <c r="D188" s="32">
        <v>5</v>
      </c>
    </row>
    <row r="189" spans="1:4" x14ac:dyDescent="0.3">
      <c r="A189" s="32">
        <v>5</v>
      </c>
      <c r="B189" s="32">
        <v>5</v>
      </c>
      <c r="C189" s="32">
        <v>5</v>
      </c>
      <c r="D189" s="32">
        <v>5</v>
      </c>
    </row>
    <row r="190" spans="1:4" x14ac:dyDescent="0.3">
      <c r="A190" s="32">
        <v>5</v>
      </c>
      <c r="B190" s="32">
        <v>5</v>
      </c>
      <c r="C190" s="32">
        <v>5</v>
      </c>
      <c r="D190" s="32">
        <v>5</v>
      </c>
    </row>
    <row r="191" spans="1:4" x14ac:dyDescent="0.3">
      <c r="A191" s="32">
        <v>5</v>
      </c>
      <c r="B191" s="32">
        <v>5</v>
      </c>
      <c r="C191" s="32">
        <v>5</v>
      </c>
      <c r="D191" s="32">
        <v>5</v>
      </c>
    </row>
    <row r="192" spans="1:4" x14ac:dyDescent="0.3">
      <c r="A192" s="32">
        <v>5</v>
      </c>
      <c r="B192" s="32">
        <v>5</v>
      </c>
      <c r="C192" s="32">
        <v>5</v>
      </c>
      <c r="D192" s="32">
        <v>5</v>
      </c>
    </row>
    <row r="193" spans="1:4" x14ac:dyDescent="0.3">
      <c r="A193" s="32">
        <v>5</v>
      </c>
      <c r="B193" s="32">
        <v>5</v>
      </c>
      <c r="C193" s="32">
        <v>5</v>
      </c>
      <c r="D193" s="32">
        <v>5</v>
      </c>
    </row>
    <row r="194" spans="1:4" x14ac:dyDescent="0.3">
      <c r="A194" s="32">
        <v>5</v>
      </c>
      <c r="B194" s="32">
        <v>5</v>
      </c>
      <c r="C194" s="32">
        <v>5</v>
      </c>
      <c r="D194" s="32">
        <v>5</v>
      </c>
    </row>
    <row r="195" spans="1:4" x14ac:dyDescent="0.3">
      <c r="A195" s="32">
        <v>5</v>
      </c>
      <c r="B195" s="32">
        <v>5</v>
      </c>
      <c r="C195" s="32">
        <v>5</v>
      </c>
      <c r="D195" s="32">
        <v>5</v>
      </c>
    </row>
    <row r="196" spans="1:4" x14ac:dyDescent="0.3">
      <c r="A196" s="32">
        <v>5</v>
      </c>
      <c r="B196" s="32">
        <v>5</v>
      </c>
      <c r="C196" s="32">
        <v>5</v>
      </c>
      <c r="D196" s="32">
        <v>5</v>
      </c>
    </row>
    <row r="197" spans="1:4" x14ac:dyDescent="0.3">
      <c r="A197" s="32">
        <v>5</v>
      </c>
      <c r="B197" s="32">
        <v>5</v>
      </c>
      <c r="C197" s="32">
        <v>5</v>
      </c>
      <c r="D197" s="32">
        <v>5</v>
      </c>
    </row>
    <row r="198" spans="1:4" x14ac:dyDescent="0.3">
      <c r="A198" s="32">
        <v>5</v>
      </c>
      <c r="B198" s="32">
        <v>5</v>
      </c>
      <c r="C198" s="32">
        <v>5</v>
      </c>
      <c r="D198" s="32">
        <v>4</v>
      </c>
    </row>
    <row r="199" spans="1:4" x14ac:dyDescent="0.3">
      <c r="A199" s="32">
        <v>5</v>
      </c>
      <c r="B199" s="32">
        <v>5</v>
      </c>
      <c r="C199" s="32">
        <v>5</v>
      </c>
      <c r="D199" s="32">
        <v>5</v>
      </c>
    </row>
    <row r="200" spans="1:4" x14ac:dyDescent="0.3">
      <c r="A200" s="32">
        <v>5</v>
      </c>
      <c r="B200" s="32">
        <v>5</v>
      </c>
      <c r="C200" s="32">
        <v>5</v>
      </c>
      <c r="D200" s="32">
        <v>5</v>
      </c>
    </row>
    <row r="201" spans="1:4" x14ac:dyDescent="0.3">
      <c r="A201" s="32">
        <v>5</v>
      </c>
      <c r="B201" s="32">
        <v>5</v>
      </c>
      <c r="C201" s="32">
        <v>5</v>
      </c>
      <c r="D201" s="32">
        <v>5</v>
      </c>
    </row>
    <row r="202" spans="1:4" x14ac:dyDescent="0.3">
      <c r="A202" s="40">
        <v>3</v>
      </c>
      <c r="B202" s="32">
        <v>5</v>
      </c>
      <c r="C202" s="32">
        <v>5</v>
      </c>
      <c r="D202" s="32">
        <v>5</v>
      </c>
    </row>
    <row r="203" spans="1:4" x14ac:dyDescent="0.3">
      <c r="A203" s="32">
        <v>5</v>
      </c>
      <c r="B203" s="32">
        <v>5</v>
      </c>
      <c r="C203" s="32">
        <v>5</v>
      </c>
      <c r="D203" s="32">
        <v>5</v>
      </c>
    </row>
    <row r="204" spans="1:4" x14ac:dyDescent="0.3">
      <c r="A204" s="32">
        <v>5</v>
      </c>
      <c r="B204" s="32">
        <v>5</v>
      </c>
      <c r="C204" s="32">
        <v>5</v>
      </c>
      <c r="D204" s="32">
        <v>5</v>
      </c>
    </row>
    <row r="205" spans="1:4" x14ac:dyDescent="0.3">
      <c r="A205" s="32">
        <v>5</v>
      </c>
      <c r="B205" s="32">
        <v>5</v>
      </c>
      <c r="C205" s="32">
        <v>5</v>
      </c>
      <c r="D205" s="32">
        <v>4</v>
      </c>
    </row>
    <row r="206" spans="1:4" x14ac:dyDescent="0.3">
      <c r="A206" s="32">
        <v>5</v>
      </c>
      <c r="B206" s="32">
        <v>5</v>
      </c>
      <c r="C206" s="32">
        <v>5</v>
      </c>
      <c r="D206" s="32">
        <v>5</v>
      </c>
    </row>
    <row r="207" spans="1:4" x14ac:dyDescent="0.3">
      <c r="A207" s="32">
        <v>5</v>
      </c>
      <c r="B207" s="32">
        <v>5</v>
      </c>
      <c r="C207" s="32">
        <v>5</v>
      </c>
      <c r="D207" s="32">
        <v>5</v>
      </c>
    </row>
    <row r="208" spans="1:4" x14ac:dyDescent="0.3">
      <c r="A208" s="32">
        <v>5</v>
      </c>
      <c r="B208" s="32">
        <v>3</v>
      </c>
      <c r="C208" s="32">
        <v>5</v>
      </c>
      <c r="D208" s="32">
        <v>5</v>
      </c>
    </row>
    <row r="209" spans="1:4" x14ac:dyDescent="0.3">
      <c r="A209" s="32">
        <v>5</v>
      </c>
      <c r="B209" s="32">
        <v>5</v>
      </c>
      <c r="C209" s="32">
        <v>5</v>
      </c>
      <c r="D209" s="32">
        <v>5</v>
      </c>
    </row>
    <row r="210" spans="1:4" x14ac:dyDescent="0.3">
      <c r="A210" s="32">
        <v>5</v>
      </c>
      <c r="B210" s="32">
        <v>5</v>
      </c>
      <c r="C210" s="32">
        <v>5</v>
      </c>
      <c r="D210" s="32">
        <v>5</v>
      </c>
    </row>
    <row r="211" spans="1:4" x14ac:dyDescent="0.3">
      <c r="A211" s="32">
        <v>5</v>
      </c>
      <c r="B211" s="32">
        <v>5</v>
      </c>
      <c r="C211" s="32">
        <v>5</v>
      </c>
      <c r="D211" s="40">
        <v>5</v>
      </c>
    </row>
    <row r="212" spans="1:4" x14ac:dyDescent="0.3">
      <c r="A212" s="32">
        <v>5</v>
      </c>
      <c r="B212" s="32">
        <v>5</v>
      </c>
      <c r="C212" s="32">
        <v>5</v>
      </c>
      <c r="D212" s="32">
        <v>5</v>
      </c>
    </row>
    <row r="213" spans="1:4" x14ac:dyDescent="0.3">
      <c r="A213" s="32">
        <v>5</v>
      </c>
      <c r="B213" s="32">
        <v>5</v>
      </c>
      <c r="C213" s="32">
        <v>5</v>
      </c>
      <c r="D213" s="32">
        <v>5</v>
      </c>
    </row>
    <row r="214" spans="1:4" x14ac:dyDescent="0.3">
      <c r="A214" s="32">
        <v>5</v>
      </c>
      <c r="B214" s="32">
        <v>5</v>
      </c>
      <c r="C214" s="32">
        <v>5</v>
      </c>
      <c r="D214" s="32">
        <v>5</v>
      </c>
    </row>
    <row r="215" spans="1:4" x14ac:dyDescent="0.3">
      <c r="A215" s="32">
        <v>5</v>
      </c>
      <c r="B215" s="32">
        <v>5</v>
      </c>
      <c r="C215" s="32">
        <v>5</v>
      </c>
      <c r="D215" s="32">
        <v>5</v>
      </c>
    </row>
    <row r="216" spans="1:4" x14ac:dyDescent="0.3">
      <c r="A216" s="40">
        <v>4</v>
      </c>
      <c r="B216" s="32">
        <v>5</v>
      </c>
      <c r="C216" s="32">
        <v>5</v>
      </c>
      <c r="D216" s="32">
        <v>4</v>
      </c>
    </row>
    <row r="217" spans="1:4" x14ac:dyDescent="0.3">
      <c r="A217" s="32">
        <v>5</v>
      </c>
      <c r="B217" s="32">
        <v>5</v>
      </c>
      <c r="C217" s="32">
        <v>5</v>
      </c>
      <c r="D217" s="32">
        <v>5</v>
      </c>
    </row>
    <row r="218" spans="1:4" x14ac:dyDescent="0.3">
      <c r="A218" s="32">
        <v>5</v>
      </c>
      <c r="B218" s="32">
        <v>5</v>
      </c>
      <c r="C218" s="32">
        <v>5</v>
      </c>
      <c r="D218" s="32">
        <v>5</v>
      </c>
    </row>
    <row r="219" spans="1:4" x14ac:dyDescent="0.3">
      <c r="A219" s="32">
        <v>5</v>
      </c>
      <c r="B219" s="32">
        <v>5</v>
      </c>
      <c r="C219" s="32">
        <v>5</v>
      </c>
      <c r="D219" s="32">
        <v>5</v>
      </c>
    </row>
    <row r="220" spans="1:4" x14ac:dyDescent="0.3">
      <c r="A220" s="32">
        <v>5</v>
      </c>
      <c r="B220" s="32">
        <v>5</v>
      </c>
      <c r="C220" s="32">
        <v>5</v>
      </c>
      <c r="D220" s="32">
        <v>5</v>
      </c>
    </row>
    <row r="221" spans="1:4" x14ac:dyDescent="0.3">
      <c r="A221" s="32">
        <v>5</v>
      </c>
      <c r="B221" s="32">
        <v>5</v>
      </c>
      <c r="C221" s="32">
        <v>5</v>
      </c>
      <c r="D221" s="32">
        <v>5</v>
      </c>
    </row>
    <row r="222" spans="1:4" x14ac:dyDescent="0.3">
      <c r="A222" s="32">
        <v>5</v>
      </c>
      <c r="B222" s="32">
        <v>5</v>
      </c>
      <c r="C222" s="32">
        <v>5</v>
      </c>
      <c r="D222" s="32">
        <v>5</v>
      </c>
    </row>
    <row r="223" spans="1:4" x14ac:dyDescent="0.3">
      <c r="A223" s="32">
        <v>5</v>
      </c>
      <c r="B223" s="32">
        <v>5</v>
      </c>
      <c r="C223" s="32">
        <v>5</v>
      </c>
      <c r="D223" s="32">
        <v>5</v>
      </c>
    </row>
    <row r="224" spans="1:4" x14ac:dyDescent="0.3">
      <c r="A224" s="32">
        <v>4</v>
      </c>
      <c r="B224" s="32">
        <v>5</v>
      </c>
      <c r="C224" s="32">
        <v>5</v>
      </c>
      <c r="D224" s="32">
        <v>5</v>
      </c>
    </row>
    <row r="225" spans="1:4" x14ac:dyDescent="0.3">
      <c r="A225" s="32">
        <v>5</v>
      </c>
      <c r="B225" s="32">
        <v>5</v>
      </c>
      <c r="C225" s="32">
        <v>5</v>
      </c>
      <c r="D225" s="32">
        <v>5</v>
      </c>
    </row>
    <row r="226" spans="1:4" x14ac:dyDescent="0.3">
      <c r="A226" s="32">
        <v>5</v>
      </c>
      <c r="B226" s="32">
        <v>5</v>
      </c>
      <c r="C226" s="32">
        <v>5</v>
      </c>
      <c r="D226" s="32">
        <v>5</v>
      </c>
    </row>
    <row r="227" spans="1:4" x14ac:dyDescent="0.3">
      <c r="A227" s="32">
        <v>5</v>
      </c>
      <c r="B227" s="32">
        <v>5</v>
      </c>
      <c r="C227" s="32">
        <v>5</v>
      </c>
      <c r="D227" s="32">
        <v>5</v>
      </c>
    </row>
    <row r="228" spans="1:4" x14ac:dyDescent="0.3">
      <c r="A228" s="32">
        <v>5</v>
      </c>
      <c r="B228" s="32">
        <v>5</v>
      </c>
      <c r="C228" s="32">
        <v>5</v>
      </c>
      <c r="D228" s="32">
        <v>5</v>
      </c>
    </row>
    <row r="229" spans="1:4" x14ac:dyDescent="0.3">
      <c r="A229" s="32">
        <v>5</v>
      </c>
      <c r="B229" s="32">
        <v>5</v>
      </c>
      <c r="C229" s="32">
        <v>5</v>
      </c>
      <c r="D229" s="32">
        <v>5</v>
      </c>
    </row>
    <row r="230" spans="1:4" x14ac:dyDescent="0.3">
      <c r="A230" s="32">
        <v>5</v>
      </c>
      <c r="B230" s="32">
        <v>5</v>
      </c>
      <c r="C230" s="32">
        <v>5</v>
      </c>
      <c r="D230" s="32">
        <v>5</v>
      </c>
    </row>
    <row r="231" spans="1:4" x14ac:dyDescent="0.3">
      <c r="A231" s="32">
        <v>5</v>
      </c>
      <c r="B231" s="32">
        <v>5</v>
      </c>
      <c r="C231" s="32">
        <v>5</v>
      </c>
      <c r="D231" s="32">
        <v>5</v>
      </c>
    </row>
    <row r="232" spans="1:4" x14ac:dyDescent="0.3">
      <c r="A232" s="32">
        <v>5</v>
      </c>
      <c r="B232" s="32">
        <v>5</v>
      </c>
      <c r="C232" s="32">
        <v>5</v>
      </c>
      <c r="D232" s="32">
        <v>5</v>
      </c>
    </row>
    <row r="233" spans="1:4" x14ac:dyDescent="0.3">
      <c r="A233" s="32">
        <v>5</v>
      </c>
      <c r="B233" s="32">
        <v>5</v>
      </c>
      <c r="C233" s="32">
        <v>5</v>
      </c>
      <c r="D233" s="32">
        <v>5</v>
      </c>
    </row>
    <row r="234" spans="1:4" x14ac:dyDescent="0.3">
      <c r="A234" s="32">
        <v>5</v>
      </c>
      <c r="B234" s="32">
        <v>5</v>
      </c>
      <c r="C234" s="32">
        <v>5</v>
      </c>
      <c r="D234" s="32">
        <v>5</v>
      </c>
    </row>
    <row r="235" spans="1:4" x14ac:dyDescent="0.3">
      <c r="A235" s="32">
        <v>5</v>
      </c>
      <c r="B235" s="32">
        <v>5</v>
      </c>
      <c r="C235" s="32">
        <v>5</v>
      </c>
      <c r="D235" s="32">
        <v>5</v>
      </c>
    </row>
    <row r="236" spans="1:4" x14ac:dyDescent="0.3">
      <c r="A236" s="32">
        <v>5</v>
      </c>
      <c r="B236" s="32">
        <v>4</v>
      </c>
      <c r="C236" s="32">
        <v>5</v>
      </c>
      <c r="D236" s="32">
        <v>5</v>
      </c>
    </row>
    <row r="237" spans="1:4" x14ac:dyDescent="0.3">
      <c r="A237" s="32">
        <v>5</v>
      </c>
      <c r="B237" s="40">
        <v>5</v>
      </c>
      <c r="C237" s="32">
        <v>5</v>
      </c>
      <c r="D237" s="32">
        <v>5</v>
      </c>
    </row>
    <row r="238" spans="1:4" x14ac:dyDescent="0.3">
      <c r="A238" s="32">
        <v>5</v>
      </c>
      <c r="B238" s="32">
        <v>4</v>
      </c>
      <c r="C238" s="32">
        <v>5</v>
      </c>
      <c r="D238" s="32">
        <v>5</v>
      </c>
    </row>
    <row r="239" spans="1:4" x14ac:dyDescent="0.3">
      <c r="A239" s="32">
        <v>5</v>
      </c>
      <c r="B239" s="32">
        <v>5</v>
      </c>
      <c r="C239" s="32">
        <v>5</v>
      </c>
      <c r="D239" s="32">
        <v>5</v>
      </c>
    </row>
    <row r="240" spans="1:4" x14ac:dyDescent="0.3">
      <c r="A240" s="32">
        <v>5</v>
      </c>
      <c r="B240" s="32">
        <v>4</v>
      </c>
      <c r="C240" s="32">
        <v>5</v>
      </c>
      <c r="D240" s="32">
        <v>5</v>
      </c>
    </row>
    <row r="241" spans="1:4" x14ac:dyDescent="0.3">
      <c r="A241" s="32">
        <v>5</v>
      </c>
      <c r="B241" s="32">
        <v>5</v>
      </c>
      <c r="C241" s="32">
        <v>5</v>
      </c>
      <c r="D241" s="32">
        <v>5</v>
      </c>
    </row>
    <row r="242" spans="1:4" x14ac:dyDescent="0.3">
      <c r="A242" s="32">
        <v>5</v>
      </c>
      <c r="B242" s="32">
        <v>4</v>
      </c>
      <c r="C242" s="32">
        <v>5</v>
      </c>
      <c r="D242" s="32">
        <v>5</v>
      </c>
    </row>
    <row r="243" spans="1:4" x14ac:dyDescent="0.3">
      <c r="A243" s="32">
        <v>5</v>
      </c>
      <c r="B243" s="32">
        <v>5</v>
      </c>
      <c r="C243" s="32">
        <v>5</v>
      </c>
      <c r="D243" s="32">
        <v>5</v>
      </c>
    </row>
    <row r="244" spans="1:4" x14ac:dyDescent="0.3">
      <c r="A244" s="32">
        <v>5</v>
      </c>
      <c r="B244" s="32">
        <v>5</v>
      </c>
      <c r="C244" s="32">
        <v>5</v>
      </c>
      <c r="D244" s="32">
        <v>5</v>
      </c>
    </row>
    <row r="245" spans="1:4" x14ac:dyDescent="0.3">
      <c r="A245" s="32">
        <v>4</v>
      </c>
      <c r="B245" s="32">
        <v>5</v>
      </c>
      <c r="C245" s="32">
        <v>5</v>
      </c>
      <c r="D245" s="32">
        <v>5</v>
      </c>
    </row>
    <row r="246" spans="1:4" x14ac:dyDescent="0.3">
      <c r="A246" s="32">
        <v>5</v>
      </c>
      <c r="B246" s="32">
        <v>5</v>
      </c>
      <c r="C246" s="32">
        <v>5</v>
      </c>
      <c r="D246" s="32">
        <v>5</v>
      </c>
    </row>
    <row r="247" spans="1:4" x14ac:dyDescent="0.3">
      <c r="A247" s="32">
        <v>5</v>
      </c>
      <c r="B247" s="32">
        <v>5</v>
      </c>
      <c r="C247" s="32">
        <v>5</v>
      </c>
      <c r="D247" s="32">
        <v>5</v>
      </c>
    </row>
    <row r="248" spans="1:4" x14ac:dyDescent="0.3">
      <c r="A248" s="32">
        <v>5</v>
      </c>
      <c r="B248" s="32">
        <v>5</v>
      </c>
      <c r="C248" s="32">
        <v>5</v>
      </c>
      <c r="D248" s="32">
        <v>5</v>
      </c>
    </row>
    <row r="249" spans="1:4" x14ac:dyDescent="0.3">
      <c r="A249" s="32">
        <v>5</v>
      </c>
      <c r="B249" s="32">
        <v>5</v>
      </c>
      <c r="C249" s="32">
        <v>5</v>
      </c>
      <c r="D249" s="32">
        <v>5</v>
      </c>
    </row>
    <row r="250" spans="1:4" x14ac:dyDescent="0.3">
      <c r="A250" s="32">
        <v>5</v>
      </c>
      <c r="B250" s="32">
        <v>5</v>
      </c>
      <c r="C250" s="32">
        <v>5</v>
      </c>
      <c r="D250" s="32">
        <v>5</v>
      </c>
    </row>
    <row r="251" spans="1:4" x14ac:dyDescent="0.3">
      <c r="A251" s="32">
        <v>5</v>
      </c>
      <c r="B251" s="32">
        <v>5</v>
      </c>
      <c r="C251" s="32">
        <v>5</v>
      </c>
      <c r="D251" s="32">
        <v>5</v>
      </c>
    </row>
    <row r="252" spans="1:4" x14ac:dyDescent="0.3">
      <c r="A252" s="32">
        <v>5</v>
      </c>
      <c r="B252" s="32">
        <v>5</v>
      </c>
      <c r="C252" s="32">
        <v>5</v>
      </c>
      <c r="D252" s="32">
        <v>5</v>
      </c>
    </row>
    <row r="253" spans="1:4" x14ac:dyDescent="0.3">
      <c r="A253" s="32">
        <v>5</v>
      </c>
      <c r="B253" s="32">
        <v>5</v>
      </c>
      <c r="C253" s="32">
        <v>5</v>
      </c>
      <c r="D253" s="32">
        <v>5</v>
      </c>
    </row>
    <row r="254" spans="1:4" x14ac:dyDescent="0.3">
      <c r="A254" s="32">
        <v>5</v>
      </c>
      <c r="B254" s="32">
        <v>5</v>
      </c>
      <c r="C254" s="32">
        <v>5</v>
      </c>
      <c r="D254" s="32">
        <v>5</v>
      </c>
    </row>
    <row r="255" spans="1:4" x14ac:dyDescent="0.3">
      <c r="A255" s="32">
        <v>5</v>
      </c>
      <c r="B255" s="32">
        <v>5</v>
      </c>
      <c r="C255" s="32">
        <v>5</v>
      </c>
      <c r="D255" s="32">
        <v>5</v>
      </c>
    </row>
    <row r="256" spans="1:4" x14ac:dyDescent="0.3">
      <c r="A256" s="32">
        <v>5</v>
      </c>
      <c r="B256" s="32">
        <v>5</v>
      </c>
      <c r="C256" s="32">
        <v>5</v>
      </c>
      <c r="D256" s="32">
        <v>5</v>
      </c>
    </row>
    <row r="257" spans="1:4" x14ac:dyDescent="0.3">
      <c r="A257" s="32">
        <v>5</v>
      </c>
      <c r="B257" s="32">
        <v>5</v>
      </c>
      <c r="C257" s="32">
        <v>5</v>
      </c>
      <c r="D257" s="32">
        <v>5</v>
      </c>
    </row>
    <row r="258" spans="1:4" x14ac:dyDescent="0.3">
      <c r="A258" s="32">
        <v>5</v>
      </c>
      <c r="B258" s="32">
        <v>5</v>
      </c>
      <c r="C258" s="32">
        <v>5</v>
      </c>
      <c r="D258" s="32">
        <v>5</v>
      </c>
    </row>
    <row r="259" spans="1:4" x14ac:dyDescent="0.3">
      <c r="A259" s="32">
        <v>5</v>
      </c>
      <c r="B259" s="32">
        <v>5</v>
      </c>
      <c r="C259" s="32">
        <v>5</v>
      </c>
      <c r="D259" s="32">
        <v>5</v>
      </c>
    </row>
    <row r="260" spans="1:4" x14ac:dyDescent="0.3">
      <c r="A260" s="32">
        <v>5</v>
      </c>
      <c r="B260" s="32">
        <v>5</v>
      </c>
      <c r="C260" s="32">
        <v>5</v>
      </c>
      <c r="D260" s="32">
        <v>5</v>
      </c>
    </row>
    <row r="261" spans="1:4" x14ac:dyDescent="0.3">
      <c r="A261" s="32">
        <v>5</v>
      </c>
      <c r="B261" s="32">
        <v>4</v>
      </c>
      <c r="C261" s="32">
        <v>5</v>
      </c>
      <c r="D261" s="32">
        <v>5</v>
      </c>
    </row>
    <row r="262" spans="1:4" x14ac:dyDescent="0.3">
      <c r="A262" s="32">
        <v>5</v>
      </c>
      <c r="B262" s="32">
        <v>5</v>
      </c>
      <c r="C262" s="32">
        <v>5</v>
      </c>
      <c r="D262" s="32">
        <v>5</v>
      </c>
    </row>
    <row r="263" spans="1:4" x14ac:dyDescent="0.3">
      <c r="A263" s="32">
        <v>5</v>
      </c>
      <c r="B263" s="32">
        <v>5</v>
      </c>
      <c r="C263" s="32">
        <v>5</v>
      </c>
      <c r="D263" s="32">
        <v>4</v>
      </c>
    </row>
    <row r="264" spans="1:4" x14ac:dyDescent="0.3">
      <c r="A264" s="32">
        <v>5</v>
      </c>
      <c r="B264" s="32">
        <v>4</v>
      </c>
      <c r="C264" s="32">
        <v>5</v>
      </c>
      <c r="D264" s="32">
        <v>4</v>
      </c>
    </row>
    <row r="265" spans="1:4" x14ac:dyDescent="0.3">
      <c r="A265" s="32">
        <v>5</v>
      </c>
      <c r="B265" s="32">
        <v>5</v>
      </c>
      <c r="C265" s="32">
        <v>5</v>
      </c>
      <c r="D265" s="32">
        <v>4</v>
      </c>
    </row>
    <row r="266" spans="1:4" x14ac:dyDescent="0.3">
      <c r="A266" s="32">
        <v>5</v>
      </c>
      <c r="B266" s="32">
        <v>5</v>
      </c>
      <c r="C266" s="32">
        <v>5</v>
      </c>
    </row>
    <row r="267" spans="1:4" x14ac:dyDescent="0.3">
      <c r="A267" s="32">
        <v>5</v>
      </c>
      <c r="B267" s="32">
        <v>4</v>
      </c>
      <c r="C267" s="32">
        <v>5</v>
      </c>
    </row>
    <row r="268" spans="1:4" x14ac:dyDescent="0.3">
      <c r="A268" s="32">
        <v>5</v>
      </c>
      <c r="B268" s="32">
        <v>5</v>
      </c>
      <c r="C268" s="32">
        <v>5</v>
      </c>
    </row>
    <row r="269" spans="1:4" x14ac:dyDescent="0.3">
      <c r="A269" s="32">
        <v>5</v>
      </c>
      <c r="B269" s="32">
        <v>5</v>
      </c>
      <c r="C269" s="32">
        <v>5</v>
      </c>
    </row>
    <row r="270" spans="1:4" x14ac:dyDescent="0.3">
      <c r="A270" s="32">
        <v>5</v>
      </c>
      <c r="B270" s="32">
        <v>5</v>
      </c>
      <c r="C270" s="32">
        <v>4.5</v>
      </c>
    </row>
    <row r="271" spans="1:4" x14ac:dyDescent="0.3">
      <c r="A271" s="32">
        <v>5</v>
      </c>
      <c r="B271" s="32">
        <v>5</v>
      </c>
    </row>
    <row r="272" spans="1:4" x14ac:dyDescent="0.3">
      <c r="A272" s="32">
        <v>4</v>
      </c>
      <c r="B272" s="32">
        <v>5</v>
      </c>
    </row>
    <row r="273" spans="1:2" x14ac:dyDescent="0.3">
      <c r="A273" s="40">
        <v>4</v>
      </c>
      <c r="B273" s="32">
        <v>5</v>
      </c>
    </row>
    <row r="274" spans="1:2" x14ac:dyDescent="0.3">
      <c r="A274" s="32">
        <v>5</v>
      </c>
      <c r="B274" s="32">
        <v>5</v>
      </c>
    </row>
    <row r="275" spans="1:2" x14ac:dyDescent="0.3">
      <c r="A275" s="32">
        <v>5</v>
      </c>
      <c r="B275" s="32">
        <v>5</v>
      </c>
    </row>
    <row r="276" spans="1:2" x14ac:dyDescent="0.3">
      <c r="A276" s="32">
        <v>5</v>
      </c>
      <c r="B276" s="32">
        <v>5</v>
      </c>
    </row>
    <row r="277" spans="1:2" x14ac:dyDescent="0.3">
      <c r="A277" s="32">
        <v>5</v>
      </c>
      <c r="B277" s="32">
        <v>5</v>
      </c>
    </row>
    <row r="278" spans="1:2" x14ac:dyDescent="0.3">
      <c r="A278" s="32">
        <v>5</v>
      </c>
      <c r="B278" s="32">
        <v>5</v>
      </c>
    </row>
    <row r="279" spans="1:2" x14ac:dyDescent="0.3">
      <c r="A279" s="32">
        <v>5</v>
      </c>
      <c r="B279" s="32">
        <v>5</v>
      </c>
    </row>
    <row r="280" spans="1:2" x14ac:dyDescent="0.3">
      <c r="A280" s="32">
        <v>5</v>
      </c>
      <c r="B280" s="32">
        <v>5</v>
      </c>
    </row>
    <row r="281" spans="1:2" x14ac:dyDescent="0.3">
      <c r="A281" s="32">
        <v>5</v>
      </c>
      <c r="B281" s="32">
        <v>5</v>
      </c>
    </row>
    <row r="282" spans="1:2" x14ac:dyDescent="0.3">
      <c r="A282" s="32">
        <v>5</v>
      </c>
      <c r="B282" s="32">
        <v>5</v>
      </c>
    </row>
    <row r="283" spans="1:2" x14ac:dyDescent="0.3">
      <c r="A283" s="32">
        <v>5</v>
      </c>
      <c r="B283" s="32">
        <v>5</v>
      </c>
    </row>
    <row r="284" spans="1:2" x14ac:dyDescent="0.3">
      <c r="A284" s="32">
        <v>5</v>
      </c>
      <c r="B284" s="32">
        <v>5</v>
      </c>
    </row>
    <row r="285" spans="1:2" x14ac:dyDescent="0.3">
      <c r="A285" s="32">
        <v>5</v>
      </c>
      <c r="B285" s="32">
        <v>5</v>
      </c>
    </row>
    <row r="286" spans="1:2" x14ac:dyDescent="0.3">
      <c r="A286" s="32">
        <v>5</v>
      </c>
      <c r="B286" s="32">
        <v>5</v>
      </c>
    </row>
    <row r="287" spans="1:2" x14ac:dyDescent="0.3">
      <c r="A287" s="32">
        <v>5</v>
      </c>
      <c r="B287" s="32">
        <v>5</v>
      </c>
    </row>
    <row r="288" spans="1:2" x14ac:dyDescent="0.3">
      <c r="A288" s="32">
        <v>5</v>
      </c>
      <c r="B288" s="32">
        <v>5</v>
      </c>
    </row>
    <row r="289" spans="1:2" x14ac:dyDescent="0.3">
      <c r="A289" s="32">
        <v>5</v>
      </c>
      <c r="B289" s="32">
        <v>5</v>
      </c>
    </row>
    <row r="290" spans="1:2" x14ac:dyDescent="0.3">
      <c r="A290" s="32">
        <v>5</v>
      </c>
      <c r="B290" s="32">
        <v>5</v>
      </c>
    </row>
    <row r="291" spans="1:2" x14ac:dyDescent="0.3">
      <c r="A291" s="32">
        <v>5</v>
      </c>
      <c r="B291" s="32">
        <v>5</v>
      </c>
    </row>
    <row r="292" spans="1:2" x14ac:dyDescent="0.3">
      <c r="A292" s="32">
        <v>4</v>
      </c>
      <c r="B292" s="32">
        <v>5</v>
      </c>
    </row>
    <row r="293" spans="1:2" x14ac:dyDescent="0.3">
      <c r="A293" s="32">
        <v>5</v>
      </c>
      <c r="B293" s="32">
        <v>5</v>
      </c>
    </row>
    <row r="294" spans="1:2" x14ac:dyDescent="0.3">
      <c r="A294" s="32">
        <v>5</v>
      </c>
      <c r="B294" s="32">
        <v>5</v>
      </c>
    </row>
    <row r="295" spans="1:2" x14ac:dyDescent="0.3">
      <c r="A295" s="32">
        <v>5</v>
      </c>
      <c r="B295" s="32">
        <v>5</v>
      </c>
    </row>
    <row r="296" spans="1:2" x14ac:dyDescent="0.3">
      <c r="A296" s="32">
        <v>5</v>
      </c>
      <c r="B296" s="32">
        <v>5</v>
      </c>
    </row>
    <row r="297" spans="1:2" x14ac:dyDescent="0.3">
      <c r="A297" s="32">
        <v>5</v>
      </c>
      <c r="B297" s="32">
        <v>5</v>
      </c>
    </row>
    <row r="298" spans="1:2" x14ac:dyDescent="0.3">
      <c r="A298" s="32">
        <v>5</v>
      </c>
      <c r="B298" s="32">
        <v>5</v>
      </c>
    </row>
    <row r="299" spans="1:2" x14ac:dyDescent="0.3">
      <c r="A299" s="32">
        <v>5</v>
      </c>
      <c r="B299" s="32">
        <v>5</v>
      </c>
    </row>
    <row r="300" spans="1:2" x14ac:dyDescent="0.3">
      <c r="A300" s="32">
        <v>5</v>
      </c>
      <c r="B300" s="32">
        <v>5</v>
      </c>
    </row>
    <row r="301" spans="1:2" x14ac:dyDescent="0.3">
      <c r="A301" s="32">
        <v>5</v>
      </c>
      <c r="B301" s="32">
        <v>5</v>
      </c>
    </row>
    <row r="302" spans="1:2" x14ac:dyDescent="0.3">
      <c r="A302" s="32">
        <v>5</v>
      </c>
      <c r="B302" s="32">
        <v>4</v>
      </c>
    </row>
    <row r="303" spans="1:2" x14ac:dyDescent="0.3">
      <c r="A303" s="32">
        <v>5</v>
      </c>
      <c r="B303" s="32">
        <v>5</v>
      </c>
    </row>
    <row r="304" spans="1:2" x14ac:dyDescent="0.3">
      <c r="A304" s="32">
        <v>5</v>
      </c>
      <c r="B304" s="32">
        <v>5</v>
      </c>
    </row>
    <row r="305" spans="1:2" x14ac:dyDescent="0.3">
      <c r="A305" s="32">
        <v>5</v>
      </c>
      <c r="B305" s="32">
        <v>5</v>
      </c>
    </row>
    <row r="306" spans="1:2" x14ac:dyDescent="0.3">
      <c r="A306" s="32">
        <v>5</v>
      </c>
      <c r="B306" s="32">
        <v>5</v>
      </c>
    </row>
    <row r="307" spans="1:2" x14ac:dyDescent="0.3">
      <c r="A307" s="32">
        <v>4</v>
      </c>
      <c r="B307" s="32">
        <v>5</v>
      </c>
    </row>
    <row r="308" spans="1:2" x14ac:dyDescent="0.3">
      <c r="A308" s="32">
        <v>3</v>
      </c>
      <c r="B308" s="32">
        <v>5</v>
      </c>
    </row>
    <row r="309" spans="1:2" x14ac:dyDescent="0.3">
      <c r="A309" s="32">
        <v>5</v>
      </c>
      <c r="B309" s="32">
        <v>5</v>
      </c>
    </row>
    <row r="310" spans="1:2" x14ac:dyDescent="0.3">
      <c r="A310" s="32">
        <v>5</v>
      </c>
      <c r="B310" s="32">
        <v>5</v>
      </c>
    </row>
    <row r="311" spans="1:2" x14ac:dyDescent="0.3">
      <c r="A311" s="32">
        <v>5</v>
      </c>
      <c r="B311" s="32">
        <v>5</v>
      </c>
    </row>
    <row r="312" spans="1:2" x14ac:dyDescent="0.3">
      <c r="A312" s="32">
        <v>5</v>
      </c>
      <c r="B312" s="32">
        <v>5</v>
      </c>
    </row>
    <row r="313" spans="1:2" x14ac:dyDescent="0.3">
      <c r="A313" s="32">
        <v>5</v>
      </c>
      <c r="B313" s="32">
        <v>5</v>
      </c>
    </row>
    <row r="314" spans="1:2" x14ac:dyDescent="0.3">
      <c r="A314" s="32">
        <v>5</v>
      </c>
      <c r="B314" s="32">
        <v>5</v>
      </c>
    </row>
    <row r="315" spans="1:2" x14ac:dyDescent="0.3">
      <c r="A315" s="32">
        <v>5</v>
      </c>
      <c r="B315" s="32">
        <v>5</v>
      </c>
    </row>
    <row r="316" spans="1:2" x14ac:dyDescent="0.3">
      <c r="A316" s="32">
        <v>5</v>
      </c>
      <c r="B316" s="32">
        <v>5</v>
      </c>
    </row>
    <row r="317" spans="1:2" x14ac:dyDescent="0.3">
      <c r="A317" s="32">
        <v>5</v>
      </c>
      <c r="B317" s="32">
        <v>5</v>
      </c>
    </row>
    <row r="318" spans="1:2" x14ac:dyDescent="0.3">
      <c r="A318" s="32">
        <v>5</v>
      </c>
      <c r="B318" s="32">
        <v>5</v>
      </c>
    </row>
    <row r="319" spans="1:2" x14ac:dyDescent="0.3">
      <c r="A319" s="32">
        <v>5</v>
      </c>
      <c r="B319" s="32">
        <v>5</v>
      </c>
    </row>
    <row r="320" spans="1:2" x14ac:dyDescent="0.3">
      <c r="A320" s="32">
        <v>4</v>
      </c>
      <c r="B320" s="32">
        <v>5</v>
      </c>
    </row>
    <row r="321" spans="1:2" x14ac:dyDescent="0.3">
      <c r="A321" s="32">
        <v>5</v>
      </c>
      <c r="B321" s="32">
        <v>5</v>
      </c>
    </row>
    <row r="322" spans="1:2" x14ac:dyDescent="0.3">
      <c r="A322" s="32">
        <v>5</v>
      </c>
      <c r="B322" s="32">
        <v>5</v>
      </c>
    </row>
    <row r="323" spans="1:2" x14ac:dyDescent="0.3">
      <c r="A323" s="32">
        <v>5</v>
      </c>
      <c r="B323" s="32">
        <v>5</v>
      </c>
    </row>
    <row r="324" spans="1:2" x14ac:dyDescent="0.3">
      <c r="A324" s="32">
        <v>5</v>
      </c>
      <c r="B324" s="32">
        <v>5</v>
      </c>
    </row>
    <row r="325" spans="1:2" x14ac:dyDescent="0.3">
      <c r="A325" s="32">
        <v>5</v>
      </c>
      <c r="B325" s="32">
        <v>5</v>
      </c>
    </row>
    <row r="326" spans="1:2" x14ac:dyDescent="0.3">
      <c r="A326" s="32">
        <v>5</v>
      </c>
      <c r="B326" s="32">
        <v>4.5</v>
      </c>
    </row>
    <row r="327" spans="1:2" x14ac:dyDescent="0.3">
      <c r="A327" s="32">
        <v>5</v>
      </c>
      <c r="B327" s="32">
        <v>4</v>
      </c>
    </row>
    <row r="328" spans="1:2" x14ac:dyDescent="0.3">
      <c r="A328" s="32">
        <v>5</v>
      </c>
    </row>
    <row r="329" spans="1:2" x14ac:dyDescent="0.3">
      <c r="A329" s="32">
        <v>5</v>
      </c>
    </row>
    <row r="330" spans="1:2" x14ac:dyDescent="0.3">
      <c r="A330" s="32">
        <v>5</v>
      </c>
    </row>
    <row r="331" spans="1:2" x14ac:dyDescent="0.3">
      <c r="A331" s="32">
        <v>5</v>
      </c>
    </row>
    <row r="332" spans="1:2" x14ac:dyDescent="0.3">
      <c r="A332" s="32">
        <v>5</v>
      </c>
    </row>
    <row r="333" spans="1:2" x14ac:dyDescent="0.3">
      <c r="A333" s="32">
        <v>5</v>
      </c>
    </row>
    <row r="334" spans="1:2" x14ac:dyDescent="0.3">
      <c r="A334" s="32">
        <v>5</v>
      </c>
    </row>
    <row r="335" spans="1:2" x14ac:dyDescent="0.3">
      <c r="A335" s="32">
        <v>5</v>
      </c>
    </row>
    <row r="336" spans="1:2" x14ac:dyDescent="0.3">
      <c r="A336" s="32">
        <v>4</v>
      </c>
    </row>
    <row r="337" spans="1:1" x14ac:dyDescent="0.3">
      <c r="A337" s="32">
        <v>5</v>
      </c>
    </row>
    <row r="338" spans="1:1" x14ac:dyDescent="0.3">
      <c r="A338" s="32">
        <v>5</v>
      </c>
    </row>
    <row r="339" spans="1:1" x14ac:dyDescent="0.3">
      <c r="A339" s="32">
        <v>5</v>
      </c>
    </row>
    <row r="340" spans="1:1" x14ac:dyDescent="0.3">
      <c r="A340" s="32">
        <v>5</v>
      </c>
    </row>
    <row r="341" spans="1:1" x14ac:dyDescent="0.3">
      <c r="A341" s="32">
        <v>5</v>
      </c>
    </row>
    <row r="342" spans="1:1" x14ac:dyDescent="0.3">
      <c r="A342" s="32">
        <v>5</v>
      </c>
    </row>
    <row r="343" spans="1:1" x14ac:dyDescent="0.3">
      <c r="A343" s="32">
        <v>5</v>
      </c>
    </row>
    <row r="344" spans="1:1" x14ac:dyDescent="0.3">
      <c r="A344" s="32">
        <v>5</v>
      </c>
    </row>
    <row r="345" spans="1:1" x14ac:dyDescent="0.3">
      <c r="A345" s="32">
        <v>5</v>
      </c>
    </row>
    <row r="346" spans="1:1" x14ac:dyDescent="0.3">
      <c r="A346" s="32">
        <v>5</v>
      </c>
    </row>
    <row r="347" spans="1:1" x14ac:dyDescent="0.3">
      <c r="A347" s="32">
        <v>5</v>
      </c>
    </row>
    <row r="348" spans="1:1" x14ac:dyDescent="0.3">
      <c r="A348" s="32">
        <v>5</v>
      </c>
    </row>
    <row r="349" spans="1:1" x14ac:dyDescent="0.3">
      <c r="A349" s="32">
        <v>5</v>
      </c>
    </row>
    <row r="350" spans="1:1" x14ac:dyDescent="0.3">
      <c r="A350" s="32">
        <v>5</v>
      </c>
    </row>
    <row r="351" spans="1:1" x14ac:dyDescent="0.3">
      <c r="A351" s="32">
        <v>5</v>
      </c>
    </row>
    <row r="352" spans="1:1" x14ac:dyDescent="0.3">
      <c r="A352" s="32">
        <v>5</v>
      </c>
    </row>
    <row r="353" spans="1:1" x14ac:dyDescent="0.3">
      <c r="A353" s="32">
        <v>5</v>
      </c>
    </row>
    <row r="354" spans="1:1" x14ac:dyDescent="0.3">
      <c r="A354" s="32">
        <v>5</v>
      </c>
    </row>
    <row r="355" spans="1:1" x14ac:dyDescent="0.3">
      <c r="A355" s="32">
        <v>5</v>
      </c>
    </row>
    <row r="356" spans="1:1" x14ac:dyDescent="0.3">
      <c r="A356" s="32">
        <v>5</v>
      </c>
    </row>
    <row r="357" spans="1:1" x14ac:dyDescent="0.3">
      <c r="A357" s="32">
        <v>5</v>
      </c>
    </row>
    <row r="358" spans="1:1" x14ac:dyDescent="0.3">
      <c r="A358" s="32">
        <v>4.5</v>
      </c>
    </row>
    <row r="359" spans="1:1" x14ac:dyDescent="0.3">
      <c r="A359" s="32">
        <v>4.5</v>
      </c>
    </row>
  </sheetData>
  <autoFilter ref="A1:E1" xr:uid="{9DAD51F4-8852-41A8-9FAD-416F67AFAF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747D-B2C8-4AFF-80F6-4A20A2AC9C00}">
  <dimension ref="A1:J24"/>
  <sheetViews>
    <sheetView zoomScale="65" zoomScaleNormal="115" workbookViewId="0">
      <selection activeCell="D3" sqref="D3"/>
    </sheetView>
  </sheetViews>
  <sheetFormatPr defaultRowHeight="14.4" x14ac:dyDescent="0.3"/>
  <cols>
    <col min="1" max="1" width="40.5546875" bestFit="1" customWidth="1"/>
    <col min="2" max="2" width="34.5546875" bestFit="1" customWidth="1"/>
    <col min="3" max="3" width="28.88671875" bestFit="1" customWidth="1"/>
    <col min="4" max="4" width="39.6640625" bestFit="1" customWidth="1"/>
    <col min="5" max="5" width="19.33203125" bestFit="1" customWidth="1"/>
    <col min="6" max="6" width="30.33203125" bestFit="1" customWidth="1"/>
    <col min="7" max="7" width="25" bestFit="1" customWidth="1"/>
    <col min="10" max="10" width="18.5546875" bestFit="1" customWidth="1"/>
  </cols>
  <sheetData>
    <row r="1" spans="1:10" x14ac:dyDescent="0.3">
      <c r="A1" s="2" t="s">
        <v>12</v>
      </c>
      <c r="B1" s="2" t="s">
        <v>13</v>
      </c>
      <c r="C1" s="2" t="s">
        <v>14</v>
      </c>
      <c r="D1" s="2" t="s">
        <v>15</v>
      </c>
      <c r="E1" s="3" t="s">
        <v>23</v>
      </c>
      <c r="F1" s="3" t="s">
        <v>24</v>
      </c>
      <c r="G1" s="3" t="s">
        <v>25</v>
      </c>
      <c r="H1" s="1"/>
      <c r="J1" s="4" t="s">
        <v>31</v>
      </c>
    </row>
    <row r="2" spans="1:10" x14ac:dyDescent="0.3">
      <c r="A2" s="19" t="s">
        <v>20</v>
      </c>
      <c r="B2" s="20">
        <f>D15+E15+F15</f>
        <v>1168</v>
      </c>
      <c r="C2" s="20">
        <f>B15+C15</f>
        <v>360</v>
      </c>
      <c r="D2" s="21">
        <f>C2/B2</f>
        <v>0.30821917808219179</v>
      </c>
      <c r="E2" s="26">
        <f>AVERAGE('Notas Trim'!A2:A900)</f>
        <v>4.9497206703910619</v>
      </c>
      <c r="F2" s="26"/>
      <c r="G2" s="30">
        <f>E2-F2</f>
        <v>4.9497206703910619</v>
      </c>
      <c r="H2" s="1"/>
      <c r="J2" s="25">
        <f>IF((((E15+B15+F15)*G2)/10)&gt;500,500,((E15+B15+F15)*G2/10))</f>
        <v>500</v>
      </c>
    </row>
    <row r="3" spans="1:10" x14ac:dyDescent="0.3">
      <c r="A3" s="5" t="s">
        <v>19</v>
      </c>
      <c r="B3" s="6">
        <f t="shared" ref="B3:B5" si="0">D16+E16+F16</f>
        <v>1009</v>
      </c>
      <c r="C3" s="6">
        <f>B16+C16</f>
        <v>325</v>
      </c>
      <c r="D3" s="33">
        <f>C3/B3</f>
        <v>0.32210109018830524</v>
      </c>
      <c r="E3" s="43">
        <f>AVERAGE('Notas Trim'!B2:B900)</f>
        <v>4.9493865030674851</v>
      </c>
      <c r="F3" s="8"/>
      <c r="G3" s="31">
        <f t="shared" ref="G3:G5" si="1">E3-F3</f>
        <v>4.9493865030674851</v>
      </c>
      <c r="H3" s="1"/>
      <c r="J3" s="25">
        <f>IF((((E16+B16+F16)*G3)/10)&gt;500,500,((E16+B16+F16)*G3/10))</f>
        <v>451.38404907975462</v>
      </c>
    </row>
    <row r="4" spans="1:10" x14ac:dyDescent="0.3">
      <c r="A4" s="19" t="s">
        <v>21</v>
      </c>
      <c r="B4" s="20">
        <f t="shared" si="0"/>
        <v>1048</v>
      </c>
      <c r="C4" s="20">
        <f>B17+C17</f>
        <v>270</v>
      </c>
      <c r="D4" s="21">
        <f>C4/B4</f>
        <v>0.25763358778625955</v>
      </c>
      <c r="E4" s="26">
        <f>AVERAGE('Notas Trim'!C2:C900)</f>
        <v>4.9758364312267656</v>
      </c>
      <c r="F4" s="26"/>
      <c r="G4" s="30">
        <f t="shared" si="1"/>
        <v>4.9758364312267656</v>
      </c>
      <c r="H4" s="1"/>
      <c r="J4" s="25">
        <f>IF((((E17+B17+F17)*G4)/10)&gt;500,500,((E17+B17+F17)*G4/10))</f>
        <v>482.6561338289963</v>
      </c>
    </row>
    <row r="5" spans="1:10" x14ac:dyDescent="0.3">
      <c r="A5" s="5" t="s">
        <v>32</v>
      </c>
      <c r="B5" s="6">
        <f t="shared" si="0"/>
        <v>1150</v>
      </c>
      <c r="C5" s="6">
        <f>B18+C18</f>
        <v>272</v>
      </c>
      <c r="D5" s="21">
        <f>C5/B5</f>
        <v>0.23652173913043478</v>
      </c>
      <c r="E5" s="43">
        <f>AVERAGE('Notas Trim'!D2:D900)</f>
        <v>4.958333333333333</v>
      </c>
      <c r="F5" s="8"/>
      <c r="G5" s="31">
        <f t="shared" si="1"/>
        <v>4.958333333333333</v>
      </c>
      <c r="H5" s="1"/>
      <c r="J5" s="25">
        <f>IF((((E18+B18+F18)*G5)/10)&gt;500,500,((E18+B18+F18)*G5/10))</f>
        <v>500</v>
      </c>
    </row>
    <row r="6" spans="1:10" x14ac:dyDescent="0.3">
      <c r="A6" s="19"/>
      <c r="B6" s="20"/>
      <c r="C6" s="20"/>
      <c r="D6" s="21"/>
      <c r="E6" s="26"/>
      <c r="F6" s="26"/>
      <c r="G6" s="30"/>
      <c r="H6" s="1"/>
      <c r="J6" s="25">
        <f>IF((((E19+B19+F19)*G6)/10)&gt;500,500,((E19+B19+F19)*G6/10))</f>
        <v>0</v>
      </c>
    </row>
    <row r="7" spans="1:10" x14ac:dyDescent="0.3">
      <c r="A7" s="5"/>
      <c r="B7" s="6"/>
      <c r="C7" s="6"/>
      <c r="D7" s="7"/>
      <c r="E7" s="8"/>
      <c r="F7" s="8"/>
      <c r="G7" s="12"/>
      <c r="H7" s="1"/>
      <c r="J7" s="25"/>
    </row>
    <row r="8" spans="1:10" x14ac:dyDescent="0.3">
      <c r="A8" s="1"/>
      <c r="B8" s="1"/>
      <c r="C8" s="1"/>
      <c r="D8" s="9"/>
      <c r="E8" s="1"/>
      <c r="F8" s="27"/>
      <c r="G8" s="13"/>
      <c r="H8" s="1"/>
      <c r="J8" s="1"/>
    </row>
    <row r="9" spans="1:10" x14ac:dyDescent="0.3">
      <c r="A9" s="14" t="s">
        <v>16</v>
      </c>
      <c r="B9" s="14">
        <f>SUM(B2:B7)</f>
        <v>4375</v>
      </c>
      <c r="C9" s="14">
        <f>SUM(C2:C7)</f>
        <v>1227</v>
      </c>
      <c r="D9" s="15">
        <f>C9/B9</f>
        <v>0.28045714285714285</v>
      </c>
      <c r="E9" s="16">
        <f>AVERAGE(E2:E7)</f>
        <v>4.9583192345046614</v>
      </c>
      <c r="F9" s="16"/>
      <c r="G9" s="17">
        <f>E9-F9</f>
        <v>4.9583192345046614</v>
      </c>
      <c r="H9" s="1"/>
      <c r="J9" s="24">
        <f>SUM(J2:J7)</f>
        <v>1934.0401829087509</v>
      </c>
    </row>
    <row r="10" spans="1:10" x14ac:dyDescent="0.3">
      <c r="A10" s="1"/>
      <c r="B10" s="1"/>
      <c r="C10" s="1"/>
      <c r="D10" s="1"/>
      <c r="E10" s="1"/>
      <c r="F10" s="1"/>
      <c r="G10" s="1"/>
      <c r="H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J13" s="1"/>
    </row>
    <row r="14" spans="1:10" x14ac:dyDescent="0.3">
      <c r="A14" s="10" t="s">
        <v>12</v>
      </c>
      <c r="B14" s="11" t="s">
        <v>17</v>
      </c>
      <c r="C14" s="11" t="s">
        <v>18</v>
      </c>
      <c r="D14" s="11" t="s">
        <v>35</v>
      </c>
      <c r="E14" s="11" t="s">
        <v>34</v>
      </c>
      <c r="F14" s="10" t="s">
        <v>33</v>
      </c>
      <c r="G14" s="4" t="s">
        <v>36</v>
      </c>
    </row>
    <row r="15" spans="1:10" x14ac:dyDescent="0.3">
      <c r="A15" s="19" t="s">
        <v>20</v>
      </c>
      <c r="B15" s="1">
        <f>'Nps Abr'!B15+'Nps Mai'!B15+'Nps Jun'!B15</f>
        <v>38</v>
      </c>
      <c r="C15" s="1">
        <f>'Nps Abr'!C15+'Nps Mai'!C15+'Nps Jun'!C15</f>
        <v>322</v>
      </c>
      <c r="D15" s="1">
        <f>'Nps Abr'!D15+'Nps Mai'!D15+'Nps Jun'!D15</f>
        <v>178</v>
      </c>
      <c r="E15" s="1">
        <f>'Nps Abr'!E15+'Nps Mai'!E15+'Nps Jun'!E15</f>
        <v>759</v>
      </c>
      <c r="F15" s="1">
        <f>'Nps Abr'!F15+'Nps Mai'!F15+'Nps Jun'!F15</f>
        <v>231</v>
      </c>
      <c r="G15" s="1">
        <f>'Nps Abr'!G15+'Nps Mai'!G15+'Nps Jun'!G15</f>
        <v>40</v>
      </c>
    </row>
    <row r="16" spans="1:10" x14ac:dyDescent="0.3">
      <c r="A16" s="5" t="s">
        <v>19</v>
      </c>
      <c r="B16" s="1">
        <f>'Nps Abr'!B16+'Nps Mai'!B16+'Nps Jun'!B16</f>
        <v>36</v>
      </c>
      <c r="C16" s="1">
        <f>'Nps Abr'!C16+'Nps Mai'!C16+'Nps Jun'!C16</f>
        <v>289</v>
      </c>
      <c r="D16" s="1">
        <f>'Nps Abr'!D16+'Nps Mai'!D16+'Nps Jun'!D16</f>
        <v>133</v>
      </c>
      <c r="E16" s="1">
        <f>'Nps Abr'!E16+'Nps Mai'!E16+'Nps Jun'!E16</f>
        <v>612</v>
      </c>
      <c r="F16" s="1">
        <f>'Nps Abr'!F16+'Nps Mai'!F16+'Nps Jun'!F16</f>
        <v>264</v>
      </c>
      <c r="G16" s="1">
        <f>'Nps Abr'!G16+'Nps Mai'!G16+'Nps Jun'!G16</f>
        <v>33</v>
      </c>
    </row>
    <row r="17" spans="1:10" x14ac:dyDescent="0.3">
      <c r="A17" s="19" t="s">
        <v>21</v>
      </c>
      <c r="B17" s="1">
        <f>'Nps Abr'!B17+'Nps Mai'!B17+'Nps Jun'!B17</f>
        <v>22</v>
      </c>
      <c r="C17" s="1">
        <f>'Nps Abr'!C17+'Nps Mai'!C17+'Nps Jun'!C17</f>
        <v>248</v>
      </c>
      <c r="D17" s="1">
        <f>'Nps Abr'!D17+'Nps Mai'!D17+'Nps Jun'!D17</f>
        <v>100</v>
      </c>
      <c r="E17" s="1">
        <f>'Nps Abr'!E17+'Nps Mai'!E17+'Nps Jun'!E17</f>
        <v>662</v>
      </c>
      <c r="F17" s="1">
        <f>'Nps Abr'!F17+'Nps Mai'!F17+'Nps Jun'!F17</f>
        <v>286</v>
      </c>
      <c r="G17" s="1">
        <f>'Nps Abr'!G17+'Nps Mai'!G17+'Nps Jun'!G17</f>
        <v>66</v>
      </c>
    </row>
    <row r="18" spans="1:10" x14ac:dyDescent="0.3">
      <c r="A18" s="5" t="s">
        <v>32</v>
      </c>
      <c r="B18" s="1">
        <f>'Nps Abr'!B18+'Nps Mai'!B18+'Nps Jun'!B18</f>
        <v>11</v>
      </c>
      <c r="C18" s="1">
        <f>'Nps Abr'!C18+'Nps Mai'!C18+'Nps Jun'!C18</f>
        <v>261</v>
      </c>
      <c r="D18" s="1">
        <f>'Nps Abr'!D18+'Nps Mai'!D18+'Nps Jun'!D18</f>
        <v>60</v>
      </c>
      <c r="E18" s="1">
        <f>'Nps Abr'!E18+'Nps Mai'!E18+'Nps Jun'!E18</f>
        <v>648</v>
      </c>
      <c r="F18" s="1">
        <f>'Nps Abr'!F18+'Nps Mai'!F18+'Nps Jun'!F18</f>
        <v>442</v>
      </c>
      <c r="G18" s="1">
        <f>'Nps Abr'!G18+'Nps Mai'!G18+'Nps Jun'!G18</f>
        <v>75</v>
      </c>
      <c r="H18" s="1"/>
      <c r="J18" s="1"/>
    </row>
    <row r="19" spans="1:10" x14ac:dyDescent="0.3">
      <c r="A19" s="19"/>
      <c r="B19" s="1"/>
      <c r="C19" s="1"/>
      <c r="D19" s="1"/>
      <c r="E19" s="1"/>
      <c r="F19" s="1"/>
      <c r="G19" s="1"/>
      <c r="H19" s="1"/>
      <c r="J19" s="1"/>
    </row>
    <row r="21" spans="1:10" x14ac:dyDescent="0.3">
      <c r="A21" s="22" t="s">
        <v>28</v>
      </c>
      <c r="B21" s="1"/>
      <c r="C21" s="1"/>
    </row>
    <row r="22" spans="1:10" x14ac:dyDescent="0.3">
      <c r="A22" s="22" t="s">
        <v>27</v>
      </c>
      <c r="B22" s="1"/>
      <c r="C22" s="1"/>
    </row>
    <row r="23" spans="1:10" x14ac:dyDescent="0.3">
      <c r="A23" s="22" t="s">
        <v>29</v>
      </c>
      <c r="B23" s="1"/>
      <c r="C23" s="1"/>
    </row>
    <row r="24" spans="1:10" x14ac:dyDescent="0.3">
      <c r="A24" s="22" t="s">
        <v>30</v>
      </c>
      <c r="B24" s="1"/>
      <c r="C24" s="1"/>
    </row>
  </sheetData>
  <autoFilter ref="A1:G6" xr:uid="{EAEADC41-E302-46BC-A638-9865C1C4159E}"/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Abr</vt:lpstr>
      <vt:lpstr>Notas Abr</vt:lpstr>
      <vt:lpstr>Nps Abr</vt:lpstr>
      <vt:lpstr>Mai</vt:lpstr>
      <vt:lpstr>Notas Mai</vt:lpstr>
      <vt:lpstr>Nps Mai</vt:lpstr>
      <vt:lpstr>Jun</vt:lpstr>
      <vt:lpstr>Notas Jun</vt:lpstr>
      <vt:lpstr>Nps Jun</vt:lpstr>
      <vt:lpstr>Notas Trim</vt:lpstr>
      <vt:lpstr>NPS Trim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Ederson  - Power System Maringá</cp:lastModifiedBy>
  <cp:lastPrinted>2025-08-25T16:44:20Z</cp:lastPrinted>
  <dcterms:created xsi:type="dcterms:W3CDTF">2025-03-03T11:28:14Z</dcterms:created>
  <dcterms:modified xsi:type="dcterms:W3CDTF">2026-08-03T19:02:31Z</dcterms:modified>
</cp:coreProperties>
</file>